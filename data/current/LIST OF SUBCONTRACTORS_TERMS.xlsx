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TE\WTE_option140 - public Github Page + password\"/>
    </mc:Choice>
  </mc:AlternateContent>
  <xr:revisionPtr revIDLastSave="0" documentId="13_ncr:1_{741211F2-D78C-4C2B-A326-F873851962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ORR_TME" sheetId="31" r:id="rId1"/>
    <sheet name="Arkusz1" sheetId="28" state="hidden" r:id="rId2"/>
    <sheet name="TERMOMECC_Przychodzące 2022" sheetId="24" state="hidden" r:id="rId3"/>
  </sheets>
  <definedNames>
    <definedName name="_xlnm._FilterDatabase" localSheetId="0" hidden="1">PORR_TME!$A$3:$S$62</definedName>
    <definedName name="_Hlk124261516" localSheetId="0">PORR_TME!#REF!</definedName>
    <definedName name="_xlnm.Print_Area" localSheetId="0">PORR_TME!$A$1:$T$66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" i="31" l="1"/>
  <c r="AI6" i="31"/>
  <c r="AI7" i="31"/>
  <c r="AI8" i="31"/>
  <c r="AI9" i="31"/>
  <c r="AI10" i="31"/>
  <c r="AI11" i="31"/>
  <c r="AI12" i="31"/>
  <c r="AI13" i="31"/>
  <c r="AI14" i="31"/>
  <c r="AI15" i="31"/>
  <c r="AI16" i="31"/>
  <c r="AI17" i="31"/>
  <c r="AI18" i="31"/>
  <c r="AI19" i="31"/>
  <c r="AI20" i="31"/>
  <c r="AI21" i="31"/>
  <c r="AI22" i="31"/>
  <c r="AI23" i="31"/>
  <c r="AI24" i="31"/>
  <c r="AI25" i="31"/>
  <c r="AI26" i="31"/>
  <c r="AI27" i="31"/>
  <c r="AI28" i="31"/>
  <c r="AI29" i="31"/>
  <c r="AI30" i="31"/>
  <c r="AI31" i="31"/>
  <c r="AI32" i="31"/>
  <c r="AI33" i="31"/>
  <c r="AI34" i="31"/>
  <c r="AI35" i="31"/>
  <c r="AI36" i="31"/>
  <c r="AI37" i="31"/>
  <c r="AI38" i="31"/>
  <c r="AI39" i="31"/>
  <c r="AI40" i="31"/>
  <c r="AI41" i="31"/>
  <c r="AI42" i="31"/>
  <c r="AI43" i="31"/>
  <c r="AI44" i="31"/>
  <c r="AI45" i="31"/>
  <c r="AI46" i="31"/>
  <c r="AI47" i="31"/>
  <c r="AI48" i="31"/>
  <c r="AI49" i="31"/>
  <c r="AI50" i="31"/>
  <c r="AI51" i="31"/>
  <c r="AI52" i="31"/>
  <c r="AI53" i="31"/>
  <c r="AI54" i="31"/>
  <c r="AI55" i="31"/>
  <c r="AI56" i="31"/>
  <c r="AI57" i="31"/>
  <c r="AI58" i="31"/>
  <c r="AI59" i="31"/>
  <c r="AI60" i="31"/>
  <c r="AI61" i="31"/>
  <c r="AI62" i="31"/>
  <c r="AI63" i="31"/>
  <c r="AI64" i="31"/>
  <c r="AI65" i="31"/>
  <c r="AI66" i="31"/>
  <c r="AI4" i="31"/>
  <c r="B1" i="31"/>
  <c r="H52" i="31"/>
  <c r="H21" i="31"/>
  <c r="H22" i="31" s="1"/>
  <c r="H14" i="31"/>
  <c r="H11" i="31"/>
  <c r="H12" i="31" s="1"/>
  <c r="O2" i="31"/>
  <c r="E2" i="31"/>
  <c r="G2" i="31"/>
  <c r="K2" i="31"/>
  <c r="P2" i="31"/>
  <c r="T2" i="31"/>
  <c r="B2" i="31"/>
  <c r="I2" i="31"/>
  <c r="L2" i="31"/>
  <c r="Q2" i="31"/>
  <c r="H2" i="31"/>
  <c r="D2" i="31"/>
  <c r="M2" i="31"/>
  <c r="R2" i="31"/>
  <c r="C2" i="31"/>
  <c r="F2" i="31"/>
  <c r="J2" i="31"/>
  <c r="S2" i="31"/>
  <c r="A2" i="31"/>
  <c r="N2" i="31"/>
</calcChain>
</file>

<file path=xl/sharedStrings.xml><?xml version="1.0" encoding="utf-8"?>
<sst xmlns="http://schemas.openxmlformats.org/spreadsheetml/2006/main" count="578" uniqueCount="439">
  <si>
    <t>Lp.</t>
  </si>
  <si>
    <t>Nadawca</t>
  </si>
  <si>
    <t>odpowiedź na pismo</t>
  </si>
  <si>
    <t>Zakres umowy</t>
  </si>
  <si>
    <t>Okres obowiązywania umowy</t>
  </si>
  <si>
    <t>Nazwa firmy</t>
  </si>
  <si>
    <t>Adres firmy</t>
  </si>
  <si>
    <t>Data obustronnego podpisania umowy (ostatni podpis)</t>
  </si>
  <si>
    <t>Kontakt do firmy</t>
  </si>
  <si>
    <t>Data zawarcia umowy/aneksu do umowy</t>
  </si>
  <si>
    <t>Nr umowy/aneksu/zamówienia nadany przez Podwykonawcę</t>
  </si>
  <si>
    <t>Nr umowy/
aneksu/
zamówienia</t>
  </si>
  <si>
    <t>Data odesłania podpisanej umowy do podwykonawcy / dostawcy</t>
  </si>
  <si>
    <t>umowa nie będzie zgłoszona / przkazana Zamawiającemu</t>
  </si>
  <si>
    <t>umowa wpisana do raportu miesięcznego poprzedniego</t>
  </si>
  <si>
    <t>umowa wpisana do raportu miesięcznego bieżącego</t>
  </si>
  <si>
    <t>podpisana umowa nie przekazana Zamawiającemu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</si>
  <si>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</si>
  <si>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</si>
  <si>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</si>
  <si>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</si>
  <si>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</si>
  <si>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</si>
  <si>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</si>
  <si>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</si>
  <si>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</si>
  <si>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BUDIZOL Sp. z o.o. S.K. A.</t>
  </si>
  <si>
    <t>87-800 Włocławek,                   ul. Komunalna 8</t>
  </si>
  <si>
    <t>Kompletna i kompleksowa produkcja żelbetowych prefabrykowanych płyt drogowych MON oraz ich dostawa na teren budowy (DAP Włocławek)</t>
  </si>
  <si>
    <t>dostawa</t>
  </si>
  <si>
    <t>Rodzaj umowy: Roboty Budowlane/Dostawy/Usługi</t>
  </si>
  <si>
    <t xml:space="preserve">Numer i data zgłoszenia podwykonawcy do IN </t>
  </si>
  <si>
    <t>01/2025 z 10.12.2025</t>
  </si>
  <si>
    <t>Data akceptacji projektu umowy / umowy  przez IN</t>
  </si>
  <si>
    <t>10.</t>
  </si>
  <si>
    <t>11.</t>
  </si>
  <si>
    <t>12.</t>
  </si>
  <si>
    <t>ADAM Kujawka</t>
  </si>
  <si>
    <t>GRZEGORZ Kujawka</t>
  </si>
  <si>
    <t>03/2025 z 16.12.2025</t>
  </si>
  <si>
    <t>Uwagi</t>
  </si>
  <si>
    <t>10/2026 z 15.01.2026</t>
  </si>
  <si>
    <t>02/2025 z 12.12.2025</t>
  </si>
  <si>
    <t>ul. Lenartowicza 20, 02-614 Warszawa</t>
  </si>
  <si>
    <t>FOROOM Sp. z o.o.</t>
  </si>
  <si>
    <t>Wykonanie prac projektowych obejmujące opracowanie kompleksowej wielobranżowej Dokumentacji Projektowej</t>
  </si>
  <si>
    <r>
      <rPr>
        <b/>
        <sz val="14"/>
        <color rgb="FFFF0000"/>
        <rFont val="Calibri"/>
        <family val="2"/>
        <charset val="238"/>
        <scheme val="minor"/>
      </rPr>
      <t>Dalszy Podwykonawca FOROOM:</t>
    </r>
    <r>
      <rPr>
        <b/>
        <sz val="14"/>
        <color theme="1"/>
        <rFont val="Calibri"/>
        <family val="2"/>
        <charset val="238"/>
        <scheme val="minor"/>
      </rPr>
      <t xml:space="preserve">                               RWK Inżynierowie S. z o.o.</t>
    </r>
  </si>
  <si>
    <t>ul. Wał Miedzeszyński 630, 03-994 Warszawa</t>
  </si>
  <si>
    <t>Prace projektowe obejmujące opracowanie kompleksowej wielobranżowej Dokumentacji Projektowej dla Zamówienia (branża konstrukcyjna i instalacji sanitarnych)</t>
  </si>
  <si>
    <t>Wynagrodzenie Dalszego Podwykonawcy zostało uwzględnione w wynagrodzeniu Foroom sp. z o.o</t>
  </si>
  <si>
    <t>Data pisma</t>
  </si>
  <si>
    <t xml:space="preserve">Nr pisma </t>
  </si>
  <si>
    <t>Temat</t>
  </si>
  <si>
    <t>Piotr Siedlecki tel. 514-999-448 geobet@onet.eu   geobetgeodezja@gmail.com</t>
  </si>
  <si>
    <t>Kompleksowa obsługa geodezyjna dot. budowy instalacji termicznego przekształcania odpadów we Włocławku, z opracowaniem dokumentacji powykonawczej oraz wykonaniem i zaklauzowaniem mapy powykonawczej we właściwym ośrodku.</t>
  </si>
  <si>
    <t>roboty budowlane</t>
  </si>
  <si>
    <t>04/2025 z 31.12.2025</t>
  </si>
  <si>
    <t>Krzysztof Wiśniewski 
Firma Handlowo-Usługowa „KRZYŚ”</t>
  </si>
  <si>
    <t>GEOBET Piotr Siedlecki</t>
  </si>
  <si>
    <t>Krzysztof Wiśniewski tel. 606-467-827 krzysztofwisniewski1974@wp.pl</t>
  </si>
  <si>
    <t>Kompleksowe wykonanie robót: przyłącze sieci wodno-kanalizacyjnych na potrzeby zaplecza budowy, zgodnie z Dokumentacją Kontraktową.</t>
  </si>
  <si>
    <t>05/2025 z 31.12.2025</t>
  </si>
  <si>
    <t>Konsorcjum firm:
1.	Przedsiębiorstwo Handlowo - Usługowe 
"EL-MAR" Marcin Wnukiewicz
2.	Przedsiębiorstwo Wielobranżowe 
"PROGRES" Andrzej Filipczak</t>
  </si>
  <si>
    <t>Kompletne i kompleksowe wykonanie instalacji zasilającej oraz oświetlenia placu budowy.</t>
  </si>
  <si>
    <t>Firma Handlowo Usługowa MAR-KOP Marcin Mierzwa</t>
  </si>
  <si>
    <t>Marcin Mierzwa tel. 506-344-838 marcinmierzwa@op.pl</t>
  </si>
  <si>
    <t>Kompleksowe wykonanie robót: roboty ziemne w zakresie robót określonych Dokumencie Kontraktowym nr 6, zgodnie z Dokumentacją Kontraktową</t>
  </si>
  <si>
    <t>07/2026 z 07.01.2026</t>
  </si>
  <si>
    <t>02-796 Warszawa,                      Ul.  Mandarynki nr 12, lok. 49</t>
  </si>
  <si>
    <t>Adam kujawka tel. 696-075-979        adam.kujawka@wp.pl</t>
  </si>
  <si>
    <t>Pomocnicze roboty ogólnobudowlane dla robót konstrukcyjno-budowlanych i specjalistycznych wykończeniowych, w tym o wysokim standardzie. Prace rozładunkowe, montaż środków ochronu zbiorowej BHP, montaż ogrodzeń tymczasowych, prace porządkowe, prace ogólnobudowlane związane z zagospodarowaniem placu budowy wedle wskazań kierownictwa budowy.</t>
  </si>
  <si>
    <t>08/2026 z 13.01.2026</t>
  </si>
  <si>
    <t>02-796 Warszawa, Ul.  Indiry Gandhi, nr 11</t>
  </si>
  <si>
    <t>09/2026 z 13.01.2026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</si>
  <si>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TME: </t>
    </r>
    <r>
      <rPr>
        <b/>
        <sz val="14"/>
        <color theme="1"/>
        <rFont val="Calibri"/>
        <family val="2"/>
        <charset val="238"/>
        <scheme val="minor"/>
      </rPr>
      <t xml:space="preserve">         REVI-TEC Feuerungsbau AG</t>
    </r>
  </si>
  <si>
    <t>z siedzibą w Menzingen, Szwajcaria, z siedzibą główną przy Sonnhalde 22, 6313 Edlibach, Szwajcaria.</t>
  </si>
  <si>
    <t>Dostawa i montaż rusztu</t>
  </si>
  <si>
    <t>19.01.2026 przez Piotr Kaleniuk</t>
  </si>
  <si>
    <t>AS RUSZTOWANIA Sp. z o.o.</t>
  </si>
  <si>
    <t>11/2026 z 19.01.2026</t>
  </si>
  <si>
    <t xml:space="preserve">Justyna Mosz tel. 533-268-059 biuro@asrusztowania.eu </t>
  </si>
  <si>
    <t>Ul. Usługowa 7, 55-020 Żórawina</t>
  </si>
  <si>
    <t>Świadczenie kompleksowej usługi w zakresie dostawy/montażu/dzierżawy systemowych rusztowań.</t>
  </si>
  <si>
    <t>usługi projektowe</t>
  </si>
  <si>
    <t>brak sprzeciwu IN w ciągu 10 dni</t>
  </si>
  <si>
    <t>Jędrzej Zdziechowski tel. 501-379-939 j.zdziechowski@budizol.com.pl                                   Sylwia tomaszek tel. 516-176-793 s.tomaszek@budizol.com.pl</t>
  </si>
  <si>
    <t>Jaranowo 22,                                                                                  87-704 Bądkowo</t>
  </si>
  <si>
    <t>87-800 Włocławek                              ul. Tadeusza Kościuszki 4 lok 5</t>
  </si>
  <si>
    <t>1.      Chełmica Cukrownia 3, 87-811 Fabianki                                                 2. ul. Wapienna 4/6, 87-800 Włocławek</t>
  </si>
  <si>
    <t>ul. Poźnianka 38,                                                 33-180 Gromnik</t>
  </si>
  <si>
    <r>
      <rPr>
        <b/>
        <sz val="14"/>
        <color theme="1"/>
        <rFont val="Calibri"/>
        <family val="2"/>
        <charset val="238"/>
        <scheme val="minor"/>
      </rPr>
      <t>EL-MAR</t>
    </r>
    <r>
      <rPr>
        <sz val="14"/>
        <color theme="1"/>
        <rFont val="Calibri"/>
        <family val="2"/>
        <charset val="238"/>
        <scheme val="minor"/>
      </rPr>
      <t xml:space="preserve">: Marcin Wnukiewicz tel 602-647-772 elmar.wnukiewicz@o2.pl                                                     </t>
    </r>
    <r>
      <rPr>
        <b/>
        <sz val="14"/>
        <color theme="1"/>
        <rFont val="Calibri"/>
        <family val="2"/>
        <charset val="238"/>
        <scheme val="minor"/>
      </rPr>
      <t>PROGRES</t>
    </r>
    <r>
      <rPr>
        <sz val="14"/>
        <color theme="1"/>
        <rFont val="Calibri"/>
        <family val="2"/>
        <charset val="238"/>
        <scheme val="minor"/>
      </rPr>
      <t>: Andrzej Filipczak tel. 601-636-675</t>
    </r>
  </si>
  <si>
    <t>NIP</t>
  </si>
  <si>
    <t>8882382001 i 8881006247</t>
  </si>
  <si>
    <t>79901/WL</t>
  </si>
  <si>
    <t>Przedsiębiorstwo Gospodarki Komunalnej SANIKO Sp. z o.o. z siedzibą we Włocławku</t>
  </si>
  <si>
    <t>Kinga Lisiecka tel 54-412-38-77 kingalisiecka@saniko.com.pl</t>
  </si>
  <si>
    <t>odbiór i zagospodarowanie odpadów</t>
  </si>
  <si>
    <t>usługa</t>
  </si>
  <si>
    <t>12/2026 z 27.01.2026</t>
  </si>
  <si>
    <t>n/d</t>
  </si>
  <si>
    <t>szacunkowo: 50 000,00 PLN w okresie do 30.06.2028</t>
  </si>
  <si>
    <t>umowa na czas nieokreśliny z 1-miesięcznym wypowiedzeniem</t>
  </si>
  <si>
    <t>13.</t>
  </si>
  <si>
    <t>P.W. MAT-BUD Sp. z o.o. Sp. K</t>
  </si>
  <si>
    <t>dostawa kruszywa</t>
  </si>
  <si>
    <t>13/2026 z 28.01.2026</t>
  </si>
  <si>
    <t>14.</t>
  </si>
  <si>
    <t>MEBLORENT Sp. zo.o.</t>
  </si>
  <si>
    <t>dostawa mebli biurowych</t>
  </si>
  <si>
    <t>16.01.2026 -(ostatni podpis: PW)</t>
  </si>
  <si>
    <t>15.</t>
  </si>
  <si>
    <t>STALER MARKET Sp. z o.o.</t>
  </si>
  <si>
    <t>wynajem pomieszczeń biurowych</t>
  </si>
  <si>
    <t>Mariusz Łankowski tel. 501-347-453 e-mail: mariusz.lankowski@staler.com.pl</t>
  </si>
  <si>
    <t>16.12.2025-28.02.2026</t>
  </si>
  <si>
    <t>ul. Józefa Marcinka 14A,                        30-443 Kraków</t>
  </si>
  <si>
    <t>najem</t>
  </si>
  <si>
    <t>Nie przekazujemy Umowy do IN</t>
  </si>
  <si>
    <t>ul. Leśna 5, Rozgarty,                          87-134 Zławieś Wielka</t>
  </si>
  <si>
    <t>Bartłomiej Grotte, tel.: 500 278 017, b.grotte@foroom.com.pl</t>
  </si>
  <si>
    <t>DALSZY PW</t>
  </si>
  <si>
    <t>1. Umowa tylko na PORR S.A                                    2. Nie przekazujemy Umowy do IN</t>
  </si>
  <si>
    <t>Grzegorz Kujawka tel. 666-084-450 gkujawka@gmail.com</t>
  </si>
  <si>
    <t>Data przesłania do IN podpisanej Umowy</t>
  </si>
  <si>
    <t>Aneks 1</t>
  </si>
  <si>
    <t>Montaż dodatkowych 100 m. wodociągu z uzbrojeniem</t>
  </si>
  <si>
    <r>
      <t xml:space="preserve">Aneks: 21 000,00            łączna wartość: </t>
    </r>
    <r>
      <rPr>
        <b/>
        <sz val="14"/>
        <color theme="1"/>
        <rFont val="Calibri"/>
        <family val="2"/>
        <charset val="238"/>
        <scheme val="minor"/>
      </rPr>
      <t>172 500,00</t>
    </r>
  </si>
  <si>
    <r>
      <t xml:space="preserve">Data przesłania projektu umowy/Aneksu do zatwierdzenia przez IN (termin akceptacji - </t>
    </r>
    <r>
      <rPr>
        <b/>
        <sz val="14"/>
        <color rgb="FF0000CC"/>
        <rFont val="Calibri"/>
        <family val="2"/>
        <charset val="238"/>
        <scheme val="minor"/>
      </rPr>
      <t>do 10 Dni, licząc od daty ich dostarczenia</t>
    </r>
    <r>
      <rPr>
        <b/>
        <sz val="14"/>
        <color theme="1"/>
        <rFont val="Calibri"/>
        <family val="2"/>
        <charset val="238"/>
        <scheme val="minor"/>
      </rPr>
      <t>, „Dzień” =  dzień kalendarzowy)</t>
    </r>
  </si>
  <si>
    <t>b.z.</t>
  </si>
  <si>
    <t>brak sprzeciwu IN w ciągu 10 dni, zatwierdzona 04.02.2026</t>
  </si>
  <si>
    <t>04.02.2026- potw. przyjęcia Umowy przez IN</t>
  </si>
  <si>
    <t>AQUAMO Sp. z o.o. Spółka Jawna</t>
  </si>
  <si>
    <t xml:space="preserve">najem </t>
  </si>
  <si>
    <t>2 dystrybutory wody</t>
  </si>
  <si>
    <t>ul. Leszczynowa 55,                                                          87-100 Toruń</t>
  </si>
  <si>
    <t>ul. Poprzeczna 16,                                                   05-083 Borzęcin Duży</t>
  </si>
  <si>
    <t>Ewa Kamińska biuro@aquamo.om.pl                                           tel. 22-733-14-56/57/58</t>
  </si>
  <si>
    <t>szacowana 8500,00 PLN (wynajem dystrybutora 133,00/sz/mies plus wym. butli z gazem co 4-6 mies 120,00)</t>
  </si>
  <si>
    <t>6.02.2026- Konsorcjum podpisywało pierwsze</t>
  </si>
  <si>
    <t xml:space="preserve">    </t>
  </si>
  <si>
    <r>
      <t xml:space="preserve">Nie przekazujemy Umowy do IN.                                                               </t>
    </r>
    <r>
      <rPr>
        <b/>
        <sz val="14"/>
        <color theme="1"/>
        <rFont val="Calibri"/>
        <family val="2"/>
        <charset val="238"/>
        <scheme val="minor"/>
      </rPr>
      <t xml:space="preserve">Przed 09.02.2027 </t>
    </r>
    <r>
      <rPr>
        <sz val="14"/>
        <color theme="1"/>
        <rFont val="Calibri"/>
        <family val="2"/>
        <charset val="238"/>
        <scheme val="minor"/>
      </rPr>
      <t>zawiadomić PW o nieprzedłużaniu Umowy na kolejny roczny okres z podaniem konkretnej daty</t>
    </r>
  </si>
  <si>
    <t>brak sprzeciwu IN w ciągu 10 dni, akceptacja 06.02</t>
  </si>
  <si>
    <t>na czas 1 roku z przedłużeniem na kolejny</t>
  </si>
  <si>
    <t>17.</t>
  </si>
  <si>
    <t>18.</t>
  </si>
  <si>
    <t>19.</t>
  </si>
  <si>
    <t>Miejskie Przedsiębiorstwo Wodociągów i Kanalizacji</t>
  </si>
  <si>
    <t>KS.4306.514.WK.2025</t>
  </si>
  <si>
    <t>woda i ścieki</t>
  </si>
  <si>
    <t xml:space="preserve">dostawa </t>
  </si>
  <si>
    <t>20.</t>
  </si>
  <si>
    <t>21.</t>
  </si>
  <si>
    <t>22.</t>
  </si>
  <si>
    <t>GEOTEST</t>
  </si>
  <si>
    <t>23.</t>
  </si>
  <si>
    <t>24.</t>
  </si>
  <si>
    <t>25.</t>
  </si>
  <si>
    <t>Ul. Stanisława Noakowskiego 6E. 87-800 Włocławek</t>
  </si>
  <si>
    <t>Wykonanie 3 otworów obserwacyjnych (piezometrów)</t>
  </si>
  <si>
    <t>19.01.2026 - mail -prośba PW o potrącanie kaucji z FV</t>
  </si>
  <si>
    <t>01/02/26</t>
  </si>
  <si>
    <t>COFFEE PARTNER Sp z o.o.</t>
  </si>
  <si>
    <t>Najem ekspresu do kawy Bartscher KV1 Komfort plus zakup kawy</t>
  </si>
  <si>
    <t>szacowana 50 000,00 PLN. Najem ekspresu 300 PLN/mies plus 8 kg kawy.</t>
  </si>
  <si>
    <t>usługa i dostawa</t>
  </si>
  <si>
    <t>30 miesięcy</t>
  </si>
  <si>
    <t>15.01.2026 i ponownie 24.02.2026</t>
  </si>
  <si>
    <t xml:space="preserve">Kompletne i kompleksowe wykonanie ścian szczelinowych i baret wraz z opracowaniem projektów i dokumentacji powykonawczej oraz zapewnieniem niezbędnych materiałów, sprzętu i personelu  </t>
  </si>
  <si>
    <t>Ochrona</t>
  </si>
  <si>
    <t>Konsrcjum Firm:                                       1.SOLID SECURITY Sp. z o. o.
2.ASISTNET Sp. z o. o.
3.AST POŁUDNIE sp. z o. o.
4.SIMPLY POLAND GROUP sp. z o.o.</t>
  </si>
  <si>
    <t>1.ul. Postępu 17, 02-676 Warszawa
2.al. Jerozolimskie 212 A, 02-486 Warszawa
3.ul. Rzymowskiego 30, 02-697 Warszawa
4.al. Jerozolimskie 212 A, 02-486 Warszawa</t>
  </si>
  <si>
    <t>Łukasz Pytkowski tel, 605-471-901 lpytkowski@solidsecurity.pl</t>
  </si>
  <si>
    <t>Tomasz Jajeśnica tel. 515-113-698 tomasz.jajesnica@stumpfranki.pl                                Adam Rosołek tel. 515-113-669 adam.rosolek.@stumpfranki.pl</t>
  </si>
  <si>
    <t>ul. Komunalna 4,                                                87-700 Włocławek</t>
  </si>
  <si>
    <t>06/2025/Kons z 12.01.2026</t>
  </si>
  <si>
    <t>Włocławek,, ul. Toruńska 16</t>
  </si>
  <si>
    <t>Rafał Wrzyszcz tel. 795-170-170                                               e-mail: r.wrzyszcz@meblorent.pl</t>
  </si>
  <si>
    <t>Łuksz Swat tel. 604-757-452; 54-234-91-17                   e-mail: lukasz.swat@geotest.com.pl</t>
  </si>
  <si>
    <t>stacja ST 15/0,4 kV</t>
  </si>
  <si>
    <t>05-552 Marysin, ul. Gruntowa 3F</t>
  </si>
  <si>
    <t>tel. 668-467-737 biuro@coffee-partner.pl</t>
  </si>
  <si>
    <t>strada COMMENDA 4/B
10072 CASELLE TORINESE TO WŁOCHY</t>
  </si>
  <si>
    <t>Worki filtracyjne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</si>
  <si>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TME: </t>
    </r>
    <r>
      <rPr>
        <b/>
        <sz val="14"/>
        <color theme="1"/>
        <rFont val="Calibri"/>
        <family val="2"/>
        <charset val="238"/>
        <scheme val="minor"/>
      </rPr>
      <t xml:space="preserve">         KAYSER FILTERTECH ITALY s.r.l.</t>
    </r>
  </si>
  <si>
    <t>14/2026 z 09.02.2026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</si>
  <si>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TME: </t>
    </r>
    <r>
      <rPr>
        <b/>
        <sz val="14"/>
        <color theme="1"/>
        <rFont val="Calibri"/>
        <family val="2"/>
        <charset val="238"/>
        <scheme val="minor"/>
      </rPr>
      <t xml:space="preserve">         MOSCA SERVIZI AMBIENTALI S.p.A.  </t>
    </r>
  </si>
  <si>
    <t>Borgo Wuhrer Edificio B 1P 23, 25123 Brescia BS, Włochy</t>
  </si>
  <si>
    <t xml:space="preserve">Moduły katalizatorów DENOX </t>
  </si>
  <si>
    <t>18/2026 z 16.02.2026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</si>
  <si>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TME: </t>
    </r>
    <r>
      <rPr>
        <b/>
        <sz val="14"/>
        <color theme="1"/>
        <rFont val="Calibri"/>
        <family val="2"/>
        <charset val="238"/>
        <scheme val="minor"/>
      </rPr>
      <t xml:space="preserve">         WORKMEC SrL.</t>
    </r>
  </si>
  <si>
    <t>Via delle Industrie 1 20874 Busnago MB, Włochy</t>
  </si>
  <si>
    <t>Kosze filtra workowego</t>
  </si>
  <si>
    <t>19/2026 z 16.02.2026</t>
  </si>
  <si>
    <t>Ul. Krotoszyńska 35, 63-400 Ostrów Wielkopolski</t>
  </si>
  <si>
    <t>Przemysław Hurny (z-ca Prezesa) 604-985-610 p.hurny@elektroserv-zap.com.pl</t>
  </si>
  <si>
    <t xml:space="preserve">Kompleksowa realizacja prac branży elektrycznej, AKPiA i teletechnicznej formule EPC wraz z uruchomieniem i rozruchem instalacji. </t>
  </si>
  <si>
    <t>20/2026 z 19.02.2026</t>
  </si>
  <si>
    <t>1. 5211008627       2. 6772124840       3.    8133673707    4. 7412125588</t>
  </si>
  <si>
    <t>-</t>
  </si>
  <si>
    <t>od dnia 19.12.2025 na czas nieoznaczony</t>
  </si>
  <si>
    <t>26.</t>
  </si>
  <si>
    <t>27.</t>
  </si>
  <si>
    <t>21/2026 z 26.02.2026</t>
  </si>
  <si>
    <t>22/2026 z 27.02.2026</t>
  </si>
  <si>
    <t>BARG Sp. z o.o.</t>
  </si>
  <si>
    <t>ul. Łąkoszyńska 127, 99-300 Kutno</t>
  </si>
  <si>
    <t>Zofia Bartczak 693-000-412                                                     e-mail: zofia.bartczak@prezero.com                       Robert  Zimniak - Dyrektor tel. 600-851-308                e-mail: robert.zimniak@prezero.com</t>
  </si>
  <si>
    <t>PREZERO Service Centrum sp. z o.o.</t>
  </si>
  <si>
    <t>Odbiór i zagospodarowanie odpadów budowlanych</t>
  </si>
  <si>
    <t>Szacowana kwota do dnia 30.06.2028:                                    290 720,00 PLN</t>
  </si>
  <si>
    <t>ORD-PL-2026-11155 / 0919 /2026</t>
  </si>
  <si>
    <t>od dnia podpisania na czas nieokreślony z 1- miesiecznym okresem wypowiedzenia</t>
  </si>
  <si>
    <t>Ul. Handlowa 15, 81-061 Gdynia</t>
  </si>
  <si>
    <t>Tomasz Masłowski tel. 691-227-652                                 e-mail: tomasz.maslowski@barg.pl</t>
  </si>
  <si>
    <t>Kompleksowa obsługa laboratoryjna budowy ITPO CE Włocławek w zakresie mieszanki betonowej i stwardniałego betonu, badań geotechnicznych, badań kruszyw i gruntów</t>
  </si>
  <si>
    <r>
      <rPr>
        <b/>
        <sz val="14"/>
        <color theme="1"/>
        <rFont val="Calibri"/>
        <family val="2"/>
        <charset val="238"/>
        <scheme val="minor"/>
      </rPr>
      <t>SPRZECIW IN</t>
    </r>
    <r>
      <rPr>
        <sz val="14"/>
        <color theme="1"/>
        <rFont val="Calibri"/>
        <family val="2"/>
        <charset val="238"/>
        <scheme val="minor"/>
      </rPr>
      <t xml:space="preserve"> 23.01.2026 umowa nie jest zgodna z Um. Główną,     </t>
    </r>
    <r>
      <rPr>
        <sz val="14"/>
        <color rgb="FF00B050"/>
        <rFont val="Calibri"/>
        <family val="2"/>
        <charset val="238"/>
        <scheme val="minor"/>
      </rPr>
      <t xml:space="preserve"> </t>
    </r>
    <r>
      <rPr>
        <b/>
        <sz val="14"/>
        <color rgb="FF00B050"/>
        <rFont val="Calibri"/>
        <family val="2"/>
        <charset val="238"/>
        <scheme val="minor"/>
      </rPr>
      <t>Zatwierdzona  27.02.2026</t>
    </r>
  </si>
  <si>
    <t>Nr 2450027418/001</t>
  </si>
  <si>
    <r>
      <t xml:space="preserve">Wynagrodzenie Dalszego Podwykonawcy zostało uwzględnione w wynagrodzeniu TM.E. S.p.A. Termomeccanica Ecologia - </t>
    </r>
    <r>
      <rPr>
        <b/>
        <sz val="14"/>
        <color theme="1"/>
        <rFont val="Calibri"/>
        <family val="2"/>
        <charset val="238"/>
        <scheme val="minor"/>
      </rPr>
      <t>4 200 000,00 EUR</t>
    </r>
  </si>
  <si>
    <r>
      <t xml:space="preserve">roboty budowlane- </t>
    </r>
    <r>
      <rPr>
        <b/>
        <sz val="14"/>
        <color rgb="FFFF0000"/>
        <rFont val="Calibri"/>
        <family val="2"/>
        <charset val="238"/>
        <scheme val="minor"/>
      </rPr>
      <t>IN uważa że to są dostawy i usługi montażowe</t>
    </r>
  </si>
  <si>
    <t>ELEKTROSERV-ZAP Sp. z o.o.</t>
  </si>
  <si>
    <t>'1450005365//05.02.2026</t>
  </si>
  <si>
    <t>'1450005364//05.02.2026</t>
  </si>
  <si>
    <t>'1450005349//28.01.2026</t>
  </si>
  <si>
    <t>FV wystawia Lider Konsorcjum</t>
  </si>
  <si>
    <t>STUMP FRANKI Sp. z o.o.</t>
  </si>
  <si>
    <t>Wyjaśnienie do uwag IN przesłano w dn. 03.03.2026 wraz z podpisaną Umową</t>
  </si>
  <si>
    <t>według Załacznika nr 3 - Harmonogram (02.05.2028)</t>
  </si>
  <si>
    <t>kontakt poprzez TME - A. Solito, A. Sammartano</t>
  </si>
  <si>
    <t>28.</t>
  </si>
  <si>
    <t xml:space="preserve">THYSSENKRUP Poland S.A. </t>
  </si>
  <si>
    <t>ul. Grudziądzka 159, 87-100 Toruń</t>
  </si>
  <si>
    <t>Michał Koślacz tel. 694-481-322 michal.koslacz@thyssenkrup-materials.com</t>
  </si>
  <si>
    <t>Dostawa stali zbrojeniowej ciętej i giętej</t>
  </si>
  <si>
    <t>23/2026 z 03.03.2026</t>
  </si>
  <si>
    <t>13.02.2026 (z uwagami) 03.03.2026 przyjete wyjasnienia</t>
  </si>
  <si>
    <t>od 01.04.2026 nowa deklaracja                       od 01.04.2026 zmiana stawek za usługi</t>
  </si>
  <si>
    <t>15/2026 z 12.02.2026</t>
  </si>
  <si>
    <t>16/2026 z 13.02.2026</t>
  </si>
  <si>
    <t>17/2026 z 13.02.2026</t>
  </si>
  <si>
    <t>24/2026 z 06.03.2026</t>
  </si>
  <si>
    <t>29.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</si>
  <si>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TME: </t>
    </r>
    <r>
      <rPr>
        <b/>
        <sz val="14"/>
        <color theme="1"/>
        <rFont val="Calibri"/>
        <family val="2"/>
        <charset val="238"/>
        <scheme val="minor"/>
      </rPr>
      <t xml:space="preserve">         FLOWTECH INDUSTRIES AG</t>
    </r>
  </si>
  <si>
    <t>Wülflingerstrasse 132 - 8408 Winterthur -Szwajcaria.</t>
  </si>
  <si>
    <t>Analiza CFD oraz projekt podstawowy + Urządzenia do układu oczyszczania spalin</t>
  </si>
  <si>
    <t>1450005378//25.02.2026</t>
  </si>
  <si>
    <r>
      <rPr>
        <b/>
        <sz val="14"/>
        <color rgb="FF00B050"/>
        <rFont val="Calibri"/>
        <family val="2"/>
        <charset val="238"/>
        <scheme val="minor"/>
      </rPr>
      <t xml:space="preserve">usługa i </t>
    </r>
    <r>
      <rPr>
        <b/>
        <sz val="14"/>
        <color rgb="FFC00000"/>
        <rFont val="Calibri"/>
        <family val="2"/>
        <charset val="238"/>
        <scheme val="minor"/>
      </rPr>
      <t>dostawa</t>
    </r>
  </si>
  <si>
    <t>03.03.2026- inwestor uznał, że to są usługi i Umowa nie wymaga zatwierdzenia</t>
  </si>
  <si>
    <t>według nas są to roboty budowlane, według IN usługi- umowa podpisana na roboty budowlane</t>
  </si>
  <si>
    <r>
      <rPr>
        <b/>
        <sz val="14"/>
        <rFont val="Calibri"/>
        <family val="2"/>
        <charset val="238"/>
        <scheme val="minor"/>
      </rPr>
      <t>SPRZECIW IN</t>
    </r>
    <r>
      <rPr>
        <sz val="14"/>
        <rFont val="Calibri"/>
        <family val="2"/>
        <charset val="238"/>
        <scheme val="minor"/>
      </rPr>
      <t xml:space="preserve"> 13.02.2026</t>
    </r>
    <r>
      <rPr>
        <sz val="14"/>
        <color rgb="FFFF0000"/>
        <rFont val="Calibri"/>
        <family val="2"/>
        <charset val="238"/>
        <scheme val="minor"/>
      </rPr>
      <t xml:space="preserve">, </t>
    </r>
    <r>
      <rPr>
        <sz val="14"/>
        <color rgb="FF00B050"/>
        <rFont val="Calibri"/>
        <family val="2"/>
        <charset val="238"/>
        <scheme val="minor"/>
      </rPr>
      <t>akceptacja 06.03.2026</t>
    </r>
  </si>
  <si>
    <r>
      <t xml:space="preserve">DALSZY PW                                             </t>
    </r>
    <r>
      <rPr>
        <b/>
        <sz val="14"/>
        <color rgb="FF0000FF"/>
        <rFont val="Calibri"/>
        <family val="2"/>
        <charset val="238"/>
        <scheme val="minor"/>
      </rPr>
      <t>GWARANCJA- 36 000 godzin od pierwszego przepływu spalin</t>
    </r>
  </si>
  <si>
    <t>30.</t>
  </si>
  <si>
    <t>BETARD Sp. z o.o.</t>
  </si>
  <si>
    <t>Mateusz Szatkowski tel. 695-930-490 e-mail: m.szatkowski@betard.pl                                          Marta Jędrysiak tel. 721-551-032 e-mail: m.jedrysiak.@betard.pl</t>
  </si>
  <si>
    <t>ul. Polna 30, 55–095 Długołęka</t>
  </si>
  <si>
    <t>Kompletne i kompleksowe opracowanie dokumentacji projektowej, wykonanie, dostawa i montaż konstrukcji obiektów B1, B3 i B4 z elementów prefabrykowanych wraz z zapewnieniem niezbędnych materiałów, sprzętu, personelu i opracowaniem dokumentacji powykonawczej</t>
  </si>
  <si>
    <t>25/2026 z 10.03.2026</t>
  </si>
  <si>
    <t>26/2006 z 11.03.2026</t>
  </si>
  <si>
    <t>Osiedle Biała Wyżna 370, 33-330 Grybów</t>
  </si>
  <si>
    <t>roboty żelbetowe</t>
  </si>
  <si>
    <t>Przemysław Lipiński -Kier. robót tel. 601-683-747 p.lipinski@afkonstrukcje.pl                                        Andrzej Filipowicz tel. 507-063-375 a.filipowicz@afkonstrukcje.pl</t>
  </si>
  <si>
    <t>AF KONSTRUKCJE                      Filipowicz Andrzej</t>
  </si>
  <si>
    <t>ZAKŁAD SOZOTECHNIKI Sp. z o.o.</t>
  </si>
  <si>
    <t>Ul. Bernardyńska 3/23                         85-029 Bydgoszcz</t>
  </si>
  <si>
    <t>sozo@ sozo.pl tel. 52-372-91-61                                    Daniel Clebowski - Prezes: d.chlebowski@sozo.pl</t>
  </si>
  <si>
    <t>Przygotowanie wniosku o wydanie pozwolenia zintegrowanego</t>
  </si>
  <si>
    <t xml:space="preserve">Usługi  </t>
  </si>
  <si>
    <t>27/2026 z 16.03.2026</t>
  </si>
  <si>
    <t>16.03.2026 - podpisana Umowa (bez projektu)</t>
  </si>
  <si>
    <t xml:space="preserve">33. </t>
  </si>
  <si>
    <t>31.</t>
  </si>
  <si>
    <t>32.</t>
  </si>
  <si>
    <t>ul. Jałowcowa 14, 63-400 Tulce</t>
  </si>
  <si>
    <t>ŻURAWIE WIELKOPOLSKA Sp. z o.o.</t>
  </si>
  <si>
    <t>prezes@zurawie-wielkopolska.pl</t>
  </si>
  <si>
    <t>Wynajem żurawia samorozstawnego i żurawia wieżowego wraz z obsługą operatorską, wymaganym transportem, montażem, demontażem i odbiorem UDT</t>
  </si>
  <si>
    <t>Usługi</t>
  </si>
  <si>
    <t>28/2026 z 17.03.2026</t>
  </si>
  <si>
    <t>orientacyjnie 10-11/2027</t>
  </si>
  <si>
    <t>34.</t>
  </si>
  <si>
    <t xml:space="preserve">Pracownia Projektowa                                      MENOS Sp. z o.o. </t>
  </si>
  <si>
    <t>ul. Ciasna 2, 80-111 Gdańsk</t>
  </si>
  <si>
    <t>Radosław Szypuliński tel. 602-229-890 e-mail: pracownia@menos.gda.pl</t>
  </si>
  <si>
    <t>29/2026 z 24.03.2026</t>
  </si>
  <si>
    <t>26.03.2026 z komentarzem: "Wykonawca powinien zrobić przyłącze zgodnie z warunkami oraz umową"</t>
  </si>
  <si>
    <t>35.</t>
  </si>
  <si>
    <t>30/2026 z 26.03.2026</t>
  </si>
  <si>
    <t>Dostawa kruszywa łamanego
o ciągłym uziarnieniu 0/31,5 mm C90/3</t>
  </si>
  <si>
    <t>Parsęcko 98B, 78-400 Szczecinek</t>
  </si>
  <si>
    <t>KSM PARSĘCKO SP. z o.o.</t>
  </si>
  <si>
    <t>26.03.2026 - podpisana Umowa (bez projektu)</t>
  </si>
  <si>
    <t>04.02.2026 potw. orzymania Umowy przez IN</t>
  </si>
  <si>
    <t>Wartość umowy /
umowy+aneksu</t>
  </si>
  <si>
    <t>Karol Beszczyński (dyrektor) tel. 518-275-754                              e-mail: beszczynskik@matbud-torun.pl                                             Beata Piasecka (dostawy) tel. 506-593-025                            e-mail: piaseckab@matbud-torun.pl</t>
  </si>
  <si>
    <t>2.04.2026 (przez PW)</t>
  </si>
  <si>
    <t>ostatni podpisywał PW</t>
  </si>
  <si>
    <t>36.</t>
  </si>
  <si>
    <t>31/2026 z 07.04.2026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</si>
  <si>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TME: </t>
    </r>
    <r>
      <rPr>
        <b/>
        <sz val="14"/>
        <color theme="1"/>
        <rFont val="Calibri"/>
        <family val="2"/>
        <charset val="238"/>
        <scheme val="minor"/>
      </rPr>
      <t xml:space="preserve">         APM Shpk</t>
    </r>
  </si>
  <si>
    <t>37.</t>
  </si>
  <si>
    <t>sprzątanie kontenerów</t>
  </si>
  <si>
    <t>Marek Celmer tel. 662-246-400 cerber.wloclawek@wp.pl</t>
  </si>
  <si>
    <t>Agencja Ochrony Osób i Mienia "CERBER", A&amp;M CELMER Spółka Jawna</t>
  </si>
  <si>
    <t>Ul. Kaliska 23A                             87-800 Włocławek</t>
  </si>
  <si>
    <t>1450005403/001</t>
  </si>
  <si>
    <t>kontakt poprzez TME - A. Solito, A. Sammartano, A. Giamblanco</t>
  </si>
  <si>
    <t>Prace projektowe GPO + GPZ</t>
  </si>
  <si>
    <t>Obszar przemysłowy Patos, Fier, Albania.</t>
  </si>
  <si>
    <t>Reaktor SCR do systemu DeNOx + Filtr workowy do reaktora suchego</t>
  </si>
  <si>
    <t>bz</t>
  </si>
  <si>
    <t>Zmniejszenie zakresu Umowy  oraz dodatkowe roboty ziemne</t>
  </si>
  <si>
    <t>data wykonania prac zleconych Aneksem 1: 30.04.2026</t>
  </si>
  <si>
    <t>38.</t>
  </si>
  <si>
    <t>39.</t>
  </si>
  <si>
    <t>32/2026 z 09.04.2026</t>
  </si>
  <si>
    <t>Fabryka Kotłów SEFAKO S.A.</t>
  </si>
  <si>
    <t>Kompleksowe wykonanie dokumentacji wykonawczej i warsztztowej, prefabrykacji części ciśnieniowej i nieciśnieniowej kotła rusztowego, pokrycie inocelem wskazanych elementów części ciśnieniowej kotła, dostawa i montaż urządzeń czyszczących powierzchnie grzewcze, armatury, kompensatorów, schładzaczy pary, testy i udział w nadzorze rozruchu kotła.</t>
  </si>
  <si>
    <t>Projekt konstrukcji wsporczych</t>
  </si>
  <si>
    <t>Karol Szczotka - czł. Zarządu - tel. 513-648-644 karol.szczotka@ods-projekt.pl</t>
  </si>
  <si>
    <t xml:space="preserve">ODS - OPTIMAL DESIGN OF STRUCTURES Sp. z o.o. </t>
  </si>
  <si>
    <t>ul. Na Piasku 12A,                      44-100 Gliwice</t>
  </si>
  <si>
    <t>33/2026 z 10.04.2026</t>
  </si>
  <si>
    <t>40.</t>
  </si>
  <si>
    <t>ZBUD Sp. z o.o.</t>
  </si>
  <si>
    <t>Marcin Ptak tel. 665-70-44-80 marcin.ptak@zbud.com.pl</t>
  </si>
  <si>
    <t>suwnice bunkra odpadów i turbozespołu</t>
  </si>
  <si>
    <t>ul. Żabieńska 6
33-200 Dąbrowa Tarnowska</t>
  </si>
  <si>
    <t>19.02.2026;         13.04.2026-przesł. Proj. rev1 (w zakr. zabezpieczeń )</t>
  </si>
  <si>
    <t>14.04.2026 z uwagami</t>
  </si>
  <si>
    <t>pismo PORR-TME/CEW/010/2026 z 07.04.2026 (list intenc.) oraz 34/2026 z 14.04.2026 (proj.um.)</t>
  </si>
  <si>
    <t>15.04.2026 z uwagami</t>
  </si>
  <si>
    <r>
      <t xml:space="preserve">DALSZY PW                                               </t>
    </r>
    <r>
      <rPr>
        <sz val="14"/>
        <color theme="1"/>
        <rFont val="Calibri"/>
        <family val="2"/>
        <charset val="238"/>
        <scheme val="minor"/>
      </rPr>
      <t xml:space="preserve"> akcept. IN z uwagami: uwagami:
- brak gwarancji bankowych oraz brak gwarancji ubezpieczeniowych - istotne ryzyko TME
- brak wpisanego przedstawiciela (w kl. 13)
- brak danych banku albańskiego dostawcy (Kl. 14 ust. 10)</t>
    </r>
  </si>
  <si>
    <t>41.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</si>
  <si>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TME: </t>
    </r>
    <r>
      <rPr>
        <b/>
        <sz val="14"/>
        <color theme="1"/>
        <rFont val="Calibri"/>
        <family val="2"/>
        <charset val="238"/>
        <scheme val="minor"/>
      </rPr>
      <t xml:space="preserve">         TARKON Sp.z o.o.</t>
    </r>
  </si>
  <si>
    <t>Płyty fundamentowe/kotwy / Konstrukcja filtra workowego / Platformy filtra workowego / Konstrukcja instalacji Denox / Konstrukcja instalacji FGC / Mała konstrukcja dostępowa do instalacji Denox</t>
  </si>
  <si>
    <t>35/2026 z 17.04.2026</t>
  </si>
  <si>
    <t>30. A</t>
  </si>
  <si>
    <r>
      <rPr>
        <b/>
        <sz val="14"/>
        <color rgb="FFFF0000"/>
        <rFont val="Calibri"/>
        <family val="2"/>
        <charset val="238"/>
        <scheme val="minor"/>
      </rPr>
      <t xml:space="preserve">Dalszy Podwykonawca BETARD: </t>
    </r>
    <r>
      <rPr>
        <b/>
        <sz val="14"/>
        <color theme="1"/>
        <rFont val="Calibri"/>
        <family val="2"/>
        <charset val="238"/>
        <scheme val="minor"/>
      </rPr>
      <t xml:space="preserve">         PROJEKTANT MGR INZ ROBERT SZYMOR</t>
    </r>
  </si>
  <si>
    <t>kontakt przez BETARD: Marta Jędrysiak m.jedrysiak@betard.pl tel. 721-551-032</t>
  </si>
  <si>
    <t>36/2026 z 20.04.2026</t>
  </si>
  <si>
    <t>90-270 Łódź,                                      ul. Piotrkowska, nr 157A</t>
  </si>
  <si>
    <t>Kompletne i kompleksowe opracowanie dokumentacji projektowej konstrukcji obiektów B1, B3 i B4 z elementów prefabrykowanych dla Inwestycji „Instalacja Termicznego Przekształcania Odpadów Centrum Energii Włocławek we Włocławku”</t>
  </si>
  <si>
    <t>ZLECENIE</t>
  </si>
  <si>
    <t>42.</t>
  </si>
  <si>
    <t>HOLCIM Polska S.A.</t>
  </si>
  <si>
    <t>ul. Warszawska 110
28-366 Małogoszcz PL</t>
  </si>
  <si>
    <t>Marcin Orzechowski tel. 502-786-643</t>
  </si>
  <si>
    <t>Dostawa betonu towarowego w postaci mieszanki
betonowej</t>
  </si>
  <si>
    <t>43.</t>
  </si>
  <si>
    <t>AVANTEA Steel Solutions A/S</t>
  </si>
  <si>
    <t>Falkevej 2 – 6715 Esbjerg Denmark</t>
  </si>
  <si>
    <t>Kompletna i kompleksowa prefabrykacja, dostawa i
montaż komina wraz z opracowaniem dokumentacji
projektowej oraz zapewnieniem niezbędnego personelu,
sprzętu i materiałów</t>
  </si>
  <si>
    <t>37/2026 z 21.04.2026</t>
  </si>
  <si>
    <t>38/2026 z 21.04.2026</t>
  </si>
  <si>
    <t>23.02.2026 - akceptacja z uwagami 21.04.2026 - akceptacja proj. Umowy-rev.1</t>
  </si>
  <si>
    <t>44.</t>
  </si>
  <si>
    <t>HAMER Sp. z o.o.</t>
  </si>
  <si>
    <t>Łukasz Doba tel. 533-660-767 lukasz.doba@hamer.pl</t>
  </si>
  <si>
    <t>wykonanie tymczasowych odwodnień wykopów</t>
  </si>
  <si>
    <t>usługi</t>
  </si>
  <si>
    <t>39/2026 z 23.04.2026</t>
  </si>
  <si>
    <t>62-030 Luboń,                             ul. Armii Poznań 49</t>
  </si>
  <si>
    <t>Aneks 2</t>
  </si>
  <si>
    <t>rob. dod: most kablowy, szafka ośw.</t>
  </si>
  <si>
    <t>1450005415/001</t>
  </si>
  <si>
    <r>
      <t xml:space="preserve">DALSZY PW                                                </t>
    </r>
    <r>
      <rPr>
        <b/>
        <sz val="14"/>
        <color rgb="FFFF0000"/>
        <rFont val="Calibri"/>
        <family val="2"/>
        <charset val="238"/>
        <scheme val="minor"/>
      </rPr>
      <t>27.04.2026 przesłane uwagi IN do BETARD z prośbą o wyjaśnienie</t>
    </r>
  </si>
  <si>
    <t>ul. Mechaniczna 5                               39-400 Tarnobrzeg</t>
  </si>
  <si>
    <t xml:space="preserve"> dostawa konstrukcji nośnej rusztu- słupy, belki, kotwy</t>
  </si>
  <si>
    <t>45.</t>
  </si>
  <si>
    <t>TRIVIENI Turbine Ltd</t>
  </si>
  <si>
    <t>kompleksowa dostawa turbogeneratora</t>
  </si>
  <si>
    <t>40/2026 z 27.04.2026</t>
  </si>
  <si>
    <t>Piotr Kapuściński tel. 880-248-967                               pk@avantea-global.com                                                           Ignasi Salvator is@avantea-global.com</t>
  </si>
  <si>
    <t xml:space="preserve">46. </t>
  </si>
  <si>
    <t>1450005425/ /23.04.2026</t>
  </si>
  <si>
    <t>pompa skraplająca spaliny</t>
  </si>
  <si>
    <t>41/2026 z 28.04.2026</t>
  </si>
  <si>
    <t>Via Uberti 6 - 20129 MILANO</t>
  </si>
  <si>
    <t>A-44, Hosiery Complex, Phase II Extension, Noida – 201 305
12-A, Peenya Industrial Area, Phase-1, Bengaluru (Bangalore), Karnataka, 560058, Indie</t>
  </si>
  <si>
    <r>
      <rPr>
        <b/>
        <sz val="14"/>
        <color rgb="FFFF0000"/>
        <rFont val="Calibri"/>
        <family val="2"/>
        <charset val="238"/>
        <scheme val="minor"/>
      </rPr>
      <t>Dalszy Podwykonawca TME:</t>
    </r>
    <r>
      <rPr>
        <b/>
        <sz val="14"/>
        <color theme="1"/>
        <rFont val="Calibri"/>
        <family val="2"/>
        <charset val="238"/>
        <scheme val="minor"/>
      </rPr>
      <t xml:space="preserve">   POMPE ING. CALELLA SrL</t>
    </r>
  </si>
  <si>
    <t>Shivakumar S - General Manager                                       Mb: +91 9980158238
Tel: 080-22164000, Extn: 4109
Email: skumars@triveniturbines.com
www.triveniturbines.com</t>
  </si>
  <si>
    <t>47.</t>
  </si>
  <si>
    <t>1450005428/  /24.04.2026</t>
  </si>
  <si>
    <r>
      <rPr>
        <b/>
        <sz val="14"/>
        <color rgb="FFFF0000"/>
        <rFont val="Calibri"/>
        <family val="2"/>
        <charset val="238"/>
        <scheme val="minor"/>
      </rPr>
      <t>Dalszy Podwykonawca TME:</t>
    </r>
    <r>
      <rPr>
        <b/>
        <sz val="14"/>
        <color theme="1"/>
        <rFont val="Calibri"/>
        <family val="2"/>
        <charset val="238"/>
        <scheme val="minor"/>
      </rPr>
      <t xml:space="preserve">   KELVION S.R.L.</t>
    </r>
  </si>
  <si>
    <t>Via Lodovico Borsari 35/A 43126 PARMA PR
WŁOCHY</t>
  </si>
  <si>
    <t>Płytowy wymiennik ciepła</t>
  </si>
  <si>
    <t>42/2026 z 29.04.2026</t>
  </si>
  <si>
    <r>
      <t xml:space="preserve">DALSZY PW                                                     </t>
    </r>
    <r>
      <rPr>
        <sz val="14"/>
        <color theme="1"/>
        <rFont val="Calibri"/>
        <family val="2"/>
        <charset val="238"/>
        <scheme val="minor"/>
      </rPr>
      <t>gwarancja 36 mies. od daty dostawy</t>
    </r>
  </si>
  <si>
    <t>dostawa mat. Izolacyjnych</t>
  </si>
  <si>
    <t>Edyta Stachurska tel. 504-238-675 Edyta.stachurska@sefako.pl                                    Hubert Smorąg tel. 509-955-814 Hubert.smorag@sefako.pl</t>
  </si>
  <si>
    <t>ul. Przemysłowa 9,                                 28-340 Sędziszów</t>
  </si>
  <si>
    <t>Podwykonawca kluczowy.                             List intencyjny podpisany 09.04.2026       Akceptacja Podw. (bez Um.) 08.04.2026</t>
  </si>
  <si>
    <r>
      <t xml:space="preserve">sprzeciw 05.05.2026, </t>
    </r>
    <r>
      <rPr>
        <sz val="14"/>
        <rFont val="Calibri"/>
        <family val="2"/>
        <charset val="238"/>
        <scheme val="minor"/>
      </rPr>
      <t>TME wysł. wyj. Plus popr. Um. 04.05.2026</t>
    </r>
    <r>
      <rPr>
        <sz val="14"/>
        <color rgb="FFFF0000"/>
        <rFont val="Calibri"/>
        <family val="2"/>
        <charset val="238"/>
        <scheme val="minor"/>
      </rPr>
      <t xml:space="preserve"> </t>
    </r>
    <r>
      <rPr>
        <sz val="14"/>
        <color rgb="FF00B050"/>
        <rFont val="Calibri"/>
        <family val="2"/>
        <charset val="238"/>
        <scheme val="minor"/>
      </rPr>
      <t>akceptacja 05.05.2026</t>
    </r>
  </si>
  <si>
    <r>
      <t xml:space="preserve">27.04.2026 akcept. Dalszego PW </t>
    </r>
    <r>
      <rPr>
        <sz val="14"/>
        <color rgb="FFFF0000"/>
        <rFont val="Calibri"/>
        <family val="2"/>
        <charset val="238"/>
        <scheme val="minor"/>
      </rPr>
      <t>z uwagami i prośbą o wyjaśnienia</t>
    </r>
    <r>
      <rPr>
        <sz val="14"/>
        <color theme="1"/>
        <rFont val="Calibri"/>
        <family val="2"/>
        <charset val="238"/>
        <scheme val="minor"/>
      </rPr>
      <t xml:space="preserve"> 06.05.2026 przesł.popr.projekt</t>
    </r>
  </si>
  <si>
    <t>Umowa podpisana przez PW zgodnie z reprezentacją w rejestrze handlowym Spółki.</t>
  </si>
  <si>
    <t>48.</t>
  </si>
  <si>
    <t>P.W. MARKOPOL Sp.z o.o.</t>
  </si>
  <si>
    <t>Piotr Siedlecki tel. 600-96-85-84 markopolwloclawek@pro.onet.pl psiedlecki@poczta.onet.pl</t>
  </si>
  <si>
    <t>ul. Papieżka 24,                                         87-800 Włocławek</t>
  </si>
  <si>
    <t>Odcięcie i zaślepienie istniejącej instalacji gazociągowej oraz przecięcie istniejącego kabla teletechnicznego</t>
  </si>
  <si>
    <t>43/2026 z 07.05.2026</t>
  </si>
  <si>
    <r>
      <t xml:space="preserve">sprzeciw 05.05.2026  </t>
    </r>
    <r>
      <rPr>
        <sz val="14"/>
        <color rgb="FF00B050"/>
        <rFont val="Calibri"/>
        <family val="2"/>
        <charset val="238"/>
        <scheme val="minor"/>
      </rPr>
      <t>akceptacja 08.05.2026</t>
    </r>
  </si>
  <si>
    <t>akceptacja 08.05.2026</t>
  </si>
  <si>
    <t>49.</t>
  </si>
  <si>
    <t>50.</t>
  </si>
  <si>
    <t>TWS Sp. z o.o.</t>
  </si>
  <si>
    <t>Ul. Marii Skłodowskiej-Curie 89A, 87-100 Toruń</t>
  </si>
  <si>
    <t>Michał Kisicki tel. 534-574-242                           m.kisicki@twsystems.pl                                                 Katarzyna Kisicka tel. 535-000-716                        biuro@twsystems.pl</t>
  </si>
  <si>
    <t>Dostawa materiałów do izolacji przeciwwodnych</t>
  </si>
  <si>
    <t>NOWOSTAL Sp. z o.o.</t>
  </si>
  <si>
    <t>97-220 Kanice 2A</t>
  </si>
  <si>
    <t>Paweł Wiśnik tel. 519-803-825                          p.wisnik@nowostal.pl</t>
  </si>
  <si>
    <t>Kompleksowe wykonanie konstrukcji stalowych: zakup, prefabrykacja, zabezpieczenie antykorozyjne, dostawa i montaż na budowie</t>
  </si>
  <si>
    <t>44/2026 z 11.05.2026</t>
  </si>
  <si>
    <t>3.03.2026                           oraz v2 08.05.2026</t>
  </si>
  <si>
    <t>umowa  podpisana na wzorze PN</t>
  </si>
  <si>
    <t>45/2026 z 12.05.2026     wysl. 13.05.2026</t>
  </si>
  <si>
    <t>51.</t>
  </si>
  <si>
    <t>URZĄD DOZORU TECHNICZNEGO UDT</t>
  </si>
  <si>
    <t>Izabela Małecka tel. 694-454-042 izabela.malecka@udt.gov.pl                                       Marek Rączka tel. 694-454-276 marek.raczka@udt.gov.pl</t>
  </si>
  <si>
    <t>Wykonanie analizy HAZOP, analizy SIL oraz wykonanie klasyfikacji ATEX wraz z wykonaniem dokumentacji zabezpieczenia przed wybuchem</t>
  </si>
  <si>
    <t>46/2026 z 13.05.2026</t>
  </si>
  <si>
    <t>według par. 2 Umowy</t>
  </si>
  <si>
    <t>ul. Szczęśliwicka nr 34,                   02-353 Warszawa</t>
  </si>
  <si>
    <t>35 tydzień 2026</t>
  </si>
  <si>
    <t xml:space="preserve"> 23/02/2026</t>
  </si>
  <si>
    <t xml:space="preserve">52. </t>
  </si>
  <si>
    <t xml:space="preserve">LOIBL Förderanlagen GmbH </t>
  </si>
  <si>
    <t>Arberstrasse 40, 94315 Straubing, Germany</t>
  </si>
  <si>
    <t>Lukas Regner tel. +49 151-42-494-783 lukas.regner@loibl-group.com</t>
  </si>
  <si>
    <t>Kompleksowa prefabrykacja, dostawa, uruchomienie i oddanie do eksploatacji systemu odprowadzania popiołów dennych i żużlu</t>
  </si>
  <si>
    <t>47/2026 z 14.05.2026</t>
  </si>
  <si>
    <t>PW jest zarekjestrowanym płatnikiem VAT w Polsce</t>
  </si>
  <si>
    <t xml:space="preserve">53. </t>
  </si>
  <si>
    <t>Dalszy Podwykonawca TME:             SKY STEEL TECHNOLOGY            Prosta Spółka Akcyjna</t>
  </si>
  <si>
    <t>Michalusa 1, 38-300 Gorlice</t>
  </si>
  <si>
    <t>Montaż systemu oczyszczania spalin</t>
  </si>
  <si>
    <t>49/2026 z 20.05.2026</t>
  </si>
  <si>
    <t>według załacznika 3 do Umowy</t>
  </si>
  <si>
    <t xml:space="preserve">DALSZY PW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</si>
</sst>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  <numFmt numFmtId="166" formatCode="_-[$€-2]\ * #,##0.00_-;\-[$€-2]\ * #,##0.00_-;_-[$€-2]\ * &quot;-&quot;??_-;_-@_-"/>
    <numFmt numFmtId="167" formatCode="#,##0.00\ [$EUR];\-#,##0.00\ [$EUR]"/>
  </numFmts>
  <fonts count="24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zcionka tekstu podstawowego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4"/>
      <color rgb="FFFF0000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b/>
      <sz val="14"/>
      <color rgb="FF0000FF"/>
      <name val="Calibri"/>
      <family val="2"/>
      <charset val="238"/>
      <scheme val="minor"/>
    </font>
    <font>
      <b/>
      <sz val="14"/>
      <color rgb="FF0000CC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b/>
      <sz val="14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rgb="FF00B050"/>
      <name val="Calibri"/>
      <family val="2"/>
      <charset val="238"/>
      <scheme val="minor"/>
    </font>
    <font>
      <b/>
      <sz val="14"/>
      <color rgb="FFC0000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4"/>
      <color rgb="FF00B050"/>
      <name val="Calibri"/>
      <family val="2"/>
      <charset val="238"/>
      <scheme val="minor"/>
    </font>
    <font>
      <sz val="14"/>
      <color theme="1"/>
      <name val="Trebuchet MS"/>
      <family val="2"/>
      <charset val="238"/>
    </font>
    <font>
      <sz val="10"/>
      <color theme="1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sz val="12"/>
      <color theme="1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E7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7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2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left" vertical="center" wrapText="1"/>
    </xf>
    <xf numFmtId="165" fontId="7" fillId="3" borderId="2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4" fontId="7" fillId="3" borderId="2" xfId="0" quotePrefix="1" applyNumberFormat="1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left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14" fontId="7" fillId="0" borderId="2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3" borderId="2" xfId="0" quotePrefix="1" applyFont="1" applyFill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7" fillId="3" borderId="2" xfId="0" quotePrefix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4" fontId="7" fillId="4" borderId="2" xfId="0" quotePrefix="1" applyNumberFormat="1" applyFont="1" applyFill="1" applyBorder="1" applyAlignment="1">
      <alignment horizontal="center" vertical="center" wrapText="1"/>
    </xf>
    <xf numFmtId="14" fontId="7" fillId="2" borderId="2" xfId="0" quotePrefix="1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2" fontId="21" fillId="3" borderId="2" xfId="5" applyNumberForma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4" fontId="7" fillId="7" borderId="2" xfId="0" quotePrefix="1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4" fontId="22" fillId="3" borderId="2" xfId="0" quotePrefix="1" applyNumberFormat="1" applyFont="1" applyFill="1" applyBorder="1" applyAlignment="1">
      <alignment horizontal="center" vertical="center" wrapText="1"/>
    </xf>
    <xf numFmtId="14" fontId="22" fillId="3" borderId="3" xfId="0" quotePrefix="1" applyNumberFormat="1" applyFont="1" applyFill="1" applyBorder="1" applyAlignment="1">
      <alignment horizontal="center" vertical="center" wrapText="1"/>
    </xf>
  </cellXfs>
  <cellStyles count="6">
    <cellStyle name="Dziesiętny 2" xfId="3" xr:uid="{C24300AB-349A-4049-98A2-FBB238042EF2}"/>
    <cellStyle name="Hyperlink" xfId="5" builtinId="8"/>
    <cellStyle name="Normal" xfId="0" builtinId="0"/>
    <cellStyle name="Normalny 2" xfId="1" xr:uid="{7F4FC3BF-2000-443E-B2AA-01E4A9E53878}"/>
    <cellStyle name="Normalny 2 2" xfId="2" xr:uid="{F50E3D01-E558-48CC-8C00-7E5E015F1D37}"/>
    <cellStyle name="Walutowy 2" xfId="4" xr:uid="{963E0A14-C1C7-4865-BE58-59CC6A850D75}"/>
  </cellStyles>
  <dxfs count="4"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0000FF"/>
      <color rgb="FFC1FFDD"/>
      <color rgb="FFFFDE75"/>
      <color rgb="FFF6D8CA"/>
      <color rgb="FFFFFF99"/>
      <color rgb="FFFF7575"/>
      <color rgb="FFFFCCFF"/>
      <color rgb="FF99CC00"/>
      <color rgb="FFF68D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ezes@zurawie-wielkopolska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C1C8-4B31-4C31-B628-39A6EC5F09B1}">
  <sheetPr>
    <tabColor theme="4"/>
    <pageSetUpPr fitToPage="1"/>
  </sheetPr>
  <dimension ref="A1:AI78"/>
  <sheetViews>
    <sheetView tabSelected="1" view="pageBreakPreview" zoomScale="55" zoomScaleNormal="55" zoomScaleSheetLayoutView="55" workbookViewId="0">
      <pane xSplit="4" ySplit="3" topLeftCell="E58" activePane="bottomRight" state="frozen"/>
      <selection pane="topRight" activeCell="E1" sqref="E1"/>
      <selection pane="bottomLeft" activeCell="A4" sqref="A4"/>
      <selection pane="bottomRight" activeCell="AF9" sqref="AF9"/>
    </sheetView>
  </sheetViews>
  <sheetFormatPr defaultColWidth="8.625" defaultRowHeight="18"/>
  <cols>
    <col min="1" max="1" width="8.8125" style="18" customWidth="1"/>
    <col min="2" max="3" width="16.625" style="18" customWidth="1"/>
    <col min="4" max="4" width="33.625" style="18" customWidth="1"/>
    <col min="5" max="5" width="34.375" style="20" customWidth="1"/>
    <col min="6" max="6" width="50.625" style="21" customWidth="1"/>
    <col min="7" max="7" width="40.8125" style="22" customWidth="1"/>
    <col min="8" max="8" width="27.625" style="22" customWidth="1"/>
    <col min="9" max="9" width="16" style="18" customWidth="1"/>
    <col min="10" max="10" width="18.625" style="18" customWidth="1"/>
    <col min="11" max="11" width="28" style="18" customWidth="1"/>
    <col min="12" max="12" width="22.125" style="18" customWidth="1"/>
    <col min="13" max="13" width="20.5" style="18" customWidth="1"/>
    <col min="14" max="14" width="19" style="18" customWidth="1"/>
    <col min="15" max="15" width="31.125" style="61" customWidth="1"/>
    <col min="16" max="16" width="32.5" style="61" customWidth="1"/>
    <col min="17" max="17" width="13.3125" style="18" customWidth="1"/>
    <col min="18" max="18" width="17.125" style="22" customWidth="1"/>
    <col min="19" max="19" width="42.625" style="18" customWidth="1"/>
    <col min="20" max="20" width="19" style="18" customWidth="1"/>
    <col min="21" max="21" width="19.8125" style="18" customWidth="1"/>
    <col min="22" max="34" width="8.625" style="18"/>
    <col min="35" max="35" width="21.375" style="18" customWidth="1"/>
    <col min="36" max="16384" width="8.625" style="18"/>
  </cols>
  <sheetData>
    <row r="1" spans="1:35" ht="47.25" hidden="1" customHeight="1">
      <c r="B1" s="103">
        <f ca="1">TODAY()</f>
        <v>46167</v>
      </c>
      <c r="G1" s="30"/>
      <c r="H1" s="29"/>
      <c r="K1" s="30"/>
      <c r="L1" s="18" t="s">
        <v>139</v>
      </c>
    </row>
    <row r="2" spans="1:35" ht="136.5" customHeight="1">
      <c r="A2" s="31" t="str">
        <f>_xlfn.TRANSLATE(A3,"pl","en")</f>
        <v>Lp.</v>
      </c>
      <c r="B2" s="9" t="str">
        <f t="shared" ref="B2:T2" si="0">_xlfn.TRANSLATE(B3,"pl","en")</f>
        <v>Contract No/
Annex/
Orders</v>
      </c>
      <c r="C2" s="10" t="str">
        <f t="shared" si="0"/>
        <v>Contract/annex/order number assigned by the Subcontractor</v>
      </c>
      <c r="D2" s="9" t="str">
        <f t="shared" si="0"/>
        <v>Company Name</v>
      </c>
      <c r="E2" s="9" t="str">
        <f t="shared" si="0"/>
        <v>Company address</v>
      </c>
      <c r="F2" s="11" t="str">
        <f t="shared" si="0"/>
        <v>Contact the company</v>
      </c>
      <c r="G2" s="9" t="str">
        <f t="shared" si="0"/>
        <v>Scope of the agreement</v>
      </c>
      <c r="H2" s="9" t="str">
        <f t="shared" si="0"/>
        <v>Contract Value /
agreements+annexes</v>
      </c>
      <c r="I2" s="9" t="str">
        <f t="shared" si="0"/>
        <v>Contract Type: Construction Works/Supplies/Services</v>
      </c>
      <c r="J2" s="9" t="str">
        <f t="shared" si="0"/>
        <v>Number and date of subcontractor notification to IN</v>
      </c>
      <c r="K2" s="9" t="str">
        <f t="shared" si="0"/>
        <v>Date of submission of the draft agreement/Annex for approval by IN (deadline for acceptance - up to 10 Days, counting from the date of their delivery, "Day" = calendar day)</v>
      </c>
      <c r="L2" s="9" t="str">
        <f t="shared" si="0"/>
        <v>Date of acceptance of the draft agreement/contract by IN</v>
      </c>
      <c r="M2" s="9" t="str">
        <f t="shared" si="0"/>
        <v>Date of conclusion of the agreement/annex to the agreement</v>
      </c>
      <c r="N2" s="9" t="str">
        <f t="shared" si="0"/>
        <v>Date of mutual signing of the agreement (last signature)</v>
      </c>
      <c r="O2" s="9" t="str">
        <f t="shared" si="0"/>
        <v>Term of the contract</v>
      </c>
      <c r="P2" s="9" t="str">
        <f t="shared" si="0"/>
        <v>Date of sending the signed contract back to the subcontractor/supplier</v>
      </c>
      <c r="Q2" s="9" t="str">
        <f t="shared" si="0"/>
        <v>Date of submission to the IN of the signed Agreement</v>
      </c>
      <c r="R2" s="9" t="str">
        <f t="shared" si="0"/>
        <v>NIP</v>
      </c>
      <c r="S2" s="9" t="str">
        <f t="shared" si="0"/>
        <v>Remarks</v>
      </c>
      <c r="T2" s="9" t="str">
        <f t="shared" si="0"/>
        <v/>
      </c>
    </row>
    <row r="3" spans="1:35" ht="145.35" hidden="1" customHeight="1">
      <c r="A3" s="31" t="s">
        <v>0</v>
      </c>
      <c r="B3" s="9" t="s">
        <v>11</v>
      </c>
      <c r="C3" s="10" t="s">
        <v>10</v>
      </c>
      <c r="D3" s="9" t="s">
        <v>5</v>
      </c>
      <c r="E3" s="9" t="s">
        <v>6</v>
      </c>
      <c r="F3" s="11" t="s">
        <v>8</v>
      </c>
      <c r="G3" s="9" t="s">
        <v>3</v>
      </c>
      <c r="H3" s="9" t="s">
        <v>291</v>
      </c>
      <c r="I3" s="9" t="s">
        <v>30</v>
      </c>
      <c r="J3" s="9" t="s">
        <v>31</v>
      </c>
      <c r="K3" s="9" t="s">
        <v>127</v>
      </c>
      <c r="L3" s="9" t="s">
        <v>33</v>
      </c>
      <c r="M3" s="9" t="s">
        <v>9</v>
      </c>
      <c r="N3" s="9" t="s">
        <v>7</v>
      </c>
      <c r="O3" s="9" t="s">
        <v>4</v>
      </c>
      <c r="P3" s="9" t="s">
        <v>12</v>
      </c>
      <c r="Q3" s="9" t="s">
        <v>123</v>
      </c>
      <c r="R3" s="9" t="s">
        <v>91</v>
      </c>
      <c r="S3" s="9" t="s">
        <v>40</v>
      </c>
      <c r="T3" s="9"/>
    </row>
    <row r="4" spans="1:35" ht="106.25" customHeight="1">
      <c r="A4" s="15" t="s">
        <v>17</v>
      </c>
      <c r="B4" s="33">
        <v>4502902128</v>
      </c>
      <c r="C4" s="33"/>
      <c r="D4" s="9" t="s">
        <v>26</v>
      </c>
      <c r="E4" s="13" t="s">
        <v>27</v>
      </c>
      <c r="F4" s="19" t="s">
        <v>85</v>
      </c>
      <c r="G4" s="12" t="s">
        <v>28</v>
      </c>
      <c r="H4" s="23">
        <v>469000</v>
      </c>
      <c r="I4" s="54" t="s">
        <v>29</v>
      </c>
      <c r="J4" s="12" t="s">
        <v>32</v>
      </c>
      <c r="K4" s="16">
        <v>46001</v>
      </c>
      <c r="L4" s="17" t="s">
        <v>84</v>
      </c>
      <c r="M4" s="16">
        <v>46041</v>
      </c>
      <c r="N4" s="16">
        <v>46041</v>
      </c>
      <c r="O4" s="43">
        <v>46053</v>
      </c>
      <c r="P4" s="43">
        <v>46042</v>
      </c>
      <c r="Q4" s="16">
        <v>46042</v>
      </c>
      <c r="R4" s="12">
        <v>8882905485</v>
      </c>
      <c r="S4" s="15"/>
      <c r="T4" s="16"/>
      <c r="AI4" s="102">
        <f>IF(ISNUMBER($K4),WORKDAY($K4,11),"")</f>
        <v>46016</v>
      </c>
    </row>
    <row r="5" spans="1:35" ht="94.25" customHeight="1">
      <c r="A5" s="41" t="s">
        <v>18</v>
      </c>
      <c r="B5" s="44">
        <v>4502938068</v>
      </c>
      <c r="C5" s="44"/>
      <c r="D5" s="32" t="s">
        <v>44</v>
      </c>
      <c r="E5" s="45" t="s">
        <v>43</v>
      </c>
      <c r="F5" s="26" t="s">
        <v>119</v>
      </c>
      <c r="G5" s="40" t="s">
        <v>45</v>
      </c>
      <c r="H5" s="46">
        <v>12100000</v>
      </c>
      <c r="I5" s="53" t="s">
        <v>83</v>
      </c>
      <c r="J5" s="40" t="s">
        <v>42</v>
      </c>
      <c r="K5" s="42">
        <v>46003</v>
      </c>
      <c r="L5" s="42">
        <v>45672</v>
      </c>
      <c r="M5" s="42">
        <v>46041</v>
      </c>
      <c r="N5" s="42">
        <v>46041</v>
      </c>
      <c r="O5" s="62"/>
      <c r="P5" s="65" t="s">
        <v>77</v>
      </c>
      <c r="Q5" s="42">
        <v>46041</v>
      </c>
      <c r="R5" s="40">
        <v>5213626766</v>
      </c>
      <c r="S5" s="41"/>
      <c r="T5" s="42"/>
      <c r="AI5" s="102">
        <f t="shared" ref="AI5:AI66" si="1">IF(ISNUMBER($K5),WORKDAY($K5,11),"")</f>
        <v>46020</v>
      </c>
    </row>
    <row r="6" spans="1:35" ht="115.8" customHeight="1">
      <c r="A6" s="15" t="s">
        <v>19</v>
      </c>
      <c r="B6" s="33" t="s">
        <v>99</v>
      </c>
      <c r="C6" s="33"/>
      <c r="D6" s="9" t="s">
        <v>46</v>
      </c>
      <c r="E6" s="14" t="s">
        <v>47</v>
      </c>
      <c r="F6" s="50"/>
      <c r="G6" s="12" t="s">
        <v>48</v>
      </c>
      <c r="H6" s="25" t="s">
        <v>49</v>
      </c>
      <c r="I6" s="80" t="s">
        <v>83</v>
      </c>
      <c r="J6" s="12" t="s">
        <v>39</v>
      </c>
      <c r="K6" s="16">
        <v>46007</v>
      </c>
      <c r="L6" s="16"/>
      <c r="M6" s="16"/>
      <c r="N6" s="16"/>
      <c r="O6" s="43"/>
      <c r="P6" s="47"/>
      <c r="Q6" s="16"/>
      <c r="R6" s="12"/>
      <c r="S6" s="64" t="s">
        <v>120</v>
      </c>
      <c r="T6" s="16"/>
      <c r="AI6" s="102">
        <f t="shared" si="1"/>
        <v>46022</v>
      </c>
    </row>
    <row r="7" spans="1:35" ht="139.80000000000001" customHeight="1">
      <c r="A7" s="41" t="s">
        <v>20</v>
      </c>
      <c r="B7" s="44">
        <v>4502939075</v>
      </c>
      <c r="C7" s="44"/>
      <c r="D7" s="11" t="s">
        <v>58</v>
      </c>
      <c r="E7" s="12" t="s">
        <v>87</v>
      </c>
      <c r="F7" s="26" t="s">
        <v>53</v>
      </c>
      <c r="G7" s="40" t="s">
        <v>54</v>
      </c>
      <c r="H7" s="46">
        <v>505550</v>
      </c>
      <c r="I7" s="49" t="s">
        <v>55</v>
      </c>
      <c r="J7" s="40" t="s">
        <v>56</v>
      </c>
      <c r="K7" s="42">
        <v>46022</v>
      </c>
      <c r="L7" s="42">
        <v>46034</v>
      </c>
      <c r="M7" s="42">
        <v>46041</v>
      </c>
      <c r="N7" s="42">
        <v>46041</v>
      </c>
      <c r="O7" s="62">
        <v>46934</v>
      </c>
      <c r="P7" s="62">
        <v>46041</v>
      </c>
      <c r="Q7" s="42">
        <v>46041</v>
      </c>
      <c r="R7" s="40">
        <v>8881730664</v>
      </c>
      <c r="S7" s="41"/>
      <c r="T7" s="42"/>
      <c r="AI7" s="102">
        <f t="shared" si="1"/>
        <v>46037</v>
      </c>
    </row>
    <row r="8" spans="1:35" ht="114.6" customHeight="1">
      <c r="A8" s="120" t="s">
        <v>21</v>
      </c>
      <c r="B8" s="44">
        <v>4502939080</v>
      </c>
      <c r="C8" s="44"/>
      <c r="D8" s="32" t="s">
        <v>57</v>
      </c>
      <c r="E8" s="104" t="s">
        <v>86</v>
      </c>
      <c r="F8" s="109" t="s">
        <v>59</v>
      </c>
      <c r="G8" s="40" t="s">
        <v>60</v>
      </c>
      <c r="H8" s="46">
        <v>151500</v>
      </c>
      <c r="I8" s="117" t="s">
        <v>55</v>
      </c>
      <c r="J8" s="104" t="s">
        <v>61</v>
      </c>
      <c r="K8" s="42">
        <v>46022</v>
      </c>
      <c r="L8" s="42">
        <v>46034</v>
      </c>
      <c r="M8" s="42">
        <v>46042</v>
      </c>
      <c r="N8" s="42">
        <v>46042</v>
      </c>
      <c r="O8" s="62">
        <v>46069</v>
      </c>
      <c r="P8" s="62">
        <v>46043</v>
      </c>
      <c r="Q8" s="42">
        <v>46043</v>
      </c>
      <c r="R8" s="104">
        <v>8911482568</v>
      </c>
      <c r="S8" s="41"/>
      <c r="T8" s="42"/>
      <c r="AI8" s="102">
        <f t="shared" si="1"/>
        <v>46037</v>
      </c>
    </row>
    <row r="9" spans="1:35" ht="114.6" customHeight="1">
      <c r="A9" s="122"/>
      <c r="B9" s="44" t="s">
        <v>124</v>
      </c>
      <c r="C9" s="44"/>
      <c r="D9" s="32" t="s">
        <v>57</v>
      </c>
      <c r="E9" s="106"/>
      <c r="F9" s="111"/>
      <c r="G9" s="40" t="s">
        <v>125</v>
      </c>
      <c r="H9" s="46" t="s">
        <v>126</v>
      </c>
      <c r="I9" s="119"/>
      <c r="J9" s="106"/>
      <c r="K9" s="42">
        <v>46056</v>
      </c>
      <c r="L9" s="42">
        <v>46057</v>
      </c>
      <c r="M9" s="42">
        <v>46059</v>
      </c>
      <c r="N9" s="42">
        <v>46059</v>
      </c>
      <c r="O9" s="62" t="s">
        <v>128</v>
      </c>
      <c r="P9" s="62">
        <v>46059</v>
      </c>
      <c r="Q9" s="42">
        <v>46059</v>
      </c>
      <c r="R9" s="106"/>
      <c r="S9" s="41"/>
      <c r="T9" s="42"/>
      <c r="AI9" s="102">
        <f t="shared" si="1"/>
        <v>46071</v>
      </c>
    </row>
    <row r="10" spans="1:35" ht="145.80000000000001" customHeight="1">
      <c r="A10" s="120" t="s">
        <v>22</v>
      </c>
      <c r="B10" s="44">
        <v>4502939085</v>
      </c>
      <c r="C10" s="44"/>
      <c r="D10" s="32" t="s">
        <v>62</v>
      </c>
      <c r="E10" s="104" t="s">
        <v>88</v>
      </c>
      <c r="F10" s="109" t="s">
        <v>90</v>
      </c>
      <c r="G10" s="40" t="s">
        <v>63</v>
      </c>
      <c r="H10" s="46">
        <v>737000</v>
      </c>
      <c r="I10" s="117" t="s">
        <v>55</v>
      </c>
      <c r="J10" s="104" t="s">
        <v>174</v>
      </c>
      <c r="K10" s="42">
        <v>46035</v>
      </c>
      <c r="L10" s="17" t="s">
        <v>129</v>
      </c>
      <c r="M10" s="42">
        <v>46049</v>
      </c>
      <c r="N10" s="42">
        <v>46049</v>
      </c>
      <c r="O10" s="62">
        <v>46097</v>
      </c>
      <c r="P10" s="62">
        <v>46049</v>
      </c>
      <c r="Q10" s="42">
        <v>46049</v>
      </c>
      <c r="R10" s="104" t="s">
        <v>92</v>
      </c>
      <c r="S10" s="41"/>
      <c r="T10" s="42"/>
      <c r="AI10" s="102">
        <f t="shared" si="1"/>
        <v>46050</v>
      </c>
    </row>
    <row r="11" spans="1:35" ht="145.80000000000001" customHeight="1">
      <c r="A11" s="121"/>
      <c r="B11" s="44" t="s">
        <v>124</v>
      </c>
      <c r="C11" s="44"/>
      <c r="D11" s="32" t="s">
        <v>62</v>
      </c>
      <c r="E11" s="105"/>
      <c r="F11" s="110"/>
      <c r="G11" s="40" t="s">
        <v>178</v>
      </c>
      <c r="H11" s="46">
        <f>H10+135000</f>
        <v>872000</v>
      </c>
      <c r="I11" s="118"/>
      <c r="J11" s="105"/>
      <c r="K11" s="42">
        <v>46070</v>
      </c>
      <c r="L11" s="17">
        <v>46070</v>
      </c>
      <c r="M11" s="42">
        <v>46070</v>
      </c>
      <c r="N11" s="42">
        <v>46070</v>
      </c>
      <c r="O11" s="62">
        <v>46142</v>
      </c>
      <c r="P11" s="62">
        <v>46071</v>
      </c>
      <c r="Q11" s="42">
        <v>46071</v>
      </c>
      <c r="R11" s="105"/>
      <c r="S11" s="41"/>
      <c r="T11" s="42"/>
      <c r="AI11" s="102">
        <f t="shared" si="1"/>
        <v>46085</v>
      </c>
    </row>
    <row r="12" spans="1:35" ht="145.80000000000001" customHeight="1">
      <c r="A12" s="122"/>
      <c r="B12" s="57" t="s">
        <v>361</v>
      </c>
      <c r="C12" s="57"/>
      <c r="D12" s="51" t="s">
        <v>62</v>
      </c>
      <c r="E12" s="106"/>
      <c r="F12" s="111"/>
      <c r="G12" s="40" t="s">
        <v>362</v>
      </c>
      <c r="H12" s="46">
        <f>H11+17000</f>
        <v>889000</v>
      </c>
      <c r="I12" s="119"/>
      <c r="J12" s="106"/>
      <c r="K12" s="42">
        <v>46139</v>
      </c>
      <c r="L12" s="17">
        <v>46141</v>
      </c>
      <c r="M12" s="42">
        <v>46147</v>
      </c>
      <c r="N12" s="42">
        <v>46147</v>
      </c>
      <c r="O12" s="62" t="s">
        <v>128</v>
      </c>
      <c r="P12" s="62">
        <v>46147</v>
      </c>
      <c r="Q12" s="42">
        <v>46147</v>
      </c>
      <c r="R12" s="106"/>
      <c r="S12" s="41"/>
      <c r="T12" s="42"/>
      <c r="AI12" s="102">
        <f t="shared" si="1"/>
        <v>46154</v>
      </c>
    </row>
    <row r="13" spans="1:35" ht="115.8" customHeight="1">
      <c r="A13" s="120" t="s">
        <v>23</v>
      </c>
      <c r="B13" s="44">
        <v>4502939064</v>
      </c>
      <c r="C13" s="44"/>
      <c r="D13" s="32" t="s">
        <v>64</v>
      </c>
      <c r="E13" s="104" t="s">
        <v>89</v>
      </c>
      <c r="F13" s="109" t="s">
        <v>65</v>
      </c>
      <c r="G13" s="40" t="s">
        <v>66</v>
      </c>
      <c r="H13" s="46">
        <v>3143491.4</v>
      </c>
      <c r="I13" s="117" t="s">
        <v>55</v>
      </c>
      <c r="J13" s="104" t="s">
        <v>67</v>
      </c>
      <c r="K13" s="42">
        <v>46029</v>
      </c>
      <c r="L13" s="17" t="s">
        <v>84</v>
      </c>
      <c r="M13" s="42">
        <v>46057</v>
      </c>
      <c r="N13" s="42">
        <v>46057</v>
      </c>
      <c r="O13" s="62">
        <v>46752</v>
      </c>
      <c r="P13" s="62">
        <v>46057</v>
      </c>
      <c r="Q13" s="42">
        <v>46057</v>
      </c>
      <c r="R13" s="104">
        <v>8732879941</v>
      </c>
      <c r="S13" s="40" t="s">
        <v>290</v>
      </c>
      <c r="T13" s="42"/>
      <c r="AI13" s="102">
        <f t="shared" si="1"/>
        <v>46044</v>
      </c>
    </row>
    <row r="14" spans="1:35" ht="115.8" customHeight="1">
      <c r="A14" s="122"/>
      <c r="B14" s="83" t="s">
        <v>124</v>
      </c>
      <c r="C14" s="83"/>
      <c r="D14" s="84" t="s">
        <v>64</v>
      </c>
      <c r="E14" s="106"/>
      <c r="F14" s="111"/>
      <c r="G14" s="40" t="s">
        <v>309</v>
      </c>
      <c r="H14" s="46">
        <f>H13-680408.32+525340</f>
        <v>2988423.08</v>
      </c>
      <c r="I14" s="119"/>
      <c r="J14" s="106"/>
      <c r="K14" s="42">
        <v>46115</v>
      </c>
      <c r="L14" s="17">
        <v>46115</v>
      </c>
      <c r="M14" s="42">
        <v>46126</v>
      </c>
      <c r="N14" s="42">
        <v>46126</v>
      </c>
      <c r="O14" s="62" t="s">
        <v>308</v>
      </c>
      <c r="P14" s="62">
        <v>46126</v>
      </c>
      <c r="Q14" s="42">
        <v>46126</v>
      </c>
      <c r="R14" s="106"/>
      <c r="S14" s="40" t="s">
        <v>310</v>
      </c>
      <c r="T14" s="42"/>
      <c r="AI14" s="102">
        <f t="shared" si="1"/>
        <v>46132</v>
      </c>
    </row>
    <row r="15" spans="1:35" ht="229.8" customHeight="1">
      <c r="A15" s="41" t="s">
        <v>24</v>
      </c>
      <c r="B15" s="44">
        <v>4502948806</v>
      </c>
      <c r="C15" s="44"/>
      <c r="D15" s="32" t="s">
        <v>37</v>
      </c>
      <c r="E15" s="45" t="s">
        <v>68</v>
      </c>
      <c r="F15" s="26" t="s">
        <v>69</v>
      </c>
      <c r="G15" s="40" t="s">
        <v>70</v>
      </c>
      <c r="H15" s="46">
        <v>337500</v>
      </c>
      <c r="I15" s="49" t="s">
        <v>55</v>
      </c>
      <c r="J15" s="40" t="s">
        <v>71</v>
      </c>
      <c r="K15" s="42">
        <v>46035</v>
      </c>
      <c r="L15" s="17" t="s">
        <v>84</v>
      </c>
      <c r="M15" s="42">
        <v>46052</v>
      </c>
      <c r="N15" s="42">
        <v>46052</v>
      </c>
      <c r="O15" s="62">
        <v>46934</v>
      </c>
      <c r="P15" s="62">
        <v>46052</v>
      </c>
      <c r="Q15" s="42">
        <v>46052</v>
      </c>
      <c r="R15" s="40">
        <v>9512211348</v>
      </c>
      <c r="S15" s="41"/>
      <c r="T15" s="42"/>
      <c r="AI15" s="102">
        <f t="shared" si="1"/>
        <v>46050</v>
      </c>
    </row>
    <row r="16" spans="1:35" ht="229.8" customHeight="1">
      <c r="A16" s="41" t="s">
        <v>25</v>
      </c>
      <c r="B16" s="44">
        <v>4502948820</v>
      </c>
      <c r="C16" s="44"/>
      <c r="D16" s="32" t="s">
        <v>38</v>
      </c>
      <c r="E16" s="45" t="s">
        <v>72</v>
      </c>
      <c r="F16" s="26" t="s">
        <v>122</v>
      </c>
      <c r="G16" s="40" t="s">
        <v>70</v>
      </c>
      <c r="H16" s="46">
        <v>337500</v>
      </c>
      <c r="I16" s="49" t="s">
        <v>55</v>
      </c>
      <c r="J16" s="40" t="s">
        <v>73</v>
      </c>
      <c r="K16" s="42">
        <v>46035</v>
      </c>
      <c r="L16" s="17" t="s">
        <v>84</v>
      </c>
      <c r="M16" s="42">
        <v>46052</v>
      </c>
      <c r="N16" s="42">
        <v>46052</v>
      </c>
      <c r="O16" s="62">
        <v>46934</v>
      </c>
      <c r="P16" s="62">
        <v>46052</v>
      </c>
      <c r="Q16" s="42">
        <v>46052</v>
      </c>
      <c r="R16" s="40">
        <v>9512037465</v>
      </c>
      <c r="S16" s="41"/>
      <c r="T16" s="42"/>
      <c r="AI16" s="102">
        <f t="shared" si="1"/>
        <v>46050</v>
      </c>
    </row>
    <row r="17" spans="1:35" ht="147" customHeight="1">
      <c r="A17" s="41" t="s">
        <v>34</v>
      </c>
      <c r="B17" s="44" t="s">
        <v>99</v>
      </c>
      <c r="C17" s="85" t="s">
        <v>216</v>
      </c>
      <c r="D17" s="32" t="s">
        <v>74</v>
      </c>
      <c r="E17" s="45" t="s">
        <v>75</v>
      </c>
      <c r="F17" s="26" t="s">
        <v>227</v>
      </c>
      <c r="G17" s="40" t="s">
        <v>76</v>
      </c>
      <c r="H17" s="46" t="s">
        <v>217</v>
      </c>
      <c r="I17" s="49" t="s">
        <v>218</v>
      </c>
      <c r="J17" s="40" t="s">
        <v>41</v>
      </c>
      <c r="K17" s="66" t="s">
        <v>166</v>
      </c>
      <c r="L17" s="55" t="s">
        <v>215</v>
      </c>
      <c r="M17" s="42">
        <v>46084</v>
      </c>
      <c r="N17" s="42">
        <v>46084</v>
      </c>
      <c r="O17" s="63" t="s">
        <v>226</v>
      </c>
      <c r="P17" s="78" t="s">
        <v>198</v>
      </c>
      <c r="Q17" s="42">
        <v>46084</v>
      </c>
      <c r="R17" s="79" t="s">
        <v>198</v>
      </c>
      <c r="S17" s="59" t="s">
        <v>120</v>
      </c>
      <c r="T17" s="42"/>
      <c r="AI17" s="102" t="str">
        <f t="shared" si="1"/>
        <v/>
      </c>
    </row>
    <row r="18" spans="1:35" ht="155.44999999999999" customHeight="1">
      <c r="A18" s="41" t="s">
        <v>35</v>
      </c>
      <c r="B18" s="44">
        <v>4502943561</v>
      </c>
      <c r="C18" s="44"/>
      <c r="D18" s="32" t="s">
        <v>78</v>
      </c>
      <c r="E18" s="45" t="s">
        <v>81</v>
      </c>
      <c r="F18" s="26" t="s">
        <v>80</v>
      </c>
      <c r="G18" s="40" t="s">
        <v>82</v>
      </c>
      <c r="H18" s="46">
        <v>3295075</v>
      </c>
      <c r="I18" s="49" t="s">
        <v>55</v>
      </c>
      <c r="J18" s="40" t="s">
        <v>79</v>
      </c>
      <c r="K18" s="42">
        <v>46041</v>
      </c>
      <c r="L18" s="17" t="s">
        <v>141</v>
      </c>
      <c r="M18" s="42">
        <v>46062</v>
      </c>
      <c r="N18" s="42">
        <v>46062</v>
      </c>
      <c r="O18" s="62">
        <v>46934</v>
      </c>
      <c r="P18" s="62">
        <v>46062</v>
      </c>
      <c r="Q18" s="42">
        <v>46062</v>
      </c>
      <c r="R18" s="40">
        <v>8961608250</v>
      </c>
      <c r="S18" s="40" t="s">
        <v>159</v>
      </c>
      <c r="T18" s="42"/>
      <c r="AI18" s="102">
        <f t="shared" si="1"/>
        <v>46056</v>
      </c>
    </row>
    <row r="19" spans="1:35" ht="137.44999999999999" customHeight="1">
      <c r="A19" s="41" t="s">
        <v>36</v>
      </c>
      <c r="B19" s="44">
        <v>4502943626</v>
      </c>
      <c r="C19" s="44" t="s">
        <v>93</v>
      </c>
      <c r="D19" s="32" t="s">
        <v>94</v>
      </c>
      <c r="E19" s="45" t="s">
        <v>173</v>
      </c>
      <c r="F19" s="26" t="s">
        <v>95</v>
      </c>
      <c r="G19" s="40" t="s">
        <v>96</v>
      </c>
      <c r="H19" s="46" t="s">
        <v>100</v>
      </c>
      <c r="I19" s="53" t="s">
        <v>97</v>
      </c>
      <c r="J19" s="40" t="s">
        <v>98</v>
      </c>
      <c r="K19" s="42" t="s">
        <v>99</v>
      </c>
      <c r="L19" s="66" t="s">
        <v>130</v>
      </c>
      <c r="M19" s="42">
        <v>46049</v>
      </c>
      <c r="N19" s="42">
        <v>46049</v>
      </c>
      <c r="O19" s="63" t="s">
        <v>101</v>
      </c>
      <c r="P19" s="65" t="s">
        <v>109</v>
      </c>
      <c r="Q19" s="42">
        <v>46050</v>
      </c>
      <c r="R19" s="40">
        <v>8880205921</v>
      </c>
      <c r="S19" s="40" t="s">
        <v>235</v>
      </c>
      <c r="T19" s="42"/>
      <c r="AI19" s="102" t="str">
        <f t="shared" si="1"/>
        <v/>
      </c>
    </row>
    <row r="20" spans="1:35" ht="137.44999999999999" customHeight="1">
      <c r="A20" s="120" t="s">
        <v>102</v>
      </c>
      <c r="B20" s="44">
        <v>4502934293</v>
      </c>
      <c r="C20" s="44"/>
      <c r="D20" s="32" t="s">
        <v>103</v>
      </c>
      <c r="E20" s="104" t="s">
        <v>118</v>
      </c>
      <c r="F20" s="109" t="s">
        <v>292</v>
      </c>
      <c r="G20" s="40" t="s">
        <v>104</v>
      </c>
      <c r="H20" s="46">
        <v>230307</v>
      </c>
      <c r="I20" s="112" t="s">
        <v>29</v>
      </c>
      <c r="J20" s="104" t="s">
        <v>105</v>
      </c>
      <c r="K20" s="42">
        <v>46051</v>
      </c>
      <c r="L20" s="42">
        <v>46052</v>
      </c>
      <c r="M20" s="42">
        <v>46057</v>
      </c>
      <c r="N20" s="42">
        <v>46057</v>
      </c>
      <c r="O20" s="63">
        <v>46111</v>
      </c>
      <c r="P20" s="63">
        <v>46057</v>
      </c>
      <c r="Q20" s="42">
        <v>46057</v>
      </c>
      <c r="R20" s="104">
        <v>9561920599</v>
      </c>
      <c r="S20" s="41"/>
      <c r="T20" s="42"/>
      <c r="AI20" s="102">
        <f t="shared" si="1"/>
        <v>46066</v>
      </c>
    </row>
    <row r="21" spans="1:35" ht="137.44999999999999" customHeight="1">
      <c r="A21" s="121"/>
      <c r="B21" s="83" t="s">
        <v>124</v>
      </c>
      <c r="C21" s="83"/>
      <c r="D21" s="84" t="s">
        <v>103</v>
      </c>
      <c r="E21" s="105"/>
      <c r="F21" s="110"/>
      <c r="G21" s="40" t="s">
        <v>104</v>
      </c>
      <c r="H21" s="46">
        <f>H20+25305.58</f>
        <v>255612.58000000002</v>
      </c>
      <c r="I21" s="113"/>
      <c r="J21" s="105"/>
      <c r="K21" s="42">
        <v>46119</v>
      </c>
      <c r="L21" s="42">
        <v>46121</v>
      </c>
      <c r="M21" s="42">
        <v>46122</v>
      </c>
      <c r="N21" s="42">
        <v>46122</v>
      </c>
      <c r="O21" s="63">
        <v>46122</v>
      </c>
      <c r="P21" s="63">
        <v>46122</v>
      </c>
      <c r="Q21" s="42">
        <v>46122</v>
      </c>
      <c r="R21" s="105"/>
      <c r="S21" s="41"/>
      <c r="T21" s="42"/>
      <c r="AI21" s="102">
        <f t="shared" si="1"/>
        <v>46134</v>
      </c>
    </row>
    <row r="22" spans="1:35" ht="137.44999999999999" customHeight="1">
      <c r="A22" s="122"/>
      <c r="B22" s="57" t="s">
        <v>361</v>
      </c>
      <c r="C22" s="57"/>
      <c r="D22" s="51" t="s">
        <v>103</v>
      </c>
      <c r="E22" s="106"/>
      <c r="F22" s="111"/>
      <c r="G22" s="40" t="s">
        <v>387</v>
      </c>
      <c r="H22" s="46">
        <f>H21+27600</f>
        <v>283212.58</v>
      </c>
      <c r="I22" s="114"/>
      <c r="J22" s="106"/>
      <c r="K22" s="42">
        <v>46142</v>
      </c>
      <c r="L22" s="42">
        <v>46146</v>
      </c>
      <c r="M22" s="42">
        <v>46148</v>
      </c>
      <c r="N22" s="42">
        <v>46148</v>
      </c>
      <c r="O22" s="63">
        <v>46203</v>
      </c>
      <c r="P22" s="63">
        <v>46148</v>
      </c>
      <c r="Q22" s="42">
        <v>46148</v>
      </c>
      <c r="R22" s="106"/>
      <c r="S22" s="41"/>
      <c r="T22" s="42"/>
      <c r="AI22" s="102">
        <f t="shared" si="1"/>
        <v>46157</v>
      </c>
    </row>
    <row r="23" spans="1:35" ht="137.44999999999999" customHeight="1">
      <c r="A23" s="56" t="s">
        <v>106</v>
      </c>
      <c r="B23" s="44">
        <v>4502943059</v>
      </c>
      <c r="C23" s="44"/>
      <c r="D23" s="32" t="s">
        <v>107</v>
      </c>
      <c r="E23" s="45" t="s">
        <v>115</v>
      </c>
      <c r="F23" s="26" t="s">
        <v>176</v>
      </c>
      <c r="G23" s="40" t="s">
        <v>108</v>
      </c>
      <c r="H23" s="46">
        <v>95272</v>
      </c>
      <c r="I23" s="54" t="s">
        <v>29</v>
      </c>
      <c r="J23" s="60" t="s">
        <v>99</v>
      </c>
      <c r="K23" s="72" t="s">
        <v>99</v>
      </c>
      <c r="L23" s="72" t="s">
        <v>99</v>
      </c>
      <c r="M23" s="42">
        <v>46056</v>
      </c>
      <c r="N23" s="42">
        <v>46056</v>
      </c>
      <c r="O23" s="63">
        <v>46097</v>
      </c>
      <c r="P23" s="63">
        <v>46057</v>
      </c>
      <c r="Q23" s="42" t="s">
        <v>99</v>
      </c>
      <c r="R23" s="40">
        <v>9442244850</v>
      </c>
      <c r="S23" s="56" t="s">
        <v>117</v>
      </c>
      <c r="T23" s="42"/>
      <c r="AI23" s="102" t="str">
        <f t="shared" si="1"/>
        <v/>
      </c>
    </row>
    <row r="24" spans="1:35" ht="137.44999999999999" customHeight="1">
      <c r="A24" s="56" t="s">
        <v>110</v>
      </c>
      <c r="B24" s="44">
        <v>4502952746</v>
      </c>
      <c r="C24" s="44"/>
      <c r="D24" s="32" t="s">
        <v>111</v>
      </c>
      <c r="E24" s="45" t="s">
        <v>134</v>
      </c>
      <c r="F24" s="26" t="s">
        <v>113</v>
      </c>
      <c r="G24" s="40" t="s">
        <v>112</v>
      </c>
      <c r="H24" s="46">
        <v>7278</v>
      </c>
      <c r="I24" s="58" t="s">
        <v>116</v>
      </c>
      <c r="J24" s="60" t="s">
        <v>99</v>
      </c>
      <c r="K24" s="72" t="s">
        <v>99</v>
      </c>
      <c r="L24" s="72" t="s">
        <v>99</v>
      </c>
      <c r="M24" s="42">
        <v>46049</v>
      </c>
      <c r="N24" s="42">
        <v>46049</v>
      </c>
      <c r="O24" s="63" t="s">
        <v>114</v>
      </c>
      <c r="P24" s="65"/>
      <c r="Q24" s="42" t="s">
        <v>99</v>
      </c>
      <c r="R24" s="40">
        <v>8791889332</v>
      </c>
      <c r="S24" s="60" t="s">
        <v>121</v>
      </c>
      <c r="T24" s="42"/>
      <c r="AI24" s="102" t="str">
        <f t="shared" si="1"/>
        <v/>
      </c>
    </row>
    <row r="25" spans="1:35" ht="137.44999999999999" customHeight="1">
      <c r="A25" s="56">
        <v>16</v>
      </c>
      <c r="B25" s="44">
        <v>4502960520</v>
      </c>
      <c r="C25" s="44">
        <v>3854</v>
      </c>
      <c r="D25" s="32" t="s">
        <v>131</v>
      </c>
      <c r="E25" s="45" t="s">
        <v>135</v>
      </c>
      <c r="F25" s="73" t="s">
        <v>136</v>
      </c>
      <c r="G25" s="40" t="s">
        <v>133</v>
      </c>
      <c r="H25" s="46" t="s">
        <v>137</v>
      </c>
      <c r="I25" s="58" t="s">
        <v>132</v>
      </c>
      <c r="J25" s="60" t="s">
        <v>99</v>
      </c>
      <c r="K25" s="72" t="s">
        <v>99</v>
      </c>
      <c r="L25" s="72" t="s">
        <v>99</v>
      </c>
      <c r="M25" s="42">
        <v>46061</v>
      </c>
      <c r="N25" s="42">
        <v>46061</v>
      </c>
      <c r="O25" s="63" t="s">
        <v>142</v>
      </c>
      <c r="P25" s="63" t="s">
        <v>138</v>
      </c>
      <c r="Q25" s="42" t="s">
        <v>99</v>
      </c>
      <c r="R25" s="40">
        <v>1181829411</v>
      </c>
      <c r="S25" s="60" t="s">
        <v>140</v>
      </c>
      <c r="T25" s="42"/>
      <c r="AI25" s="102" t="str">
        <f t="shared" si="1"/>
        <v/>
      </c>
    </row>
    <row r="26" spans="1:35" ht="137.44999999999999" customHeight="1">
      <c r="A26" s="57" t="s">
        <v>143</v>
      </c>
      <c r="B26" s="44" t="s">
        <v>99</v>
      </c>
      <c r="C26" s="85" t="s">
        <v>222</v>
      </c>
      <c r="D26" s="32" t="s">
        <v>183</v>
      </c>
      <c r="E26" s="45" t="s">
        <v>181</v>
      </c>
      <c r="F26" s="26" t="s">
        <v>227</v>
      </c>
      <c r="G26" s="40" t="s">
        <v>182</v>
      </c>
      <c r="H26" s="74">
        <v>74500</v>
      </c>
      <c r="I26" s="54" t="s">
        <v>149</v>
      </c>
      <c r="J26" s="40" t="s">
        <v>184</v>
      </c>
      <c r="K26" s="42">
        <v>46063</v>
      </c>
      <c r="L26" s="55" t="s">
        <v>248</v>
      </c>
      <c r="M26" s="42">
        <v>46086</v>
      </c>
      <c r="N26" s="42">
        <v>46086</v>
      </c>
      <c r="O26" s="63">
        <v>46751</v>
      </c>
      <c r="P26" s="82" t="s">
        <v>198</v>
      </c>
      <c r="Q26" s="42">
        <v>46087</v>
      </c>
      <c r="R26" s="79" t="s">
        <v>198</v>
      </c>
      <c r="S26" s="59" t="s">
        <v>120</v>
      </c>
      <c r="T26" s="42"/>
      <c r="AI26" s="102">
        <f t="shared" si="1"/>
        <v>46078</v>
      </c>
    </row>
    <row r="27" spans="1:35" ht="137.44999999999999" customHeight="1">
      <c r="A27" s="57" t="s">
        <v>144</v>
      </c>
      <c r="B27" s="44">
        <v>4503970689</v>
      </c>
      <c r="C27" s="44"/>
      <c r="D27" s="32" t="s">
        <v>224</v>
      </c>
      <c r="E27" s="45"/>
      <c r="F27" s="26" t="s">
        <v>172</v>
      </c>
      <c r="G27" s="40" t="s">
        <v>167</v>
      </c>
      <c r="H27" s="46">
        <v>4300000</v>
      </c>
      <c r="I27" s="49" t="s">
        <v>55</v>
      </c>
      <c r="J27" s="40" t="s">
        <v>236</v>
      </c>
      <c r="K27" s="42">
        <v>46065</v>
      </c>
      <c r="L27" s="66" t="s">
        <v>234</v>
      </c>
      <c r="M27" s="42">
        <v>46084</v>
      </c>
      <c r="N27" s="42">
        <v>46084</v>
      </c>
      <c r="O27" s="63">
        <v>46173</v>
      </c>
      <c r="P27" s="63">
        <v>46084</v>
      </c>
      <c r="Q27" s="42">
        <v>46084</v>
      </c>
      <c r="R27" s="40">
        <v>5240301896</v>
      </c>
      <c r="S27" s="40" t="s">
        <v>225</v>
      </c>
      <c r="T27" s="42"/>
      <c r="AI27" s="102">
        <f t="shared" si="1"/>
        <v>46080</v>
      </c>
    </row>
    <row r="28" spans="1:35" ht="137.44999999999999" customHeight="1">
      <c r="A28" s="56" t="s">
        <v>145</v>
      </c>
      <c r="B28" s="44">
        <v>4502972410</v>
      </c>
      <c r="C28" s="88" t="s">
        <v>147</v>
      </c>
      <c r="D28" s="32" t="s">
        <v>146</v>
      </c>
      <c r="E28" s="45" t="s">
        <v>175</v>
      </c>
      <c r="F28" s="26"/>
      <c r="G28" s="40" t="s">
        <v>148</v>
      </c>
      <c r="H28" s="46"/>
      <c r="I28" s="54" t="s">
        <v>149</v>
      </c>
      <c r="J28" s="60" t="s">
        <v>99</v>
      </c>
      <c r="K28" s="72" t="s">
        <v>99</v>
      </c>
      <c r="L28" s="72" t="s">
        <v>99</v>
      </c>
      <c r="M28" s="42">
        <v>46024</v>
      </c>
      <c r="N28" s="75" t="s">
        <v>198</v>
      </c>
      <c r="O28" s="63" t="s">
        <v>199</v>
      </c>
      <c r="P28" s="65"/>
      <c r="Q28" s="42" t="s">
        <v>99</v>
      </c>
      <c r="R28" s="40">
        <v>8880001420</v>
      </c>
      <c r="S28" s="56" t="s">
        <v>117</v>
      </c>
      <c r="T28" s="42"/>
      <c r="AI28" s="102" t="str">
        <f t="shared" si="1"/>
        <v/>
      </c>
    </row>
    <row r="29" spans="1:35" ht="137.44999999999999" customHeight="1">
      <c r="A29" s="57" t="s">
        <v>150</v>
      </c>
      <c r="B29" s="44">
        <v>4502939860</v>
      </c>
      <c r="C29" s="88"/>
      <c r="D29" s="32" t="s">
        <v>169</v>
      </c>
      <c r="E29" s="52" t="s">
        <v>170</v>
      </c>
      <c r="F29" s="67" t="s">
        <v>171</v>
      </c>
      <c r="G29" s="65" t="s">
        <v>168</v>
      </c>
      <c r="H29" s="68">
        <v>563696.81000000006</v>
      </c>
      <c r="I29" s="53" t="s">
        <v>97</v>
      </c>
      <c r="J29" s="65" t="s">
        <v>237</v>
      </c>
      <c r="K29" s="62">
        <v>46066</v>
      </c>
      <c r="L29" s="62">
        <v>46070</v>
      </c>
      <c r="M29" s="62">
        <v>46083</v>
      </c>
      <c r="N29" s="62">
        <v>46083</v>
      </c>
      <c r="O29" s="63">
        <v>46965</v>
      </c>
      <c r="P29" s="63">
        <v>46056</v>
      </c>
      <c r="Q29" s="62">
        <v>46056</v>
      </c>
      <c r="R29" s="65" t="s">
        <v>197</v>
      </c>
      <c r="S29" s="57" t="s">
        <v>223</v>
      </c>
      <c r="T29" s="42"/>
      <c r="AI29" s="102">
        <f t="shared" si="1"/>
        <v>46083</v>
      </c>
    </row>
    <row r="30" spans="1:35" ht="137.44999999999999" customHeight="1">
      <c r="A30" s="57" t="s">
        <v>151</v>
      </c>
      <c r="B30" s="44">
        <v>4502956394</v>
      </c>
      <c r="C30" s="88"/>
      <c r="D30" s="32" t="s">
        <v>153</v>
      </c>
      <c r="E30" s="52" t="s">
        <v>157</v>
      </c>
      <c r="F30" s="67" t="s">
        <v>177</v>
      </c>
      <c r="G30" s="65" t="s">
        <v>158</v>
      </c>
      <c r="H30" s="68">
        <v>13280</v>
      </c>
      <c r="I30" s="49" t="s">
        <v>55</v>
      </c>
      <c r="J30" s="65" t="s">
        <v>238</v>
      </c>
      <c r="K30" s="62">
        <v>46066</v>
      </c>
      <c r="L30" s="62">
        <v>46069</v>
      </c>
      <c r="M30" s="62">
        <v>46070</v>
      </c>
      <c r="N30" s="62">
        <v>46070</v>
      </c>
      <c r="O30" s="63">
        <v>46127</v>
      </c>
      <c r="P30" s="63">
        <v>46070</v>
      </c>
      <c r="Q30" s="62">
        <v>46070</v>
      </c>
      <c r="R30" s="65">
        <v>8880400953</v>
      </c>
      <c r="S30" s="57"/>
      <c r="T30" s="42"/>
      <c r="AI30" s="102">
        <f t="shared" si="1"/>
        <v>46083</v>
      </c>
    </row>
    <row r="31" spans="1:35" ht="137.44999999999999" customHeight="1">
      <c r="A31" s="57" t="s">
        <v>152</v>
      </c>
      <c r="B31" s="44" t="s">
        <v>99</v>
      </c>
      <c r="C31" s="88" t="s">
        <v>220</v>
      </c>
      <c r="D31" s="32" t="s">
        <v>185</v>
      </c>
      <c r="E31" s="52" t="s">
        <v>186</v>
      </c>
      <c r="F31" s="26" t="s">
        <v>227</v>
      </c>
      <c r="G31" s="15" t="s">
        <v>187</v>
      </c>
      <c r="H31" s="74">
        <v>190000</v>
      </c>
      <c r="I31" s="54" t="s">
        <v>149</v>
      </c>
      <c r="J31" s="65" t="s">
        <v>188</v>
      </c>
      <c r="K31" s="62">
        <v>46069</v>
      </c>
      <c r="L31" s="63" t="s">
        <v>424</v>
      </c>
      <c r="M31" s="62">
        <v>46090</v>
      </c>
      <c r="N31" s="62">
        <v>46090</v>
      </c>
      <c r="O31" s="63">
        <v>46772</v>
      </c>
      <c r="P31" s="82" t="s">
        <v>198</v>
      </c>
      <c r="Q31" s="62">
        <v>46091</v>
      </c>
      <c r="R31" s="82" t="s">
        <v>198</v>
      </c>
      <c r="S31" s="91" t="s">
        <v>249</v>
      </c>
      <c r="T31" s="42"/>
      <c r="AI31" s="102">
        <f t="shared" si="1"/>
        <v>46084</v>
      </c>
    </row>
    <row r="32" spans="1:35" ht="137.44999999999999" customHeight="1">
      <c r="A32" s="57" t="s">
        <v>154</v>
      </c>
      <c r="B32" s="44" t="s">
        <v>99</v>
      </c>
      <c r="C32" s="88" t="s">
        <v>221</v>
      </c>
      <c r="D32" s="32" t="s">
        <v>189</v>
      </c>
      <c r="E32" s="52" t="s">
        <v>190</v>
      </c>
      <c r="F32" s="26" t="s">
        <v>227</v>
      </c>
      <c r="G32" s="65" t="s">
        <v>191</v>
      </c>
      <c r="H32" s="74">
        <v>50000</v>
      </c>
      <c r="I32" s="54" t="s">
        <v>149</v>
      </c>
      <c r="J32" s="65" t="s">
        <v>192</v>
      </c>
      <c r="K32" s="62">
        <v>46069</v>
      </c>
      <c r="L32" s="62">
        <v>46073</v>
      </c>
      <c r="M32" s="62">
        <v>46083</v>
      </c>
      <c r="N32" s="62">
        <v>46083</v>
      </c>
      <c r="O32" s="63">
        <v>46772</v>
      </c>
      <c r="P32" s="82" t="s">
        <v>198</v>
      </c>
      <c r="Q32" s="62">
        <v>46085</v>
      </c>
      <c r="R32" s="82" t="s">
        <v>198</v>
      </c>
      <c r="S32" s="59" t="s">
        <v>120</v>
      </c>
      <c r="T32" s="42"/>
      <c r="AI32" s="102">
        <f t="shared" si="1"/>
        <v>46084</v>
      </c>
    </row>
    <row r="33" spans="1:35" ht="137.44999999999999" customHeight="1">
      <c r="A33" s="57" t="s">
        <v>155</v>
      </c>
      <c r="B33" s="44">
        <v>4502977090</v>
      </c>
      <c r="C33" s="88"/>
      <c r="D33" s="32" t="s">
        <v>219</v>
      </c>
      <c r="E33" s="52" t="s">
        <v>193</v>
      </c>
      <c r="F33" s="67" t="s">
        <v>194</v>
      </c>
      <c r="G33" s="65" t="s">
        <v>195</v>
      </c>
      <c r="H33" s="68">
        <v>37750000</v>
      </c>
      <c r="I33" s="70" t="s">
        <v>55</v>
      </c>
      <c r="J33" s="65" t="s">
        <v>196</v>
      </c>
      <c r="K33" s="63" t="s">
        <v>326</v>
      </c>
      <c r="L33" s="63" t="s">
        <v>353</v>
      </c>
      <c r="M33" s="62">
        <v>46134</v>
      </c>
      <c r="N33" s="62">
        <v>46134</v>
      </c>
      <c r="O33" s="63">
        <v>46783</v>
      </c>
      <c r="P33" s="63">
        <v>46134</v>
      </c>
      <c r="Q33" s="62">
        <v>46134</v>
      </c>
      <c r="R33" s="65">
        <v>6220005600</v>
      </c>
      <c r="S33" s="57"/>
      <c r="T33" s="42"/>
      <c r="AI33" s="102" t="str">
        <f t="shared" si="1"/>
        <v/>
      </c>
    </row>
    <row r="34" spans="1:35" ht="137.44999999999999" customHeight="1">
      <c r="A34" s="56" t="s">
        <v>156</v>
      </c>
      <c r="B34" s="44">
        <v>4502960536</v>
      </c>
      <c r="C34" s="87" t="s">
        <v>160</v>
      </c>
      <c r="D34" s="32" t="s">
        <v>161</v>
      </c>
      <c r="E34" s="52" t="s">
        <v>179</v>
      </c>
      <c r="F34" s="67" t="s">
        <v>180</v>
      </c>
      <c r="G34" s="65" t="s">
        <v>162</v>
      </c>
      <c r="H34" s="68" t="s">
        <v>163</v>
      </c>
      <c r="I34" s="69" t="s">
        <v>164</v>
      </c>
      <c r="J34" s="60" t="s">
        <v>99</v>
      </c>
      <c r="K34" s="72" t="s">
        <v>99</v>
      </c>
      <c r="L34" s="72" t="s">
        <v>99</v>
      </c>
      <c r="M34" s="62">
        <v>46076</v>
      </c>
      <c r="N34" s="62">
        <v>46076</v>
      </c>
      <c r="O34" s="63" t="s">
        <v>165</v>
      </c>
      <c r="P34" s="63">
        <v>46076</v>
      </c>
      <c r="Q34" s="62" t="s">
        <v>99</v>
      </c>
      <c r="R34" s="65">
        <v>5213721855</v>
      </c>
      <c r="S34" s="56" t="s">
        <v>117</v>
      </c>
      <c r="T34" s="42"/>
      <c r="AI34" s="102" t="str">
        <f t="shared" si="1"/>
        <v/>
      </c>
    </row>
    <row r="35" spans="1:35" ht="137.44999999999999" customHeight="1">
      <c r="A35" s="57" t="s">
        <v>200</v>
      </c>
      <c r="B35" s="44">
        <v>4502980901</v>
      </c>
      <c r="C35" s="94" t="s">
        <v>210</v>
      </c>
      <c r="D35" s="32" t="s">
        <v>207</v>
      </c>
      <c r="E35" s="76" t="s">
        <v>205</v>
      </c>
      <c r="F35" s="67" t="s">
        <v>206</v>
      </c>
      <c r="G35" s="77" t="s">
        <v>208</v>
      </c>
      <c r="H35" s="68" t="s">
        <v>209</v>
      </c>
      <c r="I35" s="53" t="s">
        <v>97</v>
      </c>
      <c r="J35" s="65" t="s">
        <v>202</v>
      </c>
      <c r="K35" s="62">
        <v>46079</v>
      </c>
      <c r="L35" s="62">
        <v>46087</v>
      </c>
      <c r="M35" s="62">
        <v>46114</v>
      </c>
      <c r="N35" s="63" t="s">
        <v>293</v>
      </c>
      <c r="O35" s="63" t="s">
        <v>211</v>
      </c>
      <c r="P35" s="65" t="s">
        <v>294</v>
      </c>
      <c r="Q35" s="62">
        <v>46114</v>
      </c>
      <c r="R35" s="76">
        <v>7750000516</v>
      </c>
      <c r="S35" s="57"/>
      <c r="T35" s="42"/>
      <c r="AI35" s="102">
        <f t="shared" si="1"/>
        <v>46094</v>
      </c>
    </row>
    <row r="36" spans="1:35" ht="137.44999999999999" customHeight="1">
      <c r="A36" s="57" t="s">
        <v>201</v>
      </c>
      <c r="B36" s="44">
        <v>4502968920</v>
      </c>
      <c r="C36" s="87"/>
      <c r="D36" s="32" t="s">
        <v>204</v>
      </c>
      <c r="E36" s="52" t="s">
        <v>212</v>
      </c>
      <c r="F36" s="67" t="s">
        <v>213</v>
      </c>
      <c r="G36" s="65" t="s">
        <v>214</v>
      </c>
      <c r="H36" s="68">
        <v>181560</v>
      </c>
      <c r="I36" s="70" t="s">
        <v>55</v>
      </c>
      <c r="J36" s="65" t="s">
        <v>203</v>
      </c>
      <c r="K36" s="62">
        <v>46080</v>
      </c>
      <c r="L36" s="63" t="s">
        <v>246</v>
      </c>
      <c r="M36" s="62">
        <v>46087</v>
      </c>
      <c r="N36" s="62">
        <v>46087</v>
      </c>
      <c r="O36" s="63">
        <v>46934</v>
      </c>
      <c r="P36" s="63">
        <v>46087</v>
      </c>
      <c r="Q36" s="62">
        <v>46087</v>
      </c>
      <c r="R36" s="81">
        <v>5832418238</v>
      </c>
      <c r="S36" s="65" t="s">
        <v>247</v>
      </c>
      <c r="T36" s="42"/>
      <c r="AI36" s="102">
        <f t="shared" si="1"/>
        <v>46097</v>
      </c>
    </row>
    <row r="37" spans="1:35" ht="137.44999999999999" customHeight="1">
      <c r="A37" s="57" t="s">
        <v>228</v>
      </c>
      <c r="B37" s="44">
        <v>4502938804</v>
      </c>
      <c r="C37" s="87"/>
      <c r="D37" s="32" t="s">
        <v>229</v>
      </c>
      <c r="E37" s="52" t="s">
        <v>230</v>
      </c>
      <c r="F37" s="67" t="s">
        <v>231</v>
      </c>
      <c r="G37" s="65" t="s">
        <v>232</v>
      </c>
      <c r="H37" s="68">
        <v>3252400</v>
      </c>
      <c r="I37" s="54" t="s">
        <v>149</v>
      </c>
      <c r="J37" s="65" t="s">
        <v>233</v>
      </c>
      <c r="K37" s="63" t="s">
        <v>413</v>
      </c>
      <c r="L37" s="62">
        <v>46090</v>
      </c>
      <c r="M37" s="62">
        <v>46154</v>
      </c>
      <c r="N37" s="62">
        <v>46154</v>
      </c>
      <c r="O37" s="63">
        <v>46295</v>
      </c>
      <c r="P37" s="63">
        <v>46154</v>
      </c>
      <c r="Q37" s="62"/>
      <c r="R37" s="81">
        <v>5221054994</v>
      </c>
      <c r="S37" s="57" t="s">
        <v>414</v>
      </c>
      <c r="T37" s="42"/>
      <c r="AI37" s="102" t="str">
        <f t="shared" si="1"/>
        <v/>
      </c>
    </row>
    <row r="38" spans="1:35" ht="137.44999999999999" customHeight="1">
      <c r="A38" s="57" t="s">
        <v>240</v>
      </c>
      <c r="B38" s="98" t="s">
        <v>99</v>
      </c>
      <c r="C38" s="87" t="s">
        <v>244</v>
      </c>
      <c r="D38" s="32" t="s">
        <v>241</v>
      </c>
      <c r="E38" s="52" t="s">
        <v>242</v>
      </c>
      <c r="F38" s="26" t="s">
        <v>227</v>
      </c>
      <c r="G38" s="89" t="s">
        <v>243</v>
      </c>
      <c r="H38" s="74">
        <v>50000</v>
      </c>
      <c r="I38" s="69" t="s">
        <v>245</v>
      </c>
      <c r="J38" s="65" t="s">
        <v>239</v>
      </c>
      <c r="K38" s="62">
        <v>46087</v>
      </c>
      <c r="L38" s="62">
        <v>46094</v>
      </c>
      <c r="M38" s="62">
        <v>46112</v>
      </c>
      <c r="N38" s="62">
        <v>46112</v>
      </c>
      <c r="O38" s="63">
        <v>46609</v>
      </c>
      <c r="P38" s="90" t="s">
        <v>198</v>
      </c>
      <c r="Q38" s="62">
        <v>46112</v>
      </c>
      <c r="R38" s="90" t="s">
        <v>198</v>
      </c>
      <c r="S38" s="59" t="s">
        <v>120</v>
      </c>
      <c r="T38" s="42"/>
      <c r="AI38" s="102">
        <f t="shared" si="1"/>
        <v>46104</v>
      </c>
    </row>
    <row r="39" spans="1:35" ht="137.44999999999999" customHeight="1">
      <c r="A39" s="57" t="s">
        <v>250</v>
      </c>
      <c r="B39" s="44">
        <v>4502996937</v>
      </c>
      <c r="C39" s="87"/>
      <c r="D39" s="32" t="s">
        <v>251</v>
      </c>
      <c r="E39" s="52" t="s">
        <v>253</v>
      </c>
      <c r="F39" s="67" t="s">
        <v>252</v>
      </c>
      <c r="G39" s="65" t="s">
        <v>254</v>
      </c>
      <c r="H39" s="68">
        <v>19984000</v>
      </c>
      <c r="I39" s="70" t="s">
        <v>55</v>
      </c>
      <c r="J39" s="65" t="s">
        <v>255</v>
      </c>
      <c r="K39" s="62">
        <v>46091</v>
      </c>
      <c r="L39" s="62">
        <v>46098</v>
      </c>
      <c r="M39" s="62">
        <v>46105</v>
      </c>
      <c r="N39" s="62">
        <v>46105</v>
      </c>
      <c r="O39" s="63">
        <v>46318</v>
      </c>
      <c r="P39" s="63">
        <v>46105</v>
      </c>
      <c r="Q39" s="62">
        <v>46105</v>
      </c>
      <c r="R39" s="81">
        <v>5221054994</v>
      </c>
      <c r="S39" s="57"/>
      <c r="T39" s="42"/>
      <c r="AI39" s="102">
        <f t="shared" si="1"/>
        <v>46106</v>
      </c>
    </row>
    <row r="40" spans="1:35" ht="137.44999999999999" customHeight="1">
      <c r="A40" s="96" t="s">
        <v>335</v>
      </c>
      <c r="B40" s="83" t="s">
        <v>99</v>
      </c>
      <c r="C40" s="86" t="s">
        <v>341</v>
      </c>
      <c r="D40" s="84" t="s">
        <v>336</v>
      </c>
      <c r="E40" s="52" t="s">
        <v>339</v>
      </c>
      <c r="F40" s="67" t="s">
        <v>337</v>
      </c>
      <c r="G40" s="65" t="s">
        <v>340</v>
      </c>
      <c r="H40" s="68">
        <v>592000</v>
      </c>
      <c r="I40" s="53" t="s">
        <v>97</v>
      </c>
      <c r="J40" s="65" t="s">
        <v>338</v>
      </c>
      <c r="K40" s="62">
        <v>46132</v>
      </c>
      <c r="L40" s="63" t="s">
        <v>392</v>
      </c>
      <c r="M40" s="62"/>
      <c r="N40" s="62"/>
      <c r="O40" s="63">
        <v>46171</v>
      </c>
      <c r="P40" s="63" t="s">
        <v>99</v>
      </c>
      <c r="Q40" s="62"/>
      <c r="R40" s="95">
        <v>7282156336</v>
      </c>
      <c r="S40" s="91" t="s">
        <v>364</v>
      </c>
      <c r="T40" s="42"/>
      <c r="AI40" s="102">
        <f t="shared" si="1"/>
        <v>46147</v>
      </c>
    </row>
    <row r="41" spans="1:35" ht="137.44999999999999" customHeight="1">
      <c r="A41" s="57" t="s">
        <v>269</v>
      </c>
      <c r="B41" s="44">
        <v>4502997466</v>
      </c>
      <c r="C41" s="87"/>
      <c r="D41" s="32" t="s">
        <v>260</v>
      </c>
      <c r="E41" s="52" t="s">
        <v>257</v>
      </c>
      <c r="F41" s="67" t="s">
        <v>259</v>
      </c>
      <c r="G41" s="65" t="s">
        <v>258</v>
      </c>
      <c r="H41" s="68">
        <v>8453470.75</v>
      </c>
      <c r="I41" s="70" t="s">
        <v>55</v>
      </c>
      <c r="J41" s="65" t="s">
        <v>256</v>
      </c>
      <c r="K41" s="62">
        <v>46092</v>
      </c>
      <c r="L41" s="62">
        <v>46099</v>
      </c>
      <c r="M41" s="62">
        <v>46111</v>
      </c>
      <c r="N41" s="62">
        <v>46111</v>
      </c>
      <c r="O41" s="63">
        <v>46374</v>
      </c>
      <c r="P41" s="63">
        <v>46112</v>
      </c>
      <c r="Q41" s="62">
        <v>46112</v>
      </c>
      <c r="R41" s="65">
        <v>5221054994</v>
      </c>
      <c r="S41" s="65"/>
      <c r="T41" s="42"/>
      <c r="AI41" s="102">
        <f t="shared" si="1"/>
        <v>46107</v>
      </c>
    </row>
    <row r="42" spans="1:35" ht="137.44999999999999" customHeight="1">
      <c r="A42" s="57" t="s">
        <v>270</v>
      </c>
      <c r="B42" s="44">
        <v>4502966963</v>
      </c>
      <c r="C42" s="87"/>
      <c r="D42" s="32" t="s">
        <v>261</v>
      </c>
      <c r="E42" s="52" t="s">
        <v>262</v>
      </c>
      <c r="F42" s="67" t="s">
        <v>263</v>
      </c>
      <c r="G42" s="65" t="s">
        <v>264</v>
      </c>
      <c r="H42" s="68">
        <v>113000</v>
      </c>
      <c r="I42" s="93" t="s">
        <v>265</v>
      </c>
      <c r="J42" s="65" t="s">
        <v>266</v>
      </c>
      <c r="K42" s="63" t="s">
        <v>267</v>
      </c>
      <c r="L42" s="62" t="s">
        <v>99</v>
      </c>
      <c r="M42" s="62">
        <v>46094</v>
      </c>
      <c r="N42" s="62">
        <v>46094</v>
      </c>
      <c r="O42" s="63">
        <v>46265</v>
      </c>
      <c r="P42" s="63">
        <v>46097</v>
      </c>
      <c r="Q42" s="62">
        <v>46097</v>
      </c>
      <c r="R42" s="65">
        <v>5540235583</v>
      </c>
      <c r="S42" s="57"/>
      <c r="T42" s="42"/>
      <c r="AI42" s="102" t="str">
        <f t="shared" si="1"/>
        <v/>
      </c>
    </row>
    <row r="43" spans="1:35" ht="137.44999999999999" customHeight="1">
      <c r="A43" s="57" t="s">
        <v>268</v>
      </c>
      <c r="B43" s="44">
        <v>4502983014</v>
      </c>
      <c r="C43" s="87"/>
      <c r="D43" s="32" t="s">
        <v>272</v>
      </c>
      <c r="E43" s="52" t="s">
        <v>271</v>
      </c>
      <c r="F43" s="92" t="s">
        <v>273</v>
      </c>
      <c r="G43" s="65" t="s">
        <v>274</v>
      </c>
      <c r="H43" s="68">
        <v>1170200</v>
      </c>
      <c r="I43" s="93" t="s">
        <v>275</v>
      </c>
      <c r="J43" s="65" t="s">
        <v>276</v>
      </c>
      <c r="K43" s="62">
        <v>46098</v>
      </c>
      <c r="L43" s="62">
        <v>46101</v>
      </c>
      <c r="M43" s="62">
        <v>46112</v>
      </c>
      <c r="N43" s="62">
        <v>46112</v>
      </c>
      <c r="O43" s="63" t="s">
        <v>277</v>
      </c>
      <c r="P43" s="63">
        <v>46112</v>
      </c>
      <c r="Q43" s="62">
        <v>46112</v>
      </c>
      <c r="R43" s="65">
        <v>7831729807</v>
      </c>
      <c r="S43" s="57"/>
      <c r="T43" s="42"/>
      <c r="AI43" s="102">
        <f t="shared" si="1"/>
        <v>46113</v>
      </c>
    </row>
    <row r="44" spans="1:35" ht="137.44999999999999" customHeight="1">
      <c r="A44" s="57" t="s">
        <v>278</v>
      </c>
      <c r="B44" s="44">
        <v>4502943755</v>
      </c>
      <c r="C44" s="87"/>
      <c r="D44" s="32" t="s">
        <v>279</v>
      </c>
      <c r="E44" s="52" t="s">
        <v>280</v>
      </c>
      <c r="F44" s="67" t="s">
        <v>281</v>
      </c>
      <c r="G44" s="65" t="s">
        <v>305</v>
      </c>
      <c r="H44" s="68">
        <v>390000</v>
      </c>
      <c r="I44" s="93" t="s">
        <v>83</v>
      </c>
      <c r="J44" s="65" t="s">
        <v>282</v>
      </c>
      <c r="K44" s="62">
        <v>46106</v>
      </c>
      <c r="L44" s="63" t="s">
        <v>283</v>
      </c>
      <c r="M44" s="62">
        <v>46125</v>
      </c>
      <c r="N44" s="62">
        <v>46125</v>
      </c>
      <c r="O44" s="63">
        <v>46752</v>
      </c>
      <c r="P44" s="63">
        <v>46125</v>
      </c>
      <c r="Q44" s="62">
        <v>46125</v>
      </c>
      <c r="R44" s="65">
        <v>9571063961</v>
      </c>
      <c r="S44" s="57"/>
      <c r="T44" s="42"/>
      <c r="AI44" s="102">
        <f t="shared" si="1"/>
        <v>46121</v>
      </c>
    </row>
    <row r="45" spans="1:35" ht="137.44999999999999" customHeight="1">
      <c r="A45" s="57" t="s">
        <v>284</v>
      </c>
      <c r="B45" s="44">
        <v>4503012737</v>
      </c>
      <c r="C45" s="87"/>
      <c r="D45" s="32" t="s">
        <v>288</v>
      </c>
      <c r="E45" s="52" t="s">
        <v>287</v>
      </c>
      <c r="F45" s="67"/>
      <c r="G45" s="65" t="s">
        <v>286</v>
      </c>
      <c r="H45" s="68">
        <v>134400</v>
      </c>
      <c r="I45" s="54" t="s">
        <v>149</v>
      </c>
      <c r="J45" s="65" t="s">
        <v>285</v>
      </c>
      <c r="K45" s="63" t="s">
        <v>289</v>
      </c>
      <c r="L45" s="62" t="s">
        <v>99</v>
      </c>
      <c r="M45" s="62">
        <v>46107</v>
      </c>
      <c r="N45" s="62">
        <v>46107</v>
      </c>
      <c r="O45" s="63">
        <v>46122</v>
      </c>
      <c r="P45" s="65"/>
      <c r="Q45" s="62">
        <v>46107</v>
      </c>
      <c r="R45" s="65">
        <v>6731851141</v>
      </c>
      <c r="S45" s="57"/>
      <c r="T45" s="42"/>
      <c r="AI45" s="102" t="str">
        <f t="shared" si="1"/>
        <v/>
      </c>
    </row>
    <row r="46" spans="1:35" ht="168.6" customHeight="1">
      <c r="A46" s="57" t="s">
        <v>295</v>
      </c>
      <c r="B46" s="83" t="s">
        <v>99</v>
      </c>
      <c r="C46" s="86" t="s">
        <v>303</v>
      </c>
      <c r="D46" s="84" t="s">
        <v>297</v>
      </c>
      <c r="E46" s="52" t="s">
        <v>306</v>
      </c>
      <c r="F46" s="26" t="s">
        <v>304</v>
      </c>
      <c r="G46" s="65" t="s">
        <v>307</v>
      </c>
      <c r="H46" s="74">
        <v>410000</v>
      </c>
      <c r="I46" s="69" t="s">
        <v>29</v>
      </c>
      <c r="J46" s="65" t="s">
        <v>296</v>
      </c>
      <c r="K46" s="63">
        <v>46120</v>
      </c>
      <c r="L46" s="63" t="s">
        <v>329</v>
      </c>
      <c r="M46" s="62">
        <v>46134</v>
      </c>
      <c r="N46" s="62">
        <v>46134</v>
      </c>
      <c r="O46" s="63">
        <v>46417</v>
      </c>
      <c r="P46" s="65" t="s">
        <v>198</v>
      </c>
      <c r="Q46" s="62">
        <v>46136</v>
      </c>
      <c r="R46" s="90" t="s">
        <v>198</v>
      </c>
      <c r="S46" s="91" t="s">
        <v>330</v>
      </c>
      <c r="T46" s="42"/>
      <c r="AI46" s="102">
        <f t="shared" si="1"/>
        <v>46135</v>
      </c>
    </row>
    <row r="47" spans="1:35" ht="137.44999999999999" customHeight="1">
      <c r="A47" s="56" t="s">
        <v>298</v>
      </c>
      <c r="B47" s="99">
        <v>4502976093</v>
      </c>
      <c r="C47" s="100"/>
      <c r="D47" s="101" t="s">
        <v>301</v>
      </c>
      <c r="E47" s="52" t="s">
        <v>302</v>
      </c>
      <c r="F47" s="67" t="s">
        <v>300</v>
      </c>
      <c r="G47" s="65" t="s">
        <v>299</v>
      </c>
      <c r="H47" s="68">
        <v>178200</v>
      </c>
      <c r="I47" s="93" t="s">
        <v>275</v>
      </c>
      <c r="J47" s="60" t="s">
        <v>99</v>
      </c>
      <c r="K47" s="72" t="s">
        <v>99</v>
      </c>
      <c r="L47" s="72" t="s">
        <v>99</v>
      </c>
      <c r="M47" s="62">
        <v>46119</v>
      </c>
      <c r="N47" s="62">
        <v>46119</v>
      </c>
      <c r="O47" s="63">
        <v>46934</v>
      </c>
      <c r="P47" s="63">
        <v>46119</v>
      </c>
      <c r="Q47" s="62" t="s">
        <v>99</v>
      </c>
      <c r="R47" s="65">
        <v>8880003867</v>
      </c>
      <c r="S47" s="56" t="s">
        <v>117</v>
      </c>
      <c r="T47" s="42"/>
      <c r="AI47" s="102" t="str">
        <f t="shared" si="1"/>
        <v/>
      </c>
    </row>
    <row r="48" spans="1:35" ht="208.8" customHeight="1">
      <c r="A48" s="57" t="s">
        <v>311</v>
      </c>
      <c r="B48" s="83">
        <v>4503036513</v>
      </c>
      <c r="C48" s="86"/>
      <c r="D48" s="84" t="s">
        <v>314</v>
      </c>
      <c r="E48" s="52" t="s">
        <v>389</v>
      </c>
      <c r="F48" s="67" t="s">
        <v>388</v>
      </c>
      <c r="G48" s="67" t="s">
        <v>315</v>
      </c>
      <c r="H48" s="68">
        <v>45990000</v>
      </c>
      <c r="I48" s="70" t="s">
        <v>55</v>
      </c>
      <c r="J48" s="65" t="s">
        <v>328</v>
      </c>
      <c r="K48" s="63">
        <v>46126</v>
      </c>
      <c r="L48" s="62">
        <v>46129</v>
      </c>
      <c r="M48" s="62">
        <v>46142</v>
      </c>
      <c r="N48" s="62">
        <v>46142</v>
      </c>
      <c r="O48" s="63">
        <v>46934</v>
      </c>
      <c r="P48" s="63">
        <v>46142</v>
      </c>
      <c r="Q48" s="62">
        <v>46142</v>
      </c>
      <c r="R48" s="65">
        <v>6560007874</v>
      </c>
      <c r="S48" s="65" t="s">
        <v>390</v>
      </c>
      <c r="T48" s="42"/>
      <c r="AI48" s="102">
        <f t="shared" si="1"/>
        <v>46141</v>
      </c>
    </row>
    <row r="49" spans="1:35" ht="137.44999999999999" customHeight="1">
      <c r="A49" s="57" t="s">
        <v>312</v>
      </c>
      <c r="B49" s="83">
        <v>4502993588</v>
      </c>
      <c r="C49" s="86"/>
      <c r="D49" s="84" t="s">
        <v>318</v>
      </c>
      <c r="E49" s="52" t="s">
        <v>319</v>
      </c>
      <c r="F49" s="67" t="s">
        <v>317</v>
      </c>
      <c r="G49" s="65" t="s">
        <v>316</v>
      </c>
      <c r="H49" s="68">
        <v>943000</v>
      </c>
      <c r="I49" s="93" t="s">
        <v>83</v>
      </c>
      <c r="J49" s="65" t="s">
        <v>313</v>
      </c>
      <c r="K49" s="63">
        <v>46121</v>
      </c>
      <c r="L49" s="62">
        <v>46125</v>
      </c>
      <c r="M49" s="62">
        <v>46129</v>
      </c>
      <c r="N49" s="62">
        <v>46129</v>
      </c>
      <c r="O49" s="63">
        <v>46325</v>
      </c>
      <c r="P49" s="63">
        <v>46129</v>
      </c>
      <c r="Q49" s="62">
        <v>46129</v>
      </c>
      <c r="R49" s="65">
        <v>6312701649</v>
      </c>
      <c r="S49" s="57"/>
      <c r="T49" s="42"/>
      <c r="AI49" s="102">
        <f t="shared" si="1"/>
        <v>46136</v>
      </c>
    </row>
    <row r="50" spans="1:35" ht="137.44999999999999" customHeight="1">
      <c r="A50" s="57" t="s">
        <v>321</v>
      </c>
      <c r="B50" s="83">
        <v>4503036767</v>
      </c>
      <c r="C50" s="86"/>
      <c r="D50" s="84" t="s">
        <v>322</v>
      </c>
      <c r="E50" s="52" t="s">
        <v>325</v>
      </c>
      <c r="F50" s="67" t="s">
        <v>323</v>
      </c>
      <c r="G50" s="65" t="s">
        <v>324</v>
      </c>
      <c r="H50" s="68">
        <v>9150000</v>
      </c>
      <c r="I50" s="70" t="s">
        <v>55</v>
      </c>
      <c r="J50" s="65" t="s">
        <v>320</v>
      </c>
      <c r="K50" s="63">
        <v>46122</v>
      </c>
      <c r="L50" s="63" t="s">
        <v>327</v>
      </c>
      <c r="M50" s="62">
        <v>46134</v>
      </c>
      <c r="N50" s="62">
        <v>46134</v>
      </c>
      <c r="O50" s="63">
        <v>46783</v>
      </c>
      <c r="P50" s="63">
        <v>46134</v>
      </c>
      <c r="Q50" s="62">
        <v>46134</v>
      </c>
      <c r="R50" s="65">
        <v>5221054994</v>
      </c>
      <c r="S50" s="57"/>
      <c r="T50" s="42"/>
      <c r="AI50" s="102">
        <f t="shared" si="1"/>
        <v>46139</v>
      </c>
    </row>
    <row r="51" spans="1:35" ht="137.44999999999999" customHeight="1">
      <c r="A51" s="123" t="s">
        <v>331</v>
      </c>
      <c r="B51" s="83" t="s">
        <v>99</v>
      </c>
      <c r="C51" s="125" t="s">
        <v>363</v>
      </c>
      <c r="D51" s="84" t="s">
        <v>332</v>
      </c>
      <c r="E51" s="107" t="s">
        <v>365</v>
      </c>
      <c r="F51" s="109" t="s">
        <v>304</v>
      </c>
      <c r="G51" s="65" t="s">
        <v>333</v>
      </c>
      <c r="H51" s="68">
        <v>1363038.68</v>
      </c>
      <c r="I51" s="115" t="s">
        <v>29</v>
      </c>
      <c r="J51" s="107" t="s">
        <v>334</v>
      </c>
      <c r="K51" s="63">
        <v>46129</v>
      </c>
      <c r="L51" s="62">
        <v>46133</v>
      </c>
      <c r="M51" s="62">
        <v>46139</v>
      </c>
      <c r="N51" s="62">
        <v>46139</v>
      </c>
      <c r="O51" s="63">
        <v>46934</v>
      </c>
      <c r="P51" s="82" t="s">
        <v>198</v>
      </c>
      <c r="Q51" s="62">
        <v>46139</v>
      </c>
      <c r="R51" s="107">
        <v>8671970764</v>
      </c>
      <c r="S51" s="57"/>
      <c r="T51" s="42"/>
      <c r="AI51" s="102">
        <f t="shared" si="1"/>
        <v>46146</v>
      </c>
    </row>
    <row r="52" spans="1:35" ht="137.44999999999999" customHeight="1">
      <c r="A52" s="124"/>
      <c r="B52" s="57" t="s">
        <v>124</v>
      </c>
      <c r="C52" s="126"/>
      <c r="D52" s="51" t="s">
        <v>332</v>
      </c>
      <c r="E52" s="108"/>
      <c r="F52" s="111"/>
      <c r="G52" s="65" t="s">
        <v>366</v>
      </c>
      <c r="H52" s="68">
        <f>H51+193000</f>
        <v>1556038.68</v>
      </c>
      <c r="I52" s="116"/>
      <c r="J52" s="108"/>
      <c r="K52" s="63">
        <v>46139</v>
      </c>
      <c r="L52" s="17" t="s">
        <v>84</v>
      </c>
      <c r="M52" s="62">
        <v>46155</v>
      </c>
      <c r="N52" s="62">
        <v>46155</v>
      </c>
      <c r="O52" s="63" t="s">
        <v>423</v>
      </c>
      <c r="P52" s="82" t="s">
        <v>198</v>
      </c>
      <c r="Q52" s="62">
        <v>46155</v>
      </c>
      <c r="R52" s="108"/>
      <c r="S52" s="57"/>
      <c r="T52" s="42"/>
      <c r="AI52" s="102">
        <f t="shared" si="1"/>
        <v>46154</v>
      </c>
    </row>
    <row r="53" spans="1:35" ht="137.44999999999999" customHeight="1">
      <c r="A53" s="57" t="s">
        <v>342</v>
      </c>
      <c r="B53" s="83">
        <v>4503025053</v>
      </c>
      <c r="C53" s="86"/>
      <c r="D53" s="84" t="s">
        <v>343</v>
      </c>
      <c r="E53" s="52" t="s">
        <v>344</v>
      </c>
      <c r="F53" s="67" t="s">
        <v>345</v>
      </c>
      <c r="G53" s="65" t="s">
        <v>346</v>
      </c>
      <c r="H53" s="68">
        <v>4554136</v>
      </c>
      <c r="I53" s="69" t="s">
        <v>29</v>
      </c>
      <c r="J53" s="65" t="s">
        <v>351</v>
      </c>
      <c r="K53" s="63">
        <v>46133</v>
      </c>
      <c r="L53" s="62">
        <v>46134</v>
      </c>
      <c r="M53" s="62">
        <v>46148</v>
      </c>
      <c r="N53" s="62">
        <v>46148</v>
      </c>
      <c r="O53" s="63">
        <v>46387</v>
      </c>
      <c r="P53" s="63">
        <v>46148</v>
      </c>
      <c r="Q53" s="62">
        <v>46148</v>
      </c>
      <c r="R53" s="65">
        <v>5221054994</v>
      </c>
      <c r="S53" s="57"/>
      <c r="T53" s="42"/>
      <c r="AI53" s="102">
        <f t="shared" si="1"/>
        <v>46148</v>
      </c>
    </row>
    <row r="54" spans="1:35" ht="137.44999999999999" customHeight="1">
      <c r="A54" s="57" t="s">
        <v>347</v>
      </c>
      <c r="B54" s="83">
        <v>4503064698</v>
      </c>
      <c r="C54" s="86"/>
      <c r="D54" s="84" t="s">
        <v>348</v>
      </c>
      <c r="E54" s="52" t="s">
        <v>349</v>
      </c>
      <c r="F54" s="67" t="s">
        <v>371</v>
      </c>
      <c r="G54" s="65" t="s">
        <v>350</v>
      </c>
      <c r="H54" s="74">
        <v>340500</v>
      </c>
      <c r="I54" s="70" t="s">
        <v>55</v>
      </c>
      <c r="J54" s="65" t="s">
        <v>352</v>
      </c>
      <c r="K54" s="63">
        <v>46133</v>
      </c>
      <c r="L54" s="62">
        <v>46141</v>
      </c>
      <c r="M54" s="62">
        <v>46147</v>
      </c>
      <c r="N54" s="62">
        <v>46147</v>
      </c>
      <c r="O54" s="63">
        <v>46402</v>
      </c>
      <c r="P54" s="63">
        <v>46147</v>
      </c>
      <c r="Q54" s="62">
        <v>46147</v>
      </c>
      <c r="R54" s="65">
        <v>9452301489</v>
      </c>
      <c r="S54" s="65" t="s">
        <v>393</v>
      </c>
      <c r="T54" s="42"/>
      <c r="AI54" s="102">
        <f t="shared" si="1"/>
        <v>46148</v>
      </c>
    </row>
    <row r="55" spans="1:35" ht="137.44999999999999" customHeight="1">
      <c r="A55" s="57" t="s">
        <v>354</v>
      </c>
      <c r="B55" s="83">
        <v>4503066286</v>
      </c>
      <c r="C55" s="86"/>
      <c r="D55" s="84" t="s">
        <v>355</v>
      </c>
      <c r="E55" s="52" t="s">
        <v>360</v>
      </c>
      <c r="F55" s="67" t="s">
        <v>356</v>
      </c>
      <c r="G55" s="65" t="s">
        <v>357</v>
      </c>
      <c r="H55" s="68">
        <v>70000</v>
      </c>
      <c r="I55" s="93" t="s">
        <v>358</v>
      </c>
      <c r="J55" s="65" t="s">
        <v>359</v>
      </c>
      <c r="K55" s="63" t="s">
        <v>99</v>
      </c>
      <c r="L55" s="62" t="s">
        <v>99</v>
      </c>
      <c r="M55" s="62">
        <v>46135</v>
      </c>
      <c r="N55" s="62">
        <v>46135</v>
      </c>
      <c r="O55" s="63">
        <v>46203</v>
      </c>
      <c r="P55" s="63">
        <v>46135</v>
      </c>
      <c r="Q55" s="62">
        <v>46135</v>
      </c>
      <c r="R55" s="65">
        <v>7831852560</v>
      </c>
      <c r="S55" s="57"/>
      <c r="T55" s="42"/>
      <c r="AI55" s="102" t="str">
        <f t="shared" si="1"/>
        <v/>
      </c>
    </row>
    <row r="56" spans="1:35" ht="137.44999999999999" customHeight="1">
      <c r="A56" s="57" t="s">
        <v>367</v>
      </c>
      <c r="B56" s="83"/>
      <c r="C56" s="86"/>
      <c r="D56" s="84" t="s">
        <v>368</v>
      </c>
      <c r="E56" s="52" t="s">
        <v>377</v>
      </c>
      <c r="F56" s="67" t="s">
        <v>379</v>
      </c>
      <c r="G56" s="65" t="s">
        <v>369</v>
      </c>
      <c r="H56" s="74">
        <v>2950000</v>
      </c>
      <c r="I56" s="70" t="s">
        <v>55</v>
      </c>
      <c r="J56" s="65" t="s">
        <v>370</v>
      </c>
      <c r="K56" s="63">
        <v>46139</v>
      </c>
      <c r="L56" s="97" t="s">
        <v>400</v>
      </c>
      <c r="M56" s="62"/>
      <c r="N56" s="62"/>
      <c r="O56" s="63">
        <v>46903</v>
      </c>
      <c r="P56" s="65"/>
      <c r="Q56" s="62"/>
      <c r="R56" s="65"/>
      <c r="S56" s="57"/>
      <c r="T56" s="42"/>
      <c r="AI56" s="102">
        <f t="shared" si="1"/>
        <v>46154</v>
      </c>
    </row>
    <row r="57" spans="1:35" ht="137.44999999999999" customHeight="1">
      <c r="A57" s="57" t="s">
        <v>372</v>
      </c>
      <c r="B57" s="83" t="s">
        <v>99</v>
      </c>
      <c r="C57" s="86" t="s">
        <v>373</v>
      </c>
      <c r="D57" s="84" t="s">
        <v>378</v>
      </c>
      <c r="E57" s="52" t="s">
        <v>376</v>
      </c>
      <c r="F57" s="26" t="s">
        <v>304</v>
      </c>
      <c r="G57" s="65" t="s">
        <v>374</v>
      </c>
      <c r="H57" s="74">
        <v>87000</v>
      </c>
      <c r="I57" s="69" t="s">
        <v>29</v>
      </c>
      <c r="J57" s="65" t="s">
        <v>375</v>
      </c>
      <c r="K57" s="63">
        <v>46140</v>
      </c>
      <c r="L57" s="63" t="s">
        <v>401</v>
      </c>
      <c r="M57" s="62"/>
      <c r="N57" s="62"/>
      <c r="O57" s="63">
        <v>46241</v>
      </c>
      <c r="P57" s="82" t="s">
        <v>198</v>
      </c>
      <c r="Q57" s="62"/>
      <c r="R57" s="82" t="s">
        <v>198</v>
      </c>
      <c r="S57" s="91" t="s">
        <v>386</v>
      </c>
      <c r="T57" s="42"/>
      <c r="AI57" s="102">
        <f t="shared" si="1"/>
        <v>46155</v>
      </c>
    </row>
    <row r="58" spans="1:35" ht="137.44999999999999" customHeight="1">
      <c r="A58" s="57" t="s">
        <v>380</v>
      </c>
      <c r="B58" s="83" t="s">
        <v>99</v>
      </c>
      <c r="C58" s="86" t="s">
        <v>381</v>
      </c>
      <c r="D58" s="84" t="s">
        <v>382</v>
      </c>
      <c r="E58" s="52" t="s">
        <v>383</v>
      </c>
      <c r="F58" s="26" t="s">
        <v>304</v>
      </c>
      <c r="G58" s="65" t="s">
        <v>384</v>
      </c>
      <c r="H58" s="74">
        <v>49800</v>
      </c>
      <c r="I58" s="69" t="s">
        <v>29</v>
      </c>
      <c r="J58" s="65" t="s">
        <v>385</v>
      </c>
      <c r="K58" s="63">
        <v>46141</v>
      </c>
      <c r="L58" s="97" t="s">
        <v>391</v>
      </c>
      <c r="M58" s="62"/>
      <c r="N58" s="62"/>
      <c r="O58" s="63">
        <v>46443</v>
      </c>
      <c r="P58" s="82" t="s">
        <v>198</v>
      </c>
      <c r="Q58" s="62"/>
      <c r="R58" s="82" t="s">
        <v>198</v>
      </c>
      <c r="S58" s="91" t="s">
        <v>386</v>
      </c>
      <c r="T58" s="42"/>
      <c r="AI58" s="102">
        <f t="shared" si="1"/>
        <v>46156</v>
      </c>
    </row>
    <row r="59" spans="1:35" ht="137.44999999999999" customHeight="1">
      <c r="A59" s="57" t="s">
        <v>394</v>
      </c>
      <c r="B59" s="57"/>
      <c r="C59" s="71"/>
      <c r="D59" s="51" t="s">
        <v>395</v>
      </c>
      <c r="E59" s="52" t="s">
        <v>397</v>
      </c>
      <c r="F59" s="67" t="s">
        <v>396</v>
      </c>
      <c r="G59" s="65" t="s">
        <v>398</v>
      </c>
      <c r="H59" s="68">
        <v>16000</v>
      </c>
      <c r="I59" s="70" t="s">
        <v>55</v>
      </c>
      <c r="J59" s="65" t="s">
        <v>399</v>
      </c>
      <c r="K59" s="63">
        <v>46150</v>
      </c>
      <c r="L59" s="62">
        <v>46153</v>
      </c>
      <c r="M59" s="62"/>
      <c r="N59" s="62"/>
      <c r="O59" s="63">
        <v>46164</v>
      </c>
      <c r="P59" s="65"/>
      <c r="Q59" s="62"/>
      <c r="R59" s="65">
        <v>8882506638</v>
      </c>
      <c r="S59" s="57"/>
      <c r="T59" s="42"/>
      <c r="AI59" s="102">
        <f t="shared" si="1"/>
        <v>46167</v>
      </c>
    </row>
    <row r="60" spans="1:35" ht="137.44999999999999" customHeight="1">
      <c r="A60" s="57" t="s">
        <v>402</v>
      </c>
      <c r="B60" s="57">
        <v>4503085836</v>
      </c>
      <c r="C60" s="71"/>
      <c r="D60" s="51" t="s">
        <v>408</v>
      </c>
      <c r="E60" s="52" t="s">
        <v>409</v>
      </c>
      <c r="F60" s="67" t="s">
        <v>410</v>
      </c>
      <c r="G60" s="65" t="s">
        <v>411</v>
      </c>
      <c r="H60" s="68">
        <v>19801595</v>
      </c>
      <c r="I60" s="70" t="s">
        <v>55</v>
      </c>
      <c r="J60" s="65" t="s">
        <v>412</v>
      </c>
      <c r="K60" s="63">
        <v>46153</v>
      </c>
      <c r="L60" s="62"/>
      <c r="M60" s="62"/>
      <c r="N60" s="62"/>
      <c r="O60" s="63">
        <v>46751</v>
      </c>
      <c r="P60" s="65"/>
      <c r="Q60" s="62"/>
      <c r="R60" s="65">
        <v>7972054607</v>
      </c>
      <c r="S60" s="57"/>
      <c r="T60" s="42"/>
      <c r="AI60" s="102">
        <f t="shared" si="1"/>
        <v>46168</v>
      </c>
    </row>
    <row r="61" spans="1:35" ht="137.44999999999999" customHeight="1">
      <c r="A61" s="57" t="s">
        <v>403</v>
      </c>
      <c r="B61" s="57">
        <v>4503071267</v>
      </c>
      <c r="C61" s="71"/>
      <c r="D61" s="51" t="s">
        <v>404</v>
      </c>
      <c r="E61" s="52" t="s">
        <v>405</v>
      </c>
      <c r="F61" s="67" t="s">
        <v>406</v>
      </c>
      <c r="G61" s="65" t="s">
        <v>407</v>
      </c>
      <c r="H61" s="68">
        <v>31352</v>
      </c>
      <c r="I61" s="69" t="s">
        <v>29</v>
      </c>
      <c r="J61" s="65" t="s">
        <v>415</v>
      </c>
      <c r="K61" s="63" t="s">
        <v>99</v>
      </c>
      <c r="L61" s="62" t="s">
        <v>99</v>
      </c>
      <c r="M61" s="62">
        <v>46155</v>
      </c>
      <c r="N61" s="62">
        <v>46155</v>
      </c>
      <c r="O61" s="63">
        <v>46172</v>
      </c>
      <c r="P61" s="63">
        <v>46155</v>
      </c>
      <c r="Q61" s="62">
        <v>46155</v>
      </c>
      <c r="R61" s="65">
        <v>8792694783</v>
      </c>
      <c r="S61" s="57"/>
      <c r="T61" s="42"/>
      <c r="AI61" s="102" t="str">
        <f t="shared" si="1"/>
        <v/>
      </c>
    </row>
    <row r="62" spans="1:35" ht="137.44999999999999" customHeight="1">
      <c r="A62" s="57" t="s">
        <v>416</v>
      </c>
      <c r="B62" s="57">
        <v>4503027816</v>
      </c>
      <c r="C62" s="71"/>
      <c r="D62" s="51" t="s">
        <v>417</v>
      </c>
      <c r="E62" s="52" t="s">
        <v>422</v>
      </c>
      <c r="F62" s="67" t="s">
        <v>418</v>
      </c>
      <c r="G62" s="65" t="s">
        <v>419</v>
      </c>
      <c r="H62" s="68">
        <v>214974</v>
      </c>
      <c r="I62" s="93" t="s">
        <v>358</v>
      </c>
      <c r="J62" s="65" t="s">
        <v>420</v>
      </c>
      <c r="K62" s="63">
        <v>46155</v>
      </c>
      <c r="L62" s="62"/>
      <c r="M62" s="62"/>
      <c r="N62" s="62"/>
      <c r="O62" s="63" t="s">
        <v>421</v>
      </c>
      <c r="P62" s="65"/>
      <c r="Q62" s="62"/>
      <c r="R62" s="65">
        <v>5220004617</v>
      </c>
      <c r="S62" s="57"/>
      <c r="T62" s="42"/>
      <c r="AI62" s="102">
        <f t="shared" si="1"/>
        <v>46170</v>
      </c>
    </row>
    <row r="63" spans="1:35" ht="137.44999999999999" customHeight="1">
      <c r="A63" s="57" t="s">
        <v>425</v>
      </c>
      <c r="B63" s="57"/>
      <c r="C63" s="71"/>
      <c r="D63" s="51" t="s">
        <v>426</v>
      </c>
      <c r="E63" s="52" t="s">
        <v>427</v>
      </c>
      <c r="F63" s="67" t="s">
        <v>428</v>
      </c>
      <c r="G63" s="65" t="s">
        <v>429</v>
      </c>
      <c r="H63" s="74">
        <v>49800</v>
      </c>
      <c r="I63" s="69" t="s">
        <v>29</v>
      </c>
      <c r="J63" s="65" t="s">
        <v>430</v>
      </c>
      <c r="K63" s="63">
        <v>46156</v>
      </c>
      <c r="L63" s="62"/>
      <c r="M63" s="62"/>
      <c r="N63" s="62"/>
      <c r="O63" s="63">
        <v>46782</v>
      </c>
      <c r="P63" s="65"/>
      <c r="Q63" s="62"/>
      <c r="R63" s="65">
        <v>5263001258</v>
      </c>
      <c r="S63" s="65" t="s">
        <v>431</v>
      </c>
      <c r="T63" s="42"/>
      <c r="AI63" s="102">
        <f t="shared" si="1"/>
        <v>46171</v>
      </c>
    </row>
    <row r="64" spans="1:35" ht="137.44999999999999" customHeight="1">
      <c r="A64" s="57" t="s">
        <v>432</v>
      </c>
      <c r="B64" s="57" t="s">
        <v>99</v>
      </c>
      <c r="C64" s="71" t="s">
        <v>381</v>
      </c>
      <c r="D64" s="51" t="s">
        <v>433</v>
      </c>
      <c r="E64" s="52" t="s">
        <v>434</v>
      </c>
      <c r="F64" s="67" t="s">
        <v>304</v>
      </c>
      <c r="G64" s="65" t="s">
        <v>435</v>
      </c>
      <c r="H64" s="68">
        <v>1750000</v>
      </c>
      <c r="I64" s="69" t="s">
        <v>55</v>
      </c>
      <c r="J64" s="65" t="s">
        <v>436</v>
      </c>
      <c r="K64" s="63">
        <v>46162</v>
      </c>
      <c r="L64" s="62"/>
      <c r="M64" s="62"/>
      <c r="N64" s="62"/>
      <c r="O64" s="63" t="s">
        <v>437</v>
      </c>
      <c r="P64" s="65"/>
      <c r="Q64" s="62"/>
      <c r="R64" s="65">
        <v>6351862285</v>
      </c>
      <c r="S64" s="57" t="s">
        <v>438</v>
      </c>
      <c r="T64" s="42"/>
      <c r="AI64" s="102">
        <f t="shared" si="1"/>
        <v>46177</v>
      </c>
    </row>
    <row r="65" spans="1:35" ht="137.44999999999999" customHeight="1">
      <c r="A65" s="57"/>
      <c r="B65" s="57"/>
      <c r="C65" s="71"/>
      <c r="D65" s="51"/>
      <c r="E65" s="52"/>
      <c r="F65" s="67"/>
      <c r="G65" s="65"/>
      <c r="H65" s="68"/>
      <c r="I65" s="69"/>
      <c r="J65" s="65"/>
      <c r="K65" s="63"/>
      <c r="L65" s="62"/>
      <c r="M65" s="62"/>
      <c r="N65" s="62"/>
      <c r="O65" s="63"/>
      <c r="P65" s="65"/>
      <c r="Q65" s="62"/>
      <c r="R65" s="65"/>
      <c r="S65" s="57"/>
      <c r="T65" s="42"/>
      <c r="AI65" s="102" t="str">
        <f t="shared" si="1"/>
        <v/>
      </c>
    </row>
    <row r="66" spans="1:35" ht="111" customHeight="1">
      <c r="A66" s="15"/>
      <c r="B66" s="47"/>
      <c r="C66" s="47"/>
      <c r="D66" s="48"/>
      <c r="E66" s="14"/>
      <c r="F66" s="50"/>
      <c r="G66" s="12"/>
      <c r="H66" s="12"/>
      <c r="I66" s="24"/>
      <c r="J66" s="12"/>
      <c r="K66" s="17"/>
      <c r="L66" s="15"/>
      <c r="M66" s="16"/>
      <c r="N66" s="16"/>
      <c r="O66" s="43"/>
      <c r="P66" s="47"/>
      <c r="Q66" s="16"/>
      <c r="R66" s="12"/>
      <c r="S66" s="15"/>
      <c r="T66" s="16"/>
      <c r="AI66" s="102" t="str">
        <f t="shared" si="1"/>
        <v/>
      </c>
    </row>
    <row r="75" spans="1:35">
      <c r="B75" s="38" t="s">
        <v>14</v>
      </c>
      <c r="C75" s="38"/>
      <c r="D75" s="34"/>
    </row>
    <row r="76" spans="1:35">
      <c r="B76" s="39" t="s">
        <v>15</v>
      </c>
      <c r="C76" s="27"/>
      <c r="D76" s="28"/>
    </row>
    <row r="77" spans="1:35">
      <c r="A77" s="36"/>
      <c r="B77" s="37" t="s">
        <v>16</v>
      </c>
    </row>
    <row r="78" spans="1:35">
      <c r="A78" s="35"/>
      <c r="B78" s="37" t="s">
        <v>13</v>
      </c>
    </row>
  </sheetData>
  <autoFilter ref="A3:S62" xr:uid="{A7CDBBE7-3017-475D-A14F-8980B95E4913}"/>
  <mergeCells count="31">
    <mergeCell ref="A20:A22"/>
    <mergeCell ref="A51:A52"/>
    <mergeCell ref="C51:C52"/>
    <mergeCell ref="R8:R9"/>
    <mergeCell ref="A8:A9"/>
    <mergeCell ref="E8:E9"/>
    <mergeCell ref="F8:F9"/>
    <mergeCell ref="I8:I9"/>
    <mergeCell ref="J8:J9"/>
    <mergeCell ref="R10:R12"/>
    <mergeCell ref="I13:I14"/>
    <mergeCell ref="J13:J14"/>
    <mergeCell ref="A13:A14"/>
    <mergeCell ref="R13:R14"/>
    <mergeCell ref="E10:E12"/>
    <mergeCell ref="F10:F12"/>
    <mergeCell ref="I10:I12"/>
    <mergeCell ref="J10:J12"/>
    <mergeCell ref="A10:A12"/>
    <mergeCell ref="E13:E14"/>
    <mergeCell ref="F13:F14"/>
    <mergeCell ref="R20:R22"/>
    <mergeCell ref="R51:R52"/>
    <mergeCell ref="E20:E22"/>
    <mergeCell ref="F20:F22"/>
    <mergeCell ref="I20:I22"/>
    <mergeCell ref="J20:J22"/>
    <mergeCell ref="F51:F52"/>
    <mergeCell ref="I51:I52"/>
    <mergeCell ref="J51:J52"/>
    <mergeCell ref="E51:E52"/>
  </mergeCells>
  <phoneticPr fontId="5" type="noConversion"/>
  <hyperlinks>
    <hyperlink ref="F43" r:id="rId1" xr:uid="{BF8BCFAA-E237-424D-9200-0D53B9C95EEC}"/>
  </hyperlinks>
  <pageMargins left="0.7" right="0.7" top="0.75" bottom="0.75" header="0.3" footer="0.3"/>
  <pageSetup paperSize="8" scale="34" fitToHeight="0" orientation="landscape" horizont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6856-E88D-4445-A9E0-29262A0331A7}">
  <dimension ref="A1"/>
  <sheetViews>
    <sheetView workbookViewId="0"/>
  </sheetViews>
  <sheetFormatPr defaultRowHeight="13.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2BF6-A637-4DD1-A764-87D590535A5D}">
  <dimension ref="B2:H3"/>
  <sheetViews>
    <sheetView zoomScaleNormal="100" workbookViewId="0">
      <selection activeCell="C2" sqref="C2"/>
    </sheetView>
  </sheetViews>
  <sheetFormatPr defaultRowHeight="14.25"/>
  <cols>
    <col min="2" max="2" width="4.625" style="6" customWidth="1"/>
    <col min="3" max="3" width="13.125" style="7" customWidth="1"/>
    <col min="4" max="4" width="30" style="7" customWidth="1"/>
    <col min="5" max="5" width="35.625" style="7" customWidth="1"/>
    <col min="6" max="6" width="37.625" style="8" customWidth="1"/>
    <col min="7" max="7" width="26.125" style="7" customWidth="1"/>
    <col min="8" max="8" width="20.125" customWidth="1"/>
  </cols>
  <sheetData>
    <row r="2" spans="2:8" ht="13.5">
      <c r="B2" s="5" t="s">
        <v>0</v>
      </c>
      <c r="C2" s="5" t="s">
        <v>50</v>
      </c>
      <c r="D2" s="5" t="s">
        <v>51</v>
      </c>
      <c r="E2" s="5" t="s">
        <v>1</v>
      </c>
      <c r="F2" s="5" t="s">
        <v>52</v>
      </c>
      <c r="G2" s="5" t="s">
        <v>2</v>
      </c>
    </row>
    <row r="3" spans="2:8" ht="13.5">
      <c r="B3" s="4"/>
      <c r="C3" s="3"/>
      <c r="D3" s="2"/>
      <c r="E3" s="2"/>
      <c r="F3" s="2"/>
      <c r="G3" s="4"/>
      <c r="H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PORR_TME</vt:lpstr>
      <vt:lpstr>Arkusz1</vt:lpstr>
      <vt:lpstr>TERMOMECC_Przychodzące 2022</vt:lpstr>
      <vt:lpstr>PORR_TME!Print_Area</vt:lpstr>
    </vt:vector>
  </TitlesOfParts>
  <Company>Bilfinger Berger Budownictwo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koziole</dc:creator>
  <cp:lastModifiedBy>Aldo Giamblanco</cp:lastModifiedBy>
  <cp:lastPrinted>2024-04-29T05:55:31Z</cp:lastPrinted>
  <dcterms:created xsi:type="dcterms:W3CDTF">2012-01-02T08:47:20Z</dcterms:created>
  <dcterms:modified xsi:type="dcterms:W3CDTF">2026-05-25T14:14:01Z</dcterms:modified>
</cp:coreProperties>
</file>