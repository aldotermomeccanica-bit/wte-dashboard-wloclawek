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  <col width="10" customWidth="1" min="11" max="11"/>
    <col width="10" customWidth="1" min="12" max="12"/>
    <col hidden="1" width="22" customWidth="1" min="13" max="13"/>
    <col hidden="1" width="21" customWidth="1" min="14" max="14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2" t="inlineStr">
        <is>
          <t>Generato: 2026-05-14 14:26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inlineStr">
        <is>
          <t>baseline_direct</t>
        </is>
      </c>
      <c r="N5" s="4" t="n">
        <v>501457853</v>
      </c>
    </row>
    <row r="6" ht="20" customHeight="1">
      <c r="A6" s="5" t="inlineStr">
        <is>
          <t>Costi diretti</t>
        </is>
      </c>
      <c r="B6" s="6">
        <f>N5</f>
        <v/>
      </c>
      <c r="C6" s="5" t="inlineStr">
        <is>
          <t>Budget attuale (col. AB)</t>
        </is>
      </c>
      <c r="D6" s="6">
        <f>N6</f>
        <v/>
      </c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updated_direct</t>
        </is>
      </c>
      <c r="N6" s="4" t="n">
        <v>501457852.99</v>
      </c>
    </row>
    <row r="7" ht="20" customHeight="1">
      <c r="A7" s="5" t="inlineStr">
        <is>
          <t>Costi indiretti</t>
        </is>
      </c>
      <c r="B7" s="6">
        <f>N7</f>
        <v/>
      </c>
      <c r="C7" s="5" t="inlineStr">
        <is>
          <t>Delta %</t>
        </is>
      </c>
      <c r="D7" s="6">
        <f>N8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baseline_indirect</t>
        </is>
      </c>
      <c r="N7" s="4" t="n">
        <v>40355205</v>
      </c>
    </row>
    <row r="8" ht="20" customHeight="1">
      <c r="A8" s="5" t="inlineStr">
        <is>
          <t>Costi garanzia, difetti, imprevisti:</t>
        </is>
      </c>
      <c r="B8" s="6">
        <f>N9</f>
        <v/>
      </c>
      <c r="C8" s="5" t="inlineStr">
        <is>
          <t>Costi garanzia, difetti, imprevisti:</t>
        </is>
      </c>
      <c r="D8" s="6">
        <f>N10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inlineStr">
        <is>
          <t>updated_indirect</t>
        </is>
      </c>
      <c r="N8" s="4" t="n">
        <v>40358716.72</v>
      </c>
    </row>
    <row r="9" ht="20" customHeight="1">
      <c r="A9" s="5" t="inlineStr">
        <is>
          <t>Ricavi base</t>
        </is>
      </c>
      <c r="B9" s="6">
        <f>N11</f>
        <v/>
      </c>
      <c r="C9" s="5" t="inlineStr">
        <is>
          <t>Ricavi base</t>
        </is>
      </c>
      <c r="D9" s="6">
        <f>N12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inlineStr">
        <is>
          <t>baseline_contingency</t>
        </is>
      </c>
      <c r="N9" s="4" t="n">
        <v>22098535</v>
      </c>
    </row>
    <row r="10" ht="20" customHeight="1">
      <c r="A10" s="5" t="inlineStr">
        <is>
          <t>Margine</t>
        </is>
      </c>
      <c r="B10" s="6">
        <f>N13</f>
        <v/>
      </c>
      <c r="C10" s="5" t="inlineStr">
        <is>
          <t>Margine</t>
        </is>
      </c>
      <c r="D10" s="6">
        <f>N14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updated_contingency</t>
        </is>
      </c>
      <c r="N10" s="4" t="n">
        <v>22098535.15</v>
      </c>
    </row>
    <row r="11" ht="20" customHeight="1">
      <c r="A11" s="5" t="inlineStr">
        <is>
          <t>Ordini chiusi ultimi 3 mesi</t>
        </is>
      </c>
      <c r="B11" s="7">
        <f>COUNTIF('04_Orders_3M'!$A:$A,"Closed last 3 months")</f>
        <v/>
      </c>
      <c r="C11" s="5" t="inlineStr">
        <is>
          <t>Prossimi ordini 3 mesi</t>
        </is>
      </c>
      <c r="D11" s="7">
        <f>COUNTIF('04_Orders_3M'!$A:$A,"Next orders 3 months")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baseline_revenue</t>
        </is>
      </c>
      <c r="N11" s="4" t="n">
        <v>627086000</v>
      </c>
    </row>
    <row r="12" ht="20" customHeight="1">
      <c r="A12" s="5" t="inlineStr">
        <is>
          <t>Milestones penalizzate</t>
        </is>
      </c>
      <c r="B12" s="7">
        <f>MAX(COUNTA('03_Milestones'!$B$7:$B$200)-COUNTIF('03_Milestones'!$B$7:$B$200,"Nessun dato disponibile"),0)</f>
        <v/>
      </c>
      <c r="C12" s="5" t="inlineStr">
        <is>
          <t>Da ordinare / Planned</t>
        </is>
      </c>
      <c r="D12" s="6">
        <f>SUMIF('05_Status_Mix'!$A:$A,"Da ordinare",'05_Status_Mix'!$C:$C)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inlineStr">
        <is>
          <t>updated_revenue</t>
        </is>
      </c>
      <c r="N12" s="4" t="n">
        <v>627086000</v>
      </c>
    </row>
    <row r="13" ht="20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baseline_margin</t>
        </is>
      </c>
      <c r="N13" s="4" t="n">
        <v>63174407</v>
      </c>
    </row>
    <row r="14" ht="2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inlineStr">
        <is>
          <t>updated_margin</t>
        </is>
      </c>
      <c r="N14" s="4" t="n">
        <v>63170895.14</v>
      </c>
    </row>
    <row r="15" ht="20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inlineStr">
        <is>
          <t>baseline_pct_costs</t>
        </is>
      </c>
      <c r="N15" s="4" t="n">
        <v>0</v>
      </c>
    </row>
    <row r="16" ht="20" customHeight="1">
      <c r="A16" s="8" t="inlineStr">
        <is>
          <t>Curva S degli ordini rispetto al pianificato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8" t="inlineStr">
        <is>
          <t>Totale ordinato / da ordinare / negoziazione</t>
        </is>
      </c>
      <c r="K16" s="2" t="n"/>
      <c r="L16" s="2" t="n"/>
      <c r="M16" s="2" t="inlineStr">
        <is>
          <t>updated_pct_costs</t>
        </is>
      </c>
      <c r="N16" s="9">
        <f>IFERROR(N14/N10,0)</f>
        <v/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10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6">
        <f>'07_Source_Budget_Delta'!B7</f>
        <v/>
      </c>
      <c r="B6" s="6">
        <f>'07_Source_Budget_Delta'!B8</f>
        <v/>
      </c>
      <c r="C6" s="6">
        <f>B6-A6</f>
        <v/>
      </c>
      <c r="D6" s="11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5">
        <f>'07_Source_Budget_Delta'!A12</f>
        <v/>
      </c>
      <c r="B10" s="5">
        <f>'07_Source_Budget_Delta'!B12</f>
        <v/>
      </c>
      <c r="C10" s="5">
        <f>'07_Source_Budget_Delta'!C12</f>
        <v/>
      </c>
      <c r="D10" s="5">
        <f>'07_Source_Budget_Delta'!D12</f>
        <v/>
      </c>
      <c r="E10" s="6">
        <f>'07_Source_Budget_Delta'!E12</f>
        <v/>
      </c>
      <c r="F10" s="6">
        <f>'07_Source_Budget_Delta'!F12</f>
        <v/>
      </c>
      <c r="G10" s="6">
        <f>F10-E10</f>
        <v/>
      </c>
      <c r="H10" s="11">
        <f>IFERROR(G10/E10,0)</f>
        <v/>
      </c>
    </row>
    <row r="11" ht="20" customHeight="1">
      <c r="A11" s="5">
        <f>'07_Source_Budget_Delta'!A13</f>
        <v/>
      </c>
      <c r="B11" s="5">
        <f>'07_Source_Budget_Delta'!B13</f>
        <v/>
      </c>
      <c r="C11" s="5">
        <f>'07_Source_Budget_Delta'!C13</f>
        <v/>
      </c>
      <c r="D11" s="5">
        <f>'07_Source_Budget_Delta'!D13</f>
        <v/>
      </c>
      <c r="E11" s="6">
        <f>'07_Source_Budget_Delta'!E13</f>
        <v/>
      </c>
      <c r="F11" s="6">
        <f>'07_Source_Budget_Delta'!F13</f>
        <v/>
      </c>
      <c r="G11" s="6">
        <f>F11-E11</f>
        <v/>
      </c>
      <c r="H11" s="11">
        <f>IFERROR(G11/E11,0)</f>
        <v/>
      </c>
    </row>
    <row r="12" ht="20" customHeight="1">
      <c r="A12" s="5">
        <f>'07_Source_Budget_Delta'!A14</f>
        <v/>
      </c>
      <c r="B12" s="5">
        <f>'07_Source_Budget_Delta'!B14</f>
        <v/>
      </c>
      <c r="C12" s="5">
        <f>'07_Source_Budget_Delta'!C14</f>
        <v/>
      </c>
      <c r="D12" s="5">
        <f>'07_Source_Budget_Delta'!D14</f>
        <v/>
      </c>
      <c r="E12" s="6">
        <f>'07_Source_Budget_Delta'!E14</f>
        <v/>
      </c>
      <c r="F12" s="6">
        <f>'07_Source_Budget_Delta'!F14</f>
        <v/>
      </c>
      <c r="G12" s="6">
        <f>F12-E12</f>
        <v/>
      </c>
      <c r="H12" s="11">
        <f>IFERROR(G12/E12,0)</f>
        <v/>
      </c>
    </row>
    <row r="13" ht="20" customHeight="1">
      <c r="A13" s="5">
        <f>'07_Source_Budget_Delta'!A15</f>
        <v/>
      </c>
      <c r="B13" s="5">
        <f>'07_Source_Budget_Delta'!B15</f>
        <v/>
      </c>
      <c r="C13" s="5">
        <f>'07_Source_Budget_Delta'!C15</f>
        <v/>
      </c>
      <c r="D13" s="5">
        <f>'07_Source_Budget_Delta'!D15</f>
        <v/>
      </c>
      <c r="E13" s="6">
        <f>'07_Source_Budget_Delta'!E15</f>
        <v/>
      </c>
      <c r="F13" s="6">
        <f>'07_Source_Budget_Delta'!F15</f>
        <v/>
      </c>
      <c r="G13" s="6">
        <f>F13-E13</f>
        <v/>
      </c>
      <c r="H13" s="11">
        <f>IFERROR(G13/E13,0)</f>
        <v/>
      </c>
    </row>
    <row r="14" ht="20" customHeight="1">
      <c r="A14" s="5">
        <f>'07_Source_Budget_Delta'!A16</f>
        <v/>
      </c>
      <c r="B14" s="5">
        <f>'07_Source_Budget_Delta'!B16</f>
        <v/>
      </c>
      <c r="C14" s="5">
        <f>'07_Source_Budget_Delta'!C16</f>
        <v/>
      </c>
      <c r="D14" s="5">
        <f>'07_Source_Budget_Delta'!D16</f>
        <v/>
      </c>
      <c r="E14" s="6">
        <f>'07_Source_Budget_Delta'!E16</f>
        <v/>
      </c>
      <c r="F14" s="6">
        <f>'07_Source_Budget_Delta'!F16</f>
        <v/>
      </c>
      <c r="G14" s="6">
        <f>F14-E14</f>
        <v/>
      </c>
      <c r="H14" s="11">
        <f>IFERROR(G14/E14,0)</f>
        <v/>
      </c>
    </row>
    <row r="15" ht="20" customHeight="1">
      <c r="A15" s="5">
        <f>'07_Source_Budget_Delta'!A17</f>
        <v/>
      </c>
      <c r="B15" s="5">
        <f>'07_Source_Budget_Delta'!B17</f>
        <v/>
      </c>
      <c r="C15" s="5">
        <f>'07_Source_Budget_Delta'!C17</f>
        <v/>
      </c>
      <c r="D15" s="5">
        <f>'07_Source_Budget_Delta'!D17</f>
        <v/>
      </c>
      <c r="E15" s="6">
        <f>'07_Source_Budget_Delta'!E17</f>
        <v/>
      </c>
      <c r="F15" s="6">
        <f>'07_Source_Budget_Delta'!F17</f>
        <v/>
      </c>
      <c r="G15" s="6">
        <f>F15-E15</f>
        <v/>
      </c>
      <c r="H15" s="11">
        <f>IFERROR(G15/E15,0)</f>
        <v/>
      </c>
    </row>
    <row r="16" ht="20" customHeight="1">
      <c r="A16" s="5">
        <f>'07_Source_Budget_Delta'!A18</f>
        <v/>
      </c>
      <c r="B16" s="5">
        <f>'07_Source_Budget_Delta'!B18</f>
        <v/>
      </c>
      <c r="C16" s="5">
        <f>'07_Source_Budget_Delta'!C18</f>
        <v/>
      </c>
      <c r="D16" s="5">
        <f>'07_Source_Budget_Delta'!D18</f>
        <v/>
      </c>
      <c r="E16" s="6">
        <f>'07_Source_Budget_Delta'!E18</f>
        <v/>
      </c>
      <c r="F16" s="6">
        <f>'07_Source_Budget_Delta'!F18</f>
        <v/>
      </c>
      <c r="G16" s="6">
        <f>F16-E16</f>
        <v/>
      </c>
      <c r="H16" s="11">
        <f>IFERROR(G16/E16,0)</f>
        <v/>
      </c>
    </row>
    <row r="17" ht="20" customHeight="1">
      <c r="A17" s="5">
        <f>'07_Source_Budget_Delta'!A19</f>
        <v/>
      </c>
      <c r="B17" s="5">
        <f>'07_Source_Budget_Delta'!B19</f>
        <v/>
      </c>
      <c r="C17" s="5">
        <f>'07_Source_Budget_Delta'!C19</f>
        <v/>
      </c>
      <c r="D17" s="5">
        <f>'07_Source_Budget_Delta'!D19</f>
        <v/>
      </c>
      <c r="E17" s="6">
        <f>'07_Source_Budget_Delta'!E19</f>
        <v/>
      </c>
      <c r="F17" s="6">
        <f>'07_Source_Budget_Delta'!F19</f>
        <v/>
      </c>
      <c r="G17" s="6">
        <f>F17-E17</f>
        <v/>
      </c>
      <c r="H17" s="11">
        <f>IFERROR(G17/E17,0)</f>
        <v/>
      </c>
    </row>
    <row r="18" ht="20" customHeight="1">
      <c r="A18" s="5">
        <f>'07_Source_Budget_Delta'!A20</f>
        <v/>
      </c>
      <c r="B18" s="5">
        <f>'07_Source_Budget_Delta'!B20</f>
        <v/>
      </c>
      <c r="C18" s="5">
        <f>'07_Source_Budget_Delta'!C20</f>
        <v/>
      </c>
      <c r="D18" s="5">
        <f>'07_Source_Budget_Delta'!D20</f>
        <v/>
      </c>
      <c r="E18" s="6">
        <f>'07_Source_Budget_Delta'!E20</f>
        <v/>
      </c>
      <c r="F18" s="6">
        <f>'07_Source_Budget_Delta'!F20</f>
        <v/>
      </c>
      <c r="G18" s="6">
        <f>F18-E18</f>
        <v/>
      </c>
      <c r="H18" s="11">
        <f>IFERROR(G18/E18,0)</f>
        <v/>
      </c>
    </row>
    <row r="19" ht="20" customHeight="1">
      <c r="A19" s="5">
        <f>'07_Source_Budget_Delta'!A21</f>
        <v/>
      </c>
      <c r="B19" s="5">
        <f>'07_Source_Budget_Delta'!B21</f>
        <v/>
      </c>
      <c r="C19" s="5">
        <f>'07_Source_Budget_Delta'!C21</f>
        <v/>
      </c>
      <c r="D19" s="5">
        <f>'07_Source_Budget_Delta'!D21</f>
        <v/>
      </c>
      <c r="E19" s="6">
        <f>'07_Source_Budget_Delta'!E21</f>
        <v/>
      </c>
      <c r="F19" s="6">
        <f>'07_Source_Budget_Delta'!F21</f>
        <v/>
      </c>
      <c r="G19" s="6">
        <f>F19-E19</f>
        <v/>
      </c>
      <c r="H19" s="11">
        <f>IFERROR(G19/E19,0)</f>
        <v/>
      </c>
    </row>
    <row r="20" ht="20" customHeight="1">
      <c r="A20" s="5">
        <f>'07_Source_Budget_Delta'!A22</f>
        <v/>
      </c>
      <c r="B20" s="5">
        <f>'07_Source_Budget_Delta'!B22</f>
        <v/>
      </c>
      <c r="C20" s="5">
        <f>'07_Source_Budget_Delta'!C22</f>
        <v/>
      </c>
      <c r="D20" s="5">
        <f>'07_Source_Budget_Delta'!D22</f>
        <v/>
      </c>
      <c r="E20" s="6">
        <f>'07_Source_Budget_Delta'!E22</f>
        <v/>
      </c>
      <c r="F20" s="6">
        <f>'07_Source_Budget_Delta'!F22</f>
        <v/>
      </c>
      <c r="G20" s="6">
        <f>F20-E20</f>
        <v/>
      </c>
      <c r="H20" s="11">
        <f>IFERROR(G20/E20,0)</f>
        <v/>
      </c>
    </row>
    <row r="21" ht="20" customHeight="1">
      <c r="A21" s="5">
        <f>'07_Source_Budget_Delta'!A23</f>
        <v/>
      </c>
      <c r="B21" s="5">
        <f>'07_Source_Budget_Delta'!B23</f>
        <v/>
      </c>
      <c r="C21" s="5">
        <f>'07_Source_Budget_Delta'!C23</f>
        <v/>
      </c>
      <c r="D21" s="5">
        <f>'07_Source_Budget_Delta'!D23</f>
        <v/>
      </c>
      <c r="E21" s="6">
        <f>'07_Source_Budget_Delta'!E23</f>
        <v/>
      </c>
      <c r="F21" s="6">
        <f>'07_Source_Budget_Delta'!F23</f>
        <v/>
      </c>
      <c r="G21" s="6">
        <f>F21-E21</f>
        <v/>
      </c>
      <c r="H21" s="11">
        <f>IFERROR(G21/E21,0)</f>
        <v/>
      </c>
    </row>
    <row r="22" ht="20" customHeight="1">
      <c r="A22" s="5">
        <f>'07_Source_Budget_Delta'!A24</f>
        <v/>
      </c>
      <c r="B22" s="5">
        <f>'07_Source_Budget_Delta'!B24</f>
        <v/>
      </c>
      <c r="C22" s="5">
        <f>'07_Source_Budget_Delta'!C24</f>
        <v/>
      </c>
      <c r="D22" s="5">
        <f>'07_Source_Budget_Delta'!D24</f>
        <v/>
      </c>
      <c r="E22" s="6">
        <f>'07_Source_Budget_Delta'!E24</f>
        <v/>
      </c>
      <c r="F22" s="6">
        <f>'07_Source_Budget_Delta'!F24</f>
        <v/>
      </c>
      <c r="G22" s="6">
        <f>F22-E22</f>
        <v/>
      </c>
      <c r="H22" s="11">
        <f>IFERROR(G22/E22,0)</f>
        <v/>
      </c>
    </row>
    <row r="23" ht="20" customHeight="1">
      <c r="A23" s="5">
        <f>'07_Source_Budget_Delta'!A25</f>
        <v/>
      </c>
      <c r="B23" s="5">
        <f>'07_Source_Budget_Delta'!B25</f>
        <v/>
      </c>
      <c r="C23" s="5">
        <f>'07_Source_Budget_Delta'!C25</f>
        <v/>
      </c>
      <c r="D23" s="5">
        <f>'07_Source_Budget_Delta'!D25</f>
        <v/>
      </c>
      <c r="E23" s="6">
        <f>'07_Source_Budget_Delta'!E25</f>
        <v/>
      </c>
      <c r="F23" s="6">
        <f>'07_Source_Budget_Delta'!F25</f>
        <v/>
      </c>
      <c r="G23" s="6">
        <f>F23-E23</f>
        <v/>
      </c>
      <c r="H23" s="11">
        <f>IFERROR(G23/E23,0)</f>
        <v/>
      </c>
    </row>
    <row r="24" ht="20" customHeight="1">
      <c r="A24" s="5">
        <f>'07_Source_Budget_Delta'!A26</f>
        <v/>
      </c>
      <c r="B24" s="5">
        <f>'07_Source_Budget_Delta'!B26</f>
        <v/>
      </c>
      <c r="C24" s="5">
        <f>'07_Source_Budget_Delta'!C26</f>
        <v/>
      </c>
      <c r="D24" s="5">
        <f>'07_Source_Budget_Delta'!D26</f>
        <v/>
      </c>
      <c r="E24" s="6">
        <f>'07_Source_Budget_Delta'!E26</f>
        <v/>
      </c>
      <c r="F24" s="6">
        <f>'07_Source_Budget_Delta'!F26</f>
        <v/>
      </c>
      <c r="G24" s="6">
        <f>F24-E24</f>
        <v/>
      </c>
      <c r="H24" s="11">
        <f>IFERROR(G24/E24,0)</f>
        <v/>
      </c>
    </row>
    <row r="25" ht="20" customHeight="1">
      <c r="A25" s="5">
        <f>'07_Source_Budget_Delta'!A27</f>
        <v/>
      </c>
      <c r="B25" s="5">
        <f>'07_Source_Budget_Delta'!B27</f>
        <v/>
      </c>
      <c r="C25" s="5">
        <f>'07_Source_Budget_Delta'!C27</f>
        <v/>
      </c>
      <c r="D25" s="5">
        <f>'07_Source_Budget_Delta'!D27</f>
        <v/>
      </c>
      <c r="E25" s="6">
        <f>'07_Source_Budget_Delta'!E27</f>
        <v/>
      </c>
      <c r="F25" s="6">
        <f>'07_Source_Budget_Delta'!F27</f>
        <v/>
      </c>
      <c r="G25" s="6">
        <f>F25-E25</f>
        <v/>
      </c>
      <c r="H25" s="11">
        <f>IFERROR(G25/E25,0)</f>
        <v/>
      </c>
    </row>
    <row r="26" ht="20" customHeight="1">
      <c r="A26" s="5">
        <f>'07_Source_Budget_Delta'!A28</f>
        <v/>
      </c>
      <c r="B26" s="5">
        <f>'07_Source_Budget_Delta'!B28</f>
        <v/>
      </c>
      <c r="C26" s="5">
        <f>'07_Source_Budget_Delta'!C28</f>
        <v/>
      </c>
      <c r="D26" s="5">
        <f>'07_Source_Budget_Delta'!D28</f>
        <v/>
      </c>
      <c r="E26" s="6">
        <f>'07_Source_Budget_Delta'!E28</f>
        <v/>
      </c>
      <c r="F26" s="6">
        <f>'07_Source_Budget_Delta'!F28</f>
        <v/>
      </c>
      <c r="G26" s="6">
        <f>F26-E26</f>
        <v/>
      </c>
      <c r="H26" s="11">
        <f>IFERROR(G26/E26,0)</f>
        <v/>
      </c>
    </row>
    <row r="27" ht="20" customHeight="1">
      <c r="A27" s="5">
        <f>'07_Source_Budget_Delta'!A29</f>
        <v/>
      </c>
      <c r="B27" s="5">
        <f>'07_Source_Budget_Delta'!B29</f>
        <v/>
      </c>
      <c r="C27" s="5">
        <f>'07_Source_Budget_Delta'!C29</f>
        <v/>
      </c>
      <c r="D27" s="5">
        <f>'07_Source_Budget_Delta'!D29</f>
        <v/>
      </c>
      <c r="E27" s="6">
        <f>'07_Source_Budget_Delta'!E29</f>
        <v/>
      </c>
      <c r="F27" s="6">
        <f>'07_Source_Budget_Delta'!F29</f>
        <v/>
      </c>
      <c r="G27" s="6">
        <f>F27-E27</f>
        <v/>
      </c>
      <c r="H27" s="11">
        <f>IFERROR(G27/E27,0)</f>
        <v/>
      </c>
    </row>
    <row r="28" ht="20" customHeight="1">
      <c r="A28" s="5">
        <f>'07_Source_Budget_Delta'!A30</f>
        <v/>
      </c>
      <c r="B28" s="5">
        <f>'07_Source_Budget_Delta'!B30</f>
        <v/>
      </c>
      <c r="C28" s="5">
        <f>'07_Source_Budget_Delta'!C30</f>
        <v/>
      </c>
      <c r="D28" s="5">
        <f>'07_Source_Budget_Delta'!D30</f>
        <v/>
      </c>
      <c r="E28" s="6">
        <f>'07_Source_Budget_Delta'!E30</f>
        <v/>
      </c>
      <c r="F28" s="6">
        <f>'07_Source_Budget_Delta'!F30</f>
        <v/>
      </c>
      <c r="G28" s="6">
        <f>F28-E28</f>
        <v/>
      </c>
      <c r="H28" s="11">
        <f>IFERROR(G28/E28,0)</f>
        <v/>
      </c>
    </row>
    <row r="29" ht="20" customHeight="1">
      <c r="A29" s="5">
        <f>'07_Source_Budget_Delta'!A31</f>
        <v/>
      </c>
      <c r="B29" s="5">
        <f>'07_Source_Budget_Delta'!B31</f>
        <v/>
      </c>
      <c r="C29" s="5">
        <f>'07_Source_Budget_Delta'!C31</f>
        <v/>
      </c>
      <c r="D29" s="5">
        <f>'07_Source_Budget_Delta'!D31</f>
        <v/>
      </c>
      <c r="E29" s="6">
        <f>'07_Source_Budget_Delta'!E31</f>
        <v/>
      </c>
      <c r="F29" s="6">
        <f>'07_Source_Budget_Delta'!F31</f>
        <v/>
      </c>
      <c r="G29" s="6">
        <f>F29-E29</f>
        <v/>
      </c>
      <c r="H29" s="11">
        <f>IFERROR(G29/E29,0)</f>
        <v/>
      </c>
    </row>
    <row r="30" ht="20" customHeight="1">
      <c r="A30" s="5">
        <f>'07_Source_Budget_Delta'!A32</f>
        <v/>
      </c>
      <c r="B30" s="5">
        <f>'07_Source_Budget_Delta'!B32</f>
        <v/>
      </c>
      <c r="C30" s="5">
        <f>'07_Source_Budget_Delta'!C32</f>
        <v/>
      </c>
      <c r="D30" s="5">
        <f>'07_Source_Budget_Delta'!D32</f>
        <v/>
      </c>
      <c r="E30" s="6">
        <f>'07_Source_Budget_Delta'!E32</f>
        <v/>
      </c>
      <c r="F30" s="6">
        <f>'07_Source_Budget_Delta'!F32</f>
        <v/>
      </c>
      <c r="G30" s="6">
        <f>F30-E30</f>
        <v/>
      </c>
      <c r="H30" s="11">
        <f>IFERROR(G30/E30,0)</f>
        <v/>
      </c>
    </row>
    <row r="31" ht="20" customHeight="1">
      <c r="A31" s="5">
        <f>'07_Source_Budget_Delta'!A33</f>
        <v/>
      </c>
      <c r="B31" s="5">
        <f>'07_Source_Budget_Delta'!B33</f>
        <v/>
      </c>
      <c r="C31" s="5">
        <f>'07_Source_Budget_Delta'!C33</f>
        <v/>
      </c>
      <c r="D31" s="5">
        <f>'07_Source_Budget_Delta'!D33</f>
        <v/>
      </c>
      <c r="E31" s="6">
        <f>'07_Source_Budget_Delta'!E33</f>
        <v/>
      </c>
      <c r="F31" s="6">
        <f>'07_Source_Budget_Delta'!F33</f>
        <v/>
      </c>
      <c r="G31" s="6">
        <f>F31-E31</f>
        <v/>
      </c>
      <c r="H31" s="11">
        <f>IFERROR(G31/E31,0)</f>
        <v/>
      </c>
    </row>
    <row r="32" ht="20" customHeight="1">
      <c r="A32" s="5">
        <f>'07_Source_Budget_Delta'!A34</f>
        <v/>
      </c>
      <c r="B32" s="5">
        <f>'07_Source_Budget_Delta'!B34</f>
        <v/>
      </c>
      <c r="C32" s="5">
        <f>'07_Source_Budget_Delta'!C34</f>
        <v/>
      </c>
      <c r="D32" s="5">
        <f>'07_Source_Budget_Delta'!D34</f>
        <v/>
      </c>
      <c r="E32" s="6">
        <f>'07_Source_Budget_Delta'!E34</f>
        <v/>
      </c>
      <c r="F32" s="6">
        <f>'07_Source_Budget_Delta'!F34</f>
        <v/>
      </c>
      <c r="G32" s="6">
        <f>F32-E32</f>
        <v/>
      </c>
      <c r="H32" s="11">
        <f>IFERROR(G32/E32,0)</f>
        <v/>
      </c>
    </row>
    <row r="33" ht="20" customHeight="1">
      <c r="A33" s="5">
        <f>'07_Source_Budget_Delta'!A35</f>
        <v/>
      </c>
      <c r="B33" s="5">
        <f>'07_Source_Budget_Delta'!B35</f>
        <v/>
      </c>
      <c r="C33" s="5">
        <f>'07_Source_Budget_Delta'!C35</f>
        <v/>
      </c>
      <c r="D33" s="5">
        <f>'07_Source_Budget_Delta'!D35</f>
        <v/>
      </c>
      <c r="E33" s="6">
        <f>'07_Source_Budget_Delta'!E35</f>
        <v/>
      </c>
      <c r="F33" s="6">
        <f>'07_Source_Budget_Delta'!F35</f>
        <v/>
      </c>
      <c r="G33" s="6">
        <f>F33-E33</f>
        <v/>
      </c>
      <c r="H33" s="11">
        <f>IFERROR(G33/E33,0)</f>
        <v/>
      </c>
    </row>
    <row r="34" ht="20" customHeight="1">
      <c r="A34" s="5">
        <f>'07_Source_Budget_Delta'!A36</f>
        <v/>
      </c>
      <c r="B34" s="5">
        <f>'07_Source_Budget_Delta'!B36</f>
        <v/>
      </c>
      <c r="C34" s="5">
        <f>'07_Source_Budget_Delta'!C36</f>
        <v/>
      </c>
      <c r="D34" s="5">
        <f>'07_Source_Budget_Delta'!D36</f>
        <v/>
      </c>
      <c r="E34" s="6">
        <f>'07_Source_Budget_Delta'!E36</f>
        <v/>
      </c>
      <c r="F34" s="6">
        <f>'07_Source_Budget_Delta'!F36</f>
        <v/>
      </c>
      <c r="G34" s="6">
        <f>F34-E34</f>
        <v/>
      </c>
      <c r="H34" s="11">
        <f>IFERROR(G34/E34,0)</f>
        <v/>
      </c>
    </row>
    <row r="35" ht="20" customHeight="1">
      <c r="A35" s="5">
        <f>'07_Source_Budget_Delta'!A37</f>
        <v/>
      </c>
      <c r="B35" s="5">
        <f>'07_Source_Budget_Delta'!B37</f>
        <v/>
      </c>
      <c r="C35" s="5">
        <f>'07_Source_Budget_Delta'!C37</f>
        <v/>
      </c>
      <c r="D35" s="5">
        <f>'07_Source_Budget_Delta'!D37</f>
        <v/>
      </c>
      <c r="E35" s="6">
        <f>'07_Source_Budget_Delta'!E37</f>
        <v/>
      </c>
      <c r="F35" s="6">
        <f>'07_Source_Budget_Delta'!F37</f>
        <v/>
      </c>
      <c r="G35" s="6">
        <f>F35-E35</f>
        <v/>
      </c>
      <c r="H35" s="11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5">
        <f>'08_Source_PORR_Production'!A7</f>
        <v/>
      </c>
      <c r="B2" s="6">
        <f>'08_Source_PORR_Production'!B7</f>
        <v/>
      </c>
      <c r="C2" s="6">
        <f>SUM($B$2:B2)</f>
        <v/>
      </c>
    </row>
    <row r="3" ht="20" customHeight="1">
      <c r="A3" s="5">
        <f>'08_Source_PORR_Production'!A8</f>
        <v/>
      </c>
      <c r="B3" s="6">
        <f>'08_Source_PORR_Production'!B8</f>
        <v/>
      </c>
      <c r="C3" s="6">
        <f>SUM($B$2:B3)</f>
        <v/>
      </c>
    </row>
    <row r="4" ht="20" customHeight="1">
      <c r="A4" s="5">
        <f>'08_Source_PORR_Production'!A9</f>
        <v/>
      </c>
      <c r="B4" s="6">
        <f>'08_Source_PORR_Production'!B9</f>
        <v/>
      </c>
      <c r="C4" s="6">
        <f>SUM($B$2:B4)</f>
        <v/>
      </c>
    </row>
    <row r="5" ht="20" customHeight="1">
      <c r="A5" s="5">
        <f>'08_Source_PORR_Production'!A10</f>
        <v/>
      </c>
      <c r="B5" s="6">
        <f>'08_Source_PORR_Production'!B10</f>
        <v/>
      </c>
      <c r="C5" s="6">
        <f>SUM($B$2:B5)</f>
        <v/>
      </c>
    </row>
    <row r="6" ht="20" customHeight="1">
      <c r="A6" s="5">
        <f>'08_Source_PORR_Production'!A11</f>
        <v/>
      </c>
      <c r="B6" s="6">
        <f>'08_Source_PORR_Production'!B11</f>
        <v/>
      </c>
      <c r="C6" s="6">
        <f>SUM($B$2:B6)</f>
        <v/>
      </c>
    </row>
    <row r="7" ht="20" customHeight="1">
      <c r="A7" s="5">
        <f>'08_Source_PORR_Production'!A12</f>
        <v/>
      </c>
      <c r="B7" s="6">
        <f>'08_Source_PORR_Production'!B12</f>
        <v/>
      </c>
      <c r="C7" s="6">
        <f>SUM($B$2:B7)</f>
        <v/>
      </c>
    </row>
    <row r="8" ht="20" customHeight="1">
      <c r="A8" s="5">
        <f>'08_Source_PORR_Production'!A13</f>
        <v/>
      </c>
      <c r="B8" s="6">
        <f>'08_Source_PORR_Production'!B13</f>
        <v/>
      </c>
      <c r="C8" s="6">
        <f>SUM($B$2:B8)</f>
        <v/>
      </c>
    </row>
    <row r="9" ht="20" customHeight="1">
      <c r="A9" s="5">
        <f>'08_Source_PORR_Production'!A14</f>
        <v/>
      </c>
      <c r="B9" s="6">
        <f>'08_Source_PORR_Production'!B14</f>
        <v/>
      </c>
      <c r="C9" s="6">
        <f>SUM($B$2:B9)</f>
        <v/>
      </c>
    </row>
    <row r="10" ht="20" customHeight="1">
      <c r="A10" s="5">
        <f>'08_Source_PORR_Production'!A15</f>
        <v/>
      </c>
      <c r="B10" s="6">
        <f>'08_Source_PORR_Production'!B15</f>
        <v/>
      </c>
      <c r="C10" s="6">
        <f>SUM($B$2:B10)</f>
        <v/>
      </c>
    </row>
    <row r="11" ht="20" customHeight="1">
      <c r="A11" s="5">
        <f>'08_Source_PORR_Production'!A16</f>
        <v/>
      </c>
      <c r="B11" s="6">
        <f>'08_Source_PORR_Production'!B16</f>
        <v/>
      </c>
      <c r="C11" s="6">
        <f>SUM($B$2:B11)</f>
        <v/>
      </c>
    </row>
    <row r="12" ht="20" customHeight="1">
      <c r="A12" s="5">
        <f>'08_Source_PORR_Production'!A17</f>
        <v/>
      </c>
      <c r="B12" s="6">
        <f>'08_Source_PORR_Production'!B17</f>
        <v/>
      </c>
      <c r="C12" s="6">
        <f>SUM($B$2:B12)</f>
        <v/>
      </c>
    </row>
    <row r="13" ht="20" customHeight="1">
      <c r="A13" s="5">
        <f>'08_Source_PORR_Production'!A18</f>
        <v/>
      </c>
      <c r="B13" s="6">
        <f>'08_Source_PORR_Production'!B18</f>
        <v/>
      </c>
      <c r="C13" s="6">
        <f>SUM($B$2:B13)</f>
        <v/>
      </c>
    </row>
    <row r="14" ht="20" customHeight="1">
      <c r="A14" s="5">
        <f>'08_Source_PORR_Production'!A19</f>
        <v/>
      </c>
      <c r="B14" s="6">
        <f>'08_Source_PORR_Production'!B19</f>
        <v/>
      </c>
      <c r="C14" s="6">
        <f>SUM($B$2:B14)</f>
        <v/>
      </c>
    </row>
    <row r="15" ht="20" customHeight="1">
      <c r="A15" s="5">
        <f>'08_Source_PORR_Production'!A20</f>
        <v/>
      </c>
      <c r="B15" s="6">
        <f>'08_Source_PORR_Production'!B20</f>
        <v/>
      </c>
      <c r="C15" s="6">
        <f>SUM($B$2:B15)</f>
        <v/>
      </c>
    </row>
    <row r="16" ht="20" customHeight="1">
      <c r="A16" s="5">
        <f>'08_Source_PORR_Production'!A21</f>
        <v/>
      </c>
      <c r="B16" s="6">
        <f>'08_Source_PORR_Production'!B21</f>
        <v/>
      </c>
      <c r="C16" s="6">
        <f>SUM($B$2:B16)</f>
        <v/>
      </c>
    </row>
    <row r="17" ht="20" customHeight="1">
      <c r="A17" s="5">
        <f>'08_Source_PORR_Production'!A22</f>
        <v/>
      </c>
      <c r="B17" s="6">
        <f>'08_Source_PORR_Production'!B22</f>
        <v/>
      </c>
      <c r="C17" s="6">
        <f>SUM($B$2:B17)</f>
        <v/>
      </c>
    </row>
    <row r="18" ht="20" customHeight="1">
      <c r="A18" s="5">
        <f>'08_Source_PORR_Production'!A23</f>
        <v/>
      </c>
      <c r="B18" s="6">
        <f>'08_Source_PORR_Production'!B23</f>
        <v/>
      </c>
      <c r="C18" s="6">
        <f>SUM($B$2:B18)</f>
        <v/>
      </c>
    </row>
    <row r="19" ht="20" customHeight="1">
      <c r="A19" s="5">
        <f>'08_Source_PORR_Production'!A24</f>
        <v/>
      </c>
      <c r="B19" s="6">
        <f>'08_Source_PORR_Production'!B24</f>
        <v/>
      </c>
      <c r="C19" s="6">
        <f>SUM($B$2:B19)</f>
        <v/>
      </c>
    </row>
    <row r="20" ht="20" customHeight="1">
      <c r="A20" s="5">
        <f>'08_Source_PORR_Production'!A25</f>
        <v/>
      </c>
      <c r="B20" s="6">
        <f>'08_Source_PORR_Production'!B25</f>
        <v/>
      </c>
      <c r="C20" s="6">
        <f>SUM($B$2:B20)</f>
        <v/>
      </c>
    </row>
    <row r="21" ht="20" customHeight="1">
      <c r="A21" s="5">
        <f>'08_Source_PORR_Production'!A26</f>
        <v/>
      </c>
      <c r="B21" s="6">
        <f>'08_Source_PORR_Production'!B26</f>
        <v/>
      </c>
      <c r="C21" s="6">
        <f>SUM($B$2:B21)</f>
        <v/>
      </c>
    </row>
    <row r="22" ht="20" customHeight="1">
      <c r="A22" s="5">
        <f>'08_Source_PORR_Production'!A27</f>
        <v/>
      </c>
      <c r="B22" s="6">
        <f>'08_Source_PORR_Production'!B27</f>
        <v/>
      </c>
      <c r="C22" s="6">
        <f>SUM($B$2:B22)</f>
        <v/>
      </c>
    </row>
    <row r="23" ht="20" customHeight="1">
      <c r="A23" s="5">
        <f>'08_Source_PORR_Production'!A28</f>
        <v/>
      </c>
      <c r="B23" s="6">
        <f>'08_Source_PORR_Production'!B28</f>
        <v/>
      </c>
      <c r="C23" s="6">
        <f>SUM($B$2:B23)</f>
        <v/>
      </c>
    </row>
    <row r="24" ht="20" customHeight="1">
      <c r="A24" s="5">
        <f>'08_Source_PORR_Production'!A29</f>
        <v/>
      </c>
      <c r="B24" s="6">
        <f>'08_Source_PORR_Production'!B29</f>
        <v/>
      </c>
      <c r="C24" s="6">
        <f>SUM($B$2:B24)</f>
        <v/>
      </c>
    </row>
    <row r="25" ht="20" customHeight="1">
      <c r="A25" s="5">
        <f>'08_Source_PORR_Production'!A30</f>
        <v/>
      </c>
      <c r="B25" s="6">
        <f>'08_Source_PORR_Production'!B30</f>
        <v/>
      </c>
      <c r="C25" s="6">
        <f>SUM($B$2:B25)</f>
        <v/>
      </c>
    </row>
    <row r="26" ht="20" customHeight="1">
      <c r="A26" s="5">
        <f>'08_Source_PORR_Production'!A31</f>
        <v/>
      </c>
      <c r="B26" s="6">
        <f>'08_Source_PORR_Production'!B31</f>
        <v/>
      </c>
      <c r="C26" s="6">
        <f>SUM($B$2:B26)</f>
        <v/>
      </c>
    </row>
    <row r="27" ht="20" customHeight="1">
      <c r="A27" s="5">
        <f>'08_Source_PORR_Production'!A32</f>
        <v/>
      </c>
      <c r="B27" s="6">
        <f>'08_Source_PORR_Production'!B32</f>
        <v/>
      </c>
      <c r="C27" s="6">
        <f>SUM($B$2:B27)</f>
        <v/>
      </c>
    </row>
    <row r="28" ht="20" customHeight="1">
      <c r="A28" s="5">
        <f>'08_Source_PORR_Production'!A33</f>
        <v/>
      </c>
      <c r="B28" s="6">
        <f>'08_Source_PORR_Production'!B33</f>
        <v/>
      </c>
      <c r="C28" s="6">
        <f>SUM($B$2:B28)</f>
        <v/>
      </c>
    </row>
    <row r="29" ht="20" customHeight="1">
      <c r="A29" s="5">
        <f>'08_Source_PORR_Production'!A34</f>
        <v/>
      </c>
      <c r="B29" s="6">
        <f>'08_Source_PORR_Production'!B34</f>
        <v/>
      </c>
      <c r="C29" s="6">
        <f>SUM($B$2:B29)</f>
        <v/>
      </c>
    </row>
    <row r="30" ht="20" customHeight="1">
      <c r="A30" s="5">
        <f>'08_Source_PORR_Production'!A35</f>
        <v/>
      </c>
      <c r="B30" s="6">
        <f>'08_Source_PORR_Production'!B35</f>
        <v/>
      </c>
      <c r="C30" s="6">
        <f>SUM($B$2:B30)</f>
        <v/>
      </c>
    </row>
    <row r="31" ht="20" customHeight="1">
      <c r="A31" s="5">
        <f>'08_Source_PORR_Production'!A36</f>
        <v/>
      </c>
      <c r="B31" s="6">
        <f>'08_Source_PORR_Production'!B36</f>
        <v/>
      </c>
      <c r="C31" s="6">
        <f>SUM($B$2:B31)</f>
        <v/>
      </c>
    </row>
    <row r="32" ht="20" customHeight="1">
      <c r="A32" s="5">
        <f>'08_Source_PORR_Production'!A37</f>
        <v/>
      </c>
      <c r="B32" s="6">
        <f>'08_Source_PORR_Production'!B37</f>
        <v/>
      </c>
      <c r="C32" s="6">
        <f>SUM($B$2:B32)</f>
        <v/>
      </c>
    </row>
    <row r="33" ht="20" customHeight="1">
      <c r="A33" s="5">
        <f>'08_Source_PORR_Production'!A38</f>
        <v/>
      </c>
      <c r="B33" s="6">
        <f>'08_Source_PORR_Production'!B38</f>
        <v/>
      </c>
      <c r="C33" s="6">
        <f>SUM($B$2:B33)</f>
        <v/>
      </c>
    </row>
    <row r="34" ht="20" customHeight="1">
      <c r="A34" s="5">
        <f>'08_Source_PORR_Production'!A39</f>
        <v/>
      </c>
      <c r="B34" s="6">
        <f>'08_Source_PORR_Production'!B39</f>
        <v/>
      </c>
      <c r="C34" s="6">
        <f>SUM($B$2:B34)</f>
        <v/>
      </c>
    </row>
    <row r="35" ht="20" customHeight="1">
      <c r="A35" s="5">
        <f>'08_Source_PORR_Production'!A40</f>
        <v/>
      </c>
      <c r="B35" s="6">
        <f>'08_Source_PORR_Production'!B40</f>
        <v/>
      </c>
      <c r="C35" s="6">
        <f>SUM($B$2:B35)</f>
        <v/>
      </c>
    </row>
    <row r="36" ht="20" customHeight="1">
      <c r="A36" s="5">
        <f>'08_Source_PORR_Production'!A41</f>
        <v/>
      </c>
      <c r="B36" s="6">
        <f>'08_Source_PORR_Production'!B41</f>
        <v/>
      </c>
      <c r="C36" s="6">
        <f>SUM($B$2:B36)</f>
        <v/>
      </c>
    </row>
    <row r="37" ht="20" customHeight="1">
      <c r="A37" s="5">
        <f>'08_Source_PORR_Production'!A42</f>
        <v/>
      </c>
      <c r="B37" s="6">
        <f>'08_Source_PORR_Production'!B42</f>
        <v/>
      </c>
      <c r="C37" s="6">
        <f>SUM($B$2:B37)</f>
        <v/>
      </c>
    </row>
    <row r="38" ht="20" customHeight="1">
      <c r="A38" s="5">
        <f>'08_Source_PORR_Production'!A43</f>
        <v/>
      </c>
      <c r="B38" s="6">
        <f>'08_Source_PORR_Production'!B43</f>
        <v/>
      </c>
      <c r="C38" s="6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5" t="n">
        <v>2025</v>
      </c>
      <c r="B42" s="6">
        <f>SUMIFS($B$2:$B$38,$A$2:$A$38,"*2025*")</f>
        <v/>
      </c>
      <c r="C42" s="2" t="n"/>
    </row>
    <row r="43" ht="20" customHeight="1">
      <c r="A43" s="5" t="n">
        <v>2026</v>
      </c>
      <c r="B43" s="6">
        <f>SUMIFS($B$2:$B$38,$A$2:$A$38,"*2026*")</f>
        <v/>
      </c>
      <c r="C43" s="2" t="n"/>
    </row>
    <row r="44" ht="20" customHeight="1">
      <c r="A44" s="5" t="n">
        <v>2027</v>
      </c>
      <c r="B44" s="6">
        <f>SUMIFS($B$2:$B$38,$A$2:$A$38,"*2027*")</f>
        <v/>
      </c>
      <c r="C44" s="2" t="n"/>
    </row>
    <row r="45" ht="20" customHeight="1">
      <c r="A45" s="5" t="n">
        <v>2028</v>
      </c>
      <c r="B45" s="6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2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5" t="n">
        <v>1</v>
      </c>
      <c r="B7" s="5" t="inlineStr">
        <is>
          <t>Water pressure test</t>
        </is>
      </c>
      <c r="C7" s="13" t="n">
        <v>46676</v>
      </c>
      <c r="D7" s="13" t="n">
        <v>46676</v>
      </c>
    </row>
    <row r="8" ht="20" customHeight="1">
      <c r="A8" s="5" t="n">
        <v>2</v>
      </c>
      <c r="B8" s="5" t="inlineStr">
        <is>
          <t>Placement of the turbo-generator on the foundation</t>
        </is>
      </c>
      <c r="C8" s="13" t="n">
        <v>46646</v>
      </c>
      <c r="D8" s="13" t="n">
        <v>46646</v>
      </c>
    </row>
    <row r="9" ht="20" customHeight="1">
      <c r="A9" s="5" t="n">
        <v>3</v>
      </c>
      <c r="B9" s="5" t="inlineStr">
        <is>
          <t>Measurement of guaranteed parameters A</t>
        </is>
      </c>
      <c r="C9" s="13" t="n">
        <v>46927</v>
      </c>
      <c r="D9" s="13" t="n">
        <v>46927</v>
      </c>
    </row>
    <row r="10" ht="20" customHeight="1">
      <c r="A10" s="5" t="n">
        <v>4</v>
      </c>
      <c r="B10" s="5" t="inlineStr">
        <is>
          <t>Handover of the ITPO project to operation</t>
        </is>
      </c>
      <c r="C10" s="13" t="n">
        <v>46934</v>
      </c>
      <c r="D10" s="13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>
        <f>'10_Source_Orders_3M'!A2</f>
        <v/>
      </c>
      <c r="B2" s="5">
        <f>'10_Source_Orders_3M'!B2</f>
        <v/>
      </c>
      <c r="C2" s="5">
        <f>'10_Source_Orders_3M'!C2</f>
        <v/>
      </c>
      <c r="D2" s="5">
        <f>'10_Source_Orders_3M'!D2</f>
        <v/>
      </c>
      <c r="E2" s="13">
        <f>'10_Source_Orders_3M'!E2</f>
        <v/>
      </c>
      <c r="F2" s="6">
        <f>'10_Source_Orders_3M'!F2</f>
        <v/>
      </c>
      <c r="G2" s="5">
        <f>'10_Source_Orders_3M'!G2</f>
        <v/>
      </c>
    </row>
    <row r="3" ht="20" customHeight="1">
      <c r="A3" s="5">
        <f>'10_Source_Orders_3M'!A3</f>
        <v/>
      </c>
      <c r="B3" s="5">
        <f>'10_Source_Orders_3M'!B3</f>
        <v/>
      </c>
      <c r="C3" s="5">
        <f>'10_Source_Orders_3M'!C3</f>
        <v/>
      </c>
      <c r="D3" s="5">
        <f>'10_Source_Orders_3M'!D3</f>
        <v/>
      </c>
      <c r="E3" s="13">
        <f>'10_Source_Orders_3M'!E3</f>
        <v/>
      </c>
      <c r="F3" s="6">
        <f>'10_Source_Orders_3M'!F3</f>
        <v/>
      </c>
      <c r="G3" s="5">
        <f>'10_Source_Orders_3M'!G3</f>
        <v/>
      </c>
    </row>
    <row r="4" ht="20" customHeight="1">
      <c r="A4" s="5">
        <f>'10_Source_Orders_3M'!A4</f>
        <v/>
      </c>
      <c r="B4" s="5">
        <f>'10_Source_Orders_3M'!B4</f>
        <v/>
      </c>
      <c r="C4" s="5">
        <f>'10_Source_Orders_3M'!C4</f>
        <v/>
      </c>
      <c r="D4" s="5">
        <f>'10_Source_Orders_3M'!D4</f>
        <v/>
      </c>
      <c r="E4" s="13">
        <f>'10_Source_Orders_3M'!E4</f>
        <v/>
      </c>
      <c r="F4" s="6">
        <f>'10_Source_Orders_3M'!F4</f>
        <v/>
      </c>
      <c r="G4" s="5">
        <f>'10_Source_Orders_3M'!G4</f>
        <v/>
      </c>
    </row>
    <row r="5" ht="20" customHeight="1">
      <c r="A5" s="5">
        <f>'10_Source_Orders_3M'!A5</f>
        <v/>
      </c>
      <c r="B5" s="5">
        <f>'10_Source_Orders_3M'!B5</f>
        <v/>
      </c>
      <c r="C5" s="5">
        <f>'10_Source_Orders_3M'!C5</f>
        <v/>
      </c>
      <c r="D5" s="5">
        <f>'10_Source_Orders_3M'!D5</f>
        <v/>
      </c>
      <c r="E5" s="13">
        <f>'10_Source_Orders_3M'!E5</f>
        <v/>
      </c>
      <c r="F5" s="6">
        <f>'10_Source_Orders_3M'!F5</f>
        <v/>
      </c>
      <c r="G5" s="5">
        <f>'10_Source_Orders_3M'!G5</f>
        <v/>
      </c>
    </row>
    <row r="6" ht="20" customHeight="1">
      <c r="A6" s="5">
        <f>'10_Source_Orders_3M'!A6</f>
        <v/>
      </c>
      <c r="B6" s="5">
        <f>'10_Source_Orders_3M'!B6</f>
        <v/>
      </c>
      <c r="C6" s="5">
        <f>'10_Source_Orders_3M'!C6</f>
        <v/>
      </c>
      <c r="D6" s="5">
        <f>'10_Source_Orders_3M'!D6</f>
        <v/>
      </c>
      <c r="E6" s="13">
        <f>'10_Source_Orders_3M'!E6</f>
        <v/>
      </c>
      <c r="F6" s="6">
        <f>'10_Source_Orders_3M'!F6</f>
        <v/>
      </c>
      <c r="G6" s="5">
        <f>'10_Source_Orders_3M'!G6</f>
        <v/>
      </c>
    </row>
    <row r="7" ht="20" customHeight="1">
      <c r="A7" s="5">
        <f>'10_Source_Orders_3M'!A7</f>
        <v/>
      </c>
      <c r="B7" s="5">
        <f>'10_Source_Orders_3M'!B7</f>
        <v/>
      </c>
      <c r="C7" s="5">
        <f>'10_Source_Orders_3M'!C7</f>
        <v/>
      </c>
      <c r="D7" s="5">
        <f>'10_Source_Orders_3M'!D7</f>
        <v/>
      </c>
      <c r="E7" s="13">
        <f>'10_Source_Orders_3M'!E7</f>
        <v/>
      </c>
      <c r="F7" s="6">
        <f>'10_Source_Orders_3M'!F7</f>
        <v/>
      </c>
      <c r="G7" s="5">
        <f>'10_Source_Orders_3M'!G7</f>
        <v/>
      </c>
    </row>
    <row r="8" ht="20" customHeight="1">
      <c r="A8" s="5">
        <f>'10_Source_Orders_3M'!A8</f>
        <v/>
      </c>
      <c r="B8" s="5">
        <f>'10_Source_Orders_3M'!B8</f>
        <v/>
      </c>
      <c r="C8" s="5">
        <f>'10_Source_Orders_3M'!C8</f>
        <v/>
      </c>
      <c r="D8" s="5">
        <f>'10_Source_Orders_3M'!D8</f>
        <v/>
      </c>
      <c r="E8" s="13">
        <f>'10_Source_Orders_3M'!E8</f>
        <v/>
      </c>
      <c r="F8" s="6">
        <f>'10_Source_Orders_3M'!F8</f>
        <v/>
      </c>
      <c r="G8" s="5">
        <f>'10_Source_Orders_3M'!G8</f>
        <v/>
      </c>
    </row>
    <row r="9" ht="20" customHeight="1">
      <c r="A9" s="5">
        <f>'10_Source_Orders_3M'!A9</f>
        <v/>
      </c>
      <c r="B9" s="5">
        <f>'10_Source_Orders_3M'!B9</f>
        <v/>
      </c>
      <c r="C9" s="5">
        <f>'10_Source_Orders_3M'!C9</f>
        <v/>
      </c>
      <c r="D9" s="5">
        <f>'10_Source_Orders_3M'!D9</f>
        <v/>
      </c>
      <c r="E9" s="13">
        <f>'10_Source_Orders_3M'!E9</f>
        <v/>
      </c>
      <c r="F9" s="6">
        <f>'10_Source_Orders_3M'!F9</f>
        <v/>
      </c>
      <c r="G9" s="5">
        <f>'10_Source_Orders_3M'!G9</f>
        <v/>
      </c>
    </row>
    <row r="10" ht="20" customHeight="1">
      <c r="A10" s="5">
        <f>'10_Source_Orders_3M'!A10</f>
        <v/>
      </c>
      <c r="B10" s="5">
        <f>'10_Source_Orders_3M'!B10</f>
        <v/>
      </c>
      <c r="C10" s="5">
        <f>'10_Source_Orders_3M'!C10</f>
        <v/>
      </c>
      <c r="D10" s="5">
        <f>'10_Source_Orders_3M'!D10</f>
        <v/>
      </c>
      <c r="E10" s="13">
        <f>'10_Source_Orders_3M'!E10</f>
        <v/>
      </c>
      <c r="F10" s="6">
        <f>'10_Source_Orders_3M'!F10</f>
        <v/>
      </c>
      <c r="G10" s="5">
        <f>'10_Source_Orders_3M'!G10</f>
        <v/>
      </c>
    </row>
    <row r="11" ht="20" customHeight="1">
      <c r="A11" s="5">
        <f>'10_Source_Orders_3M'!A11</f>
        <v/>
      </c>
      <c r="B11" s="5">
        <f>'10_Source_Orders_3M'!B11</f>
        <v/>
      </c>
      <c r="C11" s="5">
        <f>'10_Source_Orders_3M'!C11</f>
        <v/>
      </c>
      <c r="D11" s="5">
        <f>'10_Source_Orders_3M'!D11</f>
        <v/>
      </c>
      <c r="E11" s="13">
        <f>'10_Source_Orders_3M'!E11</f>
        <v/>
      </c>
      <c r="F11" s="6">
        <f>'10_Source_Orders_3M'!F11</f>
        <v/>
      </c>
      <c r="G11" s="5">
        <f>'10_Source_Orders_3M'!G11</f>
        <v/>
      </c>
    </row>
    <row r="12" ht="20" customHeight="1">
      <c r="A12" s="5">
        <f>'10_Source_Orders_3M'!A12</f>
        <v/>
      </c>
      <c r="B12" s="5">
        <f>'10_Source_Orders_3M'!B12</f>
        <v/>
      </c>
      <c r="C12" s="5">
        <f>'10_Source_Orders_3M'!C12</f>
        <v/>
      </c>
      <c r="D12" s="5">
        <f>'10_Source_Orders_3M'!D12</f>
        <v/>
      </c>
      <c r="E12" s="13">
        <f>'10_Source_Orders_3M'!E12</f>
        <v/>
      </c>
      <c r="F12" s="6">
        <f>'10_Source_Orders_3M'!F12</f>
        <v/>
      </c>
      <c r="G12" s="5">
        <f>'10_Source_Orders_3M'!G12</f>
        <v/>
      </c>
    </row>
    <row r="13" ht="20" customHeight="1">
      <c r="A13" s="5">
        <f>'10_Source_Orders_3M'!A13</f>
        <v/>
      </c>
      <c r="B13" s="5">
        <f>'10_Source_Orders_3M'!B13</f>
        <v/>
      </c>
      <c r="C13" s="5">
        <f>'10_Source_Orders_3M'!C13</f>
        <v/>
      </c>
      <c r="D13" s="5">
        <f>'10_Source_Orders_3M'!D13</f>
        <v/>
      </c>
      <c r="E13" s="13">
        <f>'10_Source_Orders_3M'!E13</f>
        <v/>
      </c>
      <c r="F13" s="6">
        <f>'10_Source_Orders_3M'!F13</f>
        <v/>
      </c>
      <c r="G13" s="5">
        <f>'10_Source_Orders_3M'!G13</f>
        <v/>
      </c>
    </row>
    <row r="14" ht="20" customHeight="1">
      <c r="A14" s="5">
        <f>'10_Source_Orders_3M'!A14</f>
        <v/>
      </c>
      <c r="B14" s="5">
        <f>'10_Source_Orders_3M'!B14</f>
        <v/>
      </c>
      <c r="C14" s="5">
        <f>'10_Source_Orders_3M'!C14</f>
        <v/>
      </c>
      <c r="D14" s="5">
        <f>'10_Source_Orders_3M'!D14</f>
        <v/>
      </c>
      <c r="E14" s="13">
        <f>'10_Source_Orders_3M'!E14</f>
        <v/>
      </c>
      <c r="F14" s="6">
        <f>'10_Source_Orders_3M'!F14</f>
        <v/>
      </c>
      <c r="G14" s="5">
        <f>'10_Source_Orders_3M'!G14</f>
        <v/>
      </c>
    </row>
    <row r="15" ht="20" customHeight="1">
      <c r="A15" s="5">
        <f>'10_Source_Orders_3M'!A15</f>
        <v/>
      </c>
      <c r="B15" s="5">
        <f>'10_Source_Orders_3M'!B15</f>
        <v/>
      </c>
      <c r="C15" s="5">
        <f>'10_Source_Orders_3M'!C15</f>
        <v/>
      </c>
      <c r="D15" s="5">
        <f>'10_Source_Orders_3M'!D15</f>
        <v/>
      </c>
      <c r="E15" s="13">
        <f>'10_Source_Orders_3M'!E15</f>
        <v/>
      </c>
      <c r="F15" s="6">
        <f>'10_Source_Orders_3M'!F15</f>
        <v/>
      </c>
      <c r="G15" s="5">
        <f>'10_Source_Orders_3M'!G15</f>
        <v/>
      </c>
    </row>
    <row r="16" ht="20" customHeight="1">
      <c r="A16" s="5">
        <f>'10_Source_Orders_3M'!A16</f>
        <v/>
      </c>
      <c r="B16" s="5">
        <f>'10_Source_Orders_3M'!B16</f>
        <v/>
      </c>
      <c r="C16" s="5">
        <f>'10_Source_Orders_3M'!C16</f>
        <v/>
      </c>
      <c r="D16" s="5">
        <f>'10_Source_Orders_3M'!D16</f>
        <v/>
      </c>
      <c r="E16" s="13">
        <f>'10_Source_Orders_3M'!E16</f>
        <v/>
      </c>
      <c r="F16" s="6">
        <f>'10_Source_Orders_3M'!F16</f>
        <v/>
      </c>
      <c r="G16" s="5">
        <f>'10_Source_Orders_3M'!G16</f>
        <v/>
      </c>
    </row>
    <row r="17" ht="20" customHeight="1">
      <c r="A17" s="5">
        <f>'10_Source_Orders_3M'!A17</f>
        <v/>
      </c>
      <c r="B17" s="5">
        <f>'10_Source_Orders_3M'!B17</f>
        <v/>
      </c>
      <c r="C17" s="5">
        <f>'10_Source_Orders_3M'!C17</f>
        <v/>
      </c>
      <c r="D17" s="5">
        <f>'10_Source_Orders_3M'!D17</f>
        <v/>
      </c>
      <c r="E17" s="13">
        <f>'10_Source_Orders_3M'!E17</f>
        <v/>
      </c>
      <c r="F17" s="6">
        <f>'10_Source_Orders_3M'!F17</f>
        <v/>
      </c>
      <c r="G17" s="5">
        <f>'10_Source_Orders_3M'!G17</f>
        <v/>
      </c>
    </row>
    <row r="18" ht="20" customHeight="1">
      <c r="A18" s="5">
        <f>'10_Source_Orders_3M'!A18</f>
        <v/>
      </c>
      <c r="B18" s="5">
        <f>'10_Source_Orders_3M'!B18</f>
        <v/>
      </c>
      <c r="C18" s="5">
        <f>'10_Source_Orders_3M'!C18</f>
        <v/>
      </c>
      <c r="D18" s="5">
        <f>'10_Source_Orders_3M'!D18</f>
        <v/>
      </c>
      <c r="E18" s="13">
        <f>'10_Source_Orders_3M'!E18</f>
        <v/>
      </c>
      <c r="F18" s="6">
        <f>'10_Source_Orders_3M'!F18</f>
        <v/>
      </c>
      <c r="G18" s="5">
        <f>'10_Source_Orders_3M'!G18</f>
        <v/>
      </c>
    </row>
    <row r="19" ht="20" customHeight="1">
      <c r="A19" s="5">
        <f>'10_Source_Orders_3M'!A19</f>
        <v/>
      </c>
      <c r="B19" s="5">
        <f>'10_Source_Orders_3M'!B19</f>
        <v/>
      </c>
      <c r="C19" s="5">
        <f>'10_Source_Orders_3M'!C19</f>
        <v/>
      </c>
      <c r="D19" s="5">
        <f>'10_Source_Orders_3M'!D19</f>
        <v/>
      </c>
      <c r="E19" s="13">
        <f>'10_Source_Orders_3M'!E19</f>
        <v/>
      </c>
      <c r="F19" s="6">
        <f>'10_Source_Orders_3M'!F19</f>
        <v/>
      </c>
      <c r="G19" s="5">
        <f>'10_Source_Orders_3M'!G19</f>
        <v/>
      </c>
    </row>
    <row r="20" ht="20" customHeight="1">
      <c r="A20" s="5">
        <f>'10_Source_Orders_3M'!A20</f>
        <v/>
      </c>
      <c r="B20" s="5">
        <f>'10_Source_Orders_3M'!B20</f>
        <v/>
      </c>
      <c r="C20" s="5">
        <f>'10_Source_Orders_3M'!C20</f>
        <v/>
      </c>
      <c r="D20" s="5">
        <f>'10_Source_Orders_3M'!D20</f>
        <v/>
      </c>
      <c r="E20" s="13">
        <f>'10_Source_Orders_3M'!E20</f>
        <v/>
      </c>
      <c r="F20" s="6">
        <f>'10_Source_Orders_3M'!F20</f>
        <v/>
      </c>
      <c r="G20" s="5">
        <f>'10_Source_Orders_3M'!G20</f>
        <v/>
      </c>
    </row>
    <row r="21" ht="20" customHeight="1">
      <c r="A21" s="5">
        <f>'10_Source_Orders_3M'!A21</f>
        <v/>
      </c>
      <c r="B21" s="5">
        <f>'10_Source_Orders_3M'!B21</f>
        <v/>
      </c>
      <c r="C21" s="5">
        <f>'10_Source_Orders_3M'!C21</f>
        <v/>
      </c>
      <c r="D21" s="5">
        <f>'10_Source_Orders_3M'!D21</f>
        <v/>
      </c>
      <c r="E21" s="13">
        <f>'10_Source_Orders_3M'!E21</f>
        <v/>
      </c>
      <c r="F21" s="6">
        <f>'10_Source_Orders_3M'!F21</f>
        <v/>
      </c>
      <c r="G21" s="5">
        <f>'10_Source_Orders_3M'!G21</f>
        <v/>
      </c>
    </row>
    <row r="22" ht="20" customHeight="1">
      <c r="A22" s="5">
        <f>'10_Source_Orders_3M'!A22</f>
        <v/>
      </c>
      <c r="B22" s="5">
        <f>'10_Source_Orders_3M'!B22</f>
        <v/>
      </c>
      <c r="C22" s="5">
        <f>'10_Source_Orders_3M'!C22</f>
        <v/>
      </c>
      <c r="D22" s="5">
        <f>'10_Source_Orders_3M'!D22</f>
        <v/>
      </c>
      <c r="E22" s="13">
        <f>'10_Source_Orders_3M'!E22</f>
        <v/>
      </c>
      <c r="F22" s="6">
        <f>'10_Source_Orders_3M'!F22</f>
        <v/>
      </c>
      <c r="G22" s="5">
        <f>'10_Source_Orders_3M'!G22</f>
        <v/>
      </c>
    </row>
    <row r="23" ht="20" customHeight="1">
      <c r="A23" s="5">
        <f>'10_Source_Orders_3M'!A23</f>
        <v/>
      </c>
      <c r="B23" s="5">
        <f>'10_Source_Orders_3M'!B23</f>
        <v/>
      </c>
      <c r="C23" s="5">
        <f>'10_Source_Orders_3M'!C23</f>
        <v/>
      </c>
      <c r="D23" s="5">
        <f>'10_Source_Orders_3M'!D23</f>
        <v/>
      </c>
      <c r="E23" s="13">
        <f>'10_Source_Orders_3M'!E23</f>
        <v/>
      </c>
      <c r="F23" s="6">
        <f>'10_Source_Orders_3M'!F23</f>
        <v/>
      </c>
      <c r="G23" s="5">
        <f>'10_Source_Orders_3M'!G23</f>
        <v/>
      </c>
    </row>
    <row r="24" ht="20" customHeight="1">
      <c r="A24" s="5">
        <f>'10_Source_Orders_3M'!A24</f>
        <v/>
      </c>
      <c r="B24" s="5">
        <f>'10_Source_Orders_3M'!B24</f>
        <v/>
      </c>
      <c r="C24" s="5">
        <f>'10_Source_Orders_3M'!C24</f>
        <v/>
      </c>
      <c r="D24" s="5">
        <f>'10_Source_Orders_3M'!D24</f>
        <v/>
      </c>
      <c r="E24" s="13">
        <f>'10_Source_Orders_3M'!E24</f>
        <v/>
      </c>
      <c r="F24" s="6">
        <f>'10_Source_Orders_3M'!F24</f>
        <v/>
      </c>
      <c r="G24" s="5">
        <f>'10_Source_Orders_3M'!G24</f>
        <v/>
      </c>
    </row>
    <row r="25" ht="20" customHeight="1">
      <c r="A25" s="5">
        <f>'10_Source_Orders_3M'!A25</f>
        <v/>
      </c>
      <c r="B25" s="5">
        <f>'10_Source_Orders_3M'!B25</f>
        <v/>
      </c>
      <c r="C25" s="5">
        <f>'10_Source_Orders_3M'!C25</f>
        <v/>
      </c>
      <c r="D25" s="5">
        <f>'10_Source_Orders_3M'!D25</f>
        <v/>
      </c>
      <c r="E25" s="13">
        <f>'10_Source_Orders_3M'!E25</f>
        <v/>
      </c>
      <c r="F25" s="6">
        <f>'10_Source_Orders_3M'!F25</f>
        <v/>
      </c>
      <c r="G25" s="5">
        <f>'10_Source_Orders_3M'!G25</f>
        <v/>
      </c>
    </row>
    <row r="26" ht="20" customHeight="1">
      <c r="A26" s="5">
        <f>'10_Source_Orders_3M'!A26</f>
        <v/>
      </c>
      <c r="B26" s="5">
        <f>'10_Source_Orders_3M'!B26</f>
        <v/>
      </c>
      <c r="C26" s="5">
        <f>'10_Source_Orders_3M'!C26</f>
        <v/>
      </c>
      <c r="D26" s="5">
        <f>'10_Source_Orders_3M'!D26</f>
        <v/>
      </c>
      <c r="E26" s="13">
        <f>'10_Source_Orders_3M'!E26</f>
        <v/>
      </c>
      <c r="F26" s="6">
        <f>'10_Source_Orders_3M'!F26</f>
        <v/>
      </c>
      <c r="G26" s="5">
        <f>'10_Source_Orders_3M'!G26</f>
        <v/>
      </c>
    </row>
    <row r="27" ht="20" customHeight="1">
      <c r="A27" s="5">
        <f>'10_Source_Orders_3M'!A27</f>
        <v/>
      </c>
      <c r="B27" s="5">
        <f>'10_Source_Orders_3M'!B27</f>
        <v/>
      </c>
      <c r="C27" s="5">
        <f>'10_Source_Orders_3M'!C27</f>
        <v/>
      </c>
      <c r="D27" s="5">
        <f>'10_Source_Orders_3M'!D27</f>
        <v/>
      </c>
      <c r="E27" s="13">
        <f>'10_Source_Orders_3M'!E27</f>
        <v/>
      </c>
      <c r="F27" s="6">
        <f>'10_Source_Orders_3M'!F27</f>
        <v/>
      </c>
      <c r="G27" s="5">
        <f>'10_Source_Orders_3M'!G27</f>
        <v/>
      </c>
    </row>
    <row r="28" ht="20" customHeight="1">
      <c r="A28" s="5">
        <f>'10_Source_Orders_3M'!A28</f>
        <v/>
      </c>
      <c r="B28" s="5">
        <f>'10_Source_Orders_3M'!B28</f>
        <v/>
      </c>
      <c r="C28" s="5">
        <f>'10_Source_Orders_3M'!C28</f>
        <v/>
      </c>
      <c r="D28" s="5">
        <f>'10_Source_Orders_3M'!D28</f>
        <v/>
      </c>
      <c r="E28" s="13">
        <f>'10_Source_Orders_3M'!E28</f>
        <v/>
      </c>
      <c r="F28" s="6">
        <f>'10_Source_Orders_3M'!F28</f>
        <v/>
      </c>
      <c r="G28" s="5">
        <f>'10_Source_Orders_3M'!G28</f>
        <v/>
      </c>
    </row>
    <row r="29" ht="20" customHeight="1">
      <c r="A29" s="5">
        <f>'10_Source_Orders_3M'!A29</f>
        <v/>
      </c>
      <c r="B29" s="5">
        <f>'10_Source_Orders_3M'!B29</f>
        <v/>
      </c>
      <c r="C29" s="5">
        <f>'10_Source_Orders_3M'!C29</f>
        <v/>
      </c>
      <c r="D29" s="5">
        <f>'10_Source_Orders_3M'!D29</f>
        <v/>
      </c>
      <c r="E29" s="13">
        <f>'10_Source_Orders_3M'!E29</f>
        <v/>
      </c>
      <c r="F29" s="6">
        <f>'10_Source_Orders_3M'!F29</f>
        <v/>
      </c>
      <c r="G29" s="5">
        <f>'10_Source_Orders_3M'!G29</f>
        <v/>
      </c>
    </row>
    <row r="30" ht="20" customHeight="1">
      <c r="A30" s="5">
        <f>'10_Source_Orders_3M'!A30</f>
        <v/>
      </c>
      <c r="B30" s="5">
        <f>'10_Source_Orders_3M'!B30</f>
        <v/>
      </c>
      <c r="C30" s="5">
        <f>'10_Source_Orders_3M'!C30</f>
        <v/>
      </c>
      <c r="D30" s="5">
        <f>'10_Source_Orders_3M'!D30</f>
        <v/>
      </c>
      <c r="E30" s="13">
        <f>'10_Source_Orders_3M'!E30</f>
        <v/>
      </c>
      <c r="F30" s="6">
        <f>'10_Source_Orders_3M'!F30</f>
        <v/>
      </c>
      <c r="G30" s="5">
        <f>'10_Source_Orders_3M'!G30</f>
        <v/>
      </c>
    </row>
    <row r="31" ht="20" customHeight="1">
      <c r="A31" s="5">
        <f>'10_Source_Orders_3M'!A31</f>
        <v/>
      </c>
      <c r="B31" s="5">
        <f>'10_Source_Orders_3M'!B31</f>
        <v/>
      </c>
      <c r="C31" s="5">
        <f>'10_Source_Orders_3M'!C31</f>
        <v/>
      </c>
      <c r="D31" s="5">
        <f>'10_Source_Orders_3M'!D31</f>
        <v/>
      </c>
      <c r="E31" s="13">
        <f>'10_Source_Orders_3M'!E31</f>
        <v/>
      </c>
      <c r="F31" s="6">
        <f>'10_Source_Orders_3M'!F31</f>
        <v/>
      </c>
      <c r="G31" s="5">
        <f>'10_Source_Orders_3M'!G31</f>
        <v/>
      </c>
    </row>
    <row r="32" ht="20" customHeight="1">
      <c r="A32" s="5">
        <f>'10_Source_Orders_3M'!A32</f>
        <v/>
      </c>
      <c r="B32" s="5">
        <f>'10_Source_Orders_3M'!B32</f>
        <v/>
      </c>
      <c r="C32" s="5">
        <f>'10_Source_Orders_3M'!C32</f>
        <v/>
      </c>
      <c r="D32" s="5">
        <f>'10_Source_Orders_3M'!D32</f>
        <v/>
      </c>
      <c r="E32" s="13">
        <f>'10_Source_Orders_3M'!E32</f>
        <v/>
      </c>
      <c r="F32" s="6">
        <f>'10_Source_Orders_3M'!F32</f>
        <v/>
      </c>
      <c r="G32" s="5">
        <f>'10_Source_Orders_3M'!G32</f>
        <v/>
      </c>
    </row>
    <row r="33" ht="20" customHeight="1">
      <c r="A33" s="5">
        <f>'10_Source_Orders_3M'!A33</f>
        <v/>
      </c>
      <c r="B33" s="5">
        <f>'10_Source_Orders_3M'!B33</f>
        <v/>
      </c>
      <c r="C33" s="5">
        <f>'10_Source_Orders_3M'!C33</f>
        <v/>
      </c>
      <c r="D33" s="5">
        <f>'10_Source_Orders_3M'!D33</f>
        <v/>
      </c>
      <c r="E33" s="13">
        <f>'10_Source_Orders_3M'!E33</f>
        <v/>
      </c>
      <c r="F33" s="6">
        <f>'10_Source_Orders_3M'!F33</f>
        <v/>
      </c>
      <c r="G33" s="5">
        <f>'10_Source_Orders_3M'!G33</f>
        <v/>
      </c>
    </row>
    <row r="34" ht="20" customHeight="1">
      <c r="A34" s="5">
        <f>'10_Source_Orders_3M'!A34</f>
        <v/>
      </c>
      <c r="B34" s="5">
        <f>'10_Source_Orders_3M'!B34</f>
        <v/>
      </c>
      <c r="C34" s="5">
        <f>'10_Source_Orders_3M'!C34</f>
        <v/>
      </c>
      <c r="D34" s="5">
        <f>'10_Source_Orders_3M'!D34</f>
        <v/>
      </c>
      <c r="E34" s="13">
        <f>'10_Source_Orders_3M'!E34</f>
        <v/>
      </c>
      <c r="F34" s="6">
        <f>'10_Source_Orders_3M'!F34</f>
        <v/>
      </c>
      <c r="G34" s="5">
        <f>'10_Source_Orders_3M'!G34</f>
        <v/>
      </c>
    </row>
    <row r="35" ht="20" customHeight="1">
      <c r="A35" s="5">
        <f>'10_Source_Orders_3M'!A35</f>
        <v/>
      </c>
      <c r="B35" s="5">
        <f>'10_Source_Orders_3M'!B35</f>
        <v/>
      </c>
      <c r="C35" s="5">
        <f>'10_Source_Orders_3M'!C35</f>
        <v/>
      </c>
      <c r="D35" s="5">
        <f>'10_Source_Orders_3M'!D35</f>
        <v/>
      </c>
      <c r="E35" s="13">
        <f>'10_Source_Orders_3M'!E35</f>
        <v/>
      </c>
      <c r="F35" s="6">
        <f>'10_Source_Orders_3M'!F35</f>
        <v/>
      </c>
      <c r="G35" s="5">
        <f>'10_Source_Orders_3M'!G35</f>
        <v/>
      </c>
    </row>
    <row r="36" ht="20" customHeight="1">
      <c r="A36" s="5">
        <f>'10_Source_Orders_3M'!A36</f>
        <v/>
      </c>
      <c r="B36" s="5">
        <f>'10_Source_Orders_3M'!B36</f>
        <v/>
      </c>
      <c r="C36" s="5">
        <f>'10_Source_Orders_3M'!C36</f>
        <v/>
      </c>
      <c r="D36" s="5">
        <f>'10_Source_Orders_3M'!D36</f>
        <v/>
      </c>
      <c r="E36" s="13">
        <f>'10_Source_Orders_3M'!E36</f>
        <v/>
      </c>
      <c r="F36" s="6">
        <f>'10_Source_Orders_3M'!F36</f>
        <v/>
      </c>
      <c r="G36" s="5">
        <f>'10_Source_Orders_3M'!G36</f>
        <v/>
      </c>
    </row>
    <row r="37" ht="20" customHeight="1">
      <c r="A37" s="5">
        <f>'10_Source_Orders_3M'!A37</f>
        <v/>
      </c>
      <c r="B37" s="5">
        <f>'10_Source_Orders_3M'!B37</f>
        <v/>
      </c>
      <c r="C37" s="5">
        <f>'10_Source_Orders_3M'!C37</f>
        <v/>
      </c>
      <c r="D37" s="5">
        <f>'10_Source_Orders_3M'!D37</f>
        <v/>
      </c>
      <c r="E37" s="13">
        <f>'10_Source_Orders_3M'!E37</f>
        <v/>
      </c>
      <c r="F37" s="6">
        <f>'10_Source_Orders_3M'!F37</f>
        <v/>
      </c>
      <c r="G37" s="5">
        <f>'10_Source_Orders_3M'!G37</f>
        <v/>
      </c>
    </row>
    <row r="38" ht="20" customHeight="1">
      <c r="A38" s="5">
        <f>'10_Source_Orders_3M'!A38</f>
        <v/>
      </c>
      <c r="B38" s="5">
        <f>'10_Source_Orders_3M'!B38</f>
        <v/>
      </c>
      <c r="C38" s="5">
        <f>'10_Source_Orders_3M'!C38</f>
        <v/>
      </c>
      <c r="D38" s="5">
        <f>'10_Source_Orders_3M'!D38</f>
        <v/>
      </c>
      <c r="E38" s="13">
        <f>'10_Source_Orders_3M'!E38</f>
        <v/>
      </c>
      <c r="F38" s="6">
        <f>'10_Source_Orders_3M'!F38</f>
        <v/>
      </c>
      <c r="G38" s="5">
        <f>'10_Source_Orders_3M'!G38</f>
        <v/>
      </c>
    </row>
    <row r="39" ht="20" customHeight="1">
      <c r="A39" s="5">
        <f>'10_Source_Orders_3M'!A39</f>
        <v/>
      </c>
      <c r="B39" s="5">
        <f>'10_Source_Orders_3M'!B39</f>
        <v/>
      </c>
      <c r="C39" s="5">
        <f>'10_Source_Orders_3M'!C39</f>
        <v/>
      </c>
      <c r="D39" s="5">
        <f>'10_Source_Orders_3M'!D39</f>
        <v/>
      </c>
      <c r="E39" s="13">
        <f>'10_Source_Orders_3M'!E39</f>
        <v/>
      </c>
      <c r="F39" s="6">
        <f>'10_Source_Orders_3M'!F39</f>
        <v/>
      </c>
      <c r="G39" s="5">
        <f>'10_Source_Orders_3M'!G39</f>
        <v/>
      </c>
    </row>
    <row r="40" ht="20" customHeight="1">
      <c r="A40" s="5">
        <f>'10_Source_Orders_3M'!A40</f>
        <v/>
      </c>
      <c r="B40" s="5">
        <f>'10_Source_Orders_3M'!B40</f>
        <v/>
      </c>
      <c r="C40" s="5">
        <f>'10_Source_Orders_3M'!C40</f>
        <v/>
      </c>
      <c r="D40" s="5">
        <f>'10_Source_Orders_3M'!D40</f>
        <v/>
      </c>
      <c r="E40" s="13">
        <f>'10_Source_Orders_3M'!E40</f>
        <v/>
      </c>
      <c r="F40" s="6">
        <f>'10_Source_Orders_3M'!F40</f>
        <v/>
      </c>
      <c r="G40" s="5">
        <f>'10_Source_Orders_3M'!G40</f>
        <v/>
      </c>
    </row>
    <row r="41" ht="20" customHeight="1">
      <c r="A41" s="5">
        <f>'10_Source_Orders_3M'!A41</f>
        <v/>
      </c>
      <c r="B41" s="5">
        <f>'10_Source_Orders_3M'!B41</f>
        <v/>
      </c>
      <c r="C41" s="5">
        <f>'10_Source_Orders_3M'!C41</f>
        <v/>
      </c>
      <c r="D41" s="5">
        <f>'10_Source_Orders_3M'!D41</f>
        <v/>
      </c>
      <c r="E41" s="13">
        <f>'10_Source_Orders_3M'!E41</f>
        <v/>
      </c>
      <c r="F41" s="6">
        <f>'10_Source_Orders_3M'!F41</f>
        <v/>
      </c>
      <c r="G41" s="5">
        <f>'10_Source_Orders_3M'!G41</f>
        <v/>
      </c>
    </row>
    <row r="42" ht="20" customHeight="1">
      <c r="A42" s="5">
        <f>'10_Source_Orders_3M'!A42</f>
        <v/>
      </c>
      <c r="B42" s="5">
        <f>'10_Source_Orders_3M'!B42</f>
        <v/>
      </c>
      <c r="C42" s="5">
        <f>'10_Source_Orders_3M'!C42</f>
        <v/>
      </c>
      <c r="D42" s="5">
        <f>'10_Source_Orders_3M'!D42</f>
        <v/>
      </c>
      <c r="E42" s="13">
        <f>'10_Source_Orders_3M'!E42</f>
        <v/>
      </c>
      <c r="F42" s="6">
        <f>'10_Source_Orders_3M'!F42</f>
        <v/>
      </c>
      <c r="G42" s="5">
        <f>'10_Source_Orders_3M'!G42</f>
        <v/>
      </c>
    </row>
    <row r="43" ht="20" customHeight="1">
      <c r="A43" s="5">
        <f>'10_Source_Orders_3M'!A43</f>
        <v/>
      </c>
      <c r="B43" s="5">
        <f>'10_Source_Orders_3M'!B43</f>
        <v/>
      </c>
      <c r="C43" s="5">
        <f>'10_Source_Orders_3M'!C43</f>
        <v/>
      </c>
      <c r="D43" s="5">
        <f>'10_Source_Orders_3M'!D43</f>
        <v/>
      </c>
      <c r="E43" s="13">
        <f>'10_Source_Orders_3M'!E43</f>
        <v/>
      </c>
      <c r="F43" s="6">
        <f>'10_Source_Orders_3M'!F43</f>
        <v/>
      </c>
      <c r="G43" s="5">
        <f>'10_Source_Orders_3M'!G43</f>
        <v/>
      </c>
    </row>
    <row r="44" ht="20" customHeight="1">
      <c r="A44" s="5">
        <f>'10_Source_Orders_3M'!A44</f>
        <v/>
      </c>
      <c r="B44" s="5">
        <f>'10_Source_Orders_3M'!B44</f>
        <v/>
      </c>
      <c r="C44" s="5">
        <f>'10_Source_Orders_3M'!C44</f>
        <v/>
      </c>
      <c r="D44" s="5">
        <f>'10_Source_Orders_3M'!D44</f>
        <v/>
      </c>
      <c r="E44" s="13">
        <f>'10_Source_Orders_3M'!E44</f>
        <v/>
      </c>
      <c r="F44" s="6">
        <f>'10_Source_Orders_3M'!F44</f>
        <v/>
      </c>
      <c r="G44" s="5">
        <f>'10_Source_Orders_3M'!G44</f>
        <v/>
      </c>
    </row>
    <row r="45" ht="20" customHeight="1">
      <c r="A45" s="5">
        <f>'10_Source_Orders_3M'!A45</f>
        <v/>
      </c>
      <c r="B45" s="5">
        <f>'10_Source_Orders_3M'!B45</f>
        <v/>
      </c>
      <c r="C45" s="5">
        <f>'10_Source_Orders_3M'!C45</f>
        <v/>
      </c>
      <c r="D45" s="5">
        <f>'10_Source_Orders_3M'!D45</f>
        <v/>
      </c>
      <c r="E45" s="13">
        <f>'10_Source_Orders_3M'!E45</f>
        <v/>
      </c>
      <c r="F45" s="6">
        <f>'10_Source_Orders_3M'!F45</f>
        <v/>
      </c>
      <c r="G45" s="5">
        <f>'10_Source_Orders_3M'!G45</f>
        <v/>
      </c>
    </row>
    <row r="46" ht="20" customHeight="1">
      <c r="A46" s="5">
        <f>'10_Source_Orders_3M'!A46</f>
        <v/>
      </c>
      <c r="B46" s="5">
        <f>'10_Source_Orders_3M'!B46</f>
        <v/>
      </c>
      <c r="C46" s="5">
        <f>'10_Source_Orders_3M'!C46</f>
        <v/>
      </c>
      <c r="D46" s="5">
        <f>'10_Source_Orders_3M'!D46</f>
        <v/>
      </c>
      <c r="E46" s="13">
        <f>'10_Source_Orders_3M'!E46</f>
        <v/>
      </c>
      <c r="F46" s="6">
        <f>'10_Source_Orders_3M'!F46</f>
        <v/>
      </c>
      <c r="G46" s="5">
        <f>'10_Source_Orders_3M'!G46</f>
        <v/>
      </c>
    </row>
    <row r="47" ht="20" customHeight="1">
      <c r="A47" s="5">
        <f>'10_Source_Orders_3M'!A47</f>
        <v/>
      </c>
      <c r="B47" s="5">
        <f>'10_Source_Orders_3M'!B47</f>
        <v/>
      </c>
      <c r="C47" s="5">
        <f>'10_Source_Orders_3M'!C47</f>
        <v/>
      </c>
      <c r="D47" s="5">
        <f>'10_Source_Orders_3M'!D47</f>
        <v/>
      </c>
      <c r="E47" s="13">
        <f>'10_Source_Orders_3M'!E47</f>
        <v/>
      </c>
      <c r="F47" s="6">
        <f>'10_Source_Orders_3M'!F47</f>
        <v/>
      </c>
      <c r="G47" s="5">
        <f>'10_Source_Orders_3M'!G47</f>
        <v/>
      </c>
    </row>
    <row r="48" ht="20" customHeight="1">
      <c r="A48" s="5">
        <f>'10_Source_Orders_3M'!A48</f>
        <v/>
      </c>
      <c r="B48" s="5">
        <f>'10_Source_Orders_3M'!B48</f>
        <v/>
      </c>
      <c r="C48" s="5">
        <f>'10_Source_Orders_3M'!C48</f>
        <v/>
      </c>
      <c r="D48" s="5">
        <f>'10_Source_Orders_3M'!D48</f>
        <v/>
      </c>
      <c r="E48" s="13">
        <f>'10_Source_Orders_3M'!E48</f>
        <v/>
      </c>
      <c r="F48" s="6">
        <f>'10_Source_Orders_3M'!F48</f>
        <v/>
      </c>
      <c r="G48" s="5">
        <f>'10_Source_Orders_3M'!G48</f>
        <v/>
      </c>
    </row>
    <row r="49" ht="20" customHeight="1">
      <c r="A49" s="5">
        <f>'10_Source_Orders_3M'!A49</f>
        <v/>
      </c>
      <c r="B49" s="5">
        <f>'10_Source_Orders_3M'!B49</f>
        <v/>
      </c>
      <c r="C49" s="5">
        <f>'10_Source_Orders_3M'!C49</f>
        <v/>
      </c>
      <c r="D49" s="5">
        <f>'10_Source_Orders_3M'!D49</f>
        <v/>
      </c>
      <c r="E49" s="13">
        <f>'10_Source_Orders_3M'!E49</f>
        <v/>
      </c>
      <c r="F49" s="6">
        <f>'10_Source_Orders_3M'!F49</f>
        <v/>
      </c>
      <c r="G49" s="5">
        <f>'10_Source_Orders_3M'!G49</f>
        <v/>
      </c>
    </row>
    <row r="50" ht="20" customHeight="1">
      <c r="A50" s="5">
        <f>'10_Source_Orders_3M'!A50</f>
        <v/>
      </c>
      <c r="B50" s="5">
        <f>'10_Source_Orders_3M'!B50</f>
        <v/>
      </c>
      <c r="C50" s="5">
        <f>'10_Source_Orders_3M'!C50</f>
        <v/>
      </c>
      <c r="D50" s="5">
        <f>'10_Source_Orders_3M'!D50</f>
        <v/>
      </c>
      <c r="E50" s="13">
        <f>'10_Source_Orders_3M'!E50</f>
        <v/>
      </c>
      <c r="F50" s="6">
        <f>'10_Source_Orders_3M'!F50</f>
        <v/>
      </c>
      <c r="G50" s="5">
        <f>'10_Source_Orders_3M'!G50</f>
        <v/>
      </c>
    </row>
    <row r="51" ht="20" customHeight="1">
      <c r="A51" s="5">
        <f>'10_Source_Orders_3M'!A51</f>
        <v/>
      </c>
      <c r="B51" s="5">
        <f>'10_Source_Orders_3M'!B51</f>
        <v/>
      </c>
      <c r="C51" s="5">
        <f>'10_Source_Orders_3M'!C51</f>
        <v/>
      </c>
      <c r="D51" s="5">
        <f>'10_Source_Orders_3M'!D51</f>
        <v/>
      </c>
      <c r="E51" s="13">
        <f>'10_Source_Orders_3M'!E51</f>
        <v/>
      </c>
      <c r="F51" s="6">
        <f>'10_Source_Orders_3M'!F51</f>
        <v/>
      </c>
      <c r="G51" s="5">
        <f>'10_Source_Orders_3M'!G51</f>
        <v/>
      </c>
    </row>
    <row r="52" ht="20" customHeight="1">
      <c r="A52" s="5">
        <f>'10_Source_Orders_3M'!A52</f>
        <v/>
      </c>
      <c r="B52" s="5">
        <f>'10_Source_Orders_3M'!B52</f>
        <v/>
      </c>
      <c r="C52" s="5">
        <f>'10_Source_Orders_3M'!C52</f>
        <v/>
      </c>
      <c r="D52" s="5">
        <f>'10_Source_Orders_3M'!D52</f>
        <v/>
      </c>
      <c r="E52" s="13">
        <f>'10_Source_Orders_3M'!E52</f>
        <v/>
      </c>
      <c r="F52" s="6">
        <f>'10_Source_Orders_3M'!F52</f>
        <v/>
      </c>
      <c r="G52" s="5">
        <f>'10_Source_Orders_3M'!G52</f>
        <v/>
      </c>
    </row>
    <row r="53" ht="20" customHeight="1">
      <c r="A53" s="5">
        <f>'10_Source_Orders_3M'!A53</f>
        <v/>
      </c>
      <c r="B53" s="5">
        <f>'10_Source_Orders_3M'!B53</f>
        <v/>
      </c>
      <c r="C53" s="5">
        <f>'10_Source_Orders_3M'!C53</f>
        <v/>
      </c>
      <c r="D53" s="5">
        <f>'10_Source_Orders_3M'!D53</f>
        <v/>
      </c>
      <c r="E53" s="13">
        <f>'10_Source_Orders_3M'!E53</f>
        <v/>
      </c>
      <c r="F53" s="6">
        <f>'10_Source_Orders_3M'!F53</f>
        <v/>
      </c>
      <c r="G53" s="5">
        <f>'10_Source_Orders_3M'!G53</f>
        <v/>
      </c>
    </row>
    <row r="54" ht="20" customHeight="1">
      <c r="A54" s="5">
        <f>'10_Source_Orders_3M'!A54</f>
        <v/>
      </c>
      <c r="B54" s="5">
        <f>'10_Source_Orders_3M'!B54</f>
        <v/>
      </c>
      <c r="C54" s="5">
        <f>'10_Source_Orders_3M'!C54</f>
        <v/>
      </c>
      <c r="D54" s="5">
        <f>'10_Source_Orders_3M'!D54</f>
        <v/>
      </c>
      <c r="E54" s="13">
        <f>'10_Source_Orders_3M'!E54</f>
        <v/>
      </c>
      <c r="F54" s="6">
        <f>'10_Source_Orders_3M'!F54</f>
        <v/>
      </c>
      <c r="G54" s="5">
        <f>'10_Source_Orders_3M'!G54</f>
        <v/>
      </c>
    </row>
    <row r="55" ht="20" customHeight="1">
      <c r="A55" s="5">
        <f>'10_Source_Orders_3M'!A55</f>
        <v/>
      </c>
      <c r="B55" s="5">
        <f>'10_Source_Orders_3M'!B55</f>
        <v/>
      </c>
      <c r="C55" s="5">
        <f>'10_Source_Orders_3M'!C55</f>
        <v/>
      </c>
      <c r="D55" s="5">
        <f>'10_Source_Orders_3M'!D55</f>
        <v/>
      </c>
      <c r="E55" s="13">
        <f>'10_Source_Orders_3M'!E55</f>
        <v/>
      </c>
      <c r="F55" s="6">
        <f>'10_Source_Orders_3M'!F55</f>
        <v/>
      </c>
      <c r="G55" s="5">
        <f>'10_Source_Orders_3M'!G55</f>
        <v/>
      </c>
    </row>
    <row r="56" ht="20" customHeight="1">
      <c r="A56" s="5">
        <f>'10_Source_Orders_3M'!A56</f>
        <v/>
      </c>
      <c r="B56" s="5">
        <f>'10_Source_Orders_3M'!B56</f>
        <v/>
      </c>
      <c r="C56" s="5">
        <f>'10_Source_Orders_3M'!C56</f>
        <v/>
      </c>
      <c r="D56" s="5">
        <f>'10_Source_Orders_3M'!D56</f>
        <v/>
      </c>
      <c r="E56" s="13">
        <f>'10_Source_Orders_3M'!E56</f>
        <v/>
      </c>
      <c r="F56" s="6">
        <f>'10_Source_Orders_3M'!F56</f>
        <v/>
      </c>
      <c r="G56" s="5">
        <f>'10_Source_Orders_3M'!G56</f>
        <v/>
      </c>
    </row>
    <row r="57" ht="20" customHeight="1">
      <c r="A57" s="5">
        <f>'10_Source_Orders_3M'!A57</f>
        <v/>
      </c>
      <c r="B57" s="5">
        <f>'10_Source_Orders_3M'!B57</f>
        <v/>
      </c>
      <c r="C57" s="5">
        <f>'10_Source_Orders_3M'!C57</f>
        <v/>
      </c>
      <c r="D57" s="5">
        <f>'10_Source_Orders_3M'!D57</f>
        <v/>
      </c>
      <c r="E57" s="13">
        <f>'10_Source_Orders_3M'!E57</f>
        <v/>
      </c>
      <c r="F57" s="6">
        <f>'10_Source_Orders_3M'!F57</f>
        <v/>
      </c>
      <c r="G57" s="5">
        <f>'10_Source_Orders_3M'!G57</f>
        <v/>
      </c>
    </row>
    <row r="58" ht="20" customHeight="1">
      <c r="A58" s="5">
        <f>'10_Source_Orders_3M'!A58</f>
        <v/>
      </c>
      <c r="B58" s="5">
        <f>'10_Source_Orders_3M'!B58</f>
        <v/>
      </c>
      <c r="C58" s="5">
        <f>'10_Source_Orders_3M'!C58</f>
        <v/>
      </c>
      <c r="D58" s="5">
        <f>'10_Source_Orders_3M'!D58</f>
        <v/>
      </c>
      <c r="E58" s="13">
        <f>'10_Source_Orders_3M'!E58</f>
        <v/>
      </c>
      <c r="F58" s="6">
        <f>'10_Source_Orders_3M'!F58</f>
        <v/>
      </c>
      <c r="G58" s="5">
        <f>'10_Source_Orders_3M'!G58</f>
        <v/>
      </c>
    </row>
    <row r="59" ht="20" customHeight="1">
      <c r="A59" s="5">
        <f>'10_Source_Orders_3M'!A59</f>
        <v/>
      </c>
      <c r="B59" s="5">
        <f>'10_Source_Orders_3M'!B59</f>
        <v/>
      </c>
      <c r="C59" s="5">
        <f>'10_Source_Orders_3M'!C59</f>
        <v/>
      </c>
      <c r="D59" s="5">
        <f>'10_Source_Orders_3M'!D59</f>
        <v/>
      </c>
      <c r="E59" s="13">
        <f>'10_Source_Orders_3M'!E59</f>
        <v/>
      </c>
      <c r="F59" s="6">
        <f>'10_Source_Orders_3M'!F59</f>
        <v/>
      </c>
      <c r="G59" s="5">
        <f>'10_Source_Orders_3M'!G59</f>
        <v/>
      </c>
    </row>
    <row r="60" ht="20" customHeight="1">
      <c r="A60" s="5">
        <f>'10_Source_Orders_3M'!A60</f>
        <v/>
      </c>
      <c r="B60" s="5">
        <f>'10_Source_Orders_3M'!B60</f>
        <v/>
      </c>
      <c r="C60" s="5">
        <f>'10_Source_Orders_3M'!C60</f>
        <v/>
      </c>
      <c r="D60" s="5">
        <f>'10_Source_Orders_3M'!D60</f>
        <v/>
      </c>
      <c r="E60" s="13">
        <f>'10_Source_Orders_3M'!E60</f>
        <v/>
      </c>
      <c r="F60" s="6">
        <f>'10_Source_Orders_3M'!F60</f>
        <v/>
      </c>
      <c r="G60" s="5">
        <f>'10_Source_Orders_3M'!G60</f>
        <v/>
      </c>
    </row>
    <row r="61" ht="20" customHeight="1">
      <c r="A61" s="5">
        <f>'10_Source_Orders_3M'!A61</f>
        <v/>
      </c>
      <c r="B61" s="5">
        <f>'10_Source_Orders_3M'!B61</f>
        <v/>
      </c>
      <c r="C61" s="5">
        <f>'10_Source_Orders_3M'!C61</f>
        <v/>
      </c>
      <c r="D61" s="5">
        <f>'10_Source_Orders_3M'!D61</f>
        <v/>
      </c>
      <c r="E61" s="13">
        <f>'10_Source_Orders_3M'!E61</f>
        <v/>
      </c>
      <c r="F61" s="6">
        <f>'10_Source_Orders_3M'!F61</f>
        <v/>
      </c>
      <c r="G61" s="5">
        <f>'10_Source_Orders_3M'!G61</f>
        <v/>
      </c>
    </row>
    <row r="62" ht="20" customHeight="1">
      <c r="A62" s="5">
        <f>'10_Source_Orders_3M'!A62</f>
        <v/>
      </c>
      <c r="B62" s="5">
        <f>'10_Source_Orders_3M'!B62</f>
        <v/>
      </c>
      <c r="C62" s="5">
        <f>'10_Source_Orders_3M'!C62</f>
        <v/>
      </c>
      <c r="D62" s="5">
        <f>'10_Source_Orders_3M'!D62</f>
        <v/>
      </c>
      <c r="E62" s="13">
        <f>'10_Source_Orders_3M'!E62</f>
        <v/>
      </c>
      <c r="F62" s="6">
        <f>'10_Source_Orders_3M'!F62</f>
        <v/>
      </c>
      <c r="G62" s="5">
        <f>'10_Source_Orders_3M'!G62</f>
        <v/>
      </c>
    </row>
    <row r="63" ht="20" customHeight="1">
      <c r="A63" s="5">
        <f>'10_Source_Orders_3M'!A63</f>
        <v/>
      </c>
      <c r="B63" s="5">
        <f>'10_Source_Orders_3M'!B63</f>
        <v/>
      </c>
      <c r="C63" s="5">
        <f>'10_Source_Orders_3M'!C63</f>
        <v/>
      </c>
      <c r="D63" s="5">
        <f>'10_Source_Orders_3M'!D63</f>
        <v/>
      </c>
      <c r="E63" s="13">
        <f>'10_Source_Orders_3M'!E63</f>
        <v/>
      </c>
      <c r="F63" s="6">
        <f>'10_Source_Orders_3M'!F63</f>
        <v/>
      </c>
      <c r="G63" s="5">
        <f>'10_Source_Orders_3M'!G63</f>
        <v/>
      </c>
    </row>
    <row r="64" ht="20" customHeight="1">
      <c r="A64" s="5">
        <f>'10_Source_Orders_3M'!A64</f>
        <v/>
      </c>
      <c r="B64" s="5">
        <f>'10_Source_Orders_3M'!B64</f>
        <v/>
      </c>
      <c r="C64" s="5">
        <f>'10_Source_Orders_3M'!C64</f>
        <v/>
      </c>
      <c r="D64" s="5">
        <f>'10_Source_Orders_3M'!D64</f>
        <v/>
      </c>
      <c r="E64" s="13">
        <f>'10_Source_Orders_3M'!E64</f>
        <v/>
      </c>
      <c r="F64" s="6">
        <f>'10_Source_Orders_3M'!F64</f>
        <v/>
      </c>
      <c r="G64" s="5">
        <f>'10_Source_Orders_3M'!G64</f>
        <v/>
      </c>
    </row>
    <row r="65" ht="20" customHeight="1">
      <c r="A65" s="5">
        <f>'10_Source_Orders_3M'!A65</f>
        <v/>
      </c>
      <c r="B65" s="5">
        <f>'10_Source_Orders_3M'!B65</f>
        <v/>
      </c>
      <c r="C65" s="5">
        <f>'10_Source_Orders_3M'!C65</f>
        <v/>
      </c>
      <c r="D65" s="5">
        <f>'10_Source_Orders_3M'!D65</f>
        <v/>
      </c>
      <c r="E65" s="13">
        <f>'10_Source_Orders_3M'!E65</f>
        <v/>
      </c>
      <c r="F65" s="6">
        <f>'10_Source_Orders_3M'!F65</f>
        <v/>
      </c>
      <c r="G65" s="5">
        <f>'10_Source_Orders_3M'!G65</f>
        <v/>
      </c>
    </row>
    <row r="66" ht="20" customHeight="1">
      <c r="A66" s="5">
        <f>'10_Source_Orders_3M'!A66</f>
        <v/>
      </c>
      <c r="B66" s="5">
        <f>'10_Source_Orders_3M'!B66</f>
        <v/>
      </c>
      <c r="C66" s="5">
        <f>'10_Source_Orders_3M'!C66</f>
        <v/>
      </c>
      <c r="D66" s="5">
        <f>'10_Source_Orders_3M'!D66</f>
        <v/>
      </c>
      <c r="E66" s="13">
        <f>'10_Source_Orders_3M'!E66</f>
        <v/>
      </c>
      <c r="F66" s="6">
        <f>'10_Source_Orders_3M'!F66</f>
        <v/>
      </c>
      <c r="G66" s="5">
        <f>'10_Source_Orders_3M'!G66</f>
        <v/>
      </c>
    </row>
    <row r="67" ht="20" customHeight="1">
      <c r="A67" s="5">
        <f>'10_Source_Orders_3M'!A67</f>
        <v/>
      </c>
      <c r="B67" s="5">
        <f>'10_Source_Orders_3M'!B67</f>
        <v/>
      </c>
      <c r="C67" s="5">
        <f>'10_Source_Orders_3M'!C67</f>
        <v/>
      </c>
      <c r="D67" s="5">
        <f>'10_Source_Orders_3M'!D67</f>
        <v/>
      </c>
      <c r="E67" s="13">
        <f>'10_Source_Orders_3M'!E67</f>
        <v/>
      </c>
      <c r="F67" s="6">
        <f>'10_Source_Orders_3M'!F67</f>
        <v/>
      </c>
      <c r="G67" s="5">
        <f>'10_Source_Orders_3M'!G67</f>
        <v/>
      </c>
    </row>
    <row r="68" ht="20" customHeight="1">
      <c r="A68" s="5">
        <f>'10_Source_Orders_3M'!A68</f>
        <v/>
      </c>
      <c r="B68" s="5">
        <f>'10_Source_Orders_3M'!B68</f>
        <v/>
      </c>
      <c r="C68" s="5">
        <f>'10_Source_Orders_3M'!C68</f>
        <v/>
      </c>
      <c r="D68" s="5">
        <f>'10_Source_Orders_3M'!D68</f>
        <v/>
      </c>
      <c r="E68" s="13">
        <f>'10_Source_Orders_3M'!E68</f>
        <v/>
      </c>
      <c r="F68" s="6">
        <f>'10_Source_Orders_3M'!F68</f>
        <v/>
      </c>
      <c r="G68" s="5">
        <f>'10_Source_Orders_3M'!G68</f>
        <v/>
      </c>
    </row>
    <row r="69" ht="20" customHeight="1">
      <c r="A69" s="5">
        <f>'10_Source_Orders_3M'!A69</f>
        <v/>
      </c>
      <c r="B69" s="5">
        <f>'10_Source_Orders_3M'!B69</f>
        <v/>
      </c>
      <c r="C69" s="5">
        <f>'10_Source_Orders_3M'!C69</f>
        <v/>
      </c>
      <c r="D69" s="5">
        <f>'10_Source_Orders_3M'!D69</f>
        <v/>
      </c>
      <c r="E69" s="13">
        <f>'10_Source_Orders_3M'!E69</f>
        <v/>
      </c>
      <c r="F69" s="6">
        <f>'10_Source_Orders_3M'!F69</f>
        <v/>
      </c>
      <c r="G69" s="5">
        <f>'10_Source_Orders_3M'!G69</f>
        <v/>
      </c>
    </row>
    <row r="70" ht="20" customHeight="1">
      <c r="A70" s="5">
        <f>'10_Source_Orders_3M'!A70</f>
        <v/>
      </c>
      <c r="B70" s="5">
        <f>'10_Source_Orders_3M'!B70</f>
        <v/>
      </c>
      <c r="C70" s="5">
        <f>'10_Source_Orders_3M'!C70</f>
        <v/>
      </c>
      <c r="D70" s="5">
        <f>'10_Source_Orders_3M'!D70</f>
        <v/>
      </c>
      <c r="E70" s="13">
        <f>'10_Source_Orders_3M'!E70</f>
        <v/>
      </c>
      <c r="F70" s="6">
        <f>'10_Source_Orders_3M'!F70</f>
        <v/>
      </c>
      <c r="G70" s="5">
        <f>'10_Source_Orders_3M'!G70</f>
        <v/>
      </c>
    </row>
    <row r="71" ht="20" customHeight="1">
      <c r="A71" s="5">
        <f>'10_Source_Orders_3M'!A71</f>
        <v/>
      </c>
      <c r="B71" s="5">
        <f>'10_Source_Orders_3M'!B71</f>
        <v/>
      </c>
      <c r="C71" s="5">
        <f>'10_Source_Orders_3M'!C71</f>
        <v/>
      </c>
      <c r="D71" s="5">
        <f>'10_Source_Orders_3M'!D71</f>
        <v/>
      </c>
      <c r="E71" s="13">
        <f>'10_Source_Orders_3M'!E71</f>
        <v/>
      </c>
      <c r="F71" s="6">
        <f>'10_Source_Orders_3M'!F71</f>
        <v/>
      </c>
      <c r="G71" s="5">
        <f>'10_Source_Orders_3M'!G71</f>
        <v/>
      </c>
    </row>
    <row r="72" ht="20" customHeight="1">
      <c r="A72" s="5">
        <f>'10_Source_Orders_3M'!A72</f>
        <v/>
      </c>
      <c r="B72" s="5">
        <f>'10_Source_Orders_3M'!B72</f>
        <v/>
      </c>
      <c r="C72" s="5">
        <f>'10_Source_Orders_3M'!C72</f>
        <v/>
      </c>
      <c r="D72" s="5">
        <f>'10_Source_Orders_3M'!D72</f>
        <v/>
      </c>
      <c r="E72" s="13">
        <f>'10_Source_Orders_3M'!E72</f>
        <v/>
      </c>
      <c r="F72" s="6">
        <f>'10_Source_Orders_3M'!F72</f>
        <v/>
      </c>
      <c r="G72" s="5">
        <f>'10_Source_Orders_3M'!G72</f>
        <v/>
      </c>
    </row>
    <row r="73" ht="20" customHeight="1">
      <c r="A73" s="5">
        <f>'10_Source_Orders_3M'!A73</f>
        <v/>
      </c>
      <c r="B73" s="5">
        <f>'10_Source_Orders_3M'!B73</f>
        <v/>
      </c>
      <c r="C73" s="5">
        <f>'10_Source_Orders_3M'!C73</f>
        <v/>
      </c>
      <c r="D73" s="5">
        <f>'10_Source_Orders_3M'!D73</f>
        <v/>
      </c>
      <c r="E73" s="13">
        <f>'10_Source_Orders_3M'!E73</f>
        <v/>
      </c>
      <c r="F73" s="6">
        <f>'10_Source_Orders_3M'!F73</f>
        <v/>
      </c>
      <c r="G73" s="5">
        <f>'10_Source_Orders_3M'!G73</f>
        <v/>
      </c>
    </row>
    <row r="74" ht="20" customHeight="1">
      <c r="A74" s="5">
        <f>'10_Source_Orders_3M'!A74</f>
        <v/>
      </c>
      <c r="B74" s="5">
        <f>'10_Source_Orders_3M'!B74</f>
        <v/>
      </c>
      <c r="C74" s="5">
        <f>'10_Source_Orders_3M'!C74</f>
        <v/>
      </c>
      <c r="D74" s="5">
        <f>'10_Source_Orders_3M'!D74</f>
        <v/>
      </c>
      <c r="E74" s="13">
        <f>'10_Source_Orders_3M'!E74</f>
        <v/>
      </c>
      <c r="F74" s="6">
        <f>'10_Source_Orders_3M'!F74</f>
        <v/>
      </c>
      <c r="G74" s="5">
        <f>'10_Source_Orders_3M'!G74</f>
        <v/>
      </c>
    </row>
    <row r="75" ht="20" customHeight="1">
      <c r="A75" s="5">
        <f>'10_Source_Orders_3M'!A75</f>
        <v/>
      </c>
      <c r="B75" s="5">
        <f>'10_Source_Orders_3M'!B75</f>
        <v/>
      </c>
      <c r="C75" s="5">
        <f>'10_Source_Orders_3M'!C75</f>
        <v/>
      </c>
      <c r="D75" s="5">
        <f>'10_Source_Orders_3M'!D75</f>
        <v/>
      </c>
      <c r="E75" s="13">
        <f>'10_Source_Orders_3M'!E75</f>
        <v/>
      </c>
      <c r="F75" s="6">
        <f>'10_Source_Orders_3M'!F75</f>
        <v/>
      </c>
      <c r="G75" s="5">
        <f>'10_Source_Orders_3M'!G75</f>
        <v/>
      </c>
    </row>
    <row r="76" ht="20" customHeight="1">
      <c r="A76" s="5">
        <f>'10_Source_Orders_3M'!A76</f>
        <v/>
      </c>
      <c r="B76" s="5">
        <f>'10_Source_Orders_3M'!B76</f>
        <v/>
      </c>
      <c r="C76" s="5">
        <f>'10_Source_Orders_3M'!C76</f>
        <v/>
      </c>
      <c r="D76" s="5">
        <f>'10_Source_Orders_3M'!D76</f>
        <v/>
      </c>
      <c r="E76" s="13">
        <f>'10_Source_Orders_3M'!E76</f>
        <v/>
      </c>
      <c r="F76" s="6">
        <f>'10_Source_Orders_3M'!F76</f>
        <v/>
      </c>
      <c r="G76" s="5">
        <f>'10_Source_Orders_3M'!G76</f>
        <v/>
      </c>
    </row>
    <row r="77" ht="20" customHeight="1">
      <c r="A77" s="5">
        <f>'10_Source_Orders_3M'!A77</f>
        <v/>
      </c>
      <c r="B77" s="5">
        <f>'10_Source_Orders_3M'!B77</f>
        <v/>
      </c>
      <c r="C77" s="5">
        <f>'10_Source_Orders_3M'!C77</f>
        <v/>
      </c>
      <c r="D77" s="5">
        <f>'10_Source_Orders_3M'!D77</f>
        <v/>
      </c>
      <c r="E77" s="13">
        <f>'10_Source_Orders_3M'!E77</f>
        <v/>
      </c>
      <c r="F77" s="6">
        <f>'10_Source_Orders_3M'!F77</f>
        <v/>
      </c>
      <c r="G77" s="5">
        <f>'10_Source_Orders_3M'!G77</f>
        <v/>
      </c>
    </row>
    <row r="78" ht="20" customHeight="1">
      <c r="A78" s="5">
        <f>'10_Source_Orders_3M'!A78</f>
        <v/>
      </c>
      <c r="B78" s="5">
        <f>'10_Source_Orders_3M'!B78</f>
        <v/>
      </c>
      <c r="C78" s="5">
        <f>'10_Source_Orders_3M'!C78</f>
        <v/>
      </c>
      <c r="D78" s="5">
        <f>'10_Source_Orders_3M'!D78</f>
        <v/>
      </c>
      <c r="E78" s="13">
        <f>'10_Source_Orders_3M'!E78</f>
        <v/>
      </c>
      <c r="F78" s="6">
        <f>'10_Source_Orders_3M'!F78</f>
        <v/>
      </c>
      <c r="G78" s="5">
        <f>'10_Source_Orders_3M'!G78</f>
        <v/>
      </c>
    </row>
    <row r="79" ht="20" customHeight="1">
      <c r="A79" s="5">
        <f>'10_Source_Orders_3M'!A79</f>
        <v/>
      </c>
      <c r="B79" s="5">
        <f>'10_Source_Orders_3M'!B79</f>
        <v/>
      </c>
      <c r="C79" s="5">
        <f>'10_Source_Orders_3M'!C79</f>
        <v/>
      </c>
      <c r="D79" s="5">
        <f>'10_Source_Orders_3M'!D79</f>
        <v/>
      </c>
      <c r="E79" s="13">
        <f>'10_Source_Orders_3M'!E79</f>
        <v/>
      </c>
      <c r="F79" s="6">
        <f>'10_Source_Orders_3M'!F79</f>
        <v/>
      </c>
      <c r="G79" s="5">
        <f>'10_Source_Orders_3M'!G79</f>
        <v/>
      </c>
    </row>
    <row r="80" ht="20" customHeight="1">
      <c r="A80" s="5">
        <f>'10_Source_Orders_3M'!A80</f>
        <v/>
      </c>
      <c r="B80" s="5">
        <f>'10_Source_Orders_3M'!B80</f>
        <v/>
      </c>
      <c r="C80" s="5">
        <f>'10_Source_Orders_3M'!C80</f>
        <v/>
      </c>
      <c r="D80" s="5">
        <f>'10_Source_Orders_3M'!D80</f>
        <v/>
      </c>
      <c r="E80" s="13">
        <f>'10_Source_Orders_3M'!E80</f>
        <v/>
      </c>
      <c r="F80" s="6">
        <f>'10_Source_Orders_3M'!F80</f>
        <v/>
      </c>
      <c r="G80" s="5">
        <f>'10_Source_Orders_3M'!G80</f>
        <v/>
      </c>
    </row>
    <row r="81" ht="20" customHeight="1">
      <c r="A81" s="5">
        <f>'10_Source_Orders_3M'!A81</f>
        <v/>
      </c>
      <c r="B81" s="5">
        <f>'10_Source_Orders_3M'!B81</f>
        <v/>
      </c>
      <c r="C81" s="5">
        <f>'10_Source_Orders_3M'!C81</f>
        <v/>
      </c>
      <c r="D81" s="5">
        <f>'10_Source_Orders_3M'!D81</f>
        <v/>
      </c>
      <c r="E81" s="13">
        <f>'10_Source_Orders_3M'!E81</f>
        <v/>
      </c>
      <c r="F81" s="6">
        <f>'10_Source_Orders_3M'!F81</f>
        <v/>
      </c>
      <c r="G81" s="5">
        <f>'10_Source_Orders_3M'!G81</f>
        <v/>
      </c>
    </row>
    <row r="82" ht="20" customHeight="1">
      <c r="A82" s="5">
        <f>'10_Source_Orders_3M'!A82</f>
        <v/>
      </c>
      <c r="B82" s="5">
        <f>'10_Source_Orders_3M'!B82</f>
        <v/>
      </c>
      <c r="C82" s="5">
        <f>'10_Source_Orders_3M'!C82</f>
        <v/>
      </c>
      <c r="D82" s="5">
        <f>'10_Source_Orders_3M'!D82</f>
        <v/>
      </c>
      <c r="E82" s="13">
        <f>'10_Source_Orders_3M'!E82</f>
        <v/>
      </c>
      <c r="F82" s="6">
        <f>'10_Source_Orders_3M'!F82</f>
        <v/>
      </c>
      <c r="G82" s="5">
        <f>'10_Source_Orders_3M'!G82</f>
        <v/>
      </c>
    </row>
    <row r="83" ht="20" customHeight="1">
      <c r="A83" s="5">
        <f>'10_Source_Orders_3M'!A83</f>
        <v/>
      </c>
      <c r="B83" s="5">
        <f>'10_Source_Orders_3M'!B83</f>
        <v/>
      </c>
      <c r="C83" s="5">
        <f>'10_Source_Orders_3M'!C83</f>
        <v/>
      </c>
      <c r="D83" s="5">
        <f>'10_Source_Orders_3M'!D83</f>
        <v/>
      </c>
      <c r="E83" s="13">
        <f>'10_Source_Orders_3M'!E83</f>
        <v/>
      </c>
      <c r="F83" s="6">
        <f>'10_Source_Orders_3M'!F83</f>
        <v/>
      </c>
      <c r="G83" s="5">
        <f>'10_Source_Orders_3M'!G83</f>
        <v/>
      </c>
    </row>
    <row r="84" ht="20" customHeight="1">
      <c r="A84" s="5">
        <f>'10_Source_Orders_3M'!A84</f>
        <v/>
      </c>
      <c r="B84" s="5">
        <f>'10_Source_Orders_3M'!B84</f>
        <v/>
      </c>
      <c r="C84" s="5">
        <f>'10_Source_Orders_3M'!C84</f>
        <v/>
      </c>
      <c r="D84" s="5">
        <f>'10_Source_Orders_3M'!D84</f>
        <v/>
      </c>
      <c r="E84" s="13">
        <f>'10_Source_Orders_3M'!E84</f>
        <v/>
      </c>
      <c r="F84" s="6">
        <f>'10_Source_Orders_3M'!F84</f>
        <v/>
      </c>
      <c r="G84" s="5">
        <f>'10_Source_Orders_3M'!G84</f>
        <v/>
      </c>
    </row>
    <row r="85" ht="20" customHeight="1">
      <c r="A85" s="5">
        <f>'10_Source_Orders_3M'!A85</f>
        <v/>
      </c>
      <c r="B85" s="5">
        <f>'10_Source_Orders_3M'!B85</f>
        <v/>
      </c>
      <c r="C85" s="5">
        <f>'10_Source_Orders_3M'!C85</f>
        <v/>
      </c>
      <c r="D85" s="5">
        <f>'10_Source_Orders_3M'!D85</f>
        <v/>
      </c>
      <c r="E85" s="13">
        <f>'10_Source_Orders_3M'!E85</f>
        <v/>
      </c>
      <c r="F85" s="6">
        <f>'10_Source_Orders_3M'!F85</f>
        <v/>
      </c>
      <c r="G85" s="5">
        <f>'10_Source_Orders_3M'!G85</f>
        <v/>
      </c>
    </row>
    <row r="86" ht="20" customHeight="1">
      <c r="A86" s="5">
        <f>'10_Source_Orders_3M'!A86</f>
        <v/>
      </c>
      <c r="B86" s="5">
        <f>'10_Source_Orders_3M'!B86</f>
        <v/>
      </c>
      <c r="C86" s="5">
        <f>'10_Source_Orders_3M'!C86</f>
        <v/>
      </c>
      <c r="D86" s="5">
        <f>'10_Source_Orders_3M'!D86</f>
        <v/>
      </c>
      <c r="E86" s="13">
        <f>'10_Source_Orders_3M'!E86</f>
        <v/>
      </c>
      <c r="F86" s="6">
        <f>'10_Source_Orders_3M'!F86</f>
        <v/>
      </c>
      <c r="G86" s="5">
        <f>'10_Source_Orders_3M'!G86</f>
        <v/>
      </c>
    </row>
    <row r="87" ht="20" customHeight="1">
      <c r="A87" s="5">
        <f>'10_Source_Orders_3M'!A87</f>
        <v/>
      </c>
      <c r="B87" s="5">
        <f>'10_Source_Orders_3M'!B87</f>
        <v/>
      </c>
      <c r="C87" s="5">
        <f>'10_Source_Orders_3M'!C87</f>
        <v/>
      </c>
      <c r="D87" s="5">
        <f>'10_Source_Orders_3M'!D87</f>
        <v/>
      </c>
      <c r="E87" s="13">
        <f>'10_Source_Orders_3M'!E87</f>
        <v/>
      </c>
      <c r="F87" s="6">
        <f>'10_Source_Orders_3M'!F87</f>
        <v/>
      </c>
      <c r="G87" s="5">
        <f>'10_Source_Orders_3M'!G87</f>
        <v/>
      </c>
    </row>
    <row r="88" ht="20" customHeight="1">
      <c r="A88" s="5">
        <f>'10_Source_Orders_3M'!A88</f>
        <v/>
      </c>
      <c r="B88" s="5">
        <f>'10_Source_Orders_3M'!B88</f>
        <v/>
      </c>
      <c r="C88" s="5">
        <f>'10_Source_Orders_3M'!C88</f>
        <v/>
      </c>
      <c r="D88" s="5">
        <f>'10_Source_Orders_3M'!D88</f>
        <v/>
      </c>
      <c r="E88" s="13">
        <f>'10_Source_Orders_3M'!E88</f>
        <v/>
      </c>
      <c r="F88" s="6">
        <f>'10_Source_Orders_3M'!F88</f>
        <v/>
      </c>
      <c r="G88" s="5">
        <f>'10_Source_Orders_3M'!G88</f>
        <v/>
      </c>
    </row>
    <row r="89" ht="20" customHeight="1">
      <c r="A89" s="5">
        <f>'10_Source_Orders_3M'!A89</f>
        <v/>
      </c>
      <c r="B89" s="5">
        <f>'10_Source_Orders_3M'!B89</f>
        <v/>
      </c>
      <c r="C89" s="5">
        <f>'10_Source_Orders_3M'!C89</f>
        <v/>
      </c>
      <c r="D89" s="5">
        <f>'10_Source_Orders_3M'!D89</f>
        <v/>
      </c>
      <c r="E89" s="13">
        <f>'10_Source_Orders_3M'!E89</f>
        <v/>
      </c>
      <c r="F89" s="6">
        <f>'10_Source_Orders_3M'!F89</f>
        <v/>
      </c>
      <c r="G89" s="5">
        <f>'10_Source_Orders_3M'!G89</f>
        <v/>
      </c>
    </row>
    <row r="90" ht="20" customHeight="1">
      <c r="A90" s="5">
        <f>'10_Source_Orders_3M'!A90</f>
        <v/>
      </c>
      <c r="B90" s="5">
        <f>'10_Source_Orders_3M'!B90</f>
        <v/>
      </c>
      <c r="C90" s="5">
        <f>'10_Source_Orders_3M'!C90</f>
        <v/>
      </c>
      <c r="D90" s="5">
        <f>'10_Source_Orders_3M'!D90</f>
        <v/>
      </c>
      <c r="E90" s="13">
        <f>'10_Source_Orders_3M'!E90</f>
        <v/>
      </c>
      <c r="F90" s="6">
        <f>'10_Source_Orders_3M'!F90</f>
        <v/>
      </c>
      <c r="G90" s="5">
        <f>'10_Source_Orders_3M'!G90</f>
        <v/>
      </c>
    </row>
    <row r="91" ht="20" customHeight="1">
      <c r="A91" s="5">
        <f>'10_Source_Orders_3M'!A91</f>
        <v/>
      </c>
      <c r="B91" s="5">
        <f>'10_Source_Orders_3M'!B91</f>
        <v/>
      </c>
      <c r="C91" s="5">
        <f>'10_Source_Orders_3M'!C91</f>
        <v/>
      </c>
      <c r="D91" s="5">
        <f>'10_Source_Orders_3M'!D91</f>
        <v/>
      </c>
      <c r="E91" s="13">
        <f>'10_Source_Orders_3M'!E91</f>
        <v/>
      </c>
      <c r="F91" s="6">
        <f>'10_Source_Orders_3M'!F91</f>
        <v/>
      </c>
      <c r="G91" s="5">
        <f>'10_Source_Orders_3M'!G91</f>
        <v/>
      </c>
    </row>
    <row r="92" ht="20" customHeight="1">
      <c r="A92" s="5">
        <f>'10_Source_Orders_3M'!A92</f>
        <v/>
      </c>
      <c r="B92" s="5">
        <f>'10_Source_Orders_3M'!B92</f>
        <v/>
      </c>
      <c r="C92" s="5">
        <f>'10_Source_Orders_3M'!C92</f>
        <v/>
      </c>
      <c r="D92" s="5">
        <f>'10_Source_Orders_3M'!D92</f>
        <v/>
      </c>
      <c r="E92" s="13">
        <f>'10_Source_Orders_3M'!E92</f>
        <v/>
      </c>
      <c r="F92" s="6">
        <f>'10_Source_Orders_3M'!F92</f>
        <v/>
      </c>
      <c r="G92" s="5">
        <f>'10_Source_Orders_3M'!G92</f>
        <v/>
      </c>
    </row>
    <row r="93" ht="20" customHeight="1">
      <c r="A93" s="5">
        <f>'10_Source_Orders_3M'!A93</f>
        <v/>
      </c>
      <c r="B93" s="5">
        <f>'10_Source_Orders_3M'!B93</f>
        <v/>
      </c>
      <c r="C93" s="5">
        <f>'10_Source_Orders_3M'!C93</f>
        <v/>
      </c>
      <c r="D93" s="5">
        <f>'10_Source_Orders_3M'!D93</f>
        <v/>
      </c>
      <c r="E93" s="13">
        <f>'10_Source_Orders_3M'!E93</f>
        <v/>
      </c>
      <c r="F93" s="6">
        <f>'10_Source_Orders_3M'!F93</f>
        <v/>
      </c>
      <c r="G93" s="5">
        <f>'10_Source_Orders_3M'!G93</f>
        <v/>
      </c>
    </row>
    <row r="94" ht="20" customHeight="1">
      <c r="A94" s="5">
        <f>'10_Source_Orders_3M'!A94</f>
        <v/>
      </c>
      <c r="B94" s="5">
        <f>'10_Source_Orders_3M'!B94</f>
        <v/>
      </c>
      <c r="C94" s="5">
        <f>'10_Source_Orders_3M'!C94</f>
        <v/>
      </c>
      <c r="D94" s="5">
        <f>'10_Source_Orders_3M'!D94</f>
        <v/>
      </c>
      <c r="E94" s="13">
        <f>'10_Source_Orders_3M'!E94</f>
        <v/>
      </c>
      <c r="F94" s="6">
        <f>'10_Source_Orders_3M'!F94</f>
        <v/>
      </c>
      <c r="G94" s="5">
        <f>'10_Source_Orders_3M'!G94</f>
        <v/>
      </c>
    </row>
    <row r="95" ht="20" customHeight="1">
      <c r="A95" s="5">
        <f>'10_Source_Orders_3M'!A95</f>
        <v/>
      </c>
      <c r="B95" s="5">
        <f>'10_Source_Orders_3M'!B95</f>
        <v/>
      </c>
      <c r="C95" s="5">
        <f>'10_Source_Orders_3M'!C95</f>
        <v/>
      </c>
      <c r="D95" s="5">
        <f>'10_Source_Orders_3M'!D95</f>
        <v/>
      </c>
      <c r="E95" s="13">
        <f>'10_Source_Orders_3M'!E95</f>
        <v/>
      </c>
      <c r="F95" s="6">
        <f>'10_Source_Orders_3M'!F95</f>
        <v/>
      </c>
      <c r="G95" s="5">
        <f>'10_Source_Orders_3M'!G95</f>
        <v/>
      </c>
    </row>
    <row r="96" ht="20" customHeight="1">
      <c r="A96" s="5">
        <f>'10_Source_Orders_3M'!A96</f>
        <v/>
      </c>
      <c r="B96" s="5">
        <f>'10_Source_Orders_3M'!B96</f>
        <v/>
      </c>
      <c r="C96" s="5">
        <f>'10_Source_Orders_3M'!C96</f>
        <v/>
      </c>
      <c r="D96" s="5">
        <f>'10_Source_Orders_3M'!D96</f>
        <v/>
      </c>
      <c r="E96" s="13">
        <f>'10_Source_Orders_3M'!E96</f>
        <v/>
      </c>
      <c r="F96" s="6">
        <f>'10_Source_Orders_3M'!F96</f>
        <v/>
      </c>
      <c r="G96" s="5">
        <f>'10_Source_Orders_3M'!G96</f>
        <v/>
      </c>
    </row>
    <row r="97" ht="20" customHeight="1">
      <c r="A97" s="5">
        <f>'10_Source_Orders_3M'!A97</f>
        <v/>
      </c>
      <c r="B97" s="5">
        <f>'10_Source_Orders_3M'!B97</f>
        <v/>
      </c>
      <c r="C97" s="5">
        <f>'10_Source_Orders_3M'!C97</f>
        <v/>
      </c>
      <c r="D97" s="5">
        <f>'10_Source_Orders_3M'!D97</f>
        <v/>
      </c>
      <c r="E97" s="13">
        <f>'10_Source_Orders_3M'!E97</f>
        <v/>
      </c>
      <c r="F97" s="6">
        <f>'10_Source_Orders_3M'!F97</f>
        <v/>
      </c>
      <c r="G97" s="5">
        <f>'10_Source_Orders_3M'!G97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5">
        <f>'09_Source_Status_Mix'!A9</f>
        <v/>
      </c>
      <c r="B2" s="5">
        <f>'09_Source_Status_Mix'!B9</f>
        <v/>
      </c>
      <c r="C2" s="6">
        <f>'09_Source_Status_Mix'!C9</f>
        <v/>
      </c>
      <c r="D2" s="11">
        <f>'09_Source_Status_Mix'!D9</f>
        <v/>
      </c>
    </row>
    <row r="3" ht="20" customHeight="1">
      <c r="A3" s="5">
        <f>'09_Source_Status_Mix'!A10</f>
        <v/>
      </c>
      <c r="B3" s="5">
        <f>'09_Source_Status_Mix'!B10</f>
        <v/>
      </c>
      <c r="C3" s="6">
        <f>'09_Source_Status_Mix'!C10</f>
        <v/>
      </c>
      <c r="D3" s="11">
        <f>'09_Source_Status_Mix'!D10</f>
        <v/>
      </c>
    </row>
    <row r="4" ht="20" customHeight="1">
      <c r="A4" s="5">
        <f>'09_Source_Status_Mix'!A11</f>
        <v/>
      </c>
      <c r="B4" s="5">
        <f>'09_Source_Status_Mix'!B11</f>
        <v/>
      </c>
      <c r="C4" s="6">
        <f>'09_Source_Status_Mix'!C11</f>
        <v/>
      </c>
      <c r="D4" s="11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5">
        <f>'11_Source_S_Curve_Data'!A10</f>
        <v/>
      </c>
      <c r="B2" s="5">
        <f>'11_Source_S_Curve_Data'!B10</f>
        <v/>
      </c>
      <c r="C2" s="6">
        <f>'11_Source_S_Curve_Data'!C10</f>
        <v/>
      </c>
      <c r="D2" s="6">
        <f>'11_Source_S_Curve_Data'!D10</f>
        <v/>
      </c>
      <c r="E2" s="6">
        <f>'11_Source_S_Curve_Data'!E10</f>
        <v/>
      </c>
      <c r="F2" s="6">
        <f>'11_Source_S_Curve_Data'!F10</f>
        <v/>
      </c>
      <c r="G2" s="6">
        <f>'11_Source_S_Curve_Data'!G10</f>
        <v/>
      </c>
      <c r="H2" s="6">
        <f>'11_Source_S_Curve_Data'!H10</f>
        <v/>
      </c>
      <c r="I2" s="5">
        <f>'11_Source_S_Curve_Data'!I10</f>
        <v/>
      </c>
    </row>
    <row r="3" ht="20" customHeight="1">
      <c r="A3" s="5">
        <f>'11_Source_S_Curve_Data'!A11</f>
        <v/>
      </c>
      <c r="B3" s="5">
        <f>'11_Source_S_Curve_Data'!B11</f>
        <v/>
      </c>
      <c r="C3" s="6">
        <f>'11_Source_S_Curve_Data'!C11</f>
        <v/>
      </c>
      <c r="D3" s="6">
        <f>'11_Source_S_Curve_Data'!D11</f>
        <v/>
      </c>
      <c r="E3" s="6">
        <f>'11_Source_S_Curve_Data'!E11</f>
        <v/>
      </c>
      <c r="F3" s="6">
        <f>'11_Source_S_Curve_Data'!F11</f>
        <v/>
      </c>
      <c r="G3" s="6">
        <f>'11_Source_S_Curve_Data'!G11</f>
        <v/>
      </c>
      <c r="H3" s="6">
        <f>'11_Source_S_Curve_Data'!H11</f>
        <v/>
      </c>
      <c r="I3" s="5">
        <f>'11_Source_S_Curve_Data'!I11</f>
        <v/>
      </c>
    </row>
    <row r="4" ht="20" customHeight="1">
      <c r="A4" s="5">
        <f>'11_Source_S_Curve_Data'!A12</f>
        <v/>
      </c>
      <c r="B4" s="5">
        <f>'11_Source_S_Curve_Data'!B12</f>
        <v/>
      </c>
      <c r="C4" s="6">
        <f>'11_Source_S_Curve_Data'!C12</f>
        <v/>
      </c>
      <c r="D4" s="6">
        <f>'11_Source_S_Curve_Data'!D12</f>
        <v/>
      </c>
      <c r="E4" s="6">
        <f>'11_Source_S_Curve_Data'!E12</f>
        <v/>
      </c>
      <c r="F4" s="6">
        <f>'11_Source_S_Curve_Data'!F12</f>
        <v/>
      </c>
      <c r="G4" s="6">
        <f>'11_Source_S_Curve_Data'!G12</f>
        <v/>
      </c>
      <c r="H4" s="6">
        <f>'11_Source_S_Curve_Data'!H12</f>
        <v/>
      </c>
      <c r="I4" s="5">
        <f>'11_Source_S_Curve_Data'!I12</f>
        <v/>
      </c>
    </row>
    <row r="5" ht="20" customHeight="1">
      <c r="A5" s="5">
        <f>'11_Source_S_Curve_Data'!A13</f>
        <v/>
      </c>
      <c r="B5" s="5">
        <f>'11_Source_S_Curve_Data'!B13</f>
        <v/>
      </c>
      <c r="C5" s="6">
        <f>'11_Source_S_Curve_Data'!C13</f>
        <v/>
      </c>
      <c r="D5" s="6">
        <f>'11_Source_S_Curve_Data'!D13</f>
        <v/>
      </c>
      <c r="E5" s="6">
        <f>'11_Source_S_Curve_Data'!E13</f>
        <v/>
      </c>
      <c r="F5" s="6">
        <f>'11_Source_S_Curve_Data'!F13</f>
        <v/>
      </c>
      <c r="G5" s="6">
        <f>'11_Source_S_Curve_Data'!G13</f>
        <v/>
      </c>
      <c r="H5" s="6">
        <f>'11_Source_S_Curve_Data'!H13</f>
        <v/>
      </c>
      <c r="I5" s="5">
        <f>'11_Source_S_Curve_Data'!I13</f>
        <v/>
      </c>
    </row>
    <row r="6" ht="20" customHeight="1">
      <c r="A6" s="5">
        <f>'11_Source_S_Curve_Data'!A14</f>
        <v/>
      </c>
      <c r="B6" s="5">
        <f>'11_Source_S_Curve_Data'!B14</f>
        <v/>
      </c>
      <c r="C6" s="6">
        <f>'11_Source_S_Curve_Data'!C14</f>
        <v/>
      </c>
      <c r="D6" s="6">
        <f>'11_Source_S_Curve_Data'!D14</f>
        <v/>
      </c>
      <c r="E6" s="6">
        <f>'11_Source_S_Curve_Data'!E14</f>
        <v/>
      </c>
      <c r="F6" s="6">
        <f>'11_Source_S_Curve_Data'!F14</f>
        <v/>
      </c>
      <c r="G6" s="6">
        <f>'11_Source_S_Curve_Data'!G14</f>
        <v/>
      </c>
      <c r="H6" s="6">
        <f>'11_Source_S_Curve_Data'!H14</f>
        <v/>
      </c>
      <c r="I6" s="5">
        <f>'11_Source_S_Curve_Data'!I14</f>
        <v/>
      </c>
    </row>
    <row r="7" ht="20" customHeight="1">
      <c r="A7" s="5">
        <f>'11_Source_S_Curve_Data'!A15</f>
        <v/>
      </c>
      <c r="B7" s="5">
        <f>'11_Source_S_Curve_Data'!B15</f>
        <v/>
      </c>
      <c r="C7" s="6">
        <f>'11_Source_S_Curve_Data'!C15</f>
        <v/>
      </c>
      <c r="D7" s="6">
        <f>'11_Source_S_Curve_Data'!D15</f>
        <v/>
      </c>
      <c r="E7" s="6">
        <f>'11_Source_S_Curve_Data'!E15</f>
        <v/>
      </c>
      <c r="F7" s="6">
        <f>'11_Source_S_Curve_Data'!F15</f>
        <v/>
      </c>
      <c r="G7" s="6">
        <f>'11_Source_S_Curve_Data'!G15</f>
        <v/>
      </c>
      <c r="H7" s="6">
        <f>'11_Source_S_Curve_Data'!H15</f>
        <v/>
      </c>
      <c r="I7" s="5">
        <f>'11_Source_S_Curve_Data'!I15</f>
        <v/>
      </c>
    </row>
    <row r="8" ht="20" customHeight="1">
      <c r="A8" s="5">
        <f>'11_Source_S_Curve_Data'!A16</f>
        <v/>
      </c>
      <c r="B8" s="5">
        <f>'11_Source_S_Curve_Data'!B16</f>
        <v/>
      </c>
      <c r="C8" s="6">
        <f>'11_Source_S_Curve_Data'!C16</f>
        <v/>
      </c>
      <c r="D8" s="6">
        <f>'11_Source_S_Curve_Data'!D16</f>
        <v/>
      </c>
      <c r="E8" s="6">
        <f>'11_Source_S_Curve_Data'!E16</f>
        <v/>
      </c>
      <c r="F8" s="6">
        <f>'11_Source_S_Curve_Data'!F16</f>
        <v/>
      </c>
      <c r="G8" s="6">
        <f>'11_Source_S_Curve_Data'!G16</f>
        <v/>
      </c>
      <c r="H8" s="6">
        <f>'11_Source_S_Curve_Data'!H16</f>
        <v/>
      </c>
      <c r="I8" s="5">
        <f>'11_Source_S_Curve_Data'!I16</f>
        <v/>
      </c>
    </row>
    <row r="9" ht="20" customHeight="1">
      <c r="A9" s="5">
        <f>'11_Source_S_Curve_Data'!A17</f>
        <v/>
      </c>
      <c r="B9" s="5">
        <f>'11_Source_S_Curve_Data'!B17</f>
        <v/>
      </c>
      <c r="C9" s="6">
        <f>'11_Source_S_Curve_Data'!C17</f>
        <v/>
      </c>
      <c r="D9" s="6">
        <f>'11_Source_S_Curve_Data'!D17</f>
        <v/>
      </c>
      <c r="E9" s="6">
        <f>'11_Source_S_Curve_Data'!E17</f>
        <v/>
      </c>
      <c r="F9" s="6">
        <f>'11_Source_S_Curve_Data'!F17</f>
        <v/>
      </c>
      <c r="G9" s="6">
        <f>'11_Source_S_Curve_Data'!G17</f>
        <v/>
      </c>
      <c r="H9" s="6">
        <f>'11_Source_S_Curve_Data'!H17</f>
        <v/>
      </c>
      <c r="I9" s="5">
        <f>'11_Source_S_Curve_Data'!I17</f>
        <v/>
      </c>
    </row>
    <row r="10" ht="20" customHeight="1">
      <c r="A10" s="5">
        <f>'11_Source_S_Curve_Data'!A18</f>
        <v/>
      </c>
      <c r="B10" s="5">
        <f>'11_Source_S_Curve_Data'!B18</f>
        <v/>
      </c>
      <c r="C10" s="6">
        <f>'11_Source_S_Curve_Data'!C18</f>
        <v/>
      </c>
      <c r="D10" s="6">
        <f>'11_Source_S_Curve_Data'!D18</f>
        <v/>
      </c>
      <c r="E10" s="6">
        <f>'11_Source_S_Curve_Data'!E18</f>
        <v/>
      </c>
      <c r="F10" s="6">
        <f>'11_Source_S_Curve_Data'!F18</f>
        <v/>
      </c>
      <c r="G10" s="6">
        <f>'11_Source_S_Curve_Data'!G18</f>
        <v/>
      </c>
      <c r="H10" s="6">
        <f>'11_Source_S_Curve_Data'!H18</f>
        <v/>
      </c>
      <c r="I10" s="5">
        <f>'11_Source_S_Curve_Data'!I18</f>
        <v/>
      </c>
    </row>
    <row r="11" ht="20" customHeight="1">
      <c r="A11" s="5">
        <f>'11_Source_S_Curve_Data'!A19</f>
        <v/>
      </c>
      <c r="B11" s="5">
        <f>'11_Source_S_Curve_Data'!B19</f>
        <v/>
      </c>
      <c r="C11" s="6">
        <f>'11_Source_S_Curve_Data'!C19</f>
        <v/>
      </c>
      <c r="D11" s="6">
        <f>'11_Source_S_Curve_Data'!D19</f>
        <v/>
      </c>
      <c r="E11" s="6">
        <f>'11_Source_S_Curve_Data'!E19</f>
        <v/>
      </c>
      <c r="F11" s="6">
        <f>'11_Source_S_Curve_Data'!F19</f>
        <v/>
      </c>
      <c r="G11" s="6">
        <f>'11_Source_S_Curve_Data'!G19</f>
        <v/>
      </c>
      <c r="H11" s="6">
        <f>'11_Source_S_Curve_Data'!H19</f>
        <v/>
      </c>
      <c r="I11" s="5">
        <f>'11_Source_S_Curve_Data'!I19</f>
        <v/>
      </c>
    </row>
    <row r="12" ht="20" customHeight="1">
      <c r="A12" s="5">
        <f>'11_Source_S_Curve_Data'!A20</f>
        <v/>
      </c>
      <c r="B12" s="5">
        <f>'11_Source_S_Curve_Data'!B20</f>
        <v/>
      </c>
      <c r="C12" s="6">
        <f>'11_Source_S_Curve_Data'!C20</f>
        <v/>
      </c>
      <c r="D12" s="6">
        <f>'11_Source_S_Curve_Data'!D20</f>
        <v/>
      </c>
      <c r="E12" s="6">
        <f>'11_Source_S_Curve_Data'!E20</f>
        <v/>
      </c>
      <c r="F12" s="6">
        <f>'11_Source_S_Curve_Data'!F20</f>
        <v/>
      </c>
      <c r="G12" s="6">
        <f>'11_Source_S_Curve_Data'!G20</f>
        <v/>
      </c>
      <c r="H12" s="6">
        <f>'11_Source_S_Curve_Data'!H20</f>
        <v/>
      </c>
      <c r="I12" s="5">
        <f>'11_Source_S_Curve_Data'!I20</f>
        <v/>
      </c>
    </row>
    <row r="13" ht="20" customHeight="1">
      <c r="A13" s="5">
        <f>'11_Source_S_Curve_Data'!A21</f>
        <v/>
      </c>
      <c r="B13" s="5">
        <f>'11_Source_S_Curve_Data'!B21</f>
        <v/>
      </c>
      <c r="C13" s="6">
        <f>'11_Source_S_Curve_Data'!C21</f>
        <v/>
      </c>
      <c r="D13" s="6">
        <f>'11_Source_S_Curve_Data'!D21</f>
        <v/>
      </c>
      <c r="E13" s="6">
        <f>'11_Source_S_Curve_Data'!E21</f>
        <v/>
      </c>
      <c r="F13" s="6">
        <f>'11_Source_S_Curve_Data'!F21</f>
        <v/>
      </c>
      <c r="G13" s="6">
        <f>'11_Source_S_Curve_Data'!G21</f>
        <v/>
      </c>
      <c r="H13" s="6">
        <f>'11_Source_S_Curve_Data'!H21</f>
        <v/>
      </c>
      <c r="I13" s="5">
        <f>'11_Source_S_Curve_Data'!I21</f>
        <v/>
      </c>
    </row>
    <row r="14" ht="20" customHeight="1">
      <c r="A14" s="5">
        <f>'11_Source_S_Curve_Data'!A22</f>
        <v/>
      </c>
      <c r="B14" s="5">
        <f>'11_Source_S_Curve_Data'!B22</f>
        <v/>
      </c>
      <c r="C14" s="6">
        <f>'11_Source_S_Curve_Data'!C22</f>
        <v/>
      </c>
      <c r="D14" s="6">
        <f>'11_Source_S_Curve_Data'!D22</f>
        <v/>
      </c>
      <c r="E14" s="6">
        <f>'11_Source_S_Curve_Data'!E22</f>
        <v/>
      </c>
      <c r="F14" s="6">
        <f>'11_Source_S_Curve_Data'!F22</f>
        <v/>
      </c>
      <c r="G14" s="6">
        <f>'11_Source_S_Curve_Data'!G22</f>
        <v/>
      </c>
      <c r="H14" s="6">
        <f>'11_Source_S_Curve_Data'!H22</f>
        <v/>
      </c>
      <c r="I14" s="5">
        <f>'11_Source_S_Curve_Data'!I22</f>
        <v/>
      </c>
    </row>
    <row r="15" ht="20" customHeight="1">
      <c r="A15" s="5">
        <f>'11_Source_S_Curve_Data'!A23</f>
        <v/>
      </c>
      <c r="B15" s="5">
        <f>'11_Source_S_Curve_Data'!B23</f>
        <v/>
      </c>
      <c r="C15" s="6">
        <f>'11_Source_S_Curve_Data'!C23</f>
        <v/>
      </c>
      <c r="D15" s="6">
        <f>'11_Source_S_Curve_Data'!D23</f>
        <v/>
      </c>
      <c r="E15" s="6">
        <f>'11_Source_S_Curve_Data'!E23</f>
        <v/>
      </c>
      <c r="F15" s="6">
        <f>'11_Source_S_Curve_Data'!F23</f>
        <v/>
      </c>
      <c r="G15" s="6">
        <f>'11_Source_S_Curve_Data'!G23</f>
        <v/>
      </c>
      <c r="H15" s="6">
        <f>'11_Source_S_Curve_Data'!H23</f>
        <v/>
      </c>
      <c r="I15" s="5">
        <f>'11_Source_S_Curve_Data'!I23</f>
        <v/>
      </c>
    </row>
    <row r="16" ht="20" customHeight="1">
      <c r="A16" s="5">
        <f>'11_Source_S_Curve_Data'!A24</f>
        <v/>
      </c>
      <c r="B16" s="5">
        <f>'11_Source_S_Curve_Data'!B24</f>
        <v/>
      </c>
      <c r="C16" s="6">
        <f>'11_Source_S_Curve_Data'!C24</f>
        <v/>
      </c>
      <c r="D16" s="6">
        <f>'11_Source_S_Curve_Data'!D24</f>
        <v/>
      </c>
      <c r="E16" s="6">
        <f>'11_Source_S_Curve_Data'!E24</f>
        <v/>
      </c>
      <c r="F16" s="6">
        <f>'11_Source_S_Curve_Data'!F24</f>
        <v/>
      </c>
      <c r="G16" s="6">
        <f>'11_Source_S_Curve_Data'!G24</f>
        <v/>
      </c>
      <c r="H16" s="6">
        <f>'11_Source_S_Curve_Data'!H24</f>
        <v/>
      </c>
      <c r="I16" s="5">
        <f>'11_Source_S_Curve_Data'!I24</f>
        <v/>
      </c>
    </row>
    <row r="17" ht="20" customHeight="1">
      <c r="A17" s="5">
        <f>'11_Source_S_Curve_Data'!A25</f>
        <v/>
      </c>
      <c r="B17" s="5">
        <f>'11_Source_S_Curve_Data'!B25</f>
        <v/>
      </c>
      <c r="C17" s="6">
        <f>'11_Source_S_Curve_Data'!C25</f>
        <v/>
      </c>
      <c r="D17" s="6">
        <f>'11_Source_S_Curve_Data'!D25</f>
        <v/>
      </c>
      <c r="E17" s="6">
        <f>'11_Source_S_Curve_Data'!E25</f>
        <v/>
      </c>
      <c r="F17" s="6">
        <f>'11_Source_S_Curve_Data'!F25</f>
        <v/>
      </c>
      <c r="G17" s="6">
        <f>'11_Source_S_Curve_Data'!G25</f>
        <v/>
      </c>
      <c r="H17" s="6">
        <f>'11_Source_S_Curve_Data'!H25</f>
        <v/>
      </c>
      <c r="I17" s="5">
        <f>'11_Source_S_Curve_Data'!I25</f>
        <v/>
      </c>
    </row>
    <row r="18" ht="20" customHeight="1">
      <c r="A18" s="5">
        <f>'11_Source_S_Curve_Data'!A26</f>
        <v/>
      </c>
      <c r="B18" s="5">
        <f>'11_Source_S_Curve_Data'!B26</f>
        <v/>
      </c>
      <c r="C18" s="6">
        <f>'11_Source_S_Curve_Data'!C26</f>
        <v/>
      </c>
      <c r="D18" s="6">
        <f>'11_Source_S_Curve_Data'!D26</f>
        <v/>
      </c>
      <c r="E18" s="6">
        <f>'11_Source_S_Curve_Data'!E26</f>
        <v/>
      </c>
      <c r="F18" s="6">
        <f>'11_Source_S_Curve_Data'!F26</f>
        <v/>
      </c>
      <c r="G18" s="6">
        <f>'11_Source_S_Curve_Data'!G26</f>
        <v/>
      </c>
      <c r="H18" s="6">
        <f>'11_Source_S_Curve_Data'!H26</f>
        <v/>
      </c>
      <c r="I18" s="5">
        <f>'11_Source_S_Curve_Data'!I26</f>
        <v/>
      </c>
    </row>
    <row r="19" ht="20" customHeight="1">
      <c r="A19" s="5">
        <f>'11_Source_S_Curve_Data'!A27</f>
        <v/>
      </c>
      <c r="B19" s="5">
        <f>'11_Source_S_Curve_Data'!B27</f>
        <v/>
      </c>
      <c r="C19" s="6">
        <f>'11_Source_S_Curve_Data'!C27</f>
        <v/>
      </c>
      <c r="D19" s="6">
        <f>'11_Source_S_Curve_Data'!D27</f>
        <v/>
      </c>
      <c r="E19" s="6">
        <f>'11_Source_S_Curve_Data'!E27</f>
        <v/>
      </c>
      <c r="F19" s="6">
        <f>'11_Source_S_Curve_Data'!F27</f>
        <v/>
      </c>
      <c r="G19" s="6">
        <f>'11_Source_S_Curve_Data'!G27</f>
        <v/>
      </c>
      <c r="H19" s="6">
        <f>'11_Source_S_Curve_Data'!H27</f>
        <v/>
      </c>
      <c r="I19" s="5">
        <f>'11_Source_S_Curve_Data'!I27</f>
        <v/>
      </c>
    </row>
    <row r="20" ht="20" customHeight="1">
      <c r="A20" s="5">
        <f>'11_Source_S_Curve_Data'!A28</f>
        <v/>
      </c>
      <c r="B20" s="5">
        <f>'11_Source_S_Curve_Data'!B28</f>
        <v/>
      </c>
      <c r="C20" s="6">
        <f>'11_Source_S_Curve_Data'!C28</f>
        <v/>
      </c>
      <c r="D20" s="6">
        <f>'11_Source_S_Curve_Data'!D28</f>
        <v/>
      </c>
      <c r="E20" s="6">
        <f>'11_Source_S_Curve_Data'!E28</f>
        <v/>
      </c>
      <c r="F20" s="6">
        <f>'11_Source_S_Curve_Data'!F28</f>
        <v/>
      </c>
      <c r="G20" s="6">
        <f>'11_Source_S_Curve_Data'!G28</f>
        <v/>
      </c>
      <c r="H20" s="6">
        <f>'11_Source_S_Curve_Data'!H28</f>
        <v/>
      </c>
      <c r="I20" s="5">
        <f>'11_Source_S_Curve_Data'!I28</f>
        <v/>
      </c>
    </row>
    <row r="21" ht="20" customHeight="1">
      <c r="A21" s="5">
        <f>'11_Source_S_Curve_Data'!A29</f>
        <v/>
      </c>
      <c r="B21" s="5">
        <f>'11_Source_S_Curve_Data'!B29</f>
        <v/>
      </c>
      <c r="C21" s="6">
        <f>'11_Source_S_Curve_Data'!C29</f>
        <v/>
      </c>
      <c r="D21" s="6">
        <f>'11_Source_S_Curve_Data'!D29</f>
        <v/>
      </c>
      <c r="E21" s="6">
        <f>'11_Source_S_Curve_Data'!E29</f>
        <v/>
      </c>
      <c r="F21" s="6">
        <f>'11_Source_S_Curve_Data'!F29</f>
        <v/>
      </c>
      <c r="G21" s="6">
        <f>'11_Source_S_Curve_Data'!G29</f>
        <v/>
      </c>
      <c r="H21" s="6">
        <f>'11_Source_S_Curve_Data'!H29</f>
        <v/>
      </c>
      <c r="I21" s="5">
        <f>'11_Source_S_Curve_Data'!I29</f>
        <v/>
      </c>
    </row>
    <row r="22" ht="20" customHeight="1">
      <c r="A22" s="5">
        <f>'11_Source_S_Curve_Data'!A30</f>
        <v/>
      </c>
      <c r="B22" s="5">
        <f>'11_Source_S_Curve_Data'!B30</f>
        <v/>
      </c>
      <c r="C22" s="6">
        <f>'11_Source_S_Curve_Data'!C30</f>
        <v/>
      </c>
      <c r="D22" s="6">
        <f>'11_Source_S_Curve_Data'!D30</f>
        <v/>
      </c>
      <c r="E22" s="6">
        <f>'11_Source_S_Curve_Data'!E30</f>
        <v/>
      </c>
      <c r="F22" s="6">
        <f>'11_Source_S_Curve_Data'!F30</f>
        <v/>
      </c>
      <c r="G22" s="6">
        <f>'11_Source_S_Curve_Data'!G30</f>
        <v/>
      </c>
      <c r="H22" s="6">
        <f>'11_Source_S_Curve_Data'!H30</f>
        <v/>
      </c>
      <c r="I22" s="5">
        <f>'11_Source_S_Curve_Data'!I30</f>
        <v/>
      </c>
    </row>
    <row r="23" ht="20" customHeight="1">
      <c r="A23" s="5">
        <f>'11_Source_S_Curve_Data'!A31</f>
        <v/>
      </c>
      <c r="B23" s="5">
        <f>'11_Source_S_Curve_Data'!B31</f>
        <v/>
      </c>
      <c r="C23" s="6">
        <f>'11_Source_S_Curve_Data'!C31</f>
        <v/>
      </c>
      <c r="D23" s="6">
        <f>'11_Source_S_Curve_Data'!D31</f>
        <v/>
      </c>
      <c r="E23" s="6">
        <f>'11_Source_S_Curve_Data'!E31</f>
        <v/>
      </c>
      <c r="F23" s="6">
        <f>'11_Source_S_Curve_Data'!F31</f>
        <v/>
      </c>
      <c r="G23" s="6">
        <f>'11_Source_S_Curve_Data'!G31</f>
        <v/>
      </c>
      <c r="H23" s="6">
        <f>'11_Source_S_Curve_Data'!H31</f>
        <v/>
      </c>
      <c r="I23" s="5">
        <f>'11_Source_S_Curve_Data'!I31</f>
        <v/>
      </c>
    </row>
    <row r="24" ht="20" customHeight="1">
      <c r="A24" s="5">
        <f>'11_Source_S_Curve_Data'!A32</f>
        <v/>
      </c>
      <c r="B24" s="5">
        <f>'11_Source_S_Curve_Data'!B32</f>
        <v/>
      </c>
      <c r="C24" s="6">
        <f>'11_Source_S_Curve_Data'!C32</f>
        <v/>
      </c>
      <c r="D24" s="6">
        <f>'11_Source_S_Curve_Data'!D32</f>
        <v/>
      </c>
      <c r="E24" s="6">
        <f>'11_Source_S_Curve_Data'!E32</f>
        <v/>
      </c>
      <c r="F24" s="6">
        <f>'11_Source_S_Curve_Data'!F32</f>
        <v/>
      </c>
      <c r="G24" s="6">
        <f>'11_Source_S_Curve_Data'!G32</f>
        <v/>
      </c>
      <c r="H24" s="6">
        <f>'11_Source_S_Curve_Data'!H32</f>
        <v/>
      </c>
      <c r="I24" s="5">
        <f>'11_Source_S_Curve_Data'!I32</f>
        <v/>
      </c>
    </row>
    <row r="25" ht="20" customHeight="1">
      <c r="A25" s="5">
        <f>'11_Source_S_Curve_Data'!A33</f>
        <v/>
      </c>
      <c r="B25" s="5">
        <f>'11_Source_S_Curve_Data'!B33</f>
        <v/>
      </c>
      <c r="C25" s="6">
        <f>'11_Source_S_Curve_Data'!C33</f>
        <v/>
      </c>
      <c r="D25" s="6">
        <f>'11_Source_S_Curve_Data'!D33</f>
        <v/>
      </c>
      <c r="E25" s="6">
        <f>'11_Source_S_Curve_Data'!E33</f>
        <v/>
      </c>
      <c r="F25" s="6">
        <f>'11_Source_S_Curve_Data'!F33</f>
        <v/>
      </c>
      <c r="G25" s="6">
        <f>'11_Source_S_Curve_Data'!G33</f>
        <v/>
      </c>
      <c r="H25" s="6">
        <f>'11_Source_S_Curve_Data'!H33</f>
        <v/>
      </c>
      <c r="I25" s="5">
        <f>'11_Source_S_Curve_Data'!I33</f>
        <v/>
      </c>
    </row>
    <row r="26" ht="20" customHeight="1">
      <c r="A26" s="5">
        <f>'11_Source_S_Curve_Data'!A34</f>
        <v/>
      </c>
      <c r="B26" s="5">
        <f>'11_Source_S_Curve_Data'!B34</f>
        <v/>
      </c>
      <c r="C26" s="6">
        <f>'11_Source_S_Curve_Data'!C34</f>
        <v/>
      </c>
      <c r="D26" s="6">
        <f>'11_Source_S_Curve_Data'!D34</f>
        <v/>
      </c>
      <c r="E26" s="6">
        <f>'11_Source_S_Curve_Data'!E34</f>
        <v/>
      </c>
      <c r="F26" s="6">
        <f>'11_Source_S_Curve_Data'!F34</f>
        <v/>
      </c>
      <c r="G26" s="6">
        <f>'11_Source_S_Curve_Data'!G34</f>
        <v/>
      </c>
      <c r="H26" s="6">
        <f>'11_Source_S_Curve_Data'!H34</f>
        <v/>
      </c>
      <c r="I26" s="5">
        <f>'11_Source_S_Curve_Data'!I34</f>
        <v/>
      </c>
    </row>
    <row r="27" ht="20" customHeight="1">
      <c r="A27" s="5">
        <f>'11_Source_S_Curve_Data'!A35</f>
        <v/>
      </c>
      <c r="B27" s="5">
        <f>'11_Source_S_Curve_Data'!B35</f>
        <v/>
      </c>
      <c r="C27" s="6">
        <f>'11_Source_S_Curve_Data'!C35</f>
        <v/>
      </c>
      <c r="D27" s="6">
        <f>'11_Source_S_Curve_Data'!D35</f>
        <v/>
      </c>
      <c r="E27" s="6">
        <f>'11_Source_S_Curve_Data'!E35</f>
        <v/>
      </c>
      <c r="F27" s="6">
        <f>'11_Source_S_Curve_Data'!F35</f>
        <v/>
      </c>
      <c r="G27" s="6">
        <f>'11_Source_S_Curve_Data'!G35</f>
        <v/>
      </c>
      <c r="H27" s="6">
        <f>'11_Source_S_Curve_Data'!H35</f>
        <v/>
      </c>
      <c r="I27" s="5">
        <f>'11_Source_S_Curve_Data'!I35</f>
        <v/>
      </c>
    </row>
    <row r="28" ht="20" customHeight="1">
      <c r="A28" s="5">
        <f>'11_Source_S_Curve_Data'!A36</f>
        <v/>
      </c>
      <c r="B28" s="5">
        <f>'11_Source_S_Curve_Data'!B36</f>
        <v/>
      </c>
      <c r="C28" s="6">
        <f>'11_Source_S_Curve_Data'!C36</f>
        <v/>
      </c>
      <c r="D28" s="6">
        <f>'11_Source_S_Curve_Data'!D36</f>
        <v/>
      </c>
      <c r="E28" s="6">
        <f>'11_Source_S_Curve_Data'!E36</f>
        <v/>
      </c>
      <c r="F28" s="6">
        <f>'11_Source_S_Curve_Data'!F36</f>
        <v/>
      </c>
      <c r="G28" s="6">
        <f>'11_Source_S_Curve_Data'!G36</f>
        <v/>
      </c>
      <c r="H28" s="6">
        <f>'11_Source_S_Curve_Data'!H36</f>
        <v/>
      </c>
      <c r="I28" s="5">
        <f>'11_Source_S_Curve_Data'!I36</f>
        <v/>
      </c>
    </row>
    <row r="29" ht="20" customHeight="1">
      <c r="A29" s="5">
        <f>'11_Source_S_Curve_Data'!A37</f>
        <v/>
      </c>
      <c r="B29" s="5">
        <f>'11_Source_S_Curve_Data'!B37</f>
        <v/>
      </c>
      <c r="C29" s="6">
        <f>'11_Source_S_Curve_Data'!C37</f>
        <v/>
      </c>
      <c r="D29" s="6">
        <f>'11_Source_S_Curve_Data'!D37</f>
        <v/>
      </c>
      <c r="E29" s="6">
        <f>'11_Source_S_Curve_Data'!E37</f>
        <v/>
      </c>
      <c r="F29" s="6">
        <f>'11_Source_S_Curve_Data'!F37</f>
        <v/>
      </c>
      <c r="G29" s="6">
        <f>'11_Source_S_Curve_Data'!G37</f>
        <v/>
      </c>
      <c r="H29" s="6">
        <f>'11_Source_S_Curve_Data'!H37</f>
        <v/>
      </c>
      <c r="I29" s="5">
        <f>'11_Source_S_Curve_Data'!I37</f>
        <v/>
      </c>
    </row>
    <row r="30" ht="20" customHeight="1">
      <c r="A30" s="5">
        <f>'11_Source_S_Curve_Data'!A38</f>
        <v/>
      </c>
      <c r="B30" s="5">
        <f>'11_Source_S_Curve_Data'!B38</f>
        <v/>
      </c>
      <c r="C30" s="6">
        <f>'11_Source_S_Curve_Data'!C38</f>
        <v/>
      </c>
      <c r="D30" s="6">
        <f>'11_Source_S_Curve_Data'!D38</f>
        <v/>
      </c>
      <c r="E30" s="6">
        <f>'11_Source_S_Curve_Data'!E38</f>
        <v/>
      </c>
      <c r="F30" s="6">
        <f>'11_Source_S_Curve_Data'!F38</f>
        <v/>
      </c>
      <c r="G30" s="6">
        <f>'11_Source_S_Curve_Data'!G38</f>
        <v/>
      </c>
      <c r="H30" s="6">
        <f>'11_Source_S_Curve_Data'!H38</f>
        <v/>
      </c>
      <c r="I30" s="5">
        <f>'11_Source_S_Curve_Data'!I38</f>
        <v/>
      </c>
    </row>
    <row r="31" ht="20" customHeight="1">
      <c r="A31" s="5">
        <f>'11_Source_S_Curve_Data'!A39</f>
        <v/>
      </c>
      <c r="B31" s="5">
        <f>'11_Source_S_Curve_Data'!B39</f>
        <v/>
      </c>
      <c r="C31" s="6">
        <f>'11_Source_S_Curve_Data'!C39</f>
        <v/>
      </c>
      <c r="D31" s="6">
        <f>'11_Source_S_Curve_Data'!D39</f>
        <v/>
      </c>
      <c r="E31" s="6">
        <f>'11_Source_S_Curve_Data'!E39</f>
        <v/>
      </c>
      <c r="F31" s="6">
        <f>'11_Source_S_Curve_Data'!F39</f>
        <v/>
      </c>
      <c r="G31" s="6">
        <f>'11_Source_S_Curve_Data'!G39</f>
        <v/>
      </c>
      <c r="H31" s="6">
        <f>'11_Source_S_Curve_Data'!H39</f>
        <v/>
      </c>
      <c r="I31" s="5">
        <f>'11_Source_S_Curve_Data'!I39</f>
        <v/>
      </c>
    </row>
    <row r="32" ht="20" customHeight="1">
      <c r="A32" s="5">
        <f>'11_Source_S_Curve_Data'!A40</f>
        <v/>
      </c>
      <c r="B32" s="5">
        <f>'11_Source_S_Curve_Data'!B40</f>
        <v/>
      </c>
      <c r="C32" s="6">
        <f>'11_Source_S_Curve_Data'!C40</f>
        <v/>
      </c>
      <c r="D32" s="6">
        <f>'11_Source_S_Curve_Data'!D40</f>
        <v/>
      </c>
      <c r="E32" s="6">
        <f>'11_Source_S_Curve_Data'!E40</f>
        <v/>
      </c>
      <c r="F32" s="6">
        <f>'11_Source_S_Curve_Data'!F40</f>
        <v/>
      </c>
      <c r="G32" s="6">
        <f>'11_Source_S_Curve_Data'!G40</f>
        <v/>
      </c>
      <c r="H32" s="6">
        <f>'11_Source_S_Curve_Data'!H40</f>
        <v/>
      </c>
      <c r="I32" s="5">
        <f>'11_Source_S_Curve_Data'!I40</f>
        <v/>
      </c>
    </row>
    <row r="33" ht="20" customHeight="1">
      <c r="A33" s="5">
        <f>'11_Source_S_Curve_Data'!A41</f>
        <v/>
      </c>
      <c r="B33" s="5">
        <f>'11_Source_S_Curve_Data'!B41</f>
        <v/>
      </c>
      <c r="C33" s="6">
        <f>'11_Source_S_Curve_Data'!C41</f>
        <v/>
      </c>
      <c r="D33" s="6">
        <f>'11_Source_S_Curve_Data'!D41</f>
        <v/>
      </c>
      <c r="E33" s="6">
        <f>'11_Source_S_Curve_Data'!E41</f>
        <v/>
      </c>
      <c r="F33" s="6">
        <f>'11_Source_S_Curve_Data'!F41</f>
        <v/>
      </c>
      <c r="G33" s="6">
        <f>'11_Source_S_Curve_Data'!G41</f>
        <v/>
      </c>
      <c r="H33" s="6">
        <f>'11_Source_S_Curve_Data'!H41</f>
        <v/>
      </c>
      <c r="I33" s="5">
        <f>'11_Source_S_Curve_Data'!I41</f>
        <v/>
      </c>
    </row>
    <row r="34" ht="20" customHeight="1">
      <c r="A34" s="5">
        <f>'11_Source_S_Curve_Data'!A42</f>
        <v/>
      </c>
      <c r="B34" s="5">
        <f>'11_Source_S_Curve_Data'!B42</f>
        <v/>
      </c>
      <c r="C34" s="6">
        <f>'11_Source_S_Curve_Data'!C42</f>
        <v/>
      </c>
      <c r="D34" s="6">
        <f>'11_Source_S_Curve_Data'!D42</f>
        <v/>
      </c>
      <c r="E34" s="6">
        <f>'11_Source_S_Curve_Data'!E42</f>
        <v/>
      </c>
      <c r="F34" s="6">
        <f>'11_Source_S_Curve_Data'!F42</f>
        <v/>
      </c>
      <c r="G34" s="6">
        <f>'11_Source_S_Curve_Data'!G42</f>
        <v/>
      </c>
      <c r="H34" s="6">
        <f>'11_Source_S_Curve_Data'!H42</f>
        <v/>
      </c>
      <c r="I34" s="5">
        <f>'11_Source_S_Curve_Data'!I42</f>
        <v/>
      </c>
    </row>
    <row r="35" ht="20" customHeight="1">
      <c r="A35" s="5">
        <f>'11_Source_S_Curve_Data'!A43</f>
        <v/>
      </c>
      <c r="B35" s="5">
        <f>'11_Source_S_Curve_Data'!B43</f>
        <v/>
      </c>
      <c r="C35" s="6">
        <f>'11_Source_S_Curve_Data'!C43</f>
        <v/>
      </c>
      <c r="D35" s="6">
        <f>'11_Source_S_Curve_Data'!D43</f>
        <v/>
      </c>
      <c r="E35" s="6">
        <f>'11_Source_S_Curve_Data'!E43</f>
        <v/>
      </c>
      <c r="F35" s="6">
        <f>'11_Source_S_Curve_Data'!F43</f>
        <v/>
      </c>
      <c r="G35" s="6">
        <f>'11_Source_S_Curve_Data'!G43</f>
        <v/>
      </c>
      <c r="H35" s="6">
        <f>'11_Source_S_Curve_Data'!H43</f>
        <v/>
      </c>
      <c r="I35" s="5">
        <f>'11_Source_S_Curve_Data'!I43</f>
        <v/>
      </c>
    </row>
    <row r="36" ht="20" customHeight="1">
      <c r="A36" s="5">
        <f>'11_Source_S_Curve_Data'!A44</f>
        <v/>
      </c>
      <c r="B36" s="5">
        <f>'11_Source_S_Curve_Data'!B44</f>
        <v/>
      </c>
      <c r="C36" s="6">
        <f>'11_Source_S_Curve_Data'!C44</f>
        <v/>
      </c>
      <c r="D36" s="6">
        <f>'11_Source_S_Curve_Data'!D44</f>
        <v/>
      </c>
      <c r="E36" s="6">
        <f>'11_Source_S_Curve_Data'!E44</f>
        <v/>
      </c>
      <c r="F36" s="6">
        <f>'11_Source_S_Curve_Data'!F44</f>
        <v/>
      </c>
      <c r="G36" s="6">
        <f>'11_Source_S_Curve_Data'!G44</f>
        <v/>
      </c>
      <c r="H36" s="6">
        <f>'11_Source_S_Curve_Data'!H44</f>
        <v/>
      </c>
      <c r="I36" s="5">
        <f>'11_Source_S_Curve_Data'!I44</f>
        <v/>
      </c>
    </row>
    <row r="37" ht="20" customHeight="1">
      <c r="A37" s="5">
        <f>'11_Source_S_Curve_Data'!A45</f>
        <v/>
      </c>
      <c r="B37" s="5">
        <f>'11_Source_S_Curve_Data'!B45</f>
        <v/>
      </c>
      <c r="C37" s="6">
        <f>'11_Source_S_Curve_Data'!C45</f>
        <v/>
      </c>
      <c r="D37" s="6">
        <f>'11_Source_S_Curve_Data'!D45</f>
        <v/>
      </c>
      <c r="E37" s="6">
        <f>'11_Source_S_Curve_Data'!E45</f>
        <v/>
      </c>
      <c r="F37" s="6">
        <f>'11_Source_S_Curve_Data'!F45</f>
        <v/>
      </c>
      <c r="G37" s="6">
        <f>'11_Source_S_Curve_Data'!G45</f>
        <v/>
      </c>
      <c r="H37" s="6">
        <f>'11_Source_S_Curve_Data'!H45</f>
        <v/>
      </c>
      <c r="I37" s="5">
        <f>'11_Source_S_Curve_Data'!I45</f>
        <v/>
      </c>
    </row>
    <row r="38" ht="20" customHeight="1">
      <c r="A38" s="5">
        <f>'11_Source_S_Curve_Data'!A46</f>
        <v/>
      </c>
      <c r="B38" s="5">
        <f>'11_Source_S_Curve_Data'!B46</f>
        <v/>
      </c>
      <c r="C38" s="6">
        <f>'11_Source_S_Curve_Data'!C46</f>
        <v/>
      </c>
      <c r="D38" s="6">
        <f>'11_Source_S_Curve_Data'!D46</f>
        <v/>
      </c>
      <c r="E38" s="6">
        <f>'11_Source_S_Curve_Data'!E46</f>
        <v/>
      </c>
      <c r="F38" s="6">
        <f>'11_Source_S_Curve_Data'!F46</f>
        <v/>
      </c>
      <c r="G38" s="6">
        <f>'11_Source_S_Curve_Data'!G46</f>
        <v/>
      </c>
      <c r="H38" s="6">
        <f>'11_Source_S_Curve_Data'!H46</f>
        <v/>
      </c>
      <c r="I38" s="5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5" t="inlineStr">
        <is>
          <t>Budget 0 - col. I</t>
        </is>
      </c>
      <c r="B7" s="6" t="n">
        <v>505343424</v>
      </c>
      <c r="C7" s="5" t="inlineStr">
        <is>
          <t>Budget.xlsm</t>
        </is>
      </c>
      <c r="D7" s="5" t="inlineStr">
        <is>
          <t>Włocławek Budget</t>
        </is>
      </c>
      <c r="E7" s="5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5" t="inlineStr">
        <is>
          <t>Budget attuale - col. AB</t>
        </is>
      </c>
      <c r="B8" s="6" t="n">
        <v>501457852.9912034</v>
      </c>
      <c r="C8" s="5" t="inlineStr">
        <is>
          <t>Budget.xlsm</t>
        </is>
      </c>
      <c r="D8" s="5" t="inlineStr">
        <is>
          <t>Włocławek Budget</t>
        </is>
      </c>
      <c r="E8" s="5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5" t="inlineStr">
        <is>
          <t>Direct cost / root budget group</t>
        </is>
      </c>
      <c r="B12" s="5" t="n">
        <v>1</v>
      </c>
      <c r="C12" s="5" t="inlineStr">
        <is>
          <t>PROJEKTOWANIE</t>
        </is>
      </c>
      <c r="D12" s="5" t="inlineStr">
        <is>
          <t>DESIGN</t>
        </is>
      </c>
      <c r="E12" s="6" t="n">
        <v>30550000</v>
      </c>
      <c r="F12" s="6" t="n">
        <v>27169999.9970502</v>
      </c>
      <c r="G12" s="6">
        <f>F12-E12</f>
        <v/>
      </c>
      <c r="H12" s="11">
        <f>IFERROR(G12/E12,0)</f>
        <v/>
      </c>
      <c r="I12" s="5" t="n">
        <v>13</v>
      </c>
      <c r="J12" s="5" t="inlineStr">
        <is>
          <t>I13 / AB13</t>
        </is>
      </c>
    </row>
    <row r="13" ht="20" customHeight="1">
      <c r="A13" s="5" t="inlineStr">
        <is>
          <t>Direct cost / root budget group</t>
        </is>
      </c>
      <c r="B13" s="5" t="n">
        <v>2</v>
      </c>
      <c r="C13" s="5" t="inlineStr">
        <is>
          <t>Roboty branży budowlano-konstrukcyjnej</t>
        </is>
      </c>
      <c r="D13" s="5" t="inlineStr">
        <is>
          <t>Civil works</t>
        </is>
      </c>
      <c r="E13" s="6" t="n">
        <v>113409768</v>
      </c>
      <c r="F13" s="6" t="n">
        <v>108109766.991854</v>
      </c>
      <c r="G13" s="6">
        <f>F13-E13</f>
        <v/>
      </c>
      <c r="H13" s="11">
        <f>IFERROR(G13/E13,0)</f>
        <v/>
      </c>
      <c r="I13" s="5" t="n">
        <v>38</v>
      </c>
      <c r="J13" s="5" t="inlineStr">
        <is>
          <t>I38 / AB38</t>
        </is>
      </c>
    </row>
    <row r="14" ht="20" customHeight="1">
      <c r="A14" s="5" t="inlineStr">
        <is>
          <t>Direct cost / root budget group</t>
        </is>
      </c>
      <c r="B14" s="5" t="n">
        <v>3</v>
      </c>
      <c r="C14" s="5" t="inlineStr">
        <is>
          <t>BRANŻA ELEKTRYCZNA</t>
        </is>
      </c>
      <c r="D14" s="5" t="inlineStr">
        <is>
          <t>ELECTRICAL WORKS</t>
        </is>
      </c>
      <c r="E14" s="6" t="n">
        <v>10912000</v>
      </c>
      <c r="F14" s="6" t="n">
        <v>58345340</v>
      </c>
      <c r="G14" s="6">
        <f>F14-E14</f>
        <v/>
      </c>
      <c r="H14" s="11">
        <f>IFERROR(G14/E14,0)</f>
        <v/>
      </c>
      <c r="I14" s="5" t="n">
        <v>143</v>
      </c>
      <c r="J14" s="5" t="inlineStr">
        <is>
          <t>I143 / AB143</t>
        </is>
      </c>
    </row>
    <row r="15" ht="20" customHeight="1">
      <c r="A15" s="5" t="inlineStr">
        <is>
          <t>Direct cost / root budget group</t>
        </is>
      </c>
      <c r="B15" s="5" t="n">
        <v>4</v>
      </c>
      <c r="C15" s="5" t="inlineStr">
        <is>
          <t>Roboty branży sanitarnej i ppoż</t>
        </is>
      </c>
      <c r="D15" s="5" t="inlineStr">
        <is>
          <t>Sanitary works and fire-fighting system</t>
        </is>
      </c>
      <c r="E15" s="6" t="n">
        <v>34223555</v>
      </c>
      <c r="F15" s="6" t="n">
        <v>21293319.0015</v>
      </c>
      <c r="G15" s="6">
        <f>F15-E15</f>
        <v/>
      </c>
      <c r="H15" s="11">
        <f>IFERROR(G15/E15,0)</f>
        <v/>
      </c>
      <c r="I15" s="5" t="n">
        <v>160</v>
      </c>
      <c r="J15" s="5" t="inlineStr">
        <is>
          <t>I160 / AB160</t>
        </is>
      </c>
    </row>
    <row r="16" ht="20" customHeight="1">
      <c r="A16" s="5" t="inlineStr">
        <is>
          <t>Direct cost / root budget group</t>
        </is>
      </c>
      <c r="B16" s="5" t="n">
        <v>5</v>
      </c>
      <c r="C16" s="5" t="inlineStr">
        <is>
          <t>Roboty branży mechanicznej i technologicznej</t>
        </is>
      </c>
      <c r="D16" s="5" t="inlineStr">
        <is>
          <t>Mechanical and technological works</t>
        </is>
      </c>
      <c r="E16" s="6" t="n">
        <v>293798902</v>
      </c>
      <c r="F16" s="6" t="n">
        <v>258666645.9991515</v>
      </c>
      <c r="G16" s="6">
        <f>F16-E16</f>
        <v/>
      </c>
      <c r="H16" s="11">
        <f>IFERROR(G16/E16,0)</f>
        <v/>
      </c>
      <c r="I16" s="5" t="n">
        <v>185</v>
      </c>
      <c r="J16" s="5" t="inlineStr">
        <is>
          <t>I185 / AB185</t>
        </is>
      </c>
    </row>
    <row r="17" ht="20" customHeight="1">
      <c r="A17" s="5" t="inlineStr">
        <is>
          <t>Direct cost / root budget group</t>
        </is>
      </c>
      <c r="B17" s="5" t="n">
        <v>6</v>
      </c>
      <c r="C17" s="5" t="inlineStr">
        <is>
          <t>Zimny i gorący rozruch, Ruch próbny instalacji technologicznych</t>
        </is>
      </c>
      <c r="D17" s="5" t="inlineStr">
        <is>
          <t>Cold and hot commissioning &amp; Trial run of technological equipment</t>
        </is>
      </c>
      <c r="E17" s="6" t="n">
        <v>8499199</v>
      </c>
      <c r="F17" s="6" t="n">
        <v>8499999.997099999</v>
      </c>
      <c r="G17" s="6">
        <f>F17-E17</f>
        <v/>
      </c>
      <c r="H17" s="11">
        <f>IFERROR(G17/E17,0)</f>
        <v/>
      </c>
      <c r="I17" s="5" t="n">
        <v>257</v>
      </c>
      <c r="J17" s="5" t="inlineStr">
        <is>
          <t>I257 / AB257</t>
        </is>
      </c>
    </row>
    <row r="18" ht="20" customHeight="1">
      <c r="A18" s="5" t="inlineStr">
        <is>
          <t>Direct cost / root budget group</t>
        </is>
      </c>
      <c r="B18" s="5" t="n">
        <v>7</v>
      </c>
      <c r="C18" s="5" t="inlineStr">
        <is>
          <t>Wyrównanie do wartości z TCO / Rezerwa</t>
        </is>
      </c>
      <c r="D18" s="5" t="inlineStr">
        <is>
          <t>Alignment to TCO values / Backup</t>
        </is>
      </c>
      <c r="E18" s="6" t="n">
        <v>0</v>
      </c>
      <c r="F18" s="6" t="n">
        <v>538352</v>
      </c>
      <c r="G18" s="6">
        <f>F18-E18</f>
        <v/>
      </c>
      <c r="H18" s="11">
        <f>IFERROR(G18/E18,0)</f>
        <v/>
      </c>
      <c r="I18" s="5" t="n">
        <v>276</v>
      </c>
      <c r="J18" s="5" t="inlineStr">
        <is>
          <t>I276 / AB276</t>
        </is>
      </c>
    </row>
    <row r="19" ht="20" customHeight="1">
      <c r="A19" s="5" t="inlineStr">
        <is>
          <t>Direct cost / root budget group</t>
        </is>
      </c>
      <c r="B19" s="5" t="n">
        <v>8</v>
      </c>
      <c r="C19" s="5" t="inlineStr">
        <is>
          <t>Pozostałe koszty</t>
        </is>
      </c>
      <c r="D19" s="5" t="inlineStr"/>
      <c r="E19" s="6" t="n">
        <v>0</v>
      </c>
      <c r="F19" s="6" t="n">
        <v>414429</v>
      </c>
      <c r="G19" s="6">
        <f>F19-E19</f>
        <v/>
      </c>
      <c r="H19" s="11">
        <f>IFERROR(G19/E19,0)</f>
        <v/>
      </c>
      <c r="I19" s="5" t="n">
        <v>279</v>
      </c>
      <c r="J19" s="5" t="inlineStr">
        <is>
          <t>I279 / AB279</t>
        </is>
      </c>
    </row>
    <row r="20" ht="20" customHeight="1">
      <c r="A20" s="5" t="inlineStr">
        <is>
          <t>Financial summary / WBS 1-17</t>
        </is>
      </c>
      <c r="B20" s="5" t="n">
        <v>1</v>
      </c>
      <c r="C20" s="5" t="inlineStr">
        <is>
          <t>TKW</t>
        </is>
      </c>
      <c r="D20" s="5" t="inlineStr"/>
      <c r="E20" s="6" t="n">
        <v>505757853</v>
      </c>
      <c r="F20" s="6" t="n">
        <v>501457852.9912035</v>
      </c>
      <c r="G20" s="6">
        <f>F20-E20</f>
        <v/>
      </c>
      <c r="H20" s="11">
        <f>IFERROR(G20/E20,0)</f>
        <v/>
      </c>
      <c r="I20" s="5" t="n">
        <v>283</v>
      </c>
      <c r="J20" s="5" t="inlineStr">
        <is>
          <t>I283 / AB283</t>
        </is>
      </c>
    </row>
    <row r="21" ht="20" customHeight="1">
      <c r="A21" s="5" t="inlineStr">
        <is>
          <t>Financial summary / WBS 1-17</t>
        </is>
      </c>
      <c r="B21" s="5" t="n">
        <v>1</v>
      </c>
      <c r="C21" s="5" t="inlineStr">
        <is>
          <t>PERSONEL</t>
        </is>
      </c>
      <c r="D21" s="5" t="inlineStr">
        <is>
          <t>STAFF</t>
        </is>
      </c>
      <c r="E21" s="6" t="n">
        <v>0</v>
      </c>
      <c r="F21" s="6" t="n">
        <v>0</v>
      </c>
      <c r="G21" s="6">
        <f>F21-E21</f>
        <v/>
      </c>
      <c r="H21" s="11">
        <f>IFERROR(G21/E21,0)</f>
        <v/>
      </c>
      <c r="I21" s="5" t="n">
        <v>290</v>
      </c>
      <c r="J21" s="5" t="inlineStr">
        <is>
          <t>I290 / AB290</t>
        </is>
      </c>
    </row>
    <row r="22" ht="20" customHeight="1">
      <c r="A22" s="5" t="inlineStr">
        <is>
          <t>Financial summary / WBS 1-17</t>
        </is>
      </c>
      <c r="B22" s="5" t="n">
        <v>2</v>
      </c>
      <c r="C22" s="5" t="inlineStr">
        <is>
          <t>TKW Razem</t>
        </is>
      </c>
      <c r="D22" s="5" t="inlineStr">
        <is>
          <t xml:space="preserve">Direct + indirect costs </t>
        </is>
      </c>
      <c r="E22" s="6" t="n">
        <v>546148867.15</v>
      </c>
      <c r="F22" s="6" t="n">
        <v>563915104.8630807</v>
      </c>
      <c r="G22" s="6">
        <f>F22-E22</f>
        <v/>
      </c>
      <c r="H22" s="11">
        <f>IFERROR(G22/E22,0)</f>
        <v/>
      </c>
      <c r="I22" s="5" t="n">
        <v>428</v>
      </c>
      <c r="J22" s="5" t="inlineStr">
        <is>
          <t>I428 / AB428</t>
        </is>
      </c>
    </row>
    <row r="23" ht="20" customHeight="1">
      <c r="A23" s="5" t="inlineStr">
        <is>
          <t>Financial summary / WBS 1-17</t>
        </is>
      </c>
      <c r="B23" s="5" t="n">
        <v>3</v>
      </c>
      <c r="C23" s="5" t="inlineStr">
        <is>
          <t xml:space="preserve">Kwota narzutów kalkulacyjnych  </t>
        </is>
      </c>
      <c r="D23" s="5" t="inlineStr"/>
      <c r="E23" s="6" t="n">
        <v>85237132.84999999</v>
      </c>
      <c r="F23" s="6" t="n">
        <v>63170895.14</v>
      </c>
      <c r="G23" s="6">
        <f>F23-E23</f>
        <v/>
      </c>
      <c r="H23" s="11">
        <f>IFERROR(G23/E23,0)</f>
        <v/>
      </c>
      <c r="I23" s="5" t="n">
        <v>429</v>
      </c>
      <c r="J23" s="5" t="inlineStr">
        <is>
          <t>I429 / AB429</t>
        </is>
      </c>
    </row>
    <row r="24" ht="20" customHeight="1">
      <c r="A24" s="5" t="inlineStr">
        <is>
          <t>Financial summary / WBS 1-17</t>
        </is>
      </c>
      <c r="B24" s="5" t="n">
        <v>4</v>
      </c>
      <c r="C24" s="5" t="inlineStr">
        <is>
          <t xml:space="preserve">% narzutów kalkulacyjnych </t>
        </is>
      </c>
      <c r="D24" s="5" t="inlineStr"/>
      <c r="E24" s="6" t="n">
        <v>0.1560694125299533</v>
      </c>
      <c r="F24" s="6" t="n">
        <v>0.1120219951464821</v>
      </c>
      <c r="G24" s="6">
        <f>F24-E24</f>
        <v/>
      </c>
      <c r="H24" s="11">
        <f>IFERROR(G24/E24,0)</f>
        <v/>
      </c>
      <c r="I24" s="5" t="n">
        <v>430</v>
      </c>
      <c r="J24" s="5" t="inlineStr">
        <is>
          <t>I430 / AB430</t>
        </is>
      </c>
    </row>
    <row r="25" ht="20" customHeight="1">
      <c r="A25" s="5" t="inlineStr">
        <is>
          <t>Financial summary / WBS 1-17</t>
        </is>
      </c>
      <c r="B25" s="5" t="n">
        <v>5</v>
      </c>
      <c r="C25" s="5" t="inlineStr">
        <is>
          <t xml:space="preserve">Zlecenie otrzymane/Planowany przerób </t>
        </is>
      </c>
      <c r="D25" s="5" t="inlineStr"/>
      <c r="E25" s="6" t="n">
        <v>631386000</v>
      </c>
      <c r="F25" s="6" t="n">
        <v>627086000</v>
      </c>
      <c r="G25" s="6">
        <f>F25-E25</f>
        <v/>
      </c>
      <c r="H25" s="11">
        <f>IFERROR(G25/E25,0)</f>
        <v/>
      </c>
      <c r="I25" s="5" t="n">
        <v>440</v>
      </c>
      <c r="J25" s="5" t="inlineStr">
        <is>
          <t>I440 / AB440</t>
        </is>
      </c>
    </row>
    <row r="26" ht="20" customHeight="1">
      <c r="A26" s="5" t="inlineStr">
        <is>
          <t>Financial summary / WBS 1-17</t>
        </is>
      </c>
      <c r="B26" s="5" t="n">
        <v>6</v>
      </c>
      <c r="C26" s="5" t="inlineStr">
        <is>
          <t>Podwykonawstwo wewn. udzielone</t>
        </is>
      </c>
      <c r="D26" s="5" t="inlineStr"/>
      <c r="E26" s="6" t="n">
        <v>0</v>
      </c>
      <c r="F26" s="6" t="n">
        <v>0</v>
      </c>
      <c r="G26" s="6">
        <f>F26-E26</f>
        <v/>
      </c>
      <c r="H26" s="11">
        <f>IFERROR(G26/E26,0)</f>
        <v/>
      </c>
      <c r="I26" s="5" t="n">
        <v>441</v>
      </c>
      <c r="J26" s="5" t="inlineStr">
        <is>
          <t>I441 / AB441</t>
        </is>
      </c>
    </row>
    <row r="27" ht="20" customHeight="1">
      <c r="A27" s="5" t="inlineStr">
        <is>
          <t>Financial summary / WBS 1-17</t>
        </is>
      </c>
      <c r="B27" s="5" t="n">
        <v>7</v>
      </c>
      <c r="C27" s="5" t="inlineStr">
        <is>
          <t xml:space="preserve">Planowany Przerób po REGIE
</t>
        </is>
      </c>
      <c r="D27" s="5" t="inlineStr">
        <is>
          <t>Planned capacity (REGIE)</t>
        </is>
      </c>
      <c r="E27" s="6" t="n">
        <v>631386000</v>
      </c>
      <c r="F27" s="6" t="n">
        <v>627086000</v>
      </c>
      <c r="G27" s="6">
        <f>F27-E27</f>
        <v/>
      </c>
      <c r="H27" s="11">
        <f>IFERROR(G27/E27,0)</f>
        <v/>
      </c>
      <c r="I27" s="5" t="n">
        <v>442</v>
      </c>
      <c r="J27" s="5" t="inlineStr">
        <is>
          <t>I442 / AB442</t>
        </is>
      </c>
    </row>
    <row r="28" ht="20" customHeight="1">
      <c r="A28" s="5" t="inlineStr">
        <is>
          <t>Financial summary / WBS 1-17</t>
        </is>
      </c>
      <c r="B28" s="5" t="n">
        <v>8</v>
      </c>
      <c r="C28" s="5" t="inlineStr">
        <is>
          <t>Korekta kosztowa wpływająca tylko na wynik</t>
        </is>
      </c>
      <c r="D28" s="5" t="inlineStr"/>
      <c r="E28" s="6" t="n">
        <v>0</v>
      </c>
      <c r="F28" s="6" t="n">
        <v>0</v>
      </c>
      <c r="G28" s="6">
        <f>F28-E28</f>
        <v/>
      </c>
      <c r="H28" s="11">
        <f>IFERROR(G28/E28,0)</f>
        <v/>
      </c>
      <c r="I28" s="5" t="n">
        <v>445</v>
      </c>
      <c r="J28" s="5" t="inlineStr">
        <is>
          <t>I445 / AB445</t>
        </is>
      </c>
    </row>
    <row r="29" ht="20" customHeight="1">
      <c r="A29" s="5" t="inlineStr">
        <is>
          <t>Financial summary / WBS 1-17</t>
        </is>
      </c>
      <c r="B29" s="5" t="n">
        <v>9</v>
      </c>
      <c r="C29" s="5" t="inlineStr">
        <is>
          <t xml:space="preserve">Kwota narzutów kalkulacyjnych </t>
        </is>
      </c>
      <c r="D29" s="5" t="inlineStr"/>
      <c r="E29" s="6" t="n">
        <v>85237132.84999999</v>
      </c>
      <c r="F29" s="6" t="n">
        <v>63170895.14</v>
      </c>
      <c r="G29" s="6">
        <f>F29-E29</f>
        <v/>
      </c>
      <c r="H29" s="11">
        <f>IFERROR(G29/E29,0)</f>
        <v/>
      </c>
      <c r="I29" s="5" t="n">
        <v>446</v>
      </c>
      <c r="J29" s="5" t="inlineStr">
        <is>
          <t>I446 / AB446</t>
        </is>
      </c>
    </row>
    <row r="30" ht="20" customHeight="1">
      <c r="A30" s="5" t="inlineStr">
        <is>
          <t>Financial summary / WBS 1-17</t>
        </is>
      </c>
      <c r="B30" s="5" t="n">
        <v>10</v>
      </c>
      <c r="C30" s="5" t="inlineStr">
        <is>
          <t>Kwota narzutów kalkulacyjnych po korekcie</t>
        </is>
      </c>
      <c r="D30" s="5" t="inlineStr">
        <is>
          <t xml:space="preserve">Amount of imputed mark-ups after correction </t>
        </is>
      </c>
      <c r="E30" s="6" t="n">
        <v>0</v>
      </c>
      <c r="F30" s="6" t="n">
        <v>63170895.14</v>
      </c>
      <c r="G30" s="6">
        <f>F30-E30</f>
        <v/>
      </c>
      <c r="H30" s="11">
        <f>IFERROR(G30/E30,0)</f>
        <v/>
      </c>
      <c r="I30" s="5" t="n">
        <v>447</v>
      </c>
      <c r="J30" s="5" t="inlineStr">
        <is>
          <t>I447 / AB447</t>
        </is>
      </c>
    </row>
    <row r="31" ht="20" customHeight="1">
      <c r="A31" s="5" t="inlineStr">
        <is>
          <t>Financial summary / WBS 1-17</t>
        </is>
      </c>
      <c r="B31" s="5" t="n">
        <v>11</v>
      </c>
      <c r="C31" s="5" t="inlineStr">
        <is>
          <t>Alokacje - REGIE</t>
        </is>
      </c>
      <c r="D31" s="5" t="inlineStr"/>
      <c r="E31" s="6" t="n">
        <v>45080960.4</v>
      </c>
      <c r="F31" s="6" t="n">
        <v>31178096.01959363</v>
      </c>
      <c r="G31" s="6">
        <f>F31-E31</f>
        <v/>
      </c>
      <c r="H31" s="11">
        <f>IFERROR(G31/E31,0)</f>
        <v/>
      </c>
      <c r="I31" s="5" t="n">
        <v>463</v>
      </c>
      <c r="J31" s="5" t="inlineStr">
        <is>
          <t>I463 / AB463</t>
        </is>
      </c>
    </row>
    <row r="32" ht="20" customHeight="1">
      <c r="A32" s="5" t="inlineStr">
        <is>
          <t>Financial summary / WBS 1-17</t>
        </is>
      </c>
      <c r="B32" s="5" t="n">
        <v>12</v>
      </c>
      <c r="C32" s="5" t="inlineStr">
        <is>
          <t>EBT w PLN - po uwzględnieniu REGIE</t>
        </is>
      </c>
      <c r="D32" s="5" t="inlineStr"/>
      <c r="E32" s="6" t="n">
        <v>40156172.45</v>
      </c>
      <c r="F32" s="6" t="n">
        <v>31992799.12040637</v>
      </c>
      <c r="G32" s="6">
        <f>F32-E32</f>
        <v/>
      </c>
      <c r="H32" s="11">
        <f>IFERROR(G32/E32,0)</f>
        <v/>
      </c>
      <c r="I32" s="5" t="n">
        <v>465</v>
      </c>
      <c r="J32" s="5" t="inlineStr">
        <is>
          <t>I465 / AB465</t>
        </is>
      </c>
    </row>
    <row r="33" ht="20" customHeight="1">
      <c r="A33" s="5" t="inlineStr">
        <is>
          <t>Financial summary / WBS 1-17</t>
        </is>
      </c>
      <c r="B33" s="5" t="n">
        <v>13</v>
      </c>
      <c r="C33" s="5" t="inlineStr">
        <is>
          <t>% EBT bez revaluation</t>
        </is>
      </c>
      <c r="D33" s="5" t="inlineStr"/>
      <c r="E33" s="6" t="n">
        <v>0.06360003619022277</v>
      </c>
      <c r="F33" s="6" t="n">
        <v>0.05101820024750411</v>
      </c>
      <c r="G33" s="6">
        <f>F33-E33</f>
        <v/>
      </c>
      <c r="H33" s="11">
        <f>IFERROR(G33/E33,0)</f>
        <v/>
      </c>
      <c r="I33" s="5" t="n">
        <v>466</v>
      </c>
      <c r="J33" s="5" t="inlineStr">
        <is>
          <t>I466 / AB466</t>
        </is>
      </c>
    </row>
    <row r="34" ht="20" customHeight="1">
      <c r="A34" s="5" t="inlineStr">
        <is>
          <t>Financial summary / WBS 1-17</t>
        </is>
      </c>
      <c r="B34" s="5" t="n">
        <v>14</v>
      </c>
      <c r="C34" s="5" t="inlineStr">
        <is>
          <t>EBT z Rewaluation</t>
        </is>
      </c>
      <c r="D34" s="5" t="inlineStr"/>
      <c r="E34" s="6" t="n">
        <v>40156172.45</v>
      </c>
      <c r="F34" s="6" t="n">
        <v>54091334.27040637</v>
      </c>
      <c r="G34" s="6">
        <f>F34-E34</f>
        <v/>
      </c>
      <c r="H34" s="11">
        <f>IFERROR(G34/E34,0)</f>
        <v/>
      </c>
      <c r="I34" s="5" t="n">
        <v>468</v>
      </c>
      <c r="J34" s="5" t="inlineStr">
        <is>
          <t>I468 / AB468</t>
        </is>
      </c>
    </row>
    <row r="35" ht="20" customHeight="1">
      <c r="A35" s="5" t="inlineStr">
        <is>
          <t>Financial summary / WBS 1-17</t>
        </is>
      </c>
      <c r="B35" s="5" t="n">
        <v>15</v>
      </c>
      <c r="C35" s="5" t="inlineStr">
        <is>
          <t>% EBT bez Contingency</t>
        </is>
      </c>
      <c r="D35" s="5" t="inlineStr"/>
      <c r="E35" s="6" t="n">
        <v>0.06360003619022277</v>
      </c>
      <c r="F35" s="6" t="n">
        <v>0.08625823933305218</v>
      </c>
      <c r="G35" s="6">
        <f>F35-E35</f>
        <v/>
      </c>
      <c r="H35" s="11">
        <f>IFERROR(G35/E35,0)</f>
        <v/>
      </c>
      <c r="I35" s="5" t="n">
        <v>469</v>
      </c>
      <c r="J35" s="5" t="inlineStr">
        <is>
          <t>I469 / AB469</t>
        </is>
      </c>
    </row>
    <row r="36" ht="20" customHeight="1">
      <c r="A36" s="5" t="inlineStr">
        <is>
          <t>Financial summary / WBS 1-17</t>
        </is>
      </c>
      <c r="B36" s="5" t="n">
        <v>16</v>
      </c>
      <c r="C36" s="5" t="inlineStr">
        <is>
          <t>Wartość robót wykonywanych przez konsorcjantów</t>
        </is>
      </c>
      <c r="D36" s="5" t="inlineStr"/>
      <c r="E36" s="6" t="n">
        <v>0</v>
      </c>
      <c r="F36" s="6" t="n">
        <v>0</v>
      </c>
      <c r="G36" s="6">
        <f>F36-E36</f>
        <v/>
      </c>
      <c r="H36" s="11">
        <f>IFERROR(G36/E36,0)</f>
        <v/>
      </c>
      <c r="I36" s="5" t="n">
        <v>476</v>
      </c>
      <c r="J36" s="5" t="inlineStr">
        <is>
          <t>I476 / AB476</t>
        </is>
      </c>
    </row>
    <row r="37" ht="20" customHeight="1">
      <c r="A37" s="5" t="inlineStr">
        <is>
          <t>Financial summary / WBS 1-17</t>
        </is>
      </c>
      <c r="B37" s="5" t="n">
        <v>17</v>
      </c>
      <c r="C37" s="5" t="inlineStr">
        <is>
          <t>Łączna wartość kontraktu (BBB + konsorcjanci)</t>
        </is>
      </c>
      <c r="D37" s="5" t="inlineStr"/>
      <c r="E37" s="6" t="n">
        <v>631386000</v>
      </c>
      <c r="F37" s="6" t="n">
        <v>627086000</v>
      </c>
      <c r="G37" s="6">
        <f>F37-E37</f>
        <v/>
      </c>
      <c r="H37" s="11">
        <f>IFERROR(G37/E37,0)</f>
        <v/>
      </c>
      <c r="I37" s="5" t="n">
        <v>477</v>
      </c>
      <c r="J37" s="5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5" t="inlineStr">
        <is>
          <t>2025-12-01 00:00:00</t>
        </is>
      </c>
      <c r="B7" s="6" t="n">
        <v>6199140</v>
      </c>
      <c r="C7" s="5" t="inlineStr">
        <is>
          <t>AM12</t>
        </is>
      </c>
      <c r="D7" s="5" t="inlineStr">
        <is>
          <t>AM11</t>
        </is>
      </c>
      <c r="E7" s="2" t="n"/>
      <c r="F7" s="2" t="n"/>
    </row>
    <row r="8" ht="20" customHeight="1">
      <c r="A8" s="5" t="inlineStr">
        <is>
          <t>2026-01-01 00:00:00</t>
        </is>
      </c>
      <c r="B8" s="6" t="n">
        <v>1209845.03</v>
      </c>
      <c r="C8" s="5" t="inlineStr">
        <is>
          <t>AN12</t>
        </is>
      </c>
      <c r="D8" s="5" t="inlineStr">
        <is>
          <t>AN11</t>
        </is>
      </c>
      <c r="E8" s="2" t="n"/>
      <c r="F8" s="2" t="n"/>
    </row>
    <row r="9" ht="20" customHeight="1">
      <c r="A9" s="5" t="inlineStr">
        <is>
          <t>2026-02-01 00:00:00</t>
        </is>
      </c>
      <c r="B9" s="6" t="n">
        <v>4914057.77</v>
      </c>
      <c r="C9" s="5" t="inlineStr">
        <is>
          <t>AO12</t>
        </is>
      </c>
      <c r="D9" s="5" t="inlineStr">
        <is>
          <t>AO11</t>
        </is>
      </c>
      <c r="E9" s="2" t="n"/>
      <c r="F9" s="2" t="n"/>
    </row>
    <row r="10" ht="20" customHeight="1">
      <c r="A10" s="5" t="inlineStr">
        <is>
          <t>2026-03-01 00:00:00</t>
        </is>
      </c>
      <c r="B10" s="6" t="n">
        <v>5765471.942780515</v>
      </c>
      <c r="C10" s="5" t="inlineStr">
        <is>
          <t>AP12</t>
        </is>
      </c>
      <c r="D10" s="5" t="inlineStr">
        <is>
          <t>AP11</t>
        </is>
      </c>
      <c r="E10" s="2" t="n"/>
      <c r="F10" s="2" t="n"/>
    </row>
    <row r="11" ht="20" customHeight="1">
      <c r="A11" s="5" t="inlineStr">
        <is>
          <t>2026-04-01 00:00:00</t>
        </is>
      </c>
      <c r="B11" s="6" t="n">
        <v>6905734.093098548</v>
      </c>
      <c r="C11" s="5" t="inlineStr">
        <is>
          <t>AQ12</t>
        </is>
      </c>
      <c r="D11" s="5" t="inlineStr">
        <is>
          <t>AQ11</t>
        </is>
      </c>
      <c r="E11" s="2" t="n"/>
      <c r="F11" s="2" t="n"/>
    </row>
    <row r="12" ht="20" customHeight="1">
      <c r="A12" s="5" t="inlineStr">
        <is>
          <t>2026-05-01 00:00:00</t>
        </is>
      </c>
      <c r="B12" s="6" t="n">
        <v>8873827.146967065</v>
      </c>
      <c r="C12" s="5" t="inlineStr">
        <is>
          <t>AR12</t>
        </is>
      </c>
      <c r="D12" s="5" t="inlineStr">
        <is>
          <t>AR11</t>
        </is>
      </c>
      <c r="E12" s="2" t="n"/>
      <c r="F12" s="2" t="n"/>
    </row>
    <row r="13" ht="20" customHeight="1">
      <c r="A13" s="5" t="inlineStr">
        <is>
          <t>2026-06-01 00:00:00</t>
        </is>
      </c>
      <c r="B13" s="6" t="n">
        <v>10285632.29324826</v>
      </c>
      <c r="C13" s="5" t="inlineStr">
        <is>
          <t>AS12</t>
        </is>
      </c>
      <c r="D13" s="5" t="inlineStr">
        <is>
          <t>AS11</t>
        </is>
      </c>
      <c r="E13" s="2" t="n"/>
      <c r="F13" s="2" t="n"/>
    </row>
    <row r="14" ht="20" customHeight="1">
      <c r="A14" s="5" t="inlineStr">
        <is>
          <t>2026-07-01 00:00:00</t>
        </is>
      </c>
      <c r="B14" s="6" t="n">
        <v>10740381.93769237</v>
      </c>
      <c r="C14" s="5" t="inlineStr">
        <is>
          <t>AT12</t>
        </is>
      </c>
      <c r="D14" s="5" t="inlineStr">
        <is>
          <t>AT11</t>
        </is>
      </c>
      <c r="E14" s="2" t="n"/>
      <c r="F14" s="2" t="n"/>
    </row>
    <row r="15" ht="20" customHeight="1">
      <c r="A15" s="5" t="inlineStr">
        <is>
          <t>2026-08-01 00:00:00</t>
        </is>
      </c>
      <c r="B15" s="6" t="n">
        <v>11563023.0631719</v>
      </c>
      <c r="C15" s="5" t="inlineStr">
        <is>
          <t>AU12</t>
        </is>
      </c>
      <c r="D15" s="5" t="inlineStr">
        <is>
          <t>AU11</t>
        </is>
      </c>
      <c r="E15" s="2" t="n"/>
      <c r="F15" s="2" t="n"/>
    </row>
    <row r="16" ht="20" customHeight="1">
      <c r="A16" s="5" t="inlineStr">
        <is>
          <t>2026-09-01 00:00:00</t>
        </is>
      </c>
      <c r="B16" s="6" t="n">
        <v>16961088.66094667</v>
      </c>
      <c r="C16" s="5" t="inlineStr">
        <is>
          <t>AV12</t>
        </is>
      </c>
      <c r="D16" s="5" t="inlineStr">
        <is>
          <t>AV11</t>
        </is>
      </c>
      <c r="E16" s="2" t="n"/>
      <c r="F16" s="2" t="n"/>
    </row>
    <row r="17" ht="20" customHeight="1">
      <c r="A17" s="5" t="inlineStr">
        <is>
          <t>2026-10-01 00:00:00</t>
        </is>
      </c>
      <c r="B17" s="6" t="n">
        <v>20646901.92593019</v>
      </c>
      <c r="C17" s="5" t="inlineStr">
        <is>
          <t>AW12</t>
        </is>
      </c>
      <c r="D17" s="5" t="inlineStr">
        <is>
          <t>AW11</t>
        </is>
      </c>
      <c r="E17" s="2" t="n"/>
      <c r="F17" s="2" t="n"/>
    </row>
    <row r="18" ht="20" customHeight="1">
      <c r="A18" s="5" t="inlineStr">
        <is>
          <t>2026-11-01 00:00:00</t>
        </is>
      </c>
      <c r="B18" s="6" t="n">
        <v>16967267.57127333</v>
      </c>
      <c r="C18" s="5" t="inlineStr">
        <is>
          <t>AX12</t>
        </is>
      </c>
      <c r="D18" s="5" t="inlineStr">
        <is>
          <t>AX11</t>
        </is>
      </c>
      <c r="E18" s="2" t="n"/>
      <c r="F18" s="2" t="n"/>
    </row>
    <row r="19" ht="20" customHeight="1">
      <c r="A19" s="5" t="inlineStr">
        <is>
          <t>2026-12-01 00:00:00</t>
        </is>
      </c>
      <c r="B19" s="6" t="n">
        <v>19654432.33260666</v>
      </c>
      <c r="C19" s="5" t="inlineStr">
        <is>
          <t>AY12</t>
        </is>
      </c>
      <c r="D19" s="5" t="inlineStr">
        <is>
          <t>AY11</t>
        </is>
      </c>
      <c r="E19" s="2" t="n"/>
      <c r="F19" s="2" t="n"/>
    </row>
    <row r="20" ht="20" customHeight="1">
      <c r="A20" s="5" t="inlineStr">
        <is>
          <t>2027-01-01 00:00:00</t>
        </is>
      </c>
      <c r="B20" s="6" t="n">
        <v>27037107.25342266</v>
      </c>
      <c r="C20" s="5" t="inlineStr">
        <is>
          <t>AZ12</t>
        </is>
      </c>
      <c r="D20" s="5" t="inlineStr">
        <is>
          <t>AZ11</t>
        </is>
      </c>
      <c r="E20" s="2" t="n"/>
      <c r="F20" s="2" t="n"/>
    </row>
    <row r="21" ht="20" customHeight="1">
      <c r="A21" s="5" t="inlineStr">
        <is>
          <t>2027-02-01 00:00:00</t>
        </is>
      </c>
      <c r="B21" s="6" t="n">
        <v>31052003.95498933</v>
      </c>
      <c r="C21" s="5" t="inlineStr">
        <is>
          <t>BA12</t>
        </is>
      </c>
      <c r="D21" s="5" t="inlineStr">
        <is>
          <t>BA11</t>
        </is>
      </c>
      <c r="E21" s="2" t="n"/>
      <c r="F21" s="2" t="n"/>
    </row>
    <row r="22" ht="20" customHeight="1">
      <c r="A22" s="5" t="inlineStr">
        <is>
          <t>2027-03-01 00:00:00</t>
        </is>
      </c>
      <c r="B22" s="6" t="n">
        <v>37364643.97098334</v>
      </c>
      <c r="C22" s="5" t="inlineStr">
        <is>
          <t>BB12</t>
        </is>
      </c>
      <c r="D22" s="5" t="inlineStr">
        <is>
          <t>BB11</t>
        </is>
      </c>
      <c r="E22" s="2" t="n"/>
      <c r="F22" s="2" t="n"/>
    </row>
    <row r="23" ht="20" customHeight="1">
      <c r="A23" s="5" t="inlineStr">
        <is>
          <t>2027-04-01 00:00:00</t>
        </is>
      </c>
      <c r="B23" s="6" t="n">
        <v>32844839.10125062</v>
      </c>
      <c r="C23" s="5" t="inlineStr">
        <is>
          <t>BC12</t>
        </is>
      </c>
      <c r="D23" s="5" t="inlineStr">
        <is>
          <t>BC11</t>
        </is>
      </c>
      <c r="E23" s="2" t="n"/>
      <c r="F23" s="2" t="n"/>
    </row>
    <row r="24" ht="20" customHeight="1">
      <c r="A24" s="5" t="inlineStr">
        <is>
          <t>2027-05-01 00:00:00</t>
        </is>
      </c>
      <c r="B24" s="6" t="n">
        <v>34135803.94847285</v>
      </c>
      <c r="C24" s="5" t="inlineStr">
        <is>
          <t>BD12</t>
        </is>
      </c>
      <c r="D24" s="5" t="inlineStr">
        <is>
          <t>BD11</t>
        </is>
      </c>
      <c r="E24" s="2" t="n"/>
      <c r="F24" s="2" t="n"/>
    </row>
    <row r="25" ht="20" customHeight="1">
      <c r="A25" s="5" t="inlineStr">
        <is>
          <t>2027-06-01 00:00:00</t>
        </is>
      </c>
      <c r="B25" s="6" t="n">
        <v>28870543.17699507</v>
      </c>
      <c r="C25" s="5" t="inlineStr">
        <is>
          <t>BE12</t>
        </is>
      </c>
      <c r="D25" s="5" t="inlineStr">
        <is>
          <t>BE11</t>
        </is>
      </c>
      <c r="E25" s="2" t="n"/>
      <c r="F25" s="2" t="n"/>
    </row>
    <row r="26" ht="20" customHeight="1">
      <c r="A26" s="5" t="inlineStr">
        <is>
          <t>2027-07-01 00:00:00</t>
        </is>
      </c>
      <c r="B26" s="6" t="n">
        <v>25137377.52638055</v>
      </c>
      <c r="C26" s="5" t="inlineStr">
        <is>
          <t>BF12</t>
        </is>
      </c>
      <c r="D26" s="5" t="inlineStr">
        <is>
          <t>BF11</t>
        </is>
      </c>
      <c r="E26" s="2" t="n"/>
      <c r="F26" s="2" t="n"/>
    </row>
    <row r="27" ht="20" customHeight="1">
      <c r="A27" s="5" t="inlineStr">
        <is>
          <t>2027-08-01 00:00:00</t>
        </is>
      </c>
      <c r="B27" s="6" t="n">
        <v>19034792.32649231</v>
      </c>
      <c r="C27" s="5" t="inlineStr">
        <is>
          <t>BG12</t>
        </is>
      </c>
      <c r="D27" s="5" t="inlineStr">
        <is>
          <t>BG11</t>
        </is>
      </c>
      <c r="E27" s="2" t="n"/>
      <c r="F27" s="2" t="n"/>
    </row>
    <row r="28" ht="20" customHeight="1">
      <c r="A28" s="5" t="inlineStr">
        <is>
          <t>2027-09-01 00:00:00</t>
        </is>
      </c>
      <c r="B28" s="6" t="n">
        <v>24283221.76122564</v>
      </c>
      <c r="C28" s="5" t="inlineStr">
        <is>
          <t>BH12</t>
        </is>
      </c>
      <c r="D28" s="5" t="inlineStr">
        <is>
          <t>BH11</t>
        </is>
      </c>
      <c r="E28" s="2" t="n"/>
      <c r="F28" s="2" t="n"/>
    </row>
    <row r="29" ht="20" customHeight="1">
      <c r="A29" s="5" t="inlineStr">
        <is>
          <t>2027-10-01 00:00:00</t>
        </is>
      </c>
      <c r="B29" s="6" t="n">
        <v>12421394.06224786</v>
      </c>
      <c r="C29" s="5" t="inlineStr">
        <is>
          <t>BI12</t>
        </is>
      </c>
      <c r="D29" s="5" t="inlineStr">
        <is>
          <t>BI11</t>
        </is>
      </c>
      <c r="E29" s="2" t="n"/>
      <c r="F29" s="2" t="n"/>
    </row>
    <row r="30" ht="20" customHeight="1">
      <c r="A30" s="5" t="inlineStr">
        <is>
          <t>2027-11-01 00:00:00</t>
        </is>
      </c>
      <c r="B30" s="6" t="n">
        <v>10204106.98265897</v>
      </c>
      <c r="C30" s="5" t="inlineStr">
        <is>
          <t>BJ12</t>
        </is>
      </c>
      <c r="D30" s="5" t="inlineStr">
        <is>
          <t>BJ11</t>
        </is>
      </c>
      <c r="E30" s="2" t="n"/>
      <c r="F30" s="2" t="n"/>
    </row>
    <row r="31" ht="20" customHeight="1">
      <c r="A31" s="5" t="inlineStr">
        <is>
          <t>2027-12-01 00:00:00</t>
        </is>
      </c>
      <c r="B31" s="6" t="n">
        <v>18501734.79064787</v>
      </c>
      <c r="C31" s="5" t="inlineStr">
        <is>
          <t>BK12</t>
        </is>
      </c>
      <c r="D31" s="5" t="inlineStr">
        <is>
          <t>BK11</t>
        </is>
      </c>
      <c r="E31" s="2" t="n"/>
      <c r="F31" s="2" t="n"/>
    </row>
    <row r="32" ht="20" customHeight="1">
      <c r="A32" s="5" t="inlineStr">
        <is>
          <t>2028-01-30 00:00:00</t>
        </is>
      </c>
      <c r="B32" s="6" t="n">
        <v>5817816.966203314</v>
      </c>
      <c r="C32" s="5" t="inlineStr">
        <is>
          <t>BL12</t>
        </is>
      </c>
      <c r="D32" s="5" t="inlineStr">
        <is>
          <t>BL11</t>
        </is>
      </c>
      <c r="E32" s="2" t="n"/>
      <c r="F32" s="2" t="n"/>
    </row>
    <row r="33" ht="20" customHeight="1">
      <c r="A33" s="5" t="inlineStr">
        <is>
          <t>2028-02-01 00:00:00</t>
        </is>
      </c>
      <c r="B33" s="6" t="n">
        <v>3279069.233192204</v>
      </c>
      <c r="C33" s="5" t="inlineStr">
        <is>
          <t>BM12</t>
        </is>
      </c>
      <c r="D33" s="5" t="inlineStr">
        <is>
          <t>BM11</t>
        </is>
      </c>
      <c r="E33" s="2" t="n"/>
      <c r="F33" s="2" t="n"/>
    </row>
    <row r="34" ht="20" customHeight="1">
      <c r="A34" s="5" t="inlineStr">
        <is>
          <t>2028-03-01 00:00:00</t>
        </is>
      </c>
      <c r="B34" s="6" t="n">
        <v>2859802.387192203</v>
      </c>
      <c r="C34" s="5" t="inlineStr">
        <is>
          <t>BN12</t>
        </is>
      </c>
      <c r="D34" s="5" t="inlineStr">
        <is>
          <t>BN11</t>
        </is>
      </c>
      <c r="E34" s="2" t="n"/>
      <c r="F34" s="2" t="n"/>
    </row>
    <row r="35" ht="20" customHeight="1">
      <c r="A35" s="5" t="inlineStr">
        <is>
          <t>2028-04-01 00:00:00</t>
        </is>
      </c>
      <c r="B35" s="6" t="n">
        <v>308626.9264270754</v>
      </c>
      <c r="C35" s="5" t="inlineStr">
        <is>
          <t>BO12</t>
        </is>
      </c>
      <c r="D35" s="5" t="inlineStr">
        <is>
          <t>BO11</t>
        </is>
      </c>
      <c r="E35" s="2" t="n"/>
      <c r="F35" s="2" t="n"/>
    </row>
    <row r="36" ht="20" customHeight="1">
      <c r="A36" s="5" t="inlineStr">
        <is>
          <t>2028-05-01 00:00:00</t>
        </is>
      </c>
      <c r="B36" s="6" t="n">
        <v>3335488.44087152</v>
      </c>
      <c r="C36" s="5" t="inlineStr">
        <is>
          <t>BP12</t>
        </is>
      </c>
      <c r="D36" s="5" t="inlineStr">
        <is>
          <t>BP11</t>
        </is>
      </c>
      <c r="E36" s="2" t="n"/>
      <c r="F36" s="2" t="n"/>
    </row>
    <row r="37" ht="20" customHeight="1">
      <c r="A37" s="5" t="inlineStr">
        <is>
          <t>2028-06-01 00:00:00</t>
        </is>
      </c>
      <c r="B37" s="6" t="n">
        <v>966685.0738344828</v>
      </c>
      <c r="C37" s="5" t="inlineStr">
        <is>
          <t>BQ12</t>
        </is>
      </c>
      <c r="D37" s="5" t="inlineStr">
        <is>
          <t>BQ11</t>
        </is>
      </c>
      <c r="E37" s="2" t="n"/>
      <c r="F37" s="2" t="n"/>
    </row>
    <row r="38" ht="20" customHeight="1">
      <c r="A38" s="5" t="inlineStr">
        <is>
          <t>2028-07-01 00:00:00</t>
        </is>
      </c>
      <c r="B38" s="6" t="n">
        <v>0</v>
      </c>
      <c r="C38" s="5" t="inlineStr">
        <is>
          <t>BR12</t>
        </is>
      </c>
      <c r="D38" s="5" t="inlineStr">
        <is>
          <t>BR11</t>
        </is>
      </c>
      <c r="E38" s="2" t="n"/>
      <c r="F38" s="2" t="n"/>
    </row>
    <row r="39" ht="20" customHeight="1">
      <c r="A39" s="5" t="inlineStr">
        <is>
          <t>2028-08-01 00:00:00</t>
        </is>
      </c>
      <c r="B39" s="6" t="n">
        <v>0</v>
      </c>
      <c r="C39" s="5" t="inlineStr">
        <is>
          <t>BS12</t>
        </is>
      </c>
      <c r="D39" s="5" t="inlineStr">
        <is>
          <t>BS11</t>
        </is>
      </c>
      <c r="E39" s="2" t="n"/>
      <c r="F39" s="2" t="n"/>
    </row>
    <row r="40" ht="20" customHeight="1">
      <c r="A40" s="5" t="inlineStr">
        <is>
          <t>2028-09-01 00:00:00</t>
        </is>
      </c>
      <c r="B40" s="6" t="n">
        <v>174000</v>
      </c>
      <c r="C40" s="5" t="inlineStr">
        <is>
          <t>BT12</t>
        </is>
      </c>
      <c r="D40" s="5" t="inlineStr">
        <is>
          <t>BT11</t>
        </is>
      </c>
      <c r="E40" s="2" t="n"/>
      <c r="F40" s="2" t="n"/>
    </row>
    <row r="41" ht="20" customHeight="1">
      <c r="A41" s="5" t="inlineStr">
        <is>
          <t>2028-10-01 00:00:00</t>
        </is>
      </c>
      <c r="B41" s="6" t="n">
        <v>0</v>
      </c>
      <c r="C41" s="5" t="inlineStr">
        <is>
          <t>BU12</t>
        </is>
      </c>
      <c r="D41" s="5" t="inlineStr">
        <is>
          <t>BU11</t>
        </is>
      </c>
      <c r="E41" s="2" t="n"/>
      <c r="F41" s="2" t="n"/>
    </row>
    <row r="42" ht="20" customHeight="1">
      <c r="A42" s="5" t="inlineStr">
        <is>
          <t>2028-11-01 00:00:00</t>
        </is>
      </c>
      <c r="B42" s="6" t="n">
        <v>0</v>
      </c>
      <c r="C42" s="5" t="inlineStr">
        <is>
          <t>BV12</t>
        </is>
      </c>
      <c r="D42" s="5" t="inlineStr">
        <is>
          <t>BV11</t>
        </is>
      </c>
      <c r="E42" s="2" t="n"/>
      <c r="F42" s="2" t="n"/>
    </row>
    <row r="43" ht="20" customHeight="1">
      <c r="A43" s="5" t="inlineStr">
        <is>
          <t>2028-12-01 00:00:00</t>
        </is>
      </c>
      <c r="B43" s="6" t="n">
        <v>42828572.34</v>
      </c>
      <c r="C43" s="5" t="inlineStr">
        <is>
          <t>BW12</t>
        </is>
      </c>
      <c r="D43" s="5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5" t="inlineStr">
        <is>
          <t>Ordinato</t>
        </is>
      </c>
      <c r="B9" s="5" t="n">
        <v>83</v>
      </c>
      <c r="C9" s="6" t="n">
        <v>218667759.04</v>
      </c>
      <c r="D9" s="11">
        <f>IFERROR(C9/SUM($C$9:$C$11),0)</f>
        <v/>
      </c>
    </row>
    <row r="10" ht="20" customHeight="1">
      <c r="A10" s="5" t="inlineStr">
        <is>
          <t>In negoziazione</t>
        </is>
      </c>
      <c r="B10" s="5" t="n">
        <v>50</v>
      </c>
      <c r="C10" s="6" t="n">
        <v>114149861.7</v>
      </c>
      <c r="D10" s="11">
        <f>IFERROR(C10/SUM($C$9:$C$11),0)</f>
        <v/>
      </c>
    </row>
    <row r="11" ht="20" customHeight="1">
      <c r="A11" s="5" t="inlineStr">
        <is>
          <t>Da ordinare</t>
        </is>
      </c>
      <c r="B11" s="5" t="n">
        <v>199</v>
      </c>
      <c r="C11" s="6" t="n">
        <v>187206431.16</v>
      </c>
      <c r="D11" s="11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 t="inlineStr">
        <is>
          <t>Closed last 3 months</t>
        </is>
      </c>
      <c r="B2" s="5" t="inlineStr">
        <is>
          <t>8.2.11.1</t>
        </is>
      </c>
      <c r="C2" s="5" t="inlineStr">
        <is>
          <t>TV ECd_33</t>
        </is>
      </c>
      <c r="D2" s="5" t="inlineStr">
        <is>
          <t>closed</t>
        </is>
      </c>
      <c r="E2" s="13" t="n">
        <v>46064</v>
      </c>
      <c r="F2" s="6" t="n">
        <v>11980</v>
      </c>
      <c r="G2" s="5" t="n"/>
    </row>
    <row r="3" ht="20" customHeight="1">
      <c r="A3" s="5" t="inlineStr">
        <is>
          <t>Closed last 3 months</t>
        </is>
      </c>
      <c r="B3" s="5" t="inlineStr">
        <is>
          <t>8.7.1.5</t>
        </is>
      </c>
      <c r="C3" s="5" t="inlineStr">
        <is>
          <t>Temporary Traffic Management ECd_34</t>
        </is>
      </c>
      <c r="D3" s="5" t="inlineStr">
        <is>
          <t>closed</t>
        </is>
      </c>
      <c r="E3" s="13" t="n">
        <v>46064</v>
      </c>
      <c r="F3" s="6" t="n">
        <v>950</v>
      </c>
      <c r="G3" s="5" t="n"/>
    </row>
    <row r="4" ht="20" customHeight="1">
      <c r="A4" s="5" t="inlineStr">
        <is>
          <t>Closed last 3 months</t>
        </is>
      </c>
      <c r="B4" s="5" t="inlineStr">
        <is>
          <t>1.2.7.1</t>
        </is>
      </c>
      <c r="C4" s="5" t="inlineStr">
        <is>
          <t>Preparation of an application for an integrated permit, together with all necessary documents.</t>
        </is>
      </c>
      <c r="D4" s="5" t="inlineStr">
        <is>
          <t>closed</t>
        </is>
      </c>
      <c r="E4" s="13" t="n">
        <v>46066</v>
      </c>
      <c r="F4" s="6" t="n">
        <v>113000</v>
      </c>
      <c r="G4" s="5" t="n"/>
    </row>
    <row r="5" ht="20" customHeight="1">
      <c r="A5" s="5" t="inlineStr">
        <is>
          <t>Closed last 3 months</t>
        </is>
      </c>
      <c r="B5" s="5" t="inlineStr">
        <is>
          <t>2.1</t>
        </is>
      </c>
      <c r="C5" s="5" t="inlineStr">
        <is>
          <t>Foundation works</t>
        </is>
      </c>
      <c r="D5" s="5" t="inlineStr">
        <is>
          <t>closed</t>
        </is>
      </c>
      <c r="E5" s="13" t="n">
        <v>46068</v>
      </c>
      <c r="F5" s="6" t="n">
        <v>0</v>
      </c>
      <c r="G5" s="5" t="n"/>
    </row>
    <row r="6" ht="20" customHeight="1">
      <c r="A6" s="5" t="inlineStr">
        <is>
          <t>Closed last 3 months</t>
        </is>
      </c>
      <c r="B6" s="5" t="inlineStr">
        <is>
          <t>2.1.1</t>
        </is>
      </c>
      <c r="C6" s="5" t="inlineStr">
        <is>
          <t>Diaphragm wall 100 cm thick and 6 adjacent barrettes</t>
        </is>
      </c>
      <c r="D6" s="5" t="inlineStr">
        <is>
          <t>closed</t>
        </is>
      </c>
      <c r="E6" s="13" t="n">
        <v>46068</v>
      </c>
      <c r="F6" s="6" t="n">
        <v>3176000</v>
      </c>
      <c r="G6" s="5" t="inlineStr">
        <is>
          <t>Jank Szczubiał</t>
        </is>
      </c>
    </row>
    <row r="7" ht="20" customHeight="1">
      <c r="A7" s="5" t="inlineStr">
        <is>
          <t>Closed last 3 months</t>
        </is>
      </c>
      <c r="B7" s="5" t="inlineStr">
        <is>
          <t>2.1.2</t>
        </is>
      </c>
      <c r="C7" s="5" t="inlineStr">
        <is>
          <t>Slotted wall 100 cm thick and 6 berets</t>
        </is>
      </c>
      <c r="D7" s="5" t="inlineStr">
        <is>
          <t>closed</t>
        </is>
      </c>
      <c r="E7" s="13" t="n">
        <v>46068</v>
      </c>
      <c r="F7" s="6" t="n">
        <v>1124000</v>
      </c>
      <c r="G7" s="5" t="inlineStr">
        <is>
          <t>Jank Szczubiał</t>
        </is>
      </c>
    </row>
    <row r="8" ht="20" customHeight="1">
      <c r="A8" s="5" t="inlineStr">
        <is>
          <t>Closed last 3 months</t>
        </is>
      </c>
      <c r="B8" s="5" t="inlineStr">
        <is>
          <t>8.1.5</t>
        </is>
      </c>
      <c r="C8" s="5" t="inlineStr">
        <is>
          <t>Stationary Cranes</t>
        </is>
      </c>
      <c r="D8" s="5" t="inlineStr">
        <is>
          <t>closed</t>
        </is>
      </c>
      <c r="E8" s="13" t="n">
        <v>46068</v>
      </c>
      <c r="F8" s="6" t="n">
        <v>0</v>
      </c>
      <c r="G8" s="5" t="inlineStr">
        <is>
          <t>Damian Gadowski</t>
        </is>
      </c>
    </row>
    <row r="9" ht="20" customHeight="1">
      <c r="A9" s="5" t="inlineStr">
        <is>
          <t>Closed last 3 months</t>
        </is>
      </c>
      <c r="B9" s="5" t="inlineStr">
        <is>
          <t>8.1.5.1</t>
        </is>
      </c>
      <c r="C9" s="5" t="inlineStr">
        <is>
          <t>Stationary tower crane + self-erecting crane</t>
        </is>
      </c>
      <c r="D9" s="5" t="inlineStr">
        <is>
          <t>closed</t>
        </is>
      </c>
      <c r="E9" s="13" t="n">
        <v>46068</v>
      </c>
      <c r="F9" s="6" t="n">
        <v>1170200</v>
      </c>
      <c r="G9" s="5" t="inlineStr">
        <is>
          <t>Damian Gadowski</t>
        </is>
      </c>
    </row>
    <row r="10" ht="20" customHeight="1">
      <c r="A10" s="5" t="inlineStr">
        <is>
          <t>Closed last 3 months</t>
        </is>
      </c>
      <c r="B10" s="5" t="inlineStr">
        <is>
          <t>8.2.1.1</t>
        </is>
      </c>
      <c r="C10" s="5" t="inlineStr">
        <is>
          <t>Office Space or Container Rental - Consortium's facility ECd_20</t>
        </is>
      </c>
      <c r="D10" s="5" t="inlineStr">
        <is>
          <t>closed</t>
        </is>
      </c>
      <c r="E10" s="13" t="n">
        <v>46068</v>
      </c>
      <c r="F10" s="6" t="n">
        <v>821840</v>
      </c>
      <c r="G10" s="5" t="inlineStr">
        <is>
          <t>Urszula Szwarc</t>
        </is>
      </c>
    </row>
    <row r="11" ht="20" customHeight="1">
      <c r="A11" s="5" t="inlineStr">
        <is>
          <t>Closed last 3 months</t>
        </is>
      </c>
      <c r="B11" s="5" t="inlineStr">
        <is>
          <t>8.2.8.1</t>
        </is>
      </c>
      <c r="C11" s="5" t="inlineStr">
        <is>
          <t>Cleaning services ECd_35</t>
        </is>
      </c>
      <c r="D11" s="5" t="inlineStr">
        <is>
          <t>closed</t>
        </is>
      </c>
      <c r="E11" s="13" t="n">
        <v>46069</v>
      </c>
      <c r="F11" s="6" t="n">
        <v>178200</v>
      </c>
      <c r="G11" s="5" t="n"/>
    </row>
    <row r="12" ht="20" customHeight="1">
      <c r="A12" s="5" t="inlineStr">
        <is>
          <t>Closed last 3 months</t>
        </is>
      </c>
      <c r="B12" s="5" t="inlineStr">
        <is>
          <t>8.5.2.2</t>
        </is>
      </c>
      <c r="C12" s="5" t="inlineStr">
        <is>
          <t>Office kitchen furniture  ECd_36</t>
        </is>
      </c>
      <c r="D12" s="5" t="inlineStr">
        <is>
          <t>closed</t>
        </is>
      </c>
      <c r="E12" s="13" t="n">
        <v>46070</v>
      </c>
      <c r="F12" s="6" t="n">
        <v>13414.64</v>
      </c>
      <c r="G12" s="5" t="n"/>
    </row>
    <row r="13" ht="20" customHeight="1">
      <c r="A13" s="5" t="inlineStr">
        <is>
          <t>Closed last 3 months</t>
        </is>
      </c>
      <c r="B13" s="5" t="inlineStr">
        <is>
          <t>8.5.1</t>
        </is>
      </c>
      <c r="C13" s="5" t="inlineStr">
        <is>
          <t>Internet Connection ECd_37</t>
        </is>
      </c>
      <c r="D13" s="5" t="inlineStr">
        <is>
          <t>closed</t>
        </is>
      </c>
      <c r="E13" s="13" t="n">
        <v>46073</v>
      </c>
      <c r="F13" s="6" t="n">
        <v>27350</v>
      </c>
      <c r="G13" s="5" t="n"/>
    </row>
    <row r="14" ht="20" customHeight="1">
      <c r="A14" s="5" t="inlineStr">
        <is>
          <t>Closed last 3 months</t>
        </is>
      </c>
      <c r="B14" s="5" t="inlineStr">
        <is>
          <t>8.1.3.3</t>
        </is>
      </c>
      <c r="C14" s="5" t="inlineStr">
        <is>
          <t>Open order - sanitary industry assortment ECd_39</t>
        </is>
      </c>
      <c r="D14" s="5" t="inlineStr">
        <is>
          <t>closed</t>
        </is>
      </c>
      <c r="E14" s="13" t="n">
        <v>46077</v>
      </c>
      <c r="F14" s="6" t="n">
        <v>30000</v>
      </c>
      <c r="G14" s="5" t="n"/>
    </row>
    <row r="15" ht="20" customHeight="1">
      <c r="A15" s="5" t="inlineStr">
        <is>
          <t>Closed last 3 months</t>
        </is>
      </c>
      <c r="B15" s="5" t="inlineStr">
        <is>
          <t>8.1.3.4</t>
        </is>
      </c>
      <c r="C15" s="5" t="inlineStr">
        <is>
          <t>Open order - sanitary industry assortment ECd_40</t>
        </is>
      </c>
      <c r="D15" s="5" t="inlineStr">
        <is>
          <t>closed</t>
        </is>
      </c>
      <c r="E15" s="13" t="n">
        <v>46077</v>
      </c>
      <c r="F15" s="6" t="n">
        <v>30000</v>
      </c>
      <c r="G15" s="5" t="n"/>
    </row>
    <row r="16" ht="20" customHeight="1">
      <c r="A16" s="5" t="inlineStr">
        <is>
          <t>Closed last 3 months</t>
        </is>
      </c>
      <c r="B16" s="5" t="inlineStr">
        <is>
          <t>5.4.1</t>
        </is>
      </c>
      <c r="C16" s="5" t="inlineStr">
        <is>
          <t>Boiler - pressure parts</t>
        </is>
      </c>
      <c r="D16" s="5" t="inlineStr">
        <is>
          <t>PCT/approval</t>
        </is>
      </c>
      <c r="E16" s="13" t="n">
        <v>46081</v>
      </c>
      <c r="F16" s="6" t="n">
        <v>0</v>
      </c>
      <c r="G16" s="5" t="inlineStr">
        <is>
          <t>Roger Gołombek</t>
        </is>
      </c>
    </row>
    <row r="17" ht="20" customHeight="1">
      <c r="A17" s="5" t="inlineStr">
        <is>
          <t>Closed last 3 months</t>
        </is>
      </c>
      <c r="B17" s="5" t="inlineStr">
        <is>
          <t>5.4.1.1</t>
        </is>
      </c>
      <c r="C17" s="5" t="inlineStr">
        <is>
          <t>Boiler - pressure parts</t>
        </is>
      </c>
      <c r="D17" s="5" t="inlineStr">
        <is>
          <t>PCT/approval</t>
        </is>
      </c>
      <c r="E17" s="13" t="n">
        <v>46081</v>
      </c>
      <c r="F17" s="6" t="n">
        <v>45990000</v>
      </c>
      <c r="G17" s="5" t="inlineStr">
        <is>
          <t>Roger Gołombek</t>
        </is>
      </c>
    </row>
    <row r="18" ht="20" customHeight="1">
      <c r="A18" s="5" t="inlineStr">
        <is>
          <t>Closed last 3 months</t>
        </is>
      </c>
      <c r="B18" s="5" t="inlineStr">
        <is>
          <t>8.4.1.1</t>
        </is>
      </c>
      <c r="C18" s="5" t="inlineStr">
        <is>
          <t>Personal Occupational Health and Safety Equipment ECd_43</t>
        </is>
      </c>
      <c r="D18" s="5" t="inlineStr">
        <is>
          <t>closed</t>
        </is>
      </c>
      <c r="E18" s="13" t="n">
        <v>46090</v>
      </c>
      <c r="F18" s="6" t="n">
        <v>30000</v>
      </c>
      <c r="G18" s="5" t="n"/>
    </row>
    <row r="19" ht="20" customHeight="1">
      <c r="A19" s="5" t="inlineStr">
        <is>
          <t>Closed last 3 months</t>
        </is>
      </c>
      <c r="B19" s="5" t="inlineStr">
        <is>
          <t>8.3.1.2</t>
        </is>
      </c>
      <c r="C19" s="5" t="inlineStr">
        <is>
          <t>Generator rental ECd_44</t>
        </is>
      </c>
      <c r="D19" s="5" t="inlineStr">
        <is>
          <t>closed</t>
        </is>
      </c>
      <c r="E19" s="13" t="n">
        <v>46096</v>
      </c>
      <c r="F19" s="6" t="n">
        <v>23904</v>
      </c>
      <c r="G19" s="5" t="n"/>
    </row>
    <row r="20" ht="20" customHeight="1">
      <c r="A20" s="5" t="inlineStr">
        <is>
          <t>Closed last 3 months</t>
        </is>
      </c>
      <c r="B20" s="5" t="inlineStr">
        <is>
          <t>8.7.1.6</t>
        </is>
      </c>
      <c r="C20" s="5" t="inlineStr">
        <is>
          <t>Purchase of road signs ECd_42</t>
        </is>
      </c>
      <c r="D20" s="5" t="inlineStr">
        <is>
          <t>closed</t>
        </is>
      </c>
      <c r="E20" s="13" t="n">
        <v>46096</v>
      </c>
      <c r="F20" s="6" t="n">
        <v>2000</v>
      </c>
      <c r="G20" s="5" t="n"/>
    </row>
    <row r="21" ht="20" customHeight="1">
      <c r="A21" s="5" t="inlineStr">
        <is>
          <t>Closed last 3 months</t>
        </is>
      </c>
      <c r="B21" s="5" t="inlineStr">
        <is>
          <t>8.7.1.7</t>
        </is>
      </c>
      <c r="C21" s="5" t="inlineStr">
        <is>
          <t>Purchase of rubble for the construction of storage yards and work platforms ECd_45</t>
        </is>
      </c>
      <c r="D21" s="5" t="inlineStr">
        <is>
          <t>closed</t>
        </is>
      </c>
      <c r="E21" s="13" t="n">
        <v>46096</v>
      </c>
      <c r="F21" s="6" t="n">
        <v>83200</v>
      </c>
      <c r="G21" s="5" t="n"/>
    </row>
    <row r="22" ht="20" customHeight="1">
      <c r="A22" s="5" t="inlineStr">
        <is>
          <t>Closed last 3 months</t>
        </is>
      </c>
      <c r="B22" s="5" t="inlineStr">
        <is>
          <t>2.11.5.3</t>
        </is>
      </c>
      <c r="C22" s="5" t="inlineStr">
        <is>
          <t>Concrete slab installation on the ground</t>
        </is>
      </c>
      <c r="D22" s="5" t="inlineStr">
        <is>
          <t>closed</t>
        </is>
      </c>
      <c r="E22" s="13" t="n">
        <v>46106</v>
      </c>
      <c r="F22" s="6" t="n">
        <v>1735392.78</v>
      </c>
      <c r="G22" s="5" t="inlineStr">
        <is>
          <t>Agnieszka Zając</t>
        </is>
      </c>
    </row>
    <row r="23" ht="20" customHeight="1">
      <c r="A23" s="5" t="inlineStr">
        <is>
          <t>Closed last 3 months</t>
        </is>
      </c>
      <c r="B23" s="5" t="inlineStr">
        <is>
          <t>2.14.2.2</t>
        </is>
      </c>
      <c r="C23" s="5" t="inlineStr">
        <is>
          <t>External road - aggregate delivery ECd_46</t>
        </is>
      </c>
      <c r="D23" s="5" t="inlineStr">
        <is>
          <t>closed</t>
        </is>
      </c>
      <c r="E23" s="13" t="n">
        <v>46106</v>
      </c>
      <c r="F23" s="6" t="n">
        <v>134400</v>
      </c>
      <c r="G23" s="5" t="inlineStr">
        <is>
          <t>Agnieszka Zając</t>
        </is>
      </c>
    </row>
    <row r="24" ht="20" customHeight="1">
      <c r="A24" s="5" t="inlineStr">
        <is>
          <t>Closed last 3 months</t>
        </is>
      </c>
      <c r="B24" s="5" t="inlineStr">
        <is>
          <t>2.4.1</t>
        </is>
      </c>
      <c r="C24" s="5" t="inlineStr">
        <is>
          <t>Insulation - work</t>
        </is>
      </c>
      <c r="D24" s="5" t="inlineStr">
        <is>
          <t>closed</t>
        </is>
      </c>
      <c r="E24" s="13" t="n">
        <v>46106</v>
      </c>
      <c r="F24" s="6" t="n">
        <v>733045.25</v>
      </c>
      <c r="G24" s="5" t="inlineStr">
        <is>
          <t>Agnieszka Zając</t>
        </is>
      </c>
    </row>
    <row r="25" ht="20" customHeight="1">
      <c r="A25" s="5" t="inlineStr">
        <is>
          <t>Closed last 3 months</t>
        </is>
      </c>
      <c r="B25" s="5" t="inlineStr">
        <is>
          <t>2.5.1.3</t>
        </is>
      </c>
      <c r="C25" s="5" t="inlineStr">
        <is>
          <t>Construction of reinforced concrete foundations and underground structures</t>
        </is>
      </c>
      <c r="D25" s="5" t="inlineStr">
        <is>
          <t>closed</t>
        </is>
      </c>
      <c r="E25" s="13" t="n">
        <v>46106</v>
      </c>
      <c r="F25" s="6" t="n">
        <v>5276959.37</v>
      </c>
      <c r="G25" s="5" t="inlineStr">
        <is>
          <t>Agnieszka Zając</t>
        </is>
      </c>
    </row>
    <row r="26" ht="20" customHeight="1">
      <c r="A26" s="5" t="inlineStr">
        <is>
          <t>Closed last 3 months</t>
        </is>
      </c>
      <c r="B26" s="5" t="inlineStr">
        <is>
          <t>2.5.2.1</t>
        </is>
      </c>
      <c r="C26" s="5" t="inlineStr">
        <is>
          <t>Reinforced concrete structure of the above-ground part of the B1 building - delivery and assembly of prefabricated elements</t>
        </is>
      </c>
      <c r="D26" s="5" t="inlineStr">
        <is>
          <t>closed</t>
        </is>
      </c>
      <c r="E26" s="13" t="n">
        <v>46106</v>
      </c>
      <c r="F26" s="6" t="n">
        <v>16616880</v>
      </c>
      <c r="G26" s="5" t="inlineStr">
        <is>
          <t>Jan Szczubiał</t>
        </is>
      </c>
    </row>
    <row r="27" ht="20" customHeight="1">
      <c r="A27" s="5" t="inlineStr">
        <is>
          <t>Closed last 3 months</t>
        </is>
      </c>
      <c r="B27" s="5" t="inlineStr">
        <is>
          <t>2.5.2.2.3</t>
        </is>
      </c>
      <c r="C27" s="5" t="inlineStr">
        <is>
          <t>Reinforced concrete structure of the above-ground part of the B3 building - delivery and assembly of prefabricated elements</t>
        </is>
      </c>
      <c r="D27" s="5" t="inlineStr">
        <is>
          <t>closed</t>
        </is>
      </c>
      <c r="E27" s="13" t="n">
        <v>46106</v>
      </c>
      <c r="F27" s="6" t="n">
        <v>2115950</v>
      </c>
      <c r="G27" s="5" t="inlineStr">
        <is>
          <t>Jan Szczubiał</t>
        </is>
      </c>
    </row>
    <row r="28" ht="20" customHeight="1">
      <c r="A28" s="5" t="inlineStr">
        <is>
          <t>Closed last 3 months</t>
        </is>
      </c>
      <c r="B28" s="5" t="inlineStr">
        <is>
          <t>2.5.2.2.4</t>
        </is>
      </c>
      <c r="C28" s="5" t="inlineStr">
        <is>
          <t>Reinforced concrete structure of the above-ground part of the other buildings</t>
        </is>
      </c>
      <c r="D28" s="5" t="inlineStr">
        <is>
          <t>closed</t>
        </is>
      </c>
      <c r="E28" s="13" t="n">
        <v>46106</v>
      </c>
      <c r="F28" s="6" t="n">
        <v>708072.75</v>
      </c>
      <c r="G28" s="5" t="inlineStr">
        <is>
          <t>Jan Szczubiał</t>
        </is>
      </c>
    </row>
    <row r="29" ht="20" customHeight="1">
      <c r="A29" s="5" t="inlineStr">
        <is>
          <t>Closed last 3 months</t>
        </is>
      </c>
      <c r="B29" s="5" t="inlineStr">
        <is>
          <t>2.6.2.1</t>
        </is>
      </c>
      <c r="C29" s="5" t="inlineStr">
        <is>
          <t>Precast reinforced concrete structure of facility B3 (change from steel structure compared to the acquisition stage)</t>
        </is>
      </c>
      <c r="D29" s="5" t="inlineStr">
        <is>
          <t>closed</t>
        </is>
      </c>
      <c r="E29" s="13" t="n">
        <v>46106</v>
      </c>
      <c r="F29" s="6" t="n">
        <v>1004390</v>
      </c>
      <c r="G29" s="5" t="inlineStr">
        <is>
          <t>Robert Klimczak</t>
        </is>
      </c>
    </row>
    <row r="30" ht="20" customHeight="1">
      <c r="A30" s="5" t="inlineStr">
        <is>
          <t>Closed last 3 months</t>
        </is>
      </c>
      <c r="B30" s="5" t="inlineStr">
        <is>
          <t>2.6.3.1</t>
        </is>
      </c>
      <c r="C30" s="5" t="inlineStr">
        <is>
          <t>Precast reinforced concrete structure of facility B4 (change from steel structure compared to the acquisition stage)</t>
        </is>
      </c>
      <c r="D30" s="5" t="inlineStr">
        <is>
          <t>closed</t>
        </is>
      </c>
      <c r="E30" s="13" t="n">
        <v>46106</v>
      </c>
      <c r="F30" s="6" t="n">
        <v>246780</v>
      </c>
      <c r="G30" s="5" t="inlineStr">
        <is>
          <t>Robert Klimczak</t>
        </is>
      </c>
    </row>
    <row r="31" ht="20" customHeight="1">
      <c r="A31" s="5" t="inlineStr">
        <is>
          <t>Closed last 3 months</t>
        </is>
      </c>
      <c r="B31" s="5" t="inlineStr">
        <is>
          <t>5.10.2</t>
        </is>
      </c>
      <c r="C31" s="5" t="inlineStr">
        <is>
          <t>Auxiliary crane and hoists for the maintenance of the steam turbine</t>
        </is>
      </c>
      <c r="D31" s="5" t="inlineStr">
        <is>
          <t>PCT/approval</t>
        </is>
      </c>
      <c r="E31" s="13" t="n">
        <v>46115</v>
      </c>
      <c r="F31" s="6" t="n">
        <v>499000</v>
      </c>
      <c r="G31" s="5" t="inlineStr">
        <is>
          <t>Magdalena Białorucka</t>
        </is>
      </c>
    </row>
    <row r="32" ht="20" customHeight="1">
      <c r="A32" s="5" t="inlineStr">
        <is>
          <t>Closed last 3 months</t>
        </is>
      </c>
      <c r="B32" s="5" t="inlineStr">
        <is>
          <t>5.2.1</t>
        </is>
      </c>
      <c r="C32" s="5" t="inlineStr">
        <is>
          <t>Overhead crane, grab and operator seat + Spare Grab</t>
        </is>
      </c>
      <c r="D32" s="5" t="inlineStr">
        <is>
          <t>PCT/approval</t>
        </is>
      </c>
      <c r="E32" s="13" t="n">
        <v>46115</v>
      </c>
      <c r="F32" s="6" t="n">
        <v>8701000</v>
      </c>
      <c r="G32" s="5" t="inlineStr">
        <is>
          <t>Magdalena Białorucka</t>
        </is>
      </c>
    </row>
    <row r="33" ht="20" customHeight="1">
      <c r="A33" s="5" t="inlineStr">
        <is>
          <t>Closed last 3 months</t>
        </is>
      </c>
      <c r="B33" s="5" t="inlineStr">
        <is>
          <t>2.14.2.1</t>
        </is>
      </c>
      <c r="C33" s="5" t="inlineStr">
        <is>
          <t>External road- sub-base construction</t>
        </is>
      </c>
      <c r="D33" s="5" t="inlineStr">
        <is>
          <t>PCT/approval</t>
        </is>
      </c>
      <c r="E33" s="13" t="n">
        <v>46122</v>
      </c>
      <c r="F33" s="6" t="n">
        <v>250640</v>
      </c>
      <c r="G33" s="5" t="inlineStr">
        <is>
          <t>Agnieszka Zając</t>
        </is>
      </c>
    </row>
    <row r="34" ht="20" customHeight="1">
      <c r="A34" s="5" t="inlineStr">
        <is>
          <t>Closed last 3 months</t>
        </is>
      </c>
      <c r="B34" s="5" t="inlineStr">
        <is>
          <t>8.3.1.1</t>
        </is>
      </c>
      <c r="C34" s="5" t="inlineStr">
        <is>
          <t>Electricity Costs</t>
        </is>
      </c>
      <c r="D34" s="5" t="inlineStr">
        <is>
          <t>PCT/approval</t>
        </is>
      </c>
      <c r="E34" s="13" t="n">
        <v>46122</v>
      </c>
      <c r="F34" s="6" t="n">
        <v>100000</v>
      </c>
      <c r="G34" s="5" t="n"/>
    </row>
    <row r="35" ht="20" customHeight="1">
      <c r="A35" s="5" t="inlineStr">
        <is>
          <t>Closed last 3 months</t>
        </is>
      </c>
      <c r="B35" s="5" t="inlineStr">
        <is>
          <t>8.7.1.4</t>
        </is>
      </c>
      <c r="C35" s="5" t="inlineStr">
        <is>
          <t>Construction of aggregate squares</t>
        </is>
      </c>
      <c r="D35" s="5" t="inlineStr">
        <is>
          <t>PCT/approval</t>
        </is>
      </c>
      <c r="E35" s="13" t="n">
        <v>46122</v>
      </c>
      <c r="F35" s="6" t="n">
        <v>124700</v>
      </c>
      <c r="G35" s="5" t="inlineStr">
        <is>
          <t>Agnieszka Zając</t>
        </is>
      </c>
    </row>
    <row r="36" ht="20" customHeight="1">
      <c r="A36" s="5" t="inlineStr">
        <is>
          <t>Closed last 3 months</t>
        </is>
      </c>
      <c r="B36" s="5" t="inlineStr">
        <is>
          <t>8.8.4</t>
        </is>
      </c>
      <c r="C36" s="5" t="inlineStr">
        <is>
          <t>Removing collisions related to site preparation and construction</t>
        </is>
      </c>
      <c r="D36" s="5" t="inlineStr">
        <is>
          <t>PCT/approval</t>
        </is>
      </c>
      <c r="E36" s="13" t="n">
        <v>46122</v>
      </c>
      <c r="F36" s="6" t="n">
        <v>50000</v>
      </c>
      <c r="G36" s="5" t="n"/>
    </row>
    <row r="37" ht="20" customHeight="1">
      <c r="A37" s="5" t="inlineStr">
        <is>
          <t>Next orders 3 months</t>
        </is>
      </c>
      <c r="B37" s="5" t="inlineStr">
        <is>
          <t>1.2.6</t>
        </is>
      </c>
      <c r="C37" s="5" t="inlineStr">
        <is>
          <t>Piping and ducts design</t>
        </is>
      </c>
      <c r="D37" s="5" t="inlineStr">
        <is>
          <t>planned</t>
        </is>
      </c>
      <c r="E37" s="13" t="n">
        <v>46157</v>
      </c>
      <c r="F37" s="6" t="n">
        <v>2000000</v>
      </c>
      <c r="G37" s="5" t="n"/>
    </row>
    <row r="38" ht="20" customHeight="1">
      <c r="A38" s="5" t="inlineStr">
        <is>
          <t>Next orders 3 months</t>
        </is>
      </c>
      <c r="B38" s="5" t="inlineStr">
        <is>
          <t>1.2.6.2</t>
        </is>
      </c>
      <c r="C38" s="5" t="inlineStr">
        <is>
          <t>Piping design</t>
        </is>
      </c>
      <c r="D38" s="5" t="inlineStr">
        <is>
          <t>planned</t>
        </is>
      </c>
      <c r="E38" s="13" t="n">
        <v>46157</v>
      </c>
      <c r="F38" s="6" t="n">
        <v>0</v>
      </c>
      <c r="G38" s="5" t="n"/>
    </row>
    <row r="39" ht="20" customHeight="1">
      <c r="A39" s="5" t="inlineStr">
        <is>
          <t>Next orders 3 months</t>
        </is>
      </c>
      <c r="B39" s="5" t="inlineStr">
        <is>
          <t>5.10.12</t>
        </is>
      </c>
      <c r="C39" s="5" t="inlineStr">
        <is>
          <t>Stabilising pumps 2 x 100%, network pumps 3 x 50%, condensate pumps 2 x 100%, feed water pumps 3 pcs., cooling pumps</t>
        </is>
      </c>
      <c r="D39" s="5" t="inlineStr">
        <is>
          <t>planned</t>
        </is>
      </c>
      <c r="E39" s="13" t="n">
        <v>46157</v>
      </c>
      <c r="F39" s="6" t="n">
        <v>5517325</v>
      </c>
      <c r="G39" s="5" t="inlineStr">
        <is>
          <t>Stanisław Rucki</t>
        </is>
      </c>
    </row>
    <row r="40" ht="20" customHeight="1">
      <c r="A40" s="5" t="inlineStr">
        <is>
          <t>Next orders 3 months</t>
        </is>
      </c>
      <c r="B40" s="5" t="inlineStr">
        <is>
          <t>5.10.3</t>
        </is>
      </c>
      <c r="C40" s="5" t="inlineStr">
        <is>
          <t>Air cooled condenser</t>
        </is>
      </c>
      <c r="D40" s="5" t="inlineStr">
        <is>
          <t>planned</t>
        </is>
      </c>
      <c r="E40" s="13" t="n">
        <v>46157</v>
      </c>
      <c r="F40" s="6" t="n">
        <v>9000000</v>
      </c>
      <c r="G40" s="5" t="inlineStr">
        <is>
          <t>Roger Gołombek</t>
        </is>
      </c>
    </row>
    <row r="41" ht="20" customHeight="1">
      <c r="A41" s="5" t="inlineStr">
        <is>
          <t>Next orders 3 months</t>
        </is>
      </c>
      <c r="B41" s="5" t="inlineStr">
        <is>
          <t>5.7.4</t>
        </is>
      </c>
      <c r="C41" s="5" t="inlineStr">
        <is>
          <t>Fly ash silos</t>
        </is>
      </c>
      <c r="D41" s="5" t="inlineStr">
        <is>
          <t>planned</t>
        </is>
      </c>
      <c r="E41" s="13" t="n">
        <v>46157</v>
      </c>
      <c r="F41" s="6" t="n">
        <v>2000000</v>
      </c>
      <c r="G41" s="5" t="inlineStr">
        <is>
          <t>Roger Gołombek</t>
        </is>
      </c>
    </row>
    <row r="42" ht="20" customHeight="1">
      <c r="A42" s="5" t="inlineStr">
        <is>
          <t>Next orders 3 months</t>
        </is>
      </c>
      <c r="B42" s="5" t="inlineStr">
        <is>
          <t>2.7</t>
        </is>
      </c>
      <c r="C42" s="5" t="inlineStr">
        <is>
          <t>Brick walls</t>
        </is>
      </c>
      <c r="D42" s="5" t="inlineStr">
        <is>
          <t>planned</t>
        </is>
      </c>
      <c r="E42" s="13" t="n">
        <v>46173</v>
      </c>
      <c r="F42" s="6" t="n">
        <v>687451.25</v>
      </c>
      <c r="G42" s="5" t="n"/>
    </row>
    <row r="43" ht="20" customHeight="1">
      <c r="A43" s="5" t="inlineStr">
        <is>
          <t>Next orders 3 months</t>
        </is>
      </c>
      <c r="B43" s="5" t="inlineStr">
        <is>
          <t>3.4.3</t>
        </is>
      </c>
      <c r="C43" s="5" t="inlineStr">
        <is>
          <t>Emission monitoring system (CEMS)</t>
        </is>
      </c>
      <c r="D43" s="5" t="inlineStr">
        <is>
          <t>planned</t>
        </is>
      </c>
      <c r="E43" s="13" t="n">
        <v>46173</v>
      </c>
      <c r="F43" s="6" t="n">
        <v>1960000</v>
      </c>
      <c r="G43" s="5" t="inlineStr">
        <is>
          <t>Radosław Zdancewicz</t>
        </is>
      </c>
    </row>
    <row r="44" ht="20" customHeight="1">
      <c r="A44" s="5" t="inlineStr">
        <is>
          <t>Next orders 3 months</t>
        </is>
      </c>
      <c r="B44" s="5" t="inlineStr">
        <is>
          <t>4.1</t>
        </is>
      </c>
      <c r="C44" s="5" t="inlineStr">
        <is>
          <t>Deodorization system</t>
        </is>
      </c>
      <c r="D44" s="5" t="inlineStr">
        <is>
          <t>planned</t>
        </is>
      </c>
      <c r="E44" s="13" t="n">
        <v>46173</v>
      </c>
      <c r="F44" s="6" t="n">
        <v>1009700</v>
      </c>
      <c r="G44" s="5" t="inlineStr">
        <is>
          <t>Stanisław Rucki</t>
        </is>
      </c>
    </row>
    <row r="45" ht="20" customHeight="1">
      <c r="A45" s="5" t="inlineStr">
        <is>
          <t>Next orders 3 months</t>
        </is>
      </c>
      <c r="B45" s="5" t="inlineStr">
        <is>
          <t>4.2.1</t>
        </is>
      </c>
      <c r="C45" s="5" t="inlineStr">
        <is>
          <t>Fire detection and alarm system</t>
        </is>
      </c>
      <c r="D45" s="5" t="inlineStr">
        <is>
          <t>enquiry</t>
        </is>
      </c>
      <c r="E45" s="13" t="n">
        <v>46173</v>
      </c>
      <c r="F45" s="6" t="n">
        <v>2211870</v>
      </c>
      <c r="G45" s="5" t="inlineStr">
        <is>
          <t>Magdalena Białorucka</t>
        </is>
      </c>
    </row>
    <row r="46" ht="20" customHeight="1">
      <c r="A46" s="5" t="inlineStr">
        <is>
          <t>Next orders 3 months</t>
        </is>
      </c>
      <c r="B46" s="5" t="inlineStr">
        <is>
          <t>4.2.10</t>
        </is>
      </c>
      <c r="C46" s="5" t="inlineStr">
        <is>
          <t>Smoke extraction from waste bunker and tipping hall</t>
        </is>
      </c>
      <c r="D46" s="5" t="inlineStr">
        <is>
          <t>enquiry</t>
        </is>
      </c>
      <c r="E46" s="13" t="n">
        <v>46173</v>
      </c>
      <c r="F46" s="6" t="n">
        <v>1178293</v>
      </c>
      <c r="G46" s="5" t="inlineStr">
        <is>
          <t>Magdalena Białorucka</t>
        </is>
      </c>
    </row>
    <row r="47" ht="20" customHeight="1">
      <c r="A47" s="5" t="inlineStr">
        <is>
          <t>Next orders 3 months</t>
        </is>
      </c>
      <c r="B47" s="5" t="inlineStr">
        <is>
          <t>4.2.2</t>
        </is>
      </c>
      <c r="C47" s="5" t="inlineStr">
        <is>
          <t>Firefighting water tank</t>
        </is>
      </c>
      <c r="D47" s="5" t="inlineStr">
        <is>
          <t>enquiry</t>
        </is>
      </c>
      <c r="E47" s="13" t="n">
        <v>46173</v>
      </c>
      <c r="F47" s="6" t="n">
        <v>275700</v>
      </c>
      <c r="G47" s="5" t="inlineStr">
        <is>
          <t>Magdalena Białorucka</t>
        </is>
      </c>
    </row>
    <row r="48" ht="20" customHeight="1">
      <c r="A48" s="5" t="inlineStr">
        <is>
          <t>Next orders 3 months</t>
        </is>
      </c>
      <c r="B48" s="5" t="inlineStr">
        <is>
          <t>4.2.3</t>
        </is>
      </c>
      <c r="C48" s="5" t="inlineStr">
        <is>
          <t>Firefighting water pumping</t>
        </is>
      </c>
      <c r="D48" s="5" t="inlineStr">
        <is>
          <t>enquiry</t>
        </is>
      </c>
      <c r="E48" s="13" t="n">
        <v>46173</v>
      </c>
      <c r="F48" s="6" t="n">
        <v>715920</v>
      </c>
      <c r="G48" s="5" t="inlineStr">
        <is>
          <t>Magdalena Białorucka</t>
        </is>
      </c>
    </row>
    <row r="49" ht="20" customHeight="1">
      <c r="A49" s="5" t="inlineStr">
        <is>
          <t>Next orders 3 months</t>
        </is>
      </c>
      <c r="B49" s="5" t="inlineStr">
        <is>
          <t>4.2.4</t>
        </is>
      </c>
      <c r="C49" s="5" t="inlineStr">
        <is>
          <t>Firefighting water external distribution, hoses, sprinklers</t>
        </is>
      </c>
      <c r="D49" s="5" t="inlineStr">
        <is>
          <t>enquiry</t>
        </is>
      </c>
      <c r="E49" s="13" t="n">
        <v>46173</v>
      </c>
      <c r="F49" s="6" t="n">
        <v>821016</v>
      </c>
      <c r="G49" s="5" t="inlineStr">
        <is>
          <t>Magdalena Białorucka</t>
        </is>
      </c>
    </row>
    <row r="50" ht="20" customHeight="1">
      <c r="A50" s="5" t="inlineStr">
        <is>
          <t>Next orders 3 months</t>
        </is>
      </c>
      <c r="B50" s="5" t="inlineStr">
        <is>
          <t>4.2.5</t>
        </is>
      </c>
      <c r="C50" s="5" t="inlineStr">
        <is>
          <t>Installation of internal hydrants in buildings B1 and B2</t>
        </is>
      </c>
      <c r="D50" s="5" t="inlineStr">
        <is>
          <t>enquiry</t>
        </is>
      </c>
      <c r="E50" s="13" t="n">
        <v>46173</v>
      </c>
      <c r="F50" s="6" t="n">
        <v>240990</v>
      </c>
      <c r="G50" s="5" t="inlineStr">
        <is>
          <t>Magdalena Białorucka</t>
        </is>
      </c>
    </row>
    <row r="51" ht="20" customHeight="1">
      <c r="A51" s="5" t="inlineStr">
        <is>
          <t>Next orders 3 months</t>
        </is>
      </c>
      <c r="B51" s="5" t="inlineStr">
        <is>
          <t>4.2.6</t>
        </is>
      </c>
      <c r="C51" s="5" t="inlineStr">
        <is>
          <t>Wireless radio controller system type WRC, gun control</t>
        </is>
      </c>
      <c r="D51" s="5" t="inlineStr">
        <is>
          <t>enquiry</t>
        </is>
      </c>
      <c r="E51" s="13" t="n">
        <v>46173</v>
      </c>
      <c r="F51" s="6" t="n">
        <v>45500</v>
      </c>
      <c r="G51" s="5" t="inlineStr">
        <is>
          <t>Magdalena Białorucka</t>
        </is>
      </c>
    </row>
    <row r="52" ht="20" customHeight="1">
      <c r="A52" s="5" t="inlineStr">
        <is>
          <t>Next orders 3 months</t>
        </is>
      </c>
      <c r="B52" s="5" t="inlineStr">
        <is>
          <t>4.2.7</t>
        </is>
      </c>
      <c r="C52" s="5" t="inlineStr">
        <is>
          <t>Firefighting water external distribution, hoses, sprinklers</t>
        </is>
      </c>
      <c r="D52" s="5" t="inlineStr">
        <is>
          <t>enquiry</t>
        </is>
      </c>
      <c r="E52" s="13" t="n">
        <v>46173</v>
      </c>
      <c r="F52" s="6" t="n">
        <v>542750</v>
      </c>
      <c r="G52" s="5" t="inlineStr">
        <is>
          <t>Magdalena Białorucka</t>
        </is>
      </c>
    </row>
    <row r="53" ht="20" customHeight="1">
      <c r="A53" s="5" t="inlineStr">
        <is>
          <t>Next orders 3 months</t>
        </is>
      </c>
      <c r="B53" s="5" t="inlineStr">
        <is>
          <t>4.2.8</t>
        </is>
      </c>
      <c r="C53" s="5" t="inlineStr">
        <is>
          <t>Dry bunker sprinkler system. Installation of water and foam cannons in the bunker hall, and assembly of the valve sub-control unit.</t>
        </is>
      </c>
      <c r="D53" s="5" t="inlineStr">
        <is>
          <t>enquiry</t>
        </is>
      </c>
      <c r="E53" s="13" t="n">
        <v>46173</v>
      </c>
      <c r="F53" s="6" t="n">
        <v>1925350</v>
      </c>
      <c r="G53" s="5" t="inlineStr">
        <is>
          <t>Magdalena Białorucka</t>
        </is>
      </c>
    </row>
    <row r="54" ht="20" customHeight="1">
      <c r="A54" s="5" t="inlineStr">
        <is>
          <t>Next orders 3 months</t>
        </is>
      </c>
      <c r="B54" s="5" t="inlineStr">
        <is>
          <t>4.2.9</t>
        </is>
      </c>
      <c r="C54" s="5" t="inlineStr">
        <is>
          <t>Natural gas (if any) and ammonia detection system</t>
        </is>
      </c>
      <c r="D54" s="5" t="inlineStr">
        <is>
          <t>enquiry</t>
        </is>
      </c>
      <c r="E54" s="13" t="n">
        <v>46173</v>
      </c>
      <c r="F54" s="6" t="n">
        <v>285000</v>
      </c>
      <c r="G54" s="5" t="inlineStr">
        <is>
          <t>Magdalena Białorucka</t>
        </is>
      </c>
    </row>
    <row r="55" ht="20" customHeight="1">
      <c r="A55" s="5" t="inlineStr">
        <is>
          <t>Next orders 3 months</t>
        </is>
      </c>
      <c r="B55" s="5" t="inlineStr">
        <is>
          <t>5.10.13.5</t>
        </is>
      </c>
      <c r="C55" s="5" t="inlineStr">
        <is>
          <t>Control valves</t>
        </is>
      </c>
      <c r="D55" s="5" t="inlineStr">
        <is>
          <t>planned</t>
        </is>
      </c>
      <c r="E55" s="13" t="n">
        <v>46173</v>
      </c>
      <c r="F55" s="6" t="n">
        <v>700000</v>
      </c>
      <c r="G55" s="5" t="inlineStr">
        <is>
          <t>Roger Gołombek</t>
        </is>
      </c>
    </row>
    <row r="56" ht="20" customHeight="1">
      <c r="A56" s="5" t="inlineStr">
        <is>
          <t>Next orders 3 months</t>
        </is>
      </c>
      <c r="B56" s="5" t="inlineStr">
        <is>
          <t>5.2.2</t>
        </is>
      </c>
      <c r="C56" s="5" t="inlineStr">
        <is>
          <t>Trapdoors for grab maintenance</t>
        </is>
      </c>
      <c r="D56" s="5" t="inlineStr">
        <is>
          <t>planned</t>
        </is>
      </c>
      <c r="E56" s="13" t="n">
        <v>46173</v>
      </c>
      <c r="F56" s="6" t="n">
        <v>81600</v>
      </c>
      <c r="G56" s="5" t="n"/>
    </row>
    <row r="57" ht="20" customHeight="1">
      <c r="A57" s="5" t="inlineStr">
        <is>
          <t>Next orders 3 months</t>
        </is>
      </c>
      <c r="B57" s="5" t="inlineStr">
        <is>
          <t>5.3.6</t>
        </is>
      </c>
      <c r="C57" s="5" t="inlineStr">
        <is>
          <t>Primary &amp; secondary air dampers</t>
        </is>
      </c>
      <c r="D57" s="5" t="inlineStr">
        <is>
          <t>planned</t>
        </is>
      </c>
      <c r="E57" s="13" t="n">
        <v>46173</v>
      </c>
      <c r="F57" s="6" t="n">
        <v>220000</v>
      </c>
      <c r="G57" s="5" t="n"/>
    </row>
    <row r="58" ht="20" customHeight="1">
      <c r="A58" s="5" t="inlineStr">
        <is>
          <t>Next orders 3 months</t>
        </is>
      </c>
      <c r="B58" s="5" t="inlineStr">
        <is>
          <t>5.3.7</t>
        </is>
      </c>
      <c r="C58" s="5" t="inlineStr">
        <is>
          <t>Flue gas recirculation dampers</t>
        </is>
      </c>
      <c r="D58" s="5" t="inlineStr">
        <is>
          <t>planned</t>
        </is>
      </c>
      <c r="E58" s="13" t="n">
        <v>46173</v>
      </c>
      <c r="F58" s="6" t="n">
        <v>40000</v>
      </c>
      <c r="G58" s="5" t="n"/>
    </row>
    <row r="59" ht="20" customHeight="1">
      <c r="A59" s="5" t="inlineStr">
        <is>
          <t>Next orders 3 months</t>
        </is>
      </c>
      <c r="B59" s="5" t="inlineStr">
        <is>
          <t>5.10.8</t>
        </is>
      </c>
      <c r="C59" s="5" t="inlineStr">
        <is>
          <t>Cooler tank, condensate tank</t>
        </is>
      </c>
      <c r="D59" s="5" t="inlineStr">
        <is>
          <t>planned</t>
        </is>
      </c>
      <c r="E59" s="13" t="n">
        <v>46188</v>
      </c>
      <c r="F59" s="6" t="n">
        <v>1000000</v>
      </c>
      <c r="G59" s="5" t="inlineStr">
        <is>
          <t>Roger Gołombek</t>
        </is>
      </c>
    </row>
    <row r="60" ht="20" customHeight="1">
      <c r="A60" s="5" t="inlineStr">
        <is>
          <t>Next orders 3 months</t>
        </is>
      </c>
      <c r="B60" s="5" t="inlineStr">
        <is>
          <t>5.13.4</t>
        </is>
      </c>
      <c r="C60" s="5" t="inlineStr">
        <is>
          <t>Auxiliary fuel pumps (light oil/diesel oil), demi water pumps, other water pumps</t>
        </is>
      </c>
      <c r="D60" s="5" t="inlineStr">
        <is>
          <t>planned</t>
        </is>
      </c>
      <c r="E60" s="13" t="n">
        <v>46188</v>
      </c>
      <c r="F60" s="6" t="n">
        <v>3337500</v>
      </c>
      <c r="G60" s="5" t="inlineStr">
        <is>
          <t>Stanisław Rucki</t>
        </is>
      </c>
    </row>
    <row r="61" ht="20" customHeight="1">
      <c r="A61" s="5" t="inlineStr">
        <is>
          <t>Next orders 3 months</t>
        </is>
      </c>
      <c r="B61" s="5" t="inlineStr">
        <is>
          <t>1.8</t>
        </is>
      </c>
      <c r="C61" s="5" t="inlineStr">
        <is>
          <t>Notification Bodies</t>
        </is>
      </c>
      <c r="D61" s="5" t="inlineStr">
        <is>
          <t>planned</t>
        </is>
      </c>
      <c r="E61" s="13" t="n">
        <v>46201</v>
      </c>
      <c r="F61" s="6" t="n">
        <v>350000</v>
      </c>
      <c r="G61" s="5" t="n"/>
    </row>
    <row r="62" ht="20" customHeight="1">
      <c r="A62" s="5" t="inlineStr">
        <is>
          <t>Next orders 3 months</t>
        </is>
      </c>
      <c r="B62" s="5" t="inlineStr">
        <is>
          <t>5.10.11</t>
        </is>
      </c>
      <c r="C62" s="5" t="inlineStr">
        <is>
          <t>Heat exchangers 2 pcs., LP pre-heater, external economizer</t>
        </is>
      </c>
      <c r="D62" s="5" t="inlineStr">
        <is>
          <t>planned</t>
        </is>
      </c>
      <c r="E62" s="13" t="n">
        <v>46203</v>
      </c>
      <c r="F62" s="6" t="n">
        <v>3242866</v>
      </c>
      <c r="G62" s="5" t="inlineStr">
        <is>
          <t>Stanisław Rucki</t>
        </is>
      </c>
    </row>
    <row r="63" ht="20" customHeight="1">
      <c r="A63" s="5" t="inlineStr">
        <is>
          <t>Next orders 3 months</t>
        </is>
      </c>
      <c r="B63" s="5" t="inlineStr">
        <is>
          <t>5.13.3</t>
        </is>
      </c>
      <c r="C63" s="5" t="inlineStr">
        <is>
          <t>Light oil unloading installation with TDT documentation approval</t>
        </is>
      </c>
      <c r="D63" s="5" t="inlineStr">
        <is>
          <t>planned</t>
        </is>
      </c>
      <c r="E63" s="13" t="n">
        <v>46203</v>
      </c>
      <c r="F63" s="6" t="n">
        <v>200000</v>
      </c>
      <c r="G63" s="5" t="n"/>
    </row>
    <row r="64" ht="20" customHeight="1">
      <c r="A64" s="5" t="inlineStr">
        <is>
          <t>Next orders 3 months</t>
        </is>
      </c>
      <c r="B64" s="5" t="inlineStr">
        <is>
          <t>5.4.4</t>
        </is>
      </c>
      <c r="C64" s="5" t="inlineStr">
        <is>
          <t>Sampling system</t>
        </is>
      </c>
      <c r="D64" s="5" t="inlineStr">
        <is>
          <t>planned</t>
        </is>
      </c>
      <c r="E64" s="13" t="n">
        <v>46203</v>
      </c>
      <c r="F64" s="6" t="n">
        <v>1010500</v>
      </c>
      <c r="G64" s="5" t="inlineStr">
        <is>
          <t>Magdalena Białorucka</t>
        </is>
      </c>
    </row>
    <row r="65" ht="20" customHeight="1">
      <c r="A65" s="5" t="inlineStr">
        <is>
          <t>Next orders 3 months</t>
        </is>
      </c>
      <c r="B65" s="5" t="inlineStr">
        <is>
          <t>5.4.5</t>
        </is>
      </c>
      <c r="C65" s="5" t="inlineStr">
        <is>
          <t>Chemical dosing for the boiler</t>
        </is>
      </c>
      <c r="D65" s="5" t="inlineStr">
        <is>
          <t>planned</t>
        </is>
      </c>
      <c r="E65" s="13" t="n">
        <v>46203</v>
      </c>
      <c r="F65" s="6" t="n">
        <v>223600</v>
      </c>
      <c r="G65" s="5" t="inlineStr">
        <is>
          <t>Magdalena Białorucka</t>
        </is>
      </c>
    </row>
    <row r="66" ht="20" customHeight="1">
      <c r="A66" s="5" t="inlineStr">
        <is>
          <t>Next orders 3 months</t>
        </is>
      </c>
      <c r="B66" s="5" t="inlineStr">
        <is>
          <t>5.7.1</t>
        </is>
      </c>
      <c r="C66" s="5" t="inlineStr">
        <is>
          <t>SNCR DeNOx system including silo, pumps</t>
        </is>
      </c>
      <c r="D66" s="5" t="inlineStr">
        <is>
          <t>planned</t>
        </is>
      </c>
      <c r="E66" s="13" t="n">
        <v>46203</v>
      </c>
      <c r="F66" s="6" t="n">
        <v>1090000</v>
      </c>
      <c r="G66" s="5" t="inlineStr">
        <is>
          <t>Magdalena Białorucka</t>
        </is>
      </c>
    </row>
    <row r="67" ht="20" customHeight="1">
      <c r="A67" s="5" t="inlineStr">
        <is>
          <t>Next orders 3 months</t>
        </is>
      </c>
      <c r="B67" s="5" t="inlineStr">
        <is>
          <t>4.3.1</t>
        </is>
      </c>
      <c r="C67" s="5" t="inlineStr">
        <is>
          <t>Boiler room roof ventilators and wall shutters</t>
        </is>
      </c>
      <c r="D67" s="5" t="inlineStr">
        <is>
          <t>planned</t>
        </is>
      </c>
      <c r="E67" s="13" t="n">
        <v>46218</v>
      </c>
      <c r="F67" s="6" t="n">
        <v>1500000</v>
      </c>
      <c r="G67" s="5" t="inlineStr">
        <is>
          <t>Magdalena Przeździak</t>
        </is>
      </c>
    </row>
    <row r="68" ht="20" customHeight="1">
      <c r="A68" s="5" t="inlineStr">
        <is>
          <t>Next orders 3 months</t>
        </is>
      </c>
      <c r="B68" s="5" t="inlineStr">
        <is>
          <t>4.3.2</t>
        </is>
      </c>
      <c r="C68" s="5" t="inlineStr">
        <is>
          <t>HVAC for the technological buildings</t>
        </is>
      </c>
      <c r="D68" s="5" t="inlineStr">
        <is>
          <t>planned</t>
        </is>
      </c>
      <c r="E68" s="13" t="n">
        <v>46218</v>
      </c>
      <c r="F68" s="6" t="n">
        <v>3107033</v>
      </c>
      <c r="G68" s="5" t="inlineStr">
        <is>
          <t>Magdalena Przeździak</t>
        </is>
      </c>
    </row>
    <row r="69" ht="20" customHeight="1">
      <c r="A69" s="5" t="inlineStr">
        <is>
          <t>Next orders 3 months</t>
        </is>
      </c>
      <c r="B69" s="5" t="inlineStr">
        <is>
          <t>4.3.3</t>
        </is>
      </c>
      <c r="C69" s="5" t="inlineStr">
        <is>
          <t xml:space="preserve">HVAC for the other buildings </t>
        </is>
      </c>
      <c r="D69" s="5" t="inlineStr">
        <is>
          <t>planned</t>
        </is>
      </c>
      <c r="E69" s="13" t="n">
        <v>46218</v>
      </c>
      <c r="F69" s="6" t="n">
        <v>1548256</v>
      </c>
      <c r="G69" s="5" t="inlineStr">
        <is>
          <t>Magdalena Przeździak</t>
        </is>
      </c>
    </row>
    <row r="70" ht="20" customHeight="1">
      <c r="A70" s="5" t="inlineStr">
        <is>
          <t>Next orders 3 months</t>
        </is>
      </c>
      <c r="B70" s="5" t="inlineStr">
        <is>
          <t>2.11.1</t>
        </is>
      </c>
      <c r="C70" s="5" t="inlineStr">
        <is>
          <t>Painting</t>
        </is>
      </c>
      <c r="D70" s="5" t="inlineStr">
        <is>
          <t>planned</t>
        </is>
      </c>
      <c r="E70" s="13" t="n">
        <v>46234</v>
      </c>
      <c r="F70" s="6" t="n">
        <v>669442.8</v>
      </c>
      <c r="G70" s="5" t="inlineStr">
        <is>
          <t>Magdalena Białorucka</t>
        </is>
      </c>
    </row>
    <row r="71" ht="20" customHeight="1">
      <c r="A71" s="5" t="inlineStr">
        <is>
          <t>Next orders 3 months</t>
        </is>
      </c>
      <c r="B71" s="5" t="inlineStr">
        <is>
          <t>2.11.10</t>
        </is>
      </c>
      <c r="C71" s="5" t="inlineStr">
        <is>
          <t>Plasterboard wall, sandwich panel wall</t>
        </is>
      </c>
      <c r="D71" s="5" t="inlineStr">
        <is>
          <t>planned</t>
        </is>
      </c>
      <c r="E71" s="13" t="n">
        <v>46234</v>
      </c>
      <c r="F71" s="6" t="n">
        <v>39026.75</v>
      </c>
      <c r="G71" s="5" t="n"/>
    </row>
    <row r="72" ht="20" customHeight="1">
      <c r="A72" s="5" t="inlineStr">
        <is>
          <t>Next orders 3 months</t>
        </is>
      </c>
      <c r="B72" s="5" t="inlineStr">
        <is>
          <t>2.11.11</t>
        </is>
      </c>
      <c r="C72" s="5" t="inlineStr">
        <is>
          <t>Glass wall</t>
        </is>
      </c>
      <c r="D72" s="5" t="inlineStr">
        <is>
          <t>planned</t>
        </is>
      </c>
      <c r="E72" s="13" t="n">
        <v>46234</v>
      </c>
      <c r="F72" s="6" t="n">
        <v>75045.3</v>
      </c>
      <c r="G72" s="5" t="n"/>
    </row>
    <row r="73" ht="20" customHeight="1">
      <c r="A73" s="5" t="inlineStr">
        <is>
          <t>Next orders 3 months</t>
        </is>
      </c>
      <c r="B73" s="5" t="inlineStr">
        <is>
          <t>2.11.12</t>
        </is>
      </c>
      <c r="C73" s="5" t="inlineStr">
        <is>
          <t>Plastering</t>
        </is>
      </c>
      <c r="D73" s="5" t="inlineStr">
        <is>
          <t>planned</t>
        </is>
      </c>
      <c r="E73" s="13" t="n">
        <v>46234</v>
      </c>
      <c r="F73" s="6" t="n">
        <v>1241084.64</v>
      </c>
      <c r="G73" s="5" t="inlineStr">
        <is>
          <t>Magdalena Białorucka</t>
        </is>
      </c>
    </row>
    <row r="74" ht="20" customHeight="1">
      <c r="A74" s="5" t="inlineStr">
        <is>
          <t>Next orders 3 months</t>
        </is>
      </c>
      <c r="B74" s="5" t="inlineStr">
        <is>
          <t>2.11.13</t>
        </is>
      </c>
      <c r="C74" s="5" t="inlineStr">
        <is>
          <t>Carpet / polyamide</t>
        </is>
      </c>
      <c r="D74" s="5" t="inlineStr">
        <is>
          <t>planned</t>
        </is>
      </c>
      <c r="E74" s="13" t="n">
        <v>46234</v>
      </c>
      <c r="F74" s="6" t="n">
        <v>87497.52</v>
      </c>
      <c r="G74" s="5" t="n"/>
    </row>
    <row r="75" ht="20" customHeight="1">
      <c r="A75" s="5" t="inlineStr">
        <is>
          <t>Next orders 3 months</t>
        </is>
      </c>
      <c r="B75" s="5" t="inlineStr">
        <is>
          <t>2.11.14</t>
        </is>
      </c>
      <c r="C75" s="5" t="inlineStr">
        <is>
          <t>Wall and column protection up to 2.5 m + hydrophobic protection</t>
        </is>
      </c>
      <c r="D75" s="5" t="inlineStr">
        <is>
          <t>planned</t>
        </is>
      </c>
      <c r="E75" s="13" t="n">
        <v>46234</v>
      </c>
      <c r="F75" s="6" t="n">
        <v>186490.48</v>
      </c>
      <c r="G75" s="5" t="n"/>
    </row>
    <row r="76" ht="20" customHeight="1">
      <c r="A76" s="5" t="inlineStr">
        <is>
          <t>Next orders 3 months</t>
        </is>
      </c>
      <c r="B76" s="5" t="inlineStr">
        <is>
          <t>2.11.2</t>
        </is>
      </c>
      <c r="C76" s="5" t="inlineStr">
        <is>
          <t>Furniture</t>
        </is>
      </c>
      <c r="D76" s="5" t="inlineStr">
        <is>
          <t>planned</t>
        </is>
      </c>
      <c r="E76" s="13" t="n">
        <v>46234</v>
      </c>
      <c r="F76" s="6" t="n">
        <v>631074</v>
      </c>
      <c r="G76" s="5" t="inlineStr">
        <is>
          <t>Magdalena Białorucka</t>
        </is>
      </c>
    </row>
    <row r="77" ht="20" customHeight="1">
      <c r="A77" s="5" t="inlineStr">
        <is>
          <t>Next orders 3 months</t>
        </is>
      </c>
      <c r="B77" s="5" t="inlineStr">
        <is>
          <t>2.11.3</t>
        </is>
      </c>
      <c r="C77" s="5" t="inlineStr">
        <is>
          <t>Tiles</t>
        </is>
      </c>
      <c r="D77" s="5" t="inlineStr">
        <is>
          <t>planned</t>
        </is>
      </c>
      <c r="E77" s="13" t="n">
        <v>46234</v>
      </c>
      <c r="F77" s="6" t="n">
        <v>498448.22</v>
      </c>
      <c r="G77" s="5" t="inlineStr">
        <is>
          <t>Magdalena Białorucka</t>
        </is>
      </c>
    </row>
    <row r="78" ht="20" customHeight="1">
      <c r="A78" s="5" t="inlineStr">
        <is>
          <t>Next orders 3 months</t>
        </is>
      </c>
      <c r="B78" s="5" t="inlineStr">
        <is>
          <t>2.11.4</t>
        </is>
      </c>
      <c r="C78" s="5" t="inlineStr">
        <is>
          <t>Raised floor</t>
        </is>
      </c>
      <c r="D78" s="5" t="inlineStr">
        <is>
          <t>planned</t>
        </is>
      </c>
      <c r="E78" s="13" t="n">
        <v>46234</v>
      </c>
      <c r="F78" s="6" t="n">
        <v>621907.75</v>
      </c>
      <c r="G78" s="5" t="inlineStr">
        <is>
          <t>Magdalena Białorucka</t>
        </is>
      </c>
    </row>
    <row r="79" ht="20" customHeight="1">
      <c r="A79" s="5" t="inlineStr">
        <is>
          <t>Next orders 3 months</t>
        </is>
      </c>
      <c r="B79" s="5" t="inlineStr">
        <is>
          <t>2.11.5</t>
        </is>
      </c>
      <c r="C79" s="5" t="inlineStr">
        <is>
          <t>Concrete floor + screed</t>
        </is>
      </c>
      <c r="D79" s="5" t="inlineStr">
        <is>
          <t>enquiry</t>
        </is>
      </c>
      <c r="E79" s="13" t="n">
        <v>46234</v>
      </c>
      <c r="F79" s="6" t="n">
        <v>610629.23</v>
      </c>
      <c r="G79" s="5" t="n"/>
    </row>
    <row r="80" ht="20" customHeight="1">
      <c r="A80" s="5" t="inlineStr">
        <is>
          <t>Next orders 3 months</t>
        </is>
      </c>
      <c r="B80" s="5" t="inlineStr">
        <is>
          <t>2.11.5.4</t>
        </is>
      </c>
      <c r="C80" s="5" t="inlineStr">
        <is>
          <t>Concrete flooring and screed with insulation</t>
        </is>
      </c>
      <c r="D80" s="5" t="inlineStr">
        <is>
          <t>planned</t>
        </is>
      </c>
      <c r="E80" s="13" t="n">
        <v>46234</v>
      </c>
      <c r="F80" s="6" t="n">
        <v>0</v>
      </c>
      <c r="G80" s="5" t="n"/>
    </row>
    <row r="81" ht="20" customHeight="1">
      <c r="A81" s="5" t="inlineStr">
        <is>
          <t>Next orders 3 months</t>
        </is>
      </c>
      <c r="B81" s="5" t="inlineStr">
        <is>
          <t>2.11.6</t>
        </is>
      </c>
      <c r="C81" s="5" t="inlineStr">
        <is>
          <t>Microcement floor</t>
        </is>
      </c>
      <c r="D81" s="5" t="inlineStr">
        <is>
          <t>planned</t>
        </is>
      </c>
      <c r="E81" s="13" t="n">
        <v>46234</v>
      </c>
      <c r="F81" s="6" t="n">
        <v>133705.44</v>
      </c>
      <c r="G81" s="5" t="n"/>
    </row>
    <row r="82" ht="20" customHeight="1">
      <c r="A82" s="5" t="inlineStr">
        <is>
          <t>Next orders 3 months</t>
        </is>
      </c>
      <c r="B82" s="5" t="inlineStr">
        <is>
          <t>2.11.7</t>
        </is>
      </c>
      <c r="C82" s="5" t="inlineStr">
        <is>
          <t>Resin floor</t>
        </is>
      </c>
      <c r="D82" s="5" t="inlineStr">
        <is>
          <t>planned</t>
        </is>
      </c>
      <c r="E82" s="13" t="n">
        <v>46234</v>
      </c>
      <c r="F82" s="6" t="n">
        <v>655174.75</v>
      </c>
      <c r="G82" s="5" t="inlineStr">
        <is>
          <t>Magdalena Białorucka</t>
        </is>
      </c>
    </row>
    <row r="83" ht="20" customHeight="1">
      <c r="A83" s="5" t="inlineStr">
        <is>
          <t>Next orders 3 months</t>
        </is>
      </c>
      <c r="B83" s="5" t="inlineStr">
        <is>
          <t>2.11.8</t>
        </is>
      </c>
      <c r="C83" s="5" t="inlineStr">
        <is>
          <t>Suspended ceilings</t>
        </is>
      </c>
      <c r="D83" s="5" t="inlineStr">
        <is>
          <t>planned</t>
        </is>
      </c>
      <c r="E83" s="13" t="n">
        <v>46234</v>
      </c>
      <c r="F83" s="6" t="n">
        <v>220670.05</v>
      </c>
      <c r="G83" s="5" t="n"/>
    </row>
    <row r="84" ht="20" customHeight="1">
      <c r="A84" s="5" t="inlineStr">
        <is>
          <t>Next orders 3 months</t>
        </is>
      </c>
      <c r="B84" s="5" t="inlineStr">
        <is>
          <t>2.11.9</t>
        </is>
      </c>
      <c r="C84" s="5" t="inlineStr">
        <is>
          <t>Segmented sliding wall</t>
        </is>
      </c>
      <c r="D84" s="5" t="inlineStr">
        <is>
          <t>planned</t>
        </is>
      </c>
      <c r="E84" s="13" t="n">
        <v>46234</v>
      </c>
      <c r="F84" s="6" t="n">
        <v>65014.1</v>
      </c>
      <c r="G84" s="5" t="n"/>
    </row>
    <row r="85" ht="20" customHeight="1">
      <c r="A85" s="5" t="inlineStr">
        <is>
          <t>Next orders 3 months</t>
        </is>
      </c>
      <c r="B85" s="5" t="inlineStr">
        <is>
          <t>2.12.1</t>
        </is>
      </c>
      <c r="C85" s="5" t="inlineStr">
        <is>
          <t>Passenger and good elevator</t>
        </is>
      </c>
      <c r="D85" s="5" t="inlineStr">
        <is>
          <t>enquiry</t>
        </is>
      </c>
      <c r="E85" s="13" t="n">
        <v>46234</v>
      </c>
      <c r="F85" s="6" t="n">
        <v>415350</v>
      </c>
      <c r="G85" s="5" t="inlineStr">
        <is>
          <t>Izabela Malarecka</t>
        </is>
      </c>
    </row>
    <row r="86" ht="20" customHeight="1">
      <c r="A86" s="5" t="inlineStr">
        <is>
          <t>Next orders 3 months</t>
        </is>
      </c>
      <c r="B86" s="5" t="inlineStr">
        <is>
          <t>2.12.2</t>
        </is>
      </c>
      <c r="C86" s="5" t="inlineStr">
        <is>
          <t>Passenger elevator</t>
        </is>
      </c>
      <c r="D86" s="5" t="inlineStr">
        <is>
          <t>enquiry</t>
        </is>
      </c>
      <c r="E86" s="13" t="n">
        <v>46234</v>
      </c>
      <c r="F86" s="6" t="n">
        <v>98643.60000000001</v>
      </c>
      <c r="G86" s="5" t="inlineStr">
        <is>
          <t>Izabela Malarecka</t>
        </is>
      </c>
    </row>
    <row r="87" ht="20" customHeight="1">
      <c r="A87" s="5" t="inlineStr">
        <is>
          <t>Next orders 3 months</t>
        </is>
      </c>
      <c r="B87" s="5" t="inlineStr">
        <is>
          <t>2.13</t>
        </is>
      </c>
      <c r="C87" s="5" t="inlineStr">
        <is>
          <t>Weigh bridge</t>
        </is>
      </c>
      <c r="D87" s="5" t="inlineStr">
        <is>
          <t>planned</t>
        </is>
      </c>
      <c r="E87" s="13" t="n">
        <v>46234</v>
      </c>
      <c r="F87" s="6" t="n">
        <v>551900</v>
      </c>
      <c r="G87" s="5" t="inlineStr">
        <is>
          <t>Stanisław Rucki</t>
        </is>
      </c>
    </row>
    <row r="88" ht="20" customHeight="1">
      <c r="A88" s="5" t="inlineStr">
        <is>
          <t>Next orders 3 months</t>
        </is>
      </c>
      <c r="B88" s="5" t="inlineStr">
        <is>
          <t>3.4.2</t>
        </is>
      </c>
      <c r="C88" s="5" t="inlineStr">
        <is>
          <t>DCS System</t>
        </is>
      </c>
      <c r="D88" s="5" t="inlineStr">
        <is>
          <t>planned</t>
        </is>
      </c>
      <c r="E88" s="13" t="n">
        <v>46234</v>
      </c>
      <c r="F88" s="6" t="n">
        <v>2752000</v>
      </c>
      <c r="G88" s="5" t="inlineStr">
        <is>
          <t>Roger Gołombek</t>
        </is>
      </c>
    </row>
    <row r="89" ht="20" customHeight="1">
      <c r="A89" s="5" t="inlineStr">
        <is>
          <t>Next orders 3 months</t>
        </is>
      </c>
      <c r="B89" s="5" t="inlineStr">
        <is>
          <t>5.1.1</t>
        </is>
      </c>
      <c r="C89" s="5" t="inlineStr">
        <is>
          <t>Radioactivity detector</t>
        </is>
      </c>
      <c r="D89" s="5" t="inlineStr">
        <is>
          <t>planned</t>
        </is>
      </c>
      <c r="E89" s="13" t="n">
        <v>46234</v>
      </c>
      <c r="F89" s="6" t="n">
        <v>185000</v>
      </c>
      <c r="G89" s="5" t="n"/>
    </row>
    <row r="90" ht="20" customHeight="1">
      <c r="A90" s="5" t="inlineStr">
        <is>
          <t>Next orders 3 months</t>
        </is>
      </c>
      <c r="B90" s="5" t="inlineStr">
        <is>
          <t>5.10.6</t>
        </is>
      </c>
      <c r="C90" s="5" t="inlineStr">
        <is>
          <t>Chemical dossing for thermal cycle and district heating</t>
        </is>
      </c>
      <c r="D90" s="5" t="inlineStr">
        <is>
          <t>planned</t>
        </is>
      </c>
      <c r="E90" s="13" t="n">
        <v>46234</v>
      </c>
      <c r="F90" s="6" t="n">
        <v>550000</v>
      </c>
      <c r="G90" s="5" t="inlineStr">
        <is>
          <t>Magdalena Białorucka</t>
        </is>
      </c>
    </row>
    <row r="91" ht="20" customHeight="1">
      <c r="A91" s="5" t="inlineStr">
        <is>
          <t>Next orders 3 months</t>
        </is>
      </c>
      <c r="B91" s="5" t="inlineStr">
        <is>
          <t>5.13.9</t>
        </is>
      </c>
      <c r="C91" s="5" t="inlineStr">
        <is>
          <t>Grate cooling system</t>
        </is>
      </c>
      <c r="D91" s="5" t="inlineStr">
        <is>
          <t>planned</t>
        </is>
      </c>
      <c r="E91" s="13" t="n">
        <v>46234</v>
      </c>
      <c r="F91" s="6" t="n">
        <v>731000</v>
      </c>
      <c r="G91" s="5" t="inlineStr">
        <is>
          <t>Magdalena Białorucka</t>
        </is>
      </c>
    </row>
    <row r="92" ht="20" customHeight="1">
      <c r="A92" s="5" t="inlineStr">
        <is>
          <t>Next orders 3 months</t>
        </is>
      </c>
      <c r="B92" s="5" t="inlineStr">
        <is>
          <t>5.14.2</t>
        </is>
      </c>
      <c r="C92" s="5" t="inlineStr">
        <is>
          <t>Mechanical installation of technological equipment</t>
        </is>
      </c>
      <c r="D92" s="5" t="inlineStr">
        <is>
          <t>planned</t>
        </is>
      </c>
      <c r="E92" s="13" t="n">
        <v>46234</v>
      </c>
      <c r="F92" s="6" t="n">
        <v>1500000</v>
      </c>
      <c r="G92" s="5" t="inlineStr">
        <is>
          <t>Stanisław Rucki</t>
        </is>
      </c>
    </row>
    <row r="93" ht="20" customHeight="1">
      <c r="A93" s="5" t="inlineStr">
        <is>
          <t>Next orders 3 months</t>
        </is>
      </c>
      <c r="B93" s="5" t="inlineStr">
        <is>
          <t>5.3.4</t>
        </is>
      </c>
      <c r="C93" s="5" t="inlineStr">
        <is>
          <t>Primary / secondary air ducts + Flue gas recirculation ducts + Auxiliary burners ducts + Supporting structures</t>
        </is>
      </c>
      <c r="D93" s="5" t="inlineStr">
        <is>
          <t>planned</t>
        </is>
      </c>
      <c r="E93" s="13" t="n">
        <v>46234</v>
      </c>
      <c r="F93" s="6" t="n">
        <v>2502500</v>
      </c>
      <c r="G93" s="5" t="inlineStr">
        <is>
          <t>Stanisław Rucki</t>
        </is>
      </c>
    </row>
    <row r="94" ht="20" customHeight="1">
      <c r="A94" s="5" t="inlineStr">
        <is>
          <t>Next orders 3 months</t>
        </is>
      </c>
      <c r="B94" s="5" t="inlineStr">
        <is>
          <t>5.3.5</t>
        </is>
      </c>
      <c r="C94" s="5" t="inlineStr">
        <is>
          <t>Fire curtain for primary air opening</t>
        </is>
      </c>
      <c r="D94" s="5" t="inlineStr">
        <is>
          <t>planned</t>
        </is>
      </c>
      <c r="E94" s="13" t="n">
        <v>46234</v>
      </c>
      <c r="F94" s="6" t="n">
        <v>100000</v>
      </c>
      <c r="G94" s="5" t="inlineStr">
        <is>
          <t>Magdalena Przeździak</t>
        </is>
      </c>
    </row>
    <row r="95" ht="20" customHeight="1">
      <c r="A95" s="5" t="inlineStr">
        <is>
          <t>Next orders 3 months</t>
        </is>
      </c>
      <c r="B95" s="5" t="inlineStr">
        <is>
          <t>5.3.8</t>
        </is>
      </c>
      <c r="C95" s="5" t="inlineStr">
        <is>
          <t>Camera for furnace monitoring</t>
        </is>
      </c>
      <c r="D95" s="5" t="inlineStr">
        <is>
          <t>planned</t>
        </is>
      </c>
      <c r="E95" s="13" t="n">
        <v>46234</v>
      </c>
      <c r="F95" s="6" t="n">
        <v>51600</v>
      </c>
      <c r="G95" s="5" t="n"/>
    </row>
    <row r="96" ht="20" customHeight="1">
      <c r="A96" s="5" t="inlineStr">
        <is>
          <t>Next orders 3 months</t>
        </is>
      </c>
      <c r="B96" s="5" t="inlineStr">
        <is>
          <t>5.4.6</t>
        </is>
      </c>
      <c r="C96" s="5" t="inlineStr">
        <is>
          <t>Compensator between boiler and ECO</t>
        </is>
      </c>
      <c r="D96" s="5" t="inlineStr">
        <is>
          <t>planned</t>
        </is>
      </c>
      <c r="E96" s="13" t="n">
        <v>46234</v>
      </c>
      <c r="F96" s="6" t="n">
        <v>129000</v>
      </c>
      <c r="G96" s="5" t="n"/>
    </row>
    <row r="97" ht="20" customHeight="1">
      <c r="A97" s="5" t="inlineStr">
        <is>
          <t>Next orders 3 months</t>
        </is>
      </c>
      <c r="B97" s="5" t="inlineStr">
        <is>
          <t>5.5</t>
        </is>
      </c>
      <c r="C97" s="5" t="inlineStr">
        <is>
          <t>Refractory</t>
        </is>
      </c>
      <c r="D97" s="5" t="inlineStr">
        <is>
          <t>planned</t>
        </is>
      </c>
      <c r="E97" s="13" t="n">
        <v>46234</v>
      </c>
      <c r="F97" s="6" t="n">
        <v>3993000</v>
      </c>
      <c r="G97" s="5" t="inlineStr">
        <is>
          <t>Magdalena Białorucka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/ programma cliente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5" t="inlineStr">
        <is>
          <t>2025-12</t>
        </is>
      </c>
      <c r="B10" s="5" t="inlineStr">
        <is>
          <t>dic-2025</t>
        </is>
      </c>
      <c r="C10" s="6" t="n">
        <v>6635951.36</v>
      </c>
      <c r="D10" s="6" t="n">
        <v>6635951.36</v>
      </c>
      <c r="E10" s="6" t="n">
        <v>6199140</v>
      </c>
      <c r="F10" s="6" t="n">
        <v>6199140</v>
      </c>
      <c r="G10" s="6" t="n">
        <v>0</v>
      </c>
      <c r="H10" s="6" t="n">
        <v>0</v>
      </c>
      <c r="I10" s="5" t="inlineStr"/>
    </row>
    <row r="11" ht="20" customHeight="1">
      <c r="A11" s="5" t="inlineStr">
        <is>
          <t>2026-01</t>
        </is>
      </c>
      <c r="B11" s="5" t="inlineStr">
        <is>
          <t>gen-2026</t>
        </is>
      </c>
      <c r="C11" s="6" t="n">
        <v>9407183.25</v>
      </c>
      <c r="D11" s="6" t="n">
        <v>16043134.61</v>
      </c>
      <c r="E11" s="6" t="n">
        <v>1209845.03</v>
      </c>
      <c r="F11" s="6" t="n">
        <v>7408985.03</v>
      </c>
      <c r="G11" s="6" t="n">
        <v>0</v>
      </c>
      <c r="H11" s="6" t="n">
        <v>0</v>
      </c>
      <c r="I11" s="5" t="inlineStr"/>
    </row>
    <row r="12" ht="20" customHeight="1">
      <c r="A12" s="5" t="inlineStr">
        <is>
          <t>2026-02</t>
        </is>
      </c>
      <c r="B12" s="5" t="inlineStr">
        <is>
          <t>feb-2026</t>
        </is>
      </c>
      <c r="C12" s="6" t="n">
        <v>28559502.41</v>
      </c>
      <c r="D12" s="6" t="n">
        <v>44602637.02</v>
      </c>
      <c r="E12" s="6" t="n">
        <v>7794586.93</v>
      </c>
      <c r="F12" s="6" t="n">
        <v>15203571.96</v>
      </c>
      <c r="G12" s="6" t="n">
        <v>0</v>
      </c>
      <c r="H12" s="6" t="n">
        <v>0</v>
      </c>
      <c r="I12" s="5" t="inlineStr"/>
    </row>
    <row r="13" ht="20" customHeight="1">
      <c r="A13" s="5" t="inlineStr">
        <is>
          <t>2026-03</t>
        </is>
      </c>
      <c r="B13" s="5" t="inlineStr">
        <is>
          <t>mar-2026</t>
        </is>
      </c>
      <c r="C13" s="6" t="n">
        <v>41783746.29</v>
      </c>
      <c r="D13" s="6" t="n">
        <v>86386383.31</v>
      </c>
      <c r="E13" s="6" t="n">
        <v>12423640.08</v>
      </c>
      <c r="F13" s="6" t="n">
        <v>27627212.04</v>
      </c>
      <c r="G13" s="6" t="n">
        <v>0</v>
      </c>
      <c r="H13" s="6" t="n">
        <v>0</v>
      </c>
      <c r="I13" s="5" t="inlineStr"/>
    </row>
    <row r="14" ht="20" customHeight="1">
      <c r="A14" s="5" t="inlineStr">
        <is>
          <t>2026-04</t>
        </is>
      </c>
      <c r="B14" s="5" t="inlineStr">
        <is>
          <t>apr-2026</t>
        </is>
      </c>
      <c r="C14" s="6" t="n">
        <v>41368003.68</v>
      </c>
      <c r="D14" s="6" t="n">
        <v>127754386.99</v>
      </c>
      <c r="E14" s="6" t="n">
        <v>11336449.17</v>
      </c>
      <c r="F14" s="6" t="n">
        <v>38963661.21</v>
      </c>
      <c r="G14" s="6" t="n">
        <v>0</v>
      </c>
      <c r="H14" s="6" t="n">
        <v>0</v>
      </c>
      <c r="I14" s="5" t="inlineStr"/>
    </row>
    <row r="15" ht="20" customHeight="1">
      <c r="A15" s="5" t="inlineStr">
        <is>
          <t>2026-05</t>
        </is>
      </c>
      <c r="B15" s="5" t="inlineStr">
        <is>
          <t>mag-2026</t>
        </is>
      </c>
      <c r="C15" s="6" t="n">
        <v>39534317.53</v>
      </c>
      <c r="D15" s="6" t="n">
        <v>167288704.52</v>
      </c>
      <c r="E15" s="6" t="n">
        <v>13624888.02</v>
      </c>
      <c r="F15" s="6" t="n">
        <v>52588549.23</v>
      </c>
      <c r="G15" s="6" t="n">
        <v>0</v>
      </c>
      <c r="H15" s="6" t="n">
        <v>0</v>
      </c>
      <c r="I15" s="5" t="inlineStr">
        <is>
          <t>Current</t>
        </is>
      </c>
    </row>
    <row r="16" ht="20" customHeight="1">
      <c r="A16" s="5" t="inlineStr">
        <is>
          <t>2026-06</t>
        </is>
      </c>
      <c r="B16" s="5" t="inlineStr">
        <is>
          <t>giu-2026</t>
        </is>
      </c>
      <c r="C16" s="6" t="n">
        <v>38328272.54</v>
      </c>
      <c r="D16" s="6" t="n">
        <v>205616977.06</v>
      </c>
      <c r="E16" s="6" t="n">
        <v>14910518.13</v>
      </c>
      <c r="F16" s="6" t="n">
        <v>67499067.36</v>
      </c>
      <c r="G16" s="6" t="n">
        <v>0</v>
      </c>
      <c r="H16" s="6" t="n">
        <v>0</v>
      </c>
      <c r="I16" s="5" t="inlineStr"/>
    </row>
    <row r="17" ht="20" customHeight="1">
      <c r="A17" s="5" t="inlineStr">
        <is>
          <t>2026-07</t>
        </is>
      </c>
      <c r="B17" s="5" t="inlineStr">
        <is>
          <t>lug-2026</t>
        </is>
      </c>
      <c r="C17" s="6" t="n">
        <v>37965906.53</v>
      </c>
      <c r="D17" s="6" t="n">
        <v>243582883.59</v>
      </c>
      <c r="E17" s="6" t="n">
        <v>15028245.62</v>
      </c>
      <c r="F17" s="6" t="n">
        <v>82527312.98</v>
      </c>
      <c r="G17" s="6" t="n">
        <v>0</v>
      </c>
      <c r="H17" s="6" t="n">
        <v>0</v>
      </c>
      <c r="I17" s="5" t="inlineStr"/>
    </row>
    <row r="18" ht="20" customHeight="1">
      <c r="A18" s="5" t="inlineStr">
        <is>
          <t>2026-08</t>
        </is>
      </c>
      <c r="B18" s="5" t="inlineStr">
        <is>
          <t>ago-2026</t>
        </is>
      </c>
      <c r="C18" s="6" t="n">
        <v>28948793.89</v>
      </c>
      <c r="D18" s="6" t="n">
        <v>272531677.48</v>
      </c>
      <c r="E18" s="6" t="n">
        <v>24539477.12</v>
      </c>
      <c r="F18" s="6" t="n">
        <v>107066790.1</v>
      </c>
      <c r="G18" s="6" t="n">
        <v>0</v>
      </c>
      <c r="H18" s="6" t="n">
        <v>0</v>
      </c>
      <c r="I18" s="5" t="inlineStr"/>
    </row>
    <row r="19" ht="20" customHeight="1">
      <c r="A19" s="5" t="inlineStr">
        <is>
          <t>2026-09</t>
        </is>
      </c>
      <c r="B19" s="5" t="inlineStr">
        <is>
          <t>set-2026</t>
        </is>
      </c>
      <c r="C19" s="6" t="n">
        <v>29770985.24</v>
      </c>
      <c r="D19" s="6" t="n">
        <v>302302662.72</v>
      </c>
      <c r="E19" s="6" t="n">
        <v>31216463.12</v>
      </c>
      <c r="F19" s="6" t="n">
        <v>138283253.22</v>
      </c>
      <c r="G19" s="6" t="n">
        <v>0</v>
      </c>
      <c r="H19" s="6" t="n">
        <v>0</v>
      </c>
      <c r="I19" s="5" t="inlineStr"/>
    </row>
    <row r="20" ht="20" customHeight="1">
      <c r="A20" s="5" t="inlineStr">
        <is>
          <t>2026-10</t>
        </is>
      </c>
      <c r="B20" s="5" t="inlineStr">
        <is>
          <t>ott-2026</t>
        </is>
      </c>
      <c r="C20" s="6" t="n">
        <v>24376568.36</v>
      </c>
      <c r="D20" s="6" t="n">
        <v>326679231.08</v>
      </c>
      <c r="E20" s="6" t="n">
        <v>27608192.85</v>
      </c>
      <c r="F20" s="6" t="n">
        <v>165891446.07</v>
      </c>
      <c r="G20" s="6" t="n">
        <v>0</v>
      </c>
      <c r="H20" s="6" t="n">
        <v>0</v>
      </c>
      <c r="I20" s="5" t="inlineStr"/>
    </row>
    <row r="21" ht="20" customHeight="1">
      <c r="A21" s="5" t="inlineStr">
        <is>
          <t>2026-11</t>
        </is>
      </c>
      <c r="B21" s="5" t="inlineStr">
        <is>
          <t>nov-2026</t>
        </is>
      </c>
      <c r="C21" s="6" t="n">
        <v>42520040.63</v>
      </c>
      <c r="D21" s="6" t="n">
        <v>369199271.71</v>
      </c>
      <c r="E21" s="6" t="n">
        <v>26540967.3</v>
      </c>
      <c r="F21" s="6" t="n">
        <v>192432413.37</v>
      </c>
      <c r="G21" s="6" t="n">
        <v>0</v>
      </c>
      <c r="H21" s="6" t="n">
        <v>0</v>
      </c>
      <c r="I21" s="5" t="inlineStr"/>
    </row>
    <row r="22" ht="20" customHeight="1">
      <c r="A22" s="5" t="inlineStr">
        <is>
          <t>2026-12</t>
        </is>
      </c>
      <c r="B22" s="5" t="inlineStr">
        <is>
          <t>dic-2026</t>
        </is>
      </c>
      <c r="C22" s="6" t="n">
        <v>28741079.3</v>
      </c>
      <c r="D22" s="6" t="n">
        <v>397940351.01</v>
      </c>
      <c r="E22" s="6" t="n">
        <v>28846792.41</v>
      </c>
      <c r="F22" s="6" t="n">
        <v>221279205.78</v>
      </c>
      <c r="G22" s="6" t="n">
        <v>0</v>
      </c>
      <c r="H22" s="6" t="n">
        <v>0</v>
      </c>
      <c r="I22" s="5" t="inlineStr"/>
    </row>
    <row r="23" ht="20" customHeight="1">
      <c r="A23" s="5" t="inlineStr">
        <is>
          <t>2027-01</t>
        </is>
      </c>
      <c r="B23" s="5" t="inlineStr">
        <is>
          <t>gen-2027</t>
        </is>
      </c>
      <c r="C23" s="6" t="n">
        <v>15761646.89</v>
      </c>
      <c r="D23" s="6" t="n">
        <v>413701997.9</v>
      </c>
      <c r="E23" s="6" t="n">
        <v>27022580.63</v>
      </c>
      <c r="F23" s="6" t="n">
        <v>248301786.41</v>
      </c>
      <c r="G23" s="6" t="n">
        <v>0</v>
      </c>
      <c r="H23" s="6" t="n">
        <v>0</v>
      </c>
      <c r="I23" s="5" t="inlineStr"/>
    </row>
    <row r="24" ht="20" customHeight="1">
      <c r="A24" s="5" t="inlineStr">
        <is>
          <t>2027-02</t>
        </is>
      </c>
      <c r="B24" s="5" t="inlineStr">
        <is>
          <t>feb-2027</t>
        </is>
      </c>
      <c r="C24" s="6" t="n">
        <v>15778129.71</v>
      </c>
      <c r="D24" s="6" t="n">
        <v>429480127.61</v>
      </c>
      <c r="E24" s="6" t="n">
        <v>28325747.31</v>
      </c>
      <c r="F24" s="6" t="n">
        <v>276627533.72</v>
      </c>
      <c r="G24" s="6" t="n">
        <v>0</v>
      </c>
      <c r="H24" s="6" t="n">
        <v>0</v>
      </c>
      <c r="I24" s="5" t="inlineStr"/>
    </row>
    <row r="25" ht="20" customHeight="1">
      <c r="A25" s="5" t="inlineStr">
        <is>
          <t>2027-03</t>
        </is>
      </c>
      <c r="B25" s="5" t="inlineStr">
        <is>
          <t>mar-2027</t>
        </is>
      </c>
      <c r="C25" s="6" t="n">
        <v>16128129.72</v>
      </c>
      <c r="D25" s="6" t="n">
        <v>445608257.33</v>
      </c>
      <c r="E25" s="6" t="n">
        <v>35039986.08</v>
      </c>
      <c r="F25" s="6" t="n">
        <v>311667519.8</v>
      </c>
      <c r="G25" s="6" t="n">
        <v>0</v>
      </c>
      <c r="H25" s="6" t="n">
        <v>0</v>
      </c>
      <c r="I25" s="5" t="inlineStr"/>
    </row>
    <row r="26" ht="20" customHeight="1">
      <c r="A26" s="5" t="inlineStr">
        <is>
          <t>2027-04</t>
        </is>
      </c>
      <c r="B26" s="5" t="inlineStr">
        <is>
          <t>apr-2027</t>
        </is>
      </c>
      <c r="C26" s="6" t="n">
        <v>14020660.87</v>
      </c>
      <c r="D26" s="6" t="n">
        <v>459628918.2</v>
      </c>
      <c r="E26" s="6" t="n">
        <v>33822381.41</v>
      </c>
      <c r="F26" s="6" t="n">
        <v>345489901.21</v>
      </c>
      <c r="G26" s="6" t="n">
        <v>0</v>
      </c>
      <c r="H26" s="6" t="n">
        <v>0</v>
      </c>
      <c r="I26" s="5" t="inlineStr"/>
    </row>
    <row r="27" ht="20" customHeight="1">
      <c r="A27" s="5" t="inlineStr">
        <is>
          <t>2027-05</t>
        </is>
      </c>
      <c r="B27" s="5" t="inlineStr">
        <is>
          <t>mag-2027</t>
        </is>
      </c>
      <c r="C27" s="6" t="n">
        <v>6947735.9</v>
      </c>
      <c r="D27" s="6" t="n">
        <v>466576654.1</v>
      </c>
      <c r="E27" s="6" t="n">
        <v>25897922.24</v>
      </c>
      <c r="F27" s="6" t="n">
        <v>371387823.45</v>
      </c>
      <c r="G27" s="6" t="n">
        <v>0</v>
      </c>
      <c r="H27" s="6" t="n">
        <v>0</v>
      </c>
      <c r="I27" s="5" t="inlineStr"/>
    </row>
    <row r="28" ht="20" customHeight="1">
      <c r="A28" s="5" t="inlineStr">
        <is>
          <t>2027-06</t>
        </is>
      </c>
      <c r="B28" s="5" t="inlineStr">
        <is>
          <t>giu-2027</t>
        </is>
      </c>
      <c r="C28" s="6" t="n">
        <v>6947735.91</v>
      </c>
      <c r="D28" s="6" t="n">
        <v>473524390.01</v>
      </c>
      <c r="E28" s="6" t="n">
        <v>28095849.06</v>
      </c>
      <c r="F28" s="6" t="n">
        <v>399483672.51</v>
      </c>
      <c r="G28" s="6" t="n">
        <v>0</v>
      </c>
      <c r="H28" s="6" t="n">
        <v>0</v>
      </c>
      <c r="I28" s="5" t="inlineStr"/>
    </row>
    <row r="29" ht="20" customHeight="1">
      <c r="A29" s="5" t="inlineStr">
        <is>
          <t>2027-07</t>
        </is>
      </c>
      <c r="B29" s="5" t="inlineStr">
        <is>
          <t>lug-2027</t>
        </is>
      </c>
      <c r="C29" s="6" t="n">
        <v>5529097.01</v>
      </c>
      <c r="D29" s="6" t="n">
        <v>479053487.02</v>
      </c>
      <c r="E29" s="6" t="n">
        <v>20736784.02</v>
      </c>
      <c r="F29" s="6" t="n">
        <v>420220456.53</v>
      </c>
      <c r="G29" s="6" t="n">
        <v>0</v>
      </c>
      <c r="H29" s="6" t="n">
        <v>0</v>
      </c>
      <c r="I29" s="5" t="inlineStr"/>
    </row>
    <row r="30" ht="20" customHeight="1">
      <c r="A30" s="5" t="inlineStr">
        <is>
          <t>2027-08</t>
        </is>
      </c>
      <c r="B30" s="5" t="inlineStr">
        <is>
          <t>ago-2027</t>
        </is>
      </c>
      <c r="C30" s="6" t="n">
        <v>5529097.02</v>
      </c>
      <c r="D30" s="6" t="n">
        <v>484582584.04</v>
      </c>
      <c r="E30" s="6" t="n">
        <v>17315684.93</v>
      </c>
      <c r="F30" s="6" t="n">
        <v>437536141.46</v>
      </c>
      <c r="G30" s="6" t="n">
        <v>0</v>
      </c>
      <c r="H30" s="6" t="n">
        <v>0</v>
      </c>
      <c r="I30" s="5" t="inlineStr"/>
    </row>
    <row r="31" ht="20" customHeight="1">
      <c r="A31" s="5" t="inlineStr">
        <is>
          <t>2027-09</t>
        </is>
      </c>
      <c r="B31" s="5" t="inlineStr">
        <is>
          <t>set-2027</t>
        </is>
      </c>
      <c r="C31" s="6" t="n">
        <v>5529097.02</v>
      </c>
      <c r="D31" s="6" t="n">
        <v>490111681.06</v>
      </c>
      <c r="E31" s="6" t="n">
        <v>15763709.59</v>
      </c>
      <c r="F31" s="6" t="n">
        <v>453299851.05</v>
      </c>
      <c r="G31" s="6" t="n">
        <v>0</v>
      </c>
      <c r="H31" s="6" t="n">
        <v>0</v>
      </c>
      <c r="I31" s="5" t="inlineStr"/>
    </row>
    <row r="32" ht="20" customHeight="1">
      <c r="A32" s="5" t="inlineStr">
        <is>
          <t>2027-10</t>
        </is>
      </c>
      <c r="B32" s="5" t="inlineStr">
        <is>
          <t>ott-2027</t>
        </is>
      </c>
      <c r="C32" s="6" t="n">
        <v>4469340.79</v>
      </c>
      <c r="D32" s="6" t="n">
        <v>494581021.85</v>
      </c>
      <c r="E32" s="6" t="n">
        <v>12623620.61</v>
      </c>
      <c r="F32" s="6" t="n">
        <v>465923471.66</v>
      </c>
      <c r="G32" s="6" t="n">
        <v>0</v>
      </c>
      <c r="H32" s="6" t="n">
        <v>0</v>
      </c>
      <c r="I32" s="5" t="inlineStr"/>
    </row>
    <row r="33" ht="20" customHeight="1">
      <c r="A33" s="5" t="inlineStr">
        <is>
          <t>2027-11</t>
        </is>
      </c>
      <c r="B33" s="5" t="inlineStr">
        <is>
          <t>nov-2027</t>
        </is>
      </c>
      <c r="C33" s="6" t="n">
        <v>2567186.04</v>
      </c>
      <c r="D33" s="6" t="n">
        <v>497148207.89</v>
      </c>
      <c r="E33" s="6" t="n">
        <v>10976891.07</v>
      </c>
      <c r="F33" s="6" t="n">
        <v>476900362.73</v>
      </c>
      <c r="G33" s="6" t="n">
        <v>0</v>
      </c>
      <c r="H33" s="6" t="n">
        <v>0</v>
      </c>
      <c r="I33" s="5" t="inlineStr"/>
    </row>
    <row r="34" ht="20" customHeight="1">
      <c r="A34" s="5" t="inlineStr">
        <is>
          <t>2027-12</t>
        </is>
      </c>
      <c r="B34" s="5" t="inlineStr">
        <is>
          <t>dic-2027</t>
        </is>
      </c>
      <c r="C34" s="6" t="n">
        <v>2479892.4</v>
      </c>
      <c r="D34" s="6" t="n">
        <v>499628100.29</v>
      </c>
      <c r="E34" s="6" t="n">
        <v>11889923.67</v>
      </c>
      <c r="F34" s="6" t="n">
        <v>488790286.4</v>
      </c>
      <c r="G34" s="6" t="n">
        <v>0</v>
      </c>
      <c r="H34" s="6" t="n">
        <v>0</v>
      </c>
      <c r="I34" s="5" t="inlineStr"/>
    </row>
    <row r="35" ht="20" customHeight="1">
      <c r="A35" s="5" t="inlineStr">
        <is>
          <t>2028-01</t>
        </is>
      </c>
      <c r="B35" s="5" t="inlineStr">
        <is>
          <t>gen-2028</t>
        </is>
      </c>
      <c r="C35" s="6" t="n">
        <v>3399175.86</v>
      </c>
      <c r="D35" s="6" t="n">
        <v>503027276.15</v>
      </c>
      <c r="E35" s="6" t="n">
        <v>0</v>
      </c>
      <c r="F35" s="6" t="n">
        <v>488790286.4</v>
      </c>
      <c r="G35" s="6" t="n">
        <v>0</v>
      </c>
      <c r="H35" s="6" t="n">
        <v>0</v>
      </c>
      <c r="I35" s="5" t="inlineStr"/>
    </row>
    <row r="36" ht="20" customHeight="1">
      <c r="A36" s="5" t="inlineStr">
        <is>
          <t>2028-02</t>
        </is>
      </c>
      <c r="B36" s="5" t="inlineStr">
        <is>
          <t>feb-2028</t>
        </is>
      </c>
      <c r="C36" s="6" t="n">
        <v>3277266.16</v>
      </c>
      <c r="D36" s="6" t="n">
        <v>506304542.31</v>
      </c>
      <c r="E36" s="6" t="n">
        <v>1910542.1</v>
      </c>
      <c r="F36" s="6" t="n">
        <v>490700828.5</v>
      </c>
      <c r="G36" s="6" t="n">
        <v>0</v>
      </c>
      <c r="H36" s="6" t="n">
        <v>0</v>
      </c>
      <c r="I36" s="5" t="inlineStr"/>
    </row>
    <row r="37" ht="20" customHeight="1">
      <c r="A37" s="5" t="inlineStr">
        <is>
          <t>2028-03</t>
        </is>
      </c>
      <c r="B37" s="5" t="inlineStr">
        <is>
          <t>mar-2028</t>
        </is>
      </c>
      <c r="C37" s="6" t="n">
        <v>3277266.16</v>
      </c>
      <c r="D37" s="6" t="n">
        <v>509581808.47</v>
      </c>
      <c r="E37" s="6" t="n">
        <v>2167008.58</v>
      </c>
      <c r="F37" s="6" t="n">
        <v>492867837.08</v>
      </c>
      <c r="G37" s="6" t="n">
        <v>0</v>
      </c>
      <c r="H37" s="6" t="n">
        <v>0</v>
      </c>
      <c r="I37" s="5" t="inlineStr"/>
    </row>
    <row r="38" ht="20" customHeight="1">
      <c r="A38" s="5" t="inlineStr">
        <is>
          <t>2028-04</t>
        </is>
      </c>
      <c r="B38" s="5" t="inlineStr">
        <is>
          <t>apr-2028</t>
        </is>
      </c>
      <c r="C38" s="6" t="n">
        <v>3261355.05</v>
      </c>
      <c r="D38" s="6" t="n">
        <v>512843163.52</v>
      </c>
      <c r="E38" s="6" t="n">
        <v>758299.79</v>
      </c>
      <c r="F38" s="6" t="n">
        <v>493626136.87</v>
      </c>
      <c r="G38" s="6" t="n">
        <v>0</v>
      </c>
      <c r="H38" s="6" t="n">
        <v>0</v>
      </c>
      <c r="I38" s="5" t="inlineStr"/>
    </row>
    <row r="39" ht="20" customHeight="1">
      <c r="A39" s="5" t="inlineStr">
        <is>
          <t>2028-05</t>
        </is>
      </c>
      <c r="B39" s="5" t="inlineStr">
        <is>
          <t>mag-2028</t>
        </is>
      </c>
      <c r="C39" s="6" t="n">
        <v>3261355.04</v>
      </c>
      <c r="D39" s="6" t="n">
        <v>516104518.56</v>
      </c>
      <c r="E39" s="6" t="n">
        <v>3740876.04</v>
      </c>
      <c r="F39" s="6" t="n">
        <v>497367012.91</v>
      </c>
      <c r="G39" s="6" t="n">
        <v>0</v>
      </c>
      <c r="H39" s="6" t="n">
        <v>0</v>
      </c>
      <c r="I39" s="5" t="inlineStr"/>
    </row>
    <row r="40" ht="20" customHeight="1">
      <c r="A40" s="5" t="inlineStr">
        <is>
          <t>2028-06</t>
        </is>
      </c>
      <c r="B40" s="5" t="inlineStr">
        <is>
          <t>giu-2028</t>
        </is>
      </c>
      <c r="C40" s="6" t="n">
        <v>3261355.05</v>
      </c>
      <c r="D40" s="6" t="n">
        <v>519365873.61</v>
      </c>
      <c r="E40" s="6" t="n">
        <v>1069040.53</v>
      </c>
      <c r="F40" s="6" t="n">
        <v>498436053.44</v>
      </c>
      <c r="G40" s="6" t="n">
        <v>0</v>
      </c>
      <c r="H40" s="6" t="n">
        <v>0</v>
      </c>
      <c r="I40" s="5" t="inlineStr"/>
    </row>
    <row r="41" ht="20" customHeight="1">
      <c r="A41" s="5" t="inlineStr">
        <is>
          <t>2028-07</t>
        </is>
      </c>
      <c r="B41" s="5" t="inlineStr">
        <is>
          <t>lug-2028</t>
        </is>
      </c>
      <c r="C41" s="6" t="n">
        <v>0</v>
      </c>
      <c r="D41" s="6" t="n">
        <v>519365873.61</v>
      </c>
      <c r="E41" s="6" t="n">
        <v>454545.46</v>
      </c>
      <c r="F41" s="6" t="n">
        <v>498890598.9</v>
      </c>
      <c r="G41" s="6" t="n">
        <v>0</v>
      </c>
      <c r="H41" s="6" t="n">
        <v>0</v>
      </c>
      <c r="I41" s="5" t="inlineStr"/>
    </row>
    <row r="42" ht="20" customHeight="1">
      <c r="A42" s="5" t="inlineStr">
        <is>
          <t>2028-08</t>
        </is>
      </c>
      <c r="B42" s="5" t="inlineStr">
        <is>
          <t>ago-2028</t>
        </is>
      </c>
      <c r="C42" s="6" t="n">
        <v>0</v>
      </c>
      <c r="D42" s="6" t="n">
        <v>519365873.61</v>
      </c>
      <c r="E42" s="6" t="n">
        <v>454545.45</v>
      </c>
      <c r="F42" s="6" t="n">
        <v>499345144.35</v>
      </c>
      <c r="G42" s="6" t="n">
        <v>0</v>
      </c>
      <c r="H42" s="6" t="n">
        <v>0</v>
      </c>
      <c r="I42" s="5" t="inlineStr"/>
    </row>
    <row r="43" ht="20" customHeight="1">
      <c r="A43" s="5" t="inlineStr">
        <is>
          <t>2028-09</t>
        </is>
      </c>
      <c r="B43" s="5" t="inlineStr">
        <is>
          <t>set-2028</t>
        </is>
      </c>
      <c r="C43" s="6" t="n">
        <v>0</v>
      </c>
      <c r="D43" s="6" t="n">
        <v>519365873.61</v>
      </c>
      <c r="E43" s="6" t="n">
        <v>628545.46</v>
      </c>
      <c r="F43" s="6" t="n">
        <v>499973689.81</v>
      </c>
      <c r="G43" s="6" t="n">
        <v>0</v>
      </c>
      <c r="H43" s="6" t="n">
        <v>0</v>
      </c>
      <c r="I43" s="5" t="inlineStr"/>
    </row>
    <row r="44" ht="20" customHeight="1">
      <c r="A44" s="5" t="inlineStr">
        <is>
          <t>2028-10</t>
        </is>
      </c>
      <c r="B44" s="5" t="inlineStr">
        <is>
          <t>ott-2028</t>
        </is>
      </c>
      <c r="C44" s="6" t="n">
        <v>0</v>
      </c>
      <c r="D44" s="6" t="n">
        <v>519365873.61</v>
      </c>
      <c r="E44" s="6" t="n">
        <v>0</v>
      </c>
      <c r="F44" s="6" t="n">
        <v>499973689.81</v>
      </c>
      <c r="G44" s="6" t="n">
        <v>0</v>
      </c>
      <c r="H44" s="6" t="n">
        <v>0</v>
      </c>
      <c r="I44" s="5" t="inlineStr"/>
    </row>
    <row r="45" ht="20" customHeight="1">
      <c r="A45" s="5" t="inlineStr">
        <is>
          <t>2028-11</t>
        </is>
      </c>
      <c r="B45" s="5" t="inlineStr">
        <is>
          <t>nov-2028</t>
        </is>
      </c>
      <c r="C45" s="6" t="n">
        <v>0</v>
      </c>
      <c r="D45" s="6" t="n">
        <v>519365873.61</v>
      </c>
      <c r="E45" s="6" t="n">
        <v>0</v>
      </c>
      <c r="F45" s="6" t="n">
        <v>499973689.81</v>
      </c>
      <c r="G45" s="6" t="n">
        <v>0</v>
      </c>
      <c r="H45" s="6" t="n">
        <v>0</v>
      </c>
      <c r="I45" s="5" t="inlineStr"/>
    </row>
    <row r="46" ht="20" customHeight="1">
      <c r="A46" s="5" t="inlineStr">
        <is>
          <t>2028-12</t>
        </is>
      </c>
      <c r="B46" s="5" t="inlineStr">
        <is>
          <t>dic-2028</t>
        </is>
      </c>
      <c r="C46" s="6" t="n">
        <v>0</v>
      </c>
      <c r="D46" s="6" t="n">
        <v>519365873.61</v>
      </c>
      <c r="E46" s="6" t="n">
        <v>0</v>
      </c>
      <c r="F46" s="6" t="n">
        <v>499973689.81</v>
      </c>
      <c r="G46" s="6" t="n">
        <v>0</v>
      </c>
      <c r="H46" s="6" t="n">
        <v>0</v>
      </c>
      <c r="I46" s="5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2026-05-14T14:26:50Z</dcterms:created>
  <dcterms:modified xmlns:dcterms="http://purl.org/dc/terms/" xmlns:xsi="http://www.w3.org/2001/XMLSchema-instance" xsi:type="dcterms:W3CDTF">2026-05-14T14:26:50Z</dcterms:modified>
</cp:coreProperties>
</file>