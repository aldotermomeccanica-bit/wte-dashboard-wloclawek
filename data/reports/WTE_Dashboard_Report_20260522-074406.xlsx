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port" sheetId="1" state="visible" r:id="rId1"/>
    <sheet xmlns:r="http://schemas.openxmlformats.org/officeDocument/2006/relationships" name="01_Budget_Delta" sheetId="2" state="visible" r:id="rId2"/>
    <sheet xmlns:r="http://schemas.openxmlformats.org/officeDocument/2006/relationships" name="02_PORR_Production" sheetId="3" state="visible" r:id="rId3"/>
    <sheet xmlns:r="http://schemas.openxmlformats.org/officeDocument/2006/relationships" name="03_Milestones" sheetId="4" state="visible" r:id="rId4"/>
    <sheet xmlns:r="http://schemas.openxmlformats.org/officeDocument/2006/relationships" name="04_Orders_3M" sheetId="5" state="visible" r:id="rId5"/>
    <sheet xmlns:r="http://schemas.openxmlformats.org/officeDocument/2006/relationships" name="05_Status_Mix" sheetId="6" state="visible" r:id="rId6"/>
    <sheet xmlns:r="http://schemas.openxmlformats.org/officeDocument/2006/relationships" name="06_S_Curve_Data" sheetId="7" state="visible" r:id="rId7"/>
    <sheet xmlns:r="http://schemas.openxmlformats.org/officeDocument/2006/relationships" name="07_Source_Budget_Delta" sheetId="8" state="visible" r:id="rId8"/>
    <sheet xmlns:r="http://schemas.openxmlformats.org/officeDocument/2006/relationships" name="08_Source_PORR_Production" sheetId="9" state="visible" r:id="rId9"/>
    <sheet xmlns:r="http://schemas.openxmlformats.org/officeDocument/2006/relationships" name="09_Source_Status_Mix" sheetId="10" state="visible" r:id="rId10"/>
    <sheet xmlns:r="http://schemas.openxmlformats.org/officeDocument/2006/relationships" name="10_Source_Orders_3M" sheetId="11" state="visible" r:id="rId11"/>
    <sheet xmlns:r="http://schemas.openxmlformats.org/officeDocument/2006/relationships" name="11_Source_S_Curve_Data" sheetId="12" state="visible" r:id="rId1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#,##0 &quot;PLN&quot;"/>
    <numFmt numFmtId="165" formatCode="0.0%"/>
    <numFmt numFmtId="166" formatCode="yyyy-mm-dd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  <font>
      <b val="1"/>
      <color rgb="00FFFFFF"/>
      <sz val="16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Curva S cumulata</a:t>
            </a:r>
          </a:p>
        </rich>
      </tx>
    </title>
    <plotArea>
      <lineChart>
        <grouping val="standard"/>
        <ser>
          <idx val="0"/>
          <order val="0"/>
          <tx>
            <strRef>
              <f>'11_Source_S_Curve_Data'!D9</f>
            </strRef>
          </tx>
          <spPr>
            <a:ln xmlns:a="http://schemas.openxmlformats.org/drawingml/2006/main" w="26000">
              <a:solidFill>
                <a:srgbClr val="2F68C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'11_Source_S_Curve_Data'!$B$10:$B$46</f>
            </numRef>
          </cat>
          <val>
            <numRef>
              <f>'11_Source_S_Curve_Data'!$D$10:$D$46</f>
            </numRef>
          </val>
        </ser>
        <ser>
          <idx val="1"/>
          <order val="1"/>
          <tx>
            <strRef>
              <f>'11_Source_S_Curve_Data'!F9</f>
            </strRef>
          </tx>
          <spPr>
            <a:ln xmlns:a="http://schemas.openxmlformats.org/drawingml/2006/main" w="26000">
              <a:solidFill>
                <a:srgbClr val="7EA7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'11_Source_S_Curve_Data'!$B$10:$B$46</f>
            </numRef>
          </cat>
          <val>
            <numRef>
              <f>'11_Source_S_Curve_Data'!$F$10:$F$46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Mese</a:t>
                </a:r>
              </a:p>
            </rich>
          </tx>
        </title>
        <majorTickMark val="none"/>
        <minorTickMark val="none"/>
        <tickLblPos val="low"/>
        <crossAx val="100"/>
        <lblOffset val="100"/>
        <tickLblSkip val="2"/>
        <tickMarkSkip val="2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PLN</a:t>
                </a:r>
              </a:p>
            </rich>
          </tx>
        </title>
        <numFmt formatCode="#,##0 &quot;PLN&quot;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Mix ordini diretti (% sul valore)</a:t>
            </a:r>
          </a:p>
        </rich>
      </tx>
    </title>
    <plotArea>
      <pieChart>
        <varyColors val="1"/>
        <ser>
          <idx val="0"/>
          <order val="0"/>
          <tx>
            <strRef>
              <f>'05_Status_Mix'!C1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'05_Status_Mix'!$A$2:$A$4</f>
            </numRef>
          </cat>
          <val>
            <numRef>
              <f>'05_Status_Mix'!$C$2:$C$4</f>
            </numRef>
          </val>
        </ser>
        <dLbls>
          <showPercent val="1"/>
          <showLeaderLines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16</row>
      <rowOff>0</rowOff>
    </from>
    <ext cx="32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N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21" customWidth="1" min="5" max="5"/>
    <col width="10" customWidth="1" min="6" max="6"/>
    <col width="10" customWidth="1" min="7" max="7"/>
    <col width="10" customWidth="1" min="8" max="8"/>
    <col width="10" customWidth="1" min="9" max="9"/>
    <col width="34" customWidth="1" min="10" max="10"/>
    <col width="10" customWidth="1" min="11" max="11"/>
    <col width="10" customWidth="1" min="12" max="12"/>
    <col hidden="1" width="22" customWidth="1" min="13" max="13"/>
    <col hidden="1" width="21" customWidth="1" min="14" max="14"/>
  </cols>
  <sheetData>
    <row r="1" ht="20" customHeight="1">
      <c r="A1" s="1" t="inlineStr">
        <is>
          <t>Wloclawek - Waste-to-Energy Project Dashboard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0" customHeight="1">
      <c r="A2" s="2" t="inlineStr">
        <is>
          <t>Generato: 2026-05-22 07:44</t>
        </is>
      </c>
      <c r="B2" s="2" t="n"/>
      <c r="C2" s="2" t="n"/>
      <c r="D2" s="2" t="n"/>
      <c r="E2" s="2" t="inlineStr">
        <is>
          <t>Budget: Budget.xlsm</t>
        </is>
      </c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20" customHeight="1">
      <c r="A3" s="2" t="inlineStr">
        <is>
          <t>Report aggiornato al momento del download: i dati derivano dai file Excel presenti in data/current.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 ht="20" customHeight="1">
      <c r="A5" s="3" t="inlineStr">
        <is>
          <t>KPI</t>
        </is>
      </c>
      <c r="B5" s="3" t="inlineStr">
        <is>
          <t>Value</t>
        </is>
      </c>
      <c r="C5" s="3" t="inlineStr">
        <is>
          <t>KPI</t>
        </is>
      </c>
      <c r="D5" s="3" t="inlineStr">
        <is>
          <t>Value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inlineStr">
        <is>
          <t>baseline_direct</t>
        </is>
      </c>
      <c r="N5" s="4" t="n">
        <v>501457853</v>
      </c>
    </row>
    <row r="6" ht="20" customHeight="1">
      <c r="A6" s="5" t="inlineStr">
        <is>
          <t>Costi diretti</t>
        </is>
      </c>
      <c r="B6" s="6">
        <f>N5</f>
        <v/>
      </c>
      <c r="C6" s="5" t="inlineStr">
        <is>
          <t>Budget attuale (col. AB)</t>
        </is>
      </c>
      <c r="D6" s="6">
        <f>N6</f>
        <v/>
      </c>
      <c r="E6" s="2" t="n"/>
      <c r="F6" s="2" t="n"/>
      <c r="G6" s="2" t="n"/>
      <c r="H6" s="2" t="n"/>
      <c r="I6" s="2" t="n"/>
      <c r="J6" s="2" t="n"/>
      <c r="K6" s="2" t="n"/>
      <c r="L6" s="2" t="n"/>
      <c r="M6" s="2" t="inlineStr">
        <is>
          <t>updated_direct</t>
        </is>
      </c>
      <c r="N6" s="4" t="n">
        <v>501457853.02</v>
      </c>
    </row>
    <row r="7" ht="20" customHeight="1">
      <c r="A7" s="5" t="inlineStr">
        <is>
          <t>Costi indiretti</t>
        </is>
      </c>
      <c r="B7" s="6">
        <f>N7</f>
        <v/>
      </c>
      <c r="C7" s="5" t="inlineStr">
        <is>
          <t>Delta %</t>
        </is>
      </c>
      <c r="D7" s="6">
        <f>N8</f>
        <v/>
      </c>
      <c r="E7" s="2" t="n"/>
      <c r="F7" s="2" t="n"/>
      <c r="G7" s="2" t="n"/>
      <c r="H7" s="2" t="n"/>
      <c r="I7" s="2" t="n"/>
      <c r="J7" s="2" t="n"/>
      <c r="K7" s="2" t="n"/>
      <c r="L7" s="2" t="n"/>
      <c r="M7" s="2" t="inlineStr">
        <is>
          <t>baseline_indirect</t>
        </is>
      </c>
      <c r="N7" s="4" t="n">
        <v>40355205</v>
      </c>
    </row>
    <row r="8" ht="20" customHeight="1">
      <c r="A8" s="5" t="inlineStr">
        <is>
          <t>Costi garanzia, difetti, imprevisti:</t>
        </is>
      </c>
      <c r="B8" s="6">
        <f>N9</f>
        <v/>
      </c>
      <c r="C8" s="5" t="inlineStr">
        <is>
          <t>Costi garanzia, difetti, imprevisti:</t>
        </is>
      </c>
      <c r="D8" s="6">
        <f>N10</f>
        <v/>
      </c>
      <c r="E8" s="2" t="n"/>
      <c r="F8" s="2" t="n"/>
      <c r="G8" s="2" t="n"/>
      <c r="H8" s="2" t="n"/>
      <c r="I8" s="2" t="n"/>
      <c r="J8" s="2" t="n"/>
      <c r="K8" s="2" t="n"/>
      <c r="L8" s="2" t="n"/>
      <c r="M8" s="2" t="inlineStr">
        <is>
          <t>updated_indirect</t>
        </is>
      </c>
      <c r="N8" s="4" t="n">
        <v>40036817.27</v>
      </c>
    </row>
    <row r="9" ht="20" customHeight="1">
      <c r="A9" s="5" t="inlineStr">
        <is>
          <t>Ricavi base</t>
        </is>
      </c>
      <c r="B9" s="6">
        <f>N11</f>
        <v/>
      </c>
      <c r="C9" s="5" t="inlineStr">
        <is>
          <t>Ricavi base</t>
        </is>
      </c>
      <c r="D9" s="6">
        <f>N12</f>
        <v/>
      </c>
      <c r="E9" s="2" t="n"/>
      <c r="F9" s="2" t="n"/>
      <c r="G9" s="2" t="n"/>
      <c r="H9" s="2" t="n"/>
      <c r="I9" s="2" t="n"/>
      <c r="J9" s="2" t="n"/>
      <c r="K9" s="2" t="n"/>
      <c r="L9" s="2" t="n"/>
      <c r="M9" s="2" t="inlineStr">
        <is>
          <t>baseline_contingency</t>
        </is>
      </c>
      <c r="N9" s="4" t="n">
        <v>22098535</v>
      </c>
    </row>
    <row r="10" ht="20" customHeight="1">
      <c r="A10" s="5" t="inlineStr">
        <is>
          <t>Margine</t>
        </is>
      </c>
      <c r="B10" s="6">
        <f>N13</f>
        <v/>
      </c>
      <c r="C10" s="5" t="inlineStr">
        <is>
          <t>Margine</t>
        </is>
      </c>
      <c r="D10" s="6">
        <f>N14</f>
        <v/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inlineStr">
        <is>
          <t>updated_contingency</t>
        </is>
      </c>
      <c r="N10" s="4" t="n">
        <v>22098535.15</v>
      </c>
    </row>
    <row r="11" ht="20" customHeight="1">
      <c r="A11" s="5" t="inlineStr">
        <is>
          <t>Ordini chiusi ultimi 3 mesi</t>
        </is>
      </c>
      <c r="B11" s="7">
        <f>COUNTIF('04_Orders_3M'!$A:$A,"Closed last 3 months")</f>
        <v/>
      </c>
      <c r="C11" s="5" t="inlineStr">
        <is>
          <t>Prossimi ordini 3 mesi</t>
        </is>
      </c>
      <c r="D11" s="7">
        <f>COUNTIF('04_Orders_3M'!$A:$A,"Next orders 3 months")</f>
        <v/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inlineStr">
        <is>
          <t>baseline_revenue</t>
        </is>
      </c>
      <c r="N11" s="4" t="n">
        <v>627086000</v>
      </c>
    </row>
    <row r="12" ht="20" customHeight="1">
      <c r="A12" s="5" t="inlineStr">
        <is>
          <t>Milestones penalizzate</t>
        </is>
      </c>
      <c r="B12" s="7">
        <f>MAX(COUNTA('03_Milestones'!$B$7:$B$200)-COUNTIF('03_Milestones'!$B$7:$B$200,"Nessun dato disponibile"),0)</f>
        <v/>
      </c>
      <c r="C12" s="5" t="inlineStr">
        <is>
          <t>Da ordinare / Planned</t>
        </is>
      </c>
      <c r="D12" s="6">
        <f>SUMIF('05_Status_Mix'!$A:$A,"Da ordinare",'05_Status_Mix'!$C:$C)</f>
        <v/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inlineStr">
        <is>
          <t>updated_revenue</t>
        </is>
      </c>
      <c r="N12" s="4" t="n">
        <v>627086000</v>
      </c>
    </row>
    <row r="13" ht="20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inlineStr">
        <is>
          <t>baseline_margin</t>
        </is>
      </c>
      <c r="N13" s="4" t="n">
        <v>63174407</v>
      </c>
    </row>
    <row r="14" ht="20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inlineStr">
        <is>
          <t>updated_margin</t>
        </is>
      </c>
      <c r="N14" s="4" t="n">
        <v>63492794.56</v>
      </c>
    </row>
    <row r="15" ht="20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inlineStr">
        <is>
          <t>baseline_pct_costs</t>
        </is>
      </c>
      <c r="N15" s="4" t="n">
        <v>0</v>
      </c>
    </row>
    <row r="16" ht="20" customHeight="1">
      <c r="A16" s="8" t="inlineStr">
        <is>
          <t>Curva S degli ordini rispetto al pianificato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8" t="inlineStr">
        <is>
          <t>Mix ordini diretti - valore e numero pacchetti</t>
        </is>
      </c>
      <c r="K16" s="2" t="n"/>
      <c r="L16" s="2" t="n"/>
      <c r="M16" s="2" t="inlineStr">
        <is>
          <t>updated_pct_costs</t>
        </is>
      </c>
      <c r="N16" s="9">
        <f>IFERROR(N14/N10,0)</f>
        <v/>
      </c>
    </row>
  </sheetData>
  <mergeCells count="2">
    <mergeCell ref="A3:H3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/>
  </sheetPr>
  <dimension ref="A1:H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  <col width="31" customWidth="1" min="4" max="4"/>
    <col width="31" customWidth="1" min="5" max="5"/>
    <col width="31" customWidth="1" min="6" max="6"/>
    <col width="12" customWidth="1" min="7" max="7"/>
    <col width="21" customWidth="1" min="8" max="8"/>
  </cols>
  <sheetData>
    <row r="1" ht="20" customHeight="1">
      <c r="A1" s="10" t="inlineStr">
        <is>
          <t>Budget Delta - Totale e WBS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2" t="inlineStr">
        <is>
          <t>I dati sono linkati al foglio 07_Source_Budget_Delta. Budget 0 = colonna I del Budget; Budget attuale = colonna AB; Delta AB-I e Delta % sono formule.</t>
        </is>
      </c>
      <c r="B2" s="2" t="n"/>
      <c r="C2" s="2" t="n"/>
      <c r="D2" s="2" t="n"/>
      <c r="E2" s="2" t="n"/>
      <c r="F2" s="2" t="n"/>
      <c r="G2" s="2" t="n"/>
      <c r="H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</row>
    <row r="5" ht="20" customHeight="1">
      <c r="A5" s="3" t="inlineStr">
        <is>
          <t>Budget 0 - col. I</t>
        </is>
      </c>
      <c r="B5" s="3" t="inlineStr">
        <is>
          <t>Budget attuale - col. AB</t>
        </is>
      </c>
      <c r="C5" s="3" t="inlineStr">
        <is>
          <t>Delta AB-I</t>
        </is>
      </c>
      <c r="D5" s="3" t="inlineStr">
        <is>
          <t>Delta %</t>
        </is>
      </c>
      <c r="E5" s="2" t="n"/>
      <c r="F5" s="2" t="n"/>
      <c r="G5" s="2" t="n"/>
      <c r="H5" s="2" t="n"/>
    </row>
    <row r="6" ht="20" customHeight="1">
      <c r="A6" s="6">
        <f>'07_Source_Budget_Delta'!B7</f>
        <v/>
      </c>
      <c r="B6" s="6">
        <f>'07_Source_Budget_Delta'!B8</f>
        <v/>
      </c>
      <c r="C6" s="6">
        <f>B6-A6</f>
        <v/>
      </c>
      <c r="D6" s="11">
        <f>IFERROR(C6/A6,0)</f>
        <v/>
      </c>
      <c r="E6" s="2" t="n"/>
      <c r="F6" s="2" t="n"/>
      <c r="G6" s="2" t="n"/>
      <c r="H6" s="2" t="n"/>
    </row>
    <row r="7" ht="20" customHeight="1">
      <c r="A7" s="2" t="n"/>
      <c r="B7" s="2" t="n"/>
      <c r="C7" s="2" t="n"/>
      <c r="D7" s="2" t="n"/>
      <c r="E7" s="2" t="n"/>
      <c r="F7" s="2" t="n"/>
      <c r="G7" s="2" t="n"/>
      <c r="H7" s="2" t="n"/>
    </row>
    <row r="8" ht="20" customHeight="1">
      <c r="A8" s="2" t="n"/>
      <c r="B8" s="2" t="n"/>
      <c r="C8" s="2" t="n"/>
      <c r="D8" s="2" t="n"/>
      <c r="E8" s="2" t="n"/>
      <c r="F8" s="2" t="n"/>
      <c r="G8" s="2" t="n"/>
      <c r="H8" s="2" t="n"/>
    </row>
    <row r="9" ht="20" customHeight="1">
      <c r="A9" s="3" t="inlineStr">
        <is>
          <t>Section</t>
        </is>
      </c>
      <c r="B9" s="3" t="inlineStr">
        <is>
          <t>WBS</t>
        </is>
      </c>
      <c r="C9" s="3" t="inlineStr">
        <is>
          <t>Description PL</t>
        </is>
      </c>
      <c r="D9" s="3" t="inlineStr">
        <is>
          <t>Description EN</t>
        </is>
      </c>
      <c r="E9" s="3" t="inlineStr">
        <is>
          <t>Budget 0 - col. I</t>
        </is>
      </c>
      <c r="F9" s="3" t="inlineStr">
        <is>
          <t>Budget attuale - col. AB</t>
        </is>
      </c>
      <c r="G9" s="3" t="inlineStr">
        <is>
          <t>Delta AB-I</t>
        </is>
      </c>
      <c r="H9" s="3" t="inlineStr">
        <is>
          <t>Delta %</t>
        </is>
      </c>
    </row>
    <row r="10" ht="20" customHeight="1">
      <c r="A10" s="5">
        <f>'07_Source_Budget_Delta'!A12</f>
        <v/>
      </c>
      <c r="B10" s="5">
        <f>'07_Source_Budget_Delta'!B12</f>
        <v/>
      </c>
      <c r="C10" s="5">
        <f>'07_Source_Budget_Delta'!C12</f>
        <v/>
      </c>
      <c r="D10" s="5">
        <f>'07_Source_Budget_Delta'!D12</f>
        <v/>
      </c>
      <c r="E10" s="6">
        <f>'07_Source_Budget_Delta'!E12</f>
        <v/>
      </c>
      <c r="F10" s="6">
        <f>'07_Source_Budget_Delta'!F12</f>
        <v/>
      </c>
      <c r="G10" s="6">
        <f>F10-E10</f>
        <v/>
      </c>
      <c r="H10" s="11">
        <f>IFERROR(G10/E10,0)</f>
        <v/>
      </c>
    </row>
    <row r="11" ht="20" customHeight="1">
      <c r="A11" s="5">
        <f>'07_Source_Budget_Delta'!A13</f>
        <v/>
      </c>
      <c r="B11" s="5">
        <f>'07_Source_Budget_Delta'!B13</f>
        <v/>
      </c>
      <c r="C11" s="5">
        <f>'07_Source_Budget_Delta'!C13</f>
        <v/>
      </c>
      <c r="D11" s="5">
        <f>'07_Source_Budget_Delta'!D13</f>
        <v/>
      </c>
      <c r="E11" s="6">
        <f>'07_Source_Budget_Delta'!E13</f>
        <v/>
      </c>
      <c r="F11" s="6">
        <f>'07_Source_Budget_Delta'!F13</f>
        <v/>
      </c>
      <c r="G11" s="6">
        <f>F11-E11</f>
        <v/>
      </c>
      <c r="H11" s="11">
        <f>IFERROR(G11/E11,0)</f>
        <v/>
      </c>
    </row>
    <row r="12" ht="20" customHeight="1">
      <c r="A12" s="5">
        <f>'07_Source_Budget_Delta'!A14</f>
        <v/>
      </c>
      <c r="B12" s="5">
        <f>'07_Source_Budget_Delta'!B14</f>
        <v/>
      </c>
      <c r="C12" s="5">
        <f>'07_Source_Budget_Delta'!C14</f>
        <v/>
      </c>
      <c r="D12" s="5">
        <f>'07_Source_Budget_Delta'!D14</f>
        <v/>
      </c>
      <c r="E12" s="6">
        <f>'07_Source_Budget_Delta'!E14</f>
        <v/>
      </c>
      <c r="F12" s="6">
        <f>'07_Source_Budget_Delta'!F14</f>
        <v/>
      </c>
      <c r="G12" s="6">
        <f>F12-E12</f>
        <v/>
      </c>
      <c r="H12" s="11">
        <f>IFERROR(G12/E12,0)</f>
        <v/>
      </c>
    </row>
    <row r="13" ht="20" customHeight="1">
      <c r="A13" s="5">
        <f>'07_Source_Budget_Delta'!A15</f>
        <v/>
      </c>
      <c r="B13" s="5">
        <f>'07_Source_Budget_Delta'!B15</f>
        <v/>
      </c>
      <c r="C13" s="5">
        <f>'07_Source_Budget_Delta'!C15</f>
        <v/>
      </c>
      <c r="D13" s="5">
        <f>'07_Source_Budget_Delta'!D15</f>
        <v/>
      </c>
      <c r="E13" s="6">
        <f>'07_Source_Budget_Delta'!E15</f>
        <v/>
      </c>
      <c r="F13" s="6">
        <f>'07_Source_Budget_Delta'!F15</f>
        <v/>
      </c>
      <c r="G13" s="6">
        <f>F13-E13</f>
        <v/>
      </c>
      <c r="H13" s="11">
        <f>IFERROR(G13/E13,0)</f>
        <v/>
      </c>
    </row>
    <row r="14" ht="20" customHeight="1">
      <c r="A14" s="5">
        <f>'07_Source_Budget_Delta'!A16</f>
        <v/>
      </c>
      <c r="B14" s="5">
        <f>'07_Source_Budget_Delta'!B16</f>
        <v/>
      </c>
      <c r="C14" s="5">
        <f>'07_Source_Budget_Delta'!C16</f>
        <v/>
      </c>
      <c r="D14" s="5">
        <f>'07_Source_Budget_Delta'!D16</f>
        <v/>
      </c>
      <c r="E14" s="6">
        <f>'07_Source_Budget_Delta'!E16</f>
        <v/>
      </c>
      <c r="F14" s="6">
        <f>'07_Source_Budget_Delta'!F16</f>
        <v/>
      </c>
      <c r="G14" s="6">
        <f>F14-E14</f>
        <v/>
      </c>
      <c r="H14" s="11">
        <f>IFERROR(G14/E14,0)</f>
        <v/>
      </c>
    </row>
    <row r="15" ht="20" customHeight="1">
      <c r="A15" s="5">
        <f>'07_Source_Budget_Delta'!A17</f>
        <v/>
      </c>
      <c r="B15" s="5">
        <f>'07_Source_Budget_Delta'!B17</f>
        <v/>
      </c>
      <c r="C15" s="5">
        <f>'07_Source_Budget_Delta'!C17</f>
        <v/>
      </c>
      <c r="D15" s="5">
        <f>'07_Source_Budget_Delta'!D17</f>
        <v/>
      </c>
      <c r="E15" s="6">
        <f>'07_Source_Budget_Delta'!E17</f>
        <v/>
      </c>
      <c r="F15" s="6">
        <f>'07_Source_Budget_Delta'!F17</f>
        <v/>
      </c>
      <c r="G15" s="6">
        <f>F15-E15</f>
        <v/>
      </c>
      <c r="H15" s="11">
        <f>IFERROR(G15/E15,0)</f>
        <v/>
      </c>
    </row>
    <row r="16" ht="20" customHeight="1">
      <c r="A16" s="5">
        <f>'07_Source_Budget_Delta'!A18</f>
        <v/>
      </c>
      <c r="B16" s="5">
        <f>'07_Source_Budget_Delta'!B18</f>
        <v/>
      </c>
      <c r="C16" s="5">
        <f>'07_Source_Budget_Delta'!C18</f>
        <v/>
      </c>
      <c r="D16" s="5">
        <f>'07_Source_Budget_Delta'!D18</f>
        <v/>
      </c>
      <c r="E16" s="6">
        <f>'07_Source_Budget_Delta'!E18</f>
        <v/>
      </c>
      <c r="F16" s="6">
        <f>'07_Source_Budget_Delta'!F18</f>
        <v/>
      </c>
      <c r="G16" s="6">
        <f>F16-E16</f>
        <v/>
      </c>
      <c r="H16" s="11">
        <f>IFERROR(G16/E16,0)</f>
        <v/>
      </c>
    </row>
    <row r="17" ht="20" customHeight="1">
      <c r="A17" s="5">
        <f>'07_Source_Budget_Delta'!A19</f>
        <v/>
      </c>
      <c r="B17" s="5">
        <f>'07_Source_Budget_Delta'!B19</f>
        <v/>
      </c>
      <c r="C17" s="5">
        <f>'07_Source_Budget_Delta'!C19</f>
        <v/>
      </c>
      <c r="D17" s="5">
        <f>'07_Source_Budget_Delta'!D19</f>
        <v/>
      </c>
      <c r="E17" s="6">
        <f>'07_Source_Budget_Delta'!E19</f>
        <v/>
      </c>
      <c r="F17" s="6">
        <f>'07_Source_Budget_Delta'!F19</f>
        <v/>
      </c>
      <c r="G17" s="6">
        <f>F17-E17</f>
        <v/>
      </c>
      <c r="H17" s="11">
        <f>IFERROR(G17/E17,0)</f>
        <v/>
      </c>
    </row>
    <row r="18" ht="20" customHeight="1">
      <c r="A18" s="5">
        <f>'07_Source_Budget_Delta'!A20</f>
        <v/>
      </c>
      <c r="B18" s="5">
        <f>'07_Source_Budget_Delta'!B20</f>
        <v/>
      </c>
      <c r="C18" s="5">
        <f>'07_Source_Budget_Delta'!C20</f>
        <v/>
      </c>
      <c r="D18" s="5">
        <f>'07_Source_Budget_Delta'!D20</f>
        <v/>
      </c>
      <c r="E18" s="6">
        <f>'07_Source_Budget_Delta'!E20</f>
        <v/>
      </c>
      <c r="F18" s="6">
        <f>'07_Source_Budget_Delta'!F20</f>
        <v/>
      </c>
      <c r="G18" s="6">
        <f>F18-E18</f>
        <v/>
      </c>
      <c r="H18" s="11">
        <f>IFERROR(G18/E18,0)</f>
        <v/>
      </c>
    </row>
    <row r="19" ht="20" customHeight="1">
      <c r="A19" s="5">
        <f>'07_Source_Budget_Delta'!A21</f>
        <v/>
      </c>
      <c r="B19" s="5">
        <f>'07_Source_Budget_Delta'!B21</f>
        <v/>
      </c>
      <c r="C19" s="5">
        <f>'07_Source_Budget_Delta'!C21</f>
        <v/>
      </c>
      <c r="D19" s="5">
        <f>'07_Source_Budget_Delta'!D21</f>
        <v/>
      </c>
      <c r="E19" s="6">
        <f>'07_Source_Budget_Delta'!E21</f>
        <v/>
      </c>
      <c r="F19" s="6">
        <f>'07_Source_Budget_Delta'!F21</f>
        <v/>
      </c>
      <c r="G19" s="6">
        <f>F19-E19</f>
        <v/>
      </c>
      <c r="H19" s="11">
        <f>IFERROR(G19/E19,0)</f>
        <v/>
      </c>
    </row>
    <row r="20" ht="20" customHeight="1">
      <c r="A20" s="5">
        <f>'07_Source_Budget_Delta'!A22</f>
        <v/>
      </c>
      <c r="B20" s="5">
        <f>'07_Source_Budget_Delta'!B22</f>
        <v/>
      </c>
      <c r="C20" s="5">
        <f>'07_Source_Budget_Delta'!C22</f>
        <v/>
      </c>
      <c r="D20" s="5">
        <f>'07_Source_Budget_Delta'!D22</f>
        <v/>
      </c>
      <c r="E20" s="6">
        <f>'07_Source_Budget_Delta'!E22</f>
        <v/>
      </c>
      <c r="F20" s="6">
        <f>'07_Source_Budget_Delta'!F22</f>
        <v/>
      </c>
      <c r="G20" s="6">
        <f>F20-E20</f>
        <v/>
      </c>
      <c r="H20" s="11">
        <f>IFERROR(G20/E20,0)</f>
        <v/>
      </c>
    </row>
    <row r="21" ht="20" customHeight="1">
      <c r="A21" s="5">
        <f>'07_Source_Budget_Delta'!A23</f>
        <v/>
      </c>
      <c r="B21" s="5">
        <f>'07_Source_Budget_Delta'!B23</f>
        <v/>
      </c>
      <c r="C21" s="5">
        <f>'07_Source_Budget_Delta'!C23</f>
        <v/>
      </c>
      <c r="D21" s="5">
        <f>'07_Source_Budget_Delta'!D23</f>
        <v/>
      </c>
      <c r="E21" s="6">
        <f>'07_Source_Budget_Delta'!E23</f>
        <v/>
      </c>
      <c r="F21" s="6">
        <f>'07_Source_Budget_Delta'!F23</f>
        <v/>
      </c>
      <c r="G21" s="6">
        <f>F21-E21</f>
        <v/>
      </c>
      <c r="H21" s="11">
        <f>IFERROR(G21/E21,0)</f>
        <v/>
      </c>
    </row>
    <row r="22" ht="20" customHeight="1">
      <c r="A22" s="5">
        <f>'07_Source_Budget_Delta'!A24</f>
        <v/>
      </c>
      <c r="B22" s="5">
        <f>'07_Source_Budget_Delta'!B24</f>
        <v/>
      </c>
      <c r="C22" s="5">
        <f>'07_Source_Budget_Delta'!C24</f>
        <v/>
      </c>
      <c r="D22" s="5">
        <f>'07_Source_Budget_Delta'!D24</f>
        <v/>
      </c>
      <c r="E22" s="6">
        <f>'07_Source_Budget_Delta'!E24</f>
        <v/>
      </c>
      <c r="F22" s="6">
        <f>'07_Source_Budget_Delta'!F24</f>
        <v/>
      </c>
      <c r="G22" s="6">
        <f>F22-E22</f>
        <v/>
      </c>
      <c r="H22" s="11">
        <f>IFERROR(G22/E22,0)</f>
        <v/>
      </c>
    </row>
    <row r="23" ht="20" customHeight="1">
      <c r="A23" s="5">
        <f>'07_Source_Budget_Delta'!A25</f>
        <v/>
      </c>
      <c r="B23" s="5">
        <f>'07_Source_Budget_Delta'!B25</f>
        <v/>
      </c>
      <c r="C23" s="5">
        <f>'07_Source_Budget_Delta'!C25</f>
        <v/>
      </c>
      <c r="D23" s="5">
        <f>'07_Source_Budget_Delta'!D25</f>
        <v/>
      </c>
      <c r="E23" s="6">
        <f>'07_Source_Budget_Delta'!E25</f>
        <v/>
      </c>
      <c r="F23" s="6">
        <f>'07_Source_Budget_Delta'!F25</f>
        <v/>
      </c>
      <c r="G23" s="6">
        <f>F23-E23</f>
        <v/>
      </c>
      <c r="H23" s="11">
        <f>IFERROR(G23/E23,0)</f>
        <v/>
      </c>
    </row>
    <row r="24" ht="20" customHeight="1">
      <c r="A24" s="5">
        <f>'07_Source_Budget_Delta'!A26</f>
        <v/>
      </c>
      <c r="B24" s="5">
        <f>'07_Source_Budget_Delta'!B26</f>
        <v/>
      </c>
      <c r="C24" s="5">
        <f>'07_Source_Budget_Delta'!C26</f>
        <v/>
      </c>
      <c r="D24" s="5">
        <f>'07_Source_Budget_Delta'!D26</f>
        <v/>
      </c>
      <c r="E24" s="6">
        <f>'07_Source_Budget_Delta'!E26</f>
        <v/>
      </c>
      <c r="F24" s="6">
        <f>'07_Source_Budget_Delta'!F26</f>
        <v/>
      </c>
      <c r="G24" s="6">
        <f>F24-E24</f>
        <v/>
      </c>
      <c r="H24" s="11">
        <f>IFERROR(G24/E24,0)</f>
        <v/>
      </c>
    </row>
    <row r="25" ht="20" customHeight="1">
      <c r="A25" s="5">
        <f>'07_Source_Budget_Delta'!A27</f>
        <v/>
      </c>
      <c r="B25" s="5">
        <f>'07_Source_Budget_Delta'!B27</f>
        <v/>
      </c>
      <c r="C25" s="5">
        <f>'07_Source_Budget_Delta'!C27</f>
        <v/>
      </c>
      <c r="D25" s="5">
        <f>'07_Source_Budget_Delta'!D27</f>
        <v/>
      </c>
      <c r="E25" s="6">
        <f>'07_Source_Budget_Delta'!E27</f>
        <v/>
      </c>
      <c r="F25" s="6">
        <f>'07_Source_Budget_Delta'!F27</f>
        <v/>
      </c>
      <c r="G25" s="6">
        <f>F25-E25</f>
        <v/>
      </c>
      <c r="H25" s="11">
        <f>IFERROR(G25/E25,0)</f>
        <v/>
      </c>
    </row>
    <row r="26" ht="20" customHeight="1">
      <c r="A26" s="5">
        <f>'07_Source_Budget_Delta'!A28</f>
        <v/>
      </c>
      <c r="B26" s="5">
        <f>'07_Source_Budget_Delta'!B28</f>
        <v/>
      </c>
      <c r="C26" s="5">
        <f>'07_Source_Budget_Delta'!C28</f>
        <v/>
      </c>
      <c r="D26" s="5">
        <f>'07_Source_Budget_Delta'!D28</f>
        <v/>
      </c>
      <c r="E26" s="6">
        <f>'07_Source_Budget_Delta'!E28</f>
        <v/>
      </c>
      <c r="F26" s="6">
        <f>'07_Source_Budget_Delta'!F28</f>
        <v/>
      </c>
      <c r="G26" s="6">
        <f>F26-E26</f>
        <v/>
      </c>
      <c r="H26" s="11">
        <f>IFERROR(G26/E26,0)</f>
        <v/>
      </c>
    </row>
    <row r="27" ht="20" customHeight="1">
      <c r="A27" s="5">
        <f>'07_Source_Budget_Delta'!A29</f>
        <v/>
      </c>
      <c r="B27" s="5">
        <f>'07_Source_Budget_Delta'!B29</f>
        <v/>
      </c>
      <c r="C27" s="5">
        <f>'07_Source_Budget_Delta'!C29</f>
        <v/>
      </c>
      <c r="D27" s="5">
        <f>'07_Source_Budget_Delta'!D29</f>
        <v/>
      </c>
      <c r="E27" s="6">
        <f>'07_Source_Budget_Delta'!E29</f>
        <v/>
      </c>
      <c r="F27" s="6">
        <f>'07_Source_Budget_Delta'!F29</f>
        <v/>
      </c>
      <c r="G27" s="6">
        <f>F27-E27</f>
        <v/>
      </c>
      <c r="H27" s="11">
        <f>IFERROR(G27/E27,0)</f>
        <v/>
      </c>
    </row>
    <row r="28" ht="20" customHeight="1">
      <c r="A28" s="5">
        <f>'07_Source_Budget_Delta'!A30</f>
        <v/>
      </c>
      <c r="B28" s="5">
        <f>'07_Source_Budget_Delta'!B30</f>
        <v/>
      </c>
      <c r="C28" s="5">
        <f>'07_Source_Budget_Delta'!C30</f>
        <v/>
      </c>
      <c r="D28" s="5">
        <f>'07_Source_Budget_Delta'!D30</f>
        <v/>
      </c>
      <c r="E28" s="6">
        <f>'07_Source_Budget_Delta'!E30</f>
        <v/>
      </c>
      <c r="F28" s="6">
        <f>'07_Source_Budget_Delta'!F30</f>
        <v/>
      </c>
      <c r="G28" s="6">
        <f>F28-E28</f>
        <v/>
      </c>
      <c r="H28" s="11">
        <f>IFERROR(G28/E28,0)</f>
        <v/>
      </c>
    </row>
    <row r="29" ht="20" customHeight="1">
      <c r="A29" s="5">
        <f>'07_Source_Budget_Delta'!A31</f>
        <v/>
      </c>
      <c r="B29" s="5">
        <f>'07_Source_Budget_Delta'!B31</f>
        <v/>
      </c>
      <c r="C29" s="5">
        <f>'07_Source_Budget_Delta'!C31</f>
        <v/>
      </c>
      <c r="D29" s="5">
        <f>'07_Source_Budget_Delta'!D31</f>
        <v/>
      </c>
      <c r="E29" s="6">
        <f>'07_Source_Budget_Delta'!E31</f>
        <v/>
      </c>
      <c r="F29" s="6">
        <f>'07_Source_Budget_Delta'!F31</f>
        <v/>
      </c>
      <c r="G29" s="6">
        <f>F29-E29</f>
        <v/>
      </c>
      <c r="H29" s="11">
        <f>IFERROR(G29/E29,0)</f>
        <v/>
      </c>
    </row>
    <row r="30" ht="20" customHeight="1">
      <c r="A30" s="5">
        <f>'07_Source_Budget_Delta'!A32</f>
        <v/>
      </c>
      <c r="B30" s="5">
        <f>'07_Source_Budget_Delta'!B32</f>
        <v/>
      </c>
      <c r="C30" s="5">
        <f>'07_Source_Budget_Delta'!C32</f>
        <v/>
      </c>
      <c r="D30" s="5">
        <f>'07_Source_Budget_Delta'!D32</f>
        <v/>
      </c>
      <c r="E30" s="6">
        <f>'07_Source_Budget_Delta'!E32</f>
        <v/>
      </c>
      <c r="F30" s="6">
        <f>'07_Source_Budget_Delta'!F32</f>
        <v/>
      </c>
      <c r="G30" s="6">
        <f>F30-E30</f>
        <v/>
      </c>
      <c r="H30" s="11">
        <f>IFERROR(G30/E30,0)</f>
        <v/>
      </c>
    </row>
    <row r="31" ht="20" customHeight="1">
      <c r="A31" s="5">
        <f>'07_Source_Budget_Delta'!A33</f>
        <v/>
      </c>
      <c r="B31" s="5">
        <f>'07_Source_Budget_Delta'!B33</f>
        <v/>
      </c>
      <c r="C31" s="5">
        <f>'07_Source_Budget_Delta'!C33</f>
        <v/>
      </c>
      <c r="D31" s="5">
        <f>'07_Source_Budget_Delta'!D33</f>
        <v/>
      </c>
      <c r="E31" s="6">
        <f>'07_Source_Budget_Delta'!E33</f>
        <v/>
      </c>
      <c r="F31" s="6">
        <f>'07_Source_Budget_Delta'!F33</f>
        <v/>
      </c>
      <c r="G31" s="6">
        <f>F31-E31</f>
        <v/>
      </c>
      <c r="H31" s="11">
        <f>IFERROR(G31/E31,0)</f>
        <v/>
      </c>
    </row>
    <row r="32" ht="20" customHeight="1">
      <c r="A32" s="5">
        <f>'07_Source_Budget_Delta'!A34</f>
        <v/>
      </c>
      <c r="B32" s="5">
        <f>'07_Source_Budget_Delta'!B34</f>
        <v/>
      </c>
      <c r="C32" s="5">
        <f>'07_Source_Budget_Delta'!C34</f>
        <v/>
      </c>
      <c r="D32" s="5">
        <f>'07_Source_Budget_Delta'!D34</f>
        <v/>
      </c>
      <c r="E32" s="6">
        <f>'07_Source_Budget_Delta'!E34</f>
        <v/>
      </c>
      <c r="F32" s="6">
        <f>'07_Source_Budget_Delta'!F34</f>
        <v/>
      </c>
      <c r="G32" s="6">
        <f>F32-E32</f>
        <v/>
      </c>
      <c r="H32" s="11">
        <f>IFERROR(G32/E32,0)</f>
        <v/>
      </c>
    </row>
    <row r="33" ht="20" customHeight="1">
      <c r="A33" s="5">
        <f>'07_Source_Budget_Delta'!A35</f>
        <v/>
      </c>
      <c r="B33" s="5">
        <f>'07_Source_Budget_Delta'!B35</f>
        <v/>
      </c>
      <c r="C33" s="5">
        <f>'07_Source_Budget_Delta'!C35</f>
        <v/>
      </c>
      <c r="D33" s="5">
        <f>'07_Source_Budget_Delta'!D35</f>
        <v/>
      </c>
      <c r="E33" s="6">
        <f>'07_Source_Budget_Delta'!E35</f>
        <v/>
      </c>
      <c r="F33" s="6">
        <f>'07_Source_Budget_Delta'!F35</f>
        <v/>
      </c>
      <c r="G33" s="6">
        <f>F33-E33</f>
        <v/>
      </c>
      <c r="H33" s="11">
        <f>IFERROR(G33/E33,0)</f>
        <v/>
      </c>
    </row>
    <row r="34" ht="20" customHeight="1">
      <c r="A34" s="5">
        <f>'07_Source_Budget_Delta'!A36</f>
        <v/>
      </c>
      <c r="B34" s="5">
        <f>'07_Source_Budget_Delta'!B36</f>
        <v/>
      </c>
      <c r="C34" s="5">
        <f>'07_Source_Budget_Delta'!C36</f>
        <v/>
      </c>
      <c r="D34" s="5">
        <f>'07_Source_Budget_Delta'!D36</f>
        <v/>
      </c>
      <c r="E34" s="6">
        <f>'07_Source_Budget_Delta'!E36</f>
        <v/>
      </c>
      <c r="F34" s="6">
        <f>'07_Source_Budget_Delta'!F36</f>
        <v/>
      </c>
      <c r="G34" s="6">
        <f>F34-E34</f>
        <v/>
      </c>
      <c r="H34" s="11">
        <f>IFERROR(G34/E34,0)</f>
        <v/>
      </c>
    </row>
    <row r="35" ht="20" customHeight="1">
      <c r="A35" s="5">
        <f>'07_Source_Budget_Delta'!A37</f>
        <v/>
      </c>
      <c r="B35" s="5">
        <f>'07_Source_Budget_Delta'!B37</f>
        <v/>
      </c>
      <c r="C35" s="5">
        <f>'07_Source_Budget_Delta'!C37</f>
        <v/>
      </c>
      <c r="D35" s="5">
        <f>'07_Source_Budget_Delta'!D37</f>
        <v/>
      </c>
      <c r="E35" s="6">
        <f>'07_Source_Budget_Delta'!E37</f>
        <v/>
      </c>
      <c r="F35" s="6">
        <f>'07_Source_Budget_Delta'!F37</f>
        <v/>
      </c>
      <c r="G35" s="6">
        <f>F35-E35</f>
        <v/>
      </c>
      <c r="H35" s="11">
        <f>IFERROR(G35/E35,0)</f>
        <v/>
      </c>
    </row>
  </sheetData>
  <mergeCells count="2">
    <mergeCell ref="A2:H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C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6" customWidth="1" min="3" max="3"/>
  </cols>
  <sheetData>
    <row r="1" ht="20" customHeight="1">
      <c r="A1" s="3" t="inlineStr">
        <is>
          <t>Month</t>
        </is>
      </c>
      <c r="B1" s="3" t="inlineStr">
        <is>
          <t>PORR declared production / Budget monthly</t>
        </is>
      </c>
      <c r="C1" s="3" t="inlineStr">
        <is>
          <t>Cumulative</t>
        </is>
      </c>
    </row>
    <row r="2" ht="20" customHeight="1">
      <c r="A2" s="5">
        <f>'08_Source_PORR_Production'!A7</f>
        <v/>
      </c>
      <c r="B2" s="6">
        <f>'08_Source_PORR_Production'!B7</f>
        <v/>
      </c>
      <c r="C2" s="6">
        <f>SUM($B$2:B2)</f>
        <v/>
      </c>
    </row>
    <row r="3" ht="20" customHeight="1">
      <c r="A3" s="5">
        <f>'08_Source_PORR_Production'!A8</f>
        <v/>
      </c>
      <c r="B3" s="6">
        <f>'08_Source_PORR_Production'!B8</f>
        <v/>
      </c>
      <c r="C3" s="6">
        <f>SUM($B$2:B3)</f>
        <v/>
      </c>
    </row>
    <row r="4" ht="20" customHeight="1">
      <c r="A4" s="5">
        <f>'08_Source_PORR_Production'!A9</f>
        <v/>
      </c>
      <c r="B4" s="6">
        <f>'08_Source_PORR_Production'!B9</f>
        <v/>
      </c>
      <c r="C4" s="6">
        <f>SUM($B$2:B4)</f>
        <v/>
      </c>
    </row>
    <row r="5" ht="20" customHeight="1">
      <c r="A5" s="5">
        <f>'08_Source_PORR_Production'!A10</f>
        <v/>
      </c>
      <c r="B5" s="6">
        <f>'08_Source_PORR_Production'!B10</f>
        <v/>
      </c>
      <c r="C5" s="6">
        <f>SUM($B$2:B5)</f>
        <v/>
      </c>
    </row>
    <row r="6" ht="20" customHeight="1">
      <c r="A6" s="5">
        <f>'08_Source_PORR_Production'!A11</f>
        <v/>
      </c>
      <c r="B6" s="6">
        <f>'08_Source_PORR_Production'!B11</f>
        <v/>
      </c>
      <c r="C6" s="6">
        <f>SUM($B$2:B6)</f>
        <v/>
      </c>
    </row>
    <row r="7" ht="20" customHeight="1">
      <c r="A7" s="5">
        <f>'08_Source_PORR_Production'!A12</f>
        <v/>
      </c>
      <c r="B7" s="6">
        <f>'08_Source_PORR_Production'!B12</f>
        <v/>
      </c>
      <c r="C7" s="6">
        <f>SUM($B$2:B7)</f>
        <v/>
      </c>
    </row>
    <row r="8" ht="20" customHeight="1">
      <c r="A8" s="5">
        <f>'08_Source_PORR_Production'!A13</f>
        <v/>
      </c>
      <c r="B8" s="6">
        <f>'08_Source_PORR_Production'!B13</f>
        <v/>
      </c>
      <c r="C8" s="6">
        <f>SUM($B$2:B8)</f>
        <v/>
      </c>
    </row>
    <row r="9" ht="20" customHeight="1">
      <c r="A9" s="5">
        <f>'08_Source_PORR_Production'!A14</f>
        <v/>
      </c>
      <c r="B9" s="6">
        <f>'08_Source_PORR_Production'!B14</f>
        <v/>
      </c>
      <c r="C9" s="6">
        <f>SUM($B$2:B9)</f>
        <v/>
      </c>
    </row>
    <row r="10" ht="20" customHeight="1">
      <c r="A10" s="5">
        <f>'08_Source_PORR_Production'!A15</f>
        <v/>
      </c>
      <c r="B10" s="6">
        <f>'08_Source_PORR_Production'!B15</f>
        <v/>
      </c>
      <c r="C10" s="6">
        <f>SUM($B$2:B10)</f>
        <v/>
      </c>
    </row>
    <row r="11" ht="20" customHeight="1">
      <c r="A11" s="5">
        <f>'08_Source_PORR_Production'!A16</f>
        <v/>
      </c>
      <c r="B11" s="6">
        <f>'08_Source_PORR_Production'!B16</f>
        <v/>
      </c>
      <c r="C11" s="6">
        <f>SUM($B$2:B11)</f>
        <v/>
      </c>
    </row>
    <row r="12" ht="20" customHeight="1">
      <c r="A12" s="5">
        <f>'08_Source_PORR_Production'!A17</f>
        <v/>
      </c>
      <c r="B12" s="6">
        <f>'08_Source_PORR_Production'!B17</f>
        <v/>
      </c>
      <c r="C12" s="6">
        <f>SUM($B$2:B12)</f>
        <v/>
      </c>
    </row>
    <row r="13" ht="20" customHeight="1">
      <c r="A13" s="5">
        <f>'08_Source_PORR_Production'!A18</f>
        <v/>
      </c>
      <c r="B13" s="6">
        <f>'08_Source_PORR_Production'!B18</f>
        <v/>
      </c>
      <c r="C13" s="6">
        <f>SUM($B$2:B13)</f>
        <v/>
      </c>
    </row>
    <row r="14" ht="20" customHeight="1">
      <c r="A14" s="5">
        <f>'08_Source_PORR_Production'!A19</f>
        <v/>
      </c>
      <c r="B14" s="6">
        <f>'08_Source_PORR_Production'!B19</f>
        <v/>
      </c>
      <c r="C14" s="6">
        <f>SUM($B$2:B14)</f>
        <v/>
      </c>
    </row>
    <row r="15" ht="20" customHeight="1">
      <c r="A15" s="5">
        <f>'08_Source_PORR_Production'!A20</f>
        <v/>
      </c>
      <c r="B15" s="6">
        <f>'08_Source_PORR_Production'!B20</f>
        <v/>
      </c>
      <c r="C15" s="6">
        <f>SUM($B$2:B15)</f>
        <v/>
      </c>
    </row>
    <row r="16" ht="20" customHeight="1">
      <c r="A16" s="5">
        <f>'08_Source_PORR_Production'!A21</f>
        <v/>
      </c>
      <c r="B16" s="6">
        <f>'08_Source_PORR_Production'!B21</f>
        <v/>
      </c>
      <c r="C16" s="6">
        <f>SUM($B$2:B16)</f>
        <v/>
      </c>
    </row>
    <row r="17" ht="20" customHeight="1">
      <c r="A17" s="5">
        <f>'08_Source_PORR_Production'!A22</f>
        <v/>
      </c>
      <c r="B17" s="6">
        <f>'08_Source_PORR_Production'!B22</f>
        <v/>
      </c>
      <c r="C17" s="6">
        <f>SUM($B$2:B17)</f>
        <v/>
      </c>
    </row>
    <row r="18" ht="20" customHeight="1">
      <c r="A18" s="5">
        <f>'08_Source_PORR_Production'!A23</f>
        <v/>
      </c>
      <c r="B18" s="6">
        <f>'08_Source_PORR_Production'!B23</f>
        <v/>
      </c>
      <c r="C18" s="6">
        <f>SUM($B$2:B18)</f>
        <v/>
      </c>
    </row>
    <row r="19" ht="20" customHeight="1">
      <c r="A19" s="5">
        <f>'08_Source_PORR_Production'!A24</f>
        <v/>
      </c>
      <c r="B19" s="6">
        <f>'08_Source_PORR_Production'!B24</f>
        <v/>
      </c>
      <c r="C19" s="6">
        <f>SUM($B$2:B19)</f>
        <v/>
      </c>
    </row>
    <row r="20" ht="20" customHeight="1">
      <c r="A20" s="5">
        <f>'08_Source_PORR_Production'!A25</f>
        <v/>
      </c>
      <c r="B20" s="6">
        <f>'08_Source_PORR_Production'!B25</f>
        <v/>
      </c>
      <c r="C20" s="6">
        <f>SUM($B$2:B20)</f>
        <v/>
      </c>
    </row>
    <row r="21" ht="20" customHeight="1">
      <c r="A21" s="5">
        <f>'08_Source_PORR_Production'!A26</f>
        <v/>
      </c>
      <c r="B21" s="6">
        <f>'08_Source_PORR_Production'!B26</f>
        <v/>
      </c>
      <c r="C21" s="6">
        <f>SUM($B$2:B21)</f>
        <v/>
      </c>
    </row>
    <row r="22" ht="20" customHeight="1">
      <c r="A22" s="5">
        <f>'08_Source_PORR_Production'!A27</f>
        <v/>
      </c>
      <c r="B22" s="6">
        <f>'08_Source_PORR_Production'!B27</f>
        <v/>
      </c>
      <c r="C22" s="6">
        <f>SUM($B$2:B22)</f>
        <v/>
      </c>
    </row>
    <row r="23" ht="20" customHeight="1">
      <c r="A23" s="5">
        <f>'08_Source_PORR_Production'!A28</f>
        <v/>
      </c>
      <c r="B23" s="6">
        <f>'08_Source_PORR_Production'!B28</f>
        <v/>
      </c>
      <c r="C23" s="6">
        <f>SUM($B$2:B23)</f>
        <v/>
      </c>
    </row>
    <row r="24" ht="20" customHeight="1">
      <c r="A24" s="5">
        <f>'08_Source_PORR_Production'!A29</f>
        <v/>
      </c>
      <c r="B24" s="6">
        <f>'08_Source_PORR_Production'!B29</f>
        <v/>
      </c>
      <c r="C24" s="6">
        <f>SUM($B$2:B24)</f>
        <v/>
      </c>
    </row>
    <row r="25" ht="20" customHeight="1">
      <c r="A25" s="5">
        <f>'08_Source_PORR_Production'!A30</f>
        <v/>
      </c>
      <c r="B25" s="6">
        <f>'08_Source_PORR_Production'!B30</f>
        <v/>
      </c>
      <c r="C25" s="6">
        <f>SUM($B$2:B25)</f>
        <v/>
      </c>
    </row>
    <row r="26" ht="20" customHeight="1">
      <c r="A26" s="5">
        <f>'08_Source_PORR_Production'!A31</f>
        <v/>
      </c>
      <c r="B26" s="6">
        <f>'08_Source_PORR_Production'!B31</f>
        <v/>
      </c>
      <c r="C26" s="6">
        <f>SUM($B$2:B26)</f>
        <v/>
      </c>
    </row>
    <row r="27" ht="20" customHeight="1">
      <c r="A27" s="5">
        <f>'08_Source_PORR_Production'!A32</f>
        <v/>
      </c>
      <c r="B27" s="6">
        <f>'08_Source_PORR_Production'!B32</f>
        <v/>
      </c>
      <c r="C27" s="6">
        <f>SUM($B$2:B27)</f>
        <v/>
      </c>
    </row>
    <row r="28" ht="20" customHeight="1">
      <c r="A28" s="5">
        <f>'08_Source_PORR_Production'!A33</f>
        <v/>
      </c>
      <c r="B28" s="6">
        <f>'08_Source_PORR_Production'!B33</f>
        <v/>
      </c>
      <c r="C28" s="6">
        <f>SUM($B$2:B28)</f>
        <v/>
      </c>
    </row>
    <row r="29" ht="20" customHeight="1">
      <c r="A29" s="5">
        <f>'08_Source_PORR_Production'!A34</f>
        <v/>
      </c>
      <c r="B29" s="6">
        <f>'08_Source_PORR_Production'!B34</f>
        <v/>
      </c>
      <c r="C29" s="6">
        <f>SUM($B$2:B29)</f>
        <v/>
      </c>
    </row>
    <row r="30" ht="20" customHeight="1">
      <c r="A30" s="5">
        <f>'08_Source_PORR_Production'!A35</f>
        <v/>
      </c>
      <c r="B30" s="6">
        <f>'08_Source_PORR_Production'!B35</f>
        <v/>
      </c>
      <c r="C30" s="6">
        <f>SUM($B$2:B30)</f>
        <v/>
      </c>
    </row>
    <row r="31" ht="20" customHeight="1">
      <c r="A31" s="5">
        <f>'08_Source_PORR_Production'!A36</f>
        <v/>
      </c>
      <c r="B31" s="6">
        <f>'08_Source_PORR_Production'!B36</f>
        <v/>
      </c>
      <c r="C31" s="6">
        <f>SUM($B$2:B31)</f>
        <v/>
      </c>
    </row>
    <row r="32" ht="20" customHeight="1">
      <c r="A32" s="5">
        <f>'08_Source_PORR_Production'!A37</f>
        <v/>
      </c>
      <c r="B32" s="6">
        <f>'08_Source_PORR_Production'!B37</f>
        <v/>
      </c>
      <c r="C32" s="6">
        <f>SUM($B$2:B32)</f>
        <v/>
      </c>
    </row>
    <row r="33" ht="20" customHeight="1">
      <c r="A33" s="5">
        <f>'08_Source_PORR_Production'!A38</f>
        <v/>
      </c>
      <c r="B33" s="6">
        <f>'08_Source_PORR_Production'!B38</f>
        <v/>
      </c>
      <c r="C33" s="6">
        <f>SUM($B$2:B33)</f>
        <v/>
      </c>
    </row>
    <row r="34" ht="20" customHeight="1">
      <c r="A34" s="5">
        <f>'08_Source_PORR_Production'!A39</f>
        <v/>
      </c>
      <c r="B34" s="6">
        <f>'08_Source_PORR_Production'!B39</f>
        <v/>
      </c>
      <c r="C34" s="6">
        <f>SUM($B$2:B34)</f>
        <v/>
      </c>
    </row>
    <row r="35" ht="20" customHeight="1">
      <c r="A35" s="5">
        <f>'08_Source_PORR_Production'!A40</f>
        <v/>
      </c>
      <c r="B35" s="6">
        <f>'08_Source_PORR_Production'!B40</f>
        <v/>
      </c>
      <c r="C35" s="6">
        <f>SUM($B$2:B35)</f>
        <v/>
      </c>
    </row>
    <row r="36" ht="20" customHeight="1">
      <c r="A36" s="5">
        <f>'08_Source_PORR_Production'!A41</f>
        <v/>
      </c>
      <c r="B36" s="6">
        <f>'08_Source_PORR_Production'!B41</f>
        <v/>
      </c>
      <c r="C36" s="6">
        <f>SUM($B$2:B36)</f>
        <v/>
      </c>
    </row>
    <row r="37" ht="20" customHeight="1">
      <c r="A37" s="5">
        <f>'08_Source_PORR_Production'!A42</f>
        <v/>
      </c>
      <c r="B37" s="6">
        <f>'08_Source_PORR_Production'!B42</f>
        <v/>
      </c>
      <c r="C37" s="6">
        <f>SUM($B$2:B37)</f>
        <v/>
      </c>
    </row>
    <row r="38" ht="20" customHeight="1">
      <c r="A38" s="5">
        <f>'08_Source_PORR_Production'!A43</f>
        <v/>
      </c>
      <c r="B38" s="6">
        <f>'08_Source_PORR_Production'!B43</f>
        <v/>
      </c>
      <c r="C38" s="6">
        <f>SUM($B$2:B38)</f>
        <v/>
      </c>
    </row>
    <row r="39" ht="20" customHeight="1">
      <c r="A39" s="2" t="n"/>
      <c r="B39" s="2" t="n"/>
      <c r="C39" s="2" t="n"/>
    </row>
    <row r="40" ht="20" customHeight="1">
      <c r="A40" s="2" t="n"/>
      <c r="B40" s="2" t="n"/>
      <c r="C40" s="2" t="n"/>
    </row>
    <row r="41" ht="20" customHeight="1">
      <c r="A41" s="3" t="inlineStr">
        <is>
          <t>Year</t>
        </is>
      </c>
      <c r="B41" s="3" t="inlineStr">
        <is>
          <t>Annual total declared</t>
        </is>
      </c>
      <c r="C41" s="2" t="n"/>
    </row>
    <row r="42" ht="20" customHeight="1">
      <c r="A42" s="5" t="n">
        <v>2025</v>
      </c>
      <c r="B42" s="6">
        <f>SUMIFS($B$2:$B$38,$A$2:$A$38,"*2025*")</f>
        <v/>
      </c>
      <c r="C42" s="2" t="n"/>
    </row>
    <row r="43" ht="20" customHeight="1">
      <c r="A43" s="5" t="n">
        <v>2026</v>
      </c>
      <c r="B43" s="6">
        <f>SUMIFS($B$2:$B$38,$A$2:$A$38,"*2026*")</f>
        <v/>
      </c>
      <c r="C43" s="2" t="n"/>
    </row>
    <row r="44" ht="20" customHeight="1">
      <c r="A44" s="5" t="n">
        <v>2027</v>
      </c>
      <c r="B44" s="6">
        <f>SUMIFS($B$2:$B$38,$A$2:$A$38,"*2027*")</f>
        <v/>
      </c>
      <c r="C44" s="2" t="n"/>
    </row>
    <row r="45" ht="20" customHeight="1">
      <c r="A45" s="5" t="n">
        <v>2028</v>
      </c>
      <c r="B45" s="6">
        <f>SUMIFS($B$2:$B$38,$A$2:$A$38,"*2028*")</f>
        <v/>
      </c>
      <c r="C45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2" customWidth="1" min="3" max="3"/>
    <col width="13" customWidth="1" min="4" max="4"/>
  </cols>
  <sheetData>
    <row r="1" ht="20" customHeight="1">
      <c r="A1" s="12" t="inlineStr">
        <is>
          <t>Nota logica</t>
        </is>
      </c>
      <c r="B1" s="2" t="n"/>
      <c r="C1" s="2" t="n"/>
      <c r="D1" s="2" t="n"/>
    </row>
    <row r="2" ht="20" customHeight="1">
      <c r="A2" s="2" t="inlineStr">
        <is>
          <t>Le milestone qui riportate sono considerate “penalizzate” perché sono classificate nella sezione “Milestones penalizzate” del file Programma Wloclawek_Milestones.xlsx. Non è un calcolo automatico della penale scattata: indica milestone contrattualmente soggette a penale / penalizzabili.</t>
        </is>
      </c>
      <c r="B2" s="2" t="n"/>
      <c r="C2" s="2" t="n"/>
      <c r="D2" s="2" t="n"/>
    </row>
    <row r="3" ht="20" customHeight="1">
      <c r="A3" s="2" t="n"/>
      <c r="B3" s="2" t="n"/>
      <c r="C3" s="2" t="n"/>
      <c r="D3" s="2" t="n"/>
    </row>
    <row r="4" ht="20" customHeight="1">
      <c r="A4" s="2" t="n"/>
      <c r="B4" s="2" t="n"/>
      <c r="C4" s="2" t="n"/>
      <c r="D4" s="2" t="n"/>
    </row>
    <row r="5" ht="20" customHeight="1">
      <c r="A5" s="2" t="n"/>
      <c r="B5" s="2" t="n"/>
      <c r="C5" s="2" t="n"/>
      <c r="D5" s="2" t="n"/>
    </row>
    <row r="6" ht="20" customHeight="1">
      <c r="A6" s="3" t="inlineStr">
        <is>
          <t>No.</t>
        </is>
      </c>
      <c r="B6" s="3" t="inlineStr">
        <is>
          <t>Milestone</t>
        </is>
      </c>
      <c r="C6" s="3" t="inlineStr">
        <is>
          <t>Start date</t>
        </is>
      </c>
      <c r="D6" s="3" t="inlineStr">
        <is>
          <t>Finish date</t>
        </is>
      </c>
    </row>
    <row r="7" ht="20" customHeight="1">
      <c r="A7" s="5" t="n">
        <v>1</v>
      </c>
      <c r="B7" s="5" t="inlineStr">
        <is>
          <t>Water pressure test</t>
        </is>
      </c>
      <c r="C7" s="13" t="n">
        <v>46676</v>
      </c>
      <c r="D7" s="13" t="n">
        <v>46676</v>
      </c>
    </row>
    <row r="8" ht="20" customHeight="1">
      <c r="A8" s="5" t="n">
        <v>2</v>
      </c>
      <c r="B8" s="5" t="inlineStr">
        <is>
          <t>Placement of the turbo-generator on the foundation</t>
        </is>
      </c>
      <c r="C8" s="13" t="n">
        <v>46646</v>
      </c>
      <c r="D8" s="13" t="n">
        <v>46646</v>
      </c>
    </row>
    <row r="9" ht="20" customHeight="1">
      <c r="A9" s="5" t="n">
        <v>3</v>
      </c>
      <c r="B9" s="5" t="inlineStr">
        <is>
          <t>Measurement of guaranteed parameters A</t>
        </is>
      </c>
      <c r="C9" s="13" t="n">
        <v>46927</v>
      </c>
      <c r="D9" s="13" t="n">
        <v>46927</v>
      </c>
    </row>
    <row r="10" ht="20" customHeight="1">
      <c r="A10" s="5" t="n">
        <v>4</v>
      </c>
      <c r="B10" s="5" t="inlineStr">
        <is>
          <t>Handover of the ITPO project to operation</t>
        </is>
      </c>
      <c r="C10" s="13" t="n">
        <v>46934</v>
      </c>
      <c r="D10" s="13" t="n">
        <v>46934</v>
      </c>
    </row>
  </sheetData>
  <mergeCells count="1">
    <mergeCell ref="A2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  <col width="29" customWidth="1" min="4" max="4"/>
    <col width="29" customWidth="1" min="5" max="5"/>
    <col width="29" customWidth="1" min="6" max="6"/>
    <col width="29" customWidth="1" min="7" max="7"/>
  </cols>
  <sheetData>
    <row r="1" ht="20" customHeight="1">
      <c r="A1" s="3" t="inlineStr">
        <is>
          <t>Type</t>
        </is>
      </c>
      <c r="B1" s="3" t="inlineStr">
        <is>
          <t>WBS</t>
        </is>
      </c>
      <c r="C1" s="3" t="inlineStr">
        <is>
          <t>Package</t>
        </is>
      </c>
      <c r="D1" s="3" t="inlineStr">
        <is>
          <t>Status</t>
        </is>
      </c>
      <c r="E1" s="3" t="inlineStr">
        <is>
          <t>Date</t>
        </is>
      </c>
      <c r="F1" s="3" t="inlineStr">
        <is>
          <t>Value</t>
        </is>
      </c>
      <c r="G1" s="3" t="inlineStr">
        <is>
          <t>Buyer</t>
        </is>
      </c>
    </row>
    <row r="2" ht="20" customHeight="1">
      <c r="A2" s="5">
        <f>'10_Source_Orders_3M'!A2</f>
        <v/>
      </c>
      <c r="B2" s="5">
        <f>'10_Source_Orders_3M'!B2</f>
        <v/>
      </c>
      <c r="C2" s="5">
        <f>'10_Source_Orders_3M'!C2</f>
        <v/>
      </c>
      <c r="D2" s="5">
        <f>'10_Source_Orders_3M'!D2</f>
        <v/>
      </c>
      <c r="E2" s="13">
        <f>'10_Source_Orders_3M'!E2</f>
        <v/>
      </c>
      <c r="F2" s="6">
        <f>'10_Source_Orders_3M'!F2</f>
        <v/>
      </c>
      <c r="G2" s="5">
        <f>'10_Source_Orders_3M'!G2</f>
        <v/>
      </c>
    </row>
    <row r="3" ht="20" customHeight="1">
      <c r="A3" s="5">
        <f>'10_Source_Orders_3M'!A3</f>
        <v/>
      </c>
      <c r="B3" s="5">
        <f>'10_Source_Orders_3M'!B3</f>
        <v/>
      </c>
      <c r="C3" s="5">
        <f>'10_Source_Orders_3M'!C3</f>
        <v/>
      </c>
      <c r="D3" s="5">
        <f>'10_Source_Orders_3M'!D3</f>
        <v/>
      </c>
      <c r="E3" s="13">
        <f>'10_Source_Orders_3M'!E3</f>
        <v/>
      </c>
      <c r="F3" s="6">
        <f>'10_Source_Orders_3M'!F3</f>
        <v/>
      </c>
      <c r="G3" s="5">
        <f>'10_Source_Orders_3M'!G3</f>
        <v/>
      </c>
    </row>
    <row r="4" ht="20" customHeight="1">
      <c r="A4" s="5">
        <f>'10_Source_Orders_3M'!A4</f>
        <v/>
      </c>
      <c r="B4" s="5">
        <f>'10_Source_Orders_3M'!B4</f>
        <v/>
      </c>
      <c r="C4" s="5">
        <f>'10_Source_Orders_3M'!C4</f>
        <v/>
      </c>
      <c r="D4" s="5">
        <f>'10_Source_Orders_3M'!D4</f>
        <v/>
      </c>
      <c r="E4" s="13">
        <f>'10_Source_Orders_3M'!E4</f>
        <v/>
      </c>
      <c r="F4" s="6">
        <f>'10_Source_Orders_3M'!F4</f>
        <v/>
      </c>
      <c r="G4" s="5">
        <f>'10_Source_Orders_3M'!G4</f>
        <v/>
      </c>
    </row>
    <row r="5" ht="20" customHeight="1">
      <c r="A5" s="5">
        <f>'10_Source_Orders_3M'!A5</f>
        <v/>
      </c>
      <c r="B5" s="5">
        <f>'10_Source_Orders_3M'!B5</f>
        <v/>
      </c>
      <c r="C5" s="5">
        <f>'10_Source_Orders_3M'!C5</f>
        <v/>
      </c>
      <c r="D5" s="5">
        <f>'10_Source_Orders_3M'!D5</f>
        <v/>
      </c>
      <c r="E5" s="13">
        <f>'10_Source_Orders_3M'!E5</f>
        <v/>
      </c>
      <c r="F5" s="6">
        <f>'10_Source_Orders_3M'!F5</f>
        <v/>
      </c>
      <c r="G5" s="5">
        <f>'10_Source_Orders_3M'!G5</f>
        <v/>
      </c>
    </row>
    <row r="6" ht="20" customHeight="1">
      <c r="A6" s="5">
        <f>'10_Source_Orders_3M'!A6</f>
        <v/>
      </c>
      <c r="B6" s="5">
        <f>'10_Source_Orders_3M'!B6</f>
        <v/>
      </c>
      <c r="C6" s="5">
        <f>'10_Source_Orders_3M'!C6</f>
        <v/>
      </c>
      <c r="D6" s="5">
        <f>'10_Source_Orders_3M'!D6</f>
        <v/>
      </c>
      <c r="E6" s="13">
        <f>'10_Source_Orders_3M'!E6</f>
        <v/>
      </c>
      <c r="F6" s="6">
        <f>'10_Source_Orders_3M'!F6</f>
        <v/>
      </c>
      <c r="G6" s="5">
        <f>'10_Source_Orders_3M'!G6</f>
        <v/>
      </c>
    </row>
    <row r="7" ht="20" customHeight="1">
      <c r="A7" s="5">
        <f>'10_Source_Orders_3M'!A7</f>
        <v/>
      </c>
      <c r="B7" s="5">
        <f>'10_Source_Orders_3M'!B7</f>
        <v/>
      </c>
      <c r="C7" s="5">
        <f>'10_Source_Orders_3M'!C7</f>
        <v/>
      </c>
      <c r="D7" s="5">
        <f>'10_Source_Orders_3M'!D7</f>
        <v/>
      </c>
      <c r="E7" s="13">
        <f>'10_Source_Orders_3M'!E7</f>
        <v/>
      </c>
      <c r="F7" s="6">
        <f>'10_Source_Orders_3M'!F7</f>
        <v/>
      </c>
      <c r="G7" s="5">
        <f>'10_Source_Orders_3M'!G7</f>
        <v/>
      </c>
    </row>
    <row r="8" ht="20" customHeight="1">
      <c r="A8" s="5">
        <f>'10_Source_Orders_3M'!A8</f>
        <v/>
      </c>
      <c r="B8" s="5">
        <f>'10_Source_Orders_3M'!B8</f>
        <v/>
      </c>
      <c r="C8" s="5">
        <f>'10_Source_Orders_3M'!C8</f>
        <v/>
      </c>
      <c r="D8" s="5">
        <f>'10_Source_Orders_3M'!D8</f>
        <v/>
      </c>
      <c r="E8" s="13">
        <f>'10_Source_Orders_3M'!E8</f>
        <v/>
      </c>
      <c r="F8" s="6">
        <f>'10_Source_Orders_3M'!F8</f>
        <v/>
      </c>
      <c r="G8" s="5">
        <f>'10_Source_Orders_3M'!G8</f>
        <v/>
      </c>
    </row>
    <row r="9" ht="20" customHeight="1">
      <c r="A9" s="5">
        <f>'10_Source_Orders_3M'!A9</f>
        <v/>
      </c>
      <c r="B9" s="5">
        <f>'10_Source_Orders_3M'!B9</f>
        <v/>
      </c>
      <c r="C9" s="5">
        <f>'10_Source_Orders_3M'!C9</f>
        <v/>
      </c>
      <c r="D9" s="5">
        <f>'10_Source_Orders_3M'!D9</f>
        <v/>
      </c>
      <c r="E9" s="13">
        <f>'10_Source_Orders_3M'!E9</f>
        <v/>
      </c>
      <c r="F9" s="6">
        <f>'10_Source_Orders_3M'!F9</f>
        <v/>
      </c>
      <c r="G9" s="5">
        <f>'10_Source_Orders_3M'!G9</f>
        <v/>
      </c>
    </row>
    <row r="10" ht="20" customHeight="1">
      <c r="A10" s="5">
        <f>'10_Source_Orders_3M'!A10</f>
        <v/>
      </c>
      <c r="B10" s="5">
        <f>'10_Source_Orders_3M'!B10</f>
        <v/>
      </c>
      <c r="C10" s="5">
        <f>'10_Source_Orders_3M'!C10</f>
        <v/>
      </c>
      <c r="D10" s="5">
        <f>'10_Source_Orders_3M'!D10</f>
        <v/>
      </c>
      <c r="E10" s="13">
        <f>'10_Source_Orders_3M'!E10</f>
        <v/>
      </c>
      <c r="F10" s="6">
        <f>'10_Source_Orders_3M'!F10</f>
        <v/>
      </c>
      <c r="G10" s="5">
        <f>'10_Source_Orders_3M'!G10</f>
        <v/>
      </c>
    </row>
    <row r="11" ht="20" customHeight="1">
      <c r="A11" s="5">
        <f>'10_Source_Orders_3M'!A11</f>
        <v/>
      </c>
      <c r="B11" s="5">
        <f>'10_Source_Orders_3M'!B11</f>
        <v/>
      </c>
      <c r="C11" s="5">
        <f>'10_Source_Orders_3M'!C11</f>
        <v/>
      </c>
      <c r="D11" s="5">
        <f>'10_Source_Orders_3M'!D11</f>
        <v/>
      </c>
      <c r="E11" s="13">
        <f>'10_Source_Orders_3M'!E11</f>
        <v/>
      </c>
      <c r="F11" s="6">
        <f>'10_Source_Orders_3M'!F11</f>
        <v/>
      </c>
      <c r="G11" s="5">
        <f>'10_Source_Orders_3M'!G11</f>
        <v/>
      </c>
    </row>
    <row r="12" ht="20" customHeight="1">
      <c r="A12" s="5">
        <f>'10_Source_Orders_3M'!A12</f>
        <v/>
      </c>
      <c r="B12" s="5">
        <f>'10_Source_Orders_3M'!B12</f>
        <v/>
      </c>
      <c r="C12" s="5">
        <f>'10_Source_Orders_3M'!C12</f>
        <v/>
      </c>
      <c r="D12" s="5">
        <f>'10_Source_Orders_3M'!D12</f>
        <v/>
      </c>
      <c r="E12" s="13">
        <f>'10_Source_Orders_3M'!E12</f>
        <v/>
      </c>
      <c r="F12" s="6">
        <f>'10_Source_Orders_3M'!F12</f>
        <v/>
      </c>
      <c r="G12" s="5">
        <f>'10_Source_Orders_3M'!G12</f>
        <v/>
      </c>
    </row>
    <row r="13" ht="20" customHeight="1">
      <c r="A13" s="5">
        <f>'10_Source_Orders_3M'!A13</f>
        <v/>
      </c>
      <c r="B13" s="5">
        <f>'10_Source_Orders_3M'!B13</f>
        <v/>
      </c>
      <c r="C13" s="5">
        <f>'10_Source_Orders_3M'!C13</f>
        <v/>
      </c>
      <c r="D13" s="5">
        <f>'10_Source_Orders_3M'!D13</f>
        <v/>
      </c>
      <c r="E13" s="13">
        <f>'10_Source_Orders_3M'!E13</f>
        <v/>
      </c>
      <c r="F13" s="6">
        <f>'10_Source_Orders_3M'!F13</f>
        <v/>
      </c>
      <c r="G13" s="5">
        <f>'10_Source_Orders_3M'!G13</f>
        <v/>
      </c>
    </row>
    <row r="14" ht="20" customHeight="1">
      <c r="A14" s="5">
        <f>'10_Source_Orders_3M'!A14</f>
        <v/>
      </c>
      <c r="B14" s="5">
        <f>'10_Source_Orders_3M'!B14</f>
        <v/>
      </c>
      <c r="C14" s="5">
        <f>'10_Source_Orders_3M'!C14</f>
        <v/>
      </c>
      <c r="D14" s="5">
        <f>'10_Source_Orders_3M'!D14</f>
        <v/>
      </c>
      <c r="E14" s="13">
        <f>'10_Source_Orders_3M'!E14</f>
        <v/>
      </c>
      <c r="F14" s="6">
        <f>'10_Source_Orders_3M'!F14</f>
        <v/>
      </c>
      <c r="G14" s="5">
        <f>'10_Source_Orders_3M'!G14</f>
        <v/>
      </c>
    </row>
    <row r="15" ht="20" customHeight="1">
      <c r="A15" s="5">
        <f>'10_Source_Orders_3M'!A15</f>
        <v/>
      </c>
      <c r="B15" s="5">
        <f>'10_Source_Orders_3M'!B15</f>
        <v/>
      </c>
      <c r="C15" s="5">
        <f>'10_Source_Orders_3M'!C15</f>
        <v/>
      </c>
      <c r="D15" s="5">
        <f>'10_Source_Orders_3M'!D15</f>
        <v/>
      </c>
      <c r="E15" s="13">
        <f>'10_Source_Orders_3M'!E15</f>
        <v/>
      </c>
      <c r="F15" s="6">
        <f>'10_Source_Orders_3M'!F15</f>
        <v/>
      </c>
      <c r="G15" s="5">
        <f>'10_Source_Orders_3M'!G15</f>
        <v/>
      </c>
    </row>
    <row r="16" ht="20" customHeight="1">
      <c r="A16" s="5">
        <f>'10_Source_Orders_3M'!A16</f>
        <v/>
      </c>
      <c r="B16" s="5">
        <f>'10_Source_Orders_3M'!B16</f>
        <v/>
      </c>
      <c r="C16" s="5">
        <f>'10_Source_Orders_3M'!C16</f>
        <v/>
      </c>
      <c r="D16" s="5">
        <f>'10_Source_Orders_3M'!D16</f>
        <v/>
      </c>
      <c r="E16" s="13">
        <f>'10_Source_Orders_3M'!E16</f>
        <v/>
      </c>
      <c r="F16" s="6">
        <f>'10_Source_Orders_3M'!F16</f>
        <v/>
      </c>
      <c r="G16" s="5">
        <f>'10_Source_Orders_3M'!G16</f>
        <v/>
      </c>
    </row>
    <row r="17" ht="20" customHeight="1">
      <c r="A17" s="5">
        <f>'10_Source_Orders_3M'!A17</f>
        <v/>
      </c>
      <c r="B17" s="5">
        <f>'10_Source_Orders_3M'!B17</f>
        <v/>
      </c>
      <c r="C17" s="5">
        <f>'10_Source_Orders_3M'!C17</f>
        <v/>
      </c>
      <c r="D17" s="5">
        <f>'10_Source_Orders_3M'!D17</f>
        <v/>
      </c>
      <c r="E17" s="13">
        <f>'10_Source_Orders_3M'!E17</f>
        <v/>
      </c>
      <c r="F17" s="6">
        <f>'10_Source_Orders_3M'!F17</f>
        <v/>
      </c>
      <c r="G17" s="5">
        <f>'10_Source_Orders_3M'!G17</f>
        <v/>
      </c>
    </row>
    <row r="18" ht="20" customHeight="1">
      <c r="A18" s="5">
        <f>'10_Source_Orders_3M'!A18</f>
        <v/>
      </c>
      <c r="B18" s="5">
        <f>'10_Source_Orders_3M'!B18</f>
        <v/>
      </c>
      <c r="C18" s="5">
        <f>'10_Source_Orders_3M'!C18</f>
        <v/>
      </c>
      <c r="D18" s="5">
        <f>'10_Source_Orders_3M'!D18</f>
        <v/>
      </c>
      <c r="E18" s="13">
        <f>'10_Source_Orders_3M'!E18</f>
        <v/>
      </c>
      <c r="F18" s="6">
        <f>'10_Source_Orders_3M'!F18</f>
        <v/>
      </c>
      <c r="G18" s="5">
        <f>'10_Source_Orders_3M'!G18</f>
        <v/>
      </c>
    </row>
    <row r="19" ht="20" customHeight="1">
      <c r="A19" s="5">
        <f>'10_Source_Orders_3M'!A19</f>
        <v/>
      </c>
      <c r="B19" s="5">
        <f>'10_Source_Orders_3M'!B19</f>
        <v/>
      </c>
      <c r="C19" s="5">
        <f>'10_Source_Orders_3M'!C19</f>
        <v/>
      </c>
      <c r="D19" s="5">
        <f>'10_Source_Orders_3M'!D19</f>
        <v/>
      </c>
      <c r="E19" s="13">
        <f>'10_Source_Orders_3M'!E19</f>
        <v/>
      </c>
      <c r="F19" s="6">
        <f>'10_Source_Orders_3M'!F19</f>
        <v/>
      </c>
      <c r="G19" s="5">
        <f>'10_Source_Orders_3M'!G19</f>
        <v/>
      </c>
    </row>
    <row r="20" ht="20" customHeight="1">
      <c r="A20" s="5">
        <f>'10_Source_Orders_3M'!A20</f>
        <v/>
      </c>
      <c r="B20" s="5">
        <f>'10_Source_Orders_3M'!B20</f>
        <v/>
      </c>
      <c r="C20" s="5">
        <f>'10_Source_Orders_3M'!C20</f>
        <v/>
      </c>
      <c r="D20" s="5">
        <f>'10_Source_Orders_3M'!D20</f>
        <v/>
      </c>
      <c r="E20" s="13">
        <f>'10_Source_Orders_3M'!E20</f>
        <v/>
      </c>
      <c r="F20" s="6">
        <f>'10_Source_Orders_3M'!F20</f>
        <v/>
      </c>
      <c r="G20" s="5">
        <f>'10_Source_Orders_3M'!G20</f>
        <v/>
      </c>
    </row>
    <row r="21" ht="20" customHeight="1">
      <c r="A21" s="5">
        <f>'10_Source_Orders_3M'!A21</f>
        <v/>
      </c>
      <c r="B21" s="5">
        <f>'10_Source_Orders_3M'!B21</f>
        <v/>
      </c>
      <c r="C21" s="5">
        <f>'10_Source_Orders_3M'!C21</f>
        <v/>
      </c>
      <c r="D21" s="5">
        <f>'10_Source_Orders_3M'!D21</f>
        <v/>
      </c>
      <c r="E21" s="13">
        <f>'10_Source_Orders_3M'!E21</f>
        <v/>
      </c>
      <c r="F21" s="6">
        <f>'10_Source_Orders_3M'!F21</f>
        <v/>
      </c>
      <c r="G21" s="5">
        <f>'10_Source_Orders_3M'!G21</f>
        <v/>
      </c>
    </row>
    <row r="22" ht="20" customHeight="1">
      <c r="A22" s="5">
        <f>'10_Source_Orders_3M'!A22</f>
        <v/>
      </c>
      <c r="B22" s="5">
        <f>'10_Source_Orders_3M'!B22</f>
        <v/>
      </c>
      <c r="C22" s="5">
        <f>'10_Source_Orders_3M'!C22</f>
        <v/>
      </c>
      <c r="D22" s="5">
        <f>'10_Source_Orders_3M'!D22</f>
        <v/>
      </c>
      <c r="E22" s="13">
        <f>'10_Source_Orders_3M'!E22</f>
        <v/>
      </c>
      <c r="F22" s="6">
        <f>'10_Source_Orders_3M'!F22</f>
        <v/>
      </c>
      <c r="G22" s="5">
        <f>'10_Source_Orders_3M'!G22</f>
        <v/>
      </c>
    </row>
    <row r="23" ht="20" customHeight="1">
      <c r="A23" s="5">
        <f>'10_Source_Orders_3M'!A23</f>
        <v/>
      </c>
      <c r="B23" s="5">
        <f>'10_Source_Orders_3M'!B23</f>
        <v/>
      </c>
      <c r="C23" s="5">
        <f>'10_Source_Orders_3M'!C23</f>
        <v/>
      </c>
      <c r="D23" s="5">
        <f>'10_Source_Orders_3M'!D23</f>
        <v/>
      </c>
      <c r="E23" s="13">
        <f>'10_Source_Orders_3M'!E23</f>
        <v/>
      </c>
      <c r="F23" s="6">
        <f>'10_Source_Orders_3M'!F23</f>
        <v/>
      </c>
      <c r="G23" s="5">
        <f>'10_Source_Orders_3M'!G23</f>
        <v/>
      </c>
    </row>
    <row r="24" ht="20" customHeight="1">
      <c r="A24" s="5">
        <f>'10_Source_Orders_3M'!A24</f>
        <v/>
      </c>
      <c r="B24" s="5">
        <f>'10_Source_Orders_3M'!B24</f>
        <v/>
      </c>
      <c r="C24" s="5">
        <f>'10_Source_Orders_3M'!C24</f>
        <v/>
      </c>
      <c r="D24" s="5">
        <f>'10_Source_Orders_3M'!D24</f>
        <v/>
      </c>
      <c r="E24" s="13">
        <f>'10_Source_Orders_3M'!E24</f>
        <v/>
      </c>
      <c r="F24" s="6">
        <f>'10_Source_Orders_3M'!F24</f>
        <v/>
      </c>
      <c r="G24" s="5">
        <f>'10_Source_Orders_3M'!G24</f>
        <v/>
      </c>
    </row>
    <row r="25" ht="20" customHeight="1">
      <c r="A25" s="5">
        <f>'10_Source_Orders_3M'!A25</f>
        <v/>
      </c>
      <c r="B25" s="5">
        <f>'10_Source_Orders_3M'!B25</f>
        <v/>
      </c>
      <c r="C25" s="5">
        <f>'10_Source_Orders_3M'!C25</f>
        <v/>
      </c>
      <c r="D25" s="5">
        <f>'10_Source_Orders_3M'!D25</f>
        <v/>
      </c>
      <c r="E25" s="13">
        <f>'10_Source_Orders_3M'!E25</f>
        <v/>
      </c>
      <c r="F25" s="6">
        <f>'10_Source_Orders_3M'!F25</f>
        <v/>
      </c>
      <c r="G25" s="5">
        <f>'10_Source_Orders_3M'!G25</f>
        <v/>
      </c>
    </row>
    <row r="26" ht="20" customHeight="1">
      <c r="A26" s="5">
        <f>'10_Source_Orders_3M'!A26</f>
        <v/>
      </c>
      <c r="B26" s="5">
        <f>'10_Source_Orders_3M'!B26</f>
        <v/>
      </c>
      <c r="C26" s="5">
        <f>'10_Source_Orders_3M'!C26</f>
        <v/>
      </c>
      <c r="D26" s="5">
        <f>'10_Source_Orders_3M'!D26</f>
        <v/>
      </c>
      <c r="E26" s="13">
        <f>'10_Source_Orders_3M'!E26</f>
        <v/>
      </c>
      <c r="F26" s="6">
        <f>'10_Source_Orders_3M'!F26</f>
        <v/>
      </c>
      <c r="G26" s="5">
        <f>'10_Source_Orders_3M'!G26</f>
        <v/>
      </c>
    </row>
    <row r="27" ht="20" customHeight="1">
      <c r="A27" s="5">
        <f>'10_Source_Orders_3M'!A27</f>
        <v/>
      </c>
      <c r="B27" s="5">
        <f>'10_Source_Orders_3M'!B27</f>
        <v/>
      </c>
      <c r="C27" s="5">
        <f>'10_Source_Orders_3M'!C27</f>
        <v/>
      </c>
      <c r="D27" s="5">
        <f>'10_Source_Orders_3M'!D27</f>
        <v/>
      </c>
      <c r="E27" s="13">
        <f>'10_Source_Orders_3M'!E27</f>
        <v/>
      </c>
      <c r="F27" s="6">
        <f>'10_Source_Orders_3M'!F27</f>
        <v/>
      </c>
      <c r="G27" s="5">
        <f>'10_Source_Orders_3M'!G27</f>
        <v/>
      </c>
    </row>
    <row r="28" ht="20" customHeight="1">
      <c r="A28" s="5">
        <f>'10_Source_Orders_3M'!A28</f>
        <v/>
      </c>
      <c r="B28" s="5">
        <f>'10_Source_Orders_3M'!B28</f>
        <v/>
      </c>
      <c r="C28" s="5">
        <f>'10_Source_Orders_3M'!C28</f>
        <v/>
      </c>
      <c r="D28" s="5">
        <f>'10_Source_Orders_3M'!D28</f>
        <v/>
      </c>
      <c r="E28" s="13">
        <f>'10_Source_Orders_3M'!E28</f>
        <v/>
      </c>
      <c r="F28" s="6">
        <f>'10_Source_Orders_3M'!F28</f>
        <v/>
      </c>
      <c r="G28" s="5">
        <f>'10_Source_Orders_3M'!G28</f>
        <v/>
      </c>
    </row>
    <row r="29" ht="20" customHeight="1">
      <c r="A29" s="5">
        <f>'10_Source_Orders_3M'!A29</f>
        <v/>
      </c>
      <c r="B29" s="5">
        <f>'10_Source_Orders_3M'!B29</f>
        <v/>
      </c>
      <c r="C29" s="5">
        <f>'10_Source_Orders_3M'!C29</f>
        <v/>
      </c>
      <c r="D29" s="5">
        <f>'10_Source_Orders_3M'!D29</f>
        <v/>
      </c>
      <c r="E29" s="13">
        <f>'10_Source_Orders_3M'!E29</f>
        <v/>
      </c>
      <c r="F29" s="6">
        <f>'10_Source_Orders_3M'!F29</f>
        <v/>
      </c>
      <c r="G29" s="5">
        <f>'10_Source_Orders_3M'!G29</f>
        <v/>
      </c>
    </row>
    <row r="30" ht="20" customHeight="1">
      <c r="A30" s="5">
        <f>'10_Source_Orders_3M'!A30</f>
        <v/>
      </c>
      <c r="B30" s="5">
        <f>'10_Source_Orders_3M'!B30</f>
        <v/>
      </c>
      <c r="C30" s="5">
        <f>'10_Source_Orders_3M'!C30</f>
        <v/>
      </c>
      <c r="D30" s="5">
        <f>'10_Source_Orders_3M'!D30</f>
        <v/>
      </c>
      <c r="E30" s="13">
        <f>'10_Source_Orders_3M'!E30</f>
        <v/>
      </c>
      <c r="F30" s="6">
        <f>'10_Source_Orders_3M'!F30</f>
        <v/>
      </c>
      <c r="G30" s="5">
        <f>'10_Source_Orders_3M'!G30</f>
        <v/>
      </c>
    </row>
    <row r="31" ht="20" customHeight="1">
      <c r="A31" s="5">
        <f>'10_Source_Orders_3M'!A31</f>
        <v/>
      </c>
      <c r="B31" s="5">
        <f>'10_Source_Orders_3M'!B31</f>
        <v/>
      </c>
      <c r="C31" s="5">
        <f>'10_Source_Orders_3M'!C31</f>
        <v/>
      </c>
      <c r="D31" s="5">
        <f>'10_Source_Orders_3M'!D31</f>
        <v/>
      </c>
      <c r="E31" s="13">
        <f>'10_Source_Orders_3M'!E31</f>
        <v/>
      </c>
      <c r="F31" s="6">
        <f>'10_Source_Orders_3M'!F31</f>
        <v/>
      </c>
      <c r="G31" s="5">
        <f>'10_Source_Orders_3M'!G31</f>
        <v/>
      </c>
    </row>
    <row r="32" ht="20" customHeight="1">
      <c r="A32" s="5">
        <f>'10_Source_Orders_3M'!A32</f>
        <v/>
      </c>
      <c r="B32" s="5">
        <f>'10_Source_Orders_3M'!B32</f>
        <v/>
      </c>
      <c r="C32" s="5">
        <f>'10_Source_Orders_3M'!C32</f>
        <v/>
      </c>
      <c r="D32" s="5">
        <f>'10_Source_Orders_3M'!D32</f>
        <v/>
      </c>
      <c r="E32" s="13">
        <f>'10_Source_Orders_3M'!E32</f>
        <v/>
      </c>
      <c r="F32" s="6">
        <f>'10_Source_Orders_3M'!F32</f>
        <v/>
      </c>
      <c r="G32" s="5">
        <f>'10_Source_Orders_3M'!G32</f>
        <v/>
      </c>
    </row>
    <row r="33" ht="20" customHeight="1">
      <c r="A33" s="5">
        <f>'10_Source_Orders_3M'!A33</f>
        <v/>
      </c>
      <c r="B33" s="5">
        <f>'10_Source_Orders_3M'!B33</f>
        <v/>
      </c>
      <c r="C33" s="5">
        <f>'10_Source_Orders_3M'!C33</f>
        <v/>
      </c>
      <c r="D33" s="5">
        <f>'10_Source_Orders_3M'!D33</f>
        <v/>
      </c>
      <c r="E33" s="13">
        <f>'10_Source_Orders_3M'!E33</f>
        <v/>
      </c>
      <c r="F33" s="6">
        <f>'10_Source_Orders_3M'!F33</f>
        <v/>
      </c>
      <c r="G33" s="5">
        <f>'10_Source_Orders_3M'!G33</f>
        <v/>
      </c>
    </row>
    <row r="34" ht="20" customHeight="1">
      <c r="A34" s="5">
        <f>'10_Source_Orders_3M'!A34</f>
        <v/>
      </c>
      <c r="B34" s="5">
        <f>'10_Source_Orders_3M'!B34</f>
        <v/>
      </c>
      <c r="C34" s="5">
        <f>'10_Source_Orders_3M'!C34</f>
        <v/>
      </c>
      <c r="D34" s="5">
        <f>'10_Source_Orders_3M'!D34</f>
        <v/>
      </c>
      <c r="E34" s="13">
        <f>'10_Source_Orders_3M'!E34</f>
        <v/>
      </c>
      <c r="F34" s="6">
        <f>'10_Source_Orders_3M'!F34</f>
        <v/>
      </c>
      <c r="G34" s="5">
        <f>'10_Source_Orders_3M'!G34</f>
        <v/>
      </c>
    </row>
    <row r="35" ht="20" customHeight="1">
      <c r="A35" s="5">
        <f>'10_Source_Orders_3M'!A35</f>
        <v/>
      </c>
      <c r="B35" s="5">
        <f>'10_Source_Orders_3M'!B35</f>
        <v/>
      </c>
      <c r="C35" s="5">
        <f>'10_Source_Orders_3M'!C35</f>
        <v/>
      </c>
      <c r="D35" s="5">
        <f>'10_Source_Orders_3M'!D35</f>
        <v/>
      </c>
      <c r="E35" s="13">
        <f>'10_Source_Orders_3M'!E35</f>
        <v/>
      </c>
      <c r="F35" s="6">
        <f>'10_Source_Orders_3M'!F35</f>
        <v/>
      </c>
      <c r="G35" s="5">
        <f>'10_Source_Orders_3M'!G35</f>
        <v/>
      </c>
    </row>
    <row r="36" ht="20" customHeight="1">
      <c r="A36" s="5">
        <f>'10_Source_Orders_3M'!A36</f>
        <v/>
      </c>
      <c r="B36" s="5">
        <f>'10_Source_Orders_3M'!B36</f>
        <v/>
      </c>
      <c r="C36" s="5">
        <f>'10_Source_Orders_3M'!C36</f>
        <v/>
      </c>
      <c r="D36" s="5">
        <f>'10_Source_Orders_3M'!D36</f>
        <v/>
      </c>
      <c r="E36" s="13">
        <f>'10_Source_Orders_3M'!E36</f>
        <v/>
      </c>
      <c r="F36" s="6">
        <f>'10_Source_Orders_3M'!F36</f>
        <v/>
      </c>
      <c r="G36" s="5">
        <f>'10_Source_Orders_3M'!G36</f>
        <v/>
      </c>
    </row>
    <row r="37" ht="20" customHeight="1">
      <c r="A37" s="5">
        <f>'10_Source_Orders_3M'!A37</f>
        <v/>
      </c>
      <c r="B37" s="5">
        <f>'10_Source_Orders_3M'!B37</f>
        <v/>
      </c>
      <c r="C37" s="5">
        <f>'10_Source_Orders_3M'!C37</f>
        <v/>
      </c>
      <c r="D37" s="5">
        <f>'10_Source_Orders_3M'!D37</f>
        <v/>
      </c>
      <c r="E37" s="13">
        <f>'10_Source_Orders_3M'!E37</f>
        <v/>
      </c>
      <c r="F37" s="6">
        <f>'10_Source_Orders_3M'!F37</f>
        <v/>
      </c>
      <c r="G37" s="5">
        <f>'10_Source_Orders_3M'!G37</f>
        <v/>
      </c>
    </row>
    <row r="38" ht="20" customHeight="1">
      <c r="A38" s="5">
        <f>'10_Source_Orders_3M'!A38</f>
        <v/>
      </c>
      <c r="B38" s="5">
        <f>'10_Source_Orders_3M'!B38</f>
        <v/>
      </c>
      <c r="C38" s="5">
        <f>'10_Source_Orders_3M'!C38</f>
        <v/>
      </c>
      <c r="D38" s="5">
        <f>'10_Source_Orders_3M'!D38</f>
        <v/>
      </c>
      <c r="E38" s="13">
        <f>'10_Source_Orders_3M'!E38</f>
        <v/>
      </c>
      <c r="F38" s="6">
        <f>'10_Source_Orders_3M'!F38</f>
        <v/>
      </c>
      <c r="G38" s="5">
        <f>'10_Source_Orders_3M'!G38</f>
        <v/>
      </c>
    </row>
    <row r="39" ht="20" customHeight="1">
      <c r="A39" s="5">
        <f>'10_Source_Orders_3M'!A39</f>
        <v/>
      </c>
      <c r="B39" s="5">
        <f>'10_Source_Orders_3M'!B39</f>
        <v/>
      </c>
      <c r="C39" s="5">
        <f>'10_Source_Orders_3M'!C39</f>
        <v/>
      </c>
      <c r="D39" s="5">
        <f>'10_Source_Orders_3M'!D39</f>
        <v/>
      </c>
      <c r="E39" s="13">
        <f>'10_Source_Orders_3M'!E39</f>
        <v/>
      </c>
      <c r="F39" s="6">
        <f>'10_Source_Orders_3M'!F39</f>
        <v/>
      </c>
      <c r="G39" s="5">
        <f>'10_Source_Orders_3M'!G39</f>
        <v/>
      </c>
    </row>
    <row r="40" ht="20" customHeight="1">
      <c r="A40" s="5">
        <f>'10_Source_Orders_3M'!A40</f>
        <v/>
      </c>
      <c r="B40" s="5">
        <f>'10_Source_Orders_3M'!B40</f>
        <v/>
      </c>
      <c r="C40" s="5">
        <f>'10_Source_Orders_3M'!C40</f>
        <v/>
      </c>
      <c r="D40" s="5">
        <f>'10_Source_Orders_3M'!D40</f>
        <v/>
      </c>
      <c r="E40" s="13">
        <f>'10_Source_Orders_3M'!E40</f>
        <v/>
      </c>
      <c r="F40" s="6">
        <f>'10_Source_Orders_3M'!F40</f>
        <v/>
      </c>
      <c r="G40" s="5">
        <f>'10_Source_Orders_3M'!G40</f>
        <v/>
      </c>
    </row>
    <row r="41" ht="20" customHeight="1">
      <c r="A41" s="5">
        <f>'10_Source_Orders_3M'!A41</f>
        <v/>
      </c>
      <c r="B41" s="5">
        <f>'10_Source_Orders_3M'!B41</f>
        <v/>
      </c>
      <c r="C41" s="5">
        <f>'10_Source_Orders_3M'!C41</f>
        <v/>
      </c>
      <c r="D41" s="5">
        <f>'10_Source_Orders_3M'!D41</f>
        <v/>
      </c>
      <c r="E41" s="13">
        <f>'10_Source_Orders_3M'!E41</f>
        <v/>
      </c>
      <c r="F41" s="6">
        <f>'10_Source_Orders_3M'!F41</f>
        <v/>
      </c>
      <c r="G41" s="5">
        <f>'10_Source_Orders_3M'!G41</f>
        <v/>
      </c>
    </row>
    <row r="42" ht="20" customHeight="1">
      <c r="A42" s="5">
        <f>'10_Source_Orders_3M'!A42</f>
        <v/>
      </c>
      <c r="B42" s="5">
        <f>'10_Source_Orders_3M'!B42</f>
        <v/>
      </c>
      <c r="C42" s="5">
        <f>'10_Source_Orders_3M'!C42</f>
        <v/>
      </c>
      <c r="D42" s="5">
        <f>'10_Source_Orders_3M'!D42</f>
        <v/>
      </c>
      <c r="E42" s="13">
        <f>'10_Source_Orders_3M'!E42</f>
        <v/>
      </c>
      <c r="F42" s="6">
        <f>'10_Source_Orders_3M'!F42</f>
        <v/>
      </c>
      <c r="G42" s="5">
        <f>'10_Source_Orders_3M'!G42</f>
        <v/>
      </c>
    </row>
    <row r="43" ht="20" customHeight="1">
      <c r="A43" s="5">
        <f>'10_Source_Orders_3M'!A43</f>
        <v/>
      </c>
      <c r="B43" s="5">
        <f>'10_Source_Orders_3M'!B43</f>
        <v/>
      </c>
      <c r="C43" s="5">
        <f>'10_Source_Orders_3M'!C43</f>
        <v/>
      </c>
      <c r="D43" s="5">
        <f>'10_Source_Orders_3M'!D43</f>
        <v/>
      </c>
      <c r="E43" s="13">
        <f>'10_Source_Orders_3M'!E43</f>
        <v/>
      </c>
      <c r="F43" s="6">
        <f>'10_Source_Orders_3M'!F43</f>
        <v/>
      </c>
      <c r="G43" s="5">
        <f>'10_Source_Orders_3M'!G43</f>
        <v/>
      </c>
    </row>
    <row r="44" ht="20" customHeight="1">
      <c r="A44" s="5">
        <f>'10_Source_Orders_3M'!A44</f>
        <v/>
      </c>
      <c r="B44" s="5">
        <f>'10_Source_Orders_3M'!B44</f>
        <v/>
      </c>
      <c r="C44" s="5">
        <f>'10_Source_Orders_3M'!C44</f>
        <v/>
      </c>
      <c r="D44" s="5">
        <f>'10_Source_Orders_3M'!D44</f>
        <v/>
      </c>
      <c r="E44" s="13">
        <f>'10_Source_Orders_3M'!E44</f>
        <v/>
      </c>
      <c r="F44" s="6">
        <f>'10_Source_Orders_3M'!F44</f>
        <v/>
      </c>
      <c r="G44" s="5">
        <f>'10_Source_Orders_3M'!G44</f>
        <v/>
      </c>
    </row>
    <row r="45" ht="20" customHeight="1">
      <c r="A45" s="5">
        <f>'10_Source_Orders_3M'!A45</f>
        <v/>
      </c>
      <c r="B45" s="5">
        <f>'10_Source_Orders_3M'!B45</f>
        <v/>
      </c>
      <c r="C45" s="5">
        <f>'10_Source_Orders_3M'!C45</f>
        <v/>
      </c>
      <c r="D45" s="5">
        <f>'10_Source_Orders_3M'!D45</f>
        <v/>
      </c>
      <c r="E45" s="13">
        <f>'10_Source_Orders_3M'!E45</f>
        <v/>
      </c>
      <c r="F45" s="6">
        <f>'10_Source_Orders_3M'!F45</f>
        <v/>
      </c>
      <c r="G45" s="5">
        <f>'10_Source_Orders_3M'!G45</f>
        <v/>
      </c>
    </row>
    <row r="46" ht="20" customHeight="1">
      <c r="A46" s="5">
        <f>'10_Source_Orders_3M'!A46</f>
        <v/>
      </c>
      <c r="B46" s="5">
        <f>'10_Source_Orders_3M'!B46</f>
        <v/>
      </c>
      <c r="C46" s="5">
        <f>'10_Source_Orders_3M'!C46</f>
        <v/>
      </c>
      <c r="D46" s="5">
        <f>'10_Source_Orders_3M'!D46</f>
        <v/>
      </c>
      <c r="E46" s="13">
        <f>'10_Source_Orders_3M'!E46</f>
        <v/>
      </c>
      <c r="F46" s="6">
        <f>'10_Source_Orders_3M'!F46</f>
        <v/>
      </c>
      <c r="G46" s="5">
        <f>'10_Source_Orders_3M'!G46</f>
        <v/>
      </c>
    </row>
    <row r="47" ht="20" customHeight="1">
      <c r="A47" s="5">
        <f>'10_Source_Orders_3M'!A47</f>
        <v/>
      </c>
      <c r="B47" s="5">
        <f>'10_Source_Orders_3M'!B47</f>
        <v/>
      </c>
      <c r="C47" s="5">
        <f>'10_Source_Orders_3M'!C47</f>
        <v/>
      </c>
      <c r="D47" s="5">
        <f>'10_Source_Orders_3M'!D47</f>
        <v/>
      </c>
      <c r="E47" s="13">
        <f>'10_Source_Orders_3M'!E47</f>
        <v/>
      </c>
      <c r="F47" s="6">
        <f>'10_Source_Orders_3M'!F47</f>
        <v/>
      </c>
      <c r="G47" s="5">
        <f>'10_Source_Orders_3M'!G47</f>
        <v/>
      </c>
    </row>
    <row r="48" ht="20" customHeight="1">
      <c r="A48" s="5">
        <f>'10_Source_Orders_3M'!A48</f>
        <v/>
      </c>
      <c r="B48" s="5">
        <f>'10_Source_Orders_3M'!B48</f>
        <v/>
      </c>
      <c r="C48" s="5">
        <f>'10_Source_Orders_3M'!C48</f>
        <v/>
      </c>
      <c r="D48" s="5">
        <f>'10_Source_Orders_3M'!D48</f>
        <v/>
      </c>
      <c r="E48" s="13">
        <f>'10_Source_Orders_3M'!E48</f>
        <v/>
      </c>
      <c r="F48" s="6">
        <f>'10_Source_Orders_3M'!F48</f>
        <v/>
      </c>
      <c r="G48" s="5">
        <f>'10_Source_Orders_3M'!G48</f>
        <v/>
      </c>
    </row>
    <row r="49" ht="20" customHeight="1">
      <c r="A49" s="5">
        <f>'10_Source_Orders_3M'!A49</f>
        <v/>
      </c>
      <c r="B49" s="5">
        <f>'10_Source_Orders_3M'!B49</f>
        <v/>
      </c>
      <c r="C49" s="5">
        <f>'10_Source_Orders_3M'!C49</f>
        <v/>
      </c>
      <c r="D49" s="5">
        <f>'10_Source_Orders_3M'!D49</f>
        <v/>
      </c>
      <c r="E49" s="13">
        <f>'10_Source_Orders_3M'!E49</f>
        <v/>
      </c>
      <c r="F49" s="6">
        <f>'10_Source_Orders_3M'!F49</f>
        <v/>
      </c>
      <c r="G49" s="5">
        <f>'10_Source_Orders_3M'!G49</f>
        <v/>
      </c>
    </row>
    <row r="50" ht="20" customHeight="1">
      <c r="A50" s="5">
        <f>'10_Source_Orders_3M'!A50</f>
        <v/>
      </c>
      <c r="B50" s="5">
        <f>'10_Source_Orders_3M'!B50</f>
        <v/>
      </c>
      <c r="C50" s="5">
        <f>'10_Source_Orders_3M'!C50</f>
        <v/>
      </c>
      <c r="D50" s="5">
        <f>'10_Source_Orders_3M'!D50</f>
        <v/>
      </c>
      <c r="E50" s="13">
        <f>'10_Source_Orders_3M'!E50</f>
        <v/>
      </c>
      <c r="F50" s="6">
        <f>'10_Source_Orders_3M'!F50</f>
        <v/>
      </c>
      <c r="G50" s="5">
        <f>'10_Source_Orders_3M'!G50</f>
        <v/>
      </c>
    </row>
    <row r="51" ht="20" customHeight="1">
      <c r="A51" s="5">
        <f>'10_Source_Orders_3M'!A51</f>
        <v/>
      </c>
      <c r="B51" s="5">
        <f>'10_Source_Orders_3M'!B51</f>
        <v/>
      </c>
      <c r="C51" s="5">
        <f>'10_Source_Orders_3M'!C51</f>
        <v/>
      </c>
      <c r="D51" s="5">
        <f>'10_Source_Orders_3M'!D51</f>
        <v/>
      </c>
      <c r="E51" s="13">
        <f>'10_Source_Orders_3M'!E51</f>
        <v/>
      </c>
      <c r="F51" s="6">
        <f>'10_Source_Orders_3M'!F51</f>
        <v/>
      </c>
      <c r="G51" s="5">
        <f>'10_Source_Orders_3M'!G51</f>
        <v/>
      </c>
    </row>
    <row r="52" ht="20" customHeight="1">
      <c r="A52" s="5">
        <f>'10_Source_Orders_3M'!A52</f>
        <v/>
      </c>
      <c r="B52" s="5">
        <f>'10_Source_Orders_3M'!B52</f>
        <v/>
      </c>
      <c r="C52" s="5">
        <f>'10_Source_Orders_3M'!C52</f>
        <v/>
      </c>
      <c r="D52" s="5">
        <f>'10_Source_Orders_3M'!D52</f>
        <v/>
      </c>
      <c r="E52" s="13">
        <f>'10_Source_Orders_3M'!E52</f>
        <v/>
      </c>
      <c r="F52" s="6">
        <f>'10_Source_Orders_3M'!F52</f>
        <v/>
      </c>
      <c r="G52" s="5">
        <f>'10_Source_Orders_3M'!G52</f>
        <v/>
      </c>
    </row>
    <row r="53" ht="20" customHeight="1">
      <c r="A53" s="5">
        <f>'10_Source_Orders_3M'!A53</f>
        <v/>
      </c>
      <c r="B53" s="5">
        <f>'10_Source_Orders_3M'!B53</f>
        <v/>
      </c>
      <c r="C53" s="5">
        <f>'10_Source_Orders_3M'!C53</f>
        <v/>
      </c>
      <c r="D53" s="5">
        <f>'10_Source_Orders_3M'!D53</f>
        <v/>
      </c>
      <c r="E53" s="13">
        <f>'10_Source_Orders_3M'!E53</f>
        <v/>
      </c>
      <c r="F53" s="6">
        <f>'10_Source_Orders_3M'!F53</f>
        <v/>
      </c>
      <c r="G53" s="5">
        <f>'10_Source_Orders_3M'!G53</f>
        <v/>
      </c>
    </row>
    <row r="54" ht="20" customHeight="1">
      <c r="A54" s="5">
        <f>'10_Source_Orders_3M'!A54</f>
        <v/>
      </c>
      <c r="B54" s="5">
        <f>'10_Source_Orders_3M'!B54</f>
        <v/>
      </c>
      <c r="C54" s="5">
        <f>'10_Source_Orders_3M'!C54</f>
        <v/>
      </c>
      <c r="D54" s="5">
        <f>'10_Source_Orders_3M'!D54</f>
        <v/>
      </c>
      <c r="E54" s="13">
        <f>'10_Source_Orders_3M'!E54</f>
        <v/>
      </c>
      <c r="F54" s="6">
        <f>'10_Source_Orders_3M'!F54</f>
        <v/>
      </c>
      <c r="G54" s="5">
        <f>'10_Source_Orders_3M'!G54</f>
        <v/>
      </c>
    </row>
    <row r="55" ht="20" customHeight="1">
      <c r="A55" s="5">
        <f>'10_Source_Orders_3M'!A55</f>
        <v/>
      </c>
      <c r="B55" s="5">
        <f>'10_Source_Orders_3M'!B55</f>
        <v/>
      </c>
      <c r="C55" s="5">
        <f>'10_Source_Orders_3M'!C55</f>
        <v/>
      </c>
      <c r="D55" s="5">
        <f>'10_Source_Orders_3M'!D55</f>
        <v/>
      </c>
      <c r="E55" s="13">
        <f>'10_Source_Orders_3M'!E55</f>
        <v/>
      </c>
      <c r="F55" s="6">
        <f>'10_Source_Orders_3M'!F55</f>
        <v/>
      </c>
      <c r="G55" s="5">
        <f>'10_Source_Orders_3M'!G55</f>
        <v/>
      </c>
    </row>
    <row r="56" ht="20" customHeight="1">
      <c r="A56" s="5">
        <f>'10_Source_Orders_3M'!A56</f>
        <v/>
      </c>
      <c r="B56" s="5">
        <f>'10_Source_Orders_3M'!B56</f>
        <v/>
      </c>
      <c r="C56" s="5">
        <f>'10_Source_Orders_3M'!C56</f>
        <v/>
      </c>
      <c r="D56" s="5">
        <f>'10_Source_Orders_3M'!D56</f>
        <v/>
      </c>
      <c r="E56" s="13">
        <f>'10_Source_Orders_3M'!E56</f>
        <v/>
      </c>
      <c r="F56" s="6">
        <f>'10_Source_Orders_3M'!F56</f>
        <v/>
      </c>
      <c r="G56" s="5">
        <f>'10_Source_Orders_3M'!G56</f>
        <v/>
      </c>
    </row>
    <row r="57" ht="20" customHeight="1">
      <c r="A57" s="5">
        <f>'10_Source_Orders_3M'!A57</f>
        <v/>
      </c>
      <c r="B57" s="5">
        <f>'10_Source_Orders_3M'!B57</f>
        <v/>
      </c>
      <c r="C57" s="5">
        <f>'10_Source_Orders_3M'!C57</f>
        <v/>
      </c>
      <c r="D57" s="5">
        <f>'10_Source_Orders_3M'!D57</f>
        <v/>
      </c>
      <c r="E57" s="13">
        <f>'10_Source_Orders_3M'!E57</f>
        <v/>
      </c>
      <c r="F57" s="6">
        <f>'10_Source_Orders_3M'!F57</f>
        <v/>
      </c>
      <c r="G57" s="5">
        <f>'10_Source_Orders_3M'!G57</f>
        <v/>
      </c>
    </row>
    <row r="58" ht="20" customHeight="1">
      <c r="A58" s="5">
        <f>'10_Source_Orders_3M'!A58</f>
        <v/>
      </c>
      <c r="B58" s="5">
        <f>'10_Source_Orders_3M'!B58</f>
        <v/>
      </c>
      <c r="C58" s="5">
        <f>'10_Source_Orders_3M'!C58</f>
        <v/>
      </c>
      <c r="D58" s="5">
        <f>'10_Source_Orders_3M'!D58</f>
        <v/>
      </c>
      <c r="E58" s="13">
        <f>'10_Source_Orders_3M'!E58</f>
        <v/>
      </c>
      <c r="F58" s="6">
        <f>'10_Source_Orders_3M'!F58</f>
        <v/>
      </c>
      <c r="G58" s="5">
        <f>'10_Source_Orders_3M'!G58</f>
        <v/>
      </c>
    </row>
    <row r="59" ht="20" customHeight="1">
      <c r="A59" s="5">
        <f>'10_Source_Orders_3M'!A59</f>
        <v/>
      </c>
      <c r="B59" s="5">
        <f>'10_Source_Orders_3M'!B59</f>
        <v/>
      </c>
      <c r="C59" s="5">
        <f>'10_Source_Orders_3M'!C59</f>
        <v/>
      </c>
      <c r="D59" s="5">
        <f>'10_Source_Orders_3M'!D59</f>
        <v/>
      </c>
      <c r="E59" s="13">
        <f>'10_Source_Orders_3M'!E59</f>
        <v/>
      </c>
      <c r="F59" s="6">
        <f>'10_Source_Orders_3M'!F59</f>
        <v/>
      </c>
      <c r="G59" s="5">
        <f>'10_Source_Orders_3M'!G59</f>
        <v/>
      </c>
    </row>
    <row r="60" ht="20" customHeight="1">
      <c r="A60" s="5">
        <f>'10_Source_Orders_3M'!A60</f>
        <v/>
      </c>
      <c r="B60" s="5">
        <f>'10_Source_Orders_3M'!B60</f>
        <v/>
      </c>
      <c r="C60" s="5">
        <f>'10_Source_Orders_3M'!C60</f>
        <v/>
      </c>
      <c r="D60" s="5">
        <f>'10_Source_Orders_3M'!D60</f>
        <v/>
      </c>
      <c r="E60" s="13">
        <f>'10_Source_Orders_3M'!E60</f>
        <v/>
      </c>
      <c r="F60" s="6">
        <f>'10_Source_Orders_3M'!F60</f>
        <v/>
      </c>
      <c r="G60" s="5">
        <f>'10_Source_Orders_3M'!G60</f>
        <v/>
      </c>
    </row>
    <row r="61" ht="20" customHeight="1">
      <c r="A61" s="5">
        <f>'10_Source_Orders_3M'!A61</f>
        <v/>
      </c>
      <c r="B61" s="5">
        <f>'10_Source_Orders_3M'!B61</f>
        <v/>
      </c>
      <c r="C61" s="5">
        <f>'10_Source_Orders_3M'!C61</f>
        <v/>
      </c>
      <c r="D61" s="5">
        <f>'10_Source_Orders_3M'!D61</f>
        <v/>
      </c>
      <c r="E61" s="13">
        <f>'10_Source_Orders_3M'!E61</f>
        <v/>
      </c>
      <c r="F61" s="6">
        <f>'10_Source_Orders_3M'!F61</f>
        <v/>
      </c>
      <c r="G61" s="5">
        <f>'10_Source_Orders_3M'!G61</f>
        <v/>
      </c>
    </row>
    <row r="62" ht="20" customHeight="1">
      <c r="A62" s="5">
        <f>'10_Source_Orders_3M'!A62</f>
        <v/>
      </c>
      <c r="B62" s="5">
        <f>'10_Source_Orders_3M'!B62</f>
        <v/>
      </c>
      <c r="C62" s="5">
        <f>'10_Source_Orders_3M'!C62</f>
        <v/>
      </c>
      <c r="D62" s="5">
        <f>'10_Source_Orders_3M'!D62</f>
        <v/>
      </c>
      <c r="E62" s="13">
        <f>'10_Source_Orders_3M'!E62</f>
        <v/>
      </c>
      <c r="F62" s="6">
        <f>'10_Source_Orders_3M'!F62</f>
        <v/>
      </c>
      <c r="G62" s="5">
        <f>'10_Source_Orders_3M'!G62</f>
        <v/>
      </c>
    </row>
    <row r="63" ht="20" customHeight="1">
      <c r="A63" s="5">
        <f>'10_Source_Orders_3M'!A63</f>
        <v/>
      </c>
      <c r="B63" s="5">
        <f>'10_Source_Orders_3M'!B63</f>
        <v/>
      </c>
      <c r="C63" s="5">
        <f>'10_Source_Orders_3M'!C63</f>
        <v/>
      </c>
      <c r="D63" s="5">
        <f>'10_Source_Orders_3M'!D63</f>
        <v/>
      </c>
      <c r="E63" s="13">
        <f>'10_Source_Orders_3M'!E63</f>
        <v/>
      </c>
      <c r="F63" s="6">
        <f>'10_Source_Orders_3M'!F63</f>
        <v/>
      </c>
      <c r="G63" s="5">
        <f>'10_Source_Orders_3M'!G63</f>
        <v/>
      </c>
    </row>
    <row r="64" ht="20" customHeight="1">
      <c r="A64" s="5">
        <f>'10_Source_Orders_3M'!A64</f>
        <v/>
      </c>
      <c r="B64" s="5">
        <f>'10_Source_Orders_3M'!B64</f>
        <v/>
      </c>
      <c r="C64" s="5">
        <f>'10_Source_Orders_3M'!C64</f>
        <v/>
      </c>
      <c r="D64" s="5">
        <f>'10_Source_Orders_3M'!D64</f>
        <v/>
      </c>
      <c r="E64" s="13">
        <f>'10_Source_Orders_3M'!E64</f>
        <v/>
      </c>
      <c r="F64" s="6">
        <f>'10_Source_Orders_3M'!F64</f>
        <v/>
      </c>
      <c r="G64" s="5">
        <f>'10_Source_Orders_3M'!G64</f>
        <v/>
      </c>
    </row>
    <row r="65" ht="20" customHeight="1">
      <c r="A65" s="5">
        <f>'10_Source_Orders_3M'!A65</f>
        <v/>
      </c>
      <c r="B65" s="5">
        <f>'10_Source_Orders_3M'!B65</f>
        <v/>
      </c>
      <c r="C65" s="5">
        <f>'10_Source_Orders_3M'!C65</f>
        <v/>
      </c>
      <c r="D65" s="5">
        <f>'10_Source_Orders_3M'!D65</f>
        <v/>
      </c>
      <c r="E65" s="13">
        <f>'10_Source_Orders_3M'!E65</f>
        <v/>
      </c>
      <c r="F65" s="6">
        <f>'10_Source_Orders_3M'!F65</f>
        <v/>
      </c>
      <c r="G65" s="5">
        <f>'10_Source_Orders_3M'!G65</f>
        <v/>
      </c>
    </row>
    <row r="66" ht="20" customHeight="1">
      <c r="A66" s="5">
        <f>'10_Source_Orders_3M'!A66</f>
        <v/>
      </c>
      <c r="B66" s="5">
        <f>'10_Source_Orders_3M'!B66</f>
        <v/>
      </c>
      <c r="C66" s="5">
        <f>'10_Source_Orders_3M'!C66</f>
        <v/>
      </c>
      <c r="D66" s="5">
        <f>'10_Source_Orders_3M'!D66</f>
        <v/>
      </c>
      <c r="E66" s="13">
        <f>'10_Source_Orders_3M'!E66</f>
        <v/>
      </c>
      <c r="F66" s="6">
        <f>'10_Source_Orders_3M'!F66</f>
        <v/>
      </c>
      <c r="G66" s="5">
        <f>'10_Source_Orders_3M'!G66</f>
        <v/>
      </c>
    </row>
    <row r="67" ht="20" customHeight="1">
      <c r="A67" s="5">
        <f>'10_Source_Orders_3M'!A67</f>
        <v/>
      </c>
      <c r="B67" s="5">
        <f>'10_Source_Orders_3M'!B67</f>
        <v/>
      </c>
      <c r="C67" s="5">
        <f>'10_Source_Orders_3M'!C67</f>
        <v/>
      </c>
      <c r="D67" s="5">
        <f>'10_Source_Orders_3M'!D67</f>
        <v/>
      </c>
      <c r="E67" s="13">
        <f>'10_Source_Orders_3M'!E67</f>
        <v/>
      </c>
      <c r="F67" s="6">
        <f>'10_Source_Orders_3M'!F67</f>
        <v/>
      </c>
      <c r="G67" s="5">
        <f>'10_Source_Orders_3M'!G67</f>
        <v/>
      </c>
    </row>
    <row r="68" ht="20" customHeight="1">
      <c r="A68" s="5">
        <f>'10_Source_Orders_3M'!A68</f>
        <v/>
      </c>
      <c r="B68" s="5">
        <f>'10_Source_Orders_3M'!B68</f>
        <v/>
      </c>
      <c r="C68" s="5">
        <f>'10_Source_Orders_3M'!C68</f>
        <v/>
      </c>
      <c r="D68" s="5">
        <f>'10_Source_Orders_3M'!D68</f>
        <v/>
      </c>
      <c r="E68" s="13">
        <f>'10_Source_Orders_3M'!E68</f>
        <v/>
      </c>
      <c r="F68" s="6">
        <f>'10_Source_Orders_3M'!F68</f>
        <v/>
      </c>
      <c r="G68" s="5">
        <f>'10_Source_Orders_3M'!G68</f>
        <v/>
      </c>
    </row>
    <row r="69" ht="20" customHeight="1">
      <c r="A69" s="5">
        <f>'10_Source_Orders_3M'!A69</f>
        <v/>
      </c>
      <c r="B69" s="5">
        <f>'10_Source_Orders_3M'!B69</f>
        <v/>
      </c>
      <c r="C69" s="5">
        <f>'10_Source_Orders_3M'!C69</f>
        <v/>
      </c>
      <c r="D69" s="5">
        <f>'10_Source_Orders_3M'!D69</f>
        <v/>
      </c>
      <c r="E69" s="13">
        <f>'10_Source_Orders_3M'!E69</f>
        <v/>
      </c>
      <c r="F69" s="6">
        <f>'10_Source_Orders_3M'!F69</f>
        <v/>
      </c>
      <c r="G69" s="5">
        <f>'10_Source_Orders_3M'!G69</f>
        <v/>
      </c>
    </row>
    <row r="70" ht="20" customHeight="1">
      <c r="A70" s="5">
        <f>'10_Source_Orders_3M'!A70</f>
        <v/>
      </c>
      <c r="B70" s="5">
        <f>'10_Source_Orders_3M'!B70</f>
        <v/>
      </c>
      <c r="C70" s="5">
        <f>'10_Source_Orders_3M'!C70</f>
        <v/>
      </c>
      <c r="D70" s="5">
        <f>'10_Source_Orders_3M'!D70</f>
        <v/>
      </c>
      <c r="E70" s="13">
        <f>'10_Source_Orders_3M'!E70</f>
        <v/>
      </c>
      <c r="F70" s="6">
        <f>'10_Source_Orders_3M'!F70</f>
        <v/>
      </c>
      <c r="G70" s="5">
        <f>'10_Source_Orders_3M'!G70</f>
        <v/>
      </c>
    </row>
    <row r="71" ht="20" customHeight="1">
      <c r="A71" s="5">
        <f>'10_Source_Orders_3M'!A71</f>
        <v/>
      </c>
      <c r="B71" s="5">
        <f>'10_Source_Orders_3M'!B71</f>
        <v/>
      </c>
      <c r="C71" s="5">
        <f>'10_Source_Orders_3M'!C71</f>
        <v/>
      </c>
      <c r="D71" s="5">
        <f>'10_Source_Orders_3M'!D71</f>
        <v/>
      </c>
      <c r="E71" s="13">
        <f>'10_Source_Orders_3M'!E71</f>
        <v/>
      </c>
      <c r="F71" s="6">
        <f>'10_Source_Orders_3M'!F71</f>
        <v/>
      </c>
      <c r="G71" s="5">
        <f>'10_Source_Orders_3M'!G71</f>
        <v/>
      </c>
    </row>
    <row r="72" ht="20" customHeight="1">
      <c r="A72" s="5">
        <f>'10_Source_Orders_3M'!A72</f>
        <v/>
      </c>
      <c r="B72" s="5">
        <f>'10_Source_Orders_3M'!B72</f>
        <v/>
      </c>
      <c r="C72" s="5">
        <f>'10_Source_Orders_3M'!C72</f>
        <v/>
      </c>
      <c r="D72" s="5">
        <f>'10_Source_Orders_3M'!D72</f>
        <v/>
      </c>
      <c r="E72" s="13">
        <f>'10_Source_Orders_3M'!E72</f>
        <v/>
      </c>
      <c r="F72" s="6">
        <f>'10_Source_Orders_3M'!F72</f>
        <v/>
      </c>
      <c r="G72" s="5">
        <f>'10_Source_Orders_3M'!G72</f>
        <v/>
      </c>
    </row>
    <row r="73" ht="20" customHeight="1">
      <c r="A73" s="5">
        <f>'10_Source_Orders_3M'!A73</f>
        <v/>
      </c>
      <c r="B73" s="5">
        <f>'10_Source_Orders_3M'!B73</f>
        <v/>
      </c>
      <c r="C73" s="5">
        <f>'10_Source_Orders_3M'!C73</f>
        <v/>
      </c>
      <c r="D73" s="5">
        <f>'10_Source_Orders_3M'!D73</f>
        <v/>
      </c>
      <c r="E73" s="13">
        <f>'10_Source_Orders_3M'!E73</f>
        <v/>
      </c>
      <c r="F73" s="6">
        <f>'10_Source_Orders_3M'!F73</f>
        <v/>
      </c>
      <c r="G73" s="5">
        <f>'10_Source_Orders_3M'!G73</f>
        <v/>
      </c>
    </row>
    <row r="74" ht="20" customHeight="1">
      <c r="A74" s="5">
        <f>'10_Source_Orders_3M'!A74</f>
        <v/>
      </c>
      <c r="B74" s="5">
        <f>'10_Source_Orders_3M'!B74</f>
        <v/>
      </c>
      <c r="C74" s="5">
        <f>'10_Source_Orders_3M'!C74</f>
        <v/>
      </c>
      <c r="D74" s="5">
        <f>'10_Source_Orders_3M'!D74</f>
        <v/>
      </c>
      <c r="E74" s="13">
        <f>'10_Source_Orders_3M'!E74</f>
        <v/>
      </c>
      <c r="F74" s="6">
        <f>'10_Source_Orders_3M'!F74</f>
        <v/>
      </c>
      <c r="G74" s="5">
        <f>'10_Source_Orders_3M'!G74</f>
        <v/>
      </c>
    </row>
    <row r="75" ht="20" customHeight="1">
      <c r="A75" s="5">
        <f>'10_Source_Orders_3M'!A75</f>
        <v/>
      </c>
      <c r="B75" s="5">
        <f>'10_Source_Orders_3M'!B75</f>
        <v/>
      </c>
      <c r="C75" s="5">
        <f>'10_Source_Orders_3M'!C75</f>
        <v/>
      </c>
      <c r="D75" s="5">
        <f>'10_Source_Orders_3M'!D75</f>
        <v/>
      </c>
      <c r="E75" s="13">
        <f>'10_Source_Orders_3M'!E75</f>
        <v/>
      </c>
      <c r="F75" s="6">
        <f>'10_Source_Orders_3M'!F75</f>
        <v/>
      </c>
      <c r="G75" s="5">
        <f>'10_Source_Orders_3M'!G75</f>
        <v/>
      </c>
    </row>
    <row r="76" ht="20" customHeight="1">
      <c r="A76" s="5">
        <f>'10_Source_Orders_3M'!A76</f>
        <v/>
      </c>
      <c r="B76" s="5">
        <f>'10_Source_Orders_3M'!B76</f>
        <v/>
      </c>
      <c r="C76" s="5">
        <f>'10_Source_Orders_3M'!C76</f>
        <v/>
      </c>
      <c r="D76" s="5">
        <f>'10_Source_Orders_3M'!D76</f>
        <v/>
      </c>
      <c r="E76" s="13">
        <f>'10_Source_Orders_3M'!E76</f>
        <v/>
      </c>
      <c r="F76" s="6">
        <f>'10_Source_Orders_3M'!F76</f>
        <v/>
      </c>
      <c r="G76" s="5">
        <f>'10_Source_Orders_3M'!G76</f>
        <v/>
      </c>
    </row>
    <row r="77" ht="20" customHeight="1">
      <c r="A77" s="5">
        <f>'10_Source_Orders_3M'!A77</f>
        <v/>
      </c>
      <c r="B77" s="5">
        <f>'10_Source_Orders_3M'!B77</f>
        <v/>
      </c>
      <c r="C77" s="5">
        <f>'10_Source_Orders_3M'!C77</f>
        <v/>
      </c>
      <c r="D77" s="5">
        <f>'10_Source_Orders_3M'!D77</f>
        <v/>
      </c>
      <c r="E77" s="13">
        <f>'10_Source_Orders_3M'!E77</f>
        <v/>
      </c>
      <c r="F77" s="6">
        <f>'10_Source_Orders_3M'!F77</f>
        <v/>
      </c>
      <c r="G77" s="5">
        <f>'10_Source_Orders_3M'!G77</f>
        <v/>
      </c>
    </row>
    <row r="78" ht="20" customHeight="1">
      <c r="A78" s="5">
        <f>'10_Source_Orders_3M'!A78</f>
        <v/>
      </c>
      <c r="B78" s="5">
        <f>'10_Source_Orders_3M'!B78</f>
        <v/>
      </c>
      <c r="C78" s="5">
        <f>'10_Source_Orders_3M'!C78</f>
        <v/>
      </c>
      <c r="D78" s="5">
        <f>'10_Source_Orders_3M'!D78</f>
        <v/>
      </c>
      <c r="E78" s="13">
        <f>'10_Source_Orders_3M'!E78</f>
        <v/>
      </c>
      <c r="F78" s="6">
        <f>'10_Source_Orders_3M'!F78</f>
        <v/>
      </c>
      <c r="G78" s="5">
        <f>'10_Source_Orders_3M'!G78</f>
        <v/>
      </c>
    </row>
    <row r="79" ht="20" customHeight="1">
      <c r="A79" s="5">
        <f>'10_Source_Orders_3M'!A79</f>
        <v/>
      </c>
      <c r="B79" s="5">
        <f>'10_Source_Orders_3M'!B79</f>
        <v/>
      </c>
      <c r="C79" s="5">
        <f>'10_Source_Orders_3M'!C79</f>
        <v/>
      </c>
      <c r="D79" s="5">
        <f>'10_Source_Orders_3M'!D79</f>
        <v/>
      </c>
      <c r="E79" s="13">
        <f>'10_Source_Orders_3M'!E79</f>
        <v/>
      </c>
      <c r="F79" s="6">
        <f>'10_Source_Orders_3M'!F79</f>
        <v/>
      </c>
      <c r="G79" s="5">
        <f>'10_Source_Orders_3M'!G79</f>
        <v/>
      </c>
    </row>
    <row r="80" ht="20" customHeight="1">
      <c r="A80" s="5">
        <f>'10_Source_Orders_3M'!A80</f>
        <v/>
      </c>
      <c r="B80" s="5">
        <f>'10_Source_Orders_3M'!B80</f>
        <v/>
      </c>
      <c r="C80" s="5">
        <f>'10_Source_Orders_3M'!C80</f>
        <v/>
      </c>
      <c r="D80" s="5">
        <f>'10_Source_Orders_3M'!D80</f>
        <v/>
      </c>
      <c r="E80" s="13">
        <f>'10_Source_Orders_3M'!E80</f>
        <v/>
      </c>
      <c r="F80" s="6">
        <f>'10_Source_Orders_3M'!F80</f>
        <v/>
      </c>
      <c r="G80" s="5">
        <f>'10_Source_Orders_3M'!G80</f>
        <v/>
      </c>
    </row>
    <row r="81" ht="20" customHeight="1">
      <c r="A81" s="5">
        <f>'10_Source_Orders_3M'!A81</f>
        <v/>
      </c>
      <c r="B81" s="5">
        <f>'10_Source_Orders_3M'!B81</f>
        <v/>
      </c>
      <c r="C81" s="5">
        <f>'10_Source_Orders_3M'!C81</f>
        <v/>
      </c>
      <c r="D81" s="5">
        <f>'10_Source_Orders_3M'!D81</f>
        <v/>
      </c>
      <c r="E81" s="13">
        <f>'10_Source_Orders_3M'!E81</f>
        <v/>
      </c>
      <c r="F81" s="6">
        <f>'10_Source_Orders_3M'!F81</f>
        <v/>
      </c>
      <c r="G81" s="5">
        <f>'10_Source_Orders_3M'!G81</f>
        <v/>
      </c>
    </row>
    <row r="82" ht="20" customHeight="1">
      <c r="A82" s="5">
        <f>'10_Source_Orders_3M'!A82</f>
        <v/>
      </c>
      <c r="B82" s="5">
        <f>'10_Source_Orders_3M'!B82</f>
        <v/>
      </c>
      <c r="C82" s="5">
        <f>'10_Source_Orders_3M'!C82</f>
        <v/>
      </c>
      <c r="D82" s="5">
        <f>'10_Source_Orders_3M'!D82</f>
        <v/>
      </c>
      <c r="E82" s="13">
        <f>'10_Source_Orders_3M'!E82</f>
        <v/>
      </c>
      <c r="F82" s="6">
        <f>'10_Source_Orders_3M'!F82</f>
        <v/>
      </c>
      <c r="G82" s="5">
        <f>'10_Source_Orders_3M'!G82</f>
        <v/>
      </c>
    </row>
    <row r="83" ht="20" customHeight="1">
      <c r="A83" s="5">
        <f>'10_Source_Orders_3M'!A83</f>
        <v/>
      </c>
      <c r="B83" s="5">
        <f>'10_Source_Orders_3M'!B83</f>
        <v/>
      </c>
      <c r="C83" s="5">
        <f>'10_Source_Orders_3M'!C83</f>
        <v/>
      </c>
      <c r="D83" s="5">
        <f>'10_Source_Orders_3M'!D83</f>
        <v/>
      </c>
      <c r="E83" s="13">
        <f>'10_Source_Orders_3M'!E83</f>
        <v/>
      </c>
      <c r="F83" s="6">
        <f>'10_Source_Orders_3M'!F83</f>
        <v/>
      </c>
      <c r="G83" s="5">
        <f>'10_Source_Orders_3M'!G83</f>
        <v/>
      </c>
    </row>
    <row r="84" ht="20" customHeight="1">
      <c r="A84" s="5">
        <f>'10_Source_Orders_3M'!A84</f>
        <v/>
      </c>
      <c r="B84" s="5">
        <f>'10_Source_Orders_3M'!B84</f>
        <v/>
      </c>
      <c r="C84" s="5">
        <f>'10_Source_Orders_3M'!C84</f>
        <v/>
      </c>
      <c r="D84" s="5">
        <f>'10_Source_Orders_3M'!D84</f>
        <v/>
      </c>
      <c r="E84" s="13">
        <f>'10_Source_Orders_3M'!E84</f>
        <v/>
      </c>
      <c r="F84" s="6">
        <f>'10_Source_Orders_3M'!F84</f>
        <v/>
      </c>
      <c r="G84" s="5">
        <f>'10_Source_Orders_3M'!G84</f>
        <v/>
      </c>
    </row>
    <row r="85" ht="20" customHeight="1">
      <c r="A85" s="5">
        <f>'10_Source_Orders_3M'!A85</f>
        <v/>
      </c>
      <c r="B85" s="5">
        <f>'10_Source_Orders_3M'!B85</f>
        <v/>
      </c>
      <c r="C85" s="5">
        <f>'10_Source_Orders_3M'!C85</f>
        <v/>
      </c>
      <c r="D85" s="5">
        <f>'10_Source_Orders_3M'!D85</f>
        <v/>
      </c>
      <c r="E85" s="13">
        <f>'10_Source_Orders_3M'!E85</f>
        <v/>
      </c>
      <c r="F85" s="6">
        <f>'10_Source_Orders_3M'!F85</f>
        <v/>
      </c>
      <c r="G85" s="5">
        <f>'10_Source_Orders_3M'!G85</f>
        <v/>
      </c>
    </row>
    <row r="86" ht="20" customHeight="1">
      <c r="A86" s="5">
        <f>'10_Source_Orders_3M'!A86</f>
        <v/>
      </c>
      <c r="B86" s="5">
        <f>'10_Source_Orders_3M'!B86</f>
        <v/>
      </c>
      <c r="C86" s="5">
        <f>'10_Source_Orders_3M'!C86</f>
        <v/>
      </c>
      <c r="D86" s="5">
        <f>'10_Source_Orders_3M'!D86</f>
        <v/>
      </c>
      <c r="E86" s="13">
        <f>'10_Source_Orders_3M'!E86</f>
        <v/>
      </c>
      <c r="F86" s="6">
        <f>'10_Source_Orders_3M'!F86</f>
        <v/>
      </c>
      <c r="G86" s="5">
        <f>'10_Source_Orders_3M'!G86</f>
        <v/>
      </c>
    </row>
    <row r="87" ht="20" customHeight="1">
      <c r="A87" s="5">
        <f>'10_Source_Orders_3M'!A87</f>
        <v/>
      </c>
      <c r="B87" s="5">
        <f>'10_Source_Orders_3M'!B87</f>
        <v/>
      </c>
      <c r="C87" s="5">
        <f>'10_Source_Orders_3M'!C87</f>
        <v/>
      </c>
      <c r="D87" s="5">
        <f>'10_Source_Orders_3M'!D87</f>
        <v/>
      </c>
      <c r="E87" s="13">
        <f>'10_Source_Orders_3M'!E87</f>
        <v/>
      </c>
      <c r="F87" s="6">
        <f>'10_Source_Orders_3M'!F87</f>
        <v/>
      </c>
      <c r="G87" s="5">
        <f>'10_Source_Orders_3M'!G87</f>
        <v/>
      </c>
    </row>
    <row r="88" ht="20" customHeight="1">
      <c r="A88" s="5">
        <f>'10_Source_Orders_3M'!A88</f>
        <v/>
      </c>
      <c r="B88" s="5">
        <f>'10_Source_Orders_3M'!B88</f>
        <v/>
      </c>
      <c r="C88" s="5">
        <f>'10_Source_Orders_3M'!C88</f>
        <v/>
      </c>
      <c r="D88" s="5">
        <f>'10_Source_Orders_3M'!D88</f>
        <v/>
      </c>
      <c r="E88" s="13">
        <f>'10_Source_Orders_3M'!E88</f>
        <v/>
      </c>
      <c r="F88" s="6">
        <f>'10_Source_Orders_3M'!F88</f>
        <v/>
      </c>
      <c r="G88" s="5">
        <f>'10_Source_Orders_3M'!G88</f>
        <v/>
      </c>
    </row>
    <row r="89" ht="20" customHeight="1">
      <c r="A89" s="5">
        <f>'10_Source_Orders_3M'!A89</f>
        <v/>
      </c>
      <c r="B89" s="5">
        <f>'10_Source_Orders_3M'!B89</f>
        <v/>
      </c>
      <c r="C89" s="5">
        <f>'10_Source_Orders_3M'!C89</f>
        <v/>
      </c>
      <c r="D89" s="5">
        <f>'10_Source_Orders_3M'!D89</f>
        <v/>
      </c>
      <c r="E89" s="13">
        <f>'10_Source_Orders_3M'!E89</f>
        <v/>
      </c>
      <c r="F89" s="6">
        <f>'10_Source_Orders_3M'!F89</f>
        <v/>
      </c>
      <c r="G89" s="5">
        <f>'10_Source_Orders_3M'!G89</f>
        <v/>
      </c>
    </row>
    <row r="90" ht="20" customHeight="1">
      <c r="A90" s="5">
        <f>'10_Source_Orders_3M'!A90</f>
        <v/>
      </c>
      <c r="B90" s="5">
        <f>'10_Source_Orders_3M'!B90</f>
        <v/>
      </c>
      <c r="C90" s="5">
        <f>'10_Source_Orders_3M'!C90</f>
        <v/>
      </c>
      <c r="D90" s="5">
        <f>'10_Source_Orders_3M'!D90</f>
        <v/>
      </c>
      <c r="E90" s="13">
        <f>'10_Source_Orders_3M'!E90</f>
        <v/>
      </c>
      <c r="F90" s="6">
        <f>'10_Source_Orders_3M'!F90</f>
        <v/>
      </c>
      <c r="G90" s="5">
        <f>'10_Source_Orders_3M'!G90</f>
        <v/>
      </c>
    </row>
    <row r="91" ht="20" customHeight="1">
      <c r="A91" s="5">
        <f>'10_Source_Orders_3M'!A91</f>
        <v/>
      </c>
      <c r="B91" s="5">
        <f>'10_Source_Orders_3M'!B91</f>
        <v/>
      </c>
      <c r="C91" s="5">
        <f>'10_Source_Orders_3M'!C91</f>
        <v/>
      </c>
      <c r="D91" s="5">
        <f>'10_Source_Orders_3M'!D91</f>
        <v/>
      </c>
      <c r="E91" s="13">
        <f>'10_Source_Orders_3M'!E91</f>
        <v/>
      </c>
      <c r="F91" s="6">
        <f>'10_Source_Orders_3M'!F91</f>
        <v/>
      </c>
      <c r="G91" s="5">
        <f>'10_Source_Orders_3M'!G91</f>
        <v/>
      </c>
    </row>
    <row r="92" ht="20" customHeight="1">
      <c r="A92" s="5">
        <f>'10_Source_Orders_3M'!A92</f>
        <v/>
      </c>
      <c r="B92" s="5">
        <f>'10_Source_Orders_3M'!B92</f>
        <v/>
      </c>
      <c r="C92" s="5">
        <f>'10_Source_Orders_3M'!C92</f>
        <v/>
      </c>
      <c r="D92" s="5">
        <f>'10_Source_Orders_3M'!D92</f>
        <v/>
      </c>
      <c r="E92" s="13">
        <f>'10_Source_Orders_3M'!E92</f>
        <v/>
      </c>
      <c r="F92" s="6">
        <f>'10_Source_Orders_3M'!F92</f>
        <v/>
      </c>
      <c r="G92" s="5">
        <f>'10_Source_Orders_3M'!G92</f>
        <v/>
      </c>
    </row>
    <row r="93" ht="20" customHeight="1">
      <c r="A93" s="5">
        <f>'10_Source_Orders_3M'!A93</f>
        <v/>
      </c>
      <c r="B93" s="5">
        <f>'10_Source_Orders_3M'!B93</f>
        <v/>
      </c>
      <c r="C93" s="5">
        <f>'10_Source_Orders_3M'!C93</f>
        <v/>
      </c>
      <c r="D93" s="5">
        <f>'10_Source_Orders_3M'!D93</f>
        <v/>
      </c>
      <c r="E93" s="13">
        <f>'10_Source_Orders_3M'!E93</f>
        <v/>
      </c>
      <c r="F93" s="6">
        <f>'10_Source_Orders_3M'!F93</f>
        <v/>
      </c>
      <c r="G93" s="5">
        <f>'10_Source_Orders_3M'!G93</f>
        <v/>
      </c>
    </row>
    <row r="94" ht="20" customHeight="1">
      <c r="A94" s="5">
        <f>'10_Source_Orders_3M'!A94</f>
        <v/>
      </c>
      <c r="B94" s="5">
        <f>'10_Source_Orders_3M'!B94</f>
        <v/>
      </c>
      <c r="C94" s="5">
        <f>'10_Source_Orders_3M'!C94</f>
        <v/>
      </c>
      <c r="D94" s="5">
        <f>'10_Source_Orders_3M'!D94</f>
        <v/>
      </c>
      <c r="E94" s="13">
        <f>'10_Source_Orders_3M'!E94</f>
        <v/>
      </c>
      <c r="F94" s="6">
        <f>'10_Source_Orders_3M'!F94</f>
        <v/>
      </c>
      <c r="G94" s="5">
        <f>'10_Source_Orders_3M'!G94</f>
        <v/>
      </c>
    </row>
    <row r="95" ht="20" customHeight="1">
      <c r="A95" s="5">
        <f>'10_Source_Orders_3M'!A95</f>
        <v/>
      </c>
      <c r="B95" s="5">
        <f>'10_Source_Orders_3M'!B95</f>
        <v/>
      </c>
      <c r="C95" s="5">
        <f>'10_Source_Orders_3M'!C95</f>
        <v/>
      </c>
      <c r="D95" s="5">
        <f>'10_Source_Orders_3M'!D95</f>
        <v/>
      </c>
      <c r="E95" s="13">
        <f>'10_Source_Orders_3M'!E95</f>
        <v/>
      </c>
      <c r="F95" s="6">
        <f>'10_Source_Orders_3M'!F95</f>
        <v/>
      </c>
      <c r="G95" s="5">
        <f>'10_Source_Orders_3M'!G95</f>
        <v/>
      </c>
    </row>
    <row r="96" ht="20" customHeight="1">
      <c r="A96" s="5">
        <f>'10_Source_Orders_3M'!A96</f>
        <v/>
      </c>
      <c r="B96" s="5">
        <f>'10_Source_Orders_3M'!B96</f>
        <v/>
      </c>
      <c r="C96" s="5">
        <f>'10_Source_Orders_3M'!C96</f>
        <v/>
      </c>
      <c r="D96" s="5">
        <f>'10_Source_Orders_3M'!D96</f>
        <v/>
      </c>
      <c r="E96" s="13">
        <f>'10_Source_Orders_3M'!E96</f>
        <v/>
      </c>
      <c r="F96" s="6">
        <f>'10_Source_Orders_3M'!F96</f>
        <v/>
      </c>
      <c r="G96" s="5">
        <f>'10_Source_Orders_3M'!G96</f>
        <v/>
      </c>
    </row>
    <row r="97" ht="20" customHeight="1">
      <c r="A97" s="5">
        <f>'10_Source_Orders_3M'!A97</f>
        <v/>
      </c>
      <c r="B97" s="5">
        <f>'10_Source_Orders_3M'!B97</f>
        <v/>
      </c>
      <c r="C97" s="5">
        <f>'10_Source_Orders_3M'!C97</f>
        <v/>
      </c>
      <c r="D97" s="5">
        <f>'10_Source_Orders_3M'!D97</f>
        <v/>
      </c>
      <c r="E97" s="13">
        <f>'10_Source_Orders_3M'!E97</f>
        <v/>
      </c>
      <c r="F97" s="6">
        <f>'10_Source_Orders_3M'!F97</f>
        <v/>
      </c>
      <c r="G97" s="5">
        <f>'10_Source_Orders_3M'!G97</f>
        <v/>
      </c>
    </row>
    <row r="98" ht="20" customHeight="1">
      <c r="A98" s="5">
        <f>'10_Source_Orders_3M'!A98</f>
        <v/>
      </c>
      <c r="B98" s="5">
        <f>'10_Source_Orders_3M'!B98</f>
        <v/>
      </c>
      <c r="C98" s="5">
        <f>'10_Source_Orders_3M'!C98</f>
        <v/>
      </c>
      <c r="D98" s="5">
        <f>'10_Source_Orders_3M'!D98</f>
        <v/>
      </c>
      <c r="E98" s="13">
        <f>'10_Source_Orders_3M'!E98</f>
        <v/>
      </c>
      <c r="F98" s="6">
        <f>'10_Source_Orders_3M'!F98</f>
        <v/>
      </c>
      <c r="G98" s="5">
        <f>'10_Source_Orders_3M'!G98</f>
        <v/>
      </c>
    </row>
    <row r="99" ht="20" customHeight="1">
      <c r="A99" s="5">
        <f>'10_Source_Orders_3M'!A99</f>
        <v/>
      </c>
      <c r="B99" s="5">
        <f>'10_Source_Orders_3M'!B99</f>
        <v/>
      </c>
      <c r="C99" s="5">
        <f>'10_Source_Orders_3M'!C99</f>
        <v/>
      </c>
      <c r="D99" s="5">
        <f>'10_Source_Orders_3M'!D99</f>
        <v/>
      </c>
      <c r="E99" s="13">
        <f>'10_Source_Orders_3M'!E99</f>
        <v/>
      </c>
      <c r="F99" s="6">
        <f>'10_Source_Orders_3M'!F99</f>
        <v/>
      </c>
      <c r="G99" s="5">
        <f>'10_Source_Orders_3M'!G99</f>
        <v/>
      </c>
    </row>
    <row r="100" ht="20" customHeight="1">
      <c r="A100" s="5">
        <f>'10_Source_Orders_3M'!A100</f>
        <v/>
      </c>
      <c r="B100" s="5">
        <f>'10_Source_Orders_3M'!B100</f>
        <v/>
      </c>
      <c r="C100" s="5">
        <f>'10_Source_Orders_3M'!C100</f>
        <v/>
      </c>
      <c r="D100" s="5">
        <f>'10_Source_Orders_3M'!D100</f>
        <v/>
      </c>
      <c r="E100" s="13">
        <f>'10_Source_Orders_3M'!E100</f>
        <v/>
      </c>
      <c r="F100" s="6">
        <f>'10_Source_Orders_3M'!F100</f>
        <v/>
      </c>
      <c r="G100" s="5">
        <f>'10_Source_Orders_3M'!G100</f>
        <v/>
      </c>
    </row>
    <row r="101" ht="20" customHeight="1">
      <c r="A101" s="5">
        <f>'10_Source_Orders_3M'!A101</f>
        <v/>
      </c>
      <c r="B101" s="5">
        <f>'10_Source_Orders_3M'!B101</f>
        <v/>
      </c>
      <c r="C101" s="5">
        <f>'10_Source_Orders_3M'!C101</f>
        <v/>
      </c>
      <c r="D101" s="5">
        <f>'10_Source_Orders_3M'!D101</f>
        <v/>
      </c>
      <c r="E101" s="13">
        <f>'10_Source_Orders_3M'!E101</f>
        <v/>
      </c>
      <c r="F101" s="6">
        <f>'10_Source_Orders_3M'!F101</f>
        <v/>
      </c>
      <c r="G101" s="5">
        <f>'10_Source_Orders_3M'!G101</f>
        <v/>
      </c>
    </row>
    <row r="102" ht="20" customHeight="1">
      <c r="A102" s="5">
        <f>'10_Source_Orders_3M'!A102</f>
        <v/>
      </c>
      <c r="B102" s="5">
        <f>'10_Source_Orders_3M'!B102</f>
        <v/>
      </c>
      <c r="C102" s="5">
        <f>'10_Source_Orders_3M'!C102</f>
        <v/>
      </c>
      <c r="D102" s="5">
        <f>'10_Source_Orders_3M'!D102</f>
        <v/>
      </c>
      <c r="E102" s="13">
        <f>'10_Source_Orders_3M'!E102</f>
        <v/>
      </c>
      <c r="F102" s="6">
        <f>'10_Source_Orders_3M'!F102</f>
        <v/>
      </c>
      <c r="G102" s="5">
        <f>'10_Source_Orders_3M'!G102</f>
        <v/>
      </c>
    </row>
    <row r="103" ht="20" customHeight="1">
      <c r="A103" s="5">
        <f>'10_Source_Orders_3M'!A103</f>
        <v/>
      </c>
      <c r="B103" s="5">
        <f>'10_Source_Orders_3M'!B103</f>
        <v/>
      </c>
      <c r="C103" s="5">
        <f>'10_Source_Orders_3M'!C103</f>
        <v/>
      </c>
      <c r="D103" s="5">
        <f>'10_Source_Orders_3M'!D103</f>
        <v/>
      </c>
      <c r="E103" s="13">
        <f>'10_Source_Orders_3M'!E103</f>
        <v/>
      </c>
      <c r="F103" s="6">
        <f>'10_Source_Orders_3M'!F103</f>
        <v/>
      </c>
      <c r="G103" s="5">
        <f>'10_Source_Orders_3M'!G103</f>
        <v/>
      </c>
    </row>
    <row r="104" ht="20" customHeight="1">
      <c r="A104" s="5">
        <f>'10_Source_Orders_3M'!A104</f>
        <v/>
      </c>
      <c r="B104" s="5">
        <f>'10_Source_Orders_3M'!B104</f>
        <v/>
      </c>
      <c r="C104" s="5">
        <f>'10_Source_Orders_3M'!C104</f>
        <v/>
      </c>
      <c r="D104" s="5">
        <f>'10_Source_Orders_3M'!D104</f>
        <v/>
      </c>
      <c r="E104" s="13">
        <f>'10_Source_Orders_3M'!E104</f>
        <v/>
      </c>
      <c r="F104" s="6">
        <f>'10_Source_Orders_3M'!F104</f>
        <v/>
      </c>
      <c r="G104" s="5">
        <f>'10_Source_Orders_3M'!G104</f>
        <v/>
      </c>
    </row>
    <row r="105" ht="20" customHeight="1">
      <c r="A105" s="5">
        <f>'10_Source_Orders_3M'!A105</f>
        <v/>
      </c>
      <c r="B105" s="5">
        <f>'10_Source_Orders_3M'!B105</f>
        <v/>
      </c>
      <c r="C105" s="5">
        <f>'10_Source_Orders_3M'!C105</f>
        <v/>
      </c>
      <c r="D105" s="5">
        <f>'10_Source_Orders_3M'!D105</f>
        <v/>
      </c>
      <c r="E105" s="13">
        <f>'10_Source_Orders_3M'!E105</f>
        <v/>
      </c>
      <c r="F105" s="6">
        <f>'10_Source_Orders_3M'!F105</f>
        <v/>
      </c>
      <c r="G105" s="5">
        <f>'10_Source_Orders_3M'!G105</f>
        <v/>
      </c>
    </row>
    <row r="106" ht="20" customHeight="1">
      <c r="A106" s="5">
        <f>'10_Source_Orders_3M'!A106</f>
        <v/>
      </c>
      <c r="B106" s="5">
        <f>'10_Source_Orders_3M'!B106</f>
        <v/>
      </c>
      <c r="C106" s="5">
        <f>'10_Source_Orders_3M'!C106</f>
        <v/>
      </c>
      <c r="D106" s="5">
        <f>'10_Source_Orders_3M'!D106</f>
        <v/>
      </c>
      <c r="E106" s="13">
        <f>'10_Source_Orders_3M'!E106</f>
        <v/>
      </c>
      <c r="F106" s="6">
        <f>'10_Source_Orders_3M'!F106</f>
        <v/>
      </c>
      <c r="G106" s="5">
        <f>'10_Source_Orders_3M'!G106</f>
        <v/>
      </c>
    </row>
    <row r="107" ht="20" customHeight="1">
      <c r="A107" s="5">
        <f>'10_Source_Orders_3M'!A107</f>
        <v/>
      </c>
      <c r="B107" s="5">
        <f>'10_Source_Orders_3M'!B107</f>
        <v/>
      </c>
      <c r="C107" s="5">
        <f>'10_Source_Orders_3M'!C107</f>
        <v/>
      </c>
      <c r="D107" s="5">
        <f>'10_Source_Orders_3M'!D107</f>
        <v/>
      </c>
      <c r="E107" s="13">
        <f>'10_Source_Orders_3M'!E107</f>
        <v/>
      </c>
      <c r="F107" s="6">
        <f>'10_Source_Orders_3M'!F107</f>
        <v/>
      </c>
      <c r="G107" s="5">
        <f>'10_Source_Orders_3M'!G107</f>
        <v/>
      </c>
    </row>
    <row r="108" ht="20" customHeight="1">
      <c r="A108" s="5">
        <f>'10_Source_Orders_3M'!A108</f>
        <v/>
      </c>
      <c r="B108" s="5">
        <f>'10_Source_Orders_3M'!B108</f>
        <v/>
      </c>
      <c r="C108" s="5">
        <f>'10_Source_Orders_3M'!C108</f>
        <v/>
      </c>
      <c r="D108" s="5">
        <f>'10_Source_Orders_3M'!D108</f>
        <v/>
      </c>
      <c r="E108" s="13">
        <f>'10_Source_Orders_3M'!E108</f>
        <v/>
      </c>
      <c r="F108" s="6">
        <f>'10_Source_Orders_3M'!F108</f>
        <v/>
      </c>
      <c r="G108" s="5">
        <f>'10_Source_Orders_3M'!G108</f>
        <v/>
      </c>
    </row>
    <row r="109" ht="20" customHeight="1">
      <c r="A109" s="5">
        <f>'10_Source_Orders_3M'!A109</f>
        <v/>
      </c>
      <c r="B109" s="5">
        <f>'10_Source_Orders_3M'!B109</f>
        <v/>
      </c>
      <c r="C109" s="5">
        <f>'10_Source_Orders_3M'!C109</f>
        <v/>
      </c>
      <c r="D109" s="5">
        <f>'10_Source_Orders_3M'!D109</f>
        <v/>
      </c>
      <c r="E109" s="13">
        <f>'10_Source_Orders_3M'!E109</f>
        <v/>
      </c>
      <c r="F109" s="6">
        <f>'10_Source_Orders_3M'!F109</f>
        <v/>
      </c>
      <c r="G109" s="5">
        <f>'10_Source_Orders_3M'!G109</f>
        <v/>
      </c>
    </row>
    <row r="110" ht="20" customHeight="1">
      <c r="A110" s="5">
        <f>'10_Source_Orders_3M'!A110</f>
        <v/>
      </c>
      <c r="B110" s="5">
        <f>'10_Source_Orders_3M'!B110</f>
        <v/>
      </c>
      <c r="C110" s="5">
        <f>'10_Source_Orders_3M'!C110</f>
        <v/>
      </c>
      <c r="D110" s="5">
        <f>'10_Source_Orders_3M'!D110</f>
        <v/>
      </c>
      <c r="E110" s="13">
        <f>'10_Source_Orders_3M'!E110</f>
        <v/>
      </c>
      <c r="F110" s="6">
        <f>'10_Source_Orders_3M'!F110</f>
        <v/>
      </c>
      <c r="G110" s="5">
        <f>'10_Source_Orders_3M'!G110</f>
        <v/>
      </c>
    </row>
    <row r="111" ht="20" customHeight="1">
      <c r="A111" s="5">
        <f>'10_Source_Orders_3M'!A111</f>
        <v/>
      </c>
      <c r="B111" s="5">
        <f>'10_Source_Orders_3M'!B111</f>
        <v/>
      </c>
      <c r="C111" s="5">
        <f>'10_Source_Orders_3M'!C111</f>
        <v/>
      </c>
      <c r="D111" s="5">
        <f>'10_Source_Orders_3M'!D111</f>
        <v/>
      </c>
      <c r="E111" s="13">
        <f>'10_Source_Orders_3M'!E111</f>
        <v/>
      </c>
      <c r="F111" s="6">
        <f>'10_Source_Orders_3M'!F111</f>
        <v/>
      </c>
      <c r="G111" s="5">
        <f>'10_Source_Orders_3M'!G111</f>
        <v/>
      </c>
    </row>
    <row r="112" ht="20" customHeight="1">
      <c r="A112" s="5">
        <f>'10_Source_Orders_3M'!A112</f>
        <v/>
      </c>
      <c r="B112" s="5">
        <f>'10_Source_Orders_3M'!B112</f>
        <v/>
      </c>
      <c r="C112" s="5">
        <f>'10_Source_Orders_3M'!C112</f>
        <v/>
      </c>
      <c r="D112" s="5">
        <f>'10_Source_Orders_3M'!D112</f>
        <v/>
      </c>
      <c r="E112" s="13">
        <f>'10_Source_Orders_3M'!E112</f>
        <v/>
      </c>
      <c r="F112" s="6">
        <f>'10_Source_Orders_3M'!F112</f>
        <v/>
      </c>
      <c r="G112" s="5">
        <f>'10_Source_Orders_3M'!G112</f>
        <v/>
      </c>
    </row>
    <row r="113" ht="20" customHeight="1">
      <c r="A113" s="5">
        <f>'10_Source_Orders_3M'!A113</f>
        <v/>
      </c>
      <c r="B113" s="5">
        <f>'10_Source_Orders_3M'!B113</f>
        <v/>
      </c>
      <c r="C113" s="5">
        <f>'10_Source_Orders_3M'!C113</f>
        <v/>
      </c>
      <c r="D113" s="5">
        <f>'10_Source_Orders_3M'!D113</f>
        <v/>
      </c>
      <c r="E113" s="13">
        <f>'10_Source_Orders_3M'!E113</f>
        <v/>
      </c>
      <c r="F113" s="6">
        <f>'10_Source_Orders_3M'!F113</f>
        <v/>
      </c>
      <c r="G113" s="5">
        <f>'10_Source_Orders_3M'!G113</f>
        <v/>
      </c>
    </row>
    <row r="114" ht="20" customHeight="1">
      <c r="A114" s="5">
        <f>'10_Source_Orders_3M'!A114</f>
        <v/>
      </c>
      <c r="B114" s="5">
        <f>'10_Source_Orders_3M'!B114</f>
        <v/>
      </c>
      <c r="C114" s="5">
        <f>'10_Source_Orders_3M'!C114</f>
        <v/>
      </c>
      <c r="D114" s="5">
        <f>'10_Source_Orders_3M'!D114</f>
        <v/>
      </c>
      <c r="E114" s="13">
        <f>'10_Source_Orders_3M'!E114</f>
        <v/>
      </c>
      <c r="F114" s="6">
        <f>'10_Source_Orders_3M'!F114</f>
        <v/>
      </c>
      <c r="G114" s="5">
        <f>'10_Source_Orders_3M'!G114</f>
        <v/>
      </c>
    </row>
    <row r="115" ht="20" customHeight="1">
      <c r="A115" s="5">
        <f>'10_Source_Orders_3M'!A115</f>
        <v/>
      </c>
      <c r="B115" s="5">
        <f>'10_Source_Orders_3M'!B115</f>
        <v/>
      </c>
      <c r="C115" s="5">
        <f>'10_Source_Orders_3M'!C115</f>
        <v/>
      </c>
      <c r="D115" s="5">
        <f>'10_Source_Orders_3M'!D115</f>
        <v/>
      </c>
      <c r="E115" s="13">
        <f>'10_Source_Orders_3M'!E115</f>
        <v/>
      </c>
      <c r="F115" s="6">
        <f>'10_Source_Orders_3M'!F115</f>
        <v/>
      </c>
      <c r="G115" s="5">
        <f>'10_Source_Orders_3M'!G115</f>
        <v/>
      </c>
    </row>
    <row r="116" ht="20" customHeight="1">
      <c r="A116" s="5">
        <f>'10_Source_Orders_3M'!A116</f>
        <v/>
      </c>
      <c r="B116" s="5">
        <f>'10_Source_Orders_3M'!B116</f>
        <v/>
      </c>
      <c r="C116" s="5">
        <f>'10_Source_Orders_3M'!C116</f>
        <v/>
      </c>
      <c r="D116" s="5">
        <f>'10_Source_Orders_3M'!D116</f>
        <v/>
      </c>
      <c r="E116" s="13">
        <f>'10_Source_Orders_3M'!E116</f>
        <v/>
      </c>
      <c r="F116" s="6">
        <f>'10_Source_Orders_3M'!F116</f>
        <v/>
      </c>
      <c r="G116" s="5">
        <f>'10_Source_Orders_3M'!G116</f>
        <v/>
      </c>
    </row>
    <row r="117" ht="20" customHeight="1">
      <c r="A117" s="5">
        <f>'10_Source_Orders_3M'!A117</f>
        <v/>
      </c>
      <c r="B117" s="5">
        <f>'10_Source_Orders_3M'!B117</f>
        <v/>
      </c>
      <c r="C117" s="5">
        <f>'10_Source_Orders_3M'!C117</f>
        <v/>
      </c>
      <c r="D117" s="5">
        <f>'10_Source_Orders_3M'!D117</f>
        <v/>
      </c>
      <c r="E117" s="13">
        <f>'10_Source_Orders_3M'!E117</f>
        <v/>
      </c>
      <c r="F117" s="6">
        <f>'10_Source_Orders_3M'!F117</f>
        <v/>
      </c>
      <c r="G117" s="5">
        <f>'10_Source_Orders_3M'!G117</f>
        <v/>
      </c>
    </row>
    <row r="118" ht="20" customHeight="1">
      <c r="A118" s="5">
        <f>'10_Source_Orders_3M'!A118</f>
        <v/>
      </c>
      <c r="B118" s="5">
        <f>'10_Source_Orders_3M'!B118</f>
        <v/>
      </c>
      <c r="C118" s="5">
        <f>'10_Source_Orders_3M'!C118</f>
        <v/>
      </c>
      <c r="D118" s="5">
        <f>'10_Source_Orders_3M'!D118</f>
        <v/>
      </c>
      <c r="E118" s="13">
        <f>'10_Source_Orders_3M'!E118</f>
        <v/>
      </c>
      <c r="F118" s="6">
        <f>'10_Source_Orders_3M'!F118</f>
        <v/>
      </c>
      <c r="G118" s="5">
        <f>'10_Source_Orders_3M'!G118</f>
        <v/>
      </c>
    </row>
    <row r="119" ht="20" customHeight="1">
      <c r="A119" s="5">
        <f>'10_Source_Orders_3M'!A119</f>
        <v/>
      </c>
      <c r="B119" s="5">
        <f>'10_Source_Orders_3M'!B119</f>
        <v/>
      </c>
      <c r="C119" s="5">
        <f>'10_Source_Orders_3M'!C119</f>
        <v/>
      </c>
      <c r="D119" s="5">
        <f>'10_Source_Orders_3M'!D119</f>
        <v/>
      </c>
      <c r="E119" s="13">
        <f>'10_Source_Orders_3M'!E119</f>
        <v/>
      </c>
      <c r="F119" s="6">
        <f>'10_Source_Orders_3M'!F119</f>
        <v/>
      </c>
      <c r="G119" s="5">
        <f>'10_Source_Orders_3M'!G119</f>
        <v/>
      </c>
    </row>
    <row r="120" ht="20" customHeight="1">
      <c r="A120" s="5">
        <f>'10_Source_Orders_3M'!A120</f>
        <v/>
      </c>
      <c r="B120" s="5">
        <f>'10_Source_Orders_3M'!B120</f>
        <v/>
      </c>
      <c r="C120" s="5">
        <f>'10_Source_Orders_3M'!C120</f>
        <v/>
      </c>
      <c r="D120" s="5">
        <f>'10_Source_Orders_3M'!D120</f>
        <v/>
      </c>
      <c r="E120" s="13">
        <f>'10_Source_Orders_3M'!E120</f>
        <v/>
      </c>
      <c r="F120" s="6">
        <f>'10_Source_Orders_3M'!F120</f>
        <v/>
      </c>
      <c r="G120" s="5">
        <f>'10_Source_Orders_3M'!G120</f>
        <v/>
      </c>
    </row>
    <row r="121" ht="20" customHeight="1">
      <c r="A121" s="5">
        <f>'10_Source_Orders_3M'!A121</f>
        <v/>
      </c>
      <c r="B121" s="5">
        <f>'10_Source_Orders_3M'!B121</f>
        <v/>
      </c>
      <c r="C121" s="5">
        <f>'10_Source_Orders_3M'!C121</f>
        <v/>
      </c>
      <c r="D121" s="5">
        <f>'10_Source_Orders_3M'!D121</f>
        <v/>
      </c>
      <c r="E121" s="13">
        <f>'10_Source_Orders_3M'!E121</f>
        <v/>
      </c>
      <c r="F121" s="6">
        <f>'10_Source_Orders_3M'!F121</f>
        <v/>
      </c>
      <c r="G121" s="5">
        <f>'10_Source_Orders_3M'!G121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9" customWidth="1" min="2" max="2"/>
    <col width="29" customWidth="1" min="3" max="3"/>
    <col width="29" customWidth="1" min="4" max="4"/>
    <col width="29" customWidth="1" min="5" max="5"/>
  </cols>
  <sheetData>
    <row r="1" ht="20" customHeight="1">
      <c r="A1" s="3" t="inlineStr">
        <is>
          <t>Status group</t>
        </is>
      </c>
      <c r="B1" s="3" t="inlineStr">
        <is>
          <t>Count</t>
        </is>
      </c>
      <c r="C1" s="3" t="inlineStr">
        <is>
          <t>Value</t>
        </is>
      </c>
      <c r="D1" s="3" t="inlineStr">
        <is>
          <t>% Value</t>
        </is>
      </c>
      <c r="E1" s="3" t="inlineStr">
        <is>
          <t>% Count</t>
        </is>
      </c>
    </row>
    <row r="2" ht="20" customHeight="1">
      <c r="A2" s="5">
        <f>'09_Source_Status_Mix'!A9</f>
        <v/>
      </c>
      <c r="B2" s="5">
        <f>'09_Source_Status_Mix'!B9</f>
        <v/>
      </c>
      <c r="C2" s="6">
        <f>'09_Source_Status_Mix'!C9</f>
        <v/>
      </c>
      <c r="D2" s="11">
        <f>'09_Source_Status_Mix'!D9</f>
        <v/>
      </c>
      <c r="E2" s="11">
        <f>'09_Source_Status_Mix'!E9</f>
        <v/>
      </c>
    </row>
    <row r="3" ht="20" customHeight="1">
      <c r="A3" s="5">
        <f>'09_Source_Status_Mix'!A10</f>
        <v/>
      </c>
      <c r="B3" s="5">
        <f>'09_Source_Status_Mix'!B10</f>
        <v/>
      </c>
      <c r="C3" s="6">
        <f>'09_Source_Status_Mix'!C10</f>
        <v/>
      </c>
      <c r="D3" s="11">
        <f>'09_Source_Status_Mix'!D10</f>
        <v/>
      </c>
      <c r="E3" s="11">
        <f>'09_Source_Status_Mix'!E10</f>
        <v/>
      </c>
    </row>
    <row r="4" ht="20" customHeight="1">
      <c r="A4" s="5">
        <f>'09_Source_Status_Mix'!A11</f>
        <v/>
      </c>
      <c r="B4" s="5">
        <f>'09_Source_Status_Mix'!B11</f>
        <v/>
      </c>
      <c r="C4" s="6">
        <f>'09_Source_Status_Mix'!C11</f>
        <v/>
      </c>
      <c r="D4" s="11">
        <f>'09_Source_Status_Mix'!D11</f>
        <v/>
      </c>
      <c r="E4" s="11">
        <f>'09_Source_Status_Mix'!E11</f>
        <v/>
      </c>
    </row>
    <row r="5" ht="20" customHeight="1">
      <c r="A5" s="2" t="n"/>
      <c r="B5" s="2" t="n"/>
      <c r="C5" s="2" t="n"/>
      <c r="D5" s="2" t="n"/>
      <c r="E5" s="2" t="n"/>
    </row>
    <row r="6" ht="20" customHeight="1">
      <c r="A6" s="14" t="inlineStr">
        <is>
          <t>Nota: perimetro limitato ai soli ordini diretti (root group 1-7); esclusi indiretti/servizi e opportunities/risks.</t>
        </is>
      </c>
      <c r="B6" s="2" t="n"/>
      <c r="C6" s="2" t="n"/>
      <c r="D6" s="2" t="n"/>
      <c r="E6" s="2" t="n"/>
    </row>
    <row r="7" ht="20" customHeight="1">
      <c r="A7" s="2" t="n"/>
      <c r="B7" s="2" t="n"/>
      <c r="C7" s="2" t="n"/>
      <c r="D7" s="2" t="n"/>
      <c r="E7" s="2" t="n"/>
    </row>
  </sheetData>
  <mergeCells count="1">
    <mergeCell ref="A6:E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  <col width="31" customWidth="1" min="4" max="4"/>
    <col width="31" customWidth="1" min="5" max="5"/>
    <col width="31" customWidth="1" min="6" max="6"/>
    <col width="31" customWidth="1" min="7" max="7"/>
    <col width="31" customWidth="1" min="8" max="8"/>
    <col width="31" customWidth="1" min="9" max="9"/>
  </cols>
  <sheetData>
    <row r="1" ht="20" customHeight="1">
      <c r="A1" s="3" t="inlineStr">
        <is>
          <t>Month</t>
        </is>
      </c>
      <c r="B1" s="3" t="inlineStr">
        <is>
          <t>Label</t>
        </is>
      </c>
      <c r="C1" s="3" t="inlineStr">
        <is>
          <t>Procurement monthly</t>
        </is>
      </c>
      <c r="D1" s="3" t="inlineStr">
        <is>
          <t>Procurement cumulative</t>
        </is>
      </c>
      <c r="E1" s="3" t="inlineStr">
        <is>
          <t>Budget monthly</t>
        </is>
      </c>
      <c r="F1" s="3" t="inlineStr">
        <is>
          <t>Budget cumulative</t>
        </is>
      </c>
      <c r="G1" s="3" t="inlineStr">
        <is>
          <t>Contracted monthly</t>
        </is>
      </c>
      <c r="H1" s="3" t="inlineStr">
        <is>
          <t>Contracted cumulative</t>
        </is>
      </c>
      <c r="I1" s="3" t="inlineStr">
        <is>
          <t>Current marker</t>
        </is>
      </c>
    </row>
    <row r="2" ht="20" customHeight="1">
      <c r="A2" s="5">
        <f>'11_Source_S_Curve_Data'!A10</f>
        <v/>
      </c>
      <c r="B2" s="5">
        <f>'11_Source_S_Curve_Data'!B10</f>
        <v/>
      </c>
      <c r="C2" s="6">
        <f>'11_Source_S_Curve_Data'!C10</f>
        <v/>
      </c>
      <c r="D2" s="6">
        <f>'11_Source_S_Curve_Data'!D10</f>
        <v/>
      </c>
      <c r="E2" s="6">
        <f>'11_Source_S_Curve_Data'!E10</f>
        <v/>
      </c>
      <c r="F2" s="6">
        <f>'11_Source_S_Curve_Data'!F10</f>
        <v/>
      </c>
      <c r="G2" s="6">
        <f>'11_Source_S_Curve_Data'!G10</f>
        <v/>
      </c>
      <c r="H2" s="6">
        <f>'11_Source_S_Curve_Data'!H10</f>
        <v/>
      </c>
      <c r="I2" s="5">
        <f>'11_Source_S_Curve_Data'!I10</f>
        <v/>
      </c>
    </row>
    <row r="3" ht="20" customHeight="1">
      <c r="A3" s="5">
        <f>'11_Source_S_Curve_Data'!A11</f>
        <v/>
      </c>
      <c r="B3" s="5">
        <f>'11_Source_S_Curve_Data'!B11</f>
        <v/>
      </c>
      <c r="C3" s="6">
        <f>'11_Source_S_Curve_Data'!C11</f>
        <v/>
      </c>
      <c r="D3" s="6">
        <f>'11_Source_S_Curve_Data'!D11</f>
        <v/>
      </c>
      <c r="E3" s="6">
        <f>'11_Source_S_Curve_Data'!E11</f>
        <v/>
      </c>
      <c r="F3" s="6">
        <f>'11_Source_S_Curve_Data'!F11</f>
        <v/>
      </c>
      <c r="G3" s="6">
        <f>'11_Source_S_Curve_Data'!G11</f>
        <v/>
      </c>
      <c r="H3" s="6">
        <f>'11_Source_S_Curve_Data'!H11</f>
        <v/>
      </c>
      <c r="I3" s="5">
        <f>'11_Source_S_Curve_Data'!I11</f>
        <v/>
      </c>
    </row>
    <row r="4" ht="20" customHeight="1">
      <c r="A4" s="5">
        <f>'11_Source_S_Curve_Data'!A12</f>
        <v/>
      </c>
      <c r="B4" s="5">
        <f>'11_Source_S_Curve_Data'!B12</f>
        <v/>
      </c>
      <c r="C4" s="6">
        <f>'11_Source_S_Curve_Data'!C12</f>
        <v/>
      </c>
      <c r="D4" s="6">
        <f>'11_Source_S_Curve_Data'!D12</f>
        <v/>
      </c>
      <c r="E4" s="6">
        <f>'11_Source_S_Curve_Data'!E12</f>
        <v/>
      </c>
      <c r="F4" s="6">
        <f>'11_Source_S_Curve_Data'!F12</f>
        <v/>
      </c>
      <c r="G4" s="6">
        <f>'11_Source_S_Curve_Data'!G12</f>
        <v/>
      </c>
      <c r="H4" s="6">
        <f>'11_Source_S_Curve_Data'!H12</f>
        <v/>
      </c>
      <c r="I4" s="5">
        <f>'11_Source_S_Curve_Data'!I12</f>
        <v/>
      </c>
    </row>
    <row r="5" ht="20" customHeight="1">
      <c r="A5" s="5">
        <f>'11_Source_S_Curve_Data'!A13</f>
        <v/>
      </c>
      <c r="B5" s="5">
        <f>'11_Source_S_Curve_Data'!B13</f>
        <v/>
      </c>
      <c r="C5" s="6">
        <f>'11_Source_S_Curve_Data'!C13</f>
        <v/>
      </c>
      <c r="D5" s="6">
        <f>'11_Source_S_Curve_Data'!D13</f>
        <v/>
      </c>
      <c r="E5" s="6">
        <f>'11_Source_S_Curve_Data'!E13</f>
        <v/>
      </c>
      <c r="F5" s="6">
        <f>'11_Source_S_Curve_Data'!F13</f>
        <v/>
      </c>
      <c r="G5" s="6">
        <f>'11_Source_S_Curve_Data'!G13</f>
        <v/>
      </c>
      <c r="H5" s="6">
        <f>'11_Source_S_Curve_Data'!H13</f>
        <v/>
      </c>
      <c r="I5" s="5">
        <f>'11_Source_S_Curve_Data'!I13</f>
        <v/>
      </c>
    </row>
    <row r="6" ht="20" customHeight="1">
      <c r="A6" s="5">
        <f>'11_Source_S_Curve_Data'!A14</f>
        <v/>
      </c>
      <c r="B6" s="5">
        <f>'11_Source_S_Curve_Data'!B14</f>
        <v/>
      </c>
      <c r="C6" s="6">
        <f>'11_Source_S_Curve_Data'!C14</f>
        <v/>
      </c>
      <c r="D6" s="6">
        <f>'11_Source_S_Curve_Data'!D14</f>
        <v/>
      </c>
      <c r="E6" s="6">
        <f>'11_Source_S_Curve_Data'!E14</f>
        <v/>
      </c>
      <c r="F6" s="6">
        <f>'11_Source_S_Curve_Data'!F14</f>
        <v/>
      </c>
      <c r="G6" s="6">
        <f>'11_Source_S_Curve_Data'!G14</f>
        <v/>
      </c>
      <c r="H6" s="6">
        <f>'11_Source_S_Curve_Data'!H14</f>
        <v/>
      </c>
      <c r="I6" s="5">
        <f>'11_Source_S_Curve_Data'!I14</f>
        <v/>
      </c>
    </row>
    <row r="7" ht="20" customHeight="1">
      <c r="A7" s="5">
        <f>'11_Source_S_Curve_Data'!A15</f>
        <v/>
      </c>
      <c r="B7" s="5">
        <f>'11_Source_S_Curve_Data'!B15</f>
        <v/>
      </c>
      <c r="C7" s="6">
        <f>'11_Source_S_Curve_Data'!C15</f>
        <v/>
      </c>
      <c r="D7" s="6">
        <f>'11_Source_S_Curve_Data'!D15</f>
        <v/>
      </c>
      <c r="E7" s="6">
        <f>'11_Source_S_Curve_Data'!E15</f>
        <v/>
      </c>
      <c r="F7" s="6">
        <f>'11_Source_S_Curve_Data'!F15</f>
        <v/>
      </c>
      <c r="G7" s="6">
        <f>'11_Source_S_Curve_Data'!G15</f>
        <v/>
      </c>
      <c r="H7" s="6">
        <f>'11_Source_S_Curve_Data'!H15</f>
        <v/>
      </c>
      <c r="I7" s="5">
        <f>'11_Source_S_Curve_Data'!I15</f>
        <v/>
      </c>
    </row>
    <row r="8" ht="20" customHeight="1">
      <c r="A8" s="5">
        <f>'11_Source_S_Curve_Data'!A16</f>
        <v/>
      </c>
      <c r="B8" s="5">
        <f>'11_Source_S_Curve_Data'!B16</f>
        <v/>
      </c>
      <c r="C8" s="6">
        <f>'11_Source_S_Curve_Data'!C16</f>
        <v/>
      </c>
      <c r="D8" s="6">
        <f>'11_Source_S_Curve_Data'!D16</f>
        <v/>
      </c>
      <c r="E8" s="6">
        <f>'11_Source_S_Curve_Data'!E16</f>
        <v/>
      </c>
      <c r="F8" s="6">
        <f>'11_Source_S_Curve_Data'!F16</f>
        <v/>
      </c>
      <c r="G8" s="6">
        <f>'11_Source_S_Curve_Data'!G16</f>
        <v/>
      </c>
      <c r="H8" s="6">
        <f>'11_Source_S_Curve_Data'!H16</f>
        <v/>
      </c>
      <c r="I8" s="5">
        <f>'11_Source_S_Curve_Data'!I16</f>
        <v/>
      </c>
    </row>
    <row r="9" ht="20" customHeight="1">
      <c r="A9" s="5">
        <f>'11_Source_S_Curve_Data'!A17</f>
        <v/>
      </c>
      <c r="B9" s="5">
        <f>'11_Source_S_Curve_Data'!B17</f>
        <v/>
      </c>
      <c r="C9" s="6">
        <f>'11_Source_S_Curve_Data'!C17</f>
        <v/>
      </c>
      <c r="D9" s="6">
        <f>'11_Source_S_Curve_Data'!D17</f>
        <v/>
      </c>
      <c r="E9" s="6">
        <f>'11_Source_S_Curve_Data'!E17</f>
        <v/>
      </c>
      <c r="F9" s="6">
        <f>'11_Source_S_Curve_Data'!F17</f>
        <v/>
      </c>
      <c r="G9" s="6">
        <f>'11_Source_S_Curve_Data'!G17</f>
        <v/>
      </c>
      <c r="H9" s="6">
        <f>'11_Source_S_Curve_Data'!H17</f>
        <v/>
      </c>
      <c r="I9" s="5">
        <f>'11_Source_S_Curve_Data'!I17</f>
        <v/>
      </c>
    </row>
    <row r="10" ht="20" customHeight="1">
      <c r="A10" s="5">
        <f>'11_Source_S_Curve_Data'!A18</f>
        <v/>
      </c>
      <c r="B10" s="5">
        <f>'11_Source_S_Curve_Data'!B18</f>
        <v/>
      </c>
      <c r="C10" s="6">
        <f>'11_Source_S_Curve_Data'!C18</f>
        <v/>
      </c>
      <c r="D10" s="6">
        <f>'11_Source_S_Curve_Data'!D18</f>
        <v/>
      </c>
      <c r="E10" s="6">
        <f>'11_Source_S_Curve_Data'!E18</f>
        <v/>
      </c>
      <c r="F10" s="6">
        <f>'11_Source_S_Curve_Data'!F18</f>
        <v/>
      </c>
      <c r="G10" s="6">
        <f>'11_Source_S_Curve_Data'!G18</f>
        <v/>
      </c>
      <c r="H10" s="6">
        <f>'11_Source_S_Curve_Data'!H18</f>
        <v/>
      </c>
      <c r="I10" s="5">
        <f>'11_Source_S_Curve_Data'!I18</f>
        <v/>
      </c>
    </row>
    <row r="11" ht="20" customHeight="1">
      <c r="A11" s="5">
        <f>'11_Source_S_Curve_Data'!A19</f>
        <v/>
      </c>
      <c r="B11" s="5">
        <f>'11_Source_S_Curve_Data'!B19</f>
        <v/>
      </c>
      <c r="C11" s="6">
        <f>'11_Source_S_Curve_Data'!C19</f>
        <v/>
      </c>
      <c r="D11" s="6">
        <f>'11_Source_S_Curve_Data'!D19</f>
        <v/>
      </c>
      <c r="E11" s="6">
        <f>'11_Source_S_Curve_Data'!E19</f>
        <v/>
      </c>
      <c r="F11" s="6">
        <f>'11_Source_S_Curve_Data'!F19</f>
        <v/>
      </c>
      <c r="G11" s="6">
        <f>'11_Source_S_Curve_Data'!G19</f>
        <v/>
      </c>
      <c r="H11" s="6">
        <f>'11_Source_S_Curve_Data'!H19</f>
        <v/>
      </c>
      <c r="I11" s="5">
        <f>'11_Source_S_Curve_Data'!I19</f>
        <v/>
      </c>
    </row>
    <row r="12" ht="20" customHeight="1">
      <c r="A12" s="5">
        <f>'11_Source_S_Curve_Data'!A20</f>
        <v/>
      </c>
      <c r="B12" s="5">
        <f>'11_Source_S_Curve_Data'!B20</f>
        <v/>
      </c>
      <c r="C12" s="6">
        <f>'11_Source_S_Curve_Data'!C20</f>
        <v/>
      </c>
      <c r="D12" s="6">
        <f>'11_Source_S_Curve_Data'!D20</f>
        <v/>
      </c>
      <c r="E12" s="6">
        <f>'11_Source_S_Curve_Data'!E20</f>
        <v/>
      </c>
      <c r="F12" s="6">
        <f>'11_Source_S_Curve_Data'!F20</f>
        <v/>
      </c>
      <c r="G12" s="6">
        <f>'11_Source_S_Curve_Data'!G20</f>
        <v/>
      </c>
      <c r="H12" s="6">
        <f>'11_Source_S_Curve_Data'!H20</f>
        <v/>
      </c>
      <c r="I12" s="5">
        <f>'11_Source_S_Curve_Data'!I20</f>
        <v/>
      </c>
    </row>
    <row r="13" ht="20" customHeight="1">
      <c r="A13" s="5">
        <f>'11_Source_S_Curve_Data'!A21</f>
        <v/>
      </c>
      <c r="B13" s="5">
        <f>'11_Source_S_Curve_Data'!B21</f>
        <v/>
      </c>
      <c r="C13" s="6">
        <f>'11_Source_S_Curve_Data'!C21</f>
        <v/>
      </c>
      <c r="D13" s="6">
        <f>'11_Source_S_Curve_Data'!D21</f>
        <v/>
      </c>
      <c r="E13" s="6">
        <f>'11_Source_S_Curve_Data'!E21</f>
        <v/>
      </c>
      <c r="F13" s="6">
        <f>'11_Source_S_Curve_Data'!F21</f>
        <v/>
      </c>
      <c r="G13" s="6">
        <f>'11_Source_S_Curve_Data'!G21</f>
        <v/>
      </c>
      <c r="H13" s="6">
        <f>'11_Source_S_Curve_Data'!H21</f>
        <v/>
      </c>
      <c r="I13" s="5">
        <f>'11_Source_S_Curve_Data'!I21</f>
        <v/>
      </c>
    </row>
    <row r="14" ht="20" customHeight="1">
      <c r="A14" s="5">
        <f>'11_Source_S_Curve_Data'!A22</f>
        <v/>
      </c>
      <c r="B14" s="5">
        <f>'11_Source_S_Curve_Data'!B22</f>
        <v/>
      </c>
      <c r="C14" s="6">
        <f>'11_Source_S_Curve_Data'!C22</f>
        <v/>
      </c>
      <c r="D14" s="6">
        <f>'11_Source_S_Curve_Data'!D22</f>
        <v/>
      </c>
      <c r="E14" s="6">
        <f>'11_Source_S_Curve_Data'!E22</f>
        <v/>
      </c>
      <c r="F14" s="6">
        <f>'11_Source_S_Curve_Data'!F22</f>
        <v/>
      </c>
      <c r="G14" s="6">
        <f>'11_Source_S_Curve_Data'!G22</f>
        <v/>
      </c>
      <c r="H14" s="6">
        <f>'11_Source_S_Curve_Data'!H22</f>
        <v/>
      </c>
      <c r="I14" s="5">
        <f>'11_Source_S_Curve_Data'!I22</f>
        <v/>
      </c>
    </row>
    <row r="15" ht="20" customHeight="1">
      <c r="A15" s="5">
        <f>'11_Source_S_Curve_Data'!A23</f>
        <v/>
      </c>
      <c r="B15" s="5">
        <f>'11_Source_S_Curve_Data'!B23</f>
        <v/>
      </c>
      <c r="C15" s="6">
        <f>'11_Source_S_Curve_Data'!C23</f>
        <v/>
      </c>
      <c r="D15" s="6">
        <f>'11_Source_S_Curve_Data'!D23</f>
        <v/>
      </c>
      <c r="E15" s="6">
        <f>'11_Source_S_Curve_Data'!E23</f>
        <v/>
      </c>
      <c r="F15" s="6">
        <f>'11_Source_S_Curve_Data'!F23</f>
        <v/>
      </c>
      <c r="G15" s="6">
        <f>'11_Source_S_Curve_Data'!G23</f>
        <v/>
      </c>
      <c r="H15" s="6">
        <f>'11_Source_S_Curve_Data'!H23</f>
        <v/>
      </c>
      <c r="I15" s="5">
        <f>'11_Source_S_Curve_Data'!I23</f>
        <v/>
      </c>
    </row>
    <row r="16" ht="20" customHeight="1">
      <c r="A16" s="5">
        <f>'11_Source_S_Curve_Data'!A24</f>
        <v/>
      </c>
      <c r="B16" s="5">
        <f>'11_Source_S_Curve_Data'!B24</f>
        <v/>
      </c>
      <c r="C16" s="6">
        <f>'11_Source_S_Curve_Data'!C24</f>
        <v/>
      </c>
      <c r="D16" s="6">
        <f>'11_Source_S_Curve_Data'!D24</f>
        <v/>
      </c>
      <c r="E16" s="6">
        <f>'11_Source_S_Curve_Data'!E24</f>
        <v/>
      </c>
      <c r="F16" s="6">
        <f>'11_Source_S_Curve_Data'!F24</f>
        <v/>
      </c>
      <c r="G16" s="6">
        <f>'11_Source_S_Curve_Data'!G24</f>
        <v/>
      </c>
      <c r="H16" s="6">
        <f>'11_Source_S_Curve_Data'!H24</f>
        <v/>
      </c>
      <c r="I16" s="5">
        <f>'11_Source_S_Curve_Data'!I24</f>
        <v/>
      </c>
    </row>
    <row r="17" ht="20" customHeight="1">
      <c r="A17" s="5">
        <f>'11_Source_S_Curve_Data'!A25</f>
        <v/>
      </c>
      <c r="B17" s="5">
        <f>'11_Source_S_Curve_Data'!B25</f>
        <v/>
      </c>
      <c r="C17" s="6">
        <f>'11_Source_S_Curve_Data'!C25</f>
        <v/>
      </c>
      <c r="D17" s="6">
        <f>'11_Source_S_Curve_Data'!D25</f>
        <v/>
      </c>
      <c r="E17" s="6">
        <f>'11_Source_S_Curve_Data'!E25</f>
        <v/>
      </c>
      <c r="F17" s="6">
        <f>'11_Source_S_Curve_Data'!F25</f>
        <v/>
      </c>
      <c r="G17" s="6">
        <f>'11_Source_S_Curve_Data'!G25</f>
        <v/>
      </c>
      <c r="H17" s="6">
        <f>'11_Source_S_Curve_Data'!H25</f>
        <v/>
      </c>
      <c r="I17" s="5">
        <f>'11_Source_S_Curve_Data'!I25</f>
        <v/>
      </c>
    </row>
    <row r="18" ht="20" customHeight="1">
      <c r="A18" s="5">
        <f>'11_Source_S_Curve_Data'!A26</f>
        <v/>
      </c>
      <c r="B18" s="5">
        <f>'11_Source_S_Curve_Data'!B26</f>
        <v/>
      </c>
      <c r="C18" s="6">
        <f>'11_Source_S_Curve_Data'!C26</f>
        <v/>
      </c>
      <c r="D18" s="6">
        <f>'11_Source_S_Curve_Data'!D26</f>
        <v/>
      </c>
      <c r="E18" s="6">
        <f>'11_Source_S_Curve_Data'!E26</f>
        <v/>
      </c>
      <c r="F18" s="6">
        <f>'11_Source_S_Curve_Data'!F26</f>
        <v/>
      </c>
      <c r="G18" s="6">
        <f>'11_Source_S_Curve_Data'!G26</f>
        <v/>
      </c>
      <c r="H18" s="6">
        <f>'11_Source_S_Curve_Data'!H26</f>
        <v/>
      </c>
      <c r="I18" s="5">
        <f>'11_Source_S_Curve_Data'!I26</f>
        <v/>
      </c>
    </row>
    <row r="19" ht="20" customHeight="1">
      <c r="A19" s="5">
        <f>'11_Source_S_Curve_Data'!A27</f>
        <v/>
      </c>
      <c r="B19" s="5">
        <f>'11_Source_S_Curve_Data'!B27</f>
        <v/>
      </c>
      <c r="C19" s="6">
        <f>'11_Source_S_Curve_Data'!C27</f>
        <v/>
      </c>
      <c r="D19" s="6">
        <f>'11_Source_S_Curve_Data'!D27</f>
        <v/>
      </c>
      <c r="E19" s="6">
        <f>'11_Source_S_Curve_Data'!E27</f>
        <v/>
      </c>
      <c r="F19" s="6">
        <f>'11_Source_S_Curve_Data'!F27</f>
        <v/>
      </c>
      <c r="G19" s="6">
        <f>'11_Source_S_Curve_Data'!G27</f>
        <v/>
      </c>
      <c r="H19" s="6">
        <f>'11_Source_S_Curve_Data'!H27</f>
        <v/>
      </c>
      <c r="I19" s="5">
        <f>'11_Source_S_Curve_Data'!I27</f>
        <v/>
      </c>
    </row>
    <row r="20" ht="20" customHeight="1">
      <c r="A20" s="5">
        <f>'11_Source_S_Curve_Data'!A28</f>
        <v/>
      </c>
      <c r="B20" s="5">
        <f>'11_Source_S_Curve_Data'!B28</f>
        <v/>
      </c>
      <c r="C20" s="6">
        <f>'11_Source_S_Curve_Data'!C28</f>
        <v/>
      </c>
      <c r="D20" s="6">
        <f>'11_Source_S_Curve_Data'!D28</f>
        <v/>
      </c>
      <c r="E20" s="6">
        <f>'11_Source_S_Curve_Data'!E28</f>
        <v/>
      </c>
      <c r="F20" s="6">
        <f>'11_Source_S_Curve_Data'!F28</f>
        <v/>
      </c>
      <c r="G20" s="6">
        <f>'11_Source_S_Curve_Data'!G28</f>
        <v/>
      </c>
      <c r="H20" s="6">
        <f>'11_Source_S_Curve_Data'!H28</f>
        <v/>
      </c>
      <c r="I20" s="5">
        <f>'11_Source_S_Curve_Data'!I28</f>
        <v/>
      </c>
    </row>
    <row r="21" ht="20" customHeight="1">
      <c r="A21" s="5">
        <f>'11_Source_S_Curve_Data'!A29</f>
        <v/>
      </c>
      <c r="B21" s="5">
        <f>'11_Source_S_Curve_Data'!B29</f>
        <v/>
      </c>
      <c r="C21" s="6">
        <f>'11_Source_S_Curve_Data'!C29</f>
        <v/>
      </c>
      <c r="D21" s="6">
        <f>'11_Source_S_Curve_Data'!D29</f>
        <v/>
      </c>
      <c r="E21" s="6">
        <f>'11_Source_S_Curve_Data'!E29</f>
        <v/>
      </c>
      <c r="F21" s="6">
        <f>'11_Source_S_Curve_Data'!F29</f>
        <v/>
      </c>
      <c r="G21" s="6">
        <f>'11_Source_S_Curve_Data'!G29</f>
        <v/>
      </c>
      <c r="H21" s="6">
        <f>'11_Source_S_Curve_Data'!H29</f>
        <v/>
      </c>
      <c r="I21" s="5">
        <f>'11_Source_S_Curve_Data'!I29</f>
        <v/>
      </c>
    </row>
    <row r="22" ht="20" customHeight="1">
      <c r="A22" s="5">
        <f>'11_Source_S_Curve_Data'!A30</f>
        <v/>
      </c>
      <c r="B22" s="5">
        <f>'11_Source_S_Curve_Data'!B30</f>
        <v/>
      </c>
      <c r="C22" s="6">
        <f>'11_Source_S_Curve_Data'!C30</f>
        <v/>
      </c>
      <c r="D22" s="6">
        <f>'11_Source_S_Curve_Data'!D30</f>
        <v/>
      </c>
      <c r="E22" s="6">
        <f>'11_Source_S_Curve_Data'!E30</f>
        <v/>
      </c>
      <c r="F22" s="6">
        <f>'11_Source_S_Curve_Data'!F30</f>
        <v/>
      </c>
      <c r="G22" s="6">
        <f>'11_Source_S_Curve_Data'!G30</f>
        <v/>
      </c>
      <c r="H22" s="6">
        <f>'11_Source_S_Curve_Data'!H30</f>
        <v/>
      </c>
      <c r="I22" s="5">
        <f>'11_Source_S_Curve_Data'!I30</f>
        <v/>
      </c>
    </row>
    <row r="23" ht="20" customHeight="1">
      <c r="A23" s="5">
        <f>'11_Source_S_Curve_Data'!A31</f>
        <v/>
      </c>
      <c r="B23" s="5">
        <f>'11_Source_S_Curve_Data'!B31</f>
        <v/>
      </c>
      <c r="C23" s="6">
        <f>'11_Source_S_Curve_Data'!C31</f>
        <v/>
      </c>
      <c r="D23" s="6">
        <f>'11_Source_S_Curve_Data'!D31</f>
        <v/>
      </c>
      <c r="E23" s="6">
        <f>'11_Source_S_Curve_Data'!E31</f>
        <v/>
      </c>
      <c r="F23" s="6">
        <f>'11_Source_S_Curve_Data'!F31</f>
        <v/>
      </c>
      <c r="G23" s="6">
        <f>'11_Source_S_Curve_Data'!G31</f>
        <v/>
      </c>
      <c r="H23" s="6">
        <f>'11_Source_S_Curve_Data'!H31</f>
        <v/>
      </c>
      <c r="I23" s="5">
        <f>'11_Source_S_Curve_Data'!I31</f>
        <v/>
      </c>
    </row>
    <row r="24" ht="20" customHeight="1">
      <c r="A24" s="5">
        <f>'11_Source_S_Curve_Data'!A32</f>
        <v/>
      </c>
      <c r="B24" s="5">
        <f>'11_Source_S_Curve_Data'!B32</f>
        <v/>
      </c>
      <c r="C24" s="6">
        <f>'11_Source_S_Curve_Data'!C32</f>
        <v/>
      </c>
      <c r="D24" s="6">
        <f>'11_Source_S_Curve_Data'!D32</f>
        <v/>
      </c>
      <c r="E24" s="6">
        <f>'11_Source_S_Curve_Data'!E32</f>
        <v/>
      </c>
      <c r="F24" s="6">
        <f>'11_Source_S_Curve_Data'!F32</f>
        <v/>
      </c>
      <c r="G24" s="6">
        <f>'11_Source_S_Curve_Data'!G32</f>
        <v/>
      </c>
      <c r="H24" s="6">
        <f>'11_Source_S_Curve_Data'!H32</f>
        <v/>
      </c>
      <c r="I24" s="5">
        <f>'11_Source_S_Curve_Data'!I32</f>
        <v/>
      </c>
    </row>
    <row r="25" ht="20" customHeight="1">
      <c r="A25" s="5">
        <f>'11_Source_S_Curve_Data'!A33</f>
        <v/>
      </c>
      <c r="B25" s="5">
        <f>'11_Source_S_Curve_Data'!B33</f>
        <v/>
      </c>
      <c r="C25" s="6">
        <f>'11_Source_S_Curve_Data'!C33</f>
        <v/>
      </c>
      <c r="D25" s="6">
        <f>'11_Source_S_Curve_Data'!D33</f>
        <v/>
      </c>
      <c r="E25" s="6">
        <f>'11_Source_S_Curve_Data'!E33</f>
        <v/>
      </c>
      <c r="F25" s="6">
        <f>'11_Source_S_Curve_Data'!F33</f>
        <v/>
      </c>
      <c r="G25" s="6">
        <f>'11_Source_S_Curve_Data'!G33</f>
        <v/>
      </c>
      <c r="H25" s="6">
        <f>'11_Source_S_Curve_Data'!H33</f>
        <v/>
      </c>
      <c r="I25" s="5">
        <f>'11_Source_S_Curve_Data'!I33</f>
        <v/>
      </c>
    </row>
    <row r="26" ht="20" customHeight="1">
      <c r="A26" s="5">
        <f>'11_Source_S_Curve_Data'!A34</f>
        <v/>
      </c>
      <c r="B26" s="5">
        <f>'11_Source_S_Curve_Data'!B34</f>
        <v/>
      </c>
      <c r="C26" s="6">
        <f>'11_Source_S_Curve_Data'!C34</f>
        <v/>
      </c>
      <c r="D26" s="6">
        <f>'11_Source_S_Curve_Data'!D34</f>
        <v/>
      </c>
      <c r="E26" s="6">
        <f>'11_Source_S_Curve_Data'!E34</f>
        <v/>
      </c>
      <c r="F26" s="6">
        <f>'11_Source_S_Curve_Data'!F34</f>
        <v/>
      </c>
      <c r="G26" s="6">
        <f>'11_Source_S_Curve_Data'!G34</f>
        <v/>
      </c>
      <c r="H26" s="6">
        <f>'11_Source_S_Curve_Data'!H34</f>
        <v/>
      </c>
      <c r="I26" s="5">
        <f>'11_Source_S_Curve_Data'!I34</f>
        <v/>
      </c>
    </row>
    <row r="27" ht="20" customHeight="1">
      <c r="A27" s="5">
        <f>'11_Source_S_Curve_Data'!A35</f>
        <v/>
      </c>
      <c r="B27" s="5">
        <f>'11_Source_S_Curve_Data'!B35</f>
        <v/>
      </c>
      <c r="C27" s="6">
        <f>'11_Source_S_Curve_Data'!C35</f>
        <v/>
      </c>
      <c r="D27" s="6">
        <f>'11_Source_S_Curve_Data'!D35</f>
        <v/>
      </c>
      <c r="E27" s="6">
        <f>'11_Source_S_Curve_Data'!E35</f>
        <v/>
      </c>
      <c r="F27" s="6">
        <f>'11_Source_S_Curve_Data'!F35</f>
        <v/>
      </c>
      <c r="G27" s="6">
        <f>'11_Source_S_Curve_Data'!G35</f>
        <v/>
      </c>
      <c r="H27" s="6">
        <f>'11_Source_S_Curve_Data'!H35</f>
        <v/>
      </c>
      <c r="I27" s="5">
        <f>'11_Source_S_Curve_Data'!I35</f>
        <v/>
      </c>
    </row>
    <row r="28" ht="20" customHeight="1">
      <c r="A28" s="5">
        <f>'11_Source_S_Curve_Data'!A36</f>
        <v/>
      </c>
      <c r="B28" s="5">
        <f>'11_Source_S_Curve_Data'!B36</f>
        <v/>
      </c>
      <c r="C28" s="6">
        <f>'11_Source_S_Curve_Data'!C36</f>
        <v/>
      </c>
      <c r="D28" s="6">
        <f>'11_Source_S_Curve_Data'!D36</f>
        <v/>
      </c>
      <c r="E28" s="6">
        <f>'11_Source_S_Curve_Data'!E36</f>
        <v/>
      </c>
      <c r="F28" s="6">
        <f>'11_Source_S_Curve_Data'!F36</f>
        <v/>
      </c>
      <c r="G28" s="6">
        <f>'11_Source_S_Curve_Data'!G36</f>
        <v/>
      </c>
      <c r="H28" s="6">
        <f>'11_Source_S_Curve_Data'!H36</f>
        <v/>
      </c>
      <c r="I28" s="5">
        <f>'11_Source_S_Curve_Data'!I36</f>
        <v/>
      </c>
    </row>
    <row r="29" ht="20" customHeight="1">
      <c r="A29" s="5">
        <f>'11_Source_S_Curve_Data'!A37</f>
        <v/>
      </c>
      <c r="B29" s="5">
        <f>'11_Source_S_Curve_Data'!B37</f>
        <v/>
      </c>
      <c r="C29" s="6">
        <f>'11_Source_S_Curve_Data'!C37</f>
        <v/>
      </c>
      <c r="D29" s="6">
        <f>'11_Source_S_Curve_Data'!D37</f>
        <v/>
      </c>
      <c r="E29" s="6">
        <f>'11_Source_S_Curve_Data'!E37</f>
        <v/>
      </c>
      <c r="F29" s="6">
        <f>'11_Source_S_Curve_Data'!F37</f>
        <v/>
      </c>
      <c r="G29" s="6">
        <f>'11_Source_S_Curve_Data'!G37</f>
        <v/>
      </c>
      <c r="H29" s="6">
        <f>'11_Source_S_Curve_Data'!H37</f>
        <v/>
      </c>
      <c r="I29" s="5">
        <f>'11_Source_S_Curve_Data'!I37</f>
        <v/>
      </c>
    </row>
    <row r="30" ht="20" customHeight="1">
      <c r="A30" s="5">
        <f>'11_Source_S_Curve_Data'!A38</f>
        <v/>
      </c>
      <c r="B30" s="5">
        <f>'11_Source_S_Curve_Data'!B38</f>
        <v/>
      </c>
      <c r="C30" s="6">
        <f>'11_Source_S_Curve_Data'!C38</f>
        <v/>
      </c>
      <c r="D30" s="6">
        <f>'11_Source_S_Curve_Data'!D38</f>
        <v/>
      </c>
      <c r="E30" s="6">
        <f>'11_Source_S_Curve_Data'!E38</f>
        <v/>
      </c>
      <c r="F30" s="6">
        <f>'11_Source_S_Curve_Data'!F38</f>
        <v/>
      </c>
      <c r="G30" s="6">
        <f>'11_Source_S_Curve_Data'!G38</f>
        <v/>
      </c>
      <c r="H30" s="6">
        <f>'11_Source_S_Curve_Data'!H38</f>
        <v/>
      </c>
      <c r="I30" s="5">
        <f>'11_Source_S_Curve_Data'!I38</f>
        <v/>
      </c>
    </row>
    <row r="31" ht="20" customHeight="1">
      <c r="A31" s="5">
        <f>'11_Source_S_Curve_Data'!A39</f>
        <v/>
      </c>
      <c r="B31" s="5">
        <f>'11_Source_S_Curve_Data'!B39</f>
        <v/>
      </c>
      <c r="C31" s="6">
        <f>'11_Source_S_Curve_Data'!C39</f>
        <v/>
      </c>
      <c r="D31" s="6">
        <f>'11_Source_S_Curve_Data'!D39</f>
        <v/>
      </c>
      <c r="E31" s="6">
        <f>'11_Source_S_Curve_Data'!E39</f>
        <v/>
      </c>
      <c r="F31" s="6">
        <f>'11_Source_S_Curve_Data'!F39</f>
        <v/>
      </c>
      <c r="G31" s="6">
        <f>'11_Source_S_Curve_Data'!G39</f>
        <v/>
      </c>
      <c r="H31" s="6">
        <f>'11_Source_S_Curve_Data'!H39</f>
        <v/>
      </c>
      <c r="I31" s="5">
        <f>'11_Source_S_Curve_Data'!I39</f>
        <v/>
      </c>
    </row>
    <row r="32" ht="20" customHeight="1">
      <c r="A32" s="5">
        <f>'11_Source_S_Curve_Data'!A40</f>
        <v/>
      </c>
      <c r="B32" s="5">
        <f>'11_Source_S_Curve_Data'!B40</f>
        <v/>
      </c>
      <c r="C32" s="6">
        <f>'11_Source_S_Curve_Data'!C40</f>
        <v/>
      </c>
      <c r="D32" s="6">
        <f>'11_Source_S_Curve_Data'!D40</f>
        <v/>
      </c>
      <c r="E32" s="6">
        <f>'11_Source_S_Curve_Data'!E40</f>
        <v/>
      </c>
      <c r="F32" s="6">
        <f>'11_Source_S_Curve_Data'!F40</f>
        <v/>
      </c>
      <c r="G32" s="6">
        <f>'11_Source_S_Curve_Data'!G40</f>
        <v/>
      </c>
      <c r="H32" s="6">
        <f>'11_Source_S_Curve_Data'!H40</f>
        <v/>
      </c>
      <c r="I32" s="5">
        <f>'11_Source_S_Curve_Data'!I40</f>
        <v/>
      </c>
    </row>
    <row r="33" ht="20" customHeight="1">
      <c r="A33" s="5">
        <f>'11_Source_S_Curve_Data'!A41</f>
        <v/>
      </c>
      <c r="B33" s="5">
        <f>'11_Source_S_Curve_Data'!B41</f>
        <v/>
      </c>
      <c r="C33" s="6">
        <f>'11_Source_S_Curve_Data'!C41</f>
        <v/>
      </c>
      <c r="D33" s="6">
        <f>'11_Source_S_Curve_Data'!D41</f>
        <v/>
      </c>
      <c r="E33" s="6">
        <f>'11_Source_S_Curve_Data'!E41</f>
        <v/>
      </c>
      <c r="F33" s="6">
        <f>'11_Source_S_Curve_Data'!F41</f>
        <v/>
      </c>
      <c r="G33" s="6">
        <f>'11_Source_S_Curve_Data'!G41</f>
        <v/>
      </c>
      <c r="H33" s="6">
        <f>'11_Source_S_Curve_Data'!H41</f>
        <v/>
      </c>
      <c r="I33" s="5">
        <f>'11_Source_S_Curve_Data'!I41</f>
        <v/>
      </c>
    </row>
    <row r="34" ht="20" customHeight="1">
      <c r="A34" s="5">
        <f>'11_Source_S_Curve_Data'!A42</f>
        <v/>
      </c>
      <c r="B34" s="5">
        <f>'11_Source_S_Curve_Data'!B42</f>
        <v/>
      </c>
      <c r="C34" s="6">
        <f>'11_Source_S_Curve_Data'!C42</f>
        <v/>
      </c>
      <c r="D34" s="6">
        <f>'11_Source_S_Curve_Data'!D42</f>
        <v/>
      </c>
      <c r="E34" s="6">
        <f>'11_Source_S_Curve_Data'!E42</f>
        <v/>
      </c>
      <c r="F34" s="6">
        <f>'11_Source_S_Curve_Data'!F42</f>
        <v/>
      </c>
      <c r="G34" s="6">
        <f>'11_Source_S_Curve_Data'!G42</f>
        <v/>
      </c>
      <c r="H34" s="6">
        <f>'11_Source_S_Curve_Data'!H42</f>
        <v/>
      </c>
      <c r="I34" s="5">
        <f>'11_Source_S_Curve_Data'!I42</f>
        <v/>
      </c>
    </row>
    <row r="35" ht="20" customHeight="1">
      <c r="A35" s="5">
        <f>'11_Source_S_Curve_Data'!A43</f>
        <v/>
      </c>
      <c r="B35" s="5">
        <f>'11_Source_S_Curve_Data'!B43</f>
        <v/>
      </c>
      <c r="C35" s="6">
        <f>'11_Source_S_Curve_Data'!C43</f>
        <v/>
      </c>
      <c r="D35" s="6">
        <f>'11_Source_S_Curve_Data'!D43</f>
        <v/>
      </c>
      <c r="E35" s="6">
        <f>'11_Source_S_Curve_Data'!E43</f>
        <v/>
      </c>
      <c r="F35" s="6">
        <f>'11_Source_S_Curve_Data'!F43</f>
        <v/>
      </c>
      <c r="G35" s="6">
        <f>'11_Source_S_Curve_Data'!G43</f>
        <v/>
      </c>
      <c r="H35" s="6">
        <f>'11_Source_S_Curve_Data'!H43</f>
        <v/>
      </c>
      <c r="I35" s="5">
        <f>'11_Source_S_Curve_Data'!I43</f>
        <v/>
      </c>
    </row>
    <row r="36" ht="20" customHeight="1">
      <c r="A36" s="5">
        <f>'11_Source_S_Curve_Data'!A44</f>
        <v/>
      </c>
      <c r="B36" s="5">
        <f>'11_Source_S_Curve_Data'!B44</f>
        <v/>
      </c>
      <c r="C36" s="6">
        <f>'11_Source_S_Curve_Data'!C44</f>
        <v/>
      </c>
      <c r="D36" s="6">
        <f>'11_Source_S_Curve_Data'!D44</f>
        <v/>
      </c>
      <c r="E36" s="6">
        <f>'11_Source_S_Curve_Data'!E44</f>
        <v/>
      </c>
      <c r="F36" s="6">
        <f>'11_Source_S_Curve_Data'!F44</f>
        <v/>
      </c>
      <c r="G36" s="6">
        <f>'11_Source_S_Curve_Data'!G44</f>
        <v/>
      </c>
      <c r="H36" s="6">
        <f>'11_Source_S_Curve_Data'!H44</f>
        <v/>
      </c>
      <c r="I36" s="5">
        <f>'11_Source_S_Curve_Data'!I44</f>
        <v/>
      </c>
    </row>
    <row r="37" ht="20" customHeight="1">
      <c r="A37" s="5">
        <f>'11_Source_S_Curve_Data'!A45</f>
        <v/>
      </c>
      <c r="B37" s="5">
        <f>'11_Source_S_Curve_Data'!B45</f>
        <v/>
      </c>
      <c r="C37" s="6">
        <f>'11_Source_S_Curve_Data'!C45</f>
        <v/>
      </c>
      <c r="D37" s="6">
        <f>'11_Source_S_Curve_Data'!D45</f>
        <v/>
      </c>
      <c r="E37" s="6">
        <f>'11_Source_S_Curve_Data'!E45</f>
        <v/>
      </c>
      <c r="F37" s="6">
        <f>'11_Source_S_Curve_Data'!F45</f>
        <v/>
      </c>
      <c r="G37" s="6">
        <f>'11_Source_S_Curve_Data'!G45</f>
        <v/>
      </c>
      <c r="H37" s="6">
        <f>'11_Source_S_Curve_Data'!H45</f>
        <v/>
      </c>
      <c r="I37" s="5">
        <f>'11_Source_S_Curve_Data'!I45</f>
        <v/>
      </c>
    </row>
    <row r="38" ht="20" customHeight="1">
      <c r="A38" s="5">
        <f>'11_Source_S_Curve_Data'!A46</f>
        <v/>
      </c>
      <c r="B38" s="5">
        <f>'11_Source_S_Curve_Data'!B46</f>
        <v/>
      </c>
      <c r="C38" s="6">
        <f>'11_Source_S_Curve_Data'!C46</f>
        <v/>
      </c>
      <c r="D38" s="6">
        <f>'11_Source_S_Curve_Data'!D46</f>
        <v/>
      </c>
      <c r="E38" s="6">
        <f>'11_Source_S_Curve_Data'!E46</f>
        <v/>
      </c>
      <c r="F38" s="6">
        <f>'11_Source_S_Curve_Data'!F46</f>
        <v/>
      </c>
      <c r="G38" s="6">
        <f>'11_Source_S_Curve_Data'!G46</f>
        <v/>
      </c>
      <c r="H38" s="6">
        <f>'11_Source_S_Curve_Data'!H46</f>
        <v/>
      </c>
      <c r="I38" s="5">
        <f>'11_Source_S_Curve_Data'!I46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34" customWidth="1" min="3" max="3"/>
    <col width="34" customWidth="1" min="4" max="4"/>
    <col width="21" customWidth="1" min="5" max="5"/>
    <col width="26" customWidth="1" min="6" max="6"/>
    <col width="12" customWidth="1" min="7" max="7"/>
    <col width="21" customWidth="1" min="8" max="8"/>
    <col width="12" customWidth="1" min="9" max="9"/>
    <col width="14" customWidth="1" min="10" max="10"/>
  </cols>
  <sheetData>
    <row r="1" ht="20" customHeight="1">
      <c r="A1" s="12" t="inlineStr">
        <is>
          <t>Nota origine dati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2" t="inlineStr">
        <is>
          <t>Dati estratti dal file Budget in data/current: Budget.xlsm, sheet Włocławek Budget. Totale Budget 0 = cella I12; Budget attuale = cella AB12. La tabella WBS sotto riporta le righe top-level trovate in colonna A: WBS 1-8 della sezione costi diretti e WBS 1-17 della sezione riepilogo/finanziaria. I valori Budget 0 e Budget attuale derivano rispettivamente dalle colonne I e AB; Delta e Delta % sono formule nel report.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20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20" customHeight="1">
      <c r="A6" s="3" t="inlineStr">
        <is>
          <t>Metric</t>
        </is>
      </c>
      <c r="B6" s="3" t="inlineStr">
        <is>
          <t>Value</t>
        </is>
      </c>
      <c r="C6" s="3" t="inlineStr">
        <is>
          <t>Source file</t>
        </is>
      </c>
      <c r="D6" s="3" t="inlineStr">
        <is>
          <t>Source sheet</t>
        </is>
      </c>
      <c r="E6" s="3" t="inlineStr">
        <is>
          <t>Source cell</t>
        </is>
      </c>
      <c r="F6" s="2" t="n"/>
      <c r="G6" s="2" t="n"/>
      <c r="H6" s="2" t="n"/>
      <c r="I6" s="2" t="n"/>
      <c r="J6" s="2" t="n"/>
    </row>
    <row r="7" ht="20" customHeight="1">
      <c r="A7" s="5" t="inlineStr">
        <is>
          <t>Budget 0 - col. I</t>
        </is>
      </c>
      <c r="B7" s="6" t="n">
        <v>505343424</v>
      </c>
      <c r="C7" s="5" t="inlineStr">
        <is>
          <t>Budget.xlsm</t>
        </is>
      </c>
      <c r="D7" s="5" t="inlineStr">
        <is>
          <t>Włocławek Budget</t>
        </is>
      </c>
      <c r="E7" s="5" t="inlineStr">
        <is>
          <t>I12</t>
        </is>
      </c>
      <c r="F7" s="2" t="n"/>
      <c r="G7" s="2" t="n"/>
      <c r="H7" s="2" t="n"/>
      <c r="I7" s="2" t="n"/>
      <c r="J7" s="2" t="n"/>
    </row>
    <row r="8" ht="20" customHeight="1">
      <c r="A8" s="5" t="inlineStr">
        <is>
          <t>Budget attuale - col. AB</t>
        </is>
      </c>
      <c r="B8" s="6" t="n">
        <v>501457853.0157034</v>
      </c>
      <c r="C8" s="5" t="inlineStr">
        <is>
          <t>Budget.xlsm</t>
        </is>
      </c>
      <c r="D8" s="5" t="inlineStr">
        <is>
          <t>Włocławek Budget</t>
        </is>
      </c>
      <c r="E8" s="5" t="inlineStr">
        <is>
          <t>AB12</t>
        </is>
      </c>
      <c r="F8" s="2" t="n"/>
      <c r="G8" s="2" t="n"/>
      <c r="H8" s="2" t="n"/>
      <c r="I8" s="2" t="n"/>
      <c r="J8" s="2" t="n"/>
    </row>
    <row r="9" ht="20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 ht="20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 ht="20" customHeight="1">
      <c r="A11" s="3" t="inlineStr">
        <is>
          <t>Section</t>
        </is>
      </c>
      <c r="B11" s="3" t="inlineStr">
        <is>
          <t>WBS</t>
        </is>
      </c>
      <c r="C11" s="3" t="inlineStr">
        <is>
          <t>Description PL</t>
        </is>
      </c>
      <c r="D11" s="3" t="inlineStr">
        <is>
          <t>Description EN</t>
        </is>
      </c>
      <c r="E11" s="3" t="inlineStr">
        <is>
          <t>Budget 0 - col. I</t>
        </is>
      </c>
      <c r="F11" s="3" t="inlineStr">
        <is>
          <t>Budget attuale - col. AB</t>
        </is>
      </c>
      <c r="G11" s="3" t="inlineStr">
        <is>
          <t>Delta AB-I</t>
        </is>
      </c>
      <c r="H11" s="3" t="inlineStr">
        <is>
          <t>Delta %</t>
        </is>
      </c>
      <c r="I11" s="3" t="inlineStr">
        <is>
          <t>Source row</t>
        </is>
      </c>
      <c r="J11" s="3" t="inlineStr">
        <is>
          <t>Source cells</t>
        </is>
      </c>
    </row>
    <row r="12" ht="20" customHeight="1">
      <c r="A12" s="5" t="inlineStr">
        <is>
          <t>Direct cost / root budget group</t>
        </is>
      </c>
      <c r="B12" s="5" t="n">
        <v>1</v>
      </c>
      <c r="C12" s="5" t="inlineStr">
        <is>
          <t>PROJEKTOWANIE</t>
        </is>
      </c>
      <c r="D12" s="5" t="inlineStr">
        <is>
          <t>DESIGN</t>
        </is>
      </c>
      <c r="E12" s="6" t="n">
        <v>30550000</v>
      </c>
      <c r="F12" s="6" t="n">
        <v>27170000.00460673</v>
      </c>
      <c r="G12" s="6">
        <f>F12-E12</f>
        <v/>
      </c>
      <c r="H12" s="11">
        <f>IFERROR(G12/E12,0)</f>
        <v/>
      </c>
      <c r="I12" s="5" t="n">
        <v>13</v>
      </c>
      <c r="J12" s="5" t="inlineStr">
        <is>
          <t>I13 / AB13</t>
        </is>
      </c>
    </row>
    <row r="13" ht="20" customHeight="1">
      <c r="A13" s="5" t="inlineStr">
        <is>
          <t>Direct cost / root budget group</t>
        </is>
      </c>
      <c r="B13" s="5" t="n">
        <v>2</v>
      </c>
      <c r="C13" s="5" t="inlineStr">
        <is>
          <t>Roboty branży budowlano-konstrukcyjnej</t>
        </is>
      </c>
      <c r="D13" s="5" t="inlineStr">
        <is>
          <t>Civil works</t>
        </is>
      </c>
      <c r="E13" s="6" t="n">
        <v>113409768</v>
      </c>
      <c r="F13" s="6" t="n">
        <v>108109767.0078188</v>
      </c>
      <c r="G13" s="6">
        <f>F13-E13</f>
        <v/>
      </c>
      <c r="H13" s="11">
        <f>IFERROR(G13/E13,0)</f>
        <v/>
      </c>
      <c r="I13" s="5" t="n">
        <v>38</v>
      </c>
      <c r="J13" s="5" t="inlineStr">
        <is>
          <t>I38 / AB38</t>
        </is>
      </c>
    </row>
    <row r="14" ht="20" customHeight="1">
      <c r="A14" s="5" t="inlineStr">
        <is>
          <t>Direct cost / root budget group</t>
        </is>
      </c>
      <c r="B14" s="5" t="n">
        <v>3</v>
      </c>
      <c r="C14" s="5" t="inlineStr">
        <is>
          <t>BRANŻA ELEKTRYCZNA</t>
        </is>
      </c>
      <c r="D14" s="5" t="inlineStr">
        <is>
          <t>ELECTRICAL WORKS</t>
        </is>
      </c>
      <c r="E14" s="6" t="n">
        <v>10912000</v>
      </c>
      <c r="F14" s="6" t="n">
        <v>58345340</v>
      </c>
      <c r="G14" s="6">
        <f>F14-E14</f>
        <v/>
      </c>
      <c r="H14" s="11">
        <f>IFERROR(G14/E14,0)</f>
        <v/>
      </c>
      <c r="I14" s="5" t="n">
        <v>149</v>
      </c>
      <c r="J14" s="5" t="inlineStr">
        <is>
          <t>I149 / AB149</t>
        </is>
      </c>
    </row>
    <row r="15" ht="20" customHeight="1">
      <c r="A15" s="5" t="inlineStr">
        <is>
          <t>Direct cost / root budget group</t>
        </is>
      </c>
      <c r="B15" s="5" t="n">
        <v>4</v>
      </c>
      <c r="C15" s="5" t="inlineStr">
        <is>
          <t>Roboty branży sanitarnej i ppoż</t>
        </is>
      </c>
      <c r="D15" s="5" t="inlineStr">
        <is>
          <t>Sanitary works and fire-fighting system</t>
        </is>
      </c>
      <c r="E15" s="6" t="n">
        <v>34223555</v>
      </c>
      <c r="F15" s="6" t="n">
        <v>21293319.0015</v>
      </c>
      <c r="G15" s="6">
        <f>F15-E15</f>
        <v/>
      </c>
      <c r="H15" s="11">
        <f>IFERROR(G15/E15,0)</f>
        <v/>
      </c>
      <c r="I15" s="5" t="n">
        <v>166</v>
      </c>
      <c r="J15" s="5" t="inlineStr">
        <is>
          <t>I166 / AB166</t>
        </is>
      </c>
    </row>
    <row r="16" ht="20" customHeight="1">
      <c r="A16" s="5" t="inlineStr">
        <is>
          <t>Direct cost / root budget group</t>
        </is>
      </c>
      <c r="B16" s="5" t="n">
        <v>5</v>
      </c>
      <c r="C16" s="5" t="inlineStr">
        <is>
          <t>Roboty branży mechanicznej i technologicznej</t>
        </is>
      </c>
      <c r="D16" s="5" t="inlineStr">
        <is>
          <t>Mechanical and technological works</t>
        </is>
      </c>
      <c r="E16" s="6" t="n">
        <v>293798902</v>
      </c>
      <c r="F16" s="6" t="n">
        <v>258666645.9970825</v>
      </c>
      <c r="G16" s="6">
        <f>F16-E16</f>
        <v/>
      </c>
      <c r="H16" s="11">
        <f>IFERROR(G16/E16,0)</f>
        <v/>
      </c>
      <c r="I16" s="5" t="n">
        <v>191</v>
      </c>
      <c r="J16" s="5" t="inlineStr">
        <is>
          <t>I191 / AB191</t>
        </is>
      </c>
    </row>
    <row r="17" ht="20" customHeight="1">
      <c r="A17" s="5" t="inlineStr">
        <is>
          <t>Direct cost / root budget group</t>
        </is>
      </c>
      <c r="B17" s="5" t="n">
        <v>6</v>
      </c>
      <c r="C17" s="5" t="inlineStr">
        <is>
          <t>Zimny i gorący rozruch, Ruch próbny instalacji technologicznych</t>
        </is>
      </c>
      <c r="D17" s="5" t="inlineStr">
        <is>
          <t>Cold and hot commissioning &amp; Trial run of technological equipment</t>
        </is>
      </c>
      <c r="E17" s="6" t="n">
        <v>8499199</v>
      </c>
      <c r="F17" s="6" t="n">
        <v>8499999.997099999</v>
      </c>
      <c r="G17" s="6">
        <f>F17-E17</f>
        <v/>
      </c>
      <c r="H17" s="11">
        <f>IFERROR(G17/E17,0)</f>
        <v/>
      </c>
      <c r="I17" s="5" t="n">
        <v>265</v>
      </c>
      <c r="J17" s="5" t="inlineStr">
        <is>
          <t>I265 / AB265</t>
        </is>
      </c>
    </row>
    <row r="18" ht="20" customHeight="1">
      <c r="A18" s="5" t="inlineStr">
        <is>
          <t>Financial summary / WBS 1-17</t>
        </is>
      </c>
      <c r="B18" s="5" t="n">
        <v>7</v>
      </c>
      <c r="C18" s="5" t="inlineStr">
        <is>
          <t>Wyrównanie do wartości z TCO / Rezerwa</t>
        </is>
      </c>
      <c r="D18" s="5" t="inlineStr">
        <is>
          <t>Alignment to TCO values / Backup</t>
        </is>
      </c>
      <c r="E18" s="6" t="n">
        <v>0</v>
      </c>
      <c r="F18" s="6" t="n">
        <v>538352</v>
      </c>
      <c r="G18" s="6">
        <f>F18-E18</f>
        <v/>
      </c>
      <c r="H18" s="11">
        <f>IFERROR(G18/E18,0)</f>
        <v/>
      </c>
      <c r="I18" s="5" t="n">
        <v>284</v>
      </c>
      <c r="J18" s="5" t="inlineStr">
        <is>
          <t>I284 / AB284</t>
        </is>
      </c>
    </row>
    <row r="19" ht="20" customHeight="1">
      <c r="A19" s="5" t="inlineStr">
        <is>
          <t>Financial summary / WBS 1-17</t>
        </is>
      </c>
      <c r="B19" s="5" t="n">
        <v>8</v>
      </c>
      <c r="C19" s="5" t="inlineStr">
        <is>
          <t>Pozostałe koszty</t>
        </is>
      </c>
      <c r="D19" s="5" t="inlineStr"/>
      <c r="E19" s="6" t="n">
        <v>0</v>
      </c>
      <c r="F19" s="6" t="n">
        <v>414429</v>
      </c>
      <c r="G19" s="6">
        <f>F19-E19</f>
        <v/>
      </c>
      <c r="H19" s="11">
        <f>IFERROR(G19/E19,0)</f>
        <v/>
      </c>
      <c r="I19" s="5" t="n">
        <v>287</v>
      </c>
      <c r="J19" s="5" t="inlineStr">
        <is>
          <t>I287 / AB287</t>
        </is>
      </c>
    </row>
    <row r="20" ht="20" customHeight="1">
      <c r="A20" s="5" t="inlineStr">
        <is>
          <t>Financial summary / WBS 1-17</t>
        </is>
      </c>
      <c r="B20" s="5" t="n">
        <v>1</v>
      </c>
      <c r="C20" s="5" t="inlineStr">
        <is>
          <t>TKW</t>
        </is>
      </c>
      <c r="D20" s="5" t="inlineStr"/>
      <c r="E20" s="6" t="n">
        <v>505757853</v>
      </c>
      <c r="F20" s="6" t="n">
        <v>501457853.0157036</v>
      </c>
      <c r="G20" s="6">
        <f>F20-E20</f>
        <v/>
      </c>
      <c r="H20" s="11">
        <f>IFERROR(G20/E20,0)</f>
        <v/>
      </c>
      <c r="I20" s="5" t="n">
        <v>291</v>
      </c>
      <c r="J20" s="5" t="inlineStr">
        <is>
          <t>I291 / AB291</t>
        </is>
      </c>
    </row>
    <row r="21" ht="20" customHeight="1">
      <c r="A21" s="5" t="inlineStr">
        <is>
          <t>Financial summary / WBS 1-17</t>
        </is>
      </c>
      <c r="B21" s="5" t="n">
        <v>1</v>
      </c>
      <c r="C21" s="5" t="inlineStr">
        <is>
          <t>PERSONEL</t>
        </is>
      </c>
      <c r="D21" s="5" t="inlineStr">
        <is>
          <t>STAFF</t>
        </is>
      </c>
      <c r="E21" s="6" t="n">
        <v>0</v>
      </c>
      <c r="F21" s="6" t="n">
        <v>0</v>
      </c>
      <c r="G21" s="6">
        <f>F21-E21</f>
        <v/>
      </c>
      <c r="H21" s="11">
        <f>IFERROR(G21/E21,0)</f>
        <v/>
      </c>
      <c r="I21" s="5" t="n">
        <v>298</v>
      </c>
      <c r="J21" s="5" t="inlineStr">
        <is>
          <t>I298 / AB298</t>
        </is>
      </c>
    </row>
    <row r="22" ht="20" customHeight="1">
      <c r="A22" s="5" t="inlineStr">
        <is>
          <t>Financial summary / WBS 1-17</t>
        </is>
      </c>
      <c r="B22" s="5" t="n">
        <v>2</v>
      </c>
      <c r="C22" s="5" t="inlineStr">
        <is>
          <t>TKW Razem</t>
        </is>
      </c>
      <c r="D22" s="5" t="inlineStr">
        <is>
          <t xml:space="preserve">Direct + indirect costs </t>
        </is>
      </c>
      <c r="E22" s="6" t="n">
        <v>546148867.15</v>
      </c>
      <c r="F22" s="6" t="n">
        <v>563593205.4394034</v>
      </c>
      <c r="G22" s="6">
        <f>F22-E22</f>
        <v/>
      </c>
      <c r="H22" s="11">
        <f>IFERROR(G22/E22,0)</f>
        <v/>
      </c>
      <c r="I22" s="5" t="n">
        <v>440</v>
      </c>
      <c r="J22" s="5" t="inlineStr">
        <is>
          <t>I440 / AB440</t>
        </is>
      </c>
    </row>
    <row r="23" ht="20" customHeight="1">
      <c r="A23" s="5" t="inlineStr">
        <is>
          <t>Financial summary / WBS 1-17</t>
        </is>
      </c>
      <c r="B23" s="5" t="n">
        <v>3</v>
      </c>
      <c r="C23" s="5" t="inlineStr">
        <is>
          <t xml:space="preserve">Kwota narzutów kalkulacyjnych  </t>
        </is>
      </c>
      <c r="D23" s="5" t="inlineStr"/>
      <c r="E23" s="6" t="n">
        <v>85237132.84999999</v>
      </c>
      <c r="F23" s="6" t="n">
        <v>63492794.56</v>
      </c>
      <c r="G23" s="6">
        <f>F23-E23</f>
        <v/>
      </c>
      <c r="H23" s="11">
        <f>IFERROR(G23/E23,0)</f>
        <v/>
      </c>
      <c r="I23" s="5" t="n">
        <v>441</v>
      </c>
      <c r="J23" s="5" t="inlineStr">
        <is>
          <t>I441 / AB441</t>
        </is>
      </c>
    </row>
    <row r="24" ht="20" customHeight="1">
      <c r="A24" s="5" t="inlineStr">
        <is>
          <t>Financial summary / WBS 1-17</t>
        </is>
      </c>
      <c r="B24" s="5" t="n">
        <v>4</v>
      </c>
      <c r="C24" s="5" t="inlineStr">
        <is>
          <t xml:space="preserve">% narzutów kalkulacyjnych </t>
        </is>
      </c>
      <c r="D24" s="5" t="inlineStr"/>
      <c r="E24" s="6" t="n">
        <v>0.1560694125299533</v>
      </c>
      <c r="F24" s="6" t="n">
        <v>0.1126571327461233</v>
      </c>
      <c r="G24" s="6">
        <f>F24-E24</f>
        <v/>
      </c>
      <c r="H24" s="11">
        <f>IFERROR(G24/E24,0)</f>
        <v/>
      </c>
      <c r="I24" s="5" t="n">
        <v>442</v>
      </c>
      <c r="J24" s="5" t="inlineStr">
        <is>
          <t>I442 / AB442</t>
        </is>
      </c>
    </row>
    <row r="25" ht="20" customHeight="1">
      <c r="A25" s="5" t="inlineStr">
        <is>
          <t>Financial summary / WBS 1-17</t>
        </is>
      </c>
      <c r="B25" s="5" t="n">
        <v>5</v>
      </c>
      <c r="C25" s="5" t="inlineStr">
        <is>
          <t xml:space="preserve">Zlecenie otrzymane/Planowany przerób </t>
        </is>
      </c>
      <c r="D25" s="5" t="inlineStr"/>
      <c r="E25" s="6" t="n">
        <v>631386000</v>
      </c>
      <c r="F25" s="6" t="n">
        <v>627086000</v>
      </c>
      <c r="G25" s="6">
        <f>F25-E25</f>
        <v/>
      </c>
      <c r="H25" s="11">
        <f>IFERROR(G25/E25,0)</f>
        <v/>
      </c>
      <c r="I25" s="5" t="n">
        <v>452</v>
      </c>
      <c r="J25" s="5" t="inlineStr">
        <is>
          <t>I452 / AB452</t>
        </is>
      </c>
    </row>
    <row r="26" ht="20" customHeight="1">
      <c r="A26" s="5" t="inlineStr">
        <is>
          <t>Financial summary / WBS 1-17</t>
        </is>
      </c>
      <c r="B26" s="5" t="n">
        <v>6</v>
      </c>
      <c r="C26" s="5" t="inlineStr">
        <is>
          <t>Podwykonawstwo wewn. udzielone</t>
        </is>
      </c>
      <c r="D26" s="5" t="inlineStr"/>
      <c r="E26" s="6" t="n">
        <v>0</v>
      </c>
      <c r="F26" s="6" t="n">
        <v>0</v>
      </c>
      <c r="G26" s="6">
        <f>F26-E26</f>
        <v/>
      </c>
      <c r="H26" s="11">
        <f>IFERROR(G26/E26,0)</f>
        <v/>
      </c>
      <c r="I26" s="5" t="n">
        <v>453</v>
      </c>
      <c r="J26" s="5" t="inlineStr">
        <is>
          <t>I453 / AB453</t>
        </is>
      </c>
    </row>
    <row r="27" ht="20" customHeight="1">
      <c r="A27" s="5" t="inlineStr">
        <is>
          <t>Financial summary / WBS 1-17</t>
        </is>
      </c>
      <c r="B27" s="5" t="n">
        <v>7</v>
      </c>
      <c r="C27" s="5" t="inlineStr">
        <is>
          <t xml:space="preserve">Planowany Przerób po REGIE
</t>
        </is>
      </c>
      <c r="D27" s="5" t="inlineStr">
        <is>
          <t>Planned capacity (REGIE)</t>
        </is>
      </c>
      <c r="E27" s="6" t="n">
        <v>631386000</v>
      </c>
      <c r="F27" s="6" t="n">
        <v>627086000</v>
      </c>
      <c r="G27" s="6">
        <f>F27-E27</f>
        <v/>
      </c>
      <c r="H27" s="11">
        <f>IFERROR(G27/E27,0)</f>
        <v/>
      </c>
      <c r="I27" s="5" t="n">
        <v>454</v>
      </c>
      <c r="J27" s="5" t="inlineStr">
        <is>
          <t>I454 / AB454</t>
        </is>
      </c>
    </row>
    <row r="28" ht="20" customHeight="1">
      <c r="A28" s="5" t="inlineStr">
        <is>
          <t>Financial summary / WBS 1-17</t>
        </is>
      </c>
      <c r="B28" s="5" t="n">
        <v>8</v>
      </c>
      <c r="C28" s="5" t="inlineStr">
        <is>
          <t>Korekta kosztowa wpływająca tylko na wynik</t>
        </is>
      </c>
      <c r="D28" s="5" t="inlineStr"/>
      <c r="E28" s="6" t="n">
        <v>0</v>
      </c>
      <c r="F28" s="6" t="n">
        <v>0</v>
      </c>
      <c r="G28" s="6">
        <f>F28-E28</f>
        <v/>
      </c>
      <c r="H28" s="11">
        <f>IFERROR(G28/E28,0)</f>
        <v/>
      </c>
      <c r="I28" s="5" t="n">
        <v>457</v>
      </c>
      <c r="J28" s="5" t="inlineStr">
        <is>
          <t>I457 / AB457</t>
        </is>
      </c>
    </row>
    <row r="29" ht="20" customHeight="1">
      <c r="A29" s="5" t="inlineStr">
        <is>
          <t>Financial summary / WBS 1-17</t>
        </is>
      </c>
      <c r="B29" s="5" t="n">
        <v>9</v>
      </c>
      <c r="C29" s="5" t="inlineStr">
        <is>
          <t xml:space="preserve">Kwota narzutów kalkulacyjnych </t>
        </is>
      </c>
      <c r="D29" s="5" t="inlineStr"/>
      <c r="E29" s="6" t="n">
        <v>85237132.84999999</v>
      </c>
      <c r="F29" s="6" t="n">
        <v>63492794.56</v>
      </c>
      <c r="G29" s="6">
        <f>F29-E29</f>
        <v/>
      </c>
      <c r="H29" s="11">
        <f>IFERROR(G29/E29,0)</f>
        <v/>
      </c>
      <c r="I29" s="5" t="n">
        <v>458</v>
      </c>
      <c r="J29" s="5" t="inlineStr">
        <is>
          <t>I458 / AB458</t>
        </is>
      </c>
    </row>
    <row r="30" ht="20" customHeight="1">
      <c r="A30" s="5" t="inlineStr">
        <is>
          <t>Financial summary / WBS 1-17</t>
        </is>
      </c>
      <c r="B30" s="5" t="n">
        <v>10</v>
      </c>
      <c r="C30" s="5" t="inlineStr">
        <is>
          <t>Kwota narzutów kalkulacyjnych po korekcie</t>
        </is>
      </c>
      <c r="D30" s="5" t="inlineStr">
        <is>
          <t xml:space="preserve">Amount of imputed mark-ups after correction </t>
        </is>
      </c>
      <c r="E30" s="6" t="n">
        <v>0</v>
      </c>
      <c r="F30" s="6" t="n">
        <v>63492794.56</v>
      </c>
      <c r="G30" s="6">
        <f>F30-E30</f>
        <v/>
      </c>
      <c r="H30" s="11">
        <f>IFERROR(G30/E30,0)</f>
        <v/>
      </c>
      <c r="I30" s="5" t="n">
        <v>459</v>
      </c>
      <c r="J30" s="5" t="inlineStr">
        <is>
          <t>I459 / AB459</t>
        </is>
      </c>
    </row>
    <row r="31" ht="20" customHeight="1">
      <c r="A31" s="5" t="inlineStr">
        <is>
          <t>Financial summary / WBS 1-17</t>
        </is>
      </c>
      <c r="B31" s="5" t="n">
        <v>11</v>
      </c>
      <c r="C31" s="5" t="inlineStr">
        <is>
          <t>Alokacje - REGIE</t>
        </is>
      </c>
      <c r="D31" s="5" t="inlineStr"/>
      <c r="E31" s="6" t="n">
        <v>45080960.4</v>
      </c>
      <c r="F31" s="6" t="n">
        <v>31178095.3777719</v>
      </c>
      <c r="G31" s="6">
        <f>F31-E31</f>
        <v/>
      </c>
      <c r="H31" s="11">
        <f>IFERROR(G31/E31,0)</f>
        <v/>
      </c>
      <c r="I31" s="5" t="n">
        <v>475</v>
      </c>
      <c r="J31" s="5" t="inlineStr">
        <is>
          <t>I475 / AB475</t>
        </is>
      </c>
    </row>
    <row r="32" ht="20" customHeight="1">
      <c r="A32" s="5" t="inlineStr">
        <is>
          <t>Financial summary / WBS 1-17</t>
        </is>
      </c>
      <c r="B32" s="5" t="n">
        <v>12</v>
      </c>
      <c r="C32" s="5" t="inlineStr">
        <is>
          <t>EBT w PLN - po uwzględnieniu REGIE</t>
        </is>
      </c>
      <c r="D32" s="5" t="inlineStr"/>
      <c r="E32" s="6" t="n">
        <v>40156172.45</v>
      </c>
      <c r="F32" s="6" t="n">
        <v>32314699.18222811</v>
      </c>
      <c r="G32" s="6">
        <f>F32-E32</f>
        <v/>
      </c>
      <c r="H32" s="11">
        <f>IFERROR(G32/E32,0)</f>
        <v/>
      </c>
      <c r="I32" s="5" t="n">
        <v>477</v>
      </c>
      <c r="J32" s="5" t="inlineStr">
        <is>
          <t>I477 / AB477</t>
        </is>
      </c>
    </row>
    <row r="33" ht="20" customHeight="1">
      <c r="A33" s="5" t="inlineStr">
        <is>
          <t>Financial summary / WBS 1-17</t>
        </is>
      </c>
      <c r="B33" s="5" t="n">
        <v>13</v>
      </c>
      <c r="C33" s="5" t="inlineStr">
        <is>
          <t>% EBT bez revaluation</t>
        </is>
      </c>
      <c r="D33" s="5" t="inlineStr"/>
      <c r="E33" s="6" t="n">
        <v>0.06360003619022277</v>
      </c>
      <c r="F33" s="6" t="n">
        <v>0.05153152706682673</v>
      </c>
      <c r="G33" s="6">
        <f>F33-E33</f>
        <v/>
      </c>
      <c r="H33" s="11">
        <f>IFERROR(G33/E33,0)</f>
        <v/>
      </c>
      <c r="I33" s="5" t="n">
        <v>478</v>
      </c>
      <c r="J33" s="5" t="inlineStr">
        <is>
          <t>I478 / AB478</t>
        </is>
      </c>
    </row>
    <row r="34" ht="20" customHeight="1">
      <c r="A34" s="5" t="inlineStr">
        <is>
          <t>Financial summary / WBS 1-17</t>
        </is>
      </c>
      <c r="B34" s="5" t="n">
        <v>14</v>
      </c>
      <c r="C34" s="5" t="inlineStr">
        <is>
          <t>EBT z Rewaluation</t>
        </is>
      </c>
      <c r="D34" s="5" t="inlineStr"/>
      <c r="E34" s="6" t="n">
        <v>40156172.45</v>
      </c>
      <c r="F34" s="6" t="n">
        <v>54413234.33222811</v>
      </c>
      <c r="G34" s="6">
        <f>F34-E34</f>
        <v/>
      </c>
      <c r="H34" s="11">
        <f>IFERROR(G34/E34,0)</f>
        <v/>
      </c>
      <c r="I34" s="5" t="n">
        <v>480</v>
      </c>
      <c r="J34" s="5" t="inlineStr">
        <is>
          <t>I480 / AB480</t>
        </is>
      </c>
    </row>
    <row r="35" ht="20" customHeight="1">
      <c r="A35" s="5" t="inlineStr">
        <is>
          <t>Financial summary / WBS 1-17</t>
        </is>
      </c>
      <c r="B35" s="5" t="n">
        <v>15</v>
      </c>
      <c r="C35" s="5" t="inlineStr">
        <is>
          <t>% EBT bez Contingency</t>
        </is>
      </c>
      <c r="D35" s="5" t="inlineStr"/>
      <c r="E35" s="6" t="n">
        <v>0.06360003619022277</v>
      </c>
      <c r="F35" s="6" t="n">
        <v>0.08677156615237482</v>
      </c>
      <c r="G35" s="6">
        <f>F35-E35</f>
        <v/>
      </c>
      <c r="H35" s="11">
        <f>IFERROR(G35/E35,0)</f>
        <v/>
      </c>
      <c r="I35" s="5" t="n">
        <v>481</v>
      </c>
      <c r="J35" s="5" t="inlineStr">
        <is>
          <t>I481 / AB481</t>
        </is>
      </c>
    </row>
    <row r="36" ht="20" customHeight="1">
      <c r="A36" s="5" t="inlineStr">
        <is>
          <t>Financial summary / WBS 1-17</t>
        </is>
      </c>
      <c r="B36" s="5" t="n">
        <v>16</v>
      </c>
      <c r="C36" s="5" t="inlineStr">
        <is>
          <t>Wartość robót wykonywanych przez konsorcjantów</t>
        </is>
      </c>
      <c r="D36" s="5" t="inlineStr"/>
      <c r="E36" s="6" t="n">
        <v>0</v>
      </c>
      <c r="F36" s="6" t="n">
        <v>0</v>
      </c>
      <c r="G36" s="6">
        <f>F36-E36</f>
        <v/>
      </c>
      <c r="H36" s="11">
        <f>IFERROR(G36/E36,0)</f>
        <v/>
      </c>
      <c r="I36" s="5" t="n">
        <v>488</v>
      </c>
      <c r="J36" s="5" t="inlineStr">
        <is>
          <t>I488 / AB488</t>
        </is>
      </c>
    </row>
    <row r="37" ht="20" customHeight="1">
      <c r="A37" s="5" t="inlineStr">
        <is>
          <t>Financial summary / WBS 1-17</t>
        </is>
      </c>
      <c r="B37" s="5" t="n">
        <v>17</v>
      </c>
      <c r="C37" s="5" t="inlineStr">
        <is>
          <t>Łączna wartość kontraktu (BBB + konsorcjanci)</t>
        </is>
      </c>
      <c r="D37" s="5" t="inlineStr"/>
      <c r="E37" s="6" t="n">
        <v>631386000</v>
      </c>
      <c r="F37" s="6" t="n">
        <v>627086000</v>
      </c>
      <c r="G37" s="6">
        <f>F37-E37</f>
        <v/>
      </c>
      <c r="H37" s="11">
        <f>IFERROR(G37/E37,0)</f>
        <v/>
      </c>
      <c r="I37" s="5" t="n">
        <v>489</v>
      </c>
      <c r="J37" s="5" t="inlineStr">
        <is>
          <t>I489 / AB489</t>
        </is>
      </c>
    </row>
  </sheetData>
  <mergeCells count="1">
    <mergeCell ref="A2:J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3" customWidth="1" min="3" max="3"/>
    <col width="20" customWidth="1" min="4" max="4"/>
    <col width="10" customWidth="1" min="5" max="5"/>
    <col width="10" customWidth="1" min="6" max="6"/>
  </cols>
  <sheetData>
    <row r="1" ht="20" customHeight="1">
      <c r="A1" s="12" t="inlineStr">
        <is>
          <t>Nota origine dati</t>
        </is>
      </c>
      <c r="B1" s="2" t="n"/>
      <c r="C1" s="2" t="n"/>
      <c r="D1" s="2" t="n"/>
      <c r="E1" s="2" t="n"/>
      <c r="F1" s="2" t="n"/>
    </row>
    <row r="2" ht="20" customHeight="1">
      <c r="A2" s="2" t="inlineStr">
        <is>
          <t>Dati estratti dal file Budget in data/current: Budget.xlsm, sheet Włocławek Budget. La produzione mensile dichiarata PORR / budget monthly deriva dalla riga 12, colonne AM:BW; le intestazioni mese sono sulla riga 11.</t>
        </is>
      </c>
      <c r="B2" s="2" t="n"/>
      <c r="C2" s="2" t="n"/>
      <c r="D2" s="2" t="n"/>
      <c r="E2" s="2" t="n"/>
      <c r="F2" s="2" t="n"/>
    </row>
    <row r="3" ht="20" customHeight="1">
      <c r="A3" s="2" t="n"/>
      <c r="B3" s="2" t="n"/>
      <c r="C3" s="2" t="n"/>
      <c r="D3" s="2" t="n"/>
      <c r="E3" s="2" t="n"/>
      <c r="F3" s="2" t="n"/>
    </row>
    <row r="4" ht="20" customHeight="1">
      <c r="A4" s="2" t="n"/>
      <c r="B4" s="2" t="n"/>
      <c r="C4" s="2" t="n"/>
      <c r="D4" s="2" t="n"/>
      <c r="E4" s="2" t="n"/>
      <c r="F4" s="2" t="n"/>
    </row>
    <row r="5" ht="20" customHeight="1">
      <c r="A5" s="2" t="n"/>
      <c r="B5" s="2" t="n"/>
      <c r="C5" s="2" t="n"/>
      <c r="D5" s="2" t="n"/>
      <c r="E5" s="2" t="n"/>
      <c r="F5" s="2" t="n"/>
    </row>
    <row r="6" ht="20" customHeight="1">
      <c r="A6" s="3" t="inlineStr">
        <is>
          <t>Month</t>
        </is>
      </c>
      <c r="B6" s="3" t="inlineStr">
        <is>
          <t>Value</t>
        </is>
      </c>
      <c r="C6" s="3" t="inlineStr">
        <is>
          <t>Source cell</t>
        </is>
      </c>
      <c r="D6" s="3" t="inlineStr">
        <is>
          <t>Source header cell</t>
        </is>
      </c>
      <c r="E6" s="2" t="n"/>
      <c r="F6" s="2" t="n"/>
    </row>
    <row r="7" ht="20" customHeight="1">
      <c r="A7" s="5" t="inlineStr">
        <is>
          <t>2025-12-01 00:00:00</t>
        </is>
      </c>
      <c r="B7" s="6" t="n">
        <v>6199140</v>
      </c>
      <c r="C7" s="5" t="inlineStr">
        <is>
          <t>AM12</t>
        </is>
      </c>
      <c r="D7" s="5" t="inlineStr">
        <is>
          <t>AM11</t>
        </is>
      </c>
      <c r="E7" s="2" t="n"/>
      <c r="F7" s="2" t="n"/>
    </row>
    <row r="8" ht="20" customHeight="1">
      <c r="A8" s="5" t="inlineStr">
        <is>
          <t>2026-01-01 00:00:00</t>
        </is>
      </c>
      <c r="B8" s="6" t="n">
        <v>1209845.03</v>
      </c>
      <c r="C8" s="5" t="inlineStr">
        <is>
          <t>AN12</t>
        </is>
      </c>
      <c r="D8" s="5" t="inlineStr">
        <is>
          <t>AN11</t>
        </is>
      </c>
      <c r="E8" s="2" t="n"/>
      <c r="F8" s="2" t="n"/>
    </row>
    <row r="9" ht="20" customHeight="1">
      <c r="A9" s="5" t="inlineStr">
        <is>
          <t>2026-02-01 00:00:00</t>
        </is>
      </c>
      <c r="B9" s="6" t="n">
        <v>4914057.77</v>
      </c>
      <c r="C9" s="5" t="inlineStr">
        <is>
          <t>AO12</t>
        </is>
      </c>
      <c r="D9" s="5" t="inlineStr">
        <is>
          <t>AO11</t>
        </is>
      </c>
      <c r="E9" s="2" t="n"/>
      <c r="F9" s="2" t="n"/>
    </row>
    <row r="10" ht="20" customHeight="1">
      <c r="A10" s="5" t="inlineStr">
        <is>
          <t>2026-03-01 00:00:00</t>
        </is>
      </c>
      <c r="B10" s="6" t="n">
        <v>6224860.46888889</v>
      </c>
      <c r="C10" s="5" t="inlineStr">
        <is>
          <t>AP12</t>
        </is>
      </c>
      <c r="D10" s="5" t="inlineStr">
        <is>
          <t>AP11</t>
        </is>
      </c>
      <c r="E10" s="2" t="n"/>
      <c r="F10" s="2" t="n"/>
    </row>
    <row r="11" ht="20" customHeight="1">
      <c r="A11" s="5" t="inlineStr">
        <is>
          <t>2026-04-01 00:00:00</t>
        </is>
      </c>
      <c r="B11" s="6" t="n">
        <v>3080461.270952381</v>
      </c>
      <c r="C11" s="5" t="inlineStr">
        <is>
          <t>AQ12</t>
        </is>
      </c>
      <c r="D11" s="5" t="inlineStr">
        <is>
          <t>AQ11</t>
        </is>
      </c>
      <c r="E11" s="2" t="n"/>
      <c r="F11" s="2" t="n"/>
    </row>
    <row r="12" ht="20" customHeight="1">
      <c r="A12" s="5" t="inlineStr">
        <is>
          <t>2026-05-01 00:00:00</t>
        </is>
      </c>
      <c r="B12" s="6" t="n">
        <v>10298268.19915018</v>
      </c>
      <c r="C12" s="5" t="inlineStr">
        <is>
          <t>AR12</t>
        </is>
      </c>
      <c r="D12" s="5" t="inlineStr">
        <is>
          <t>AR11</t>
        </is>
      </c>
      <c r="E12" s="2" t="n"/>
      <c r="F12" s="2" t="n"/>
    </row>
    <row r="13" ht="20" customHeight="1">
      <c r="A13" s="5" t="inlineStr">
        <is>
          <t>2026-06-01 00:00:00</t>
        </is>
      </c>
      <c r="B13" s="6" t="n">
        <v>24920618.49075124</v>
      </c>
      <c r="C13" s="5" t="inlineStr">
        <is>
          <t>AS12</t>
        </is>
      </c>
      <c r="D13" s="5" t="inlineStr">
        <is>
          <t>AS11</t>
        </is>
      </c>
      <c r="E13" s="2" t="n"/>
      <c r="F13" s="2" t="n"/>
    </row>
    <row r="14" ht="20" customHeight="1">
      <c r="A14" s="5" t="inlineStr">
        <is>
          <t>2026-07-01 00:00:00</t>
        </is>
      </c>
      <c r="B14" s="6" t="n">
        <v>11044595.67496808</v>
      </c>
      <c r="C14" s="5" t="inlineStr">
        <is>
          <t>AT12</t>
        </is>
      </c>
      <c r="D14" s="5" t="inlineStr">
        <is>
          <t>AT11</t>
        </is>
      </c>
      <c r="E14" s="2" t="n"/>
      <c r="F14" s="2" t="n"/>
    </row>
    <row r="15" ht="20" customHeight="1">
      <c r="A15" s="5" t="inlineStr">
        <is>
          <t>2026-08-01 00:00:00</t>
        </is>
      </c>
      <c r="B15" s="6" t="n">
        <v>12651060.24080475</v>
      </c>
      <c r="C15" s="5" t="inlineStr">
        <is>
          <t>AU12</t>
        </is>
      </c>
      <c r="D15" s="5" t="inlineStr">
        <is>
          <t>AU11</t>
        </is>
      </c>
      <c r="E15" s="2" t="n"/>
      <c r="F15" s="2" t="n"/>
    </row>
    <row r="16" ht="20" customHeight="1">
      <c r="A16" s="5" t="inlineStr">
        <is>
          <t>2026-09-01 00:00:00</t>
        </is>
      </c>
      <c r="B16" s="6" t="n">
        <v>16840968.47857952</v>
      </c>
      <c r="C16" s="5" t="inlineStr">
        <is>
          <t>AV12</t>
        </is>
      </c>
      <c r="D16" s="5" t="inlineStr">
        <is>
          <t>AV11</t>
        </is>
      </c>
      <c r="E16" s="2" t="n"/>
      <c r="F16" s="2" t="n"/>
    </row>
    <row r="17" ht="20" customHeight="1">
      <c r="A17" s="5" t="inlineStr">
        <is>
          <t>2026-10-01 00:00:00</t>
        </is>
      </c>
      <c r="B17" s="6" t="n">
        <v>21259070.9007059</v>
      </c>
      <c r="C17" s="5" t="inlineStr">
        <is>
          <t>AW12</t>
        </is>
      </c>
      <c r="D17" s="5" t="inlineStr">
        <is>
          <t>AW11</t>
        </is>
      </c>
      <c r="E17" s="2" t="n"/>
      <c r="F17" s="2" t="n"/>
    </row>
    <row r="18" ht="20" customHeight="1">
      <c r="A18" s="5" t="inlineStr">
        <is>
          <t>2026-11-01 00:00:00</t>
        </is>
      </c>
      <c r="B18" s="6" t="n">
        <v>17153971.63890618</v>
      </c>
      <c r="C18" s="5" t="inlineStr">
        <is>
          <t>AX12</t>
        </is>
      </c>
      <c r="D18" s="5" t="inlineStr">
        <is>
          <t>AX11</t>
        </is>
      </c>
      <c r="E18" s="2" t="n"/>
      <c r="F18" s="2" t="n"/>
    </row>
    <row r="19" ht="20" customHeight="1">
      <c r="A19" s="5" t="inlineStr">
        <is>
          <t>2026-12-01 00:00:00</t>
        </is>
      </c>
      <c r="B19" s="6" t="n">
        <v>19773194.85023951</v>
      </c>
      <c r="C19" s="5" t="inlineStr">
        <is>
          <t>AY12</t>
        </is>
      </c>
      <c r="D19" s="5" t="inlineStr">
        <is>
          <t>AY11</t>
        </is>
      </c>
      <c r="E19" s="2" t="n"/>
      <c r="F19" s="2" t="n"/>
    </row>
    <row r="20" ht="20" customHeight="1">
      <c r="A20" s="5" t="inlineStr">
        <is>
          <t>2027-01-01 00:00:00</t>
        </is>
      </c>
      <c r="B20" s="6" t="n">
        <v>24861930.3932784</v>
      </c>
      <c r="C20" s="5" t="inlineStr">
        <is>
          <t>AZ12</t>
        </is>
      </c>
      <c r="D20" s="5" t="inlineStr">
        <is>
          <t>AZ11</t>
        </is>
      </c>
      <c r="E20" s="2" t="n"/>
      <c r="F20" s="2" t="n"/>
    </row>
    <row r="21" ht="20" customHeight="1">
      <c r="A21" s="5" t="inlineStr">
        <is>
          <t>2027-02-01 00:00:00</t>
        </is>
      </c>
      <c r="B21" s="6" t="n">
        <v>27968549.50484506</v>
      </c>
      <c r="C21" s="5" t="inlineStr">
        <is>
          <t>BA12</t>
        </is>
      </c>
      <c r="D21" s="5" t="inlineStr">
        <is>
          <t>BA11</t>
        </is>
      </c>
      <c r="E21" s="2" t="n"/>
      <c r="F21" s="2" t="n"/>
    </row>
    <row r="22" ht="20" customHeight="1">
      <c r="A22" s="5" t="inlineStr">
        <is>
          <t>2027-03-01 00:00:00</t>
        </is>
      </c>
      <c r="B22" s="6" t="n">
        <v>35342841.76083907</v>
      </c>
      <c r="C22" s="5" t="inlineStr">
        <is>
          <t>BB12</t>
        </is>
      </c>
      <c r="D22" s="5" t="inlineStr">
        <is>
          <t>BB11</t>
        </is>
      </c>
      <c r="E22" s="2" t="n"/>
      <c r="F22" s="2" t="n"/>
    </row>
    <row r="23" ht="20" customHeight="1">
      <c r="A23" s="5" t="inlineStr">
        <is>
          <t>2027-04-01 00:00:00</t>
        </is>
      </c>
      <c r="B23" s="6" t="n">
        <v>30823036.89110636</v>
      </c>
      <c r="C23" s="5" t="inlineStr">
        <is>
          <t>BC12</t>
        </is>
      </c>
      <c r="D23" s="5" t="inlineStr">
        <is>
          <t>BC11</t>
        </is>
      </c>
      <c r="E23" s="2" t="n"/>
      <c r="F23" s="2" t="n"/>
    </row>
    <row r="24" ht="20" customHeight="1">
      <c r="A24" s="5" t="inlineStr">
        <is>
          <t>2027-05-01 00:00:00</t>
        </is>
      </c>
      <c r="B24" s="6" t="n">
        <v>32016185.05832859</v>
      </c>
      <c r="C24" s="5" t="inlineStr">
        <is>
          <t>BD12</t>
        </is>
      </c>
      <c r="D24" s="5" t="inlineStr">
        <is>
          <t>BD11</t>
        </is>
      </c>
      <c r="E24" s="2" t="n"/>
      <c r="F24" s="2" t="n"/>
    </row>
    <row r="25" ht="20" customHeight="1">
      <c r="A25" s="5" t="inlineStr">
        <is>
          <t>2027-06-01 00:00:00</t>
        </is>
      </c>
      <c r="B25" s="6" t="n">
        <v>26848740.96685081</v>
      </c>
      <c r="C25" s="5" t="inlineStr">
        <is>
          <t>BE12</t>
        </is>
      </c>
      <c r="D25" s="5" t="inlineStr">
        <is>
          <t>BE11</t>
        </is>
      </c>
      <c r="E25" s="2" t="n"/>
      <c r="F25" s="2" t="n"/>
    </row>
    <row r="26" ht="20" customHeight="1">
      <c r="A26" s="5" t="inlineStr">
        <is>
          <t>2027-07-01 00:00:00</t>
        </is>
      </c>
      <c r="B26" s="6" t="n">
        <v>23300575.31623628</v>
      </c>
      <c r="C26" s="5" t="inlineStr">
        <is>
          <t>BF12</t>
        </is>
      </c>
      <c r="D26" s="5" t="inlineStr">
        <is>
          <t>BF11</t>
        </is>
      </c>
      <c r="E26" s="2" t="n"/>
      <c r="F26" s="2" t="n"/>
    </row>
    <row r="27" ht="20" customHeight="1">
      <c r="A27" s="5" t="inlineStr">
        <is>
          <t>2027-08-01 00:00:00</t>
        </is>
      </c>
      <c r="B27" s="6" t="n">
        <v>17197990.11634805</v>
      </c>
      <c r="C27" s="5" t="inlineStr">
        <is>
          <t>BG12</t>
        </is>
      </c>
      <c r="D27" s="5" t="inlineStr">
        <is>
          <t>BG11</t>
        </is>
      </c>
      <c r="E27" s="2" t="n"/>
      <c r="F27" s="2" t="n"/>
    </row>
    <row r="28" ht="20" customHeight="1">
      <c r="A28" s="5" t="inlineStr">
        <is>
          <t>2027-09-01 00:00:00</t>
        </is>
      </c>
      <c r="B28" s="6" t="n">
        <v>22446419.55108138</v>
      </c>
      <c r="C28" s="5" t="inlineStr">
        <is>
          <t>BH12</t>
        </is>
      </c>
      <c r="D28" s="5" t="inlineStr">
        <is>
          <t>BH11</t>
        </is>
      </c>
      <c r="E28" s="2" t="n"/>
      <c r="F28" s="2" t="n"/>
    </row>
    <row r="29" ht="20" customHeight="1">
      <c r="A29" s="5" t="inlineStr">
        <is>
          <t>2027-10-01 00:00:00</t>
        </is>
      </c>
      <c r="B29" s="6" t="n">
        <v>10601806.8521036</v>
      </c>
      <c r="C29" s="5" t="inlineStr">
        <is>
          <t>BI12</t>
        </is>
      </c>
      <c r="D29" s="5" t="inlineStr">
        <is>
          <t>BI11</t>
        </is>
      </c>
      <c r="E29" s="2" t="n"/>
      <c r="F29" s="2" t="n"/>
    </row>
    <row r="30" ht="20" customHeight="1">
      <c r="A30" s="5" t="inlineStr">
        <is>
          <t>2027-11-01 00:00:00</t>
        </is>
      </c>
      <c r="B30" s="6" t="n">
        <v>8350089.772514713</v>
      </c>
      <c r="C30" s="5" t="inlineStr">
        <is>
          <t>BJ12</t>
        </is>
      </c>
      <c r="D30" s="5" t="inlineStr">
        <is>
          <t>BJ11</t>
        </is>
      </c>
      <c r="E30" s="2" t="n"/>
      <c r="F30" s="2" t="n"/>
    </row>
    <row r="31" ht="20" customHeight="1">
      <c r="A31" s="5" t="inlineStr">
        <is>
          <t>2027-12-01 00:00:00</t>
        </is>
      </c>
      <c r="B31" s="6" t="n">
        <v>24637776.5005036</v>
      </c>
      <c r="C31" s="5" t="inlineStr">
        <is>
          <t>BK12</t>
        </is>
      </c>
      <c r="D31" s="5" t="inlineStr">
        <is>
          <t>BK11</t>
        </is>
      </c>
      <c r="E31" s="2" t="n"/>
      <c r="F31" s="2" t="n"/>
    </row>
    <row r="32" ht="20" customHeight="1">
      <c r="A32" s="5" t="inlineStr">
        <is>
          <t>2028-01-30 00:00:00</t>
        </is>
      </c>
      <c r="B32" s="6" t="n">
        <v>5817816.966203314</v>
      </c>
      <c r="C32" s="5" t="inlineStr">
        <is>
          <t>BL12</t>
        </is>
      </c>
      <c r="D32" s="5" t="inlineStr">
        <is>
          <t>BL11</t>
        </is>
      </c>
      <c r="E32" s="2" t="n"/>
      <c r="F32" s="2" t="n"/>
    </row>
    <row r="33" ht="20" customHeight="1">
      <c r="A33" s="5" t="inlineStr">
        <is>
          <t>2028-02-01 00:00:00</t>
        </is>
      </c>
      <c r="B33" s="6" t="n">
        <v>3279069.233192204</v>
      </c>
      <c r="C33" s="5" t="inlineStr">
        <is>
          <t>BM12</t>
        </is>
      </c>
      <c r="D33" s="5" t="inlineStr">
        <is>
          <t>BM11</t>
        </is>
      </c>
      <c r="E33" s="2" t="n"/>
      <c r="F33" s="2" t="n"/>
    </row>
    <row r="34" ht="20" customHeight="1">
      <c r="A34" s="5" t="inlineStr">
        <is>
          <t>2028-03-01 00:00:00</t>
        </is>
      </c>
      <c r="B34" s="6" t="n">
        <v>2859802.387192203</v>
      </c>
      <c r="C34" s="5" t="inlineStr">
        <is>
          <t>BN12</t>
        </is>
      </c>
      <c r="D34" s="5" t="inlineStr">
        <is>
          <t>BN11</t>
        </is>
      </c>
      <c r="E34" s="2" t="n"/>
      <c r="F34" s="2" t="n"/>
    </row>
    <row r="35" ht="20" customHeight="1">
      <c r="A35" s="5" t="inlineStr">
        <is>
          <t>2028-04-01 00:00:00</t>
        </is>
      </c>
      <c r="B35" s="6" t="n">
        <v>308626.9264270754</v>
      </c>
      <c r="C35" s="5" t="inlineStr">
        <is>
          <t>BO12</t>
        </is>
      </c>
      <c r="D35" s="5" t="inlineStr">
        <is>
          <t>BO11</t>
        </is>
      </c>
      <c r="E35" s="2" t="n"/>
      <c r="F35" s="2" t="n"/>
    </row>
    <row r="36" ht="20" customHeight="1">
      <c r="A36" s="5" t="inlineStr">
        <is>
          <t>2028-05-01 00:00:00</t>
        </is>
      </c>
      <c r="B36" s="6" t="n">
        <v>3335488.44087152</v>
      </c>
      <c r="C36" s="5" t="inlineStr">
        <is>
          <t>BP12</t>
        </is>
      </c>
      <c r="D36" s="5" t="inlineStr">
        <is>
          <t>BP11</t>
        </is>
      </c>
      <c r="E36" s="2" t="n"/>
      <c r="F36" s="2" t="n"/>
    </row>
    <row r="37" ht="20" customHeight="1">
      <c r="A37" s="5" t="inlineStr">
        <is>
          <t>2028-06-01 00:00:00</t>
        </is>
      </c>
      <c r="B37" s="6" t="n">
        <v>966685.0738344828</v>
      </c>
      <c r="C37" s="5" t="inlineStr">
        <is>
          <t>BQ12</t>
        </is>
      </c>
      <c r="D37" s="5" t="inlineStr">
        <is>
          <t>BQ11</t>
        </is>
      </c>
      <c r="E37" s="2" t="n"/>
      <c r="F37" s="2" t="n"/>
    </row>
    <row r="38" ht="20" customHeight="1">
      <c r="A38" s="5" t="inlineStr">
        <is>
          <t>2028-07-01 00:00:00</t>
        </is>
      </c>
      <c r="B38" s="6" t="n">
        <v>0</v>
      </c>
      <c r="C38" s="5" t="inlineStr">
        <is>
          <t>BR12</t>
        </is>
      </c>
      <c r="D38" s="5" t="inlineStr">
        <is>
          <t>BR11</t>
        </is>
      </c>
      <c r="E38" s="2" t="n"/>
      <c r="F38" s="2" t="n"/>
    </row>
    <row r="39" ht="20" customHeight="1">
      <c r="A39" s="5" t="inlineStr">
        <is>
          <t>2028-08-01 00:00:00</t>
        </is>
      </c>
      <c r="B39" s="6" t="n">
        <v>0</v>
      </c>
      <c r="C39" s="5" t="inlineStr">
        <is>
          <t>BS12</t>
        </is>
      </c>
      <c r="D39" s="5" t="inlineStr">
        <is>
          <t>BS11</t>
        </is>
      </c>
      <c r="E39" s="2" t="n"/>
      <c r="F39" s="2" t="n"/>
    </row>
    <row r="40" ht="20" customHeight="1">
      <c r="A40" s="5" t="inlineStr">
        <is>
          <t>2028-09-01 00:00:00</t>
        </is>
      </c>
      <c r="B40" s="6" t="n">
        <v>174000</v>
      </c>
      <c r="C40" s="5" t="inlineStr">
        <is>
          <t>BT12</t>
        </is>
      </c>
      <c r="D40" s="5" t="inlineStr">
        <is>
          <t>BT11</t>
        </is>
      </c>
      <c r="E40" s="2" t="n"/>
      <c r="F40" s="2" t="n"/>
    </row>
    <row r="41" ht="20" customHeight="1">
      <c r="A41" s="5" t="inlineStr">
        <is>
          <t>2028-10-01 00:00:00</t>
        </is>
      </c>
      <c r="B41" s="6" t="n">
        <v>0</v>
      </c>
      <c r="C41" s="5" t="inlineStr">
        <is>
          <t>BU12</t>
        </is>
      </c>
      <c r="D41" s="5" t="inlineStr">
        <is>
          <t>BU11</t>
        </is>
      </c>
      <c r="E41" s="2" t="n"/>
      <c r="F41" s="2" t="n"/>
    </row>
    <row r="42" ht="20" customHeight="1">
      <c r="A42" s="5" t="inlineStr">
        <is>
          <t>2028-11-01 00:00:00</t>
        </is>
      </c>
      <c r="B42" s="6" t="n">
        <v>0</v>
      </c>
      <c r="C42" s="5" t="inlineStr">
        <is>
          <t>BV12</t>
        </is>
      </c>
      <c r="D42" s="5" t="inlineStr">
        <is>
          <t>BV11</t>
        </is>
      </c>
      <c r="E42" s="2" t="n"/>
      <c r="F42" s="2" t="n"/>
    </row>
    <row r="43" ht="20" customHeight="1">
      <c r="A43" s="5" t="inlineStr">
        <is>
          <t>2028-12-01 00:00:00</t>
        </is>
      </c>
      <c r="B43" s="6" t="n">
        <v>44750308.29</v>
      </c>
      <c r="C43" s="5" t="inlineStr">
        <is>
          <t>BW12</t>
        </is>
      </c>
      <c r="D43" s="5" t="inlineStr">
        <is>
          <t>BW11</t>
        </is>
      </c>
      <c r="E43" s="2" t="n"/>
      <c r="F43" s="2" t="n"/>
    </row>
  </sheetData>
  <mergeCells count="1">
    <mergeCell ref="A2:F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4" customWidth="1" min="3" max="3"/>
    <col width="33" customWidth="1" min="4" max="4"/>
    <col width="33" customWidth="1" min="5" max="5"/>
  </cols>
  <sheetData>
    <row r="1" ht="20" customHeight="1">
      <c r="A1" s="12" t="inlineStr">
        <is>
          <t>Nota origine e logica calcolo</t>
        </is>
      </c>
      <c r="B1" s="2" t="n"/>
      <c r="C1" s="2" t="n"/>
      <c r="D1" s="2" t="n"/>
      <c r="E1" s="2" t="n"/>
    </row>
    <row r="2" ht="20" customHeight="1">
      <c r="A2" s="2" t="inlineStr">
        <is>
          <t>Dati derivati dal file Procurement in data/current, sheet Procurement Schedule. PERIMETRO: solo ordini diretti, root group 1-7; sono esclusi 8 = indiretti/servizi e 9 = opportunities/risks. Colonne di riferimento: Q = stato procurement, S = Budget AK / budget aggiornato, T = valore contracted quando disponibile. Raggruppamento: Closed / Finalized / PCT approval = Ordinato; Planned = Da ordinare; tutti gli altri stati attivi = In negoziazione. Count = numero pacchetti nel gruppo; Value = somma economica del gruppo; % Value = Value gruppo / totale Value; % Count = Count gruppo / totale Count.</t>
        </is>
      </c>
      <c r="B2" s="2" t="n"/>
      <c r="C2" s="2" t="n"/>
      <c r="D2" s="2" t="n"/>
      <c r="E2" s="2" t="n"/>
    </row>
    <row r="3" ht="20" customHeight="1">
      <c r="A3" s="2" t="n"/>
      <c r="B3" s="2" t="n"/>
      <c r="C3" s="2" t="n"/>
      <c r="D3" s="2" t="n"/>
      <c r="E3" s="2" t="n"/>
    </row>
    <row r="4" ht="20" customHeight="1">
      <c r="A4" s="2" t="n"/>
      <c r="B4" s="2" t="n"/>
      <c r="C4" s="2" t="n"/>
      <c r="D4" s="2" t="n"/>
      <c r="E4" s="2" t="n"/>
    </row>
    <row r="5" ht="20" customHeight="1">
      <c r="A5" s="2" t="n"/>
      <c r="B5" s="2" t="n"/>
      <c r="C5" s="2" t="n"/>
      <c r="D5" s="2" t="n"/>
      <c r="E5" s="2" t="n"/>
    </row>
    <row r="6" ht="20" customHeight="1">
      <c r="A6" s="2" t="n"/>
      <c r="B6" s="2" t="n"/>
      <c r="C6" s="2" t="n"/>
      <c r="D6" s="2" t="n"/>
      <c r="E6" s="2" t="n"/>
    </row>
    <row r="7" ht="20" customHeight="1">
      <c r="A7" s="2" t="n"/>
      <c r="B7" s="2" t="n"/>
      <c r="C7" s="2" t="n"/>
      <c r="D7" s="2" t="n"/>
      <c r="E7" s="2" t="n"/>
    </row>
    <row r="8" ht="20" customHeight="1">
      <c r="A8" s="3" t="inlineStr">
        <is>
          <t>Status group</t>
        </is>
      </c>
      <c r="B8" s="3" t="inlineStr">
        <is>
          <t>Count</t>
        </is>
      </c>
      <c r="C8" s="3" t="inlineStr">
        <is>
          <t>Value</t>
        </is>
      </c>
      <c r="D8" s="3" t="inlineStr">
        <is>
          <t>% Value</t>
        </is>
      </c>
      <c r="E8" s="3" t="inlineStr">
        <is>
          <t>% Count</t>
        </is>
      </c>
    </row>
    <row r="9" ht="20" customHeight="1">
      <c r="A9" s="5" t="inlineStr">
        <is>
          <t>Ordinato</t>
        </is>
      </c>
      <c r="B9" s="5" t="n">
        <v>42</v>
      </c>
      <c r="C9" s="6" t="n">
        <v>266491549.72</v>
      </c>
      <c r="D9" s="11">
        <f>IFERROR(C9/SUM($C$9:$C$11),0)</f>
        <v/>
      </c>
      <c r="E9" s="11">
        <f>IFERROR(B9/SUM($B$9:$B$11),0)</f>
        <v/>
      </c>
    </row>
    <row r="10" ht="20" customHeight="1">
      <c r="A10" s="5" t="inlineStr">
        <is>
          <t>In negoziazione</t>
        </is>
      </c>
      <c r="B10" s="5" t="n">
        <v>45</v>
      </c>
      <c r="C10" s="6" t="n">
        <v>105177552.26</v>
      </c>
      <c r="D10" s="11">
        <f>IFERROR(C10/SUM($C$9:$C$11),0)</f>
        <v/>
      </c>
      <c r="E10" s="11">
        <f>IFERROR(B10/SUM($B$9:$B$11),0)</f>
        <v/>
      </c>
    </row>
    <row r="11" ht="20" customHeight="1">
      <c r="A11" s="5" t="inlineStr">
        <is>
          <t>Da ordinare</t>
        </is>
      </c>
      <c r="B11" s="5" t="n">
        <v>124</v>
      </c>
      <c r="C11" s="6" t="n">
        <v>133674322</v>
      </c>
      <c r="D11" s="11">
        <f>IFERROR(C11/SUM($C$9:$C$11),0)</f>
        <v/>
      </c>
      <c r="E11" s="11">
        <f>IFERROR(B11/SUM($B$9:$B$11),0)</f>
        <v/>
      </c>
    </row>
  </sheetData>
  <mergeCells count="1">
    <mergeCell ref="A2:E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34" customWidth="1" min="3" max="3"/>
    <col width="14" customWidth="1" min="4" max="4"/>
    <col width="12" customWidth="1" min="5" max="5"/>
    <col width="12" customWidth="1" min="6" max="6"/>
    <col width="34" customWidth="1" min="7" max="7"/>
  </cols>
  <sheetData>
    <row r="1" ht="20" customHeight="1">
      <c r="A1" s="3" t="inlineStr">
        <is>
          <t>Type</t>
        </is>
      </c>
      <c r="B1" s="3" t="inlineStr">
        <is>
          <t>WBS</t>
        </is>
      </c>
      <c r="C1" s="3" t="inlineStr">
        <is>
          <t>Package</t>
        </is>
      </c>
      <c r="D1" s="3" t="inlineStr">
        <is>
          <t>Status</t>
        </is>
      </c>
      <c r="E1" s="3" t="inlineStr">
        <is>
          <t>Date</t>
        </is>
      </c>
      <c r="F1" s="3" t="inlineStr">
        <is>
          <t>Value</t>
        </is>
      </c>
      <c r="G1" s="3" t="inlineStr">
        <is>
          <t>Buyer</t>
        </is>
      </c>
    </row>
    <row r="2" ht="20" customHeight="1">
      <c r="A2" s="5" t="inlineStr">
        <is>
          <t>Closed last 3 months</t>
        </is>
      </c>
      <c r="B2" s="5" t="inlineStr">
        <is>
          <t>8.5.1</t>
        </is>
      </c>
      <c r="C2" s="5" t="inlineStr">
        <is>
          <t>Internet Connection ECd_37</t>
        </is>
      </c>
      <c r="D2" s="5" t="inlineStr">
        <is>
          <t>closed</t>
        </is>
      </c>
      <c r="E2" s="13" t="n">
        <v>46073</v>
      </c>
      <c r="F2" s="6" t="n">
        <v>27350</v>
      </c>
      <c r="G2" s="5" t="n"/>
    </row>
    <row r="3" ht="20" customHeight="1">
      <c r="A3" s="5" t="inlineStr">
        <is>
          <t>Closed last 3 months</t>
        </is>
      </c>
      <c r="B3" s="5" t="inlineStr">
        <is>
          <t>8.1.3.3</t>
        </is>
      </c>
      <c r="C3" s="5" t="inlineStr">
        <is>
          <t>Open order - sanitary industry assortment ECd_39</t>
        </is>
      </c>
      <c r="D3" s="5" t="inlineStr">
        <is>
          <t>closed</t>
        </is>
      </c>
      <c r="E3" s="13" t="n">
        <v>46077</v>
      </c>
      <c r="F3" s="6" t="n">
        <v>30000</v>
      </c>
      <c r="G3" s="5" t="n"/>
    </row>
    <row r="4" ht="20" customHeight="1">
      <c r="A4" s="5" t="inlineStr">
        <is>
          <t>Closed last 3 months</t>
        </is>
      </c>
      <c r="B4" s="5" t="inlineStr">
        <is>
          <t>8.1.3.4</t>
        </is>
      </c>
      <c r="C4" s="5" t="inlineStr">
        <is>
          <t>Open order - sanitary industry assortment ECd_40</t>
        </is>
      </c>
      <c r="D4" s="5" t="inlineStr">
        <is>
          <t>closed</t>
        </is>
      </c>
      <c r="E4" s="13" t="n">
        <v>46077</v>
      </c>
      <c r="F4" s="6" t="n">
        <v>30000</v>
      </c>
      <c r="G4" s="5" t="n"/>
    </row>
    <row r="5" ht="20" customHeight="1">
      <c r="A5" s="5" t="inlineStr">
        <is>
          <t>Closed last 3 months</t>
        </is>
      </c>
      <c r="B5" s="5" t="inlineStr">
        <is>
          <t>1.2.2</t>
        </is>
      </c>
      <c r="C5" s="5" t="inlineStr">
        <is>
          <t>Detailed design: boiler support steel structure and equipment support structures</t>
        </is>
      </c>
      <c r="D5" s="5" t="inlineStr">
        <is>
          <t>closed</t>
        </is>
      </c>
      <c r="E5" s="13" t="n">
        <v>46080</v>
      </c>
      <c r="F5" s="6" t="n">
        <v>943000</v>
      </c>
      <c r="G5" s="5" t="n"/>
    </row>
    <row r="6" ht="20" customHeight="1">
      <c r="A6" s="5" t="inlineStr">
        <is>
          <t>Closed last 3 months</t>
        </is>
      </c>
      <c r="B6" s="5" t="inlineStr">
        <is>
          <t>8.4.1.1</t>
        </is>
      </c>
      <c r="C6" s="5" t="inlineStr">
        <is>
          <t>Personal Occupational Health and Safety Equipment ECd_43</t>
        </is>
      </c>
      <c r="D6" s="5" t="inlineStr">
        <is>
          <t>closed</t>
        </is>
      </c>
      <c r="E6" s="13" t="n">
        <v>46090</v>
      </c>
      <c r="F6" s="6" t="n">
        <v>30000</v>
      </c>
      <c r="G6" s="5" t="n"/>
    </row>
    <row r="7" ht="20" customHeight="1">
      <c r="A7" s="5" t="inlineStr">
        <is>
          <t>Closed last 3 months</t>
        </is>
      </c>
      <c r="B7" s="5" t="inlineStr">
        <is>
          <t>8.3.1.2</t>
        </is>
      </c>
      <c r="C7" s="5" t="inlineStr">
        <is>
          <t>Generator rental ECd_44</t>
        </is>
      </c>
      <c r="D7" s="5" t="inlineStr">
        <is>
          <t>closed</t>
        </is>
      </c>
      <c r="E7" s="13" t="n">
        <v>46096</v>
      </c>
      <c r="F7" s="6" t="n">
        <v>23904</v>
      </c>
      <c r="G7" s="5" t="n"/>
    </row>
    <row r="8" ht="20" customHeight="1">
      <c r="A8" s="5" t="inlineStr">
        <is>
          <t>Closed last 3 months</t>
        </is>
      </c>
      <c r="B8" s="5" t="inlineStr">
        <is>
          <t>8.7.1.6</t>
        </is>
      </c>
      <c r="C8" s="5" t="inlineStr">
        <is>
          <t>Purchase of road signs ECd_42</t>
        </is>
      </c>
      <c r="D8" s="5" t="inlineStr">
        <is>
          <t>closed</t>
        </is>
      </c>
      <c r="E8" s="13" t="n">
        <v>46096</v>
      </c>
      <c r="F8" s="6" t="n">
        <v>2000</v>
      </c>
      <c r="G8" s="5" t="n"/>
    </row>
    <row r="9" ht="20" customHeight="1">
      <c r="A9" s="5" t="inlineStr">
        <is>
          <t>Closed last 3 months</t>
        </is>
      </c>
      <c r="B9" s="5" t="inlineStr">
        <is>
          <t>8.7.1.7</t>
        </is>
      </c>
      <c r="C9" s="5" t="inlineStr">
        <is>
          <t>Purchase of rubble for the construction of storage yards and work platforms ECd_45</t>
        </is>
      </c>
      <c r="D9" s="5" t="inlineStr">
        <is>
          <t>closed</t>
        </is>
      </c>
      <c r="E9" s="13" t="n">
        <v>46096</v>
      </c>
      <c r="F9" s="6" t="n">
        <v>83200</v>
      </c>
      <c r="G9" s="5" t="n"/>
    </row>
    <row r="10" ht="20" customHeight="1">
      <c r="A10" s="5" t="inlineStr">
        <is>
          <t>Closed last 3 months</t>
        </is>
      </c>
      <c r="B10" s="5" t="inlineStr">
        <is>
          <t>2.11.5.3</t>
        </is>
      </c>
      <c r="C10" s="5" t="inlineStr">
        <is>
          <t>Concrete slab installation on the ground</t>
        </is>
      </c>
      <c r="D10" s="5" t="inlineStr">
        <is>
          <t>closed</t>
        </is>
      </c>
      <c r="E10" s="13" t="n">
        <v>46106</v>
      </c>
      <c r="F10" s="6" t="n">
        <v>1735392.78</v>
      </c>
      <c r="G10" s="5" t="inlineStr">
        <is>
          <t>Agnieszka Zając</t>
        </is>
      </c>
    </row>
    <row r="11" ht="20" customHeight="1">
      <c r="A11" s="5" t="inlineStr">
        <is>
          <t>Closed last 3 months</t>
        </is>
      </c>
      <c r="B11" s="5" t="inlineStr">
        <is>
          <t>2.14.2.2</t>
        </is>
      </c>
      <c r="C11" s="5" t="inlineStr">
        <is>
          <t>External road - aggregate delivery ECd_46</t>
        </is>
      </c>
      <c r="D11" s="5" t="inlineStr">
        <is>
          <t>closed</t>
        </is>
      </c>
      <c r="E11" s="13" t="n">
        <v>46106</v>
      </c>
      <c r="F11" s="6" t="n">
        <v>134400</v>
      </c>
      <c r="G11" s="5" t="inlineStr">
        <is>
          <t>Agnieszka Zając</t>
        </is>
      </c>
    </row>
    <row r="12" ht="20" customHeight="1">
      <c r="A12" s="5" t="inlineStr">
        <is>
          <t>Closed last 3 months</t>
        </is>
      </c>
      <c r="B12" s="5" t="inlineStr">
        <is>
          <t>2.4.1</t>
        </is>
      </c>
      <c r="C12" s="5" t="inlineStr">
        <is>
          <t>Insulation - work</t>
        </is>
      </c>
      <c r="D12" s="5" t="inlineStr">
        <is>
          <t>closed</t>
        </is>
      </c>
      <c r="E12" s="13" t="n">
        <v>46106</v>
      </c>
      <c r="F12" s="6" t="n">
        <v>733045.25</v>
      </c>
      <c r="G12" s="5" t="inlineStr">
        <is>
          <t>Agnieszka Zając</t>
        </is>
      </c>
    </row>
    <row r="13" ht="20" customHeight="1">
      <c r="A13" s="5" t="inlineStr">
        <is>
          <t>Closed last 3 months</t>
        </is>
      </c>
      <c r="B13" s="5" t="inlineStr">
        <is>
          <t>2.5.1.3</t>
        </is>
      </c>
      <c r="C13" s="5" t="inlineStr">
        <is>
          <t>Construction of reinforced concrete foundations and underground structures</t>
        </is>
      </c>
      <c r="D13" s="5" t="inlineStr">
        <is>
          <t>closed</t>
        </is>
      </c>
      <c r="E13" s="13" t="n">
        <v>46106</v>
      </c>
      <c r="F13" s="6" t="n">
        <v>5276959.37</v>
      </c>
      <c r="G13" s="5" t="inlineStr">
        <is>
          <t>Agnieszka Zając</t>
        </is>
      </c>
    </row>
    <row r="14" ht="20" customHeight="1">
      <c r="A14" s="5" t="inlineStr">
        <is>
          <t>Closed last 3 months</t>
        </is>
      </c>
      <c r="B14" s="5" t="inlineStr">
        <is>
          <t>2.5.2.1</t>
        </is>
      </c>
      <c r="C14" s="5" t="inlineStr">
        <is>
          <t>Reinforced concrete structure of the above-ground part of the B1 building - delivery and assembly of prefabricated elements</t>
        </is>
      </c>
      <c r="D14" s="5" t="inlineStr">
        <is>
          <t>closed</t>
        </is>
      </c>
      <c r="E14" s="13" t="n">
        <v>46106</v>
      </c>
      <c r="F14" s="6" t="n">
        <v>16616880</v>
      </c>
      <c r="G14" s="5" t="inlineStr">
        <is>
          <t>Jan Szczubiał</t>
        </is>
      </c>
    </row>
    <row r="15" ht="20" customHeight="1">
      <c r="A15" s="5" t="inlineStr">
        <is>
          <t>Closed last 3 months</t>
        </is>
      </c>
      <c r="B15" s="5" t="inlineStr">
        <is>
          <t>2.5.2.2.3</t>
        </is>
      </c>
      <c r="C15" s="5" t="inlineStr">
        <is>
          <t>Reinforced concrete structure of the above-ground part of the B3 building - delivery and assembly of prefabricated elements</t>
        </is>
      </c>
      <c r="D15" s="5" t="inlineStr">
        <is>
          <t>closed</t>
        </is>
      </c>
      <c r="E15" s="13" t="n">
        <v>46106</v>
      </c>
      <c r="F15" s="6" t="n">
        <v>2115950</v>
      </c>
      <c r="G15" s="5" t="inlineStr">
        <is>
          <t>Jan Szczubiał</t>
        </is>
      </c>
    </row>
    <row r="16" ht="20" customHeight="1">
      <c r="A16" s="5" t="inlineStr">
        <is>
          <t>Closed last 3 months</t>
        </is>
      </c>
      <c r="B16" s="5" t="inlineStr">
        <is>
          <t>2.5.2.2.4</t>
        </is>
      </c>
      <c r="C16" s="5" t="inlineStr">
        <is>
          <t>Reinforced concrete structure of the above-ground part of the other buildings</t>
        </is>
      </c>
      <c r="D16" s="5" t="inlineStr">
        <is>
          <t>closed</t>
        </is>
      </c>
      <c r="E16" s="13" t="n">
        <v>46106</v>
      </c>
      <c r="F16" s="6" t="n">
        <v>708072.75</v>
      </c>
      <c r="G16" s="5" t="inlineStr">
        <is>
          <t>Jan Szczubiał</t>
        </is>
      </c>
    </row>
    <row r="17" ht="20" customHeight="1">
      <c r="A17" s="5" t="inlineStr">
        <is>
          <t>Closed last 3 months</t>
        </is>
      </c>
      <c r="B17" s="5" t="inlineStr">
        <is>
          <t>2.6.2.1</t>
        </is>
      </c>
      <c r="C17" s="5" t="inlineStr">
        <is>
          <t>Precast reinforced concrete structure of facility B3 (change from steel structure compared to the acquisition stage)</t>
        </is>
      </c>
      <c r="D17" s="5" t="inlineStr">
        <is>
          <t>closed</t>
        </is>
      </c>
      <c r="E17" s="13" t="n">
        <v>46106</v>
      </c>
      <c r="F17" s="6" t="n">
        <v>1004390</v>
      </c>
      <c r="G17" s="5" t="inlineStr">
        <is>
          <t>Robert Klimczak</t>
        </is>
      </c>
    </row>
    <row r="18" ht="20" customHeight="1">
      <c r="A18" s="5" t="inlineStr">
        <is>
          <t>Closed last 3 months</t>
        </is>
      </c>
      <c r="B18" s="5" t="inlineStr">
        <is>
          <t>2.6.3.1</t>
        </is>
      </c>
      <c r="C18" s="5" t="inlineStr">
        <is>
          <t>Precast reinforced concrete structure of facility B4 (change from steel structure compared to the acquisition stage)</t>
        </is>
      </c>
      <c r="D18" s="5" t="inlineStr">
        <is>
          <t>closed</t>
        </is>
      </c>
      <c r="E18" s="13" t="n">
        <v>46106</v>
      </c>
      <c r="F18" s="6" t="n">
        <v>246780</v>
      </c>
      <c r="G18" s="5" t="inlineStr">
        <is>
          <t>Robert Klimczak</t>
        </is>
      </c>
    </row>
    <row r="19" ht="20" customHeight="1">
      <c r="A19" s="5" t="inlineStr">
        <is>
          <t>Closed last 3 months</t>
        </is>
      </c>
      <c r="B19" s="5" t="inlineStr">
        <is>
          <t>2.14.2.1</t>
        </is>
      </c>
      <c r="C19" s="5" t="inlineStr">
        <is>
          <t>External road- sub-base construction</t>
        </is>
      </c>
      <c r="D19" s="5" t="inlineStr">
        <is>
          <t>closed</t>
        </is>
      </c>
      <c r="E19" s="13" t="n">
        <v>46122</v>
      </c>
      <c r="F19" s="6" t="n">
        <v>250640</v>
      </c>
      <c r="G19" s="5" t="inlineStr">
        <is>
          <t>Agnieszka Zając</t>
        </is>
      </c>
    </row>
    <row r="20" ht="20" customHeight="1">
      <c r="A20" s="5" t="inlineStr">
        <is>
          <t>Closed last 3 months</t>
        </is>
      </c>
      <c r="B20" s="5" t="inlineStr">
        <is>
          <t>8.3.1.1</t>
        </is>
      </c>
      <c r="C20" s="5" t="inlineStr">
        <is>
          <t>Electricity Costs</t>
        </is>
      </c>
      <c r="D20" s="5" t="inlineStr">
        <is>
          <t>closed</t>
        </is>
      </c>
      <c r="E20" s="13" t="n">
        <v>46122</v>
      </c>
      <c r="F20" s="6" t="n">
        <v>100000</v>
      </c>
      <c r="G20" s="5" t="n"/>
    </row>
    <row r="21" ht="20" customHeight="1">
      <c r="A21" s="5" t="inlineStr">
        <is>
          <t>Closed last 3 months</t>
        </is>
      </c>
      <c r="B21" s="5" t="inlineStr">
        <is>
          <t>8.7.1.4</t>
        </is>
      </c>
      <c r="C21" s="5" t="inlineStr">
        <is>
          <t>Construction of aggregate squares</t>
        </is>
      </c>
      <c r="D21" s="5" t="inlineStr">
        <is>
          <t>closed</t>
        </is>
      </c>
      <c r="E21" s="13" t="n">
        <v>46122</v>
      </c>
      <c r="F21" s="6" t="n">
        <v>124700</v>
      </c>
      <c r="G21" s="5" t="inlineStr">
        <is>
          <t>Agnieszka Zając</t>
        </is>
      </c>
    </row>
    <row r="22" ht="20" customHeight="1">
      <c r="A22" s="5" t="inlineStr">
        <is>
          <t>Closed last 3 months</t>
        </is>
      </c>
      <c r="B22" s="5" t="inlineStr">
        <is>
          <t>8.8.4</t>
        </is>
      </c>
      <c r="C22" s="5" t="inlineStr">
        <is>
          <t>Removing collisions related to site preparation and construction</t>
        </is>
      </c>
      <c r="D22" s="5" t="inlineStr">
        <is>
          <t>closed</t>
        </is>
      </c>
      <c r="E22" s="13" t="n">
        <v>46122</v>
      </c>
      <c r="F22" s="6" t="n">
        <v>0</v>
      </c>
      <c r="G22" s="5" t="n"/>
    </row>
    <row r="23" ht="20" customHeight="1">
      <c r="A23" s="5" t="inlineStr">
        <is>
          <t>Closed last 3 months</t>
        </is>
      </c>
      <c r="B23" s="5" t="inlineStr">
        <is>
          <t>8.8.4.1</t>
        </is>
      </c>
      <c r="C23" s="5" t="inlineStr">
        <is>
          <t>Removal of existing reinforced concrete foundations in the vicinity of Building B2</t>
        </is>
      </c>
      <c r="D23" s="5" t="inlineStr">
        <is>
          <t>closed</t>
        </is>
      </c>
      <c r="E23" s="13" t="n">
        <v>46122</v>
      </c>
      <c r="F23" s="6" t="n">
        <v>50000</v>
      </c>
      <c r="G23" s="5" t="n"/>
    </row>
    <row r="24" ht="20" customHeight="1">
      <c r="A24" s="5" t="inlineStr">
        <is>
          <t>Closed last 3 months</t>
        </is>
      </c>
      <c r="B24" s="5" t="inlineStr">
        <is>
          <t>5.10.2</t>
        </is>
      </c>
      <c r="C24" s="5" t="inlineStr">
        <is>
          <t>Auxiliary crane and hoists for the maintenance of the steam turbine</t>
        </is>
      </c>
      <c r="D24" s="5" t="inlineStr">
        <is>
          <t>closed</t>
        </is>
      </c>
      <c r="E24" s="13" t="n">
        <v>46125</v>
      </c>
      <c r="F24" s="6" t="n">
        <v>499000</v>
      </c>
      <c r="G24" s="5" t="inlineStr">
        <is>
          <t>Magdalena Białorucka</t>
        </is>
      </c>
    </row>
    <row r="25" ht="20" customHeight="1">
      <c r="A25" s="5" t="inlineStr">
        <is>
          <t>Closed last 3 months</t>
        </is>
      </c>
      <c r="B25" s="5" t="inlineStr">
        <is>
          <t>5.2.1</t>
        </is>
      </c>
      <c r="C25" s="5" t="inlineStr">
        <is>
          <t>Overhead crane, grab and operator seat + Spare Grab</t>
        </is>
      </c>
      <c r="D25" s="5" t="inlineStr">
        <is>
          <t>closed</t>
        </is>
      </c>
      <c r="E25" s="13" t="n">
        <v>46125</v>
      </c>
      <c r="F25" s="6" t="n">
        <v>8701000</v>
      </c>
      <c r="G25" s="5" t="inlineStr">
        <is>
          <t>Magdalena Białorucka</t>
        </is>
      </c>
    </row>
    <row r="26" ht="20" customHeight="1">
      <c r="A26" s="5" t="inlineStr">
        <is>
          <t>Closed last 3 months</t>
        </is>
      </c>
      <c r="B26" s="5" t="inlineStr">
        <is>
          <t>5.11</t>
        </is>
      </c>
      <c r="C26" s="5" t="inlineStr">
        <is>
          <t>Stack</t>
        </is>
      </c>
      <c r="D26" s="5" t="inlineStr">
        <is>
          <t>closed</t>
        </is>
      </c>
      <c r="E26" s="13" t="n">
        <v>46127</v>
      </c>
      <c r="F26" s="6" t="n">
        <v>1498200</v>
      </c>
      <c r="G26" s="5" t="inlineStr">
        <is>
          <t>Magdalena Białorucka</t>
        </is>
      </c>
    </row>
    <row r="27" ht="20" customHeight="1">
      <c r="A27" s="5" t="inlineStr">
        <is>
          <t>Closed last 3 months</t>
        </is>
      </c>
      <c r="B27" s="5" t="inlineStr">
        <is>
          <t>5.4.1.1</t>
        </is>
      </c>
      <c r="C27" s="5" t="inlineStr">
        <is>
          <t>Boiler - pressure parts</t>
        </is>
      </c>
      <c r="D27" s="5" t="inlineStr">
        <is>
          <t>closed</t>
        </is>
      </c>
      <c r="E27" s="13" t="n">
        <v>46127</v>
      </c>
      <c r="F27" s="6" t="n">
        <v>45990000</v>
      </c>
      <c r="G27" s="5" t="inlineStr">
        <is>
          <t>Roger Gołombek</t>
        </is>
      </c>
    </row>
    <row r="28" ht="20" customHeight="1">
      <c r="A28" s="5" t="inlineStr">
        <is>
          <t>Closed last 3 months</t>
        </is>
      </c>
      <c r="B28" s="5" t="inlineStr">
        <is>
          <t>8.3.5</t>
        </is>
      </c>
      <c r="C28" s="5" t="inlineStr">
        <is>
          <t>Construction Waste Removal  ECd_38</t>
        </is>
      </c>
      <c r="D28" s="5" t="inlineStr">
        <is>
          <t>closed</t>
        </is>
      </c>
      <c r="E28" s="13" t="n">
        <v>46127</v>
      </c>
      <c r="F28" s="6" t="n">
        <v>290720</v>
      </c>
      <c r="G28" s="5" t="n"/>
    </row>
    <row r="29" ht="20" customHeight="1">
      <c r="A29" s="5" t="inlineStr">
        <is>
          <t>Closed last 3 months</t>
        </is>
      </c>
      <c r="B29" s="5" t="inlineStr">
        <is>
          <t>2.3</t>
        </is>
      </c>
      <c r="C29" s="5" t="inlineStr">
        <is>
          <t>Drainage</t>
        </is>
      </c>
      <c r="D29" s="5" t="inlineStr">
        <is>
          <t>closed</t>
        </is>
      </c>
      <c r="E29" s="13" t="n">
        <v>46129</v>
      </c>
      <c r="F29" s="6" t="n">
        <v>0</v>
      </c>
      <c r="G29" s="5" t="n"/>
    </row>
    <row r="30" ht="20" customHeight="1">
      <c r="A30" s="5" t="inlineStr">
        <is>
          <t>Closed last 3 months</t>
        </is>
      </c>
      <c r="B30" s="5" t="inlineStr">
        <is>
          <t>2.3.1</t>
        </is>
      </c>
      <c r="C30" s="5" t="inlineStr">
        <is>
          <t>Rental of an drainage pump ECd_49</t>
        </is>
      </c>
      <c r="D30" s="5" t="inlineStr">
        <is>
          <t>closed</t>
        </is>
      </c>
      <c r="E30" s="13" t="n">
        <v>46129</v>
      </c>
      <c r="F30" s="6" t="n">
        <v>4600</v>
      </c>
      <c r="G30" s="5" t="n"/>
    </row>
    <row r="31" ht="20" customHeight="1">
      <c r="A31" s="5" t="inlineStr">
        <is>
          <t>Closed last 3 months</t>
        </is>
      </c>
      <c r="B31" s="5" t="inlineStr">
        <is>
          <t>2.3.2</t>
        </is>
      </c>
      <c r="C31" s="5" t="inlineStr">
        <is>
          <t xml:space="preserve">Mobilization, installation and leasing of a wellpoint system including pumps ECd_50 </t>
        </is>
      </c>
      <c r="D31" s="5" t="inlineStr">
        <is>
          <t>closed</t>
        </is>
      </c>
      <c r="E31" s="13" t="n">
        <v>46129</v>
      </c>
      <c r="F31" s="6" t="n">
        <v>70000</v>
      </c>
      <c r="G31" s="5" t="n"/>
    </row>
    <row r="32" ht="20" customHeight="1">
      <c r="A32" s="5" t="inlineStr">
        <is>
          <t>Closed last 3 months</t>
        </is>
      </c>
      <c r="B32" s="5" t="inlineStr">
        <is>
          <t>1.2.4</t>
        </is>
      </c>
      <c r="C32" s="5" t="inlineStr">
        <is>
          <t xml:space="preserve">Electrical &amp; I/C detailed design </t>
        </is>
      </c>
      <c r="D32" s="5" t="inlineStr">
        <is>
          <t>closed</t>
        </is>
      </c>
      <c r="E32" s="13" t="n">
        <v>46134</v>
      </c>
      <c r="F32" s="6" t="n">
        <v>1620000</v>
      </c>
      <c r="G32" s="5" t="n"/>
    </row>
    <row r="33" ht="20" customHeight="1">
      <c r="A33" s="5" t="inlineStr">
        <is>
          <t>Closed last 3 months</t>
        </is>
      </c>
      <c r="B33" s="5" t="inlineStr">
        <is>
          <t>3.1.1</t>
        </is>
      </c>
      <c r="C33" s="5" t="inlineStr">
        <is>
          <t>Delivery and installation of electrical equipment</t>
        </is>
      </c>
      <c r="D33" s="5" t="inlineStr">
        <is>
          <t>closed</t>
        </is>
      </c>
      <c r="E33" s="13" t="n">
        <v>46134</v>
      </c>
      <c r="F33" s="6" t="n">
        <v>0</v>
      </c>
      <c r="G33" s="5" t="inlineStr">
        <is>
          <t>Radosław Zdancewicz</t>
        </is>
      </c>
    </row>
    <row r="34" ht="20" customHeight="1">
      <c r="A34" s="5" t="inlineStr">
        <is>
          <t>Closed last 3 months</t>
        </is>
      </c>
      <c r="B34" s="5" t="inlineStr">
        <is>
          <t>3.1.1.1</t>
        </is>
      </c>
      <c r="C34" s="5" t="inlineStr">
        <is>
          <t>Delivery and installation of electrical equipment</t>
        </is>
      </c>
      <c r="D34" s="5" t="inlineStr">
        <is>
          <t>closed</t>
        </is>
      </c>
      <c r="E34" s="13" t="n">
        <v>46134</v>
      </c>
      <c r="F34" s="6" t="n">
        <v>27750000</v>
      </c>
      <c r="G34" s="5" t="inlineStr">
        <is>
          <t>Radosław Zdancewicz</t>
        </is>
      </c>
    </row>
    <row r="35" ht="20" customHeight="1">
      <c r="A35" s="5" t="inlineStr">
        <is>
          <t>Closed last 3 months</t>
        </is>
      </c>
      <c r="B35" s="5" t="inlineStr">
        <is>
          <t>3.2</t>
        </is>
      </c>
      <c r="C35" s="5" t="inlineStr">
        <is>
          <t>Teletechnical installations</t>
        </is>
      </c>
      <c r="D35" s="5" t="inlineStr">
        <is>
          <t>closed</t>
        </is>
      </c>
      <c r="E35" s="13" t="n">
        <v>46134</v>
      </c>
      <c r="F35" s="6" t="n">
        <v>1750000</v>
      </c>
      <c r="G35" s="5" t="inlineStr">
        <is>
          <t>Radosław Zdancewicz</t>
        </is>
      </c>
    </row>
    <row r="36" ht="20" customHeight="1">
      <c r="A36" s="5" t="inlineStr">
        <is>
          <t>Closed last 3 months</t>
        </is>
      </c>
      <c r="B36" s="5" t="inlineStr">
        <is>
          <t>3.4.1</t>
        </is>
      </c>
      <c r="C36" s="5" t="inlineStr">
        <is>
          <t>Automation system and instrumentation, communication networks and control room devices</t>
        </is>
      </c>
      <c r="D36" s="5" t="inlineStr">
        <is>
          <t>closed</t>
        </is>
      </c>
      <c r="E36" s="13" t="n">
        <v>46134</v>
      </c>
      <c r="F36" s="6" t="n">
        <v>0</v>
      </c>
      <c r="G36" s="5" t="inlineStr">
        <is>
          <t>Radosław Zdancewicz</t>
        </is>
      </c>
    </row>
    <row r="37" ht="20" customHeight="1">
      <c r="A37" s="5" t="inlineStr">
        <is>
          <t>Closed last 3 months</t>
        </is>
      </c>
      <c r="B37" s="5" t="inlineStr">
        <is>
          <t>3.4.1.1</t>
        </is>
      </c>
      <c r="C37" s="5" t="inlineStr">
        <is>
          <t>Automation system and instrumentation, communication networks and control room devices</t>
        </is>
      </c>
      <c r="D37" s="5" t="inlineStr">
        <is>
          <t>closed</t>
        </is>
      </c>
      <c r="E37" s="13" t="n">
        <v>46134</v>
      </c>
      <c r="F37" s="6" t="n">
        <v>6280000</v>
      </c>
      <c r="G37" s="5" t="inlineStr">
        <is>
          <t>Radosław Zdancewicz</t>
        </is>
      </c>
    </row>
    <row r="38" ht="20" customHeight="1">
      <c r="A38" s="5" t="inlineStr">
        <is>
          <t>Closed last 3 months</t>
        </is>
      </c>
      <c r="B38" s="5" t="inlineStr">
        <is>
          <t>6.4.1</t>
        </is>
      </c>
      <c r="C38" s="5" t="inlineStr">
        <is>
          <t>Extension of the guarantee and warranty period to 48 months for electrical, technical and I&amp;C works</t>
        </is>
      </c>
      <c r="D38" s="5" t="inlineStr">
        <is>
          <t>closed</t>
        </is>
      </c>
      <c r="E38" s="13" t="n">
        <v>46134</v>
      </c>
      <c r="F38" s="6" t="n">
        <v>350000</v>
      </c>
      <c r="G38" s="5" t="inlineStr">
        <is>
          <t>Radosław Zdancewicz</t>
        </is>
      </c>
    </row>
    <row r="39" ht="20" customHeight="1">
      <c r="A39" s="5" t="inlineStr">
        <is>
          <t>Closed last 3 months</t>
        </is>
      </c>
      <c r="B39" s="5" t="inlineStr">
        <is>
          <t>5.10.1</t>
        </is>
      </c>
      <c r="C39" s="5" t="inlineStr">
        <is>
          <t>Steam turbine - gear box - generator. Including accessories: oil system, coolers, insulation, pipes and valves, control panel, protection panel, synchro system etc.</t>
        </is>
      </c>
      <c r="D39" s="5" t="inlineStr">
        <is>
          <t>PCT/approval</t>
        </is>
      </c>
      <c r="E39" s="13" t="n">
        <v>46137</v>
      </c>
      <c r="F39" s="6" t="n">
        <v>0</v>
      </c>
      <c r="G39" s="5" t="inlineStr">
        <is>
          <t>Magdalena Białorucka / Stanisław Rucki</t>
        </is>
      </c>
    </row>
    <row r="40" ht="20" customHeight="1">
      <c r="A40" s="5" t="inlineStr">
        <is>
          <t>Closed last 3 months</t>
        </is>
      </c>
      <c r="B40" s="5" t="inlineStr">
        <is>
          <t>5.8.1</t>
        </is>
      </c>
      <c r="C40" s="5" t="inlineStr">
        <is>
          <t>Chain conveyor under grate + Bottom ash extractor + Vibrating table / bulk screen</t>
        </is>
      </c>
      <c r="D40" s="5" t="inlineStr">
        <is>
          <t>PCT/approval</t>
        </is>
      </c>
      <c r="E40" s="13" t="n">
        <v>46137</v>
      </c>
      <c r="F40" s="6" t="n">
        <v>1462000</v>
      </c>
      <c r="G40" s="5" t="inlineStr">
        <is>
          <t>Stanisław Rucki</t>
        </is>
      </c>
    </row>
    <row r="41" ht="20" customHeight="1">
      <c r="A41" s="5" t="inlineStr">
        <is>
          <t>Closed last 3 months</t>
        </is>
      </c>
      <c r="B41" s="5" t="inlineStr">
        <is>
          <t>2.4.2</t>
        </is>
      </c>
      <c r="C41" s="5" t="inlineStr">
        <is>
          <t>Insulation – supply – Hydrostop ECd_51</t>
        </is>
      </c>
      <c r="D41" s="5" t="inlineStr">
        <is>
          <t>closed</t>
        </is>
      </c>
      <c r="E41" s="13" t="n">
        <v>46142</v>
      </c>
      <c r="F41" s="6" t="n">
        <v>31352</v>
      </c>
      <c r="G41" s="5" t="n"/>
    </row>
    <row r="42" ht="20" customHeight="1">
      <c r="A42" s="5" t="inlineStr">
        <is>
          <t>Closed last 3 months</t>
        </is>
      </c>
      <c r="B42" s="5" t="inlineStr">
        <is>
          <t>2.4.3</t>
        </is>
      </c>
      <c r="C42" s="5" t="inlineStr">
        <is>
          <t>Insulation – supply – foil, compound ECd_14</t>
        </is>
      </c>
      <c r="D42" s="5" t="inlineStr">
        <is>
          <t>closed</t>
        </is>
      </c>
      <c r="E42" s="13" t="n">
        <v>46142</v>
      </c>
      <c r="F42" s="6" t="n">
        <v>27600</v>
      </c>
      <c r="G42" s="5" t="n"/>
    </row>
    <row r="43" ht="20" customHeight="1">
      <c r="A43" s="5" t="inlineStr">
        <is>
          <t>Closed last 3 months</t>
        </is>
      </c>
      <c r="B43" s="5" t="inlineStr">
        <is>
          <t>8.1.1.1</t>
        </is>
      </c>
      <c r="C43" s="5" t="inlineStr">
        <is>
          <t>Purchase of temporary stairs ECd_48</t>
        </is>
      </c>
      <c r="D43" s="5" t="inlineStr">
        <is>
          <t>closed</t>
        </is>
      </c>
      <c r="E43" s="13" t="n">
        <v>46142</v>
      </c>
      <c r="F43" s="6" t="n">
        <v>17530</v>
      </c>
      <c r="G43" s="5" t="n"/>
    </row>
    <row r="44" ht="20" customHeight="1">
      <c r="A44" s="5" t="inlineStr">
        <is>
          <t>Closed last 3 months</t>
        </is>
      </c>
      <c r="B44" s="5" t="inlineStr">
        <is>
          <t>8.1.1.2</t>
        </is>
      </c>
      <c r="C44" s="5" t="inlineStr">
        <is>
          <t>Meals ECd_53</t>
        </is>
      </c>
      <c r="D44" s="5" t="inlineStr">
        <is>
          <t>closed</t>
        </is>
      </c>
      <c r="E44" s="13" t="n">
        <v>46142</v>
      </c>
      <c r="F44" s="6" t="n">
        <v>5711</v>
      </c>
      <c r="G44" s="5" t="n"/>
    </row>
    <row r="45" ht="20" customHeight="1">
      <c r="A45" s="5" t="inlineStr">
        <is>
          <t>Closed last 3 months</t>
        </is>
      </c>
      <c r="B45" s="5" t="inlineStr">
        <is>
          <t>8.7.1.8</t>
        </is>
      </c>
      <c r="C45" s="5" t="inlineStr">
        <is>
          <t>Installation of road markings and traffic signs ECd_52</t>
        </is>
      </c>
      <c r="D45" s="5" t="inlineStr">
        <is>
          <t>closed</t>
        </is>
      </c>
      <c r="E45" s="13" t="n">
        <v>46142</v>
      </c>
      <c r="F45" s="6" t="n">
        <v>920</v>
      </c>
      <c r="G45" s="5" t="n"/>
    </row>
    <row r="46" ht="20" customHeight="1">
      <c r="A46" s="5" t="inlineStr">
        <is>
          <t>Next orders 3 months</t>
        </is>
      </c>
      <c r="B46" s="5" t="inlineStr">
        <is>
          <t>5.13.7</t>
        </is>
      </c>
      <c r="C46" s="5" t="inlineStr">
        <is>
          <t>Demi water system including storage tank 100m3 and piping</t>
        </is>
      </c>
      <c r="D46" s="5" t="inlineStr">
        <is>
          <t>planned</t>
        </is>
      </c>
      <c r="E46" s="13" t="n">
        <v>46169</v>
      </c>
      <c r="F46" s="6" t="n">
        <v>3010000</v>
      </c>
      <c r="G46" s="5" t="inlineStr">
        <is>
          <t>Magdalena Białorucka</t>
        </is>
      </c>
    </row>
    <row r="47" ht="20" customHeight="1">
      <c r="A47" s="5" t="inlineStr">
        <is>
          <t>Next orders 3 months</t>
        </is>
      </c>
      <c r="B47" s="5" t="inlineStr">
        <is>
          <t>2.7</t>
        </is>
      </c>
      <c r="C47" s="5" t="inlineStr">
        <is>
          <t>Brick walls</t>
        </is>
      </c>
      <c r="D47" s="5" t="inlineStr">
        <is>
          <t>planned</t>
        </is>
      </c>
      <c r="E47" s="13" t="n">
        <v>46173</v>
      </c>
      <c r="F47" s="6" t="n">
        <v>687451.25</v>
      </c>
      <c r="G47" s="5" t="n"/>
    </row>
    <row r="48" ht="20" customHeight="1">
      <c r="A48" s="5" t="inlineStr">
        <is>
          <t>Next orders 3 months</t>
        </is>
      </c>
      <c r="B48" s="5" t="inlineStr">
        <is>
          <t>5.2.2</t>
        </is>
      </c>
      <c r="C48" s="5" t="inlineStr">
        <is>
          <t>Trapdoors for grab maintenance</t>
        </is>
      </c>
      <c r="D48" s="5" t="inlineStr">
        <is>
          <t>planned</t>
        </is>
      </c>
      <c r="E48" s="13" t="n">
        <v>46173</v>
      </c>
      <c r="F48" s="6" t="n">
        <v>81600</v>
      </c>
      <c r="G48" s="5" t="n"/>
    </row>
    <row r="49" ht="20" customHeight="1">
      <c r="A49" s="5" t="inlineStr">
        <is>
          <t>Next orders 3 months</t>
        </is>
      </c>
      <c r="B49" s="5" t="inlineStr">
        <is>
          <t>1.2.6.1</t>
        </is>
      </c>
      <c r="C49" s="5" t="inlineStr">
        <is>
          <t>Ducts design</t>
        </is>
      </c>
      <c r="D49" s="5" t="inlineStr">
        <is>
          <t>enquiry</t>
        </is>
      </c>
      <c r="E49" s="13" t="n">
        <v>46174</v>
      </c>
      <c r="F49" s="6" t="n">
        <v>0</v>
      </c>
      <c r="G49" s="5" t="n"/>
    </row>
    <row r="50" ht="20" customHeight="1">
      <c r="A50" s="5" t="inlineStr">
        <is>
          <t>Next orders 3 months</t>
        </is>
      </c>
      <c r="B50" s="5" t="inlineStr">
        <is>
          <t>1.6</t>
        </is>
      </c>
      <c r="C50" s="5" t="inlineStr">
        <is>
          <t xml:space="preserve">Explosion hazard assessment </t>
        </is>
      </c>
      <c r="D50" s="5" t="inlineStr">
        <is>
          <t>planned</t>
        </is>
      </c>
      <c r="E50" s="13" t="n">
        <v>46174</v>
      </c>
      <c r="F50" s="6" t="n">
        <v>120000</v>
      </c>
      <c r="G50" s="5" t="n"/>
    </row>
    <row r="51" ht="20" customHeight="1">
      <c r="A51" s="5" t="inlineStr">
        <is>
          <t>Next orders 3 months</t>
        </is>
      </c>
      <c r="B51" s="5" t="inlineStr">
        <is>
          <t>5.10.4</t>
        </is>
      </c>
      <c r="C51" s="5" t="inlineStr">
        <is>
          <t>Feed water tank and Deaerator</t>
        </is>
      </c>
      <c r="D51" s="5" t="inlineStr">
        <is>
          <t>negotiation</t>
        </is>
      </c>
      <c r="E51" s="13" t="n">
        <v>46174</v>
      </c>
      <c r="F51" s="6" t="n">
        <v>1000000</v>
      </c>
      <c r="G51" s="5" t="inlineStr">
        <is>
          <t>Magdalena Białorucka</t>
        </is>
      </c>
    </row>
    <row r="52" ht="20" customHeight="1">
      <c r="A52" s="5" t="inlineStr">
        <is>
          <t>Next orders 3 months</t>
        </is>
      </c>
      <c r="B52" s="5" t="inlineStr">
        <is>
          <t>5.9</t>
        </is>
      </c>
      <c r="C52" s="5" t="inlineStr">
        <is>
          <t>Bottom ash / slag valorization</t>
        </is>
      </c>
      <c r="D52" s="5" t="inlineStr">
        <is>
          <t>planned</t>
        </is>
      </c>
      <c r="E52" s="13" t="n">
        <v>46175</v>
      </c>
      <c r="F52" s="6" t="n">
        <v>8271000</v>
      </c>
      <c r="G52" s="5" t="inlineStr">
        <is>
          <t>Roger Gołombek</t>
        </is>
      </c>
    </row>
    <row r="53" ht="20" customHeight="1">
      <c r="A53" s="5" t="inlineStr">
        <is>
          <t>Next orders 3 months</t>
        </is>
      </c>
      <c r="B53" s="5" t="inlineStr">
        <is>
          <t>5.8.2</t>
        </is>
      </c>
      <c r="C53" s="5" t="inlineStr">
        <is>
          <t>Belt conveyors</t>
        </is>
      </c>
      <c r="D53" s="5" t="inlineStr">
        <is>
          <t>planned</t>
        </is>
      </c>
      <c r="E53" s="13" t="n">
        <v>46176</v>
      </c>
      <c r="F53" s="6" t="n">
        <v>2347800</v>
      </c>
      <c r="G53" s="5" t="inlineStr">
        <is>
          <t>Stanisław Rucki</t>
        </is>
      </c>
    </row>
    <row r="54" ht="20" customHeight="1">
      <c r="A54" s="5" t="inlineStr">
        <is>
          <t>Next orders 3 months</t>
        </is>
      </c>
      <c r="B54" s="5" t="inlineStr">
        <is>
          <t>5.10.3</t>
        </is>
      </c>
      <c r="C54" s="5" t="inlineStr">
        <is>
          <t>Air cooled condenser</t>
        </is>
      </c>
      <c r="D54" s="5" t="inlineStr">
        <is>
          <t>enquiry</t>
        </is>
      </c>
      <c r="E54" s="13" t="n">
        <v>46178</v>
      </c>
      <c r="F54" s="6" t="n">
        <v>9000000</v>
      </c>
      <c r="G54" s="5" t="inlineStr">
        <is>
          <t>Roger Gołombek</t>
        </is>
      </c>
    </row>
    <row r="55" ht="20" customHeight="1">
      <c r="A55" s="5" t="inlineStr">
        <is>
          <t>Next orders 3 months</t>
        </is>
      </c>
      <c r="B55" s="5" t="inlineStr">
        <is>
          <t>2.5.2.3</t>
        </is>
      </c>
      <c r="C55" s="5" t="inlineStr">
        <is>
          <t>Supply of reinforcing steel</t>
        </is>
      </c>
      <c r="D55" s="5" t="inlineStr">
        <is>
          <t>enquiry</t>
        </is>
      </c>
      <c r="E55" s="13" t="n">
        <v>46181</v>
      </c>
      <c r="F55" s="6" t="n">
        <v>386500</v>
      </c>
      <c r="G55" s="5" t="inlineStr">
        <is>
          <t>Agnieszka Zając</t>
        </is>
      </c>
    </row>
    <row r="56" ht="20" customHeight="1">
      <c r="A56" s="5" t="inlineStr">
        <is>
          <t>Next orders 3 months</t>
        </is>
      </c>
      <c r="B56" s="5" t="inlineStr">
        <is>
          <t>5.13.2</t>
        </is>
      </c>
      <c r="C56" s="5" t="inlineStr">
        <is>
          <t>Auxiliary fuel tank (light oil/diesel oil)</t>
        </is>
      </c>
      <c r="D56" s="5" t="inlineStr">
        <is>
          <t>enquiry</t>
        </is>
      </c>
      <c r="E56" s="13" t="n">
        <v>46189</v>
      </c>
      <c r="F56" s="6" t="n">
        <v>200000</v>
      </c>
      <c r="G56" s="5" t="inlineStr">
        <is>
          <t>Magdalena Białorucka</t>
        </is>
      </c>
    </row>
    <row r="57" ht="20" customHeight="1">
      <c r="A57" s="5" t="inlineStr">
        <is>
          <t>Next orders 3 months</t>
        </is>
      </c>
      <c r="B57" s="5" t="inlineStr">
        <is>
          <t>2.8.1</t>
        </is>
      </c>
      <c r="C57" s="5" t="inlineStr">
        <is>
          <t>Parapet</t>
        </is>
      </c>
      <c r="D57" s="5" t="inlineStr">
        <is>
          <t>planned</t>
        </is>
      </c>
      <c r="E57" s="13" t="n">
        <v>46190</v>
      </c>
      <c r="F57" s="6" t="n">
        <v>82476</v>
      </c>
      <c r="G57" s="5" t="inlineStr">
        <is>
          <t>Joanna Sawicka</t>
        </is>
      </c>
    </row>
    <row r="58" ht="20" customHeight="1">
      <c r="A58" s="5" t="inlineStr">
        <is>
          <t>Next orders 3 months</t>
        </is>
      </c>
      <c r="B58" s="5" t="inlineStr">
        <is>
          <t>2.8.10</t>
        </is>
      </c>
      <c r="C58" s="5" t="inlineStr">
        <is>
          <t>Soffit lining</t>
        </is>
      </c>
      <c r="D58" s="5" t="inlineStr">
        <is>
          <t>planned</t>
        </is>
      </c>
      <c r="E58" s="13" t="n">
        <v>46190</v>
      </c>
      <c r="F58" s="6" t="n">
        <v>308662.24</v>
      </c>
      <c r="G58" s="5" t="inlineStr">
        <is>
          <t>Joanna Sawicka</t>
        </is>
      </c>
    </row>
    <row r="59" ht="20" customHeight="1">
      <c r="A59" s="5" t="inlineStr">
        <is>
          <t>Next orders 3 months</t>
        </is>
      </c>
      <c r="B59" s="5" t="inlineStr">
        <is>
          <t>2.8.11</t>
        </is>
      </c>
      <c r="C59" s="5" t="inlineStr">
        <is>
          <t>Scaffolding</t>
        </is>
      </c>
      <c r="D59" s="5" t="inlineStr">
        <is>
          <t>planned</t>
        </is>
      </c>
      <c r="E59" s="13" t="n">
        <v>46190</v>
      </c>
      <c r="F59" s="6" t="n">
        <v>77076</v>
      </c>
      <c r="G59" s="5" t="inlineStr">
        <is>
          <t>Joanna Sawicka</t>
        </is>
      </c>
    </row>
    <row r="60" ht="20" customHeight="1">
      <c r="A60" s="5" t="inlineStr">
        <is>
          <t>Next orders 3 months</t>
        </is>
      </c>
      <c r="B60" s="5" t="inlineStr">
        <is>
          <t>2.8.12</t>
        </is>
      </c>
      <c r="C60" s="5" t="inlineStr">
        <is>
          <t>Safety system</t>
        </is>
      </c>
      <c r="D60" s="5" t="inlineStr">
        <is>
          <t>planned</t>
        </is>
      </c>
      <c r="E60" s="13" t="n">
        <v>46190</v>
      </c>
      <c r="F60" s="6" t="n">
        <v>150018.35</v>
      </c>
      <c r="G60" s="5" t="inlineStr">
        <is>
          <t>Joanna Sawicka</t>
        </is>
      </c>
    </row>
    <row r="61" ht="20" customHeight="1">
      <c r="A61" s="5" t="inlineStr">
        <is>
          <t>Next orders 3 months</t>
        </is>
      </c>
      <c r="B61" s="5" t="inlineStr">
        <is>
          <t>2.8.13</t>
        </is>
      </c>
      <c r="C61" s="5" t="inlineStr">
        <is>
          <t>Shutters</t>
        </is>
      </c>
      <c r="D61" s="5" t="inlineStr">
        <is>
          <t>planned</t>
        </is>
      </c>
      <c r="E61" s="13" t="n">
        <v>46190</v>
      </c>
      <c r="F61" s="6" t="n">
        <v>107600.56</v>
      </c>
      <c r="G61" s="5" t="inlineStr">
        <is>
          <t>Joanna Sawicka</t>
        </is>
      </c>
    </row>
    <row r="62" ht="20" customHeight="1">
      <c r="A62" s="5" t="inlineStr">
        <is>
          <t>Next orders 3 months</t>
        </is>
      </c>
      <c r="B62" s="5" t="inlineStr">
        <is>
          <t>2.8.2</t>
        </is>
      </c>
      <c r="C62" s="5" t="inlineStr">
        <is>
          <t>Steel-aluminum canopy</t>
        </is>
      </c>
      <c r="D62" s="5" t="inlineStr">
        <is>
          <t>planned</t>
        </is>
      </c>
      <c r="E62" s="13" t="n">
        <v>46190</v>
      </c>
      <c r="F62" s="6" t="n">
        <v>120922.87</v>
      </c>
      <c r="G62" s="5" t="inlineStr">
        <is>
          <t>Joanna Sawicka</t>
        </is>
      </c>
    </row>
    <row r="63" ht="20" customHeight="1">
      <c r="A63" s="5" t="inlineStr">
        <is>
          <t>Next orders 3 months</t>
        </is>
      </c>
      <c r="B63" s="5" t="inlineStr">
        <is>
          <t>2.8.3</t>
        </is>
      </c>
      <c r="C63" s="5" t="inlineStr">
        <is>
          <t>Aluminum-glass facade</t>
        </is>
      </c>
      <c r="D63" s="5" t="inlineStr">
        <is>
          <t>planned</t>
        </is>
      </c>
      <c r="E63" s="13" t="n">
        <v>46190</v>
      </c>
      <c r="F63" s="6" t="n">
        <v>296487.48</v>
      </c>
      <c r="G63" s="5" t="inlineStr">
        <is>
          <t>Joanna Sawicka</t>
        </is>
      </c>
    </row>
    <row r="64" ht="20" customHeight="1">
      <c r="A64" s="5" t="inlineStr">
        <is>
          <t>Next orders 3 months</t>
        </is>
      </c>
      <c r="B64" s="5" t="inlineStr">
        <is>
          <t>2.8.4</t>
        </is>
      </c>
      <c r="C64" s="5" t="inlineStr">
        <is>
          <t xml:space="preserve">ETICS </t>
        </is>
      </c>
      <c r="D64" s="5" t="inlineStr">
        <is>
          <t>planned</t>
        </is>
      </c>
      <c r="E64" s="13" t="n">
        <v>46190</v>
      </c>
      <c r="F64" s="6" t="n">
        <v>122038.26</v>
      </c>
      <c r="G64" s="5" t="inlineStr">
        <is>
          <t>Joanna Sawicka</t>
        </is>
      </c>
    </row>
    <row r="65" ht="20" customHeight="1">
      <c r="A65" s="5" t="inlineStr">
        <is>
          <t>Next orders 3 months</t>
        </is>
      </c>
      <c r="B65" s="5" t="inlineStr">
        <is>
          <t>2.8.5</t>
        </is>
      </c>
      <c r="C65" s="5" t="inlineStr">
        <is>
          <t>Flashings</t>
        </is>
      </c>
      <c r="D65" s="5" t="inlineStr">
        <is>
          <t>planned</t>
        </is>
      </c>
      <c r="E65" s="13" t="n">
        <v>46190</v>
      </c>
      <c r="F65" s="6" t="n">
        <v>366598.98</v>
      </c>
      <c r="G65" s="5" t="inlineStr">
        <is>
          <t>Joanna Sawicka</t>
        </is>
      </c>
    </row>
    <row r="66" ht="20" customHeight="1">
      <c r="A66" s="5" t="inlineStr">
        <is>
          <t>Next orders 3 months</t>
        </is>
      </c>
      <c r="B66" s="5" t="inlineStr">
        <is>
          <t>2.8.6</t>
        </is>
      </c>
      <c r="C66" s="5" t="inlineStr">
        <is>
          <t>Sheet metal cladding</t>
        </is>
      </c>
      <c r="D66" s="5" t="inlineStr">
        <is>
          <t>planned</t>
        </is>
      </c>
      <c r="E66" s="13" t="n">
        <v>46190</v>
      </c>
      <c r="F66" s="6" t="n">
        <v>1172886.87</v>
      </c>
      <c r="G66" s="5" t="inlineStr">
        <is>
          <t>Joanna Sawicka</t>
        </is>
      </c>
    </row>
    <row r="67" ht="20" customHeight="1">
      <c r="A67" s="5" t="inlineStr">
        <is>
          <t>Next orders 3 months</t>
        </is>
      </c>
      <c r="B67" s="5" t="inlineStr">
        <is>
          <t>2.8.7</t>
        </is>
      </c>
      <c r="C67" s="5" t="inlineStr">
        <is>
          <t>Sandwich panel cladding</t>
        </is>
      </c>
      <c r="D67" s="5" t="inlineStr">
        <is>
          <t>enquiry</t>
        </is>
      </c>
      <c r="E67" s="13" t="n">
        <v>46190</v>
      </c>
      <c r="F67" s="6" t="n">
        <v>5792279.88</v>
      </c>
      <c r="G67" s="5" t="inlineStr">
        <is>
          <t>Joanna Sawicka</t>
        </is>
      </c>
    </row>
    <row r="68" ht="20" customHeight="1">
      <c r="A68" s="5" t="inlineStr">
        <is>
          <t>Next orders 3 months</t>
        </is>
      </c>
      <c r="B68" s="5" t="inlineStr">
        <is>
          <t>2.8.8</t>
        </is>
      </c>
      <c r="C68" s="5" t="inlineStr">
        <is>
          <t>Fiber cement panel cladding</t>
        </is>
      </c>
      <c r="D68" s="5" t="inlineStr">
        <is>
          <t>planned</t>
        </is>
      </c>
      <c r="E68" s="13" t="n">
        <v>46190</v>
      </c>
      <c r="F68" s="6" t="n">
        <v>241170.5</v>
      </c>
      <c r="G68" s="5" t="inlineStr">
        <is>
          <t>Joanna Sawicka</t>
        </is>
      </c>
    </row>
    <row r="69" ht="20" customHeight="1">
      <c r="A69" s="5" t="inlineStr">
        <is>
          <t>Next orders 3 months</t>
        </is>
      </c>
      <c r="B69" s="5" t="inlineStr">
        <is>
          <t>2.8.9</t>
        </is>
      </c>
      <c r="C69" s="5" t="inlineStr">
        <is>
          <t>Substructures</t>
        </is>
      </c>
      <c r="D69" s="5" t="inlineStr">
        <is>
          <t>planned</t>
        </is>
      </c>
      <c r="E69" s="13" t="n">
        <v>46190</v>
      </c>
      <c r="F69" s="6" t="n">
        <v>419580</v>
      </c>
      <c r="G69" s="5" t="inlineStr">
        <is>
          <t>Joanna Sawicka</t>
        </is>
      </c>
    </row>
    <row r="70" ht="20" customHeight="1">
      <c r="A70" s="5" t="inlineStr">
        <is>
          <t>Next orders 3 months</t>
        </is>
      </c>
      <c r="B70" s="5" t="inlineStr">
        <is>
          <t>1.8</t>
        </is>
      </c>
      <c r="C70" s="5" t="inlineStr">
        <is>
          <t>Notification Bodies</t>
        </is>
      </c>
      <c r="D70" s="5" t="inlineStr">
        <is>
          <t>planned</t>
        </is>
      </c>
      <c r="E70" s="13" t="n">
        <v>46201</v>
      </c>
      <c r="F70" s="6" t="n">
        <v>350000</v>
      </c>
      <c r="G70" s="5" t="n"/>
    </row>
    <row r="71" ht="20" customHeight="1">
      <c r="A71" s="5" t="inlineStr">
        <is>
          <t>Next orders 3 months</t>
        </is>
      </c>
      <c r="B71" s="5" t="inlineStr">
        <is>
          <t>2.5.1.4</t>
        </is>
      </c>
      <c r="C71" s="5" t="inlineStr">
        <is>
          <t>Execution of pre-wall insulation</t>
        </is>
      </c>
      <c r="D71" s="5" t="inlineStr">
        <is>
          <t>negotiation</t>
        </is>
      </c>
      <c r="E71" s="13" t="n">
        <v>46201</v>
      </c>
      <c r="F71" s="6" t="n">
        <v>500000</v>
      </c>
      <c r="G71" s="5" t="n"/>
    </row>
    <row r="72" ht="20" customHeight="1">
      <c r="A72" s="5" t="inlineStr">
        <is>
          <t>Next orders 3 months</t>
        </is>
      </c>
      <c r="B72" s="5" t="inlineStr">
        <is>
          <t>5.4.3</t>
        </is>
      </c>
      <c r="C72" s="5" t="inlineStr">
        <is>
          <t>Fly ash extraction system for the boiler and conveyors</t>
        </is>
      </c>
      <c r="D72" s="5" t="inlineStr">
        <is>
          <t>enquiry</t>
        </is>
      </c>
      <c r="E72" s="13" t="n">
        <v>46202</v>
      </c>
      <c r="F72" s="6" t="n">
        <v>4260000</v>
      </c>
      <c r="G72" s="5" t="inlineStr">
        <is>
          <t>Roger Gołombek</t>
        </is>
      </c>
    </row>
    <row r="73" ht="20" customHeight="1">
      <c r="A73" s="5" t="inlineStr">
        <is>
          <t>Next orders 3 months</t>
        </is>
      </c>
      <c r="B73" s="5" t="inlineStr">
        <is>
          <t>1.2.6.2</t>
        </is>
      </c>
      <c r="C73" s="5" t="inlineStr">
        <is>
          <t>Piping design</t>
        </is>
      </c>
      <c r="D73" s="5" t="inlineStr">
        <is>
          <t>planned</t>
        </is>
      </c>
      <c r="E73" s="13" t="n">
        <v>46205</v>
      </c>
      <c r="F73" s="6" t="n">
        <v>0</v>
      </c>
      <c r="G73" s="5" t="n"/>
    </row>
    <row r="74" ht="20" customHeight="1">
      <c r="A74" s="5" t="inlineStr">
        <is>
          <t>Next orders 3 months</t>
        </is>
      </c>
      <c r="B74" s="5" t="inlineStr">
        <is>
          <t>5.7.1</t>
        </is>
      </c>
      <c r="C74" s="5" t="inlineStr">
        <is>
          <t>SNCR DeNOx system including silo, pumps</t>
        </is>
      </c>
      <c r="D74" s="5" t="inlineStr">
        <is>
          <t>planned</t>
        </is>
      </c>
      <c r="E74" s="13" t="n">
        <v>46205</v>
      </c>
      <c r="F74" s="6" t="n">
        <v>1090000</v>
      </c>
      <c r="G74" s="5" t="inlineStr">
        <is>
          <t>Magdalena Białorucka</t>
        </is>
      </c>
    </row>
    <row r="75" ht="20" customHeight="1">
      <c r="A75" s="5" t="inlineStr">
        <is>
          <t>Next orders 3 months</t>
        </is>
      </c>
      <c r="B75" s="5" t="inlineStr">
        <is>
          <t>4.3.6</t>
        </is>
      </c>
      <c r="C75" s="5" t="inlineStr">
        <is>
          <t>Emergency showers and eye washers</t>
        </is>
      </c>
      <c r="D75" s="5" t="inlineStr">
        <is>
          <t>planned</t>
        </is>
      </c>
      <c r="E75" s="13" t="n">
        <v>46212</v>
      </c>
      <c r="F75" s="6" t="n">
        <v>10000</v>
      </c>
      <c r="G75" s="5" t="inlineStr">
        <is>
          <t>Magdalena Przeździak</t>
        </is>
      </c>
    </row>
    <row r="76" ht="20" customHeight="1">
      <c r="A76" s="5" t="inlineStr">
        <is>
          <t>Next orders 3 months</t>
        </is>
      </c>
      <c r="B76" s="5" t="inlineStr">
        <is>
          <t>5.10.11</t>
        </is>
      </c>
      <c r="C76" s="5" t="inlineStr">
        <is>
          <t>Heat exchangers 2 pcs., LP pre-heater, external economizer</t>
        </is>
      </c>
      <c r="D76" s="5" t="inlineStr">
        <is>
          <t>planned</t>
        </is>
      </c>
      <c r="E76" s="13" t="n">
        <v>46215</v>
      </c>
      <c r="F76" s="6" t="n">
        <v>3242866</v>
      </c>
      <c r="G76" s="5" t="inlineStr">
        <is>
          <t>Stanisław Rucki</t>
        </is>
      </c>
    </row>
    <row r="77" ht="20" customHeight="1">
      <c r="A77" s="5" t="inlineStr">
        <is>
          <t>Next orders 3 months</t>
        </is>
      </c>
      <c r="B77" s="5" t="inlineStr">
        <is>
          <t>1.2.3</t>
        </is>
      </c>
      <c r="C77" s="5" t="inlineStr">
        <is>
          <t>Detailed design: fire-fighting system</t>
        </is>
      </c>
      <c r="D77" s="5" t="inlineStr">
        <is>
          <t>planned</t>
        </is>
      </c>
      <c r="E77" s="13" t="n">
        <v>46218</v>
      </c>
      <c r="F77" s="6" t="n">
        <v>260000</v>
      </c>
      <c r="G77" s="5" t="n"/>
    </row>
    <row r="78" ht="20" customHeight="1">
      <c r="A78" s="5" t="inlineStr">
        <is>
          <t>Next orders 3 months</t>
        </is>
      </c>
      <c r="B78" s="5" t="inlineStr">
        <is>
          <t>4.3.1</t>
        </is>
      </c>
      <c r="C78" s="5" t="inlineStr">
        <is>
          <t>Boiler room roof ventilators and wall shutters</t>
        </is>
      </c>
      <c r="D78" s="5" t="inlineStr">
        <is>
          <t>planned</t>
        </is>
      </c>
      <c r="E78" s="13" t="n">
        <v>46218</v>
      </c>
      <c r="F78" s="6" t="n">
        <v>1500000</v>
      </c>
      <c r="G78" s="5" t="inlineStr">
        <is>
          <t>Magdalena Przeździak</t>
        </is>
      </c>
    </row>
    <row r="79" ht="20" customHeight="1">
      <c r="A79" s="5" t="inlineStr">
        <is>
          <t>Next orders 3 months</t>
        </is>
      </c>
      <c r="B79" s="5" t="inlineStr">
        <is>
          <t>4.3.2</t>
        </is>
      </c>
      <c r="C79" s="5" t="inlineStr">
        <is>
          <t>HVAC for the technological buildings</t>
        </is>
      </c>
      <c r="D79" s="5" t="inlineStr">
        <is>
          <t>planned</t>
        </is>
      </c>
      <c r="E79" s="13" t="n">
        <v>46218</v>
      </c>
      <c r="F79" s="6" t="n">
        <v>3107033</v>
      </c>
      <c r="G79" s="5" t="inlineStr">
        <is>
          <t>Magdalena Przeździak</t>
        </is>
      </c>
    </row>
    <row r="80" ht="20" customHeight="1">
      <c r="A80" s="5" t="inlineStr">
        <is>
          <t>Next orders 3 months</t>
        </is>
      </c>
      <c r="B80" s="5" t="inlineStr">
        <is>
          <t>4.3.3</t>
        </is>
      </c>
      <c r="C80" s="5" t="inlineStr">
        <is>
          <t xml:space="preserve">HVAC for the other buildings </t>
        </is>
      </c>
      <c r="D80" s="5" t="inlineStr">
        <is>
          <t>planned</t>
        </is>
      </c>
      <c r="E80" s="13" t="n">
        <v>46218</v>
      </c>
      <c r="F80" s="6" t="n">
        <v>1548256</v>
      </c>
      <c r="G80" s="5" t="inlineStr">
        <is>
          <t>Magdalena Przeździak</t>
        </is>
      </c>
    </row>
    <row r="81" ht="20" customHeight="1">
      <c r="A81" s="5" t="inlineStr">
        <is>
          <t>Next orders 3 months</t>
        </is>
      </c>
      <c r="B81" s="5" t="inlineStr">
        <is>
          <t>3.4.3</t>
        </is>
      </c>
      <c r="C81" s="5" t="inlineStr">
        <is>
          <t>Emission monitoring system (CEMS)</t>
        </is>
      </c>
      <c r="D81" s="5" t="inlineStr">
        <is>
          <t>planned</t>
        </is>
      </c>
      <c r="E81" s="13" t="n">
        <v>46219</v>
      </c>
      <c r="F81" s="6" t="n">
        <v>1960000</v>
      </c>
      <c r="G81" s="5" t="inlineStr">
        <is>
          <t>Radosław Zdancewicz</t>
        </is>
      </c>
    </row>
    <row r="82" ht="20" customHeight="1">
      <c r="A82" s="5" t="inlineStr">
        <is>
          <t>Next orders 3 months</t>
        </is>
      </c>
      <c r="B82" s="5" t="inlineStr">
        <is>
          <t>4.1</t>
        </is>
      </c>
      <c r="C82" s="5" t="inlineStr">
        <is>
          <t>Deodorization system</t>
        </is>
      </c>
      <c r="D82" s="5" t="inlineStr">
        <is>
          <t>enquiry</t>
        </is>
      </c>
      <c r="E82" s="13" t="n">
        <v>46219</v>
      </c>
      <c r="F82" s="6" t="n">
        <v>1009700</v>
      </c>
      <c r="G82" s="5" t="inlineStr">
        <is>
          <t>Stanisław Rucki</t>
        </is>
      </c>
    </row>
    <row r="83" ht="20" customHeight="1">
      <c r="A83" s="5" t="inlineStr">
        <is>
          <t>Next orders 3 months</t>
        </is>
      </c>
      <c r="B83" s="5" t="inlineStr">
        <is>
          <t>5.13.3</t>
        </is>
      </c>
      <c r="C83" s="5" t="inlineStr">
        <is>
          <t>Light oil unloading installation with TDT documentation approval</t>
        </is>
      </c>
      <c r="D83" s="5" t="inlineStr">
        <is>
          <t>planned</t>
        </is>
      </c>
      <c r="E83" s="13" t="n">
        <v>46222</v>
      </c>
      <c r="F83" s="6" t="n">
        <v>200000</v>
      </c>
      <c r="G83" s="5" t="n"/>
    </row>
    <row r="84" ht="20" customHeight="1">
      <c r="A84" s="5" t="inlineStr">
        <is>
          <t>Next orders 3 months</t>
        </is>
      </c>
      <c r="B84" s="5" t="inlineStr">
        <is>
          <t>5.10.12</t>
        </is>
      </c>
      <c r="C84" s="5" t="inlineStr">
        <is>
          <t>Stabilising pumps 2 x 100%, network pumps 3 x 50%, condensate pumps 2 x 100%, feed water pumps 3 pcs., cooling pumps</t>
        </is>
      </c>
      <c r="D84" s="5" t="inlineStr">
        <is>
          <t>enquiry</t>
        </is>
      </c>
      <c r="E84" s="13" t="n">
        <v>46231</v>
      </c>
      <c r="F84" s="6" t="n">
        <v>5517325</v>
      </c>
      <c r="G84" s="5" t="inlineStr">
        <is>
          <t>Stanisław Rucki</t>
        </is>
      </c>
    </row>
    <row r="85" ht="20" customHeight="1">
      <c r="A85" s="5" t="inlineStr">
        <is>
          <t>Next orders 3 months</t>
        </is>
      </c>
      <c r="B85" s="5" t="inlineStr">
        <is>
          <t>5.13.4</t>
        </is>
      </c>
      <c r="C85" s="5" t="inlineStr">
        <is>
          <t>Auxiliary fuel pumps (light oil/diesel oil), demi water pumps, other water pumps</t>
        </is>
      </c>
      <c r="D85" s="5" t="inlineStr">
        <is>
          <t>planned</t>
        </is>
      </c>
      <c r="E85" s="13" t="n">
        <v>46231</v>
      </c>
      <c r="F85" s="6" t="n">
        <v>3337500</v>
      </c>
      <c r="G85" s="5" t="inlineStr">
        <is>
          <t>Stanisław Rucki</t>
        </is>
      </c>
    </row>
    <row r="86" ht="20" customHeight="1">
      <c r="A86" s="5" t="inlineStr">
        <is>
          <t>Next orders 3 months</t>
        </is>
      </c>
      <c r="B86" s="5" t="inlineStr">
        <is>
          <t>2.11.1</t>
        </is>
      </c>
      <c r="C86" s="5" t="inlineStr">
        <is>
          <t>Painting</t>
        </is>
      </c>
      <c r="D86" s="5" t="inlineStr">
        <is>
          <t>planned</t>
        </is>
      </c>
      <c r="E86" s="13" t="n">
        <v>46234</v>
      </c>
      <c r="F86" s="6" t="n">
        <v>669442.8</v>
      </c>
      <c r="G86" s="5" t="inlineStr">
        <is>
          <t>Magdalena Białorucka</t>
        </is>
      </c>
    </row>
    <row r="87" ht="20" customHeight="1">
      <c r="A87" s="5" t="inlineStr">
        <is>
          <t>Next orders 3 months</t>
        </is>
      </c>
      <c r="B87" s="5" t="inlineStr">
        <is>
          <t>2.11.10</t>
        </is>
      </c>
      <c r="C87" s="5" t="inlineStr">
        <is>
          <t>Plasterboard wall, sandwich panel wall</t>
        </is>
      </c>
      <c r="D87" s="5" t="inlineStr">
        <is>
          <t>planned</t>
        </is>
      </c>
      <c r="E87" s="13" t="n">
        <v>46234</v>
      </c>
      <c r="F87" s="6" t="n">
        <v>39026.75</v>
      </c>
      <c r="G87" s="5" t="n"/>
    </row>
    <row r="88" ht="20" customHeight="1">
      <c r="A88" s="5" t="inlineStr">
        <is>
          <t>Next orders 3 months</t>
        </is>
      </c>
      <c r="B88" s="5" t="inlineStr">
        <is>
          <t>2.11.11</t>
        </is>
      </c>
      <c r="C88" s="5" t="inlineStr">
        <is>
          <t>Glass wall</t>
        </is>
      </c>
      <c r="D88" s="5" t="inlineStr">
        <is>
          <t>planned</t>
        </is>
      </c>
      <c r="E88" s="13" t="n">
        <v>46234</v>
      </c>
      <c r="F88" s="6" t="n">
        <v>75045.3</v>
      </c>
      <c r="G88" s="5" t="n"/>
    </row>
    <row r="89" ht="20" customHeight="1">
      <c r="A89" s="5" t="inlineStr">
        <is>
          <t>Next orders 3 months</t>
        </is>
      </c>
      <c r="B89" s="5" t="inlineStr">
        <is>
          <t>2.11.12</t>
        </is>
      </c>
      <c r="C89" s="5" t="inlineStr">
        <is>
          <t>Plastering</t>
        </is>
      </c>
      <c r="D89" s="5" t="inlineStr">
        <is>
          <t>planned</t>
        </is>
      </c>
      <c r="E89" s="13" t="n">
        <v>46234</v>
      </c>
      <c r="F89" s="6" t="n">
        <v>1241084.64</v>
      </c>
      <c r="G89" s="5" t="inlineStr">
        <is>
          <t>Magdalena Białorucka</t>
        </is>
      </c>
    </row>
    <row r="90" ht="20" customHeight="1">
      <c r="A90" s="5" t="inlineStr">
        <is>
          <t>Next orders 3 months</t>
        </is>
      </c>
      <c r="B90" s="5" t="inlineStr">
        <is>
          <t>2.11.13</t>
        </is>
      </c>
      <c r="C90" s="5" t="inlineStr">
        <is>
          <t>Carpet / polyamide</t>
        </is>
      </c>
      <c r="D90" s="5" t="inlineStr">
        <is>
          <t>planned</t>
        </is>
      </c>
      <c r="E90" s="13" t="n">
        <v>46234</v>
      </c>
      <c r="F90" s="6" t="n">
        <v>87497.52</v>
      </c>
      <c r="G90" s="5" t="n"/>
    </row>
    <row r="91" ht="20" customHeight="1">
      <c r="A91" s="5" t="inlineStr">
        <is>
          <t>Next orders 3 months</t>
        </is>
      </c>
      <c r="B91" s="5" t="inlineStr">
        <is>
          <t>2.11.14</t>
        </is>
      </c>
      <c r="C91" s="5" t="inlineStr">
        <is>
          <t>Wall and column protection up to 2.5 m + hydrophobic protection</t>
        </is>
      </c>
      <c r="D91" s="5" t="inlineStr">
        <is>
          <t>planned</t>
        </is>
      </c>
      <c r="E91" s="13" t="n">
        <v>46234</v>
      </c>
      <c r="F91" s="6" t="n">
        <v>186490.48</v>
      </c>
      <c r="G91" s="5" t="n"/>
    </row>
    <row r="92" ht="20" customHeight="1">
      <c r="A92" s="5" t="inlineStr">
        <is>
          <t>Next orders 3 months</t>
        </is>
      </c>
      <c r="B92" s="5" t="inlineStr">
        <is>
          <t>2.11.2</t>
        </is>
      </c>
      <c r="C92" s="5" t="inlineStr">
        <is>
          <t>Furniture</t>
        </is>
      </c>
      <c r="D92" s="5" t="inlineStr">
        <is>
          <t>planned</t>
        </is>
      </c>
      <c r="E92" s="13" t="n">
        <v>46234</v>
      </c>
      <c r="F92" s="6" t="n">
        <v>631074</v>
      </c>
      <c r="G92" s="5" t="inlineStr">
        <is>
          <t>Magdalena Białorucka</t>
        </is>
      </c>
    </row>
    <row r="93" ht="20" customHeight="1">
      <c r="A93" s="5" t="inlineStr">
        <is>
          <t>Next orders 3 months</t>
        </is>
      </c>
      <c r="B93" s="5" t="inlineStr">
        <is>
          <t>2.11.3</t>
        </is>
      </c>
      <c r="C93" s="5" t="inlineStr">
        <is>
          <t>Tiles</t>
        </is>
      </c>
      <c r="D93" s="5" t="inlineStr">
        <is>
          <t>planned</t>
        </is>
      </c>
      <c r="E93" s="13" t="n">
        <v>46234</v>
      </c>
      <c r="F93" s="6" t="n">
        <v>498448.22</v>
      </c>
      <c r="G93" s="5" t="inlineStr">
        <is>
          <t>Magdalena Białorucka</t>
        </is>
      </c>
    </row>
    <row r="94" ht="20" customHeight="1">
      <c r="A94" s="5" t="inlineStr">
        <is>
          <t>Next orders 3 months</t>
        </is>
      </c>
      <c r="B94" s="5" t="inlineStr">
        <is>
          <t>2.11.4</t>
        </is>
      </c>
      <c r="C94" s="5" t="inlineStr">
        <is>
          <t>Raised floor</t>
        </is>
      </c>
      <c r="D94" s="5" t="inlineStr">
        <is>
          <t>planned</t>
        </is>
      </c>
      <c r="E94" s="13" t="n">
        <v>46234</v>
      </c>
      <c r="F94" s="6" t="n">
        <v>621907.75</v>
      </c>
      <c r="G94" s="5" t="inlineStr">
        <is>
          <t>Magdalena Białorucka</t>
        </is>
      </c>
    </row>
    <row r="95" ht="20" customHeight="1">
      <c r="A95" s="5" t="inlineStr">
        <is>
          <t>Next orders 3 months</t>
        </is>
      </c>
      <c r="B95" s="5" t="inlineStr">
        <is>
          <t>2.11.5</t>
        </is>
      </c>
      <c r="C95" s="5" t="inlineStr">
        <is>
          <t>Concrete floor + screed</t>
        </is>
      </c>
      <c r="D95" s="5" t="inlineStr">
        <is>
          <t>enquiry</t>
        </is>
      </c>
      <c r="E95" s="13" t="n">
        <v>46234</v>
      </c>
      <c r="F95" s="6" t="n">
        <v>610629.23</v>
      </c>
      <c r="G95" s="5" t="n"/>
    </row>
    <row r="96" ht="20" customHeight="1">
      <c r="A96" s="5" t="inlineStr">
        <is>
          <t>Next orders 3 months</t>
        </is>
      </c>
      <c r="B96" s="5" t="inlineStr">
        <is>
          <t>2.11.5.4</t>
        </is>
      </c>
      <c r="C96" s="5" t="inlineStr">
        <is>
          <t>Concrete flooring and screed with insulation</t>
        </is>
      </c>
      <c r="D96" s="5" t="inlineStr">
        <is>
          <t>planned</t>
        </is>
      </c>
      <c r="E96" s="13" t="n">
        <v>46234</v>
      </c>
      <c r="F96" s="6" t="n">
        <v>0</v>
      </c>
      <c r="G96" s="5" t="n"/>
    </row>
    <row r="97" ht="20" customHeight="1">
      <c r="A97" s="5" t="inlineStr">
        <is>
          <t>Next orders 3 months</t>
        </is>
      </c>
      <c r="B97" s="5" t="inlineStr">
        <is>
          <t>2.11.6</t>
        </is>
      </c>
      <c r="C97" s="5" t="inlineStr">
        <is>
          <t>Microcement floor</t>
        </is>
      </c>
      <c r="D97" s="5" t="inlineStr">
        <is>
          <t>planned</t>
        </is>
      </c>
      <c r="E97" s="13" t="n">
        <v>46234</v>
      </c>
      <c r="F97" s="6" t="n">
        <v>133705.44</v>
      </c>
      <c r="G97" s="5" t="n"/>
    </row>
    <row r="98" ht="20" customHeight="1">
      <c r="A98" s="5" t="inlineStr">
        <is>
          <t>Next orders 3 months</t>
        </is>
      </c>
      <c r="B98" s="5" t="inlineStr">
        <is>
          <t>2.11.7</t>
        </is>
      </c>
      <c r="C98" s="5" t="inlineStr">
        <is>
          <t>Resin floor</t>
        </is>
      </c>
      <c r="D98" s="5" t="inlineStr">
        <is>
          <t>planned</t>
        </is>
      </c>
      <c r="E98" s="13" t="n">
        <v>46234</v>
      </c>
      <c r="F98" s="6" t="n">
        <v>655174.75</v>
      </c>
      <c r="G98" s="5" t="inlineStr">
        <is>
          <t>Magdalena Białorucka</t>
        </is>
      </c>
    </row>
    <row r="99" ht="20" customHeight="1">
      <c r="A99" s="5" t="inlineStr">
        <is>
          <t>Next orders 3 months</t>
        </is>
      </c>
      <c r="B99" s="5" t="inlineStr">
        <is>
          <t>2.11.8</t>
        </is>
      </c>
      <c r="C99" s="5" t="inlineStr">
        <is>
          <t>Suspended ceilings</t>
        </is>
      </c>
      <c r="D99" s="5" t="inlineStr">
        <is>
          <t>planned</t>
        </is>
      </c>
      <c r="E99" s="13" t="n">
        <v>46234</v>
      </c>
      <c r="F99" s="6" t="n">
        <v>220670.05</v>
      </c>
      <c r="G99" s="5" t="n"/>
    </row>
    <row r="100" ht="20" customHeight="1">
      <c r="A100" s="5" t="inlineStr">
        <is>
          <t>Next orders 3 months</t>
        </is>
      </c>
      <c r="B100" s="5" t="inlineStr">
        <is>
          <t>2.11.9</t>
        </is>
      </c>
      <c r="C100" s="5" t="inlineStr">
        <is>
          <t>Segmented sliding wall</t>
        </is>
      </c>
      <c r="D100" s="5" t="inlineStr">
        <is>
          <t>planned</t>
        </is>
      </c>
      <c r="E100" s="13" t="n">
        <v>46234</v>
      </c>
      <c r="F100" s="6" t="n">
        <v>65014.1</v>
      </c>
      <c r="G100" s="5" t="n"/>
    </row>
    <row r="101" ht="20" customHeight="1">
      <c r="A101" s="5" t="inlineStr">
        <is>
          <t>Next orders 3 months</t>
        </is>
      </c>
      <c r="B101" s="5" t="inlineStr">
        <is>
          <t>2.12.1</t>
        </is>
      </c>
      <c r="C101" s="5" t="inlineStr">
        <is>
          <t>Passenger and good elevator</t>
        </is>
      </c>
      <c r="D101" s="5" t="inlineStr">
        <is>
          <t>enquiry</t>
        </is>
      </c>
      <c r="E101" s="13" t="n">
        <v>46234</v>
      </c>
      <c r="F101" s="6" t="n">
        <v>415350</v>
      </c>
      <c r="G101" s="5" t="inlineStr">
        <is>
          <t>Izabela Malarecka</t>
        </is>
      </c>
    </row>
    <row r="102" ht="20" customHeight="1">
      <c r="A102" s="5" t="inlineStr">
        <is>
          <t>Next orders 3 months</t>
        </is>
      </c>
      <c r="B102" s="5" t="inlineStr">
        <is>
          <t>2.12.2</t>
        </is>
      </c>
      <c r="C102" s="5" t="inlineStr">
        <is>
          <t>Passenger elevator</t>
        </is>
      </c>
      <c r="D102" s="5" t="inlineStr">
        <is>
          <t>enquiry</t>
        </is>
      </c>
      <c r="E102" s="13" t="n">
        <v>46234</v>
      </c>
      <c r="F102" s="6" t="n">
        <v>98643.60000000001</v>
      </c>
      <c r="G102" s="5" t="inlineStr">
        <is>
          <t>Izabela Malarecka</t>
        </is>
      </c>
    </row>
    <row r="103" ht="20" customHeight="1">
      <c r="A103" s="5" t="inlineStr">
        <is>
          <t>Next orders 3 months</t>
        </is>
      </c>
      <c r="B103" s="5" t="inlineStr">
        <is>
          <t>2.13</t>
        </is>
      </c>
      <c r="C103" s="5" t="inlineStr">
        <is>
          <t>Weigh bridge</t>
        </is>
      </c>
      <c r="D103" s="5" t="inlineStr">
        <is>
          <t>planned</t>
        </is>
      </c>
      <c r="E103" s="13" t="n">
        <v>46234</v>
      </c>
      <c r="F103" s="6" t="n">
        <v>551900</v>
      </c>
      <c r="G103" s="5" t="inlineStr">
        <is>
          <t>Stanisław Rucki</t>
        </is>
      </c>
    </row>
    <row r="104" ht="20" customHeight="1">
      <c r="A104" s="5" t="inlineStr">
        <is>
          <t>Next orders 3 months</t>
        </is>
      </c>
      <c r="B104" s="5" t="inlineStr">
        <is>
          <t>5.14.2</t>
        </is>
      </c>
      <c r="C104" s="5" t="inlineStr">
        <is>
          <t>Mechanical installation of technological equipment</t>
        </is>
      </c>
      <c r="D104" s="5" t="inlineStr">
        <is>
          <t>planned</t>
        </is>
      </c>
      <c r="E104" s="13" t="n">
        <v>46234</v>
      </c>
      <c r="F104" s="6" t="n">
        <v>1500000</v>
      </c>
      <c r="G104" s="5" t="inlineStr">
        <is>
          <t>Stanisław Rucki</t>
        </is>
      </c>
    </row>
    <row r="105" ht="20" customHeight="1">
      <c r="A105" s="5" t="inlineStr">
        <is>
          <t>Next orders 3 months</t>
        </is>
      </c>
      <c r="B105" s="5" t="inlineStr">
        <is>
          <t>5.4.6</t>
        </is>
      </c>
      <c r="C105" s="5" t="inlineStr">
        <is>
          <t>Compensator between boiler and ECO</t>
        </is>
      </c>
      <c r="D105" s="5" t="inlineStr">
        <is>
          <t>planned</t>
        </is>
      </c>
      <c r="E105" s="13" t="n">
        <v>46234</v>
      </c>
      <c r="F105" s="6" t="n">
        <v>129000</v>
      </c>
      <c r="G105" s="5" t="n"/>
    </row>
    <row r="106" ht="20" customHeight="1">
      <c r="A106" s="5" t="inlineStr">
        <is>
          <t>Next orders 3 months</t>
        </is>
      </c>
      <c r="B106" s="5" t="inlineStr">
        <is>
          <t>5.5</t>
        </is>
      </c>
      <c r="C106" s="5" t="inlineStr">
        <is>
          <t>Refractory</t>
        </is>
      </c>
      <c r="D106" s="5" t="inlineStr">
        <is>
          <t>planned</t>
        </is>
      </c>
      <c r="E106" s="13" t="n">
        <v>46234</v>
      </c>
      <c r="F106" s="6" t="n">
        <v>3993000</v>
      </c>
      <c r="G106" s="5" t="inlineStr">
        <is>
          <t>Magdalena Białorucka</t>
        </is>
      </c>
    </row>
    <row r="107" ht="20" customHeight="1">
      <c r="A107" s="5" t="inlineStr">
        <is>
          <t>Next orders 3 months</t>
        </is>
      </c>
      <c r="B107" s="5" t="inlineStr">
        <is>
          <t>4.2.2</t>
        </is>
      </c>
      <c r="C107" s="5" t="inlineStr">
        <is>
          <t>Firefighting water tank</t>
        </is>
      </c>
      <c r="D107" s="5" t="inlineStr">
        <is>
          <t>enquiry</t>
        </is>
      </c>
      <c r="E107" s="13" t="n">
        <v>46235</v>
      </c>
      <c r="F107" s="6" t="n">
        <v>275700</v>
      </c>
      <c r="G107" s="5" t="inlineStr">
        <is>
          <t>Magdalena Białorucka</t>
        </is>
      </c>
    </row>
    <row r="108" ht="20" customHeight="1">
      <c r="A108" s="5" t="inlineStr">
        <is>
          <t>Next orders 3 months</t>
        </is>
      </c>
      <c r="B108" s="5" t="inlineStr">
        <is>
          <t>5.13.1</t>
        </is>
      </c>
      <c r="C108" s="5" t="inlineStr">
        <is>
          <t>Compressors 2 x 50% + 1 x 50%</t>
        </is>
      </c>
      <c r="D108" s="5" t="inlineStr">
        <is>
          <t>planned</t>
        </is>
      </c>
      <c r="E108" s="13" t="n">
        <v>46235</v>
      </c>
      <c r="F108" s="6" t="n">
        <v>1500000</v>
      </c>
      <c r="G108" s="5" t="inlineStr">
        <is>
          <t>Roger Gołombek</t>
        </is>
      </c>
    </row>
    <row r="109" ht="20" customHeight="1">
      <c r="A109" s="5" t="inlineStr">
        <is>
          <t>Next orders 3 months</t>
        </is>
      </c>
      <c r="B109" s="5" t="inlineStr">
        <is>
          <t>4.3.5</t>
        </is>
      </c>
      <c r="C109" s="5" t="inlineStr">
        <is>
          <t>Sanitary water, connection to source, storage, pumping, underground and external distribution</t>
        </is>
      </c>
      <c r="D109" s="5" t="inlineStr">
        <is>
          <t>planned</t>
        </is>
      </c>
      <c r="E109" s="13" t="n">
        <v>46236</v>
      </c>
      <c r="F109" s="6" t="n">
        <v>637613</v>
      </c>
      <c r="G109" s="5" t="inlineStr">
        <is>
          <t>Magdalena Przeździak</t>
        </is>
      </c>
    </row>
    <row r="110" ht="20" customHeight="1">
      <c r="A110" s="5" t="inlineStr">
        <is>
          <t>Next orders 3 months</t>
        </is>
      </c>
      <c r="B110" s="5" t="inlineStr">
        <is>
          <t>4.3.7</t>
        </is>
      </c>
      <c r="C110" s="5" t="inlineStr">
        <is>
          <t>Sanitary waste water collection, treatment and connection to discharge point</t>
        </is>
      </c>
      <c r="D110" s="5" t="inlineStr">
        <is>
          <t>planned</t>
        </is>
      </c>
      <c r="E110" s="13" t="n">
        <v>46236</v>
      </c>
      <c r="F110" s="6" t="n">
        <v>624272</v>
      </c>
      <c r="G110" s="5" t="inlineStr">
        <is>
          <t>Magdalena Przeździak</t>
        </is>
      </c>
    </row>
    <row r="111" ht="20" customHeight="1">
      <c r="A111" s="5" t="inlineStr">
        <is>
          <t>Next orders 3 months</t>
        </is>
      </c>
      <c r="B111" s="5" t="inlineStr">
        <is>
          <t>4.3.8</t>
        </is>
      </c>
      <c r="C111" s="5" t="inlineStr">
        <is>
          <t>Waste water collection and connection to discharge point</t>
        </is>
      </c>
      <c r="D111" s="5" t="inlineStr">
        <is>
          <t>planned</t>
        </is>
      </c>
      <c r="E111" s="13" t="n">
        <v>46236</v>
      </c>
      <c r="F111" s="6" t="n">
        <v>200969</v>
      </c>
      <c r="G111" s="5" t="inlineStr">
        <is>
          <t>Magdalena Przeździak</t>
        </is>
      </c>
    </row>
    <row r="112" ht="20" customHeight="1">
      <c r="A112" s="5" t="inlineStr">
        <is>
          <t>Next orders 3 months</t>
        </is>
      </c>
      <c r="B112" s="5" t="inlineStr">
        <is>
          <t>4.3.9</t>
        </is>
      </c>
      <c r="C112" s="5" t="inlineStr">
        <is>
          <t>Rain water and snowmelt collection, treatment and connection to discharge point</t>
        </is>
      </c>
      <c r="D112" s="5" t="inlineStr">
        <is>
          <t>planned</t>
        </is>
      </c>
      <c r="E112" s="13" t="n">
        <v>46236</v>
      </c>
      <c r="F112" s="6" t="n">
        <v>3359643</v>
      </c>
      <c r="G112" s="5" t="inlineStr">
        <is>
          <t>Magdalena Przeździak</t>
        </is>
      </c>
    </row>
    <row r="113" ht="20" customHeight="1">
      <c r="A113" s="5" t="inlineStr">
        <is>
          <t>Next orders 3 months</t>
        </is>
      </c>
      <c r="B113" s="5" t="inlineStr">
        <is>
          <t>5.13.9</t>
        </is>
      </c>
      <c r="C113" s="5" t="inlineStr">
        <is>
          <t>Grate cooling system</t>
        </is>
      </c>
      <c r="D113" s="5" t="inlineStr">
        <is>
          <t>planned</t>
        </is>
      </c>
      <c r="E113" s="13" t="n">
        <v>46236</v>
      </c>
      <c r="F113" s="6" t="n">
        <v>731000</v>
      </c>
      <c r="G113" s="5" t="inlineStr">
        <is>
          <t>Magdalena Białorucka</t>
        </is>
      </c>
    </row>
    <row r="114" ht="20" customHeight="1">
      <c r="A114" s="5" t="inlineStr">
        <is>
          <t>Next orders 3 months</t>
        </is>
      </c>
      <c r="B114" s="5" t="inlineStr">
        <is>
          <t>2.6.4</t>
        </is>
      </c>
      <c r="C114" s="5" t="inlineStr">
        <is>
          <t>Steel structure of the staircase in the B1.4 facility (change from the reinforced concrete structure in relation to the acquisition stage)</t>
        </is>
      </c>
      <c r="D114" s="5" t="inlineStr">
        <is>
          <t>planned</t>
        </is>
      </c>
      <c r="E114" s="13" t="n">
        <v>46237</v>
      </c>
      <c r="F114" s="6" t="n">
        <v>470146.23</v>
      </c>
      <c r="G114" s="5" t="inlineStr">
        <is>
          <t>Robert Klimczak</t>
        </is>
      </c>
    </row>
    <row r="115" ht="20" customHeight="1">
      <c r="A115" s="5" t="inlineStr">
        <is>
          <t>Next orders 3 months</t>
        </is>
      </c>
      <c r="B115" s="5" t="inlineStr">
        <is>
          <t>3.4.2</t>
        </is>
      </c>
      <c r="C115" s="5" t="inlineStr">
        <is>
          <t>DCS System</t>
        </is>
      </c>
      <c r="D115" s="5" t="inlineStr">
        <is>
          <t>planned</t>
        </is>
      </c>
      <c r="E115" s="13" t="n">
        <v>46250</v>
      </c>
      <c r="F115" s="6" t="n">
        <v>2752000</v>
      </c>
      <c r="G115" s="5" t="inlineStr">
        <is>
          <t>Roger Gołombek</t>
        </is>
      </c>
    </row>
    <row r="116" ht="20" customHeight="1">
      <c r="A116" s="5" t="inlineStr">
        <is>
          <t>Next orders 3 months</t>
        </is>
      </c>
      <c r="B116" s="5" t="inlineStr">
        <is>
          <t>5.7.4</t>
        </is>
      </c>
      <c r="C116" s="5" t="inlineStr">
        <is>
          <t>Fly ash silos</t>
        </is>
      </c>
      <c r="D116" s="5" t="inlineStr">
        <is>
          <t>planned</t>
        </is>
      </c>
      <c r="E116" s="13" t="n">
        <v>46250</v>
      </c>
      <c r="F116" s="6" t="n">
        <v>2000000</v>
      </c>
      <c r="G116" s="5" t="inlineStr">
        <is>
          <t>Roger Gołombek</t>
        </is>
      </c>
    </row>
    <row r="117" ht="20" customHeight="1">
      <c r="A117" s="5" t="inlineStr">
        <is>
          <t>Next orders 3 months</t>
        </is>
      </c>
      <c r="B117" s="5" t="inlineStr">
        <is>
          <t>5.10.7</t>
        </is>
      </c>
      <c r="C117" s="5" t="inlineStr">
        <is>
          <t>Main cooler</t>
        </is>
      </c>
      <c r="D117" s="5" t="inlineStr">
        <is>
          <t>planned</t>
        </is>
      </c>
      <c r="E117" s="13" t="n">
        <v>46251</v>
      </c>
      <c r="F117" s="6" t="n">
        <v>2000000</v>
      </c>
      <c r="G117" s="5" t="inlineStr">
        <is>
          <t>Roger Gołombek</t>
        </is>
      </c>
    </row>
    <row r="118" ht="20" customHeight="1">
      <c r="A118" s="5" t="inlineStr">
        <is>
          <t>Next orders 3 months</t>
        </is>
      </c>
      <c r="B118" s="5" t="inlineStr">
        <is>
          <t>5.10.8</t>
        </is>
      </c>
      <c r="C118" s="5" t="inlineStr">
        <is>
          <t>Cooler tank, condensate tank</t>
        </is>
      </c>
      <c r="D118" s="5" t="inlineStr">
        <is>
          <t>planned</t>
        </is>
      </c>
      <c r="E118" s="13" t="n">
        <v>46251</v>
      </c>
      <c r="F118" s="6" t="n">
        <v>1000000</v>
      </c>
      <c r="G118" s="5" t="inlineStr">
        <is>
          <t>Roger Gołombek</t>
        </is>
      </c>
    </row>
    <row r="119" ht="20" customHeight="1">
      <c r="A119" s="5" t="inlineStr">
        <is>
          <t>Next orders 3 months</t>
        </is>
      </c>
      <c r="B119" s="5" t="inlineStr">
        <is>
          <t>5.13.11</t>
        </is>
      </c>
      <c r="C119" s="5" t="inlineStr">
        <is>
          <t>waste water treatment</t>
        </is>
      </c>
      <c r="D119" s="5" t="inlineStr">
        <is>
          <t>planned</t>
        </is>
      </c>
      <c r="E119" s="13" t="n">
        <v>46251</v>
      </c>
      <c r="F119" s="6" t="n">
        <v>800000</v>
      </c>
      <c r="G119" s="5" t="inlineStr">
        <is>
          <t>Roger Gołombek</t>
        </is>
      </c>
    </row>
    <row r="120" ht="20" customHeight="1">
      <c r="A120" s="5" t="inlineStr">
        <is>
          <t>Next orders 3 months</t>
        </is>
      </c>
      <c r="B120" s="5" t="inlineStr">
        <is>
          <t>5.4.5</t>
        </is>
      </c>
      <c r="C120" s="5" t="inlineStr">
        <is>
          <t>Chemical dosing for the boiler</t>
        </is>
      </c>
      <c r="D120" s="5" t="inlineStr">
        <is>
          <t>planned</t>
        </is>
      </c>
      <c r="E120" s="13" t="n">
        <v>46251</v>
      </c>
      <c r="F120" s="6" t="n">
        <v>223600</v>
      </c>
      <c r="G120" s="5" t="inlineStr">
        <is>
          <t>Magdalena Białorucka</t>
        </is>
      </c>
    </row>
    <row r="121" ht="20" customHeight="1">
      <c r="A121" s="5" t="inlineStr">
        <is>
          <t>Next orders 3 months</t>
        </is>
      </c>
      <c r="B121" s="5" t="inlineStr">
        <is>
          <t>5.10.9</t>
        </is>
      </c>
      <c r="C121" s="5" t="inlineStr">
        <is>
          <t>Water pressure stabilization system</t>
        </is>
      </c>
      <c r="D121" s="5" t="inlineStr">
        <is>
          <t>negotiation</t>
        </is>
      </c>
      <c r="E121" s="13" t="n">
        <v>46252</v>
      </c>
      <c r="F121" s="6" t="n">
        <v>350000</v>
      </c>
      <c r="G121" s="5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21" customWidth="1" min="3" max="3"/>
    <col width="24" customWidth="1" min="4" max="4"/>
    <col width="16" customWidth="1" min="5" max="5"/>
    <col width="19" customWidth="1" min="6" max="6"/>
    <col width="20" customWidth="1" min="7" max="7"/>
    <col width="23" customWidth="1" min="8" max="8"/>
    <col width="16" customWidth="1" min="9" max="9"/>
  </cols>
  <sheetData>
    <row r="1" ht="20" customHeight="1">
      <c r="A1" s="12" t="inlineStr">
        <is>
          <t>Nota origine e logica calcolo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2" t="inlineStr">
        <is>
          <t>La Curva S deriva dal dashboard payload rigenerato dai file Excel in data/current. Procurement schedule cumulativo: somma mensile/cumulata dei valori Updated Budget / Budget AK del Procurement Schedule secondo le date procurement. Budget Baseline cumulativo: curva mensile/cumulata letta dal Budget, riga 12, colonne AM:BW. Ordini contrattualizzati cumulativo: somma mensile/cumulata dei valori Contracted secondo le date di chiusura/contrattualizzazione disponibili nel Procurement Schedule.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 ht="20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 ht="20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 ht="20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 ht="20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 ht="20" customHeight="1">
      <c r="A9" s="3" t="inlineStr">
        <is>
          <t>Month</t>
        </is>
      </c>
      <c r="B9" s="3" t="inlineStr">
        <is>
          <t>Label</t>
        </is>
      </c>
      <c r="C9" s="3" t="inlineStr">
        <is>
          <t>Procurement monthly</t>
        </is>
      </c>
      <c r="D9" s="3" t="inlineStr">
        <is>
          <t>Procurement cumulative</t>
        </is>
      </c>
      <c r="E9" s="3" t="inlineStr">
        <is>
          <t>Budget monthly</t>
        </is>
      </c>
      <c r="F9" s="3" t="inlineStr">
        <is>
          <t>Budget cumulative</t>
        </is>
      </c>
      <c r="G9" s="3" t="inlineStr">
        <is>
          <t>Contracted monthly</t>
        </is>
      </c>
      <c r="H9" s="3" t="inlineStr">
        <is>
          <t>Contracted cumulative</t>
        </is>
      </c>
      <c r="I9" s="3" t="inlineStr">
        <is>
          <t>Current marker</t>
        </is>
      </c>
    </row>
    <row r="10" ht="20" customHeight="1">
      <c r="A10" s="5" t="inlineStr">
        <is>
          <t>2025-12</t>
        </is>
      </c>
      <c r="B10" s="5" t="inlineStr">
        <is>
          <t>dic-2025</t>
        </is>
      </c>
      <c r="C10" s="6" t="n">
        <v>115638522</v>
      </c>
      <c r="D10" s="6" t="n">
        <v>115638522</v>
      </c>
      <c r="E10" s="6" t="n">
        <v>6228403.09</v>
      </c>
      <c r="F10" s="6" t="n">
        <v>6228403.09</v>
      </c>
      <c r="G10" s="6" t="n">
        <v>6555456.13</v>
      </c>
      <c r="H10" s="6" t="n">
        <v>6555456.13</v>
      </c>
      <c r="I10" s="5" t="inlineStr"/>
    </row>
    <row r="11" ht="20" customHeight="1">
      <c r="A11" s="5" t="inlineStr">
        <is>
          <t>2026-01</t>
        </is>
      </c>
      <c r="B11" s="5" t="inlineStr">
        <is>
          <t>gen-2026</t>
        </is>
      </c>
      <c r="C11" s="6" t="n">
        <v>4696881.29</v>
      </c>
      <c r="D11" s="6" t="n">
        <v>120335403.29</v>
      </c>
      <c r="E11" s="6" t="n">
        <v>998971.02</v>
      </c>
      <c r="F11" s="6" t="n">
        <v>7227374.11</v>
      </c>
      <c r="G11" s="6" t="n">
        <v>9148590.35</v>
      </c>
      <c r="H11" s="6" t="n">
        <v>15704046.48</v>
      </c>
      <c r="I11" s="5" t="inlineStr"/>
    </row>
    <row r="12" ht="20" customHeight="1">
      <c r="A12" s="5" t="inlineStr">
        <is>
          <t>2026-02</t>
        </is>
      </c>
      <c r="B12" s="5" t="inlineStr">
        <is>
          <t>feb-2026</t>
        </is>
      </c>
      <c r="C12" s="6" t="n">
        <v>13016819.18</v>
      </c>
      <c r="D12" s="6" t="n">
        <v>133352222.47</v>
      </c>
      <c r="E12" s="6" t="n">
        <v>6546793.06</v>
      </c>
      <c r="F12" s="6" t="n">
        <v>13774167.17</v>
      </c>
      <c r="G12" s="6" t="n">
        <v>13741424.33</v>
      </c>
      <c r="H12" s="6" t="n">
        <v>29445470.81</v>
      </c>
      <c r="I12" s="5" t="inlineStr"/>
    </row>
    <row r="13" ht="20" customHeight="1">
      <c r="A13" s="5" t="inlineStr">
        <is>
          <t>2026-03</t>
        </is>
      </c>
      <c r="B13" s="5" t="inlineStr">
        <is>
          <t>mar-2026</t>
        </is>
      </c>
      <c r="C13" s="6" t="n">
        <v>39428853.12</v>
      </c>
      <c r="D13" s="6" t="n">
        <v>172781075.59</v>
      </c>
      <c r="E13" s="6" t="n">
        <v>7145462.33</v>
      </c>
      <c r="F13" s="6" t="n">
        <v>20919629.5</v>
      </c>
      <c r="G13" s="6" t="n">
        <v>14865180.84</v>
      </c>
      <c r="H13" s="6" t="n">
        <v>44310651.65</v>
      </c>
      <c r="I13" s="5" t="inlineStr"/>
    </row>
    <row r="14" ht="20" customHeight="1">
      <c r="A14" s="5" t="inlineStr">
        <is>
          <t>2026-04</t>
        </is>
      </c>
      <c r="B14" s="5" t="inlineStr">
        <is>
          <t>apr-2026</t>
        </is>
      </c>
      <c r="C14" s="6" t="n">
        <v>135278962.18</v>
      </c>
      <c r="D14" s="6" t="n">
        <v>308060037.77</v>
      </c>
      <c r="E14" s="6" t="n">
        <v>4544158.95</v>
      </c>
      <c r="F14" s="6" t="n">
        <v>25463788.45</v>
      </c>
      <c r="G14" s="6" t="n">
        <v>16222395.37</v>
      </c>
      <c r="H14" s="6" t="n">
        <v>60533047.02</v>
      </c>
      <c r="I14" s="5" t="inlineStr"/>
    </row>
    <row r="15" ht="20" customHeight="1">
      <c r="A15" s="5" t="inlineStr">
        <is>
          <t>2026-05</t>
        </is>
      </c>
      <c r="B15" s="5" t="inlineStr">
        <is>
          <t>mag-2026</t>
        </is>
      </c>
      <c r="C15" s="6" t="n">
        <v>16056897.38</v>
      </c>
      <c r="D15" s="6" t="n">
        <v>324116935.15</v>
      </c>
      <c r="E15" s="6" t="n">
        <v>11387968.58</v>
      </c>
      <c r="F15" s="6" t="n">
        <v>36851757.03</v>
      </c>
      <c r="G15" s="6" t="n">
        <v>16790332.45</v>
      </c>
      <c r="H15" s="6" t="n">
        <v>77323379.47</v>
      </c>
      <c r="I15" s="5" t="inlineStr">
        <is>
          <t>Current</t>
        </is>
      </c>
    </row>
    <row r="16" ht="20" customHeight="1">
      <c r="A16" s="5" t="inlineStr">
        <is>
          <t>2026-06</t>
        </is>
      </c>
      <c r="B16" s="5" t="inlineStr">
        <is>
          <t>giu-2026</t>
        </is>
      </c>
      <c r="C16" s="6" t="n">
        <v>35693097.99</v>
      </c>
      <c r="D16" s="6" t="n">
        <v>359810033.14</v>
      </c>
      <c r="E16" s="6" t="n">
        <v>26104197.32</v>
      </c>
      <c r="F16" s="6" t="n">
        <v>62955954.35</v>
      </c>
      <c r="G16" s="6" t="n">
        <v>21850916.4</v>
      </c>
      <c r="H16" s="6" t="n">
        <v>99174295.87</v>
      </c>
      <c r="I16" s="5" t="inlineStr"/>
    </row>
    <row r="17" ht="20" customHeight="1">
      <c r="A17" s="5" t="inlineStr">
        <is>
          <t>2026-07</t>
        </is>
      </c>
      <c r="B17" s="5" t="inlineStr">
        <is>
          <t>lug-2026</t>
        </is>
      </c>
      <c r="C17" s="6" t="n">
        <v>35205784.63</v>
      </c>
      <c r="D17" s="6" t="n">
        <v>395015817.77</v>
      </c>
      <c r="E17" s="6" t="n">
        <v>12262724.71</v>
      </c>
      <c r="F17" s="6" t="n">
        <v>75218679.06</v>
      </c>
      <c r="G17" s="6" t="n">
        <v>21806399.07</v>
      </c>
      <c r="H17" s="6" t="n">
        <v>120980694.94</v>
      </c>
      <c r="I17" s="5" t="inlineStr"/>
    </row>
    <row r="18" ht="20" customHeight="1">
      <c r="A18" s="5" t="inlineStr">
        <is>
          <t>2026-08</t>
        </is>
      </c>
      <c r="B18" s="5" t="inlineStr">
        <is>
          <t>ago-2026</t>
        </is>
      </c>
      <c r="C18" s="6" t="n">
        <v>37206712.26</v>
      </c>
      <c r="D18" s="6" t="n">
        <v>432222530.03</v>
      </c>
      <c r="E18" s="6" t="n">
        <v>13885536.36</v>
      </c>
      <c r="F18" s="6" t="n">
        <v>89104215.42</v>
      </c>
      <c r="G18" s="6" t="n">
        <v>15455315.7</v>
      </c>
      <c r="H18" s="6" t="n">
        <v>136436010.64</v>
      </c>
      <c r="I18" s="5" t="inlineStr"/>
    </row>
    <row r="19" ht="20" customHeight="1">
      <c r="A19" s="5" t="inlineStr">
        <is>
          <t>2026-09</t>
        </is>
      </c>
      <c r="B19" s="5" t="inlineStr">
        <is>
          <t>set-2026</t>
        </is>
      </c>
      <c r="C19" s="6" t="n">
        <v>11736183.05</v>
      </c>
      <c r="D19" s="6" t="n">
        <v>443958713.08</v>
      </c>
      <c r="E19" s="6" t="n">
        <v>18199644.48</v>
      </c>
      <c r="F19" s="6" t="n">
        <v>107303859.9</v>
      </c>
      <c r="G19" s="6" t="n">
        <v>15455315.7</v>
      </c>
      <c r="H19" s="6" t="n">
        <v>151891326.34</v>
      </c>
      <c r="I19" s="5" t="inlineStr"/>
    </row>
    <row r="20" ht="20" customHeight="1">
      <c r="A20" s="5" t="inlineStr">
        <is>
          <t>2026-10</t>
        </is>
      </c>
      <c r="B20" s="5" t="inlineStr">
        <is>
          <t>ott-2026</t>
        </is>
      </c>
      <c r="C20" s="6" t="n">
        <v>8322294.95</v>
      </c>
      <c r="D20" s="6" t="n">
        <v>452281008.03</v>
      </c>
      <c r="E20" s="6" t="n">
        <v>22641476.18</v>
      </c>
      <c r="F20" s="6" t="n">
        <v>129945336.08</v>
      </c>
      <c r="G20" s="6" t="n">
        <v>15455315.7</v>
      </c>
      <c r="H20" s="6" t="n">
        <v>167346642.04</v>
      </c>
      <c r="I20" s="5" t="inlineStr"/>
    </row>
    <row r="21" ht="20" customHeight="1">
      <c r="A21" s="5" t="inlineStr">
        <is>
          <t>2026-11</t>
        </is>
      </c>
      <c r="B21" s="5" t="inlineStr">
        <is>
          <t>nov-2026</t>
        </is>
      </c>
      <c r="C21" s="6" t="n">
        <v>1400000</v>
      </c>
      <c r="D21" s="6" t="n">
        <v>453681008.03</v>
      </c>
      <c r="E21" s="6" t="n">
        <v>18485898.14</v>
      </c>
      <c r="F21" s="6" t="n">
        <v>148431234.22</v>
      </c>
      <c r="G21" s="6" t="n">
        <v>12386679.34</v>
      </c>
      <c r="H21" s="6" t="n">
        <v>179733321.38</v>
      </c>
      <c r="I21" s="5" t="inlineStr"/>
    </row>
    <row r="22" ht="20" customHeight="1">
      <c r="A22" s="5" t="inlineStr">
        <is>
          <t>2026-12</t>
        </is>
      </c>
      <c r="B22" s="5" t="inlineStr">
        <is>
          <t>dic-2026</t>
        </is>
      </c>
      <c r="C22" s="6" t="n">
        <v>2993740</v>
      </c>
      <c r="D22" s="6" t="n">
        <v>456674748.03</v>
      </c>
      <c r="E22" s="6" t="n">
        <v>21087648.13</v>
      </c>
      <c r="F22" s="6" t="n">
        <v>169518882.35</v>
      </c>
      <c r="G22" s="6" t="n">
        <v>12199404.34</v>
      </c>
      <c r="H22" s="6" t="n">
        <v>191932725.72</v>
      </c>
      <c r="I22" s="5" t="inlineStr"/>
    </row>
    <row r="23" ht="20" customHeight="1">
      <c r="A23" s="5" t="inlineStr">
        <is>
          <t>2027-01</t>
        </is>
      </c>
      <c r="B23" s="5" t="inlineStr">
        <is>
          <t>gen-2027</t>
        </is>
      </c>
      <c r="C23" s="6" t="n">
        <v>2200000</v>
      </c>
      <c r="D23" s="6" t="n">
        <v>458874748.03</v>
      </c>
      <c r="E23" s="6" t="n">
        <v>26282566.99</v>
      </c>
      <c r="F23" s="6" t="n">
        <v>195801449.34</v>
      </c>
      <c r="G23" s="6" t="n">
        <v>10995164.83</v>
      </c>
      <c r="H23" s="6" t="n">
        <v>202927890.55</v>
      </c>
      <c r="I23" s="5" t="inlineStr"/>
    </row>
    <row r="24" ht="20" customHeight="1">
      <c r="A24" s="5" t="inlineStr">
        <is>
          <t>2027-02</t>
        </is>
      </c>
      <c r="B24" s="5" t="inlineStr">
        <is>
          <t>feb-2027</t>
        </is>
      </c>
      <c r="C24" s="6" t="n">
        <v>32264194</v>
      </c>
      <c r="D24" s="6" t="n">
        <v>491138942.03</v>
      </c>
      <c r="E24" s="6" t="n">
        <v>29588645.05</v>
      </c>
      <c r="F24" s="6" t="n">
        <v>225390094.39</v>
      </c>
      <c r="G24" s="6" t="n">
        <v>10075164.83</v>
      </c>
      <c r="H24" s="6" t="n">
        <v>213003055.38</v>
      </c>
      <c r="I24" s="5" t="inlineStr"/>
    </row>
    <row r="25" ht="20" customHeight="1">
      <c r="A25" s="5" t="inlineStr">
        <is>
          <t>2027-03</t>
        </is>
      </c>
      <c r="B25" s="5" t="inlineStr">
        <is>
          <t>mar-2027</t>
        </is>
      </c>
      <c r="C25" s="6" t="n">
        <v>700000</v>
      </c>
      <c r="D25" s="6" t="n">
        <v>491838942.03</v>
      </c>
      <c r="E25" s="6" t="n">
        <v>36812233.91</v>
      </c>
      <c r="F25" s="6" t="n">
        <v>262202328.3</v>
      </c>
      <c r="G25" s="6" t="n">
        <v>10075164.83</v>
      </c>
      <c r="H25" s="6" t="n">
        <v>223078220.21</v>
      </c>
      <c r="I25" s="5" t="inlineStr"/>
    </row>
    <row r="26" ht="20" customHeight="1">
      <c r="A26" s="5" t="inlineStr">
        <is>
          <t>2027-04</t>
        </is>
      </c>
      <c r="B26" s="5" t="inlineStr">
        <is>
          <t>apr-2027</t>
        </is>
      </c>
      <c r="C26" s="6" t="n">
        <v>9497187.35</v>
      </c>
      <c r="D26" s="6" t="n">
        <v>501336129.38</v>
      </c>
      <c r="E26" s="6" t="n">
        <v>32191041.94</v>
      </c>
      <c r="F26" s="6" t="n">
        <v>294393370.24</v>
      </c>
      <c r="G26" s="6" t="n">
        <v>10075164.83</v>
      </c>
      <c r="H26" s="6" t="n">
        <v>233153385.04</v>
      </c>
      <c r="I26" s="5" t="inlineStr"/>
    </row>
    <row r="27" ht="20" customHeight="1">
      <c r="A27" s="5" t="inlineStr">
        <is>
          <t>2027-05</t>
        </is>
      </c>
      <c r="B27" s="5" t="inlineStr">
        <is>
          <t>mag-2027</t>
        </is>
      </c>
      <c r="C27" s="6" t="n">
        <v>0</v>
      </c>
      <c r="D27" s="6" t="n">
        <v>501336129.38</v>
      </c>
      <c r="E27" s="6" t="n">
        <v>33377224.78</v>
      </c>
      <c r="F27" s="6" t="n">
        <v>327770595.02</v>
      </c>
      <c r="G27" s="6" t="n">
        <v>3908667.5</v>
      </c>
      <c r="H27" s="6" t="n">
        <v>237062052.54</v>
      </c>
      <c r="I27" s="5" t="inlineStr"/>
    </row>
    <row r="28" ht="20" customHeight="1">
      <c r="A28" s="5" t="inlineStr">
        <is>
          <t>2027-06</t>
        </is>
      </c>
      <c r="B28" s="5" t="inlineStr">
        <is>
          <t>giu-2027</t>
        </is>
      </c>
      <c r="C28" s="6" t="n">
        <v>0</v>
      </c>
      <c r="D28" s="6" t="n">
        <v>501336129.38</v>
      </c>
      <c r="E28" s="6" t="n">
        <v>28170769.51</v>
      </c>
      <c r="F28" s="6" t="n">
        <v>355941364.53</v>
      </c>
      <c r="G28" s="6" t="n">
        <v>3908667.5</v>
      </c>
      <c r="H28" s="6" t="n">
        <v>240970720.04</v>
      </c>
      <c r="I28" s="5" t="inlineStr"/>
    </row>
    <row r="29" ht="20" customHeight="1">
      <c r="A29" s="5" t="inlineStr">
        <is>
          <t>2027-07</t>
        </is>
      </c>
      <c r="B29" s="5" t="inlineStr">
        <is>
          <t>lug-2027</t>
        </is>
      </c>
      <c r="C29" s="6" t="n">
        <v>100000</v>
      </c>
      <c r="D29" s="6" t="n">
        <v>501436129.38</v>
      </c>
      <c r="E29" s="6" t="n">
        <v>24580491.31</v>
      </c>
      <c r="F29" s="6" t="n">
        <v>380521855.84</v>
      </c>
      <c r="G29" s="6" t="n">
        <v>3835530</v>
      </c>
      <c r="H29" s="6" t="n">
        <v>244806250.04</v>
      </c>
      <c r="I29" s="5" t="inlineStr"/>
    </row>
    <row r="30" ht="20" customHeight="1">
      <c r="A30" s="5" t="inlineStr">
        <is>
          <t>2027-08</t>
        </is>
      </c>
      <c r="B30" s="5" t="inlineStr">
        <is>
          <t>ago-2027</t>
        </is>
      </c>
      <c r="C30" s="6" t="n">
        <v>0</v>
      </c>
      <c r="D30" s="6" t="n">
        <v>501436129.38</v>
      </c>
      <c r="E30" s="6" t="n">
        <v>18497827.24</v>
      </c>
      <c r="F30" s="6" t="n">
        <v>399019683.08</v>
      </c>
      <c r="G30" s="6" t="n">
        <v>3835530</v>
      </c>
      <c r="H30" s="6" t="n">
        <v>248641780.04</v>
      </c>
      <c r="I30" s="5" t="inlineStr"/>
    </row>
    <row r="31" ht="20" customHeight="1">
      <c r="A31" s="5" t="inlineStr">
        <is>
          <t>2027-09</t>
        </is>
      </c>
      <c r="B31" s="5" t="inlineStr">
        <is>
          <t>set-2027</t>
        </is>
      </c>
      <c r="C31" s="6" t="n">
        <v>150000</v>
      </c>
      <c r="D31" s="6" t="n">
        <v>501586129.38</v>
      </c>
      <c r="E31" s="6" t="n">
        <v>23543930.15</v>
      </c>
      <c r="F31" s="6" t="n">
        <v>422563613.23</v>
      </c>
      <c r="G31" s="6" t="n">
        <v>3835530</v>
      </c>
      <c r="H31" s="6" t="n">
        <v>252477310.04</v>
      </c>
      <c r="I31" s="5" t="inlineStr"/>
    </row>
    <row r="32" ht="20" customHeight="1">
      <c r="A32" s="5" t="inlineStr">
        <is>
          <t>2027-10</t>
        </is>
      </c>
      <c r="B32" s="5" t="inlineStr">
        <is>
          <t>ott-2027</t>
        </is>
      </c>
      <c r="C32" s="6" t="n">
        <v>0</v>
      </c>
      <c r="D32" s="6" t="n">
        <v>501586129.38</v>
      </c>
      <c r="E32" s="6" t="n">
        <v>11703071.82</v>
      </c>
      <c r="F32" s="6" t="n">
        <v>434266685.05</v>
      </c>
      <c r="G32" s="6" t="n">
        <v>3835530</v>
      </c>
      <c r="H32" s="6" t="n">
        <v>256312840.04</v>
      </c>
      <c r="I32" s="5" t="inlineStr"/>
    </row>
    <row r="33" ht="20" customHeight="1">
      <c r="A33" s="5" t="inlineStr">
        <is>
          <t>2027-11</t>
        </is>
      </c>
      <c r="B33" s="5" t="inlineStr">
        <is>
          <t>nov-2027</t>
        </is>
      </c>
      <c r="C33" s="6" t="n">
        <v>0</v>
      </c>
      <c r="D33" s="6" t="n">
        <v>501586129.38</v>
      </c>
      <c r="E33" s="6" t="n">
        <v>9338754.74</v>
      </c>
      <c r="F33" s="6" t="n">
        <v>443605439.79</v>
      </c>
      <c r="G33" s="6" t="n">
        <v>3835530</v>
      </c>
      <c r="H33" s="6" t="n">
        <v>260148370.04</v>
      </c>
      <c r="I33" s="5" t="inlineStr"/>
    </row>
    <row r="34" ht="20" customHeight="1">
      <c r="A34" s="5" t="inlineStr">
        <is>
          <t>2027-12</t>
        </is>
      </c>
      <c r="B34" s="5" t="inlineStr">
        <is>
          <t>dic-2027</t>
        </is>
      </c>
      <c r="C34" s="6" t="n">
        <v>4352253</v>
      </c>
      <c r="D34" s="6" t="n">
        <v>505938382.38</v>
      </c>
      <c r="E34" s="6" t="n">
        <v>25513870.83</v>
      </c>
      <c r="F34" s="6" t="n">
        <v>469119310.62</v>
      </c>
      <c r="G34" s="6" t="n">
        <v>3822998</v>
      </c>
      <c r="H34" s="6" t="n">
        <v>263971368.04</v>
      </c>
      <c r="I34" s="5" t="inlineStr"/>
    </row>
    <row r="35" ht="20" customHeight="1">
      <c r="A35" s="5" t="inlineStr">
        <is>
          <t>2028-01</t>
        </is>
      </c>
      <c r="B35" s="5" t="inlineStr">
        <is>
          <t>gen-2028</t>
        </is>
      </c>
      <c r="C35" s="6" t="n">
        <v>0</v>
      </c>
      <c r="D35" s="6" t="n">
        <v>505938382.38</v>
      </c>
      <c r="E35" s="6" t="n">
        <v>6777252.28</v>
      </c>
      <c r="F35" s="6" t="n">
        <v>475896562.9</v>
      </c>
      <c r="G35" s="6" t="n">
        <v>3139820.21</v>
      </c>
      <c r="H35" s="6" t="n">
        <v>267111188.25</v>
      </c>
      <c r="I35" s="5" t="inlineStr"/>
    </row>
    <row r="36" ht="20" customHeight="1">
      <c r="A36" s="5" t="inlineStr">
        <is>
          <t>2028-02</t>
        </is>
      </c>
      <c r="B36" s="5" t="inlineStr">
        <is>
          <t>feb-2028</t>
        </is>
      </c>
      <c r="C36" s="6" t="n">
        <v>0</v>
      </c>
      <c r="D36" s="6" t="n">
        <v>505938382.38</v>
      </c>
      <c r="E36" s="6" t="n">
        <v>4071524.53</v>
      </c>
      <c r="F36" s="6" t="n">
        <v>479968087.43</v>
      </c>
      <c r="G36" s="6" t="n">
        <v>1513456.57</v>
      </c>
      <c r="H36" s="6" t="n">
        <v>268624644.82</v>
      </c>
      <c r="I36" s="5" t="inlineStr"/>
    </row>
    <row r="37" ht="20" customHeight="1">
      <c r="A37" s="5" t="inlineStr">
        <is>
          <t>2028-03</t>
        </is>
      </c>
      <c r="B37" s="5" t="inlineStr">
        <is>
          <t>mar-2028</t>
        </is>
      </c>
      <c r="C37" s="6" t="n">
        <v>0</v>
      </c>
      <c r="D37" s="6" t="n">
        <v>505938382.38</v>
      </c>
      <c r="E37" s="6" t="n">
        <v>3559906.48</v>
      </c>
      <c r="F37" s="6" t="n">
        <v>483527993.91</v>
      </c>
      <c r="G37" s="6" t="n">
        <v>1513456.57</v>
      </c>
      <c r="H37" s="6" t="n">
        <v>270138101.39</v>
      </c>
      <c r="I37" s="5" t="inlineStr"/>
    </row>
    <row r="38" ht="20" customHeight="1">
      <c r="A38" s="5" t="inlineStr">
        <is>
          <t>2028-04</t>
        </is>
      </c>
      <c r="B38" s="5" t="inlineStr">
        <is>
          <t>apr-2028</t>
        </is>
      </c>
      <c r="C38" s="6" t="n">
        <v>187000</v>
      </c>
      <c r="D38" s="6" t="n">
        <v>506125382.38</v>
      </c>
      <c r="E38" s="6" t="n">
        <v>1086521.74</v>
      </c>
      <c r="F38" s="6" t="n">
        <v>484614515.65</v>
      </c>
      <c r="G38" s="6" t="n">
        <v>1513456.57</v>
      </c>
      <c r="H38" s="6" t="n">
        <v>271651557.96</v>
      </c>
      <c r="I38" s="5" t="inlineStr"/>
    </row>
    <row r="39" ht="20" customHeight="1">
      <c r="A39" s="5" t="inlineStr">
        <is>
          <t>2028-05</t>
        </is>
      </c>
      <c r="B39" s="5" t="inlineStr">
        <is>
          <t>mag-2028</t>
        </is>
      </c>
      <c r="C39" s="6" t="n">
        <v>0</v>
      </c>
      <c r="D39" s="6" t="n">
        <v>506125382.38</v>
      </c>
      <c r="E39" s="6" t="n">
        <v>3929982.44</v>
      </c>
      <c r="F39" s="6" t="n">
        <v>488544498.09</v>
      </c>
      <c r="G39" s="6" t="n">
        <v>1513456.57</v>
      </c>
      <c r="H39" s="6" t="n">
        <v>273165014.53</v>
      </c>
      <c r="I39" s="5" t="inlineStr"/>
    </row>
    <row r="40" ht="20" customHeight="1">
      <c r="A40" s="5" t="inlineStr">
        <is>
          <t>2028-06</t>
        </is>
      </c>
      <c r="B40" s="5" t="inlineStr">
        <is>
          <t>giu-2028</t>
        </is>
      </c>
      <c r="C40" s="6" t="n">
        <v>0</v>
      </c>
      <c r="D40" s="6" t="n">
        <v>506125382.38</v>
      </c>
      <c r="E40" s="6" t="n">
        <v>1533631.41</v>
      </c>
      <c r="F40" s="6" t="n">
        <v>490078129.5</v>
      </c>
      <c r="G40" s="6" t="n">
        <v>1513456.57</v>
      </c>
      <c r="H40" s="6" t="n">
        <v>274678471.1</v>
      </c>
      <c r="I40" s="5" t="inlineStr"/>
    </row>
    <row r="41" ht="20" customHeight="1">
      <c r="A41" s="5" t="inlineStr">
        <is>
          <t>2028-07</t>
        </is>
      </c>
      <c r="B41" s="5" t="inlineStr">
        <is>
          <t>lug-2028</t>
        </is>
      </c>
      <c r="C41" s="6" t="n">
        <v>0</v>
      </c>
      <c r="D41" s="6" t="n">
        <v>506125382.38</v>
      </c>
      <c r="E41" s="6" t="n">
        <v>22455920.92</v>
      </c>
      <c r="F41" s="6" t="n">
        <v>512534050.42</v>
      </c>
      <c r="G41" s="6" t="n">
        <v>0</v>
      </c>
      <c r="H41" s="6" t="n">
        <v>274678471.1</v>
      </c>
      <c r="I41" s="5" t="inlineStr"/>
    </row>
    <row r="42" ht="20" customHeight="1">
      <c r="A42" s="5" t="inlineStr">
        <is>
          <t>2028-08</t>
        </is>
      </c>
      <c r="B42" s="5" t="inlineStr">
        <is>
          <t>ago-2028</t>
        </is>
      </c>
      <c r="C42" s="6" t="n">
        <v>0</v>
      </c>
      <c r="D42" s="6" t="n">
        <v>506125382.38</v>
      </c>
      <c r="E42" s="6" t="n">
        <v>413377.19</v>
      </c>
      <c r="F42" s="6" t="n">
        <v>512947427.61</v>
      </c>
      <c r="G42" s="6" t="n">
        <v>0</v>
      </c>
      <c r="H42" s="6" t="n">
        <v>274678471.1</v>
      </c>
      <c r="I42" s="5" t="inlineStr"/>
    </row>
    <row r="43" ht="20" customHeight="1">
      <c r="A43" s="5" t="inlineStr">
        <is>
          <t>2028-09</t>
        </is>
      </c>
      <c r="B43" s="5" t="inlineStr">
        <is>
          <t>set-2028</t>
        </is>
      </c>
      <c r="C43" s="6" t="n">
        <v>0</v>
      </c>
      <c r="D43" s="6" t="n">
        <v>506125382.38</v>
      </c>
      <c r="E43" s="6" t="n">
        <v>236717.31</v>
      </c>
      <c r="F43" s="6" t="n">
        <v>513184144.92</v>
      </c>
      <c r="G43" s="6" t="n">
        <v>0</v>
      </c>
      <c r="H43" s="6" t="n">
        <v>274678471.1</v>
      </c>
      <c r="I43" s="5" t="inlineStr"/>
    </row>
    <row r="44" ht="20" customHeight="1">
      <c r="A44" s="5" t="inlineStr">
        <is>
          <t>2028-10</t>
        </is>
      </c>
      <c r="B44" s="5" t="inlineStr">
        <is>
          <t>ott-2028</t>
        </is>
      </c>
      <c r="C44" s="6" t="n">
        <v>0</v>
      </c>
      <c r="D44" s="6" t="n">
        <v>506125382.38</v>
      </c>
      <c r="E44" s="6" t="n">
        <v>49117.31</v>
      </c>
      <c r="F44" s="6" t="n">
        <v>513233262.23</v>
      </c>
      <c r="G44" s="6" t="n">
        <v>0</v>
      </c>
      <c r="H44" s="6" t="n">
        <v>274678471.1</v>
      </c>
      <c r="I44" s="5" t="inlineStr"/>
    </row>
    <row r="45" ht="20" customHeight="1">
      <c r="A45" s="5" t="inlineStr">
        <is>
          <t>2028-11</t>
        </is>
      </c>
      <c r="B45" s="5" t="inlineStr">
        <is>
          <t>nov-2028</t>
        </is>
      </c>
      <c r="C45" s="6" t="n">
        <v>0</v>
      </c>
      <c r="D45" s="6" t="n">
        <v>506125382.38</v>
      </c>
      <c r="E45" s="6" t="n">
        <v>49117.31</v>
      </c>
      <c r="F45" s="6" t="n">
        <v>513282379.54</v>
      </c>
      <c r="G45" s="6" t="n">
        <v>0</v>
      </c>
      <c r="H45" s="6" t="n">
        <v>274678471.1</v>
      </c>
      <c r="I45" s="5" t="inlineStr"/>
    </row>
    <row r="46" ht="20" customHeight="1">
      <c r="A46" s="5" t="inlineStr">
        <is>
          <t>2028-12</t>
        </is>
      </c>
      <c r="B46" s="5" t="inlineStr">
        <is>
          <t>dic-2028</t>
        </is>
      </c>
      <c r="C46" s="6" t="n">
        <v>0</v>
      </c>
      <c r="D46" s="6" t="n">
        <v>506125382.38</v>
      </c>
      <c r="E46" s="6" t="n">
        <v>50310825.94</v>
      </c>
      <c r="F46" s="6" t="n">
        <v>563593205.48</v>
      </c>
      <c r="G46" s="6" t="n">
        <v>0</v>
      </c>
      <c r="H46" s="6" t="n">
        <v>274678471.1</v>
      </c>
      <c r="I46" s="5" t="inlineStr"/>
    </row>
  </sheetData>
  <mergeCells count="1">
    <mergeCell ref="A2:I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2026-05-22T07:44:10Z</dcterms:created>
  <dcterms:modified xmlns:dcterms="http://purl.org/dc/terms/" xmlns:xsi="http://www.w3.org/2001/XMLSchema-instance" xsi:type="dcterms:W3CDTF">2026-05-22T07:44:10Z</dcterms:modified>
</cp:coreProperties>
</file>