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olonia\Budget\BUDGET\Andrea Savocchi - Analisi\"/>
    </mc:Choice>
  </mc:AlternateContent>
  <xr:revisionPtr revIDLastSave="0" documentId="13_ncr:1_{2AAB5CF1-6BE7-4EA6-9736-DDD3279F5C5D}" xr6:coauthVersionLast="47" xr6:coauthVersionMax="47" xr10:uidLastSave="{00000000-0000-0000-0000-000000000000}"/>
  <bookViews>
    <workbookView xWindow="38280" yWindow="-120" windowWidth="29040" windowHeight="15720" tabRatio="936" xr2:uid="{54C3F00C-EC33-4A14-8821-FA11AAC84070}"/>
  </bookViews>
  <sheets>
    <sheet name="TABLE DASHBOARD" sheetId="18" r:id="rId1"/>
    <sheet name="JV RIEPILOGO" sheetId="1" r:id="rId2"/>
    <sheet name="INTERNA" sheetId="17" r:id="rId3"/>
    <sheet name="Report" sheetId="16" state="hidden" r:id="rId4"/>
    <sheet name="Ordinato" sheetId="15" state="hidden" r:id="rId5"/>
    <sheet name="0_Indirect" sheetId="13" r:id="rId6"/>
    <sheet name="1_Design" sheetId="2" r:id="rId7"/>
    <sheet name="2_Civil Work" sheetId="3" r:id="rId8"/>
    <sheet name="3_Electrical Works" sheetId="4" r:id="rId9"/>
    <sheet name="4_Sanitary works and FF" sheetId="5" r:id="rId10"/>
    <sheet name="5_Mechanical and technological" sheetId="6" r:id="rId11"/>
    <sheet name="6_ Commissioning" sheetId="7" r:id="rId12"/>
    <sheet name="7_Backup" sheetId="8" r:id="rId13"/>
  </sheets>
  <externalReferences>
    <externalReference r:id="rId14"/>
  </externalReferences>
  <definedNames>
    <definedName name="_xlnm._FilterDatabase" localSheetId="7" hidden="1">'2_Civil Work'!$A$11:$M$163</definedName>
    <definedName name="_xlnm._FilterDatabase" localSheetId="4" hidden="1">Ordinato!$B$27:$G$55</definedName>
    <definedName name="_xlnm.Print_Area" localSheetId="1">'JV RIEPILOGO'!$A$1:$N$45</definedName>
    <definedName name="_xlnm.Print_Area" localSheetId="3">Report!$A$1:$R$85</definedName>
    <definedName name="_xlnm.Print_Titles" localSheetId="5">'0_Indirect'!$3:$8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8" l="1"/>
  <c r="B10" i="18"/>
  <c r="C9" i="18"/>
  <c r="B9" i="18"/>
  <c r="C3" i="18"/>
  <c r="C4" i="18"/>
  <c r="C5" i="18"/>
  <c r="C6" i="18"/>
  <c r="C7" i="18"/>
  <c r="C8" i="18"/>
  <c r="C2" i="18"/>
  <c r="B3" i="18" a="1"/>
  <c r="B3" i="18" s="1"/>
  <c r="B4" i="18" a="1"/>
  <c r="B4" i="18" s="1"/>
  <c r="B5" i="18" a="1"/>
  <c r="B5" i="18" s="1"/>
  <c r="B6" i="18" a="1"/>
  <c r="B6" i="18" s="1"/>
  <c r="B7" i="18" a="1"/>
  <c r="B7" i="18" s="1"/>
  <c r="B8" i="18" a="1"/>
  <c r="B8" i="18" s="1"/>
  <c r="B2" i="18" a="1"/>
  <c r="B2" i="18" s="1"/>
  <c r="J8" i="13" l="1"/>
  <c r="J6" i="13"/>
  <c r="J7" i="13"/>
  <c r="J5" i="13"/>
  <c r="H315" i="13"/>
  <c r="C259" i="13"/>
  <c r="D259" i="13"/>
  <c r="E259" i="13"/>
  <c r="F259" i="13"/>
  <c r="G259" i="13"/>
  <c r="H259" i="13"/>
  <c r="C211" i="13"/>
  <c r="D211" i="13"/>
  <c r="E211" i="13"/>
  <c r="F211" i="13"/>
  <c r="G211" i="13"/>
  <c r="H211" i="13"/>
  <c r="C189" i="13"/>
  <c r="D189" i="13"/>
  <c r="E189" i="13"/>
  <c r="F189" i="13"/>
  <c r="G189" i="13"/>
  <c r="H189" i="13"/>
  <c r="C169" i="13"/>
  <c r="D169" i="13"/>
  <c r="E169" i="13"/>
  <c r="F169" i="13"/>
  <c r="G169" i="13"/>
  <c r="H169" i="13"/>
  <c r="J2" i="13" l="1"/>
  <c r="M5" i="8"/>
  <c r="I29" i="1" s="1"/>
  <c r="AJ8" i="1"/>
  <c r="AJ5" i="1"/>
  <c r="Q10" i="1"/>
  <c r="Q9" i="1"/>
  <c r="Q8" i="1"/>
  <c r="Q7" i="1"/>
  <c r="Q6" i="1"/>
  <c r="Q5" i="1"/>
  <c r="Q4" i="1"/>
  <c r="K29" i="1" l="1"/>
  <c r="S10" i="1" s="1"/>
  <c r="S11" i="1" s="1"/>
  <c r="N5" i="3"/>
  <c r="M9" i="3"/>
  <c r="M6" i="3"/>
  <c r="M5" i="3"/>
  <c r="C143" i="13"/>
  <c r="D143" i="13"/>
  <c r="E143" i="13"/>
  <c r="F143" i="13"/>
  <c r="G143" i="13"/>
  <c r="H143" i="13"/>
  <c r="H15" i="13"/>
  <c r="H10" i="13" s="1"/>
  <c r="H70" i="13"/>
  <c r="C70" i="13"/>
  <c r="D70" i="13"/>
  <c r="E70" i="13"/>
  <c r="F70" i="13"/>
  <c r="G70" i="13"/>
  <c r="H58" i="13"/>
  <c r="G38" i="13"/>
  <c r="H38" i="13"/>
  <c r="H23" i="13"/>
  <c r="G23" i="13"/>
  <c r="F23" i="13"/>
  <c r="E23" i="13"/>
  <c r="D23" i="13"/>
  <c r="C23" i="13"/>
  <c r="H227" i="13"/>
  <c r="H240" i="13"/>
  <c r="H246" i="13"/>
  <c r="H250" i="13"/>
  <c r="H263" i="13"/>
  <c r="H267" i="13"/>
  <c r="H274" i="13"/>
  <c r="H280" i="13"/>
  <c r="H286" i="13"/>
  <c r="H290" i="13"/>
  <c r="H295" i="13"/>
  <c r="H302" i="13"/>
  <c r="H309" i="13"/>
  <c r="H319" i="13"/>
  <c r="H323" i="13"/>
  <c r="H327" i="13"/>
  <c r="H331" i="13"/>
  <c r="H335" i="13"/>
  <c r="H340" i="13"/>
  <c r="H344" i="13"/>
  <c r="H348" i="13"/>
  <c r="H352" i="13"/>
  <c r="H198" i="13"/>
  <c r="H202" i="13"/>
  <c r="H206" i="13"/>
  <c r="H215" i="13"/>
  <c r="H219" i="13"/>
  <c r="H194" i="13"/>
  <c r="H183" i="13"/>
  <c r="H178" i="13"/>
  <c r="H174" i="13"/>
  <c r="H162" i="13"/>
  <c r="H155" i="13"/>
  <c r="H151" i="13"/>
  <c r="H147" i="13"/>
  <c r="H136" i="13"/>
  <c r="H132" i="13"/>
  <c r="H128" i="13"/>
  <c r="H124" i="13"/>
  <c r="H118" i="13"/>
  <c r="H114" i="13"/>
  <c r="H110" i="13"/>
  <c r="H103" i="13"/>
  <c r="H97" i="13"/>
  <c r="H92" i="13"/>
  <c r="H88" i="13"/>
  <c r="H84" i="13"/>
  <c r="H80" i="13"/>
  <c r="H75" i="13"/>
  <c r="H49" i="13"/>
  <c r="H45" i="13"/>
  <c r="K30" i="1"/>
  <c r="K27" i="1"/>
  <c r="K26" i="1"/>
  <c r="K25" i="1"/>
  <c r="K23" i="1"/>
  <c r="K22" i="1"/>
  <c r="K21" i="1"/>
  <c r="K15" i="1"/>
  <c r="K14" i="1"/>
  <c r="K13" i="1"/>
  <c r="K9" i="1"/>
  <c r="K11" i="1"/>
  <c r="K10" i="1"/>
  <c r="K6" i="1"/>
  <c r="K7" i="1"/>
  <c r="K5" i="1"/>
  <c r="M6" i="8"/>
  <c r="K18" i="8"/>
  <c r="K17" i="8"/>
  <c r="K16" i="8"/>
  <c r="K12" i="8"/>
  <c r="K11" i="8"/>
  <c r="H19" i="8"/>
  <c r="H13" i="8"/>
  <c r="M9" i="7"/>
  <c r="M7" i="7"/>
  <c r="M6" i="7"/>
  <c r="M5" i="7"/>
  <c r="K11" i="7"/>
  <c r="K43" i="7"/>
  <c r="K39" i="7"/>
  <c r="K35" i="7"/>
  <c r="K34" i="7"/>
  <c r="K30" i="7"/>
  <c r="K26" i="7"/>
  <c r="K25" i="7"/>
  <c r="K24" i="7"/>
  <c r="K23" i="7"/>
  <c r="K22" i="7"/>
  <c r="K21" i="7"/>
  <c r="K20" i="7"/>
  <c r="K19" i="7"/>
  <c r="K15" i="7"/>
  <c r="K14" i="7"/>
  <c r="K13" i="7"/>
  <c r="K12" i="7"/>
  <c r="H44" i="7"/>
  <c r="H40" i="7"/>
  <c r="H36" i="7"/>
  <c r="H31" i="7"/>
  <c r="H27" i="7"/>
  <c r="H16" i="7"/>
  <c r="M7" i="6"/>
  <c r="M5" i="6"/>
  <c r="H13" i="6"/>
  <c r="H131" i="6"/>
  <c r="H122" i="6"/>
  <c r="H108" i="6"/>
  <c r="H104" i="6"/>
  <c r="H99" i="6"/>
  <c r="H73" i="6"/>
  <c r="H69" i="6"/>
  <c r="H62" i="6"/>
  <c r="H54" i="6"/>
  <c r="H50" i="6"/>
  <c r="H46" i="6"/>
  <c r="H31" i="6"/>
  <c r="H19" i="6"/>
  <c r="M9" i="6"/>
  <c r="M6" i="6"/>
  <c r="K85" i="6"/>
  <c r="K86" i="6"/>
  <c r="K87" i="6"/>
  <c r="K88" i="6"/>
  <c r="K89" i="6"/>
  <c r="K90" i="6"/>
  <c r="K91" i="6"/>
  <c r="K92" i="6"/>
  <c r="K93" i="6"/>
  <c r="K94" i="6"/>
  <c r="K95" i="6"/>
  <c r="K84" i="6"/>
  <c r="K83" i="6"/>
  <c r="K81" i="6"/>
  <c r="K80" i="6"/>
  <c r="K79" i="6"/>
  <c r="K78" i="6"/>
  <c r="K77" i="6"/>
  <c r="K82" i="6"/>
  <c r="K67" i="6"/>
  <c r="K65" i="6"/>
  <c r="K57" i="6"/>
  <c r="K49" i="6"/>
  <c r="K40" i="6"/>
  <c r="K39" i="6"/>
  <c r="K38" i="6"/>
  <c r="K37" i="6"/>
  <c r="K36" i="6"/>
  <c r="K34" i="6"/>
  <c r="C46" i="6"/>
  <c r="H3" i="6" l="1"/>
  <c r="H71" i="13"/>
  <c r="M2" i="6"/>
  <c r="H305" i="13"/>
  <c r="H222" i="13"/>
  <c r="H270" i="13"/>
  <c r="H158" i="13"/>
  <c r="H61" i="13"/>
  <c r="H18" i="13"/>
  <c r="H3" i="8"/>
  <c r="H3" i="7"/>
  <c r="H3" i="13" l="1"/>
  <c r="M34" i="1" s="1"/>
  <c r="K130" i="6"/>
  <c r="K129" i="6"/>
  <c r="K128" i="6"/>
  <c r="K127" i="6"/>
  <c r="K126" i="6"/>
  <c r="K125" i="6"/>
  <c r="K121" i="6"/>
  <c r="K120" i="6"/>
  <c r="K119" i="6"/>
  <c r="K118" i="6"/>
  <c r="K117" i="6"/>
  <c r="K116" i="6"/>
  <c r="K115" i="6"/>
  <c r="K114" i="6"/>
  <c r="K113" i="6"/>
  <c r="K112" i="6"/>
  <c r="K111" i="6"/>
  <c r="K107" i="6"/>
  <c r="K103" i="6"/>
  <c r="K102" i="6"/>
  <c r="K98" i="6"/>
  <c r="K97" i="6"/>
  <c r="K96" i="6"/>
  <c r="K76" i="6"/>
  <c r="K72" i="6"/>
  <c r="K68" i="6"/>
  <c r="K66" i="6"/>
  <c r="K61" i="6"/>
  <c r="K60" i="6"/>
  <c r="K59" i="6"/>
  <c r="K58" i="6"/>
  <c r="K53" i="6"/>
  <c r="K45" i="6"/>
  <c r="K44" i="6"/>
  <c r="K43" i="6"/>
  <c r="K42" i="6"/>
  <c r="K41" i="6"/>
  <c r="K35" i="6"/>
  <c r="K30" i="6"/>
  <c r="K29" i="6"/>
  <c r="K28" i="6"/>
  <c r="K27" i="6"/>
  <c r="K26" i="6"/>
  <c r="K25" i="6"/>
  <c r="K24" i="6"/>
  <c r="K23" i="6"/>
  <c r="K22" i="6"/>
  <c r="K18" i="6"/>
  <c r="K17" i="6"/>
  <c r="K16" i="6"/>
  <c r="K12" i="6"/>
  <c r="K11" i="6"/>
  <c r="M8" i="5"/>
  <c r="G40" i="5"/>
  <c r="G27" i="5"/>
  <c r="G13" i="5"/>
  <c r="M7" i="5"/>
  <c r="H40" i="5"/>
  <c r="H13" i="5"/>
  <c r="K39" i="5"/>
  <c r="K38" i="5"/>
  <c r="K37" i="5"/>
  <c r="K36" i="5"/>
  <c r="K35" i="5"/>
  <c r="K34" i="5"/>
  <c r="K33" i="5"/>
  <c r="K32" i="5"/>
  <c r="K31" i="5"/>
  <c r="K30" i="5"/>
  <c r="K26" i="5"/>
  <c r="K25" i="5"/>
  <c r="K24" i="5"/>
  <c r="K23" i="5"/>
  <c r="K22" i="5"/>
  <c r="K21" i="5"/>
  <c r="K20" i="5"/>
  <c r="K19" i="5"/>
  <c r="K18" i="5"/>
  <c r="K17" i="5"/>
  <c r="K16" i="5"/>
  <c r="K12" i="5"/>
  <c r="H27" i="5"/>
  <c r="M9" i="4"/>
  <c r="M7" i="4"/>
  <c r="M6" i="4"/>
  <c r="M5" i="4"/>
  <c r="K34" i="4"/>
  <c r="K33" i="4"/>
  <c r="K32" i="4"/>
  <c r="K31" i="4"/>
  <c r="K30" i="4"/>
  <c r="K26" i="4"/>
  <c r="K22" i="4"/>
  <c r="K21" i="4"/>
  <c r="K17" i="4"/>
  <c r="K16" i="4"/>
  <c r="K15" i="4"/>
  <c r="K14" i="4"/>
  <c r="K13" i="4"/>
  <c r="K12" i="4"/>
  <c r="K11" i="4"/>
  <c r="H35" i="4"/>
  <c r="H27" i="4"/>
  <c r="H23" i="4"/>
  <c r="H18" i="4"/>
  <c r="H3" i="4" l="1"/>
  <c r="G3" i="5"/>
  <c r="H3" i="5"/>
  <c r="M10" i="2"/>
  <c r="M8" i="2"/>
  <c r="M7" i="2"/>
  <c r="M6" i="2"/>
  <c r="M7" i="3"/>
  <c r="K15" i="3"/>
  <c r="K14" i="3"/>
  <c r="K13" i="3"/>
  <c r="K12" i="3"/>
  <c r="K11" i="3"/>
  <c r="K22" i="3"/>
  <c r="K21" i="3"/>
  <c r="K20" i="3"/>
  <c r="K19" i="3"/>
  <c r="K75" i="3"/>
  <c r="K74" i="3"/>
  <c r="K73" i="3"/>
  <c r="K72" i="3"/>
  <c r="K71" i="3"/>
  <c r="K70" i="3"/>
  <c r="K69" i="3"/>
  <c r="K68" i="3"/>
  <c r="K67" i="3"/>
  <c r="K79" i="3"/>
  <c r="K161" i="3"/>
  <c r="K160" i="3"/>
  <c r="K159" i="3"/>
  <c r="K155" i="3"/>
  <c r="K151" i="3"/>
  <c r="K150" i="3"/>
  <c r="K149" i="3"/>
  <c r="K148" i="3"/>
  <c r="K147" i="3"/>
  <c r="K146" i="3"/>
  <c r="K142" i="3"/>
  <c r="K138" i="3"/>
  <c r="K137" i="3"/>
  <c r="K136" i="3"/>
  <c r="K132" i="3"/>
  <c r="K131" i="3"/>
  <c r="K130" i="3"/>
  <c r="K129" i="3"/>
  <c r="K128" i="3"/>
  <c r="K127" i="3"/>
  <c r="K126" i="3"/>
  <c r="K125" i="3"/>
  <c r="K124" i="3"/>
  <c r="K123" i="3"/>
  <c r="K122" i="3"/>
  <c r="K121" i="3"/>
  <c r="K120" i="3"/>
  <c r="K119" i="3"/>
  <c r="K118" i="3"/>
  <c r="K117" i="3"/>
  <c r="K116" i="3"/>
  <c r="K115" i="3"/>
  <c r="K114" i="3"/>
  <c r="K110" i="3"/>
  <c r="K106" i="3"/>
  <c r="K105" i="3"/>
  <c r="K104" i="3"/>
  <c r="K103" i="3"/>
  <c r="K102" i="3"/>
  <c r="K101" i="3"/>
  <c r="K100" i="3"/>
  <c r="H107" i="3"/>
  <c r="K96" i="3"/>
  <c r="K95" i="3"/>
  <c r="K94" i="3"/>
  <c r="K93" i="3"/>
  <c r="K92" i="3"/>
  <c r="K91" i="3"/>
  <c r="K90" i="3"/>
  <c r="K89" i="3"/>
  <c r="K88" i="3"/>
  <c r="K87" i="3"/>
  <c r="K86" i="3"/>
  <c r="K85" i="3"/>
  <c r="K84" i="3"/>
  <c r="K83" i="3"/>
  <c r="K63" i="3" l="1"/>
  <c r="K62" i="3"/>
  <c r="K61" i="3"/>
  <c r="K60" i="3"/>
  <c r="K59" i="3"/>
  <c r="K58" i="3"/>
  <c r="K57" i="3"/>
  <c r="K56" i="3"/>
  <c r="K55" i="3"/>
  <c r="K54" i="3"/>
  <c r="K53" i="3"/>
  <c r="K52" i="3"/>
  <c r="K51" i="3"/>
  <c r="K50" i="3"/>
  <c r="K49" i="3"/>
  <c r="K48" i="3"/>
  <c r="K47" i="3"/>
  <c r="K46" i="3"/>
  <c r="K45" i="3"/>
  <c r="K44" i="3"/>
  <c r="K43" i="3"/>
  <c r="K42" i="3"/>
  <c r="K41" i="3"/>
  <c r="K37" i="3"/>
  <c r="K36" i="3"/>
  <c r="K35" i="3"/>
  <c r="K34" i="3"/>
  <c r="K33" i="3"/>
  <c r="K32" i="3"/>
  <c r="I38" i="3"/>
  <c r="J38" i="3"/>
  <c r="C38" i="3"/>
  <c r="D38" i="3"/>
  <c r="E38" i="3"/>
  <c r="F38" i="3"/>
  <c r="G38" i="3"/>
  <c r="H38" i="3"/>
  <c r="K28" i="3"/>
  <c r="K27" i="3"/>
  <c r="K26" i="3"/>
  <c r="J29" i="3"/>
  <c r="I29" i="3"/>
  <c r="H29" i="3"/>
  <c r="G29" i="3"/>
  <c r="F29" i="3"/>
  <c r="E29" i="3"/>
  <c r="D29" i="3"/>
  <c r="C29" i="3"/>
  <c r="K64" i="3" l="1"/>
  <c r="K38" i="3"/>
  <c r="H162" i="3" l="1"/>
  <c r="H156" i="3"/>
  <c r="H152" i="3"/>
  <c r="H143" i="3"/>
  <c r="H139" i="3"/>
  <c r="H133" i="3"/>
  <c r="H111" i="3"/>
  <c r="H97" i="3"/>
  <c r="H80" i="3"/>
  <c r="H76" i="3"/>
  <c r="H64" i="3"/>
  <c r="H23" i="3"/>
  <c r="H16" i="3"/>
  <c r="K65" i="2"/>
  <c r="K61" i="2"/>
  <c r="K57" i="2"/>
  <c r="K53" i="2"/>
  <c r="K49" i="2"/>
  <c r="K45" i="2"/>
  <c r="K41" i="2"/>
  <c r="K37" i="2"/>
  <c r="K36" i="2"/>
  <c r="K32" i="2"/>
  <c r="H62" i="2"/>
  <c r="H58" i="2"/>
  <c r="H42" i="2"/>
  <c r="H46" i="2"/>
  <c r="H50" i="2"/>
  <c r="H54" i="2"/>
  <c r="H66" i="2"/>
  <c r="K12" i="2"/>
  <c r="H38" i="2"/>
  <c r="H33" i="2"/>
  <c r="K17" i="2"/>
  <c r="K18" i="2"/>
  <c r="K19" i="2"/>
  <c r="K20" i="2"/>
  <c r="K21" i="2"/>
  <c r="K22" i="2"/>
  <c r="K23" i="2"/>
  <c r="K24" i="2"/>
  <c r="K25" i="2"/>
  <c r="K26" i="2"/>
  <c r="K16" i="2"/>
  <c r="H27" i="2"/>
  <c r="H13" i="2"/>
  <c r="K27" i="2" l="1"/>
  <c r="H3" i="3"/>
  <c r="H30" i="2"/>
  <c r="H4" i="2"/>
  <c r="G15" i="13" l="1"/>
  <c r="O42" i="1" l="1"/>
  <c r="P42" i="1" s="1"/>
  <c r="H260" i="13"/>
  <c r="G260" i="13"/>
  <c r="G240" i="13"/>
  <c r="G58" i="13"/>
  <c r="F58" i="13"/>
  <c r="H59" i="13" s="1"/>
  <c r="D38" i="13"/>
  <c r="E38" i="13"/>
  <c r="F38" i="13"/>
  <c r="H39" i="13" s="1"/>
  <c r="C38" i="13"/>
  <c r="G352" i="13"/>
  <c r="G348" i="13"/>
  <c r="G344" i="13"/>
  <c r="G340" i="13"/>
  <c r="G335" i="13"/>
  <c r="G331" i="13"/>
  <c r="G327" i="13"/>
  <c r="G323" i="13"/>
  <c r="G319" i="13"/>
  <c r="G315" i="13"/>
  <c r="G309" i="13"/>
  <c r="G302" i="13"/>
  <c r="G295" i="13"/>
  <c r="G290" i="13"/>
  <c r="G286" i="13"/>
  <c r="G280" i="13"/>
  <c r="G274" i="13"/>
  <c r="G267" i="13"/>
  <c r="G263" i="13"/>
  <c r="G250" i="13"/>
  <c r="G246" i="13"/>
  <c r="G227" i="13"/>
  <c r="G219" i="13"/>
  <c r="G215" i="13"/>
  <c r="G206" i="13"/>
  <c r="G202" i="13"/>
  <c r="G198" i="13"/>
  <c r="G194" i="13"/>
  <c r="G183" i="13"/>
  <c r="G178" i="13"/>
  <c r="G174" i="13"/>
  <c r="G162" i="13"/>
  <c r="G155" i="13"/>
  <c r="G151" i="13"/>
  <c r="G147" i="13"/>
  <c r="G136" i="13"/>
  <c r="G132" i="13"/>
  <c r="G128" i="13"/>
  <c r="G124" i="13"/>
  <c r="G118" i="13"/>
  <c r="G114" i="13"/>
  <c r="G110" i="13"/>
  <c r="G103" i="13"/>
  <c r="G97" i="13"/>
  <c r="G92" i="13"/>
  <c r="G88" i="13"/>
  <c r="G84" i="13"/>
  <c r="G80" i="13"/>
  <c r="G75" i="13"/>
  <c r="G49" i="13"/>
  <c r="G45" i="13"/>
  <c r="G10" i="13"/>
  <c r="G19" i="8"/>
  <c r="G13" i="8"/>
  <c r="G40" i="7"/>
  <c r="G44" i="7"/>
  <c r="G36" i="7"/>
  <c r="G31" i="7"/>
  <c r="G27" i="7"/>
  <c r="G16" i="7"/>
  <c r="F131" i="6"/>
  <c r="H132" i="6" s="1"/>
  <c r="F122" i="6"/>
  <c r="H123" i="6" s="1"/>
  <c r="F108" i="6"/>
  <c r="H109" i="6" s="1"/>
  <c r="F104" i="6"/>
  <c r="H105" i="6" s="1"/>
  <c r="F99" i="6"/>
  <c r="F73" i="6"/>
  <c r="F69" i="6"/>
  <c r="H70" i="6" s="1"/>
  <c r="F62" i="6"/>
  <c r="H63" i="6" s="1"/>
  <c r="F54" i="6"/>
  <c r="H55" i="6" s="1"/>
  <c r="F50" i="6"/>
  <c r="H51" i="6" s="1"/>
  <c r="F46" i="6"/>
  <c r="H47" i="6" s="1"/>
  <c r="F31" i="6"/>
  <c r="H32" i="6" s="1"/>
  <c r="F19" i="6"/>
  <c r="H20" i="6" s="1"/>
  <c r="F13" i="6"/>
  <c r="D131" i="6"/>
  <c r="E131" i="6"/>
  <c r="G131" i="6"/>
  <c r="I131" i="6"/>
  <c r="J131" i="6"/>
  <c r="D122" i="6"/>
  <c r="E122" i="6"/>
  <c r="G122" i="6"/>
  <c r="I122" i="6"/>
  <c r="J122" i="6"/>
  <c r="D108" i="6"/>
  <c r="E108" i="6"/>
  <c r="G108" i="6"/>
  <c r="I108" i="6"/>
  <c r="J108" i="6"/>
  <c r="D104" i="6"/>
  <c r="E104" i="6"/>
  <c r="G104" i="6"/>
  <c r="I104" i="6"/>
  <c r="J104" i="6"/>
  <c r="D99" i="6"/>
  <c r="E99" i="6"/>
  <c r="G99" i="6"/>
  <c r="I99" i="6"/>
  <c r="J99" i="6"/>
  <c r="D73" i="6"/>
  <c r="E73" i="6"/>
  <c r="G73" i="6"/>
  <c r="I73" i="6"/>
  <c r="J73" i="6"/>
  <c r="D69" i="6"/>
  <c r="E69" i="6"/>
  <c r="G69" i="6"/>
  <c r="I69" i="6"/>
  <c r="J69" i="6"/>
  <c r="D62" i="6"/>
  <c r="E62" i="6"/>
  <c r="G62" i="6"/>
  <c r="I62" i="6"/>
  <c r="J62" i="6"/>
  <c r="D54" i="6"/>
  <c r="E54" i="6"/>
  <c r="G54" i="6"/>
  <c r="I54" i="6"/>
  <c r="J54" i="6"/>
  <c r="D50" i="6"/>
  <c r="E50" i="6"/>
  <c r="G50" i="6"/>
  <c r="I50" i="6"/>
  <c r="J50" i="6"/>
  <c r="K50" i="6"/>
  <c r="D46" i="6"/>
  <c r="E46" i="6"/>
  <c r="G46" i="6"/>
  <c r="I46" i="6"/>
  <c r="J46" i="6"/>
  <c r="D31" i="6"/>
  <c r="E31" i="6"/>
  <c r="G31" i="6"/>
  <c r="I31" i="6"/>
  <c r="J31" i="6"/>
  <c r="D19" i="6"/>
  <c r="E19" i="6"/>
  <c r="G19" i="6"/>
  <c r="I19" i="6"/>
  <c r="J19" i="6"/>
  <c r="D13" i="6"/>
  <c r="E13" i="6"/>
  <c r="G13" i="6"/>
  <c r="I13" i="6"/>
  <c r="J13" i="6"/>
  <c r="C104" i="6"/>
  <c r="K122" i="6"/>
  <c r="K104" i="6"/>
  <c r="K131" i="6"/>
  <c r="K108" i="6"/>
  <c r="K73" i="6"/>
  <c r="K69" i="6"/>
  <c r="K62" i="6"/>
  <c r="K54" i="6"/>
  <c r="K46" i="6"/>
  <c r="K31" i="6"/>
  <c r="K19" i="6"/>
  <c r="K13" i="6"/>
  <c r="G35" i="4"/>
  <c r="G27" i="4"/>
  <c r="G23" i="4"/>
  <c r="G18" i="4"/>
  <c r="G36" i="1"/>
  <c r="G40" i="1"/>
  <c r="G39" i="1"/>
  <c r="G38" i="1"/>
  <c r="E31" i="1"/>
  <c r="E40" i="1" s="1"/>
  <c r="G28" i="1"/>
  <c r="G24" i="1"/>
  <c r="G20" i="1"/>
  <c r="G16" i="1"/>
  <c r="G12" i="1"/>
  <c r="G8" i="1"/>
  <c r="G4" i="1"/>
  <c r="E29" i="1"/>
  <c r="E38" i="1" s="1"/>
  <c r="K20" i="6" l="1"/>
  <c r="K132" i="6"/>
  <c r="G132" i="6"/>
  <c r="G51" i="6"/>
  <c r="G59" i="13"/>
  <c r="G39" i="13"/>
  <c r="G71" i="13"/>
  <c r="G158" i="13"/>
  <c r="E28" i="1"/>
  <c r="K47" i="6"/>
  <c r="K32" i="6"/>
  <c r="K63" i="6"/>
  <c r="K74" i="6"/>
  <c r="H74" i="6"/>
  <c r="G14" i="6"/>
  <c r="H14" i="6"/>
  <c r="G47" i="6"/>
  <c r="G100" i="6"/>
  <c r="H100" i="6"/>
  <c r="G63" i="6"/>
  <c r="G20" i="6"/>
  <c r="K14" i="6"/>
  <c r="G32" i="6"/>
  <c r="K109" i="6"/>
  <c r="K51" i="6"/>
  <c r="K55" i="6"/>
  <c r="K123" i="6"/>
  <c r="K105" i="6"/>
  <c r="K70" i="6"/>
  <c r="G105" i="6"/>
  <c r="G70" i="6"/>
  <c r="G109" i="6"/>
  <c r="G55" i="6"/>
  <c r="G74" i="6"/>
  <c r="G123" i="6"/>
  <c r="K99" i="6"/>
  <c r="K100" i="6" s="1"/>
  <c r="F3" i="6"/>
  <c r="G270" i="13"/>
  <c r="G305" i="13"/>
  <c r="G222" i="13"/>
  <c r="G61" i="13"/>
  <c r="G18" i="13"/>
  <c r="G3" i="8"/>
  <c r="K28" i="1" s="1"/>
  <c r="G3" i="7"/>
  <c r="K24" i="1" s="1"/>
  <c r="G3" i="6"/>
  <c r="G3" i="4"/>
  <c r="K12" i="1" s="1"/>
  <c r="E22" i="1"/>
  <c r="E20" i="1" s="1"/>
  <c r="E10" i="1"/>
  <c r="E6" i="1"/>
  <c r="M31" i="1"/>
  <c r="M30" i="1"/>
  <c r="M29" i="1"/>
  <c r="M27" i="1"/>
  <c r="M26" i="1"/>
  <c r="M25" i="1"/>
  <c r="M19" i="1"/>
  <c r="M17" i="1"/>
  <c r="M15" i="1"/>
  <c r="M14" i="1"/>
  <c r="M13" i="1"/>
  <c r="M11" i="1"/>
  <c r="M10" i="1"/>
  <c r="M9" i="1"/>
  <c r="M6" i="1"/>
  <c r="M5" i="1"/>
  <c r="I31" i="1"/>
  <c r="I30" i="1"/>
  <c r="I27" i="1"/>
  <c r="I26" i="1"/>
  <c r="I25" i="1"/>
  <c r="I19" i="1"/>
  <c r="I17" i="1"/>
  <c r="I15" i="1"/>
  <c r="I14" i="1"/>
  <c r="I13" i="1"/>
  <c r="I11" i="1"/>
  <c r="I10" i="1"/>
  <c r="I9" i="1"/>
  <c r="I6" i="1"/>
  <c r="I5" i="1"/>
  <c r="M7" i="1"/>
  <c r="U5" i="1" l="1"/>
  <c r="U6" i="1"/>
  <c r="M24" i="1"/>
  <c r="N25" i="1" s="1"/>
  <c r="U9" i="1"/>
  <c r="U10" i="1"/>
  <c r="U7" i="1"/>
  <c r="U4" i="1"/>
  <c r="K3" i="6"/>
  <c r="I7" i="1"/>
  <c r="I4" i="1" s="1"/>
  <c r="M4" i="1"/>
  <c r="E4" i="1"/>
  <c r="E39" i="1"/>
  <c r="G3" i="13"/>
  <c r="AJ4" i="1" s="1"/>
  <c r="M8" i="1"/>
  <c r="M12" i="1"/>
  <c r="M28" i="1"/>
  <c r="D76" i="3"/>
  <c r="E76" i="3"/>
  <c r="F76" i="3"/>
  <c r="H77" i="3" s="1"/>
  <c r="G76" i="3"/>
  <c r="I76" i="3"/>
  <c r="J76" i="3"/>
  <c r="C76" i="3"/>
  <c r="D16" i="3"/>
  <c r="E16" i="3"/>
  <c r="F16" i="3"/>
  <c r="H17" i="3" s="1"/>
  <c r="G16" i="3"/>
  <c r="I16" i="3"/>
  <c r="J16" i="3"/>
  <c r="D23" i="3"/>
  <c r="E23" i="3"/>
  <c r="F23" i="3"/>
  <c r="H24" i="3" s="1"/>
  <c r="G23" i="3"/>
  <c r="I23" i="3"/>
  <c r="J23" i="3"/>
  <c r="H30" i="3"/>
  <c r="H39" i="3"/>
  <c r="D64" i="3"/>
  <c r="E64" i="3"/>
  <c r="F64" i="3"/>
  <c r="H65" i="3" s="1"/>
  <c r="G64" i="3"/>
  <c r="I64" i="3"/>
  <c r="J64" i="3"/>
  <c r="D80" i="3"/>
  <c r="E80" i="3"/>
  <c r="F80" i="3"/>
  <c r="H81" i="3" s="1"/>
  <c r="G80" i="3"/>
  <c r="I80" i="3"/>
  <c r="J80" i="3"/>
  <c r="D97" i="3"/>
  <c r="E97" i="3"/>
  <c r="F97" i="3"/>
  <c r="H98" i="3" s="1"/>
  <c r="G97" i="3"/>
  <c r="I97" i="3"/>
  <c r="J97" i="3"/>
  <c r="D107" i="3"/>
  <c r="E107" i="3"/>
  <c r="F107" i="3"/>
  <c r="H108" i="3" s="1"/>
  <c r="G107" i="3"/>
  <c r="I107" i="3"/>
  <c r="J107" i="3"/>
  <c r="D111" i="3"/>
  <c r="E111" i="3"/>
  <c r="F111" i="3"/>
  <c r="H112" i="3" s="1"/>
  <c r="G111" i="3"/>
  <c r="I111" i="3"/>
  <c r="J111" i="3"/>
  <c r="D133" i="3"/>
  <c r="E133" i="3"/>
  <c r="F133" i="3"/>
  <c r="H134" i="3" s="1"/>
  <c r="G133" i="3"/>
  <c r="I133" i="3"/>
  <c r="J133" i="3"/>
  <c r="D139" i="3"/>
  <c r="E139" i="3"/>
  <c r="F139" i="3"/>
  <c r="H140" i="3" s="1"/>
  <c r="G139" i="3"/>
  <c r="I139" i="3"/>
  <c r="J139" i="3"/>
  <c r="D143" i="3"/>
  <c r="E143" i="3"/>
  <c r="F143" i="3"/>
  <c r="H144" i="3" s="1"/>
  <c r="G143" i="3"/>
  <c r="I143" i="3"/>
  <c r="J143" i="3"/>
  <c r="D152" i="3"/>
  <c r="E152" i="3"/>
  <c r="F152" i="3"/>
  <c r="H153" i="3" s="1"/>
  <c r="G152" i="3"/>
  <c r="I152" i="3"/>
  <c r="J152" i="3"/>
  <c r="D156" i="3"/>
  <c r="E156" i="3"/>
  <c r="F156" i="3"/>
  <c r="H157" i="3" s="1"/>
  <c r="G156" i="3"/>
  <c r="I156" i="3"/>
  <c r="J156" i="3"/>
  <c r="D162" i="3"/>
  <c r="E162" i="3"/>
  <c r="F162" i="3"/>
  <c r="H163" i="3" s="1"/>
  <c r="G162" i="3"/>
  <c r="I162" i="3"/>
  <c r="J162" i="3"/>
  <c r="V9" i="1" l="1"/>
  <c r="T10" i="1"/>
  <c r="R10" i="1"/>
  <c r="T4" i="1"/>
  <c r="R4" i="1"/>
  <c r="T6" i="1"/>
  <c r="R6" i="1"/>
  <c r="T5" i="1"/>
  <c r="R5" i="1"/>
  <c r="T9" i="1"/>
  <c r="R9" i="1"/>
  <c r="V10" i="1"/>
  <c r="N29" i="1"/>
  <c r="N13" i="1"/>
  <c r="V6" i="1"/>
  <c r="V4" i="1"/>
  <c r="V5" i="1"/>
  <c r="N5" i="1"/>
  <c r="N9" i="1"/>
  <c r="G3" i="3"/>
  <c r="K8" i="1" s="1"/>
  <c r="K29" i="3"/>
  <c r="K30" i="3" s="1"/>
  <c r="G157" i="3"/>
  <c r="G144" i="3"/>
  <c r="G81" i="3"/>
  <c r="G24" i="3"/>
  <c r="G134" i="3"/>
  <c r="G153" i="3"/>
  <c r="G98" i="3"/>
  <c r="G65" i="3"/>
  <c r="G30" i="3"/>
  <c r="G17" i="3"/>
  <c r="G39" i="3"/>
  <c r="G77" i="3"/>
  <c r="G112" i="3"/>
  <c r="G108" i="3"/>
  <c r="G163" i="3"/>
  <c r="G140" i="3"/>
  <c r="K76" i="3"/>
  <c r="K77" i="3" s="1"/>
  <c r="K23" i="3"/>
  <c r="K24" i="3" s="1"/>
  <c r="K39" i="3"/>
  <c r="K65" i="3"/>
  <c r="K16" i="3"/>
  <c r="K17" i="3" s="1"/>
  <c r="G13" i="2"/>
  <c r="G42" i="2"/>
  <c r="G46" i="2"/>
  <c r="G50" i="2"/>
  <c r="G54" i="2"/>
  <c r="G58" i="2"/>
  <c r="G62" i="2"/>
  <c r="G66" i="2"/>
  <c r="J38" i="2"/>
  <c r="G38" i="2"/>
  <c r="I38" i="2"/>
  <c r="G33" i="2"/>
  <c r="F8" i="2"/>
  <c r="F9" i="2"/>
  <c r="G27" i="2"/>
  <c r="G4" i="2" s="1"/>
  <c r="G30" i="2" l="1"/>
  <c r="K4" i="1" s="1"/>
  <c r="K32" i="1" s="1"/>
  <c r="K38" i="2"/>
  <c r="H44" i="1"/>
  <c r="F340" i="13"/>
  <c r="F295" i="13"/>
  <c r="C340" i="13"/>
  <c r="D340" i="13"/>
  <c r="E340" i="13"/>
  <c r="C315" i="13"/>
  <c r="D315" i="13"/>
  <c r="E315" i="13"/>
  <c r="F315" i="13"/>
  <c r="C286" i="13"/>
  <c r="D286" i="13"/>
  <c r="E286" i="13"/>
  <c r="F286" i="13"/>
  <c r="F103" i="13"/>
  <c r="F352" i="13"/>
  <c r="F348" i="13"/>
  <c r="F344" i="13"/>
  <c r="F335" i="13"/>
  <c r="F331" i="13"/>
  <c r="F327" i="13"/>
  <c r="F323" i="13"/>
  <c r="F319" i="13"/>
  <c r="F309" i="13"/>
  <c r="F302" i="13"/>
  <c r="F290" i="13"/>
  <c r="F280" i="13"/>
  <c r="F274" i="13"/>
  <c r="F267" i="13"/>
  <c r="F263" i="13"/>
  <c r="F250" i="13"/>
  <c r="F246" i="13"/>
  <c r="F240" i="13"/>
  <c r="F227" i="13"/>
  <c r="F219" i="13"/>
  <c r="F215" i="13"/>
  <c r="F206" i="13"/>
  <c r="F202" i="13"/>
  <c r="F198" i="13"/>
  <c r="F194" i="13"/>
  <c r="F183" i="13"/>
  <c r="F178" i="13"/>
  <c r="F174" i="13"/>
  <c r="F162" i="13"/>
  <c r="F155" i="13"/>
  <c r="F151" i="13"/>
  <c r="F147" i="13"/>
  <c r="F136" i="13"/>
  <c r="F132" i="13"/>
  <c r="F128" i="13"/>
  <c r="F124" i="13"/>
  <c r="F118" i="13"/>
  <c r="F114" i="13"/>
  <c r="F110" i="13"/>
  <c r="F97" i="13"/>
  <c r="F92" i="13"/>
  <c r="F88" i="13"/>
  <c r="F84" i="13"/>
  <c r="F80" i="13"/>
  <c r="F75" i="13"/>
  <c r="F49" i="13"/>
  <c r="F45" i="13"/>
  <c r="F15" i="13"/>
  <c r="H16" i="13" s="1"/>
  <c r="F13" i="8"/>
  <c r="H14" i="8" s="1"/>
  <c r="F19" i="8"/>
  <c r="H20" i="8" s="1"/>
  <c r="F44" i="7"/>
  <c r="H45" i="7" s="1"/>
  <c r="F40" i="7"/>
  <c r="H41" i="7" s="1"/>
  <c r="F36" i="7"/>
  <c r="H37" i="7" s="1"/>
  <c r="F31" i="7"/>
  <c r="H32" i="7" s="1"/>
  <c r="F27" i="7"/>
  <c r="H28" i="7" s="1"/>
  <c r="F16" i="7"/>
  <c r="H17" i="7" s="1"/>
  <c r="F13" i="5"/>
  <c r="F40" i="5"/>
  <c r="F27" i="5"/>
  <c r="F35" i="4"/>
  <c r="H36" i="4" s="1"/>
  <c r="F27" i="4"/>
  <c r="H28" i="4" s="1"/>
  <c r="F23" i="4"/>
  <c r="H24" i="4" s="1"/>
  <c r="F18" i="4"/>
  <c r="H19" i="4" s="1"/>
  <c r="G14" i="5" l="1"/>
  <c r="H14" i="5"/>
  <c r="G41" i="5"/>
  <c r="H41" i="5"/>
  <c r="G28" i="5"/>
  <c r="H28" i="5"/>
  <c r="H152" i="13"/>
  <c r="G152" i="13"/>
  <c r="H144" i="13"/>
  <c r="G144" i="13"/>
  <c r="H119" i="13"/>
  <c r="G119" i="13"/>
  <c r="H125" i="13"/>
  <c r="G125" i="13"/>
  <c r="H129" i="13"/>
  <c r="G129" i="13"/>
  <c r="H137" i="13"/>
  <c r="G137" i="13"/>
  <c r="H148" i="13"/>
  <c r="G148" i="13"/>
  <c r="H133" i="13"/>
  <c r="G133" i="13"/>
  <c r="G320" i="13"/>
  <c r="H320" i="13"/>
  <c r="G76" i="13"/>
  <c r="H76" i="13"/>
  <c r="G81" i="13"/>
  <c r="H81" i="13"/>
  <c r="G310" i="13"/>
  <c r="H310" i="13"/>
  <c r="G220" i="13"/>
  <c r="H220" i="13"/>
  <c r="G156" i="13"/>
  <c r="H156" i="13"/>
  <c r="G287" i="13"/>
  <c r="H287" i="13"/>
  <c r="G328" i="13"/>
  <c r="H328" i="13"/>
  <c r="G247" i="13"/>
  <c r="H247" i="13"/>
  <c r="G179" i="13"/>
  <c r="H179" i="13"/>
  <c r="G303" i="13"/>
  <c r="H303" i="13"/>
  <c r="G324" i="13"/>
  <c r="H324" i="13"/>
  <c r="G212" i="13"/>
  <c r="H212" i="13"/>
  <c r="G216" i="13"/>
  <c r="H216" i="13"/>
  <c r="G85" i="13"/>
  <c r="H85" i="13"/>
  <c r="G228" i="13"/>
  <c r="H228" i="13"/>
  <c r="G163" i="13"/>
  <c r="H163" i="13"/>
  <c r="G98" i="13"/>
  <c r="H98" i="13"/>
  <c r="G332" i="13"/>
  <c r="H332" i="13"/>
  <c r="G336" i="13"/>
  <c r="H336" i="13"/>
  <c r="G268" i="13"/>
  <c r="H268" i="13"/>
  <c r="G89" i="13"/>
  <c r="H89" i="13"/>
  <c r="G190" i="13"/>
  <c r="H190" i="13"/>
  <c r="G93" i="13"/>
  <c r="H93" i="13"/>
  <c r="G241" i="13"/>
  <c r="H241" i="13"/>
  <c r="G296" i="13"/>
  <c r="H296" i="13"/>
  <c r="G175" i="13"/>
  <c r="H175" i="13"/>
  <c r="G341" i="13"/>
  <c r="H341" i="13"/>
  <c r="G111" i="13"/>
  <c r="H111" i="13"/>
  <c r="G251" i="13"/>
  <c r="H251" i="13"/>
  <c r="G115" i="13"/>
  <c r="H115" i="13"/>
  <c r="G184" i="13"/>
  <c r="H184" i="13"/>
  <c r="G264" i="13"/>
  <c r="H264" i="13"/>
  <c r="G345" i="13"/>
  <c r="H345" i="13"/>
  <c r="G316" i="13"/>
  <c r="H316" i="13"/>
  <c r="G16" i="13"/>
  <c r="G195" i="13"/>
  <c r="H195" i="13"/>
  <c r="G349" i="13"/>
  <c r="H349" i="13"/>
  <c r="G24" i="13"/>
  <c r="H24" i="13"/>
  <c r="G199" i="13"/>
  <c r="H199" i="13"/>
  <c r="G275" i="13"/>
  <c r="H275" i="13"/>
  <c r="G353" i="13"/>
  <c r="H353" i="13"/>
  <c r="G46" i="13"/>
  <c r="H46" i="13"/>
  <c r="G203" i="13"/>
  <c r="H203" i="13"/>
  <c r="G281" i="13"/>
  <c r="H281" i="13"/>
  <c r="G104" i="13"/>
  <c r="H104" i="13"/>
  <c r="G50" i="13"/>
  <c r="H50" i="13"/>
  <c r="G207" i="13"/>
  <c r="H207" i="13"/>
  <c r="G291" i="13"/>
  <c r="H291" i="13"/>
  <c r="G170" i="13"/>
  <c r="H170" i="13"/>
  <c r="G20" i="8"/>
  <c r="F3" i="8"/>
  <c r="H4" i="8" s="1"/>
  <c r="G14" i="8"/>
  <c r="G32" i="7"/>
  <c r="G37" i="7"/>
  <c r="G41" i="7"/>
  <c r="G45" i="7"/>
  <c r="G17" i="7"/>
  <c r="G28" i="7"/>
  <c r="I18" i="1"/>
  <c r="M18" i="1"/>
  <c r="M16" i="1" s="1"/>
  <c r="R7" i="1" s="1"/>
  <c r="M2" i="5"/>
  <c r="G24" i="4"/>
  <c r="G19" i="4"/>
  <c r="G28" i="4"/>
  <c r="G36" i="4"/>
  <c r="F10" i="13"/>
  <c r="F3" i="4"/>
  <c r="H4" i="4" s="1"/>
  <c r="F3" i="5"/>
  <c r="F18" i="13"/>
  <c r="M21" i="1"/>
  <c r="I21" i="1"/>
  <c r="M22" i="1"/>
  <c r="I22" i="1"/>
  <c r="M23" i="1"/>
  <c r="M40" i="1" s="1"/>
  <c r="I23" i="1"/>
  <c r="F305" i="13"/>
  <c r="F270" i="13"/>
  <c r="F222" i="13"/>
  <c r="F158" i="13"/>
  <c r="F61" i="13"/>
  <c r="F3" i="7"/>
  <c r="H4" i="7" s="1"/>
  <c r="K18" i="4"/>
  <c r="K19" i="4" s="1"/>
  <c r="K156" i="3"/>
  <c r="K157" i="3" s="1"/>
  <c r="K143" i="3"/>
  <c r="K144" i="3" s="1"/>
  <c r="K139" i="3"/>
  <c r="K140" i="3" s="1"/>
  <c r="K111" i="3"/>
  <c r="K112" i="3" s="1"/>
  <c r="K80" i="3"/>
  <c r="C16" i="3"/>
  <c r="C38" i="2"/>
  <c r="D38" i="2"/>
  <c r="E38" i="2"/>
  <c r="F38" i="2"/>
  <c r="H39" i="2" s="1"/>
  <c r="F66" i="2"/>
  <c r="H67" i="2" s="1"/>
  <c r="F62" i="2"/>
  <c r="H63" i="2" s="1"/>
  <c r="F58" i="2"/>
  <c r="H59" i="2" s="1"/>
  <c r="F54" i="2"/>
  <c r="H55" i="2" s="1"/>
  <c r="F50" i="2"/>
  <c r="H51" i="2" s="1"/>
  <c r="F46" i="2"/>
  <c r="H47" i="2" s="1"/>
  <c r="F42" i="2"/>
  <c r="H43" i="2" s="1"/>
  <c r="F33" i="2"/>
  <c r="H34" i="2" s="1"/>
  <c r="F13" i="2"/>
  <c r="H14" i="2" s="1"/>
  <c r="F27" i="2"/>
  <c r="E6" i="17"/>
  <c r="C6" i="17"/>
  <c r="D4" i="17"/>
  <c r="D5" i="17" s="1"/>
  <c r="C4" i="17"/>
  <c r="C5" i="17" l="1"/>
  <c r="C3" i="17" s="1"/>
  <c r="G4" i="5"/>
  <c r="H4" i="5"/>
  <c r="M39" i="1"/>
  <c r="T7" i="1"/>
  <c r="N17" i="1"/>
  <c r="V7" i="1"/>
  <c r="U8" i="1"/>
  <c r="M38" i="1"/>
  <c r="H159" i="13"/>
  <c r="G159" i="13"/>
  <c r="G306" i="13"/>
  <c r="H306" i="13"/>
  <c r="G62" i="13"/>
  <c r="H62" i="13"/>
  <c r="G19" i="13"/>
  <c r="H19" i="13"/>
  <c r="G223" i="13"/>
  <c r="H223" i="13"/>
  <c r="G271" i="13"/>
  <c r="H271" i="13"/>
  <c r="G11" i="13"/>
  <c r="H11" i="13"/>
  <c r="K81" i="3"/>
  <c r="H28" i="2"/>
  <c r="K28" i="2"/>
  <c r="G34" i="2"/>
  <c r="G43" i="2"/>
  <c r="G47" i="2"/>
  <c r="H9" i="2" s="1"/>
  <c r="G28" i="2"/>
  <c r="G51" i="2"/>
  <c r="G55" i="2"/>
  <c r="G59" i="2"/>
  <c r="G63" i="2"/>
  <c r="G67" i="2"/>
  <c r="G39" i="2"/>
  <c r="K39" i="2"/>
  <c r="F4" i="2"/>
  <c r="G14" i="2"/>
  <c r="G4" i="4"/>
  <c r="M20" i="1"/>
  <c r="R8" i="1" s="1"/>
  <c r="R11" i="1" s="1"/>
  <c r="K152" i="3"/>
  <c r="K153" i="3" s="1"/>
  <c r="K107" i="3"/>
  <c r="K108" i="3" s="1"/>
  <c r="K97" i="3"/>
  <c r="K98" i="3" s="1"/>
  <c r="K162" i="3"/>
  <c r="K163" i="3" s="1"/>
  <c r="K133" i="3"/>
  <c r="K134" i="3" s="1"/>
  <c r="F3" i="3"/>
  <c r="F30" i="2"/>
  <c r="F3" i="13"/>
  <c r="H4" i="13" s="1"/>
  <c r="D3" i="17"/>
  <c r="E4" i="17"/>
  <c r="H8" i="2" l="1"/>
  <c r="N21" i="1"/>
  <c r="K3" i="3"/>
  <c r="K4" i="3" s="1"/>
  <c r="AK6" i="1"/>
  <c r="AK9" i="1" s="1"/>
  <c r="AK10" i="1" s="1"/>
  <c r="AJ6" i="1"/>
  <c r="AJ9" i="1" s="1"/>
  <c r="AJ10" i="1" s="1"/>
  <c r="V8" i="1"/>
  <c r="U11" i="1"/>
  <c r="M32" i="1"/>
  <c r="T11" i="1" s="1"/>
  <c r="T8" i="1"/>
  <c r="G4" i="3"/>
  <c r="H4" i="3"/>
  <c r="G5" i="2"/>
  <c r="H5" i="2"/>
  <c r="G4" i="13"/>
  <c r="E5" i="17"/>
  <c r="E3" i="17" s="1"/>
  <c r="N38" i="1" l="1"/>
  <c r="N40" i="1"/>
  <c r="N39" i="1"/>
  <c r="M36" i="1"/>
  <c r="O36" i="1" s="1"/>
  <c r="P36" i="1" s="1"/>
  <c r="V11" i="1"/>
  <c r="I20" i="16"/>
  <c r="M44" i="1" l="1"/>
  <c r="O44" i="1" s="1"/>
  <c r="P44" i="1" s="1"/>
  <c r="Q44" i="1" s="1"/>
  <c r="C9" i="16"/>
  <c r="D9" i="16"/>
  <c r="E9" i="16"/>
  <c r="C7" i="16"/>
  <c r="D7" i="16"/>
  <c r="E7" i="16"/>
  <c r="L50" i="16"/>
  <c r="M50" i="16"/>
  <c r="N50" i="16"/>
  <c r="O50" i="16"/>
  <c r="P50" i="16"/>
  <c r="Q50" i="16"/>
  <c r="L51" i="16"/>
  <c r="M51" i="16"/>
  <c r="N51" i="16"/>
  <c r="O51" i="16"/>
  <c r="P51" i="16"/>
  <c r="Q51" i="16"/>
  <c r="L43" i="16"/>
  <c r="M43" i="16"/>
  <c r="N43" i="16"/>
  <c r="O43" i="16"/>
  <c r="P43" i="16"/>
  <c r="Q43" i="16"/>
  <c r="L44" i="16"/>
  <c r="M44" i="16"/>
  <c r="N44" i="16"/>
  <c r="O44" i="16"/>
  <c r="P44" i="16"/>
  <c r="Q44" i="16"/>
  <c r="L59" i="16"/>
  <c r="M59" i="16"/>
  <c r="N59" i="16"/>
  <c r="O59" i="16"/>
  <c r="P59" i="16"/>
  <c r="Q59" i="16"/>
  <c r="L52" i="16"/>
  <c r="M52" i="16"/>
  <c r="N52" i="16"/>
  <c r="O52" i="16"/>
  <c r="P52" i="16"/>
  <c r="Q52" i="16"/>
  <c r="L40" i="16"/>
  <c r="M40" i="16"/>
  <c r="N40" i="16"/>
  <c r="O40" i="16"/>
  <c r="P40" i="16"/>
  <c r="Q40" i="16"/>
  <c r="L58" i="16"/>
  <c r="M58" i="16"/>
  <c r="N58" i="16"/>
  <c r="O58" i="16"/>
  <c r="P58" i="16"/>
  <c r="Q58" i="16"/>
  <c r="L55" i="16"/>
  <c r="M55" i="16"/>
  <c r="N55" i="16"/>
  <c r="O55" i="16"/>
  <c r="P55" i="16"/>
  <c r="Q55" i="16"/>
  <c r="L56" i="16"/>
  <c r="M56" i="16"/>
  <c r="N56" i="16"/>
  <c r="O56" i="16"/>
  <c r="P56" i="16"/>
  <c r="Q56" i="16"/>
  <c r="L57" i="16"/>
  <c r="M57" i="16"/>
  <c r="N57" i="16"/>
  <c r="O57" i="16"/>
  <c r="P57" i="16"/>
  <c r="Q57" i="16"/>
  <c r="L49" i="16"/>
  <c r="M49" i="16"/>
  <c r="N49" i="16"/>
  <c r="O49" i="16"/>
  <c r="P49" i="16"/>
  <c r="Q49" i="16"/>
  <c r="L29" i="16"/>
  <c r="M29" i="16"/>
  <c r="N29" i="16"/>
  <c r="O29" i="16"/>
  <c r="P29" i="16"/>
  <c r="Q29" i="16"/>
  <c r="L30" i="16"/>
  <c r="M30" i="16"/>
  <c r="N30" i="16"/>
  <c r="O30" i="16"/>
  <c r="P30" i="16"/>
  <c r="Q30" i="16"/>
  <c r="L31" i="16"/>
  <c r="M31" i="16"/>
  <c r="N31" i="16"/>
  <c r="O31" i="16"/>
  <c r="P31" i="16"/>
  <c r="Q31" i="16"/>
  <c r="L32" i="16"/>
  <c r="M32" i="16"/>
  <c r="N32" i="16"/>
  <c r="O32" i="16"/>
  <c r="P32" i="16"/>
  <c r="Q32" i="16"/>
  <c r="L33" i="16"/>
  <c r="M33" i="16"/>
  <c r="N33" i="16"/>
  <c r="O33" i="16"/>
  <c r="P33" i="16"/>
  <c r="Q33" i="16"/>
  <c r="L34" i="16"/>
  <c r="M34" i="16"/>
  <c r="N34" i="16"/>
  <c r="O34" i="16"/>
  <c r="P34" i="16"/>
  <c r="Q34" i="16"/>
  <c r="L35" i="16"/>
  <c r="M35" i="16"/>
  <c r="N35" i="16"/>
  <c r="O35" i="16"/>
  <c r="P35" i="16"/>
  <c r="Q35" i="16"/>
  <c r="L36" i="16"/>
  <c r="M36" i="16"/>
  <c r="N36" i="16"/>
  <c r="O36" i="16"/>
  <c r="P36" i="16"/>
  <c r="Q36" i="16"/>
  <c r="L37" i="16"/>
  <c r="M37" i="16"/>
  <c r="N37" i="16"/>
  <c r="O37" i="16"/>
  <c r="P37" i="16"/>
  <c r="Q37" i="16"/>
  <c r="L38" i="16"/>
  <c r="M38" i="16"/>
  <c r="N38" i="16"/>
  <c r="O38" i="16"/>
  <c r="P38" i="16"/>
  <c r="Q38" i="16"/>
  <c r="L45" i="16"/>
  <c r="M45" i="16"/>
  <c r="N45" i="16"/>
  <c r="O45" i="16"/>
  <c r="P45" i="16"/>
  <c r="Q45" i="16"/>
  <c r="L48" i="16"/>
  <c r="M48" i="16"/>
  <c r="N48" i="16"/>
  <c r="O48" i="16"/>
  <c r="P48" i="16"/>
  <c r="Q48" i="16"/>
  <c r="L53" i="16"/>
  <c r="M53" i="16"/>
  <c r="N53" i="16"/>
  <c r="O53" i="16"/>
  <c r="P53" i="16"/>
  <c r="Q53" i="16"/>
  <c r="L54" i="16"/>
  <c r="M54" i="16"/>
  <c r="N54" i="16"/>
  <c r="O54" i="16"/>
  <c r="P54" i="16"/>
  <c r="Q54" i="16"/>
  <c r="L39" i="16"/>
  <c r="M39" i="16"/>
  <c r="N39" i="16"/>
  <c r="O39" i="16"/>
  <c r="P39" i="16"/>
  <c r="Q39" i="16"/>
  <c r="Q28" i="16"/>
  <c r="P28" i="16"/>
  <c r="M28" i="16"/>
  <c r="N28" i="16"/>
  <c r="O28" i="16"/>
  <c r="L28" i="16"/>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4" i="1"/>
  <c r="E24" i="1"/>
  <c r="I21" i="16"/>
  <c r="E12" i="1"/>
  <c r="E8" i="1"/>
  <c r="N44" i="1" l="1"/>
  <c r="Q46" i="16"/>
  <c r="Q60" i="16"/>
  <c r="Q41" i="16"/>
  <c r="E32" i="1"/>
  <c r="H48" i="15"/>
  <c r="H37" i="15"/>
  <c r="C6" i="15" l="1"/>
  <c r="C5" i="15"/>
  <c r="C8" i="15" l="1"/>
  <c r="C14" i="15" l="1"/>
  <c r="C20" i="15"/>
  <c r="C22" i="15"/>
  <c r="C23" i="15"/>
  <c r="C11" i="15"/>
  <c r="C15" i="15"/>
  <c r="C16" i="15"/>
  <c r="C17" i="15"/>
  <c r="C18" i="15"/>
  <c r="C19" i="15"/>
  <c r="C21" i="15"/>
  <c r="C9" i="15"/>
  <c r="C4" i="15" s="1"/>
  <c r="M18" i="16" s="1"/>
  <c r="C13" i="15"/>
  <c r="C12" i="15"/>
  <c r="C3" i="15" l="1"/>
  <c r="D15" i="15" l="1"/>
  <c r="D6" i="15"/>
  <c r="D4" i="15"/>
  <c r="D5" i="15"/>
  <c r="D23" i="15"/>
  <c r="D17" i="15"/>
  <c r="D18" i="15"/>
  <c r="D8" i="15"/>
  <c r="D19" i="15"/>
  <c r="D22" i="15"/>
  <c r="D11" i="15"/>
  <c r="D21" i="15"/>
  <c r="D20" i="15"/>
  <c r="D13" i="15"/>
  <c r="D9" i="15"/>
  <c r="D12" i="15"/>
  <c r="D16" i="15"/>
  <c r="D14" i="15"/>
  <c r="D58" i="13" l="1"/>
  <c r="E58" i="13"/>
  <c r="C58" i="13"/>
  <c r="E240" i="13"/>
  <c r="D280" i="13"/>
  <c r="E280" i="13"/>
  <c r="C280" i="13"/>
  <c r="D302" i="13"/>
  <c r="E302" i="13"/>
  <c r="C302" i="13"/>
  <c r="D183" i="13"/>
  <c r="E183" i="13"/>
  <c r="C183" i="13"/>
  <c r="E178" i="13"/>
  <c r="E219" i="13"/>
  <c r="D219" i="13"/>
  <c r="C219" i="13"/>
  <c r="D162" i="13"/>
  <c r="E136" i="13"/>
  <c r="D136" i="13"/>
  <c r="C136" i="13"/>
  <c r="D49" i="13" l="1"/>
  <c r="E49" i="13"/>
  <c r="C49" i="13"/>
  <c r="D45" i="13"/>
  <c r="E45" i="13"/>
  <c r="C45" i="13"/>
  <c r="C15" i="13"/>
  <c r="I19" i="8"/>
  <c r="J19" i="8"/>
  <c r="C19" i="8"/>
  <c r="D19" i="8"/>
  <c r="E19" i="8"/>
  <c r="K19" i="8"/>
  <c r="K20" i="8" s="1"/>
  <c r="D13" i="8"/>
  <c r="E13" i="8"/>
  <c r="I13" i="8"/>
  <c r="J13" i="8"/>
  <c r="C16" i="7"/>
  <c r="D16" i="7"/>
  <c r="E16" i="7"/>
  <c r="I16" i="7"/>
  <c r="J16" i="7"/>
  <c r="C36" i="7"/>
  <c r="D36" i="7"/>
  <c r="E36" i="7"/>
  <c r="I36" i="7"/>
  <c r="J36" i="7"/>
  <c r="K27" i="7"/>
  <c r="K28" i="7" s="1"/>
  <c r="E3" i="8" l="1"/>
  <c r="D18" i="13"/>
  <c r="E18" i="13"/>
  <c r="C10" i="13"/>
  <c r="C18" i="13"/>
  <c r="J3" i="8"/>
  <c r="I3" i="8"/>
  <c r="I28" i="1"/>
  <c r="J23" i="16" s="1"/>
  <c r="K36" i="7"/>
  <c r="K37" i="7" s="1"/>
  <c r="K16" i="7"/>
  <c r="K17" i="7" s="1"/>
  <c r="I8" i="1"/>
  <c r="J18" i="16" s="1"/>
  <c r="D3" i="8"/>
  <c r="I24" i="1"/>
  <c r="J22" i="16" s="1"/>
  <c r="J44" i="7"/>
  <c r="I44" i="7"/>
  <c r="E44" i="7"/>
  <c r="D44" i="7"/>
  <c r="C44" i="7"/>
  <c r="K44" i="7"/>
  <c r="K45" i="7" s="1"/>
  <c r="C131" i="6"/>
  <c r="C122" i="6"/>
  <c r="C108" i="6"/>
  <c r="C99" i="6"/>
  <c r="C73" i="6"/>
  <c r="C69" i="6"/>
  <c r="C62" i="6"/>
  <c r="C54" i="6"/>
  <c r="C50" i="6"/>
  <c r="C31" i="6"/>
  <c r="J29" i="16" l="1"/>
  <c r="I29" i="16"/>
  <c r="I20" i="1"/>
  <c r="J21" i="16" s="1"/>
  <c r="C19" i="6" l="1"/>
  <c r="I16" i="1"/>
  <c r="J20" i="16" s="1"/>
  <c r="D40" i="5"/>
  <c r="E40" i="5"/>
  <c r="I40" i="5"/>
  <c r="J40" i="5"/>
  <c r="C40" i="5"/>
  <c r="D27" i="5"/>
  <c r="E27" i="5"/>
  <c r="I27" i="5"/>
  <c r="J27" i="5"/>
  <c r="C27" i="5"/>
  <c r="D35" i="4"/>
  <c r="E35" i="4"/>
  <c r="I35" i="4"/>
  <c r="J35" i="4"/>
  <c r="C35" i="4"/>
  <c r="D27" i="4"/>
  <c r="E27" i="4"/>
  <c r="I27" i="4"/>
  <c r="J27" i="4"/>
  <c r="C27" i="4"/>
  <c r="D23" i="4"/>
  <c r="E23" i="4"/>
  <c r="I23" i="4"/>
  <c r="J23" i="4"/>
  <c r="C23" i="4"/>
  <c r="E18" i="4"/>
  <c r="I18" i="4"/>
  <c r="J18" i="4"/>
  <c r="C18" i="4"/>
  <c r="D18" i="4"/>
  <c r="K27" i="4"/>
  <c r="K28" i="4" s="1"/>
  <c r="K23" i="4"/>
  <c r="K24" i="4" s="1"/>
  <c r="C139" i="3"/>
  <c r="C143" i="3"/>
  <c r="C152" i="3"/>
  <c r="C162" i="3"/>
  <c r="K27" i="5" l="1"/>
  <c r="K28" i="5" s="1"/>
  <c r="K40" i="5"/>
  <c r="K41" i="5" s="1"/>
  <c r="K35" i="4"/>
  <c r="K36" i="4" s="1"/>
  <c r="I12" i="1"/>
  <c r="M19" i="16"/>
  <c r="D3" i="4"/>
  <c r="C97" i="3"/>
  <c r="C133" i="3"/>
  <c r="C107" i="3"/>
  <c r="C64" i="3"/>
  <c r="C23" i="3"/>
  <c r="I27" i="2"/>
  <c r="J27" i="2"/>
  <c r="D27" i="2"/>
  <c r="E27" i="2"/>
  <c r="C27" i="2"/>
  <c r="D13" i="2"/>
  <c r="E13" i="2"/>
  <c r="D33" i="2"/>
  <c r="D42" i="2"/>
  <c r="J66" i="2"/>
  <c r="I66" i="2"/>
  <c r="E66" i="2"/>
  <c r="D66" i="2"/>
  <c r="C66" i="2"/>
  <c r="K66" i="2"/>
  <c r="K67" i="2" s="1"/>
  <c r="J62" i="2"/>
  <c r="I62" i="2"/>
  <c r="E62" i="2"/>
  <c r="D62" i="2"/>
  <c r="C62" i="2"/>
  <c r="K62" i="2"/>
  <c r="K63" i="2" s="1"/>
  <c r="J58" i="2"/>
  <c r="I58" i="2"/>
  <c r="E58" i="2"/>
  <c r="D58" i="2"/>
  <c r="C58" i="2"/>
  <c r="K58" i="2"/>
  <c r="K59" i="2" s="1"/>
  <c r="J54" i="2"/>
  <c r="I54" i="2"/>
  <c r="E54" i="2"/>
  <c r="D54" i="2"/>
  <c r="C54" i="2"/>
  <c r="K54" i="2"/>
  <c r="K55" i="2" s="1"/>
  <c r="J50" i="2"/>
  <c r="I50" i="2"/>
  <c r="E50" i="2"/>
  <c r="D50" i="2"/>
  <c r="C50" i="2"/>
  <c r="K50" i="2"/>
  <c r="K51" i="2" s="1"/>
  <c r="J19" i="16" l="1"/>
  <c r="I40" i="1"/>
  <c r="M20" i="16"/>
  <c r="M21" i="16"/>
  <c r="I32" i="1"/>
  <c r="M17" i="16"/>
  <c r="I38" i="1"/>
  <c r="E3" i="3"/>
  <c r="I3" i="3"/>
  <c r="D3" i="3"/>
  <c r="J3" i="3"/>
  <c r="D4" i="2"/>
  <c r="E4" i="2"/>
  <c r="J38" i="1" l="1"/>
  <c r="J17" i="16"/>
  <c r="J24" i="16" s="1"/>
  <c r="E5" i="16"/>
  <c r="N18" i="16"/>
  <c r="N21" i="16"/>
  <c r="N19" i="16"/>
  <c r="M22" i="16"/>
  <c r="N20" i="16"/>
  <c r="N17" i="16"/>
  <c r="D97" i="13"/>
  <c r="E97" i="13"/>
  <c r="C97" i="13"/>
  <c r="E352" i="13"/>
  <c r="E348" i="13"/>
  <c r="E344" i="13"/>
  <c r="E335" i="13"/>
  <c r="E331" i="13"/>
  <c r="E327" i="13"/>
  <c r="E323" i="13"/>
  <c r="E319" i="13"/>
  <c r="E309" i="13"/>
  <c r="E295" i="13"/>
  <c r="E290" i="13"/>
  <c r="E274" i="13"/>
  <c r="E267" i="13"/>
  <c r="E263" i="13"/>
  <c r="E250" i="13"/>
  <c r="E246" i="13"/>
  <c r="E227" i="13"/>
  <c r="E215" i="13"/>
  <c r="E206" i="13"/>
  <c r="E202" i="13"/>
  <c r="E198" i="13"/>
  <c r="E194" i="13"/>
  <c r="E174" i="13"/>
  <c r="E162" i="13"/>
  <c r="E155" i="13"/>
  <c r="E151" i="13"/>
  <c r="E147" i="13"/>
  <c r="E132" i="13"/>
  <c r="E128" i="13"/>
  <c r="E124" i="13"/>
  <c r="E118" i="13"/>
  <c r="E114" i="13"/>
  <c r="E110" i="13"/>
  <c r="E103" i="13"/>
  <c r="E92" i="13"/>
  <c r="E88" i="13"/>
  <c r="E84" i="13"/>
  <c r="E80" i="13"/>
  <c r="E75" i="13"/>
  <c r="E15" i="13"/>
  <c r="I40" i="7"/>
  <c r="J40" i="7"/>
  <c r="E40" i="7"/>
  <c r="D40" i="7"/>
  <c r="C40" i="7"/>
  <c r="K40" i="7"/>
  <c r="K41" i="7" s="1"/>
  <c r="D27" i="7"/>
  <c r="D31" i="7"/>
  <c r="D3" i="6"/>
  <c r="E10" i="13" l="1"/>
  <c r="E61" i="13"/>
  <c r="J30" i="16" s="1"/>
  <c r="J40" i="1"/>
  <c r="C2" i="15"/>
  <c r="D3" i="15" s="1"/>
  <c r="D3" i="7"/>
  <c r="E270" i="13"/>
  <c r="E222" i="13"/>
  <c r="E158" i="13"/>
  <c r="E305" i="13"/>
  <c r="E13" i="5"/>
  <c r="D13" i="5"/>
  <c r="D3" i="5" s="1"/>
  <c r="J31" i="16" l="1"/>
  <c r="J34" i="16"/>
  <c r="J33" i="16"/>
  <c r="J32" i="16"/>
  <c r="J28" i="16"/>
  <c r="E3" i="5"/>
  <c r="E3" i="13"/>
  <c r="J35" i="16" l="1"/>
  <c r="E6" i="16"/>
  <c r="I36" i="1" l="1"/>
  <c r="I44" i="1" l="1"/>
  <c r="J44" i="1" s="1"/>
  <c r="E8" i="16"/>
  <c r="E3" i="4"/>
  <c r="E10" i="16" l="1"/>
  <c r="E11" i="16" s="1"/>
  <c r="E46" i="2"/>
  <c r="C46" i="2"/>
  <c r="I46" i="2"/>
  <c r="J46" i="2"/>
  <c r="D46" i="2"/>
  <c r="G9" i="2" l="1"/>
  <c r="D30" i="2"/>
  <c r="D3" i="2" s="1"/>
  <c r="D352" i="13"/>
  <c r="D348" i="13"/>
  <c r="D344" i="13"/>
  <c r="D335" i="13"/>
  <c r="D331" i="13"/>
  <c r="D327" i="13"/>
  <c r="D323" i="13"/>
  <c r="D319" i="13"/>
  <c r="D309" i="13"/>
  <c r="D295" i="13"/>
  <c r="D290" i="13"/>
  <c r="D267" i="13"/>
  <c r="D274" i="13"/>
  <c r="D263" i="13"/>
  <c r="D250" i="13"/>
  <c r="D246" i="13"/>
  <c r="D240" i="13"/>
  <c r="D227" i="13"/>
  <c r="D215" i="13"/>
  <c r="D206" i="13"/>
  <c r="D202" i="13"/>
  <c r="D198" i="13"/>
  <c r="D194" i="13"/>
  <c r="D178" i="13"/>
  <c r="D174" i="13"/>
  <c r="D155" i="13"/>
  <c r="D151" i="13"/>
  <c r="D147" i="13"/>
  <c r="D132" i="13"/>
  <c r="D128" i="13"/>
  <c r="D124" i="13"/>
  <c r="D118" i="13"/>
  <c r="D114" i="13"/>
  <c r="D110" i="13"/>
  <c r="D103" i="13"/>
  <c r="D92" i="13"/>
  <c r="D88" i="13"/>
  <c r="D84" i="13"/>
  <c r="D80" i="13"/>
  <c r="D75" i="13"/>
  <c r="D15" i="13"/>
  <c r="D10" i="13" s="1"/>
  <c r="C290" i="13"/>
  <c r="C352" i="13"/>
  <c r="C348" i="13"/>
  <c r="C344" i="13"/>
  <c r="C335" i="13"/>
  <c r="C331" i="13"/>
  <c r="C327" i="13"/>
  <c r="C323" i="13"/>
  <c r="C319" i="13"/>
  <c r="C309" i="13"/>
  <c r="C295" i="13"/>
  <c r="C274" i="13"/>
  <c r="C267" i="13"/>
  <c r="C263" i="13"/>
  <c r="C250" i="13"/>
  <c r="C246" i="13"/>
  <c r="C240" i="13"/>
  <c r="C227" i="13"/>
  <c r="C215" i="13"/>
  <c r="C206" i="13"/>
  <c r="C202" i="13"/>
  <c r="C198" i="13"/>
  <c r="C194" i="13"/>
  <c r="C178" i="13"/>
  <c r="C174" i="13"/>
  <c r="C162" i="13"/>
  <c r="C155" i="13"/>
  <c r="C151" i="13"/>
  <c r="C147" i="13"/>
  <c r="C132" i="13"/>
  <c r="C128" i="13"/>
  <c r="C124" i="13"/>
  <c r="C118" i="13"/>
  <c r="C114" i="13"/>
  <c r="C110" i="13"/>
  <c r="C103" i="13"/>
  <c r="C92" i="13"/>
  <c r="C88" i="13"/>
  <c r="C84" i="13"/>
  <c r="C80" i="13"/>
  <c r="C75" i="13"/>
  <c r="C61" i="13" l="1"/>
  <c r="D61" i="13"/>
  <c r="D305" i="13"/>
  <c r="C305" i="13"/>
  <c r="D270" i="13"/>
  <c r="C270" i="13"/>
  <c r="D158" i="13"/>
  <c r="C222" i="13"/>
  <c r="C158" i="13"/>
  <c r="D222" i="13"/>
  <c r="K13" i="8"/>
  <c r="K14" i="8" s="1"/>
  <c r="E31" i="7"/>
  <c r="I31" i="7"/>
  <c r="J31" i="7"/>
  <c r="C31" i="7"/>
  <c r="E27" i="7"/>
  <c r="I27" i="7"/>
  <c r="J27" i="7"/>
  <c r="C27" i="7"/>
  <c r="E3" i="6"/>
  <c r="H4" i="6" s="1"/>
  <c r="I3" i="6"/>
  <c r="J3" i="6"/>
  <c r="C13" i="6"/>
  <c r="I13" i="5"/>
  <c r="I3" i="5" s="1"/>
  <c r="J13" i="5"/>
  <c r="J3" i="5" s="1"/>
  <c r="J3" i="4"/>
  <c r="E3" i="7" l="1"/>
  <c r="K3" i="8"/>
  <c r="K4" i="8" s="1"/>
  <c r="K4" i="6"/>
  <c r="G4" i="6"/>
  <c r="C3" i="6"/>
  <c r="C20" i="1" s="1"/>
  <c r="C23" i="1" s="1"/>
  <c r="I28" i="16"/>
  <c r="I33" i="16"/>
  <c r="I34" i="16"/>
  <c r="I30" i="16"/>
  <c r="I32" i="16"/>
  <c r="I31" i="16"/>
  <c r="C3" i="13"/>
  <c r="D3" i="13"/>
  <c r="E34" i="1" s="1"/>
  <c r="D6" i="16" s="1"/>
  <c r="C3" i="7"/>
  <c r="J3" i="7"/>
  <c r="I3" i="7"/>
  <c r="C3" i="4"/>
  <c r="I3" i="4"/>
  <c r="K3" i="4"/>
  <c r="K4" i="4" s="1"/>
  <c r="D5" i="16"/>
  <c r="K31" i="7"/>
  <c r="K32" i="7" s="1"/>
  <c r="K13" i="5"/>
  <c r="C80" i="3"/>
  <c r="E42" i="2"/>
  <c r="E33" i="2"/>
  <c r="C13" i="2"/>
  <c r="K3" i="5" l="1"/>
  <c r="K4" i="5" s="1"/>
  <c r="K14" i="5"/>
  <c r="G8" i="2"/>
  <c r="K3" i="7"/>
  <c r="K4" i="7" s="1"/>
  <c r="I35" i="16"/>
  <c r="C34" i="1"/>
  <c r="C6" i="16" s="1"/>
  <c r="C24" i="1"/>
  <c r="I22" i="16" s="1"/>
  <c r="E30" i="2"/>
  <c r="E3" i="2" s="1"/>
  <c r="E36" i="1"/>
  <c r="F38" i="1"/>
  <c r="F40" i="1"/>
  <c r="C12" i="1"/>
  <c r="C4" i="2"/>
  <c r="K46" i="2"/>
  <c r="E9" i="2"/>
  <c r="K47" i="2" l="1"/>
  <c r="C27" i="1"/>
  <c r="E44" i="1"/>
  <c r="F44" i="1" s="1"/>
  <c r="D8" i="16"/>
  <c r="I19" i="16"/>
  <c r="C15" i="1"/>
  <c r="D10" i="16" l="1"/>
  <c r="D11" i="16" s="1"/>
  <c r="C13" i="8"/>
  <c r="C13" i="5"/>
  <c r="C3" i="8" l="1"/>
  <c r="C3" i="5"/>
  <c r="C16" i="1" s="1"/>
  <c r="C19" i="1" s="1"/>
  <c r="M8" i="4"/>
  <c r="M2" i="4" s="1"/>
  <c r="K13" i="2"/>
  <c r="K4" i="2" l="1"/>
  <c r="K5" i="2" s="1"/>
  <c r="K14" i="2"/>
  <c r="C28" i="1"/>
  <c r="I23" i="16" l="1"/>
  <c r="C31" i="1"/>
  <c r="M8" i="8"/>
  <c r="M2" i="8" s="1"/>
  <c r="M8" i="7"/>
  <c r="M2" i="7" s="1"/>
  <c r="C156" i="3"/>
  <c r="C111" i="3"/>
  <c r="K42" i="2"/>
  <c r="K43" i="2" s="1"/>
  <c r="J42" i="2"/>
  <c r="I42" i="2"/>
  <c r="C42" i="2"/>
  <c r="K33" i="2"/>
  <c r="J33" i="2"/>
  <c r="I33" i="2"/>
  <c r="C33" i="2"/>
  <c r="J13" i="2"/>
  <c r="I13" i="2"/>
  <c r="K34" i="2" l="1"/>
  <c r="K30" i="2"/>
  <c r="K3" i="2" s="1"/>
  <c r="C3" i="3"/>
  <c r="C30" i="2"/>
  <c r="E8" i="2"/>
  <c r="J4" i="2"/>
  <c r="M9" i="2" s="1"/>
  <c r="M3" i="2" s="1"/>
  <c r="I4" i="2"/>
  <c r="M8" i="3"/>
  <c r="M2" i="3" s="1"/>
  <c r="C3" i="2" l="1"/>
  <c r="C4" i="1"/>
  <c r="C8" i="1"/>
  <c r="K9" i="5"/>
  <c r="C32" i="1" l="1"/>
  <c r="C36" i="1" s="1"/>
  <c r="C11" i="1"/>
  <c r="I18" i="16"/>
  <c r="I17" i="16"/>
  <c r="C7" i="1"/>
  <c r="C5" i="16" l="1"/>
  <c r="I24" i="16"/>
  <c r="C44" i="1"/>
  <c r="D44" i="1" s="1"/>
  <c r="C8" i="16"/>
  <c r="C10" i="16" l="1"/>
  <c r="C11"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tc={235C5FF2-2A9B-4B5E-9CB2-5D19A09CE9A8}</author>
  </authors>
  <commentList>
    <comment ref="I42" authorId="0" shapeId="0" xr:uid="{235C5FF2-2A9B-4B5E-9CB2-5D19A09CE9A8}">
      <text>
        <t>[Threaded comment]
Your version of Excel allows you to read this threaded comment; however, any edits to it will get removed if the file is opened in a newer version of Excel. Learn more: https://go.microsoft.com/fwlink/?linkid=870924
Comment:
    Tolto Stump Franki (4.300.000 PLN)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tc={794403A7-4461-415C-9ED0-165B03173307}</author>
    <author>tc={9D255145-CD76-4F2A-8976-0BC3860F0A02}</author>
    <author>tc={84FAF268-F1E7-4096-A017-7BBEAE931461}</author>
  </authors>
  <commentList>
    <comment ref="F65" authorId="0" shapeId="0" xr:uid="{794403A7-4461-415C-9ED0-165B03173307}">
      <text>
        <t>[Threaded comment]
Your version of Excel allows you to read this threaded comment; however, any edits to it will get removed if the file is opened in a newer version of Excel. Learn more: https://go.microsoft.com/fwlink/?linkid=870924
Comment:
    Da considerare sempre in negoziazione</t>
      </text>
    </comment>
    <comment ref="G65" authorId="1" shapeId="0" xr:uid="{9D255145-CD76-4F2A-8976-0BC3860F0A02}">
      <text>
        <t>[Threaded comment]
Your version of Excel allows you to read this threaded comment; however, any edits to it will get removed if the file is opened in a newer version of Excel. Learn more: https://go.microsoft.com/fwlink/?linkid=870924
Comment:
    Da considerare sempre in negoziazione</t>
      </text>
    </comment>
    <comment ref="H65" authorId="2" shapeId="0" xr:uid="{84FAF268-F1E7-4096-A017-7BBEAE931461}">
      <text>
        <t>[Threaded comment]
Your version of Excel allows you to read this threaded comment; however, any edits to it will get removed if the file is opened in a newer version of Excel. Learn more: https://go.microsoft.com/fwlink/?linkid=870924
Comment:
    Da considerare sempre in negoziazione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<sst xmlns="http://schemas.openxmlformats.org/spreadsheetml/2006/main" count="1397" uniqueCount="947">
  <si>
    <t>Extra</t>
  </si>
  <si>
    <t>DESIGN</t>
  </si>
  <si>
    <t>Ordinato</t>
  </si>
  <si>
    <t>-</t>
  </si>
  <si>
    <t>Da ordinare</t>
  </si>
  <si>
    <t>Buffer</t>
  </si>
  <si>
    <t>CIVIL WORKS</t>
  </si>
  <si>
    <t>ELECTRICAL WORKS</t>
  </si>
  <si>
    <t>Service companies</t>
  </si>
  <si>
    <t>Diretti</t>
  </si>
  <si>
    <t xml:space="preserve"> </t>
  </si>
  <si>
    <t>Indiretti</t>
  </si>
  <si>
    <t>Totale Costi</t>
  </si>
  <si>
    <t>Ricavi Base</t>
  </si>
  <si>
    <t>SAVINGS</t>
  </si>
  <si>
    <t>Planned</t>
  </si>
  <si>
    <t>EXTRA</t>
  </si>
  <si>
    <t>Ordered</t>
  </si>
  <si>
    <t>1.1</t>
  </si>
  <si>
    <t>TME design</t>
  </si>
  <si>
    <t>TME</t>
  </si>
  <si>
    <t>1.2</t>
  </si>
  <si>
    <t>1.3</t>
  </si>
  <si>
    <t>1.4</t>
  </si>
  <si>
    <t>1.5</t>
  </si>
  <si>
    <t>1.6</t>
  </si>
  <si>
    <t>DA ORDINARE EXTRA</t>
  </si>
  <si>
    <t>ORDINATO EXTRA</t>
  </si>
  <si>
    <t>2.1</t>
  </si>
  <si>
    <t>2.1.1</t>
  </si>
  <si>
    <t>2.1.2</t>
  </si>
  <si>
    <t>2.2</t>
  </si>
  <si>
    <t>2.2.1</t>
  </si>
  <si>
    <t>2.3</t>
  </si>
  <si>
    <t>2.3.1</t>
  </si>
  <si>
    <t>2.3.2</t>
  </si>
  <si>
    <t>2.4</t>
  </si>
  <si>
    <t>2.5</t>
  </si>
  <si>
    <t>2.5.1</t>
  </si>
  <si>
    <t>2.6</t>
  </si>
  <si>
    <t>2.6.1</t>
  </si>
  <si>
    <t>2.7</t>
  </si>
  <si>
    <t>2.8</t>
  </si>
  <si>
    <t>2.8.1</t>
  </si>
  <si>
    <t>2.8.2</t>
  </si>
  <si>
    <t>2.8.3</t>
  </si>
  <si>
    <t>2.8.4</t>
  </si>
  <si>
    <t>2.8.5</t>
  </si>
  <si>
    <t>2.8.6</t>
  </si>
  <si>
    <t>2.8.7</t>
  </si>
  <si>
    <t>2.9</t>
  </si>
  <si>
    <t>2.9.1</t>
  </si>
  <si>
    <t>2.9.2</t>
  </si>
  <si>
    <t>2.9.3</t>
  </si>
  <si>
    <t>2.9.4</t>
  </si>
  <si>
    <t>2.9.5</t>
  </si>
  <si>
    <t>2.9.6</t>
  </si>
  <si>
    <t>2.10</t>
  </si>
  <si>
    <t>2.11</t>
  </si>
  <si>
    <t>2.11.1</t>
  </si>
  <si>
    <t>2.11.2</t>
  </si>
  <si>
    <t>2.12</t>
  </si>
  <si>
    <t>2.12.1</t>
  </si>
  <si>
    <t>2.12.2</t>
  </si>
  <si>
    <t>2.13</t>
  </si>
  <si>
    <t>2.14</t>
  </si>
  <si>
    <t>2.14.1</t>
  </si>
  <si>
    <t>2.15</t>
  </si>
  <si>
    <t>2.16</t>
  </si>
  <si>
    <t>2.16.1</t>
  </si>
  <si>
    <t>2.16.2</t>
  </si>
  <si>
    <t>3.1</t>
  </si>
  <si>
    <t>3.1.1</t>
  </si>
  <si>
    <t>3.1.2</t>
  </si>
  <si>
    <t>3.1.3</t>
  </si>
  <si>
    <t>3.1.4</t>
  </si>
  <si>
    <t>3.1.5</t>
  </si>
  <si>
    <t>3.2</t>
  </si>
  <si>
    <t>Boiler</t>
  </si>
  <si>
    <t>3.2.1</t>
  </si>
  <si>
    <t>3.3</t>
  </si>
  <si>
    <t>3.3.1</t>
  </si>
  <si>
    <t>3.4</t>
  </si>
  <si>
    <t>3.4.1</t>
  </si>
  <si>
    <t>3.4.1.1</t>
  </si>
  <si>
    <t>3.5</t>
  </si>
  <si>
    <t>3.6</t>
  </si>
  <si>
    <t>3.7</t>
  </si>
  <si>
    <t>3.7.1</t>
  </si>
  <si>
    <t>3.8</t>
  </si>
  <si>
    <t>3.8.1</t>
  </si>
  <si>
    <t>3.9</t>
  </si>
  <si>
    <t>3.10</t>
  </si>
  <si>
    <t>3.11</t>
  </si>
  <si>
    <t>3.12</t>
  </si>
  <si>
    <t>3.12.1</t>
  </si>
  <si>
    <t>3.13</t>
  </si>
  <si>
    <t>3.14</t>
  </si>
  <si>
    <t>3.16</t>
  </si>
  <si>
    <t>3.17</t>
  </si>
  <si>
    <t>3.17.1</t>
  </si>
  <si>
    <t>3.18</t>
  </si>
  <si>
    <t>3.19</t>
  </si>
  <si>
    <t>3.20</t>
  </si>
  <si>
    <t>Deodorization system</t>
  </si>
  <si>
    <t>4.1</t>
  </si>
  <si>
    <t>4.2</t>
  </si>
  <si>
    <t>4.2.1</t>
  </si>
  <si>
    <t>4.2.2</t>
  </si>
  <si>
    <t>4.3</t>
  </si>
  <si>
    <t>4.3.1</t>
  </si>
  <si>
    <t>4.4</t>
  </si>
  <si>
    <t>4.5</t>
  </si>
  <si>
    <t>4.6</t>
  </si>
  <si>
    <t>4.7</t>
  </si>
  <si>
    <t>4.8</t>
  </si>
  <si>
    <t>4.9</t>
  </si>
  <si>
    <t>4.10</t>
  </si>
  <si>
    <t>5.1</t>
  </si>
  <si>
    <t>Insulation</t>
  </si>
  <si>
    <t>5.1.1</t>
  </si>
  <si>
    <t>6.1</t>
  </si>
  <si>
    <t>6.1.1</t>
  </si>
  <si>
    <t>6.1.2</t>
  </si>
  <si>
    <t>6.1.3</t>
  </si>
  <si>
    <t>6.1.4</t>
  </si>
  <si>
    <t>6.2</t>
  </si>
  <si>
    <t>6.2.1</t>
  </si>
  <si>
    <t>6.2.2</t>
  </si>
  <si>
    <t>6.2.3</t>
  </si>
  <si>
    <t>6.2.4</t>
  </si>
  <si>
    <t>6.2.5</t>
  </si>
  <si>
    <t>6.2.6</t>
  </si>
  <si>
    <t>6.2.7</t>
  </si>
  <si>
    <t>6.3</t>
  </si>
  <si>
    <t>6.3.1</t>
  </si>
  <si>
    <t>6.4</t>
  </si>
  <si>
    <t>6.4.1</t>
  </si>
  <si>
    <t>7.1</t>
  </si>
  <si>
    <t>7.1.1</t>
  </si>
  <si>
    <t>7.2</t>
  </si>
  <si>
    <t>7.3</t>
  </si>
  <si>
    <t>7.4</t>
  </si>
  <si>
    <t xml:space="preserve">Explosion hazard assessment </t>
  </si>
  <si>
    <t>COMMISSIONING</t>
  </si>
  <si>
    <t>Budget Apertura</t>
  </si>
  <si>
    <t>BUDGET APERTURA</t>
  </si>
  <si>
    <t>TOTALE CON FORECAST</t>
  </si>
  <si>
    <t>2.3.3</t>
  </si>
  <si>
    <t>INDIRECT</t>
  </si>
  <si>
    <t>STAFF</t>
  </si>
  <si>
    <t>Remuneration PORR</t>
  </si>
  <si>
    <t>Remuneration TME</t>
  </si>
  <si>
    <t>PORR kadra</t>
  </si>
  <si>
    <t>TME kadra</t>
  </si>
  <si>
    <t>2.1.3</t>
  </si>
  <si>
    <t>Safety and health protection</t>
  </si>
  <si>
    <t>2</t>
  </si>
  <si>
    <t xml:space="preserve">EQUIPMENT  </t>
  </si>
  <si>
    <t>2.2.2</t>
  </si>
  <si>
    <t>2.2.3</t>
  </si>
  <si>
    <t>Small equipment hire</t>
  </si>
  <si>
    <t>3</t>
  </si>
  <si>
    <t>CONSTRUCTION OFFICE</t>
  </si>
  <si>
    <t>3.9.1</t>
  </si>
  <si>
    <t>3.9.2</t>
  </si>
  <si>
    <t>3.9.3</t>
  </si>
  <si>
    <t>3.12.2</t>
  </si>
  <si>
    <t>Electricity</t>
  </si>
  <si>
    <t>Drinking water</t>
  </si>
  <si>
    <t>Sewage costs/ septic tank disposal/</t>
  </si>
  <si>
    <t>Monthly internet costs</t>
  </si>
  <si>
    <t>Office supplies</t>
  </si>
  <si>
    <t>Meblorent</t>
  </si>
  <si>
    <t>Cleaning</t>
  </si>
  <si>
    <t>Coffee/tea</t>
  </si>
  <si>
    <t>Representation costs</t>
  </si>
  <si>
    <t>Office costs PORR (with PC service)</t>
  </si>
  <si>
    <t>Office equipment</t>
  </si>
  <si>
    <t>Cleaning products</t>
  </si>
  <si>
    <t>Multifunctional printer/xerox/scanner/fax</t>
  </si>
  <si>
    <t>4</t>
  </si>
  <si>
    <t>CONSTRUCTION (monthly cost)</t>
  </si>
  <si>
    <t xml:space="preserve">Electricity costs </t>
  </si>
  <si>
    <t>4.2.3</t>
  </si>
  <si>
    <t>4.2.4</t>
  </si>
  <si>
    <t>Drinking water costs</t>
  </si>
  <si>
    <t>4.3.2</t>
  </si>
  <si>
    <t>4.3.3</t>
  </si>
  <si>
    <t>4.3.4</t>
  </si>
  <si>
    <t>Sewage costs</t>
  </si>
  <si>
    <t>4.6.1</t>
  </si>
  <si>
    <t>4.7.1</t>
  </si>
  <si>
    <t>4.11</t>
  </si>
  <si>
    <t>4.12</t>
  </si>
  <si>
    <t>Waste disposal</t>
  </si>
  <si>
    <t>Snow clearing on site / month</t>
  </si>
  <si>
    <t>Site clearance</t>
  </si>
  <si>
    <t>5</t>
  </si>
  <si>
    <t>5.2</t>
  </si>
  <si>
    <t>5.2.0</t>
  </si>
  <si>
    <t>5.2.1</t>
  </si>
  <si>
    <t>5.2.2</t>
  </si>
  <si>
    <t>5.2.3</t>
  </si>
  <si>
    <t>5.3</t>
  </si>
  <si>
    <t>5.3.1</t>
  </si>
  <si>
    <t>5.3.2</t>
  </si>
  <si>
    <t>Vehicle wheel washer</t>
  </si>
  <si>
    <t>5.4</t>
  </si>
  <si>
    <t>5.4.1</t>
  </si>
  <si>
    <t>5.4.2</t>
  </si>
  <si>
    <t>5.4.3</t>
  </si>
  <si>
    <t>5.4.4</t>
  </si>
  <si>
    <t>5.4.5</t>
  </si>
  <si>
    <t>5.4.6</t>
  </si>
  <si>
    <t>5.5</t>
  </si>
  <si>
    <t>5.6</t>
  </si>
  <si>
    <t>5.7</t>
  </si>
  <si>
    <t>Restoration of greenery (grass seeding)</t>
  </si>
  <si>
    <t>4 information boards</t>
  </si>
  <si>
    <t>6</t>
  </si>
  <si>
    <t>MISCELLANEOUS COSTS</t>
  </si>
  <si>
    <t>6.5</t>
  </si>
  <si>
    <t>Fire service and fire-fighting equipment.</t>
  </si>
  <si>
    <t>Removal of clashes associated with the preparation of the back-up and construction area</t>
  </si>
  <si>
    <t>Final cleaning</t>
  </si>
  <si>
    <t>7</t>
  </si>
  <si>
    <t>FINANCIAL COSTS</t>
  </si>
  <si>
    <t>7.5</t>
  </si>
  <si>
    <t>7.6</t>
  </si>
  <si>
    <t>7.7</t>
  </si>
  <si>
    <t>8</t>
  </si>
  <si>
    <t>9</t>
  </si>
  <si>
    <t>10</t>
  </si>
  <si>
    <t>11</t>
  </si>
  <si>
    <t>CAR insurance</t>
  </si>
  <si>
    <t>Design insurance</t>
  </si>
  <si>
    <t>OC insurance</t>
  </si>
  <si>
    <t>Bid bond</t>
  </si>
  <si>
    <t>Advance payment guarantee</t>
  </si>
  <si>
    <t>Performance bond</t>
  </si>
  <si>
    <t>Warranty guarantee</t>
  </si>
  <si>
    <t>Other income</t>
  </si>
  <si>
    <t>Other costs</t>
  </si>
  <si>
    <t>Exchange rate differences</t>
  </si>
  <si>
    <t xml:space="preserve">Financial interest </t>
  </si>
  <si>
    <t>Fencing</t>
  </si>
  <si>
    <t>Margine</t>
  </si>
  <si>
    <t>%</t>
  </si>
  <si>
    <t>BUDGET 02</t>
  </si>
  <si>
    <t>1.2.1</t>
  </si>
  <si>
    <t>1.2.2</t>
  </si>
  <si>
    <t>Detailed architectural, structural, sanitary and road designs</t>
  </si>
  <si>
    <t>FOROOM</t>
  </si>
  <si>
    <t>1.2.3</t>
  </si>
  <si>
    <t>1.2.4</t>
  </si>
  <si>
    <t>1.2.5</t>
  </si>
  <si>
    <t>1.2.5.1</t>
  </si>
  <si>
    <t>1.2.6</t>
  </si>
  <si>
    <t>1.2.7</t>
  </si>
  <si>
    <t>Detailed design: fire-fighting system</t>
  </si>
  <si>
    <t xml:space="preserve">Electrical &amp; I/C detailed design </t>
  </si>
  <si>
    <t>Building and detailed design of the GPO/GPZ station</t>
  </si>
  <si>
    <t>Piping and ducts design</t>
  </si>
  <si>
    <t>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t>
  </si>
  <si>
    <t>MENOS</t>
  </si>
  <si>
    <t>1.7</t>
  </si>
  <si>
    <t>Technical Consultant for certification and for complying with European Directives</t>
  </si>
  <si>
    <t>1.8</t>
  </si>
  <si>
    <t>1.9</t>
  </si>
  <si>
    <t>1.10</t>
  </si>
  <si>
    <t>1.11</t>
  </si>
  <si>
    <t>Obtaining decisions and permits</t>
  </si>
  <si>
    <t>NC Rfg certification</t>
  </si>
  <si>
    <t>Translations (Polish / English)</t>
  </si>
  <si>
    <t>Notification Bodies</t>
  </si>
  <si>
    <t>Fire safety instructions</t>
  </si>
  <si>
    <t>HAZOP study and SIL analysis</t>
  </si>
  <si>
    <t>Noise Analysis and noise protection design</t>
  </si>
  <si>
    <t>KaBo</t>
  </si>
  <si>
    <t>ELEKTROSERV - ZAP</t>
  </si>
  <si>
    <t>1.2.7.1</t>
  </si>
  <si>
    <t>Preparation of an application for an integrated permit, together with all necessary documents.</t>
  </si>
  <si>
    <t>ZAKŁAD SOZOTECHNIKI</t>
  </si>
  <si>
    <t>Foundation works</t>
  </si>
  <si>
    <t>Diaphragm wall and barrettes part 1</t>
  </si>
  <si>
    <t>Barrettes part 2</t>
  </si>
  <si>
    <t>Stump-Franki Sp. z o.o.</t>
  </si>
  <si>
    <t>Working platform for foundation works</t>
  </si>
  <si>
    <t>Earthworks</t>
  </si>
  <si>
    <t>Earthworks – backfilling of retaining wall</t>
  </si>
  <si>
    <t>MAR-KOP Marcin Mierzwa</t>
  </si>
  <si>
    <t>Drainage</t>
  </si>
  <si>
    <t>2.5.1.1</t>
  </si>
  <si>
    <t>2.5.1.1.1</t>
  </si>
  <si>
    <t>2.5.1.1.2</t>
  </si>
  <si>
    <t>2.5.1.2</t>
  </si>
  <si>
    <t>2.5.1.3</t>
  </si>
  <si>
    <t>2.5.2</t>
  </si>
  <si>
    <t>2.5.2.1</t>
  </si>
  <si>
    <t>2.5.2.1.1</t>
  </si>
  <si>
    <t>2.5.2.2</t>
  </si>
  <si>
    <t>2.5.2.3</t>
  </si>
  <si>
    <t>2.5.2.3.1</t>
  </si>
  <si>
    <t>2.5.2.4</t>
  </si>
  <si>
    <t>2.5.2.5</t>
  </si>
  <si>
    <t>2.5.2.6</t>
  </si>
  <si>
    <t>Reinforced concrete structure</t>
  </si>
  <si>
    <t>Reinforced concrete foundation structure</t>
  </si>
  <si>
    <t>Supply of reinforcing steel</t>
  </si>
  <si>
    <t>Supply of concrete mix with pumping service</t>
  </si>
  <si>
    <t>Construction of reinforced concrete foundations and underground structures</t>
  </si>
  <si>
    <t>Reinforced concrete structure of the above-ground part, including prefabricated elements</t>
  </si>
  <si>
    <t>Reinforced concrete structure of the above-ground part of the B1 building - delivery and assembly of prefabricated elements</t>
  </si>
  <si>
    <t>Flyover for belt conveyor</t>
  </si>
  <si>
    <t>Retaining wall</t>
  </si>
  <si>
    <t>THYSSENKRUPP MATERIALS POLAND S.A.</t>
  </si>
  <si>
    <t>BARG</t>
  </si>
  <si>
    <t>BUSZREM</t>
  </si>
  <si>
    <t>BETARD</t>
  </si>
  <si>
    <t>2.6.2</t>
  </si>
  <si>
    <t>2.6.3</t>
  </si>
  <si>
    <t>Steel structures</t>
  </si>
  <si>
    <t>Structure, including platforms, walkways, ladders, roofing</t>
  </si>
  <si>
    <t>Steel structure of the staircase in the B1.4 facility (change from the reinforced concrete structure in relation to the acquisition stage)</t>
  </si>
  <si>
    <t>Gantry beams</t>
  </si>
  <si>
    <t>Brick walls</t>
  </si>
  <si>
    <t>Facades</t>
  </si>
  <si>
    <t>Parapet</t>
  </si>
  <si>
    <t>Steel-aluminum canopy</t>
  </si>
  <si>
    <t>Aluminum-glass facade</t>
  </si>
  <si>
    <t xml:space="preserve">ETICS </t>
  </si>
  <si>
    <t>Flashings</t>
  </si>
  <si>
    <t>Sheet metal cladding</t>
  </si>
  <si>
    <t>Sandwich panel cladding</t>
  </si>
  <si>
    <t>Fiber cement panel cladding</t>
  </si>
  <si>
    <t>Substructures</t>
  </si>
  <si>
    <t>Soffit lining</t>
  </si>
  <si>
    <t>Scaffolding</t>
  </si>
  <si>
    <t>Safety system</t>
  </si>
  <si>
    <t>Shutters</t>
  </si>
  <si>
    <t>2.8.8</t>
  </si>
  <si>
    <t>2.8.9</t>
  </si>
  <si>
    <t>2.8.10</t>
  </si>
  <si>
    <t>2.8.11</t>
  </si>
  <si>
    <t>2.8.12</t>
  </si>
  <si>
    <t>2.8.13</t>
  </si>
  <si>
    <t>Doors, windows, gates and hatches</t>
  </si>
  <si>
    <t>Gates</t>
  </si>
  <si>
    <t>Interior doors</t>
  </si>
  <si>
    <t>Exterior doors</t>
  </si>
  <si>
    <t>Windows</t>
  </si>
  <si>
    <t>Bunker windows</t>
  </si>
  <si>
    <t>Hatches</t>
  </si>
  <si>
    <t>Roofs</t>
  </si>
  <si>
    <t>2.11.3</t>
  </si>
  <si>
    <t>2.11.4</t>
  </si>
  <si>
    <t>2.11.5</t>
  </si>
  <si>
    <t>2.11.5.1</t>
  </si>
  <si>
    <t>2.11.6</t>
  </si>
  <si>
    <t>2.11.7</t>
  </si>
  <si>
    <t>2.11.8</t>
  </si>
  <si>
    <t>2.11.9</t>
  </si>
  <si>
    <t>2.11.10</t>
  </si>
  <si>
    <t>2.11.11</t>
  </si>
  <si>
    <t>2.11.12</t>
  </si>
  <si>
    <t>2.11.13</t>
  </si>
  <si>
    <t>2.11.14</t>
  </si>
  <si>
    <t>Finishing works, including equipment and furniture</t>
  </si>
  <si>
    <t>Painting</t>
  </si>
  <si>
    <t>Furniture</t>
  </si>
  <si>
    <t>Tiles</t>
  </si>
  <si>
    <t>Raised floor</t>
  </si>
  <si>
    <t>Concrete floor + screed</t>
  </si>
  <si>
    <t>Microcement floor</t>
  </si>
  <si>
    <t>Resin floor</t>
  </si>
  <si>
    <t>Suspended ceilings</t>
  </si>
  <si>
    <t>Segmented sliding wall</t>
  </si>
  <si>
    <t>Plasterboard wall, sandwich panel wall</t>
  </si>
  <si>
    <t>Glass wall</t>
  </si>
  <si>
    <t>Plastering</t>
  </si>
  <si>
    <t>Carpet / polyamide</t>
  </si>
  <si>
    <t>Wall and column protection up to 2.5 m + hydrophobic protection</t>
  </si>
  <si>
    <t>Elevators</t>
  </si>
  <si>
    <t>Weigh bridge</t>
  </si>
  <si>
    <t>Roads and pavements</t>
  </si>
  <si>
    <t>Greenery</t>
  </si>
  <si>
    <t>Internal road</t>
  </si>
  <si>
    <t>External road</t>
  </si>
  <si>
    <t>Pavement surface</t>
  </si>
  <si>
    <t>2.14.2</t>
  </si>
  <si>
    <t>2.14.3</t>
  </si>
  <si>
    <t>Delivery of fences, gates and wickets</t>
  </si>
  <si>
    <t>Installation of fences, gates and wickets</t>
  </si>
  <si>
    <t>Electrical installation</t>
  </si>
  <si>
    <t>Teletechnical installations</t>
  </si>
  <si>
    <t>GPO/GPZ power supply</t>
  </si>
  <si>
    <t>Delivery and installation of electrical equipment</t>
  </si>
  <si>
    <t>Electrical heat treacing of piping - hot part</t>
  </si>
  <si>
    <t>Aviation warning lights</t>
  </si>
  <si>
    <t>Fire detection and alarm system ( electrical&amp;teletechnical part )</t>
  </si>
  <si>
    <t>Smoke extraction from waste bunker and tipping hall (electrical&amp;teletechnical part )</t>
  </si>
  <si>
    <t>3.1.1.1</t>
  </si>
  <si>
    <t>I&amp;C works</t>
  </si>
  <si>
    <t>Automation system and instrumentation, communication networks and control room devices</t>
  </si>
  <si>
    <t>DCS System</t>
  </si>
  <si>
    <t>Emission monitoring system (CEMS)</t>
  </si>
  <si>
    <t>3.4.2</t>
  </si>
  <si>
    <t>3.4.3</t>
  </si>
  <si>
    <t>Sanitary installations</t>
  </si>
  <si>
    <t>4.2.5</t>
  </si>
  <si>
    <t>4.2.6</t>
  </si>
  <si>
    <t>4.2.7</t>
  </si>
  <si>
    <t>4.2.8</t>
  </si>
  <si>
    <t>4.2.9</t>
  </si>
  <si>
    <t>4.2.10</t>
  </si>
  <si>
    <t>Fire detection and alarm system</t>
  </si>
  <si>
    <t>Dry bunker sprinkler system. Installation of water and foam cannons in the bunker hall, and assembly of the valve sub-control unit.</t>
  </si>
  <si>
    <t>4.3.5</t>
  </si>
  <si>
    <t>4.3.6</t>
  </si>
  <si>
    <t>4.3.7</t>
  </si>
  <si>
    <t>4.3.8</t>
  </si>
  <si>
    <t>4.3.9</t>
  </si>
  <si>
    <t>Boiler room roof ventilators and wall shutters</t>
  </si>
  <si>
    <t>MECHANICAL AND TECHNOLOGICAL WORKS</t>
  </si>
  <si>
    <t>5.3.3</t>
  </si>
  <si>
    <t>5.3.4</t>
  </si>
  <si>
    <t>5.3.5</t>
  </si>
  <si>
    <t>5.3.6</t>
  </si>
  <si>
    <t>5.3.7</t>
  </si>
  <si>
    <t>5.3.8</t>
  </si>
  <si>
    <t>5.7.1</t>
  </si>
  <si>
    <t>5.7.2</t>
  </si>
  <si>
    <t>5.7.3</t>
  </si>
  <si>
    <t>5.7.4</t>
  </si>
  <si>
    <t>5.8</t>
  </si>
  <si>
    <t>5.8.1</t>
  </si>
  <si>
    <t>5.8.2</t>
  </si>
  <si>
    <t>5.9</t>
  </si>
  <si>
    <t>5.10</t>
  </si>
  <si>
    <t>5.10.1</t>
  </si>
  <si>
    <t>5.10.2</t>
  </si>
  <si>
    <t>5.10.3</t>
  </si>
  <si>
    <t>5.10.4</t>
  </si>
  <si>
    <t>5.10.5</t>
  </si>
  <si>
    <t>5.10.6</t>
  </si>
  <si>
    <t>5.10.7</t>
  </si>
  <si>
    <t>5.10.8</t>
  </si>
  <si>
    <t>5.10.9</t>
  </si>
  <si>
    <t>5.10.10</t>
  </si>
  <si>
    <t>5.10.11</t>
  </si>
  <si>
    <t>5.10.12</t>
  </si>
  <si>
    <t>5.10.13</t>
  </si>
  <si>
    <t>5.10.13.1</t>
  </si>
  <si>
    <t>5.10.13.2</t>
  </si>
  <si>
    <t>5.10.13.3</t>
  </si>
  <si>
    <t>5.10.13.4</t>
  </si>
  <si>
    <t>5.10.13.5</t>
  </si>
  <si>
    <t>5.11</t>
  </si>
  <si>
    <t>5.12</t>
  </si>
  <si>
    <t>5.13</t>
  </si>
  <si>
    <t>5.13.1</t>
  </si>
  <si>
    <t>5.13.2</t>
  </si>
  <si>
    <t>5.13.3</t>
  </si>
  <si>
    <t>5.13.4</t>
  </si>
  <si>
    <t>5.13.5</t>
  </si>
  <si>
    <t>5.13.6</t>
  </si>
  <si>
    <t>5.13.7</t>
  </si>
  <si>
    <t>5.13.8</t>
  </si>
  <si>
    <t>5.13.9</t>
  </si>
  <si>
    <t>5.13.10</t>
  </si>
  <si>
    <t>5.14</t>
  </si>
  <si>
    <t>5.14.1</t>
  </si>
  <si>
    <t>5.14.1.1</t>
  </si>
  <si>
    <t>5.14.2</t>
  </si>
  <si>
    <t>5.14.3</t>
  </si>
  <si>
    <t>5.14.4</t>
  </si>
  <si>
    <t>Others</t>
  </si>
  <si>
    <t>Scaffoldings</t>
  </si>
  <si>
    <t>Mechanical installation of technological equipment</t>
  </si>
  <si>
    <t>Devices support structures</t>
  </si>
  <si>
    <t>Installation marking</t>
  </si>
  <si>
    <t>Ancillary systems</t>
  </si>
  <si>
    <t>Compressors 2 x 50% + 1 x 50%</t>
  </si>
  <si>
    <t>Auxiliary fuel tank (light oil/diesel oil)</t>
  </si>
  <si>
    <t>Light oil unloading installation with TDT documentation approval</t>
  </si>
  <si>
    <t>Auxiliary fuel pumps (light oil/diesel oil), demi water pumps, other water pumps</t>
  </si>
  <si>
    <t>Auxiliary system pipelines – light oil, demineralised water, chemical dosing, compressed air</t>
  </si>
  <si>
    <t>Auxiliary hoists for maintenance</t>
  </si>
  <si>
    <t>Demi water system including storage tank 100m3 and piping</t>
  </si>
  <si>
    <t>Chemical dosing system for thermal cycle and district heating</t>
  </si>
  <si>
    <t>Grate cooling system</t>
  </si>
  <si>
    <t>Centralized cleaning system for Boiler house</t>
  </si>
  <si>
    <t>Boiler and piping insulation</t>
  </si>
  <si>
    <t>Stack</t>
  </si>
  <si>
    <t>Valves ( Manual, motorized , safety, ON-OF , control  etc… )</t>
  </si>
  <si>
    <t>Manual valves</t>
  </si>
  <si>
    <t>Motorized valves</t>
  </si>
  <si>
    <t>Safety valves</t>
  </si>
  <si>
    <t>ON/OFF valves</t>
  </si>
  <si>
    <t>Control valves</t>
  </si>
  <si>
    <t>Steam turbine, thermal cycle &amp; district heating network</t>
  </si>
  <si>
    <t>Steam turbine - gear box - generator. Including accessories: oil system, coolers, insulation, pipes and valves, control panel, protection panel, synchro system etc.</t>
  </si>
  <si>
    <t>Auxiliary crane and hoists for the maintenance of the steam turbine</t>
  </si>
  <si>
    <t>Air cooled condenser</t>
  </si>
  <si>
    <t>Feed water tank and Deaerator</t>
  </si>
  <si>
    <t>Piping, fitting and supports</t>
  </si>
  <si>
    <t>Chemical dossing for thermal cycle and district heating</t>
  </si>
  <si>
    <t>Main cooler</t>
  </si>
  <si>
    <t>Cooler tank, condensate tank</t>
  </si>
  <si>
    <t>Water pressure stabilization system</t>
  </si>
  <si>
    <t>Water tank 100 m3</t>
  </si>
  <si>
    <t>Heat exchangers 2 pcs., LP pre-heater, external economizer</t>
  </si>
  <si>
    <t>Stabilising pumps 2 x 100%, network pumps 3 x 50%, condensate pumps 2 x 100%, feed water pumps 3 pcs., cooling pumps</t>
  </si>
  <si>
    <t>Bottom ash / slag valorization</t>
  </si>
  <si>
    <t>Bottom ash extraction</t>
  </si>
  <si>
    <t>Chain conveyor under grate + Bottom ash extractor + Vibrating table / bulk screen</t>
  </si>
  <si>
    <t>Belt conveyors</t>
  </si>
  <si>
    <t>Flue gas treatment (FGT)</t>
  </si>
  <si>
    <t>SNCR DeNOx system including silo, pumps</t>
  </si>
  <si>
    <t>Flue gas treatment (FGT): Bag filter, Reactor, DeNOx, Flue gas condensation, Lime and activated carbon silos, dosing system</t>
  </si>
  <si>
    <t>Bag filters delivery</t>
  </si>
  <si>
    <t>Fly ash silos</t>
  </si>
  <si>
    <t>Burners including fans</t>
  </si>
  <si>
    <t>Refractory</t>
  </si>
  <si>
    <t>Boiler - pressure parts</t>
  </si>
  <si>
    <t>Fly ash extraction system for the boiler and conveyors</t>
  </si>
  <si>
    <t>Sampling system</t>
  </si>
  <si>
    <t>Chemical dosing for the boiler</t>
  </si>
  <si>
    <t>Compensator between boiler and ECO</t>
  </si>
  <si>
    <t>Furnace</t>
  </si>
  <si>
    <t>Furnace charging hopper + Furnace supporting steel structure + Complete grate fired furnace with waste feeding system + Hoppers under grate</t>
  </si>
  <si>
    <t>Primary and secondary air fan, Flue gas recirculation fan, ID Fan</t>
  </si>
  <si>
    <t>Primary &amp; secondary air heat exchanger</t>
  </si>
  <si>
    <t>Primary / secondary air ducts + Flue gas recirculation ducts + Auxiliary burners ducts + Supporting structures</t>
  </si>
  <si>
    <t>Fire curtain for primary air opening</t>
  </si>
  <si>
    <t>Primary &amp; secondary air dampers</t>
  </si>
  <si>
    <t>Flue gas recirculation dampers</t>
  </si>
  <si>
    <t>Camera for furnace monitoring</t>
  </si>
  <si>
    <t>Waste bunker</t>
  </si>
  <si>
    <t>Trapdoors for grab maintenance</t>
  </si>
  <si>
    <t>Reception</t>
  </si>
  <si>
    <t>Radioactivity detector</t>
  </si>
  <si>
    <t>TM.E. S.p.A - Termomeccanica Ecologia</t>
  </si>
  <si>
    <t>AS Rusztowania</t>
  </si>
  <si>
    <t>COLD AND HOT COMMISSIONING &amp; TRIAL RUN OF TECHNOLOGICAL EQUIPMENT</t>
  </si>
  <si>
    <t>6.6</t>
  </si>
  <si>
    <t>Cold &amp; Hot Commissioning + Trial Run - Staff</t>
  </si>
  <si>
    <t>Start-up personnel</t>
  </si>
  <si>
    <t>Boiler boiling</t>
  </si>
  <si>
    <t>Steam blowing</t>
  </si>
  <si>
    <t>Nitrogenation</t>
  </si>
  <si>
    <t>Media, reagents for start-up and commissioning</t>
  </si>
  <si>
    <t>Fuel (light oil)</t>
  </si>
  <si>
    <t>Nitrogen cylinders</t>
  </si>
  <si>
    <t>Handling and disposal of bottom and fly ash</t>
  </si>
  <si>
    <t>Chemical supplies</t>
  </si>
  <si>
    <t>Lime supplies</t>
  </si>
  <si>
    <t>Active carbon supplies</t>
  </si>
  <si>
    <t>Disposal of waste after testing - discharge of waste water</t>
  </si>
  <si>
    <t>Training</t>
  </si>
  <si>
    <t>Spare parts (guarantee period 48 msc)</t>
  </si>
  <si>
    <t>Compliance tests and simulations of the generation module</t>
  </si>
  <si>
    <t>Operating instructions</t>
  </si>
  <si>
    <t>ALIGNMENT TO TCO VALUES / BACKUP</t>
  </si>
  <si>
    <t>Backup</t>
  </si>
  <si>
    <t>SANITARY WORKS AND FF</t>
  </si>
  <si>
    <t>MECHANICAL AND TECHNOLOGICAL</t>
  </si>
  <si>
    <t>ALIGNEMENT AND BACKUP</t>
  </si>
  <si>
    <t>B02 - Gennaio 2026</t>
  </si>
  <si>
    <t>7 - 8</t>
  </si>
  <si>
    <t>8.1</t>
  </si>
  <si>
    <t>8.1.1</t>
  </si>
  <si>
    <t>8.1.2</t>
  </si>
  <si>
    <t>PROJBUD</t>
  </si>
  <si>
    <t>Stationary cranes</t>
  </si>
  <si>
    <t>2.5.3</t>
  </si>
  <si>
    <t>2.5.4</t>
  </si>
  <si>
    <t>BUDIZOL</t>
  </si>
  <si>
    <t>SILOGOSTIC</t>
  </si>
  <si>
    <t>MAT-BUD</t>
  </si>
  <si>
    <t>HURTOWNIA TOOLS</t>
  </si>
  <si>
    <t>ŻURAWIE WIELKOPOLSKIE</t>
  </si>
  <si>
    <t xml:space="preserve">KRZYŚ </t>
  </si>
  <si>
    <t>KRZYŚ  aneks 1</t>
  </si>
  <si>
    <t>Geobet</t>
  </si>
  <si>
    <t>CONTAINEX</t>
  </si>
  <si>
    <t>PORR/PESA</t>
  </si>
  <si>
    <t>Staler Market</t>
  </si>
  <si>
    <t>SANIKO</t>
  </si>
  <si>
    <t>MPEC</t>
  </si>
  <si>
    <t>3.17.2</t>
  </si>
  <si>
    <t>ABIS</t>
  </si>
  <si>
    <t>CERBER</t>
  </si>
  <si>
    <t>KA-BO Borkowski</t>
  </si>
  <si>
    <t>Hotel Aleksander</t>
  </si>
  <si>
    <t>COFFE PARTNER</t>
  </si>
  <si>
    <t>AV Kreator</t>
  </si>
  <si>
    <t>THORNET</t>
  </si>
  <si>
    <t>MIRRO</t>
  </si>
  <si>
    <t>KRZYŚ</t>
  </si>
  <si>
    <t>AQUAMO</t>
  </si>
  <si>
    <t>MPWIK</t>
  </si>
  <si>
    <t xml:space="preserve">Toi-Toi </t>
  </si>
  <si>
    <t>4.13</t>
  </si>
  <si>
    <t>4.5.1</t>
  </si>
  <si>
    <t>PREZERO</t>
  </si>
  <si>
    <t>SOLID SECURITY</t>
  </si>
  <si>
    <t>WC SERWIS</t>
  </si>
  <si>
    <t>GEOBET</t>
  </si>
  <si>
    <t>INSTALLATION / UNINSTALLATION OF CONSTRUCTION</t>
  </si>
  <si>
    <t>5.5.1</t>
  </si>
  <si>
    <t>5.2.0.1</t>
  </si>
  <si>
    <t>5.2.0.2</t>
  </si>
  <si>
    <t>Storage and storage yards (aggregate)</t>
  </si>
  <si>
    <t>EL-MAR</t>
  </si>
  <si>
    <t>Hardening of construction and assembly sites (aggregate)</t>
  </si>
  <si>
    <t>PORR/PES</t>
  </si>
  <si>
    <t>Monitoring of existing buildings</t>
  </si>
  <si>
    <t>SETCON</t>
  </si>
  <si>
    <t>ARBO-DRWAL</t>
  </si>
  <si>
    <t>Safety and Environmental Management System</t>
  </si>
  <si>
    <t>GEOTEST</t>
  </si>
  <si>
    <t>Personal OHS equipment</t>
  </si>
  <si>
    <t>6.6.0</t>
  </si>
  <si>
    <t>6.6.1</t>
  </si>
  <si>
    <t>6.6.2</t>
  </si>
  <si>
    <t>Construction service</t>
  </si>
  <si>
    <t>Adam Kujawka</t>
  </si>
  <si>
    <t>Grzegorz Kujawka</t>
  </si>
  <si>
    <t>Design insurance Designer's liability insurance</t>
  </si>
  <si>
    <t>7.2.1</t>
  </si>
  <si>
    <t>UNIQA</t>
  </si>
  <si>
    <t>Contingency</t>
  </si>
  <si>
    <t>Totale ordinato</t>
  </si>
  <si>
    <t>Totale da ordinare</t>
  </si>
  <si>
    <t>Fornitore</t>
  </si>
  <si>
    <t>Macroattività</t>
  </si>
  <si>
    <t>Descrizione</t>
  </si>
  <si>
    <t>Importo</t>
  </si>
  <si>
    <t>Ordine</t>
  </si>
  <si>
    <t>Concrete testing</t>
  </si>
  <si>
    <t>Delivery of concrete mix with pumping service</t>
  </si>
  <si>
    <t>Warranty extension for electrical works</t>
  </si>
  <si>
    <t>Temporary traffic organization ECD 34</t>
  </si>
  <si>
    <t>Obtaining ECR 4 decisions and permits</t>
  </si>
  <si>
    <t>Item</t>
  </si>
  <si>
    <t>1_Design</t>
  </si>
  <si>
    <t>2_Civil Works</t>
  </si>
  <si>
    <t>3_Electrical Works</t>
  </si>
  <si>
    <t>5_Mechanical &amp; Tech.</t>
  </si>
  <si>
    <t>6_Commissioning</t>
  </si>
  <si>
    <t>7_Backup</t>
  </si>
  <si>
    <t>Lump sum</t>
  </si>
  <si>
    <t>Chiusi</t>
  </si>
  <si>
    <t>Negoziazione</t>
  </si>
  <si>
    <t>Earthmoving robots ECR 3</t>
  </si>
  <si>
    <t>Totale ordinato/negoziazione</t>
  </si>
  <si>
    <t>Totale costi</t>
  </si>
  <si>
    <t>Negotiation</t>
  </si>
  <si>
    <t>Dati: Budget B07 di Febbraio 2026</t>
  </si>
  <si>
    <t>COSTI DIRETTI (PLN)</t>
  </si>
  <si>
    <t xml:space="preserve">CONSTRUCTION </t>
  </si>
  <si>
    <t>COSTI INDIRETTI (PLN)</t>
  </si>
  <si>
    <t>Sezione</t>
  </si>
  <si>
    <t>Lista ordini/ negoziazioni</t>
  </si>
  <si>
    <t>Negoziazioni totale</t>
  </si>
  <si>
    <t>Pianificato totale</t>
  </si>
  <si>
    <t>Buffer totale</t>
  </si>
  <si>
    <t>Dettaglio costi diretti</t>
  </si>
  <si>
    <t>Ordinato totale (senza TME)</t>
  </si>
  <si>
    <t>Ordini a TME</t>
  </si>
  <si>
    <t>Costi diretti</t>
  </si>
  <si>
    <t>Costi indiretti</t>
  </si>
  <si>
    <t>Ricavi base</t>
  </si>
  <si>
    <t>B07</t>
  </si>
  <si>
    <t>B02 - Gen26</t>
  </si>
  <si>
    <t>B07 - Feb26</t>
  </si>
  <si>
    <t>Inizio progetto</t>
  </si>
  <si>
    <t>Fine progetto</t>
  </si>
  <si>
    <t>Consorzio</t>
  </si>
  <si>
    <t>PORR 80%</t>
  </si>
  <si>
    <t>TME 20%</t>
  </si>
  <si>
    <t>Cliente</t>
  </si>
  <si>
    <t>PreZero</t>
  </si>
  <si>
    <t>Bdgt apertura</t>
  </si>
  <si>
    <t>Apertura</t>
  </si>
  <si>
    <t>ok</t>
  </si>
  <si>
    <t>Dettaglio delle negoziazioni</t>
  </si>
  <si>
    <t>Manutenzione</t>
  </si>
  <si>
    <t>oltre</t>
  </si>
  <si>
    <t>produzione</t>
  </si>
  <si>
    <t>costi</t>
  </si>
  <si>
    <t>margine</t>
  </si>
  <si>
    <t>ODS</t>
  </si>
  <si>
    <t>1.4.1</t>
  </si>
  <si>
    <t>UDT CERT</t>
  </si>
  <si>
    <t>Usługi Sprzętowo - Transportowe Sławomir Boruczkowski</t>
  </si>
  <si>
    <t>2.1.4</t>
  </si>
  <si>
    <t>Detailed design: boiler support steel structure and equipment support structures - ECD 41</t>
  </si>
  <si>
    <t>Detailed architectural, structural, sanitary and road designs - ECR 1</t>
  </si>
  <si>
    <t>2.4.1</t>
  </si>
  <si>
    <t>AF KONSTRUKCJE</t>
  </si>
  <si>
    <t>2.5.1.1.3</t>
  </si>
  <si>
    <t>2.5.1.1.4</t>
  </si>
  <si>
    <t>Reinforced concrete works</t>
  </si>
  <si>
    <t>2.5.2.2.1</t>
  </si>
  <si>
    <t>2.5.2.2.2</t>
  </si>
  <si>
    <t>2.5.4.4.1</t>
  </si>
  <si>
    <t>2.6.1.1</t>
  </si>
  <si>
    <t>2.6.1.2</t>
  </si>
  <si>
    <t>2.11.5.1.1</t>
  </si>
  <si>
    <t>2.14.2.1</t>
  </si>
  <si>
    <t>KSM Parsęcko</t>
  </si>
  <si>
    <t>2.2.4</t>
  </si>
  <si>
    <t>2.2.5</t>
  </si>
  <si>
    <t>2.2.6</t>
  </si>
  <si>
    <t>2.2.7</t>
  </si>
  <si>
    <t>MOBIL SERWIS</t>
  </si>
  <si>
    <t>ATMOMAT</t>
  </si>
  <si>
    <t>3.8.2</t>
  </si>
  <si>
    <t>INSTALNOVA</t>
  </si>
  <si>
    <t>Wywóz odpadów budowlanych</t>
  </si>
  <si>
    <t>Utwardzenie terenu pod dźwigi i sprzęt montażowy</t>
  </si>
  <si>
    <t>Płyty MON ECD 1</t>
  </si>
  <si>
    <t>5.5.2</t>
  </si>
  <si>
    <t>6.3.2</t>
  </si>
  <si>
    <t>DROG-ZNAK</t>
  </si>
  <si>
    <t>6.5.1</t>
  </si>
  <si>
    <t>PROSAVE</t>
  </si>
  <si>
    <t>Design insurance OC projektanta</t>
  </si>
  <si>
    <t>7.2.2</t>
  </si>
  <si>
    <t>Guarantee of due performance</t>
  </si>
  <si>
    <t>Manitou Charger</t>
  </si>
  <si>
    <t>Rental of office space or office containers</t>
  </si>
  <si>
    <t>Municipal waste disposal</t>
  </si>
  <si>
    <t>Installation of office counters / changing rooms + energy + water supply connection</t>
  </si>
  <si>
    <t>Construction site backend protection 1st x 24h x 25PLN /hour x 31 days</t>
  </si>
  <si>
    <t>Fence of the construction site with wickets and gates</t>
  </si>
  <si>
    <t>Road Signs</t>
  </si>
  <si>
    <t>ANALISI BUDGET WLOCLAWEK - MAG 26</t>
  </si>
  <si>
    <t>B17 - Maggio 2026</t>
  </si>
  <si>
    <t>BUDGET 17</t>
  </si>
  <si>
    <t>Ok</t>
  </si>
  <si>
    <t>HAMER</t>
  </si>
  <si>
    <t>2.4.2</t>
  </si>
  <si>
    <t>2.4.3</t>
  </si>
  <si>
    <t>TWS</t>
  </si>
  <si>
    <t>Reinforced concrete structure of the above-ground part of other buildings, including prefabricated elements</t>
  </si>
  <si>
    <r>
      <rPr>
        <b/>
        <strike/>
        <sz val="8"/>
        <rFont val="Arial"/>
        <family val="2"/>
      </rPr>
      <t>BUSZREM</t>
    </r>
    <r>
      <rPr>
        <b/>
        <sz val="8"/>
        <rFont val="Arial"/>
        <family val="2"/>
        <charset val="238"/>
      </rPr>
      <t xml:space="preserve"> / HOLCIM</t>
    </r>
  </si>
  <si>
    <t>Structure, including platforms, platforms, ladders, canopies</t>
  </si>
  <si>
    <t>2.6.1.3</t>
  </si>
  <si>
    <t>2.6.3.1</t>
  </si>
  <si>
    <t xml:space="preserve">ODS </t>
  </si>
  <si>
    <t>NOWOSTAL</t>
  </si>
  <si>
    <t>ORDINATO</t>
  </si>
  <si>
    <t>In negoziazione + buffer</t>
  </si>
  <si>
    <t>(Buffer)</t>
  </si>
  <si>
    <t>Totale in neg + buffer</t>
  </si>
  <si>
    <t>Negotiation + buffer</t>
  </si>
  <si>
    <t>ZBUD</t>
  </si>
  <si>
    <t>5.4.1.1</t>
  </si>
  <si>
    <t>SEFAKO</t>
  </si>
  <si>
    <t>5.11.1</t>
  </si>
  <si>
    <t>AVANTEA STEEL SOLUTIONS</t>
  </si>
  <si>
    <r>
      <t xml:space="preserve">Temporary traffic organization - </t>
    </r>
    <r>
      <rPr>
        <sz val="8"/>
        <color rgb="FF00B050"/>
        <rFont val="Arial"/>
        <family val="2"/>
      </rPr>
      <t>ECD 34</t>
    </r>
  </si>
  <si>
    <r>
      <t xml:space="preserve">Obtaining decisions and permits - </t>
    </r>
    <r>
      <rPr>
        <sz val="8"/>
        <color rgb="FF00B050"/>
        <rFont val="Arial"/>
        <family val="2"/>
      </rPr>
      <t>ECR 4</t>
    </r>
  </si>
  <si>
    <r>
      <t xml:space="preserve">Earthmoving robots - </t>
    </r>
    <r>
      <rPr>
        <sz val="8"/>
        <color rgb="FF00B050"/>
        <rFont val="Arial"/>
        <family val="2"/>
      </rPr>
      <t xml:space="preserve">ECR 3 </t>
    </r>
  </si>
  <si>
    <r>
      <t xml:space="preserve">Scaffoldings - </t>
    </r>
    <r>
      <rPr>
        <sz val="8"/>
        <color rgb="FF00B050"/>
        <rFont val="Aptos Narrow"/>
        <family val="2"/>
        <scheme val="minor"/>
      </rPr>
      <t>ECR 5</t>
    </r>
  </si>
  <si>
    <r>
      <t xml:space="preserve">Stack - </t>
    </r>
    <r>
      <rPr>
        <sz val="8"/>
        <color rgb="FF00B050"/>
        <rFont val="Aptos Narrow"/>
        <family val="2"/>
        <scheme val="minor"/>
      </rPr>
      <t xml:space="preserve">ECR 15 </t>
    </r>
  </si>
  <si>
    <r>
      <t xml:space="preserve">Gripper service flaps - </t>
    </r>
    <r>
      <rPr>
        <sz val="8"/>
        <color rgb="FF00B050"/>
        <rFont val="Aptos Narrow"/>
        <family val="2"/>
        <scheme val="minor"/>
      </rPr>
      <t>ECR 14</t>
    </r>
    <r>
      <rPr>
        <sz val="8"/>
        <color theme="1"/>
        <rFont val="Aptos Narrow"/>
        <family val="2"/>
        <scheme val="minor"/>
      </rPr>
      <t xml:space="preserve"> </t>
    </r>
  </si>
  <si>
    <r>
      <t xml:space="preserve">Boiler - </t>
    </r>
    <r>
      <rPr>
        <sz val="8"/>
        <color rgb="FF00B050"/>
        <rFont val="Aptos Narrow"/>
        <family val="2"/>
        <scheme val="minor"/>
      </rPr>
      <t>ECR 13</t>
    </r>
  </si>
  <si>
    <r>
      <t xml:space="preserve">Overhead crane, grab and operator seat + Spare Grab - </t>
    </r>
    <r>
      <rPr>
        <sz val="8"/>
        <color rgb="FF00B050"/>
        <rFont val="Arial"/>
        <family val="2"/>
      </rPr>
      <t>ECR 14</t>
    </r>
  </si>
  <si>
    <r>
      <t>External Road</t>
    </r>
    <r>
      <rPr>
        <sz val="8"/>
        <color rgb="FF00B050"/>
        <rFont val="Arial"/>
        <family val="2"/>
      </rPr>
      <t xml:space="preserve"> ECR 3 rev 1</t>
    </r>
  </si>
  <si>
    <r>
      <t>Crushed aggregate</t>
    </r>
    <r>
      <rPr>
        <sz val="8"/>
        <color rgb="FF00B050"/>
        <rFont val="Arial"/>
        <family val="2"/>
      </rPr>
      <t xml:space="preserve"> ECD 46</t>
    </r>
  </si>
  <si>
    <t>Passenger and good elevator</t>
  </si>
  <si>
    <t>Passenger elevator</t>
  </si>
  <si>
    <r>
      <t xml:space="preserve">Reinforced concrete works - </t>
    </r>
    <r>
      <rPr>
        <sz val="8"/>
        <color rgb="FF00B050"/>
        <rFont val="Arial"/>
        <family val="2"/>
      </rPr>
      <t>ECR 11</t>
    </r>
  </si>
  <si>
    <r>
      <t xml:space="preserve">Delivery of concrete mix including pumping service </t>
    </r>
    <r>
      <rPr>
        <strike/>
        <sz val="8"/>
        <rFont val="Arial"/>
        <family val="2"/>
      </rPr>
      <t>ECR 9 rev 1</t>
    </r>
    <r>
      <rPr>
        <sz val="8"/>
        <rFont val="Arial"/>
        <family val="2"/>
        <charset val="238"/>
      </rPr>
      <t xml:space="preserve"> / </t>
    </r>
    <r>
      <rPr>
        <sz val="8"/>
        <color rgb="FF00B050"/>
        <rFont val="Arial"/>
        <family val="2"/>
      </rPr>
      <t>ECR 12</t>
    </r>
  </si>
  <si>
    <r>
      <t xml:space="preserve">Reinforced concrete structure of the above-ground part of the B1 facility - delivery and assembly of </t>
    </r>
    <r>
      <rPr>
        <sz val="8"/>
        <color rgb="FF00B050"/>
        <rFont val="Arial"/>
        <family val="2"/>
      </rPr>
      <t>ECR 10</t>
    </r>
    <r>
      <rPr>
        <sz val="8"/>
        <rFont val="Arial"/>
        <family val="2"/>
        <charset val="238"/>
      </rPr>
      <t xml:space="preserve"> prefabricated elements</t>
    </r>
  </si>
  <si>
    <r>
      <t xml:space="preserve">Detailed Design: Boiler Steel Support Structure and </t>
    </r>
    <r>
      <rPr>
        <sz val="8"/>
        <color rgb="FF00B050"/>
        <rFont val="Arial"/>
        <family val="2"/>
      </rPr>
      <t>ECD 41</t>
    </r>
    <r>
      <rPr>
        <sz val="8"/>
        <rFont val="Arial"/>
        <family val="2"/>
        <charset val="238"/>
      </rPr>
      <t xml:space="preserve"> Equipment Support Structures</t>
    </r>
  </si>
  <si>
    <r>
      <t xml:space="preserve">Delivery of concrete mix with </t>
    </r>
    <r>
      <rPr>
        <sz val="8"/>
        <color rgb="FF00B050"/>
        <rFont val="Arial"/>
        <family val="2"/>
      </rPr>
      <t>ECR 12</t>
    </r>
    <r>
      <rPr>
        <sz val="8"/>
        <rFont val="Arial"/>
        <family val="2"/>
        <charset val="238"/>
      </rPr>
      <t xml:space="preserve"> pumping service</t>
    </r>
  </si>
  <si>
    <r>
      <t>Supply of</t>
    </r>
    <r>
      <rPr>
        <sz val="8"/>
        <color rgb="FF00B050"/>
        <rFont val="Arial"/>
        <family val="2"/>
      </rPr>
      <t xml:space="preserve"> ECR 2</t>
    </r>
    <r>
      <rPr>
        <sz val="8"/>
        <rFont val="Arial"/>
        <family val="2"/>
        <charset val="238"/>
      </rPr>
      <t xml:space="preserve"> reinforcing steel</t>
    </r>
  </si>
  <si>
    <r>
      <rPr>
        <sz val="8"/>
        <color rgb="FF00B050"/>
        <rFont val="Arial"/>
        <family val="2"/>
      </rPr>
      <t>ECR 11</t>
    </r>
    <r>
      <rPr>
        <sz val="8"/>
        <rFont val="Arial"/>
        <family val="2"/>
        <charset val="238"/>
      </rPr>
      <t xml:space="preserve"> reinforced concrete works</t>
    </r>
  </si>
  <si>
    <r>
      <t xml:space="preserve">Foundation insulation materials </t>
    </r>
    <r>
      <rPr>
        <sz val="8"/>
        <color rgb="FF00B050"/>
        <rFont val="Arial"/>
        <family val="2"/>
      </rPr>
      <t>ECD 14 rev 3</t>
    </r>
  </si>
  <si>
    <r>
      <t xml:space="preserve">Dehydration </t>
    </r>
    <r>
      <rPr>
        <sz val="8"/>
        <color rgb="FF00B050"/>
        <rFont val="Arial"/>
        <family val="2"/>
      </rPr>
      <t>ECD 50</t>
    </r>
  </si>
  <si>
    <r>
      <rPr>
        <sz val="8"/>
        <color rgb="FF00B050"/>
        <rFont val="Arial"/>
        <family val="2"/>
      </rPr>
      <t xml:space="preserve">ECR 11 </t>
    </r>
    <r>
      <rPr>
        <sz val="8"/>
        <rFont val="Arial"/>
        <family val="2"/>
      </rPr>
      <t>reinforced concrete works</t>
    </r>
  </si>
  <si>
    <r>
      <t xml:space="preserve">Waterproofing </t>
    </r>
    <r>
      <rPr>
        <sz val="8"/>
        <color rgb="FF00B050"/>
        <rFont val="Arial"/>
        <family val="2"/>
      </rPr>
      <t>ECD 51</t>
    </r>
  </si>
  <si>
    <r>
      <t xml:space="preserve">Earthworks - backfill of retaining wall </t>
    </r>
    <r>
      <rPr>
        <sz val="8"/>
        <color rgb="FF00B050"/>
        <rFont val="Arial"/>
        <family val="2"/>
      </rPr>
      <t>ECR 3 / ECR rev 1</t>
    </r>
  </si>
  <si>
    <r>
      <t xml:space="preserve">Earthmoving robots </t>
    </r>
    <r>
      <rPr>
        <sz val="8"/>
        <color rgb="FF00B050"/>
        <rFont val="Arial"/>
        <family val="2"/>
      </rPr>
      <t>ECR 3</t>
    </r>
    <r>
      <rPr>
        <sz val="8"/>
        <rFont val="Arial"/>
        <family val="2"/>
        <charset val="238"/>
      </rPr>
      <t xml:space="preserve"> / </t>
    </r>
    <r>
      <rPr>
        <sz val="8"/>
        <color rgb="FF00B050"/>
        <rFont val="Arial"/>
        <family val="2"/>
      </rPr>
      <t>ECR 3 rev 1</t>
    </r>
  </si>
  <si>
    <r>
      <rPr>
        <sz val="8"/>
        <color rgb="FF00B050"/>
        <rFont val="Arial"/>
        <family val="2"/>
      </rPr>
      <t>ECR 3 / ECR 3 rev 1</t>
    </r>
    <r>
      <rPr>
        <sz val="8"/>
        <rFont val="Arial"/>
        <family val="2"/>
        <charset val="238"/>
      </rPr>
      <t xml:space="preserve"> working platform</t>
    </r>
  </si>
  <si>
    <r>
      <t xml:space="preserve">Concrete rubble </t>
    </r>
    <r>
      <rPr>
        <sz val="8"/>
        <color rgb="FF00B050"/>
        <rFont val="Arial"/>
        <family val="2"/>
      </rPr>
      <t>ECD 45</t>
    </r>
  </si>
  <si>
    <r>
      <t>Obtaining decisions and permits -</t>
    </r>
    <r>
      <rPr>
        <b/>
        <sz val="8"/>
        <color rgb="FF00B050"/>
        <rFont val="Arial"/>
        <family val="2"/>
      </rPr>
      <t xml:space="preserve"> ECR 4</t>
    </r>
  </si>
  <si>
    <r>
      <t xml:space="preserve">Preparation of the application for the issuance of an integrated permit with all necessary documents </t>
    </r>
    <r>
      <rPr>
        <sz val="8"/>
        <color rgb="FF00B050"/>
        <rFont val="Arial"/>
        <family val="2"/>
      </rPr>
      <t>ECD 27</t>
    </r>
  </si>
  <si>
    <t>KLAUDIA</t>
  </si>
  <si>
    <t>2.2.8</t>
  </si>
  <si>
    <t>2.2.9</t>
  </si>
  <si>
    <t>30 T Truck Crane</t>
  </si>
  <si>
    <r>
      <t>Open order - small building materials</t>
    </r>
    <r>
      <rPr>
        <sz val="8"/>
        <color rgb="FF00B050"/>
        <rFont val="Arial"/>
        <family val="2"/>
      </rPr>
      <t xml:space="preserve"> ECD 18</t>
    </r>
  </si>
  <si>
    <r>
      <t xml:space="preserve">Open order - small building materials </t>
    </r>
    <r>
      <rPr>
        <sz val="8"/>
        <color rgb="FF00B050"/>
        <rFont val="Arial"/>
        <family val="2"/>
      </rPr>
      <t>ECD 19</t>
    </r>
  </si>
  <si>
    <r>
      <rPr>
        <sz val="8"/>
        <color rgb="FF00B050"/>
        <rFont val="Arial"/>
        <family val="2"/>
      </rPr>
      <t>ECR 8</t>
    </r>
    <r>
      <rPr>
        <sz val="8"/>
        <color theme="1"/>
        <rFont val="Arial"/>
        <family val="2"/>
      </rPr>
      <t xml:space="preserve"> stationary cranes</t>
    </r>
  </si>
  <si>
    <r>
      <t xml:space="preserve">Rental of </t>
    </r>
    <r>
      <rPr>
        <sz val="8"/>
        <color rgb="FF00B050"/>
        <rFont val="Arial"/>
        <family val="2"/>
      </rPr>
      <t>ECD 15 rev 3</t>
    </r>
    <r>
      <rPr>
        <sz val="8"/>
        <color theme="1"/>
        <rFont val="Arial"/>
        <family val="2"/>
      </rPr>
      <t xml:space="preserve"> (Rzeszów - Włocławek)</t>
    </r>
  </si>
  <si>
    <r>
      <t xml:space="preserve">Rental of </t>
    </r>
    <r>
      <rPr>
        <sz val="8"/>
        <color rgb="FF00B050"/>
        <rFont val="Arial"/>
        <family val="2"/>
      </rPr>
      <t>ECD 15</t>
    </r>
    <r>
      <rPr>
        <sz val="8"/>
        <color theme="1"/>
        <rFont val="Arial"/>
        <family val="2"/>
      </rPr>
      <t xml:space="preserve"> (Świnoujście - Włocławek)</t>
    </r>
  </si>
  <si>
    <r>
      <t xml:space="preserve">Rental of </t>
    </r>
    <r>
      <rPr>
        <sz val="8"/>
        <color rgb="FF00B050"/>
        <rFont val="Arial"/>
        <family val="2"/>
      </rPr>
      <t>ECD 15 rev 1</t>
    </r>
    <r>
      <rPr>
        <sz val="8"/>
        <color theme="1"/>
        <rFont val="Arial"/>
        <family val="2"/>
      </rPr>
      <t xml:space="preserve"> (Rzeszów - Włocławek)</t>
    </r>
  </si>
  <si>
    <r>
      <t>Rental of</t>
    </r>
    <r>
      <rPr>
        <sz val="8"/>
        <color rgb="FF00B050"/>
        <rFont val="Arial"/>
        <family val="2"/>
      </rPr>
      <t xml:space="preserve"> ECD 15 rev 2</t>
    </r>
    <r>
      <rPr>
        <sz val="8"/>
        <color theme="1"/>
        <rFont val="Arial"/>
        <family val="2"/>
      </rPr>
      <t xml:space="preserve"> (Świnoujście - Włocławek)</t>
    </r>
  </si>
  <si>
    <r>
      <t xml:space="preserve">Rental of </t>
    </r>
    <r>
      <rPr>
        <sz val="8"/>
        <color rgb="FF00B050"/>
        <rFont val="Arial"/>
        <family val="2"/>
      </rPr>
      <t>ECD 44</t>
    </r>
    <r>
      <rPr>
        <sz val="8"/>
        <color theme="1"/>
        <rFont val="Arial"/>
        <family val="2"/>
      </rPr>
      <t xml:space="preserve"> generators</t>
    </r>
  </si>
  <si>
    <r>
      <t>Rental of</t>
    </r>
    <r>
      <rPr>
        <sz val="8"/>
        <color rgb="FF00B050"/>
        <rFont val="Arial"/>
        <family val="2"/>
      </rPr>
      <t xml:space="preserve"> ECD 15 rev 4</t>
    </r>
    <r>
      <rPr>
        <sz val="8"/>
        <color theme="1"/>
        <rFont val="Arial"/>
        <family val="2"/>
      </rPr>
      <t xml:space="preserve"> (Lublin - Włocławek)</t>
    </r>
  </si>
  <si>
    <r>
      <t xml:space="preserve">Rental of a drainage pump </t>
    </r>
    <r>
      <rPr>
        <sz val="8"/>
        <color rgb="FF00B050"/>
        <rFont val="Arial"/>
        <family val="2"/>
      </rPr>
      <t>ECD 49</t>
    </r>
  </si>
  <si>
    <r>
      <t xml:space="preserve">Rental of </t>
    </r>
    <r>
      <rPr>
        <sz val="8"/>
        <color rgb="FF00B050"/>
        <rFont val="Arial"/>
        <family val="2"/>
      </rPr>
      <t>ECD 15 rev 5</t>
    </r>
    <r>
      <rPr>
        <sz val="8"/>
        <color theme="1"/>
        <rFont val="Arial"/>
        <family val="2"/>
      </rPr>
      <t xml:space="preserve"> (Świnoujście - Włocławek)</t>
    </r>
  </si>
  <si>
    <r>
      <t xml:space="preserve">Water-sewage connection </t>
    </r>
    <r>
      <rPr>
        <sz val="8"/>
        <color rgb="FF00B050"/>
        <rFont val="Arial"/>
        <family val="2"/>
      </rPr>
      <t>ECD 5</t>
    </r>
  </si>
  <si>
    <r>
      <t xml:space="preserve">Water-sewage connection </t>
    </r>
    <r>
      <rPr>
        <sz val="8"/>
        <color rgb="FF00B050"/>
        <rFont val="Arial"/>
        <family val="2"/>
      </rPr>
      <t>ECD 5 rev 1</t>
    </r>
  </si>
  <si>
    <r>
      <t xml:space="preserve">Geodesy </t>
    </r>
    <r>
      <rPr>
        <sz val="8"/>
        <color rgb="FF00B050"/>
        <rFont val="Arial"/>
        <family val="2"/>
      </rPr>
      <t>ECD 6</t>
    </r>
  </si>
  <si>
    <t>5.2.2.</t>
  </si>
  <si>
    <t>Construction Site Power Supply, Back-End Power Supply, Construction Site and Temporary Road Lighting</t>
  </si>
  <si>
    <t>Back-end electrical power supply</t>
  </si>
  <si>
    <t>TLC RENTAL</t>
  </si>
  <si>
    <t>ZNAKTOM</t>
  </si>
  <si>
    <t>5.5.3</t>
  </si>
  <si>
    <t>5.5.4</t>
  </si>
  <si>
    <t>Negotiation+buffer</t>
  </si>
  <si>
    <t xml:space="preserve">BUDGET 07 </t>
  </si>
  <si>
    <t>BUDGET 14 (B0 approvato Mar 26)</t>
  </si>
  <si>
    <t>B0 Riferimento (14) - Marzo 2026</t>
  </si>
  <si>
    <t>B7 - Febbraio 2026</t>
  </si>
  <si>
    <t>BUDGET 19</t>
  </si>
  <si>
    <t>Air and flue gas ducts design  - ECR20</t>
  </si>
  <si>
    <t>1.2.6.1</t>
  </si>
  <si>
    <r>
      <t xml:space="preserve">Dehydration </t>
    </r>
    <r>
      <rPr>
        <sz val="8"/>
        <color rgb="FF00B050"/>
        <rFont val="Arial"/>
        <family val="2"/>
      </rPr>
      <t>ECD 50 rev 1</t>
    </r>
  </si>
  <si>
    <r>
      <t xml:space="preserve">Waterproofing - </t>
    </r>
    <r>
      <rPr>
        <sz val="8"/>
        <color rgb="FF00B050"/>
        <rFont val="Arial"/>
        <family val="2"/>
      </rPr>
      <t>ECD 51 rev 1</t>
    </r>
  </si>
  <si>
    <t>2.4.4</t>
  </si>
  <si>
    <r>
      <t xml:space="preserve">Reinforced meches - </t>
    </r>
    <r>
      <rPr>
        <sz val="8"/>
        <color rgb="FF00B050"/>
        <rFont val="Arial"/>
        <family val="2"/>
      </rPr>
      <t>ECD 14 rev 4</t>
    </r>
  </si>
  <si>
    <r>
      <t xml:space="preserve">Concrete testing - </t>
    </r>
    <r>
      <rPr>
        <sz val="8"/>
        <color rgb="FF00B050"/>
        <rFont val="Arial"/>
        <family val="2"/>
      </rPr>
      <t>ECD 31</t>
    </r>
  </si>
  <si>
    <t>Negotiation + Buffer</t>
  </si>
  <si>
    <t>BUDHET APERTURA</t>
  </si>
  <si>
    <t>BUDHET 02</t>
  </si>
  <si>
    <t xml:space="preserve">BUDHET 07 </t>
  </si>
  <si>
    <t>BUDHET 14 (B0 approvato Mar 26)</t>
  </si>
  <si>
    <t>SANITARY WORKS AND FIRE-FIHHTINH SYSTEM</t>
  </si>
  <si>
    <t>SAVINH</t>
  </si>
  <si>
    <t>NeHotiation</t>
  </si>
  <si>
    <t>FirefiHhtinH system</t>
  </si>
  <si>
    <t>FirefiHhtinH water tank</t>
  </si>
  <si>
    <t>FirefiHhtinH water pumpinH</t>
  </si>
  <si>
    <t>FirefiHhtinH water external distribution, hoses, sprinklers</t>
  </si>
  <si>
    <t>Installation of internal hydrants in buildinHs B1 and B2</t>
  </si>
  <si>
    <t>Wireless radio controller system type WRC, Hun control</t>
  </si>
  <si>
    <t>Natural Has (if any) and ammonia detection system</t>
  </si>
  <si>
    <t>Smoke extraction from waste bunker and tippinH hall</t>
  </si>
  <si>
    <t>HVAC for the technoloHical buildinHs</t>
  </si>
  <si>
    <t xml:space="preserve">HVAC for the other buildinHs </t>
  </si>
  <si>
    <t>Service water storaHe, pumpinH, underHround and external distribution + Sanitary facilities (toilets, showers, etc.)</t>
  </si>
  <si>
    <t>Sanitary water, connection to source, storaHe, pumpinH, underHround and external distribution</t>
  </si>
  <si>
    <t>EmerHency showers and eye washers</t>
  </si>
  <si>
    <t>Sanitary waste water collection, treatment and connection to discharHe point</t>
  </si>
  <si>
    <t>Waste water collection and connection to discharHe point</t>
  </si>
  <si>
    <t>Rain water and snowmelt collection, treatment and connection to discharHe point</t>
  </si>
  <si>
    <t>OWENT</t>
  </si>
  <si>
    <t>AS TECHNOLOGIE</t>
  </si>
  <si>
    <t>BCE</t>
  </si>
  <si>
    <r>
      <t xml:space="preserve">Burners including fans - </t>
    </r>
    <r>
      <rPr>
        <sz val="8"/>
        <color rgb="FF00B050"/>
        <rFont val="Aptos Narrow"/>
        <family val="2"/>
        <scheme val="minor"/>
      </rPr>
      <t>ECR 21</t>
    </r>
  </si>
  <si>
    <r>
      <t xml:space="preserve">Primary &amp; secondary air heat exchanger - </t>
    </r>
    <r>
      <rPr>
        <sz val="8"/>
        <color rgb="FF00B050"/>
        <rFont val="Aptos Narrow"/>
        <family val="2"/>
        <scheme val="minor"/>
      </rPr>
      <t>ECR 22</t>
    </r>
  </si>
  <si>
    <r>
      <t>Primary and secondary air fan, Flue gas recirculation fan, ID Fan -</t>
    </r>
    <r>
      <rPr>
        <sz val="8"/>
        <color rgb="FF00B050"/>
        <rFont val="Aptos Narrow"/>
        <family val="2"/>
        <scheme val="minor"/>
      </rPr>
      <t xml:space="preserve"> ECR 23</t>
    </r>
  </si>
  <si>
    <r>
      <t xml:space="preserve">Boiler - supporting structure including walkways - </t>
    </r>
    <r>
      <rPr>
        <sz val="8"/>
        <color rgb="FF00B050"/>
        <rFont val="Aptos Narrow"/>
        <family val="2"/>
        <scheme val="minor"/>
      </rPr>
      <t>ECR 16</t>
    </r>
  </si>
  <si>
    <t>5.4.1.2</t>
  </si>
  <si>
    <t>5.4.1.3</t>
  </si>
  <si>
    <t>5.4.1.4</t>
  </si>
  <si>
    <r>
      <t>Prefabrication, delivery, and commissioning of a system for removing bottom ash and slag</t>
    </r>
    <r>
      <rPr>
        <sz val="8"/>
        <color rgb="FF00B050"/>
        <rFont val="Aptos Narrow"/>
        <family val="2"/>
        <scheme val="minor"/>
      </rPr>
      <t xml:space="preserve"> ECR 17</t>
    </r>
  </si>
  <si>
    <t>LOIBL</t>
  </si>
  <si>
    <t>TRIVIENI TURBINE</t>
  </si>
  <si>
    <t>ESTANC AS</t>
  </si>
  <si>
    <r>
      <t xml:space="preserve">Steam turbine - gear box - generator. Including accessories: oil system, coolers, insulation, pipes and valves, control panel, protection panel, synchro system etc. - </t>
    </r>
    <r>
      <rPr>
        <sz val="8"/>
        <color rgb="FF00B050"/>
        <rFont val="Aptos Narrow"/>
        <family val="2"/>
        <scheme val="minor"/>
      </rPr>
      <t>ECR 19</t>
    </r>
  </si>
  <si>
    <t>5.10.4.1</t>
  </si>
  <si>
    <t>5.10.1.1</t>
  </si>
  <si>
    <r>
      <t xml:space="preserve">Feed water tank and Deaerator </t>
    </r>
    <r>
      <rPr>
        <sz val="8"/>
        <color rgb="FF00B050"/>
        <rFont val="Aptos Narrow"/>
        <family val="2"/>
        <scheme val="minor"/>
      </rPr>
      <t>ECR 18</t>
    </r>
  </si>
  <si>
    <t>5.10.9.1</t>
  </si>
  <si>
    <t>B19 - Giugno 2026</t>
  </si>
  <si>
    <t>MICHELIN</t>
  </si>
  <si>
    <r>
      <t xml:space="preserve">Lunches </t>
    </r>
    <r>
      <rPr>
        <sz val="8"/>
        <color rgb="FF00B050"/>
        <rFont val="Arial"/>
        <family val="2"/>
      </rPr>
      <t>ECD 53 / 53rev 1</t>
    </r>
  </si>
  <si>
    <t>2.2.10</t>
  </si>
  <si>
    <t>2.2.11</t>
  </si>
  <si>
    <t>FROGTRANS</t>
  </si>
  <si>
    <r>
      <t xml:space="preserve">Transport - </t>
    </r>
    <r>
      <rPr>
        <sz val="8"/>
        <color rgb="FF00B050"/>
        <rFont val="Arial"/>
        <family val="2"/>
      </rPr>
      <t>ECD56</t>
    </r>
  </si>
  <si>
    <r>
      <t xml:space="preserve">Transport - </t>
    </r>
    <r>
      <rPr>
        <sz val="8"/>
        <color rgb="FF00B050"/>
        <rFont val="Arial"/>
        <family val="2"/>
      </rPr>
      <t>ECD56 rev 1</t>
    </r>
  </si>
  <si>
    <t>3.17.3</t>
  </si>
  <si>
    <t>BUDGET</t>
  </si>
  <si>
    <t>Costi di garanzia, difetti, imprevisti</t>
  </si>
  <si>
    <t>Ricavi</t>
  </si>
  <si>
    <r>
      <t xml:space="preserve">Rental of office premises or office containers lease for 2 months </t>
    </r>
    <r>
      <rPr>
        <sz val="8"/>
        <color rgb="FF00B050"/>
        <rFont val="Arial"/>
        <family val="2"/>
      </rPr>
      <t>ECD 2</t>
    </r>
  </si>
  <si>
    <r>
      <t xml:space="preserve">Rental of office premises or office containers </t>
    </r>
    <r>
      <rPr>
        <sz val="8"/>
        <color rgb="FF00B050"/>
        <rFont val="Arial"/>
        <family val="2"/>
      </rPr>
      <t>ECD 20</t>
    </r>
  </si>
  <si>
    <r>
      <t xml:space="preserve">Temporary office </t>
    </r>
    <r>
      <rPr>
        <sz val="8"/>
        <color rgb="FF00B050"/>
        <rFont val="Arial"/>
        <family val="2"/>
      </rPr>
      <t>ECD 24</t>
    </r>
  </si>
  <si>
    <r>
      <t xml:space="preserve">Rental of office premises or office containers lease for 2 months </t>
    </r>
    <r>
      <rPr>
        <sz val="8"/>
        <color rgb="FF00B050"/>
        <rFont val="Arial"/>
        <family val="2"/>
      </rPr>
      <t>ECD 2 rev 1</t>
    </r>
  </si>
  <si>
    <r>
      <t xml:space="preserve">Rental of office premises or office containers lease for 2 months </t>
    </r>
    <r>
      <rPr>
        <sz val="8"/>
        <color rgb="FF00B050"/>
        <rFont val="Arial"/>
        <family val="2"/>
      </rPr>
      <t>ECD 2 rev 2</t>
    </r>
  </si>
  <si>
    <r>
      <t xml:space="preserve">Municipal waste disposal </t>
    </r>
    <r>
      <rPr>
        <sz val="8"/>
        <color rgb="FF00B050"/>
        <rFont val="Arial"/>
        <family val="2"/>
      </rPr>
      <t>ECD 12</t>
    </r>
  </si>
  <si>
    <t>PRZYSTAŃ</t>
  </si>
  <si>
    <t>4.6.2</t>
  </si>
  <si>
    <r>
      <t xml:space="preserve">Access control - </t>
    </r>
    <r>
      <rPr>
        <sz val="8"/>
        <color rgb="FF00B050"/>
        <rFont val="Arial"/>
        <family val="2"/>
      </rPr>
      <t>ECD 55</t>
    </r>
  </si>
  <si>
    <r>
      <t xml:space="preserve">Construction Site Backend Protection 1st x 24h x 25PLN /hour x 31 days </t>
    </r>
    <r>
      <rPr>
        <sz val="8"/>
        <color rgb="FF00B050"/>
        <rFont val="Arial"/>
        <family val="2"/>
      </rPr>
      <t>ECD 4</t>
    </r>
  </si>
  <si>
    <r>
      <t xml:space="preserve">Construction waste disposal </t>
    </r>
    <r>
      <rPr>
        <sz val="8"/>
        <color rgb="FF00B050"/>
        <rFont val="Arial"/>
        <family val="2"/>
      </rPr>
      <t>ECD 38</t>
    </r>
  </si>
  <si>
    <r>
      <t xml:space="preserve">Toi-Toi  </t>
    </r>
    <r>
      <rPr>
        <sz val="8"/>
        <color rgb="FF00B050"/>
        <rFont val="Arial"/>
        <family val="2"/>
      </rPr>
      <t>ECD 17</t>
    </r>
  </si>
  <si>
    <r>
      <t xml:space="preserve">Geotechnics / </t>
    </r>
    <r>
      <rPr>
        <sz val="8"/>
        <color rgb="FF00B050"/>
        <rFont val="Arial"/>
        <family val="2"/>
      </rPr>
      <t>ECD 31</t>
    </r>
    <r>
      <rPr>
        <sz val="8"/>
        <color theme="1"/>
        <rFont val="Arial"/>
        <family val="2"/>
      </rPr>
      <t xml:space="preserve"> Laboratory</t>
    </r>
  </si>
  <si>
    <r>
      <t>Cost of preparing the construction site (aggregate)</t>
    </r>
    <r>
      <rPr>
        <sz val="8"/>
        <color rgb="FF00B050"/>
        <rFont val="Arial"/>
        <family val="2"/>
      </rPr>
      <t xml:space="preserve"> ECD 14</t>
    </r>
  </si>
  <si>
    <r>
      <t xml:space="preserve">Cost of wastewater </t>
    </r>
    <r>
      <rPr>
        <sz val="8"/>
        <color rgb="FF00B050"/>
        <rFont val="Arial"/>
        <family val="2"/>
      </rPr>
      <t>ECD 21</t>
    </r>
  </si>
  <si>
    <r>
      <t>Sanitary Wholesale - Open Order</t>
    </r>
    <r>
      <rPr>
        <sz val="8"/>
        <color rgb="FF00B050"/>
        <rFont val="Arial"/>
        <family val="2"/>
      </rPr>
      <t xml:space="preserve"> ECD 39</t>
    </r>
  </si>
  <si>
    <r>
      <t xml:space="preserve">Lease of </t>
    </r>
    <r>
      <rPr>
        <sz val="8"/>
        <color rgb="FF00B050"/>
        <rFont val="Arial"/>
        <family val="2"/>
      </rPr>
      <t>ECD 29</t>
    </r>
    <r>
      <rPr>
        <sz val="8"/>
        <color theme="1"/>
        <rFont val="Arial"/>
        <family val="2"/>
      </rPr>
      <t xml:space="preserve"> water dispensers</t>
    </r>
  </si>
  <si>
    <r>
      <t xml:space="preserve">"Groundbreaking Event" - </t>
    </r>
    <r>
      <rPr>
        <sz val="8"/>
        <color rgb="FF00B050"/>
        <rFont val="Arial"/>
        <family val="2"/>
      </rPr>
      <t>ECD 57</t>
    </r>
  </si>
  <si>
    <r>
      <t xml:space="preserve">Cost of preparing the construction site (aggregate) </t>
    </r>
    <r>
      <rPr>
        <b/>
        <sz val="8"/>
        <color rgb="FF00B050"/>
        <rFont val="Arial"/>
        <family val="2"/>
      </rPr>
      <t>ECD 14</t>
    </r>
  </si>
  <si>
    <r>
      <t>Water-sewage connection</t>
    </r>
    <r>
      <rPr>
        <b/>
        <sz val="8"/>
        <color rgb="FF00B050"/>
        <rFont val="Arial"/>
        <family val="2"/>
      </rPr>
      <t xml:space="preserve"> ECD 5</t>
    </r>
  </si>
  <si>
    <r>
      <t xml:space="preserve">Equipment (kitchen equipment, offices + furniture) </t>
    </r>
    <r>
      <rPr>
        <sz val="8"/>
        <color rgb="FF00B050"/>
        <rFont val="Arial"/>
        <family val="2"/>
      </rPr>
      <t>ECD 9; ECD 9 rev 1</t>
    </r>
  </si>
  <si>
    <r>
      <t xml:space="preserve">Kitchen with </t>
    </r>
    <r>
      <rPr>
        <sz val="8"/>
        <color rgb="FF00B050"/>
        <rFont val="Arial"/>
        <family val="2"/>
      </rPr>
      <t>ECD 36</t>
    </r>
    <r>
      <rPr>
        <sz val="8"/>
        <color theme="1"/>
        <rFont val="Arial"/>
        <family val="2"/>
      </rPr>
      <t xml:space="preserve"> household appliances</t>
    </r>
  </si>
  <si>
    <r>
      <t xml:space="preserve">Furniture for the investor </t>
    </r>
    <r>
      <rPr>
        <sz val="8"/>
        <color rgb="FF00B050"/>
        <rFont val="Arial"/>
        <family val="2"/>
      </rPr>
      <t>ECD 9 rev 2</t>
    </r>
  </si>
  <si>
    <r>
      <t xml:space="preserve">Equipment (kitchen equipment, offices + furniture) </t>
    </r>
    <r>
      <rPr>
        <b/>
        <sz val="8"/>
        <color rgb="FF00B050"/>
        <rFont val="Arial"/>
        <family val="2"/>
      </rPr>
      <t>ECD 9; ECD 9 rev 1</t>
    </r>
  </si>
  <si>
    <r>
      <rPr>
        <b/>
        <sz val="8"/>
        <color rgb="FF00B050"/>
        <rFont val="Arial"/>
        <family val="2"/>
      </rPr>
      <t>ECD 37</t>
    </r>
    <r>
      <rPr>
        <b/>
        <sz val="8"/>
        <color theme="1"/>
        <rFont val="Arial"/>
        <family val="2"/>
      </rPr>
      <t xml:space="preserve"> Internet connection</t>
    </r>
  </si>
  <si>
    <r>
      <t xml:space="preserve">multimedia equipment </t>
    </r>
    <r>
      <rPr>
        <sz val="8"/>
        <color rgb="FF00B050"/>
        <rFont val="Arial"/>
        <family val="2"/>
      </rPr>
      <t>ECD 33</t>
    </r>
  </si>
  <si>
    <r>
      <rPr>
        <sz val="8"/>
        <color rgb="FF00B050"/>
        <rFont val="Arial"/>
        <family val="2"/>
      </rPr>
      <t>ECD 37</t>
    </r>
    <r>
      <rPr>
        <sz val="8"/>
        <color theme="1"/>
        <rFont val="Arial"/>
        <family val="2"/>
      </rPr>
      <t xml:space="preserve"> Internet connection</t>
    </r>
  </si>
  <si>
    <r>
      <t xml:space="preserve">Coffee tea - meeting 29.01.2026 </t>
    </r>
    <r>
      <rPr>
        <sz val="8"/>
        <color rgb="FF00B050"/>
        <rFont val="Arial"/>
        <family val="2"/>
      </rPr>
      <t>ECD 23</t>
    </r>
  </si>
  <si>
    <r>
      <t xml:space="preserve">Coffee Tea - </t>
    </r>
    <r>
      <rPr>
        <sz val="8"/>
        <color rgb="FF00B050"/>
        <rFont val="Arial"/>
        <family val="2"/>
      </rPr>
      <t>ECD 8</t>
    </r>
    <r>
      <rPr>
        <sz val="8"/>
        <color theme="1"/>
        <rFont val="Arial"/>
        <family val="2"/>
      </rPr>
      <t xml:space="preserve"> kick off meeting</t>
    </r>
  </si>
  <si>
    <r>
      <t>Lease of</t>
    </r>
    <r>
      <rPr>
        <sz val="8"/>
        <color rgb="FF00B050"/>
        <rFont val="Arial"/>
        <family val="2"/>
      </rPr>
      <t xml:space="preserve"> ECD 28</t>
    </r>
    <r>
      <rPr>
        <sz val="8"/>
        <color theme="1"/>
        <rFont val="Arial"/>
        <family val="2"/>
      </rPr>
      <t xml:space="preserve"> coffee machine</t>
    </r>
  </si>
  <si>
    <r>
      <t xml:space="preserve">Sanitary Wholesaler - Open Order </t>
    </r>
    <r>
      <rPr>
        <sz val="8"/>
        <color rgb="FF00B050"/>
        <rFont val="Arial"/>
        <family val="2"/>
      </rPr>
      <t>ECD 40</t>
    </r>
  </si>
  <si>
    <r>
      <t xml:space="preserve">Cleaning the </t>
    </r>
    <r>
      <rPr>
        <sz val="8"/>
        <color rgb="FF00B050"/>
        <rFont val="Arial"/>
        <family val="2"/>
      </rPr>
      <t>ECD 35</t>
    </r>
    <r>
      <rPr>
        <sz val="8"/>
        <color theme="1"/>
        <rFont val="Arial"/>
        <family val="2"/>
      </rPr>
      <t xml:space="preserve"> back room</t>
    </r>
  </si>
  <si>
    <r>
      <rPr>
        <sz val="8"/>
        <color rgb="FF00B050"/>
        <rFont val="Arial"/>
        <family val="2"/>
      </rPr>
      <t>ECD 32</t>
    </r>
    <r>
      <rPr>
        <sz val="8"/>
        <color theme="1"/>
        <rFont val="Arial"/>
        <family val="2"/>
      </rPr>
      <t xml:space="preserve"> Office Supplies</t>
    </r>
  </si>
  <si>
    <r>
      <t xml:space="preserve">Electricity </t>
    </r>
    <r>
      <rPr>
        <sz val="8"/>
        <color rgb="FF00B050"/>
        <rFont val="Arial"/>
        <family val="2"/>
      </rPr>
      <t>ECD 26</t>
    </r>
  </si>
  <si>
    <r>
      <t xml:space="preserve">Rental of a crane for driving a shovel </t>
    </r>
    <r>
      <rPr>
        <sz val="8"/>
        <color rgb="FF00B050"/>
        <rFont val="Arial"/>
        <family val="2"/>
      </rPr>
      <t>ECD 3</t>
    </r>
  </si>
  <si>
    <t>Daniel Bartosz Usługi instalacyjne</t>
  </si>
  <si>
    <t>4.11.1</t>
  </si>
  <si>
    <r>
      <t xml:space="preserve">Gas network renovation- </t>
    </r>
    <r>
      <rPr>
        <sz val="8"/>
        <color rgb="FF00B050"/>
        <rFont val="Arial"/>
        <family val="2"/>
      </rPr>
      <t>ECD 58</t>
    </r>
  </si>
  <si>
    <r>
      <t>Storage and storage yards (aggregate)</t>
    </r>
    <r>
      <rPr>
        <sz val="8"/>
        <color rgb="FF00B050"/>
        <rFont val="Arial"/>
        <family val="2"/>
      </rPr>
      <t xml:space="preserve"> ECR 3</t>
    </r>
  </si>
  <si>
    <r>
      <t xml:space="preserve">Cost of preparing the construction site (aggregate) </t>
    </r>
    <r>
      <rPr>
        <sz val="8"/>
        <color rgb="FF00B050"/>
        <rFont val="Arial"/>
        <family val="2"/>
      </rPr>
      <t>ECD 14</t>
    </r>
  </si>
  <si>
    <r>
      <t xml:space="preserve">Construction site and temporary road lighting </t>
    </r>
    <r>
      <rPr>
        <sz val="8"/>
        <color rgb="FF00B050"/>
        <rFont val="Arial"/>
        <family val="2"/>
      </rPr>
      <t>ECD 7</t>
    </r>
  </si>
  <si>
    <r>
      <t xml:space="preserve">Construction site and temporary road lighting </t>
    </r>
    <r>
      <rPr>
        <sz val="8"/>
        <color rgb="FF00B050"/>
        <rFont val="Arial"/>
        <family val="2"/>
      </rPr>
      <t>ECD 7 REV 1</t>
    </r>
  </si>
  <si>
    <r>
      <t xml:space="preserve">Delivery of the </t>
    </r>
    <r>
      <rPr>
        <sz val="8"/>
        <color rgb="FF00B050"/>
        <rFont val="Arial"/>
        <family val="2"/>
      </rPr>
      <t xml:space="preserve">ECD 7 REV 2 </t>
    </r>
    <r>
      <rPr>
        <sz val="8"/>
        <rFont val="Arial"/>
        <family val="2"/>
      </rPr>
      <t>cabinet</t>
    </r>
  </si>
  <si>
    <r>
      <t xml:space="preserve">Electrical power supply of the </t>
    </r>
    <r>
      <rPr>
        <sz val="8"/>
        <color rgb="FF00B050"/>
        <rFont val="Arial"/>
        <family val="2"/>
      </rPr>
      <t>ECD 7</t>
    </r>
    <r>
      <rPr>
        <sz val="8"/>
        <color theme="1"/>
        <rFont val="Arial"/>
        <family val="2"/>
      </rPr>
      <t xml:space="preserve"> construction</t>
    </r>
  </si>
  <si>
    <t>5.5.5</t>
  </si>
  <si>
    <r>
      <t xml:space="preserve">Bicycle crossing signage - </t>
    </r>
    <r>
      <rPr>
        <sz val="8"/>
        <color rgb="FF00B050"/>
        <rFont val="Arial"/>
        <family val="2"/>
      </rPr>
      <t>ECD52 REV 1</t>
    </r>
  </si>
  <si>
    <r>
      <t xml:space="preserve">Application for occupying the </t>
    </r>
    <r>
      <rPr>
        <sz val="8"/>
        <color rgb="FF00B050"/>
        <rFont val="Arial"/>
        <family val="2"/>
      </rPr>
      <t>ECD 52</t>
    </r>
    <r>
      <rPr>
        <sz val="8"/>
        <color theme="1"/>
        <rFont val="Arial"/>
        <family val="2"/>
      </rPr>
      <t xml:space="preserve"> road lane</t>
    </r>
  </si>
  <si>
    <r>
      <t xml:space="preserve">Fence of the construction site with wickets and gates </t>
    </r>
    <r>
      <rPr>
        <sz val="8"/>
        <color rgb="FF00B050"/>
        <rFont val="Arial"/>
        <family val="2"/>
      </rPr>
      <t>ECD 16</t>
    </r>
  </si>
  <si>
    <r>
      <t>Aggregate</t>
    </r>
    <r>
      <rPr>
        <sz val="8"/>
        <color rgb="FF00B050"/>
        <rFont val="Arial"/>
        <family val="2"/>
      </rPr>
      <t xml:space="preserve"> ECD 14 rev 2</t>
    </r>
  </si>
  <si>
    <r>
      <t>TAS</t>
    </r>
    <r>
      <rPr>
        <sz val="8"/>
        <color rgb="FF00B050"/>
        <rFont val="Arial"/>
        <family val="2"/>
      </rPr>
      <t xml:space="preserve"> ECD 48</t>
    </r>
    <r>
      <rPr>
        <sz val="8"/>
        <color theme="1"/>
        <rFont val="Arial"/>
        <family val="2"/>
      </rPr>
      <t xml:space="preserve"> stairs</t>
    </r>
  </si>
  <si>
    <r>
      <t>MON</t>
    </r>
    <r>
      <rPr>
        <sz val="8"/>
        <color rgb="FF00B050"/>
        <rFont val="Arial"/>
        <family val="2"/>
      </rPr>
      <t xml:space="preserve"> ECD 1</t>
    </r>
    <r>
      <rPr>
        <sz val="8"/>
        <color theme="1"/>
        <rFont val="Arial"/>
        <family val="2"/>
      </rPr>
      <t xml:space="preserve"> boards</t>
    </r>
  </si>
  <si>
    <r>
      <t xml:space="preserve">Monitoring of existing buildings </t>
    </r>
    <r>
      <rPr>
        <sz val="8"/>
        <color rgb="FF00B050"/>
        <rFont val="Arial"/>
        <family val="2"/>
      </rPr>
      <t>ECD 22</t>
    </r>
  </si>
  <si>
    <r>
      <t xml:space="preserve">Mountaineering service - installation of </t>
    </r>
    <r>
      <rPr>
        <sz val="8"/>
        <color rgb="FF00B050"/>
        <rFont val="Arial"/>
        <family val="2"/>
      </rPr>
      <t>ECD 30 / ECD 30 rev 1</t>
    </r>
    <r>
      <rPr>
        <sz val="8"/>
        <color theme="1"/>
        <rFont val="Arial"/>
        <family val="2"/>
      </rPr>
      <t xml:space="preserve"> cameras</t>
    </r>
  </si>
  <si>
    <r>
      <t xml:space="preserve">Safety and Environmental Management System </t>
    </r>
    <r>
      <rPr>
        <sz val="8"/>
        <color rgb="FF00B050"/>
        <rFont val="Arial"/>
        <family val="2"/>
      </rPr>
      <t>ECD 25</t>
    </r>
  </si>
  <si>
    <r>
      <t xml:space="preserve">Open order - OHS equipment </t>
    </r>
    <r>
      <rPr>
        <sz val="8"/>
        <color rgb="FF00B050"/>
        <rFont val="Arial"/>
        <family val="2"/>
      </rPr>
      <t>ECD 43</t>
    </r>
  </si>
  <si>
    <r>
      <rPr>
        <sz val="8"/>
        <color rgb="FF00B050"/>
        <rFont val="Arial"/>
        <family val="2"/>
      </rPr>
      <t>ECD 10</t>
    </r>
    <r>
      <rPr>
        <sz val="8"/>
        <color theme="1"/>
        <rFont val="Arial"/>
        <family val="2"/>
      </rPr>
      <t xml:space="preserve"> construction support</t>
    </r>
  </si>
  <si>
    <r>
      <rPr>
        <sz val="8"/>
        <color rgb="FF00B050"/>
        <rFont val="Arial"/>
        <family val="2"/>
      </rPr>
      <t>ECD 11</t>
    </r>
    <r>
      <rPr>
        <sz val="8"/>
        <color theme="1"/>
        <rFont val="Arial"/>
        <family val="2"/>
      </rPr>
      <t xml:space="preserve"> construction support</t>
    </r>
  </si>
  <si>
    <t>Costi Indiiretti</t>
  </si>
  <si>
    <t>DA ORDINARE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</si>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</sst>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_ ;[Red]\-#,##0.00\ "/>
    <numFmt numFmtId="166" formatCode="#,##0.000"/>
  </numFmts>
  <fonts count="67">
    <font>
      <sz val="11"/>
      <color theme="1"/>
      <name val="Aptos Narrow"/>
      <family val="2"/>
      <scheme val="minor"/>
    </font>
    <font>
      <sz val="11"/>
      <color theme="1"/>
      <name val="Aptos Narrow"/>
      <family val="2"/>
      <scheme val="minor"/>
    </font>
    <font>
      <b/>
      <sz val="11"/>
      <color theme="1"/>
      <name val="Aptos Narrow"/>
      <family val="2"/>
      <scheme val="minor"/>
    </font>
    <font>
      <sz val="9"/>
      <color theme="1"/>
      <name val="Aptos Narrow"/>
      <family val="2"/>
      <scheme val="minor"/>
    </font>
    <font>
      <b/>
      <sz val="9"/>
      <color theme="1"/>
      <name val="Aptos Narrow"/>
      <family val="2"/>
      <scheme val="minor"/>
    </font>
    <font>
      <sz val="8"/>
      <color theme="1"/>
      <name val="Aptos Narrow"/>
      <family val="2"/>
      <scheme val="minor"/>
    </font>
    <font>
      <b/>
      <sz val="8"/>
      <color theme="1"/>
      <name val="Aptos Narrow"/>
      <family val="2"/>
      <scheme val="minor"/>
    </font>
    <font>
      <b/>
      <sz val="9"/>
      <color rgb="FF000000"/>
      <name val="Arial CE"/>
    </font>
    <font>
      <b/>
      <sz val="9"/>
      <color rgb="FF000000"/>
      <name val="Arial"/>
      <family val="2"/>
    </font>
    <font>
      <b/>
      <sz val="9"/>
      <color theme="1"/>
      <name val="Arial"/>
      <family val="2"/>
    </font>
    <font>
      <sz val="9"/>
      <color rgb="FF000000"/>
      <name val="Arial"/>
      <family val="2"/>
    </font>
    <font>
      <sz val="9"/>
      <color rgb="FF000000"/>
      <name val="Arial CE"/>
    </font>
    <font>
      <sz val="9"/>
      <color theme="1"/>
      <name val="Arial"/>
      <family val="2"/>
    </font>
    <font>
      <i/>
      <sz val="8"/>
      <color theme="1"/>
      <name val="Aptos Narrow"/>
      <family val="2"/>
      <scheme val="minor"/>
    </font>
    <font>
      <i/>
      <sz val="8"/>
      <color theme="1"/>
      <name val="Arial"/>
      <family val="2"/>
    </font>
    <font>
      <sz val="10"/>
      <name val="Arial CE"/>
      <charset val="238"/>
    </font>
    <font>
      <b/>
      <sz val="8"/>
      <name val="Arial CE"/>
      <charset val="238"/>
    </font>
    <font>
      <b/>
      <sz val="8"/>
      <name val="Arial"/>
      <family val="2"/>
      <charset val="238"/>
    </font>
    <font>
      <b/>
      <sz val="8"/>
      <color theme="7" tint="-0.249977111117893"/>
      <name val="Arial"/>
      <family val="2"/>
    </font>
    <font>
      <b/>
      <sz val="8"/>
      <color rgb="FFFF0000"/>
      <name val="Aptos Narrow"/>
      <family val="2"/>
      <scheme val="minor"/>
    </font>
    <font>
      <sz val="8"/>
      <color theme="7" tint="-0.249977111117893"/>
      <name val="Aptos Narrow"/>
      <family val="2"/>
      <scheme val="minor"/>
    </font>
    <font>
      <b/>
      <sz val="8"/>
      <color rgb="FF00B050"/>
      <name val="Aptos Narrow"/>
      <family val="2"/>
      <scheme val="minor"/>
    </font>
    <font>
      <sz val="8"/>
      <name val="Arial"/>
      <family val="2"/>
      <charset val="238"/>
    </font>
    <font>
      <sz val="8"/>
      <color theme="1"/>
      <name val="Arial"/>
      <family val="2"/>
      <charset val="238"/>
    </font>
    <font>
      <b/>
      <sz val="8"/>
      <color theme="1"/>
      <name val="Arial"/>
      <family val="2"/>
      <charset val="238"/>
    </font>
    <font>
      <b/>
      <sz val="8"/>
      <color indexed="8"/>
      <name val="Arial"/>
      <family val="2"/>
      <charset val="238"/>
    </font>
    <font>
      <b/>
      <sz val="8"/>
      <color theme="7" tint="-0.249977111117893"/>
      <name val="Aptos Narrow"/>
      <family val="2"/>
      <scheme val="minor"/>
    </font>
    <font>
      <b/>
      <sz val="8"/>
      <color rgb="FFFF0000"/>
      <name val="Arial"/>
      <family val="2"/>
      <charset val="238"/>
    </font>
    <font>
      <b/>
      <sz val="8"/>
      <color rgb="FF00B050"/>
      <name val="Arial"/>
      <family val="2"/>
      <charset val="238"/>
    </font>
    <font>
      <b/>
      <sz val="8"/>
      <color theme="7" tint="-0.249977111117893"/>
      <name val="Arial"/>
      <family val="2"/>
      <charset val="238"/>
    </font>
    <font>
      <b/>
      <sz val="8"/>
      <color indexed="55"/>
      <name val="Arial"/>
      <family val="2"/>
      <charset val="238"/>
    </font>
    <font>
      <sz val="8"/>
      <name val="Arial"/>
      <family val="2"/>
    </font>
    <font>
      <b/>
      <i/>
      <sz val="8"/>
      <name val="Arial"/>
      <family val="2"/>
      <charset val="238"/>
    </font>
    <font>
      <b/>
      <i/>
      <sz val="8"/>
      <color indexed="55"/>
      <name val="Arial"/>
      <family val="2"/>
      <charset val="238"/>
    </font>
    <font>
      <b/>
      <sz val="8"/>
      <name val="Arial"/>
      <family val="2"/>
    </font>
    <font>
      <sz val="8"/>
      <color indexed="8"/>
      <name val="Arial"/>
      <family val="2"/>
      <charset val="238"/>
    </font>
    <font>
      <sz val="8"/>
      <color indexed="8"/>
      <name val="Arial"/>
      <family val="2"/>
    </font>
    <font>
      <b/>
      <sz val="8"/>
      <color theme="1"/>
      <name val="Arial"/>
      <family val="2"/>
    </font>
    <font>
      <i/>
      <sz val="8"/>
      <color indexed="55"/>
      <name val="Arial"/>
      <family val="2"/>
      <charset val="238"/>
    </font>
    <font>
      <i/>
      <sz val="8"/>
      <name val="Arial"/>
      <family val="2"/>
      <charset val="238"/>
    </font>
    <font>
      <b/>
      <i/>
      <sz val="8"/>
      <color theme="7" tint="-0.249977111117893"/>
      <name val="Arial"/>
      <family val="2"/>
      <charset val="238"/>
    </font>
    <font>
      <b/>
      <i/>
      <strike/>
      <sz val="8"/>
      <color theme="7" tint="-0.249977111117893"/>
      <name val="Arial"/>
      <family val="2"/>
      <charset val="238"/>
    </font>
    <font>
      <b/>
      <strike/>
      <sz val="8"/>
      <color theme="7" tint="-0.249977111117893"/>
      <name val="Arial"/>
      <family val="2"/>
      <charset val="238"/>
    </font>
    <font>
      <b/>
      <i/>
      <strike/>
      <sz val="8"/>
      <name val="Arial"/>
      <family val="2"/>
      <charset val="238"/>
    </font>
    <font>
      <b/>
      <i/>
      <strike/>
      <sz val="8"/>
      <color indexed="55"/>
      <name val="Arial"/>
      <family val="2"/>
      <charset val="238"/>
    </font>
    <font>
      <b/>
      <i/>
      <sz val="8"/>
      <color theme="7" tint="-0.249977111117893"/>
      <name val="Arial"/>
      <family val="2"/>
    </font>
    <font>
      <sz val="8"/>
      <name val="Arial  "/>
      <charset val="238"/>
    </font>
    <font>
      <b/>
      <sz val="10"/>
      <color theme="1"/>
      <name val="Aptos Narrow"/>
      <family val="2"/>
      <scheme val="minor"/>
    </font>
    <font>
      <b/>
      <sz val="8"/>
      <color indexed="8"/>
      <name val="Arial"/>
      <family val="2"/>
    </font>
    <font>
      <sz val="8"/>
      <color theme="1"/>
      <name val="Arial"/>
      <family val="2"/>
    </font>
    <font>
      <sz val="10"/>
      <name val="Arial"/>
      <family val="2"/>
      <charset val="238"/>
    </font>
    <font>
      <sz val="8"/>
      <name val="Aptos Narrow"/>
      <family val="2"/>
      <scheme val="minor"/>
    </font>
    <font>
      <sz val="8"/>
      <name val="Arial CE"/>
    </font>
    <font>
      <sz val="11"/>
      <color theme="0"/>
      <name val="Aptos Narrow"/>
      <family val="2"/>
      <scheme val="minor"/>
    </font>
    <font>
      <sz val="11"/>
      <name val="Aptos Narrow"/>
      <family val="2"/>
      <scheme val="minor"/>
    </font>
    <font>
      <i/>
      <sz val="11"/>
      <color theme="1"/>
      <name val="Aptos Narrow"/>
      <family val="2"/>
      <scheme val="minor"/>
    </font>
    <font>
      <sz val="9"/>
      <color theme="0"/>
      <name val="Aptos Narrow"/>
      <family val="2"/>
      <scheme val="minor"/>
    </font>
    <font>
      <sz val="8"/>
      <color rgb="FFFF0000"/>
      <name val="Arial"/>
      <family val="2"/>
      <charset val="238"/>
    </font>
    <font>
      <sz val="8"/>
      <color theme="6" tint="0.39997558519241921"/>
      <name val="Arial"/>
      <family val="2"/>
    </font>
    <font>
      <sz val="8"/>
      <color theme="0" tint="-0.249977111117893"/>
      <name val="Arial"/>
      <family val="2"/>
    </font>
    <font>
      <b/>
      <strike/>
      <sz val="8"/>
      <name val="Arial"/>
      <family val="2"/>
    </font>
    <font>
      <b/>
      <sz val="8"/>
      <color rgb="FF00B050"/>
      <name val="Arial"/>
      <family val="2"/>
    </font>
    <font>
      <sz val="8"/>
      <color rgb="FF00B050"/>
      <name val="Arial"/>
      <family val="2"/>
    </font>
    <font>
      <sz val="8"/>
      <color rgb="FF00B050"/>
      <name val="Aptos Narrow"/>
      <family val="2"/>
      <scheme val="minor"/>
    </font>
    <font>
      <strike/>
      <sz val="8"/>
      <name val="Arial"/>
      <family val="2"/>
    </font>
    <font>
      <sz val="8"/>
      <color rgb="FFFF0000"/>
      <name val="Arial"/>
      <family val="2"/>
    </font>
    <font>
      <b/>
      <i/>
      <sz val="11"/>
      <color theme="1"/>
      <name val="Aptos Narrow"/>
      <family val="2"/>
      <scheme val="minor"/>
    </font>
  </fonts>
  <fills count="20">
    <fill>
      <patternFill patternType="none"/>
    </fill>
    <fill>
      <patternFill patternType="gray125"/>
    </fill>
    <fill>
      <patternFill patternType="solid">
        <fgColor rgb="FFFFC000"/>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FF99"/>
        <bgColor indexed="64"/>
      </patternFill>
    </fill>
    <fill>
      <patternFill patternType="solid">
        <fgColor rgb="FFFFF05D"/>
        <bgColor indexed="64"/>
      </patternFill>
    </fill>
    <fill>
      <patternFill patternType="solid">
        <fgColor theme="8"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bgColor indexed="64"/>
      </patternFill>
    </fill>
    <fill>
      <patternFill patternType="solid">
        <fgColor rgb="FFCCFFFF"/>
        <bgColor indexed="64"/>
      </patternFill>
    </fill>
    <fill>
      <patternFill patternType="solid">
        <fgColor indexed="41"/>
        <bgColor indexed="64"/>
      </patternFill>
    </fill>
    <fill>
      <patternFill patternType="solid">
        <fgColor theme="4" tint="0.79998168889431442"/>
        <bgColor indexed="64"/>
      </patternFill>
    </fill>
    <fill>
      <patternFill patternType="solid">
        <fgColor rgb="FF83E28E"/>
        <bgColor indexed="64"/>
      </patternFill>
    </fill>
    <fill>
      <patternFill patternType="solid">
        <fgColor rgb="FF83CCEB"/>
        <bgColor indexed="64"/>
      </patternFill>
    </fill>
    <fill>
      <patternFill patternType="solid">
        <fgColor rgb="FFFFFFD5"/>
        <bgColor indexed="64"/>
      </patternFill>
    </fill>
    <fill>
      <patternFill patternType="solid">
        <fgColor theme="6" tint="0.79998168889431442"/>
        <bgColor indexed="64"/>
      </patternFill>
    </fill>
    <fill>
      <patternFill patternType="solid">
        <fgColor theme="6" tint="0.59999389629810485"/>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style="thin">
        <color rgb="FF000000"/>
      </bottom>
      <diagonal/>
    </border>
    <border>
      <left style="thin">
        <color indexed="64"/>
      </left>
      <right/>
      <top style="medium">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top style="thin">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thin">
        <color indexed="64"/>
      </right>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rgb="FF000000"/>
      </left>
      <right style="medium">
        <color indexed="64"/>
      </right>
      <top style="thin">
        <color rgb="FF000000"/>
      </top>
      <bottom/>
      <diagonal/>
    </border>
    <border>
      <left style="medium">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dashed">
        <color indexed="64"/>
      </left>
      <right style="thin">
        <color indexed="64"/>
      </right>
      <top style="thin">
        <color indexed="64"/>
      </top>
      <bottom/>
      <diagonal/>
    </border>
    <border>
      <left style="dashed">
        <color indexed="64"/>
      </left>
      <right style="thin">
        <color indexed="64"/>
      </right>
      <top/>
      <bottom style="thin">
        <color indexed="64"/>
      </bottom>
      <diagonal/>
    </border>
    <border>
      <left style="dashed">
        <color indexed="64"/>
      </left>
      <right style="thin">
        <color indexed="64"/>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medium">
        <color indexed="64"/>
      </top>
      <bottom style="thin">
        <color theme="0" tint="-0.14996795556505021"/>
      </bottom>
      <diagonal/>
    </border>
    <border>
      <left style="thin">
        <color theme="0" tint="-0.14996795556505021"/>
      </left>
      <right/>
      <top/>
      <bottom/>
      <diagonal/>
    </border>
    <border>
      <left/>
      <right/>
      <top style="thin">
        <color theme="0" tint="-0.14996795556505021"/>
      </top>
      <bottom style="thin">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bottom/>
      <diagonal/>
    </border>
  </borders>
  <cellStyleXfs count="7">
    <xf numFmtId="0" fontId="0" fillId="0" borderId="0"/>
    <xf numFmtId="9" fontId="1" fillId="0" borderId="0" applyFont="0" applyFill="0" applyBorder="0" applyAlignment="0" applyProtection="0"/>
    <xf numFmtId="0" fontId="15" fillId="0" borderId="0"/>
    <xf numFmtId="0" fontId="1" fillId="0" borderId="0"/>
    <xf numFmtId="0" fontId="1" fillId="0" borderId="0"/>
    <xf numFmtId="0" fontId="50" fillId="0" borderId="0"/>
    <xf numFmtId="43" fontId="1" fillId="0" borderId="0" applyFont="0" applyFill="0" applyBorder="0" applyAlignment="0" applyProtection="0"/>
  </cellStyleXfs>
  <cellXfs count="985">
    <xf numFmtId="0" fontId="0" fillId="0" borderId="0" xfId="0"/>
    <xf numFmtId="0" fontId="3" fillId="0" borderId="0" xfId="0" applyFont="1"/>
    <xf numFmtId="3" fontId="3" fillId="0" borderId="0" xfId="0" applyNumberFormat="1" applyFont="1" applyAlignment="1">
      <alignment horizontal="center"/>
    </xf>
    <xf numFmtId="0" fontId="6" fillId="0" borderId="0" xfId="0" applyFont="1" applyAlignment="1">
      <alignment horizontal="center" vertical="center" wrapText="1"/>
    </xf>
    <xf numFmtId="3" fontId="6" fillId="0" borderId="0" xfId="0" applyNumberFormat="1" applyFont="1" applyAlignment="1">
      <alignment horizontal="center" vertical="center" wrapText="1"/>
    </xf>
    <xf numFmtId="0" fontId="7" fillId="2" borderId="2" xfId="0" applyFont="1" applyFill="1" applyBorder="1" applyAlignment="1">
      <alignment horizontal="right" vertical="center"/>
    </xf>
    <xf numFmtId="0" fontId="11" fillId="3" borderId="2" xfId="0" applyFont="1" applyFill="1" applyBorder="1" applyAlignment="1">
      <alignment horizontal="right" vertical="center"/>
    </xf>
    <xf numFmtId="0" fontId="3" fillId="0" borderId="0" xfId="0" applyFont="1" applyAlignment="1">
      <alignment vertical="center"/>
    </xf>
    <xf numFmtId="0" fontId="8" fillId="2" borderId="2" xfId="0" applyFont="1" applyFill="1" applyBorder="1" applyAlignment="1">
      <alignment horizontal="right" vertical="center" wrapText="1"/>
    </xf>
    <xf numFmtId="0" fontId="8" fillId="5" borderId="2" xfId="0" applyFont="1" applyFill="1" applyBorder="1" applyAlignment="1">
      <alignment horizontal="right" vertical="center" wrapText="1"/>
    </xf>
    <xf numFmtId="0" fontId="3" fillId="4" borderId="1" xfId="0" applyFont="1" applyFill="1" applyBorder="1" applyAlignment="1">
      <alignment vertical="center"/>
    </xf>
    <xf numFmtId="3" fontId="8" fillId="5" borderId="1" xfId="0" applyNumberFormat="1" applyFont="1" applyFill="1" applyBorder="1" applyAlignment="1">
      <alignment horizontal="center" vertical="center"/>
    </xf>
    <xf numFmtId="0" fontId="8" fillId="6" borderId="2" xfId="0" applyFont="1" applyFill="1" applyBorder="1" applyAlignment="1">
      <alignment horizontal="right" vertical="center" wrapText="1"/>
    </xf>
    <xf numFmtId="0" fontId="8" fillId="0" borderId="0" xfId="0" applyFont="1" applyAlignment="1">
      <alignment horizontal="right" vertical="center" wrapText="1"/>
    </xf>
    <xf numFmtId="3" fontId="8" fillId="0" borderId="0" xfId="0" applyNumberFormat="1" applyFont="1" applyAlignment="1">
      <alignment horizontal="center" vertical="center"/>
    </xf>
    <xf numFmtId="3" fontId="12" fillId="0" borderId="0" xfId="0" applyNumberFormat="1" applyFont="1" applyAlignment="1">
      <alignment horizontal="center" vertical="center" wrapText="1"/>
    </xf>
    <xf numFmtId="0" fontId="4" fillId="0" borderId="0" xfId="0" applyFont="1" applyAlignment="1">
      <alignment horizontal="right"/>
    </xf>
    <xf numFmtId="0" fontId="4" fillId="0" borderId="0" xfId="0" applyFont="1"/>
    <xf numFmtId="0" fontId="3" fillId="0" borderId="0" xfId="0" applyFont="1" applyAlignment="1">
      <alignment horizontal="right"/>
    </xf>
    <xf numFmtId="3" fontId="10" fillId="0" borderId="0" xfId="0" applyNumberFormat="1" applyFont="1" applyAlignment="1">
      <alignment horizontal="center" vertical="center"/>
    </xf>
    <xf numFmtId="3" fontId="3" fillId="0" borderId="0" xfId="0" applyNumberFormat="1" applyFont="1"/>
    <xf numFmtId="164" fontId="5" fillId="0" borderId="0" xfId="1" applyNumberFormat="1" applyFont="1" applyFill="1" applyAlignment="1">
      <alignment horizontal="left"/>
    </xf>
    <xf numFmtId="0" fontId="5" fillId="0" borderId="0" xfId="0" applyFont="1"/>
    <xf numFmtId="4" fontId="19" fillId="8" borderId="4" xfId="0" applyNumberFormat="1" applyFont="1" applyFill="1" applyBorder="1"/>
    <xf numFmtId="0" fontId="20" fillId="0" borderId="0" xfId="0" applyFont="1"/>
    <xf numFmtId="0" fontId="13" fillId="0" borderId="0" xfId="0" applyFont="1" applyAlignment="1">
      <alignment horizontal="right" vertical="center"/>
    </xf>
    <xf numFmtId="4" fontId="5" fillId="9" borderId="0" xfId="0" applyNumberFormat="1" applyFont="1" applyFill="1" applyAlignment="1">
      <alignment horizontal="right" vertical="center"/>
    </xf>
    <xf numFmtId="0" fontId="6" fillId="0" borderId="5" xfId="0" applyFont="1" applyBorder="1"/>
    <xf numFmtId="4" fontId="21" fillId="0" borderId="7" xfId="0" applyNumberFormat="1" applyFont="1" applyBorder="1"/>
    <xf numFmtId="4" fontId="5" fillId="10" borderId="0" xfId="0" applyNumberFormat="1" applyFont="1" applyFill="1" applyAlignment="1">
      <alignment horizontal="right" vertical="center"/>
    </xf>
    <xf numFmtId="4" fontId="19" fillId="0" borderId="7" xfId="0" applyNumberFormat="1" applyFont="1" applyBorder="1"/>
    <xf numFmtId="0" fontId="13" fillId="0" borderId="0" xfId="0" applyFont="1" applyAlignment="1">
      <alignment horizontal="right"/>
    </xf>
    <xf numFmtId="4" fontId="5" fillId="7" borderId="0" xfId="0" applyNumberFormat="1" applyFont="1" applyFill="1" applyAlignment="1">
      <alignment horizontal="right"/>
    </xf>
    <xf numFmtId="4" fontId="22" fillId="11" borderId="16" xfId="2" applyNumberFormat="1" applyFont="1" applyFill="1" applyBorder="1" applyAlignment="1">
      <alignment horizontal="right" vertical="center"/>
    </xf>
    <xf numFmtId="4" fontId="18" fillId="7" borderId="18" xfId="2" applyNumberFormat="1" applyFont="1" applyFill="1" applyBorder="1" applyAlignment="1">
      <alignment horizontal="right" vertical="center"/>
    </xf>
    <xf numFmtId="4" fontId="18" fillId="7" borderId="17" xfId="2" applyNumberFormat="1" applyFont="1" applyFill="1" applyBorder="1" applyAlignment="1">
      <alignment horizontal="right" vertical="center"/>
    </xf>
    <xf numFmtId="4" fontId="17" fillId="12" borderId="19" xfId="2" applyNumberFormat="1" applyFont="1" applyFill="1" applyBorder="1" applyAlignment="1">
      <alignment horizontal="left" vertical="center"/>
    </xf>
    <xf numFmtId="0" fontId="17" fillId="12" borderId="17" xfId="2" applyFont="1" applyFill="1" applyBorder="1" applyAlignment="1">
      <alignment horizontal="left"/>
    </xf>
    <xf numFmtId="4" fontId="18" fillId="7" borderId="1" xfId="2" applyNumberFormat="1" applyFont="1" applyFill="1" applyBorder="1" applyAlignment="1">
      <alignment horizontal="right" vertical="center"/>
    </xf>
    <xf numFmtId="4" fontId="18" fillId="7" borderId="20" xfId="2" applyNumberFormat="1" applyFont="1" applyFill="1" applyBorder="1" applyAlignment="1">
      <alignment horizontal="right" vertical="center"/>
    </xf>
    <xf numFmtId="4" fontId="17" fillId="12" borderId="3" xfId="2" applyNumberFormat="1" applyFont="1" applyFill="1" applyBorder="1" applyAlignment="1">
      <alignment horizontal="left" vertical="center"/>
    </xf>
    <xf numFmtId="0" fontId="17" fillId="12" borderId="20" xfId="2" applyFont="1" applyFill="1" applyBorder="1" applyAlignment="1">
      <alignment horizontal="left"/>
    </xf>
    <xf numFmtId="4" fontId="22" fillId="0" borderId="22" xfId="2" applyNumberFormat="1" applyFont="1" applyBorder="1" applyAlignment="1">
      <alignment horizontal="right" vertical="center"/>
    </xf>
    <xf numFmtId="4" fontId="18" fillId="7" borderId="24" xfId="2" applyNumberFormat="1" applyFont="1" applyFill="1" applyBorder="1" applyAlignment="1">
      <alignment horizontal="right" vertical="center"/>
    </xf>
    <xf numFmtId="4" fontId="18" fillId="7" borderId="23" xfId="2" applyNumberFormat="1" applyFont="1" applyFill="1" applyBorder="1" applyAlignment="1">
      <alignment horizontal="right" vertical="center"/>
    </xf>
    <xf numFmtId="4" fontId="17" fillId="12" borderId="25" xfId="2" applyNumberFormat="1" applyFont="1" applyFill="1" applyBorder="1" applyAlignment="1">
      <alignment horizontal="left" vertical="center"/>
    </xf>
    <xf numFmtId="0" fontId="17" fillId="12" borderId="23" xfId="2" applyFont="1" applyFill="1" applyBorder="1" applyAlignment="1">
      <alignment horizontal="left"/>
    </xf>
    <xf numFmtId="4" fontId="6" fillId="0" borderId="4" xfId="0" applyNumberFormat="1" applyFont="1" applyBorder="1"/>
    <xf numFmtId="4" fontId="6" fillId="0" borderId="0" xfId="0" applyNumberFormat="1" applyFont="1"/>
    <xf numFmtId="4" fontId="22" fillId="11" borderId="5" xfId="2" applyNumberFormat="1" applyFont="1" applyFill="1" applyBorder="1" applyAlignment="1">
      <alignment horizontal="right" vertical="center"/>
    </xf>
    <xf numFmtId="0" fontId="18" fillId="7" borderId="5" xfId="2" applyFont="1" applyFill="1" applyBorder="1" applyAlignment="1">
      <alignment horizontal="left" vertical="center"/>
    </xf>
    <xf numFmtId="4" fontId="18" fillId="7" borderId="27" xfId="2" applyNumberFormat="1" applyFont="1" applyFill="1" applyBorder="1" applyAlignment="1">
      <alignment horizontal="right" vertical="center"/>
    </xf>
    <xf numFmtId="4" fontId="18" fillId="7" borderId="26" xfId="2" applyNumberFormat="1" applyFont="1" applyFill="1" applyBorder="1" applyAlignment="1">
      <alignment horizontal="right" vertical="center"/>
    </xf>
    <xf numFmtId="4" fontId="17" fillId="12" borderId="28" xfId="2" applyNumberFormat="1" applyFont="1" applyFill="1" applyBorder="1" applyAlignment="1">
      <alignment horizontal="left" vertical="center"/>
    </xf>
    <xf numFmtId="4" fontId="22" fillId="11" borderId="13" xfId="2" applyNumberFormat="1" applyFont="1" applyFill="1" applyBorder="1" applyAlignment="1">
      <alignment horizontal="right" vertical="center"/>
    </xf>
    <xf numFmtId="4" fontId="22" fillId="11" borderId="22" xfId="2" applyNumberFormat="1" applyFont="1" applyFill="1" applyBorder="1" applyAlignment="1">
      <alignment horizontal="right" vertical="center"/>
    </xf>
    <xf numFmtId="0" fontId="18" fillId="7" borderId="5" xfId="0" applyFont="1" applyFill="1" applyBorder="1" applyAlignment="1">
      <alignment horizontal="left" vertical="center"/>
    </xf>
    <xf numFmtId="4" fontId="18" fillId="7" borderId="27" xfId="0" applyNumberFormat="1" applyFont="1" applyFill="1" applyBorder="1" applyAlignment="1">
      <alignment horizontal="right" vertical="center"/>
    </xf>
    <xf numFmtId="4" fontId="5" fillId="0" borderId="0" xfId="0" applyNumberFormat="1" applyFont="1" applyAlignment="1">
      <alignment horizontal="right" vertical="center"/>
    </xf>
    <xf numFmtId="0" fontId="25" fillId="2" borderId="31" xfId="2" applyFont="1" applyFill="1" applyBorder="1" applyAlignment="1">
      <alignment horizontal="center" vertical="center" wrapText="1"/>
    </xf>
    <xf numFmtId="4" fontId="17" fillId="2" borderId="31" xfId="2" applyNumberFormat="1" applyFont="1" applyFill="1" applyBorder="1" applyAlignment="1">
      <alignment horizontal="left" vertical="center"/>
    </xf>
    <xf numFmtId="0" fontId="17" fillId="2" borderId="26" xfId="2" applyFont="1" applyFill="1" applyBorder="1" applyAlignment="1">
      <alignment horizontal="left" vertical="center"/>
    </xf>
    <xf numFmtId="4" fontId="27" fillId="8" borderId="4" xfId="2" applyNumberFormat="1" applyFont="1" applyFill="1" applyBorder="1" applyAlignment="1">
      <alignment horizontal="right" vertical="center"/>
    </xf>
    <xf numFmtId="0" fontId="6" fillId="0" borderId="0" xfId="0" applyFont="1"/>
    <xf numFmtId="0" fontId="29" fillId="7" borderId="16" xfId="2" applyFont="1" applyFill="1" applyBorder="1" applyAlignment="1">
      <alignment horizontal="left" vertical="center"/>
    </xf>
    <xf numFmtId="4" fontId="29" fillId="7" borderId="18" xfId="2" applyNumberFormat="1" applyFont="1" applyFill="1" applyBorder="1" applyAlignment="1">
      <alignment horizontal="right" vertical="center"/>
    </xf>
    <xf numFmtId="4" fontId="29" fillId="7" borderId="17" xfId="2" applyNumberFormat="1" applyFont="1" applyFill="1" applyBorder="1" applyAlignment="1">
      <alignment horizontal="right" vertical="center"/>
    </xf>
    <xf numFmtId="0" fontId="30" fillId="13" borderId="17" xfId="2" applyFont="1" applyFill="1" applyBorder="1" applyAlignment="1">
      <alignment horizontal="left"/>
    </xf>
    <xf numFmtId="0" fontId="29" fillId="7" borderId="13" xfId="2" applyFont="1" applyFill="1" applyBorder="1" applyAlignment="1">
      <alignment horizontal="left" vertical="center"/>
    </xf>
    <xf numFmtId="4" fontId="29" fillId="7" borderId="1" xfId="2" applyNumberFormat="1" applyFont="1" applyFill="1" applyBorder="1" applyAlignment="1">
      <alignment horizontal="right" vertical="center"/>
    </xf>
    <xf numFmtId="4" fontId="29" fillId="7" borderId="20" xfId="2" applyNumberFormat="1" applyFont="1" applyFill="1" applyBorder="1" applyAlignment="1">
      <alignment horizontal="right" vertical="center"/>
    </xf>
    <xf numFmtId="0" fontId="29" fillId="7" borderId="22" xfId="2" applyFont="1" applyFill="1" applyBorder="1" applyAlignment="1">
      <alignment horizontal="left" vertical="center"/>
    </xf>
    <xf numFmtId="4" fontId="29" fillId="7" borderId="24" xfId="2" applyNumberFormat="1" applyFont="1" applyFill="1" applyBorder="1" applyAlignment="1">
      <alignment horizontal="right" vertical="center"/>
    </xf>
    <xf numFmtId="4" fontId="29" fillId="7" borderId="23" xfId="2" applyNumberFormat="1" applyFont="1" applyFill="1" applyBorder="1" applyAlignment="1">
      <alignment horizontal="right" vertical="center"/>
    </xf>
    <xf numFmtId="0" fontId="17" fillId="12" borderId="25" xfId="2" applyFont="1" applyFill="1" applyBorder="1" applyAlignment="1">
      <alignment horizontal="left"/>
    </xf>
    <xf numFmtId="0" fontId="17" fillId="12" borderId="34" xfId="2" applyFont="1" applyFill="1" applyBorder="1" applyAlignment="1">
      <alignment horizontal="left"/>
    </xf>
    <xf numFmtId="0" fontId="17" fillId="12" borderId="19" xfId="2" applyFont="1" applyFill="1" applyBorder="1" applyAlignment="1">
      <alignment horizontal="left"/>
    </xf>
    <xf numFmtId="0" fontId="17" fillId="12" borderId="3" xfId="2" applyFont="1" applyFill="1" applyBorder="1" applyAlignment="1">
      <alignment horizontal="left"/>
    </xf>
    <xf numFmtId="4" fontId="29" fillId="7" borderId="18" xfId="4" applyNumberFormat="1" applyFont="1" applyFill="1" applyBorder="1" applyAlignment="1">
      <alignment horizontal="right" vertical="center"/>
    </xf>
    <xf numFmtId="4" fontId="29" fillId="7" borderId="1" xfId="4" applyNumberFormat="1" applyFont="1" applyFill="1" applyBorder="1" applyAlignment="1">
      <alignment horizontal="right" vertical="center"/>
    </xf>
    <xf numFmtId="0" fontId="17" fillId="12" borderId="3" xfId="2" applyFont="1" applyFill="1" applyBorder="1" applyAlignment="1">
      <alignment horizontal="left" vertical="center"/>
    </xf>
    <xf numFmtId="0" fontId="17" fillId="12" borderId="33" xfId="2" applyFont="1" applyFill="1" applyBorder="1" applyAlignment="1">
      <alignment horizontal="left"/>
    </xf>
    <xf numFmtId="0" fontId="17" fillId="12" borderId="33" xfId="2" applyFont="1" applyFill="1" applyBorder="1" applyAlignment="1">
      <alignment horizontal="left" vertical="center"/>
    </xf>
    <xf numFmtId="0" fontId="17" fillId="12" borderId="25" xfId="2" applyFont="1" applyFill="1" applyBorder="1" applyAlignment="1">
      <alignment horizontal="left" vertical="center"/>
    </xf>
    <xf numFmtId="4" fontId="17" fillId="12" borderId="25" xfId="2" applyNumberFormat="1" applyFont="1" applyFill="1" applyBorder="1" applyAlignment="1">
      <alignment vertical="center"/>
    </xf>
    <xf numFmtId="0" fontId="17" fillId="12" borderId="34" xfId="2" applyFont="1" applyFill="1" applyBorder="1" applyAlignment="1">
      <alignment horizontal="left" vertical="center"/>
    </xf>
    <xf numFmtId="4" fontId="17" fillId="12" borderId="19" xfId="2" applyNumberFormat="1" applyFont="1" applyFill="1" applyBorder="1" applyAlignment="1">
      <alignment vertical="center"/>
    </xf>
    <xf numFmtId="0" fontId="17" fillId="12" borderId="35" xfId="2" applyFont="1" applyFill="1" applyBorder="1" applyAlignment="1">
      <alignment horizontal="left"/>
    </xf>
    <xf numFmtId="4" fontId="29" fillId="7" borderId="14" xfId="2" applyNumberFormat="1" applyFont="1" applyFill="1" applyBorder="1" applyAlignment="1">
      <alignment horizontal="right" vertical="center"/>
    </xf>
    <xf numFmtId="4" fontId="17" fillId="12" borderId="3" xfId="2" applyNumberFormat="1" applyFont="1" applyFill="1" applyBorder="1" applyAlignment="1">
      <alignment vertical="center"/>
    </xf>
    <xf numFmtId="0" fontId="29" fillId="7" borderId="5" xfId="2" applyFont="1" applyFill="1" applyBorder="1" applyAlignment="1">
      <alignment horizontal="left" vertical="center"/>
    </xf>
    <xf numFmtId="4" fontId="29" fillId="7" borderId="27" xfId="2" applyNumberFormat="1" applyFont="1" applyFill="1" applyBorder="1" applyAlignment="1">
      <alignment horizontal="right" vertical="center"/>
    </xf>
    <xf numFmtId="4" fontId="29" fillId="7" borderId="26" xfId="2" applyNumberFormat="1" applyFont="1" applyFill="1" applyBorder="1" applyAlignment="1">
      <alignment horizontal="right" vertical="center"/>
    </xf>
    <xf numFmtId="4" fontId="17" fillId="12" borderId="28" xfId="2" applyNumberFormat="1" applyFont="1" applyFill="1" applyBorder="1" applyAlignment="1">
      <alignment vertical="center"/>
    </xf>
    <xf numFmtId="0" fontId="17" fillId="12" borderId="7" xfId="2" applyFont="1" applyFill="1" applyBorder="1" applyAlignment="1">
      <alignment horizontal="left"/>
    </xf>
    <xf numFmtId="4" fontId="5" fillId="0" borderId="0" xfId="0" applyNumberFormat="1" applyFont="1"/>
    <xf numFmtId="0" fontId="0" fillId="0" borderId="0" xfId="0" applyAlignment="1">
      <alignment wrapText="1"/>
    </xf>
    <xf numFmtId="0" fontId="16" fillId="2" borderId="26" xfId="2" applyFont="1" applyFill="1" applyBorder="1" applyAlignment="1">
      <alignment horizontal="left" vertical="center" wrapText="1"/>
    </xf>
    <xf numFmtId="0" fontId="5" fillId="0" borderId="0" xfId="0" applyFont="1" applyAlignment="1">
      <alignment wrapText="1"/>
    </xf>
    <xf numFmtId="0" fontId="6" fillId="0" borderId="0" xfId="0" applyFont="1" applyAlignment="1">
      <alignment wrapText="1"/>
    </xf>
    <xf numFmtId="4" fontId="6" fillId="2" borderId="4" xfId="0" applyNumberFormat="1" applyFont="1" applyFill="1" applyBorder="1" applyAlignment="1">
      <alignment vertical="center"/>
    </xf>
    <xf numFmtId="0" fontId="0" fillId="0" borderId="0" xfId="0" applyAlignment="1">
      <alignment vertical="center"/>
    </xf>
    <xf numFmtId="0" fontId="17" fillId="2" borderId="36" xfId="2" applyFont="1" applyFill="1" applyBorder="1" applyAlignment="1">
      <alignment horizontal="left" vertical="center" wrapText="1"/>
    </xf>
    <xf numFmtId="4" fontId="17" fillId="2" borderId="31" xfId="2" applyNumberFormat="1" applyFont="1" applyFill="1" applyBorder="1" applyAlignment="1">
      <alignment horizontal="right" vertical="center"/>
    </xf>
    <xf numFmtId="4" fontId="17" fillId="2" borderId="28" xfId="2" applyNumberFormat="1" applyFont="1" applyFill="1" applyBorder="1" applyAlignment="1">
      <alignment horizontal="left" vertical="center"/>
    </xf>
    <xf numFmtId="0" fontId="6" fillId="0" borderId="0" xfId="0" applyFont="1" applyAlignment="1">
      <alignment horizontal="center" vertical="top" wrapText="1"/>
    </xf>
    <xf numFmtId="0" fontId="17" fillId="0" borderId="37" xfId="2" quotePrefix="1" applyFont="1" applyBorder="1" applyAlignment="1">
      <alignment horizontal="left" vertical="center"/>
    </xf>
    <xf numFmtId="0" fontId="17" fillId="0" borderId="38" xfId="0" applyFont="1" applyBorder="1" applyAlignment="1">
      <alignment horizontal="left" vertical="center" wrapText="1"/>
    </xf>
    <xf numFmtId="4" fontId="22" fillId="0" borderId="19" xfId="2" applyNumberFormat="1" applyFont="1" applyBorder="1" applyAlignment="1">
      <alignment horizontal="right" vertical="center"/>
    </xf>
    <xf numFmtId="4" fontId="22" fillId="0" borderId="39" xfId="2" applyNumberFormat="1" applyFont="1" applyBorder="1" applyAlignment="1">
      <alignment horizontal="right" vertical="center"/>
    </xf>
    <xf numFmtId="0" fontId="30" fillId="7" borderId="16" xfId="2" applyFont="1" applyFill="1" applyBorder="1" applyAlignment="1">
      <alignment horizontal="left" vertical="center"/>
    </xf>
    <xf numFmtId="0" fontId="32" fillId="12" borderId="19" xfId="2" applyFont="1" applyFill="1" applyBorder="1" applyAlignment="1">
      <alignment horizontal="left" vertical="center"/>
    </xf>
    <xf numFmtId="0" fontId="22" fillId="0" borderId="14" xfId="2" quotePrefix="1" applyFont="1" applyBorder="1" applyAlignment="1">
      <alignment horizontal="center" vertical="center"/>
    </xf>
    <xf numFmtId="0" fontId="22" fillId="0" borderId="40" xfId="0" applyFont="1" applyBorder="1" applyAlignment="1">
      <alignment horizontal="left" vertical="center" wrapText="1"/>
    </xf>
    <xf numFmtId="4" fontId="22" fillId="0" borderId="3" xfId="2" applyNumberFormat="1" applyFont="1" applyBorder="1" applyAlignment="1">
      <alignment horizontal="right" vertical="center"/>
    </xf>
    <xf numFmtId="4" fontId="22" fillId="0" borderId="2" xfId="2" applyNumberFormat="1" applyFont="1" applyBorder="1" applyAlignment="1">
      <alignment horizontal="right" vertical="center"/>
    </xf>
    <xf numFmtId="0" fontId="30" fillId="7" borderId="13" xfId="2" applyFont="1" applyFill="1" applyBorder="1" applyAlignment="1">
      <alignment horizontal="left" vertical="center"/>
    </xf>
    <xf numFmtId="4" fontId="30" fillId="7" borderId="13" xfId="2" applyNumberFormat="1" applyFont="1" applyFill="1" applyBorder="1" applyAlignment="1">
      <alignment horizontal="left" vertical="center"/>
    </xf>
    <xf numFmtId="0" fontId="22" fillId="0" borderId="41" xfId="2" quotePrefix="1" applyFont="1" applyBorder="1" applyAlignment="1">
      <alignment horizontal="center" vertical="center"/>
    </xf>
    <xf numFmtId="0" fontId="22" fillId="0" borderId="42" xfId="0" applyFont="1" applyBorder="1" applyAlignment="1">
      <alignment horizontal="left" vertical="center" wrapText="1"/>
    </xf>
    <xf numFmtId="4" fontId="22" fillId="0" borderId="25" xfId="2" applyNumberFormat="1" applyFont="1" applyBorder="1" applyAlignment="1">
      <alignment horizontal="right" vertical="center"/>
    </xf>
    <xf numFmtId="0" fontId="30" fillId="7" borderId="22" xfId="2" applyFont="1" applyFill="1" applyBorder="1" applyAlignment="1">
      <alignment horizontal="left" vertical="center"/>
    </xf>
    <xf numFmtId="4" fontId="6" fillId="0" borderId="8" xfId="0" applyNumberFormat="1" applyFont="1" applyBorder="1"/>
    <xf numFmtId="0" fontId="17" fillId="7" borderId="22" xfId="2" applyFont="1" applyFill="1" applyBorder="1" applyAlignment="1">
      <alignment horizontal="left" vertical="center"/>
    </xf>
    <xf numFmtId="0" fontId="17" fillId="12" borderId="25" xfId="2" applyFont="1" applyFill="1" applyBorder="1" applyAlignment="1">
      <alignment horizontal="left" vertical="center" wrapText="1"/>
    </xf>
    <xf numFmtId="0" fontId="22" fillId="0" borderId="0" xfId="2" quotePrefix="1" applyFont="1" applyAlignment="1">
      <alignment horizontal="center" vertical="center"/>
    </xf>
    <xf numFmtId="0" fontId="22" fillId="0" borderId="0" xfId="0" applyFont="1" applyAlignment="1">
      <alignment horizontal="left" vertical="center" wrapText="1"/>
    </xf>
    <xf numFmtId="4" fontId="22" fillId="9" borderId="2" xfId="2" applyNumberFormat="1" applyFont="1" applyFill="1" applyBorder="1" applyAlignment="1">
      <alignment horizontal="right" vertical="center"/>
    </xf>
    <xf numFmtId="4" fontId="22" fillId="10" borderId="2" xfId="2" applyNumberFormat="1" applyFont="1" applyFill="1" applyBorder="1" applyAlignment="1">
      <alignment horizontal="right" vertical="center"/>
    </xf>
    <xf numFmtId="0" fontId="17" fillId="12" borderId="23" xfId="2" applyFont="1" applyFill="1" applyBorder="1" applyAlignment="1">
      <alignment horizontal="left" vertical="center"/>
    </xf>
    <xf numFmtId="0" fontId="17" fillId="12" borderId="20" xfId="2" applyFont="1" applyFill="1" applyBorder="1" applyAlignment="1">
      <alignment horizontal="left" vertical="center"/>
    </xf>
    <xf numFmtId="0" fontId="17" fillId="0" borderId="31" xfId="2" quotePrefix="1" applyFont="1" applyBorder="1" applyAlignment="1">
      <alignment horizontal="left" vertical="center"/>
    </xf>
    <xf numFmtId="4" fontId="22" fillId="0" borderId="28" xfId="2" applyNumberFormat="1" applyFont="1" applyBorder="1" applyAlignment="1">
      <alignment horizontal="right" vertical="center"/>
    </xf>
    <xf numFmtId="4" fontId="22" fillId="10" borderId="36" xfId="2" applyNumberFormat="1" applyFont="1" applyFill="1" applyBorder="1" applyAlignment="1">
      <alignment horizontal="right" vertical="center"/>
    </xf>
    <xf numFmtId="0" fontId="30" fillId="7" borderId="5" xfId="2" applyFont="1" applyFill="1" applyBorder="1" applyAlignment="1">
      <alignment horizontal="left" vertical="center"/>
    </xf>
    <xf numFmtId="4" fontId="22" fillId="0" borderId="36" xfId="2" applyNumberFormat="1" applyFont="1" applyBorder="1" applyAlignment="1">
      <alignment horizontal="right" vertical="center"/>
    </xf>
    <xf numFmtId="0" fontId="25" fillId="0" borderId="37" xfId="2" quotePrefix="1" applyFont="1" applyBorder="1" applyAlignment="1">
      <alignment horizontal="left" vertical="center" wrapText="1"/>
    </xf>
    <xf numFmtId="0" fontId="35" fillId="0" borderId="14" xfId="2" quotePrefix="1" applyFont="1" applyBorder="1" applyAlignment="1">
      <alignment horizontal="center" vertical="center" wrapText="1"/>
    </xf>
    <xf numFmtId="0" fontId="35" fillId="0" borderId="41" xfId="2" quotePrefix="1" applyFont="1" applyBorder="1" applyAlignment="1">
      <alignment horizontal="center" vertical="center" wrapText="1"/>
    </xf>
    <xf numFmtId="4" fontId="17" fillId="2" borderId="5" xfId="2" applyNumberFormat="1" applyFont="1" applyFill="1" applyBorder="1" applyAlignment="1">
      <alignment horizontal="right" vertical="center"/>
    </xf>
    <xf numFmtId="4" fontId="17" fillId="2" borderId="26" xfId="2" applyNumberFormat="1" applyFont="1" applyFill="1" applyBorder="1" applyAlignment="1">
      <alignment horizontal="right" vertical="center"/>
    </xf>
    <xf numFmtId="0" fontId="38" fillId="12" borderId="20" xfId="2" applyFont="1" applyFill="1" applyBorder="1" applyAlignment="1">
      <alignment horizontal="left" vertical="center"/>
    </xf>
    <xf numFmtId="0" fontId="38" fillId="12" borderId="17" xfId="2" applyFont="1" applyFill="1" applyBorder="1" applyAlignment="1">
      <alignment horizontal="left" vertical="center"/>
    </xf>
    <xf numFmtId="4" fontId="22" fillId="11" borderId="27" xfId="2" applyNumberFormat="1" applyFont="1" applyFill="1" applyBorder="1" applyAlignment="1">
      <alignment horizontal="right" vertical="center"/>
    </xf>
    <xf numFmtId="0" fontId="25" fillId="2" borderId="4" xfId="2" applyFont="1" applyFill="1" applyBorder="1" applyAlignment="1">
      <alignment horizontal="center" vertical="center" wrapText="1"/>
    </xf>
    <xf numFmtId="0" fontId="17" fillId="2" borderId="4" xfId="2" applyFont="1" applyFill="1" applyBorder="1" applyAlignment="1">
      <alignment horizontal="left" vertical="center" wrapText="1"/>
    </xf>
    <xf numFmtId="0" fontId="17" fillId="2" borderId="26" xfId="2" applyFont="1" applyFill="1" applyBorder="1" applyAlignment="1">
      <alignment horizontal="left"/>
    </xf>
    <xf numFmtId="4" fontId="6" fillId="8" borderId="4" xfId="0" applyNumberFormat="1" applyFont="1" applyFill="1" applyBorder="1"/>
    <xf numFmtId="4" fontId="22" fillId="11" borderId="37" xfId="2" applyNumberFormat="1" applyFont="1" applyFill="1" applyBorder="1" applyAlignment="1">
      <alignment horizontal="right" vertical="center"/>
    </xf>
    <xf numFmtId="4" fontId="22" fillId="11" borderId="41" xfId="2" applyNumberFormat="1" applyFont="1" applyFill="1" applyBorder="1" applyAlignment="1">
      <alignment horizontal="right" vertical="center"/>
    </xf>
    <xf numFmtId="0" fontId="17" fillId="0" borderId="15" xfId="2" quotePrefix="1" applyFont="1" applyBorder="1" applyAlignment="1">
      <alignment vertical="center"/>
    </xf>
    <xf numFmtId="0" fontId="17" fillId="0" borderId="47" xfId="0" applyFont="1" applyBorder="1" applyAlignment="1">
      <alignment horizontal="left" vertical="center" wrapText="1"/>
    </xf>
    <xf numFmtId="165" fontId="29" fillId="7" borderId="18" xfId="2" applyNumberFormat="1" applyFont="1" applyFill="1" applyBorder="1" applyAlignment="1">
      <alignment horizontal="right" vertical="center"/>
    </xf>
    <xf numFmtId="0" fontId="32" fillId="13" borderId="37" xfId="2" applyFont="1" applyFill="1" applyBorder="1" applyAlignment="1">
      <alignment horizontal="left" vertical="center"/>
    </xf>
    <xf numFmtId="0" fontId="33" fillId="13" borderId="17" xfId="2" applyFont="1" applyFill="1" applyBorder="1" applyAlignment="1">
      <alignment horizontal="left"/>
    </xf>
    <xf numFmtId="0" fontId="22" fillId="0" borderId="12" xfId="2" quotePrefix="1" applyFont="1" applyBorder="1" applyAlignment="1">
      <alignment horizontal="center" vertical="center"/>
    </xf>
    <xf numFmtId="4" fontId="22" fillId="11" borderId="14" xfId="2" applyNumberFormat="1" applyFont="1" applyFill="1" applyBorder="1" applyAlignment="1">
      <alignment horizontal="right" vertical="center"/>
    </xf>
    <xf numFmtId="0" fontId="29" fillId="7" borderId="1" xfId="2" applyFont="1" applyFill="1" applyBorder="1" applyAlignment="1">
      <alignment horizontal="right" vertical="center"/>
    </xf>
    <xf numFmtId="0" fontId="32" fillId="12" borderId="14" xfId="2" applyFont="1" applyFill="1" applyBorder="1" applyAlignment="1">
      <alignment horizontal="left" vertical="center"/>
    </xf>
    <xf numFmtId="0" fontId="32" fillId="12" borderId="20" xfId="2" applyFont="1" applyFill="1" applyBorder="1" applyAlignment="1">
      <alignment horizontal="left"/>
    </xf>
    <xf numFmtId="165" fontId="29" fillId="7" borderId="1" xfId="2" applyNumberFormat="1" applyFont="1" applyFill="1" applyBorder="1" applyAlignment="1">
      <alignment horizontal="right" vertical="center"/>
    </xf>
    <xf numFmtId="0" fontId="22" fillId="0" borderId="21" xfId="2" quotePrefix="1" applyFont="1" applyBorder="1" applyAlignment="1">
      <alignment horizontal="center" vertical="center"/>
    </xf>
    <xf numFmtId="165" fontId="29" fillId="7" borderId="24" xfId="2" applyNumberFormat="1" applyFont="1" applyFill="1" applyBorder="1" applyAlignment="1">
      <alignment horizontal="right" vertical="center"/>
    </xf>
    <xf numFmtId="0" fontId="17" fillId="0" borderId="15" xfId="2" quotePrefix="1" applyFont="1" applyBorder="1" applyAlignment="1">
      <alignment horizontal="left" vertical="center"/>
    </xf>
    <xf numFmtId="0" fontId="32" fillId="12" borderId="37" xfId="2" applyFont="1" applyFill="1" applyBorder="1" applyAlignment="1">
      <alignment horizontal="left" vertical="center"/>
    </xf>
    <xf numFmtId="0" fontId="33" fillId="12" borderId="17" xfId="2" applyFont="1" applyFill="1" applyBorder="1" applyAlignment="1">
      <alignment horizontal="left"/>
    </xf>
    <xf numFmtId="0" fontId="22" fillId="11" borderId="12" xfId="2" quotePrefix="1" applyFont="1" applyFill="1" applyBorder="1" applyAlignment="1">
      <alignment horizontal="center" vertical="center"/>
    </xf>
    <xf numFmtId="0" fontId="17" fillId="12" borderId="14" xfId="2" applyFont="1" applyFill="1" applyBorder="1" applyAlignment="1">
      <alignment horizontal="left" vertical="center"/>
    </xf>
    <xf numFmtId="165" fontId="42" fillId="7" borderId="1" xfId="2" applyNumberFormat="1" applyFont="1" applyFill="1" applyBorder="1" applyAlignment="1">
      <alignment horizontal="right" vertical="center"/>
    </xf>
    <xf numFmtId="0" fontId="43" fillId="12" borderId="14" xfId="2" applyFont="1" applyFill="1" applyBorder="1" applyAlignment="1">
      <alignment horizontal="left" vertical="center"/>
    </xf>
    <xf numFmtId="0" fontId="44" fillId="12" borderId="20" xfId="2" applyFont="1" applyFill="1" applyBorder="1" applyAlignment="1">
      <alignment horizontal="left"/>
    </xf>
    <xf numFmtId="0" fontId="33" fillId="12" borderId="20" xfId="2" applyFont="1" applyFill="1" applyBorder="1" applyAlignment="1">
      <alignment horizontal="left"/>
    </xf>
    <xf numFmtId="0" fontId="32" fillId="12" borderId="17" xfId="2" applyFont="1" applyFill="1" applyBorder="1" applyAlignment="1">
      <alignment horizontal="left"/>
    </xf>
    <xf numFmtId="0" fontId="23" fillId="0" borderId="49" xfId="0" applyFont="1" applyBorder="1" applyAlignment="1">
      <alignment horizontal="left" vertical="center" wrapText="1"/>
    </xf>
    <xf numFmtId="0" fontId="17" fillId="12" borderId="41" xfId="2" applyFont="1" applyFill="1" applyBorder="1" applyAlignment="1">
      <alignment horizontal="left" vertical="center"/>
    </xf>
    <xf numFmtId="2" fontId="6" fillId="0" borderId="0" xfId="0" applyNumberFormat="1" applyFont="1"/>
    <xf numFmtId="165" fontId="18" fillId="7" borderId="18" xfId="2" applyNumberFormat="1" applyFont="1" applyFill="1" applyBorder="1" applyAlignment="1">
      <alignment horizontal="right" vertical="center"/>
    </xf>
    <xf numFmtId="0" fontId="18" fillId="7" borderId="14" xfId="2" applyFont="1" applyFill="1" applyBorder="1" applyAlignment="1">
      <alignment horizontal="left" vertical="center"/>
    </xf>
    <xf numFmtId="0" fontId="18" fillId="7" borderId="1" xfId="2" applyFont="1" applyFill="1" applyBorder="1" applyAlignment="1">
      <alignment horizontal="right" vertical="center"/>
    </xf>
    <xf numFmtId="0" fontId="18" fillId="7" borderId="41" xfId="2" applyFont="1" applyFill="1" applyBorder="1" applyAlignment="1">
      <alignment horizontal="left" vertical="center"/>
    </xf>
    <xf numFmtId="0" fontId="18" fillId="7" borderId="24" xfId="2" applyFont="1" applyFill="1" applyBorder="1" applyAlignment="1">
      <alignment horizontal="right" vertical="center"/>
    </xf>
    <xf numFmtId="0" fontId="17" fillId="8" borderId="20" xfId="2" applyFont="1" applyFill="1" applyBorder="1" applyAlignment="1">
      <alignment horizontal="left"/>
    </xf>
    <xf numFmtId="0" fontId="17" fillId="0" borderId="4" xfId="2" quotePrefix="1" applyFont="1" applyBorder="1" applyAlignment="1">
      <alignment horizontal="left" vertical="center"/>
    </xf>
    <xf numFmtId="0" fontId="33" fillId="12" borderId="26" xfId="2" applyFont="1" applyFill="1" applyBorder="1" applyAlignment="1">
      <alignment horizontal="left"/>
    </xf>
    <xf numFmtId="4" fontId="19" fillId="0" borderId="0" xfId="0" applyNumberFormat="1" applyFont="1"/>
    <xf numFmtId="0" fontId="32" fillId="12" borderId="26" xfId="2" applyFont="1" applyFill="1" applyBorder="1" applyAlignment="1">
      <alignment horizontal="left"/>
    </xf>
    <xf numFmtId="4" fontId="19" fillId="8" borderId="30" xfId="0" applyNumberFormat="1" applyFont="1" applyFill="1" applyBorder="1"/>
    <xf numFmtId="0" fontId="16" fillId="2" borderId="4" xfId="2" applyFont="1" applyFill="1" applyBorder="1" applyAlignment="1">
      <alignment horizontal="center" vertical="center"/>
    </xf>
    <xf numFmtId="4" fontId="22" fillId="0" borderId="47" xfId="2" applyNumberFormat="1" applyFont="1" applyBorder="1" applyAlignment="1">
      <alignment horizontal="right" vertical="center"/>
    </xf>
    <xf numFmtId="4" fontId="6" fillId="2" borderId="6" xfId="0" applyNumberFormat="1" applyFont="1" applyFill="1" applyBorder="1" applyAlignment="1">
      <alignment vertical="center"/>
    </xf>
    <xf numFmtId="0" fontId="17" fillId="8" borderId="23" xfId="2" applyFont="1" applyFill="1" applyBorder="1" applyAlignment="1">
      <alignment horizontal="left"/>
    </xf>
    <xf numFmtId="4" fontId="29" fillId="7" borderId="50" xfId="2" applyNumberFormat="1" applyFont="1" applyFill="1" applyBorder="1" applyAlignment="1">
      <alignment horizontal="right" vertical="center"/>
    </xf>
    <xf numFmtId="4" fontId="6" fillId="0" borderId="30" xfId="0" applyNumberFormat="1" applyFont="1" applyBorder="1"/>
    <xf numFmtId="4" fontId="22" fillId="10" borderId="12" xfId="2" applyNumberFormat="1" applyFont="1" applyFill="1" applyBorder="1" applyAlignment="1">
      <alignment horizontal="right" vertical="center"/>
    </xf>
    <xf numFmtId="4" fontId="22" fillId="10" borderId="21" xfId="2" applyNumberFormat="1" applyFont="1" applyFill="1" applyBorder="1" applyAlignment="1">
      <alignment horizontal="right" vertical="center"/>
    </xf>
    <xf numFmtId="0" fontId="29" fillId="7" borderId="14" xfId="2" applyFont="1" applyFill="1" applyBorder="1" applyAlignment="1">
      <alignment horizontal="left" vertical="center"/>
    </xf>
    <xf numFmtId="0" fontId="29" fillId="7" borderId="41" xfId="2" applyFont="1" applyFill="1" applyBorder="1" applyAlignment="1">
      <alignment horizontal="left" vertical="center"/>
    </xf>
    <xf numFmtId="4" fontId="17" fillId="12" borderId="14" xfId="2" applyNumberFormat="1" applyFont="1" applyFill="1" applyBorder="1" applyAlignment="1">
      <alignment vertical="center"/>
    </xf>
    <xf numFmtId="4" fontId="17" fillId="12" borderId="41" xfId="2" applyNumberFormat="1" applyFont="1" applyFill="1" applyBorder="1" applyAlignment="1">
      <alignment vertical="center"/>
    </xf>
    <xf numFmtId="4" fontId="22" fillId="0" borderId="12" xfId="2" applyNumberFormat="1" applyFont="1" applyBorder="1" applyAlignment="1">
      <alignment horizontal="right" vertical="center"/>
    </xf>
    <xf numFmtId="4" fontId="22" fillId="0" borderId="21" xfId="2" applyNumberFormat="1" applyFont="1" applyBorder="1" applyAlignment="1">
      <alignment horizontal="right" vertical="center"/>
    </xf>
    <xf numFmtId="4" fontId="22" fillId="9" borderId="12" xfId="2" applyNumberFormat="1" applyFont="1" applyFill="1" applyBorder="1" applyAlignment="1">
      <alignment horizontal="right" vertical="center"/>
    </xf>
    <xf numFmtId="4" fontId="22" fillId="11" borderId="45" xfId="2" applyNumberFormat="1" applyFont="1" applyFill="1" applyBorder="1" applyAlignment="1">
      <alignment horizontal="right" vertical="center"/>
    </xf>
    <xf numFmtId="4" fontId="29" fillId="7" borderId="53" xfId="2" applyNumberFormat="1" applyFont="1" applyFill="1" applyBorder="1" applyAlignment="1">
      <alignment horizontal="right" vertical="center"/>
    </xf>
    <xf numFmtId="4" fontId="29" fillId="7" borderId="52" xfId="2" applyNumberFormat="1" applyFont="1" applyFill="1" applyBorder="1" applyAlignment="1">
      <alignment horizontal="right" vertical="center"/>
    </xf>
    <xf numFmtId="4" fontId="17" fillId="12" borderId="37" xfId="2" applyNumberFormat="1" applyFont="1" applyFill="1" applyBorder="1" applyAlignment="1">
      <alignment vertical="center"/>
    </xf>
    <xf numFmtId="4" fontId="22" fillId="0" borderId="15" xfId="2" applyNumberFormat="1" applyFont="1" applyBorder="1" applyAlignment="1">
      <alignment horizontal="right" vertical="center"/>
    </xf>
    <xf numFmtId="4" fontId="27" fillId="0" borderId="4" xfId="2" applyNumberFormat="1" applyFont="1" applyBorder="1" applyAlignment="1">
      <alignment horizontal="right" vertical="center"/>
    </xf>
    <xf numFmtId="4" fontId="22" fillId="10" borderId="4" xfId="2" applyNumberFormat="1" applyFont="1" applyFill="1" applyBorder="1" applyAlignment="1">
      <alignment horizontal="right" vertical="center"/>
    </xf>
    <xf numFmtId="0" fontId="30" fillId="7" borderId="14" xfId="2" applyFont="1" applyFill="1" applyBorder="1" applyAlignment="1">
      <alignment horizontal="left" vertical="center"/>
    </xf>
    <xf numFmtId="0" fontId="17" fillId="7" borderId="41" xfId="2" applyFont="1" applyFill="1" applyBorder="1" applyAlignment="1">
      <alignment horizontal="left" vertical="center"/>
    </xf>
    <xf numFmtId="4" fontId="22" fillId="0" borderId="55" xfId="2" applyNumberFormat="1" applyFont="1" applyBorder="1" applyAlignment="1">
      <alignment horizontal="right" vertical="center"/>
    </xf>
    <xf numFmtId="4" fontId="29" fillId="7" borderId="56" xfId="2" applyNumberFormat="1" applyFont="1" applyFill="1" applyBorder="1" applyAlignment="1">
      <alignment horizontal="right" vertical="center"/>
    </xf>
    <xf numFmtId="0" fontId="48" fillId="0" borderId="37" xfId="2" quotePrefix="1" applyFont="1" applyBorder="1" applyAlignment="1">
      <alignment horizontal="left" vertical="center" wrapText="1"/>
    </xf>
    <xf numFmtId="0" fontId="48" fillId="0" borderId="31" xfId="2" quotePrefix="1" applyFont="1" applyBorder="1" applyAlignment="1">
      <alignment horizontal="left" vertical="center" wrapText="1"/>
    </xf>
    <xf numFmtId="0" fontId="30" fillId="7" borderId="41" xfId="2" applyFont="1" applyFill="1" applyBorder="1" applyAlignment="1">
      <alignment horizontal="left" vertical="center"/>
    </xf>
    <xf numFmtId="4" fontId="34" fillId="2" borderId="26" xfId="2" applyNumberFormat="1" applyFont="1" applyFill="1" applyBorder="1" applyAlignment="1">
      <alignment vertical="center"/>
    </xf>
    <xf numFmtId="4" fontId="21" fillId="0" borderId="4" xfId="0" applyNumberFormat="1" applyFont="1" applyBorder="1"/>
    <xf numFmtId="4" fontId="19" fillId="0" borderId="4" xfId="0" applyNumberFormat="1" applyFont="1" applyBorder="1"/>
    <xf numFmtId="4" fontId="28" fillId="0" borderId="4" xfId="2" applyNumberFormat="1" applyFont="1" applyBorder="1" applyAlignment="1">
      <alignment horizontal="right" vertical="center"/>
    </xf>
    <xf numFmtId="2" fontId="6" fillId="0" borderId="4" xfId="0" applyNumberFormat="1" applyFont="1" applyBorder="1"/>
    <xf numFmtId="2" fontId="6" fillId="0" borderId="5" xfId="0" applyNumberFormat="1" applyFont="1" applyBorder="1"/>
    <xf numFmtId="0" fontId="17" fillId="12" borderId="14" xfId="2" applyFont="1" applyFill="1" applyBorder="1" applyAlignment="1">
      <alignment horizontal="left"/>
    </xf>
    <xf numFmtId="0" fontId="17" fillId="12" borderId="41" xfId="2" applyFont="1" applyFill="1" applyBorder="1" applyAlignment="1">
      <alignment horizontal="left"/>
    </xf>
    <xf numFmtId="4" fontId="22" fillId="10" borderId="22" xfId="2" applyNumberFormat="1" applyFont="1" applyFill="1" applyBorder="1" applyAlignment="1">
      <alignment horizontal="right" vertical="center"/>
    </xf>
    <xf numFmtId="4" fontId="22" fillId="0" borderId="16" xfId="2" applyNumberFormat="1" applyFont="1" applyBorder="1" applyAlignment="1">
      <alignment horizontal="right" vertical="center"/>
    </xf>
    <xf numFmtId="4" fontId="6" fillId="2" borderId="5" xfId="0" applyNumberFormat="1" applyFont="1" applyFill="1" applyBorder="1" applyAlignment="1">
      <alignment vertical="center"/>
    </xf>
    <xf numFmtId="4" fontId="28" fillId="0" borderId="5" xfId="2" applyNumberFormat="1" applyFont="1" applyBorder="1" applyAlignment="1">
      <alignment horizontal="right" vertical="center"/>
    </xf>
    <xf numFmtId="4" fontId="27" fillId="0" borderId="5" xfId="2" applyNumberFormat="1" applyFont="1" applyBorder="1" applyAlignment="1">
      <alignment horizontal="right" vertical="center"/>
    </xf>
    <xf numFmtId="4" fontId="22" fillId="9" borderId="13" xfId="2" applyNumberFormat="1" applyFont="1" applyFill="1" applyBorder="1" applyAlignment="1">
      <alignment horizontal="right" vertical="center"/>
    </xf>
    <xf numFmtId="4" fontId="22" fillId="10" borderId="5" xfId="2" applyNumberFormat="1" applyFont="1" applyFill="1" applyBorder="1" applyAlignment="1">
      <alignment horizontal="right" vertical="center"/>
    </xf>
    <xf numFmtId="4" fontId="22" fillId="0" borderId="5" xfId="2" applyNumberFormat="1" applyFont="1" applyBorder="1" applyAlignment="1">
      <alignment horizontal="right" vertical="center"/>
    </xf>
    <xf numFmtId="4" fontId="17" fillId="2" borderId="4" xfId="2" applyNumberFormat="1" applyFont="1" applyFill="1" applyBorder="1" applyAlignment="1">
      <alignment horizontal="right" vertical="center"/>
    </xf>
    <xf numFmtId="4" fontId="21" fillId="0" borderId="5" xfId="0" applyNumberFormat="1" applyFont="1" applyBorder="1"/>
    <xf numFmtId="4" fontId="18" fillId="7" borderId="28" xfId="2" applyNumberFormat="1" applyFont="1" applyFill="1" applyBorder="1" applyAlignment="1">
      <alignment vertical="center"/>
    </xf>
    <xf numFmtId="0" fontId="16" fillId="0" borderId="37" xfId="2" quotePrefix="1" applyFont="1" applyBorder="1" applyAlignment="1">
      <alignment vertical="center"/>
    </xf>
    <xf numFmtId="0" fontId="18" fillId="7" borderId="37" xfId="2" applyFont="1" applyFill="1" applyBorder="1" applyAlignment="1">
      <alignment horizontal="left" vertical="center"/>
    </xf>
    <xf numFmtId="3" fontId="13" fillId="4" borderId="57" xfId="0" applyNumberFormat="1" applyFont="1" applyFill="1" applyBorder="1" applyAlignment="1">
      <alignment horizontal="center"/>
    </xf>
    <xf numFmtId="0" fontId="5" fillId="0" borderId="0" xfId="0" applyFont="1" applyAlignment="1">
      <alignment vertical="center"/>
    </xf>
    <xf numFmtId="4" fontId="5" fillId="7" borderId="0" xfId="0" applyNumberFormat="1" applyFont="1" applyFill="1" applyAlignment="1">
      <alignment horizontal="right" vertical="center"/>
    </xf>
    <xf numFmtId="0" fontId="17" fillId="12" borderId="17" xfId="2" applyFont="1" applyFill="1" applyBorder="1" applyAlignment="1">
      <alignment horizontal="left" vertical="center"/>
    </xf>
    <xf numFmtId="0" fontId="17" fillId="12" borderId="26" xfId="2" applyFont="1" applyFill="1" applyBorder="1" applyAlignment="1">
      <alignment horizontal="left" vertical="center"/>
    </xf>
    <xf numFmtId="0" fontId="29" fillId="7" borderId="37" xfId="2" applyFont="1" applyFill="1" applyBorder="1" applyAlignment="1">
      <alignment horizontal="left" vertical="center"/>
    </xf>
    <xf numFmtId="0" fontId="17" fillId="8" borderId="20" xfId="2" applyFont="1" applyFill="1" applyBorder="1" applyAlignment="1">
      <alignment horizontal="left" vertical="center"/>
    </xf>
    <xf numFmtId="4" fontId="17" fillId="2" borderId="32" xfId="2" applyNumberFormat="1" applyFont="1" applyFill="1" applyBorder="1" applyAlignment="1">
      <alignment horizontal="right" vertical="center"/>
    </xf>
    <xf numFmtId="4" fontId="19" fillId="0" borderId="30" xfId="0" applyNumberFormat="1" applyFont="1" applyBorder="1"/>
    <xf numFmtId="4" fontId="6" fillId="0" borderId="0" xfId="0" applyNumberFormat="1" applyFont="1" applyAlignment="1">
      <alignment horizontal="center" vertical="center" wrapText="1"/>
    </xf>
    <xf numFmtId="3" fontId="9" fillId="5" borderId="21" xfId="0" applyNumberFormat="1" applyFont="1" applyFill="1" applyBorder="1" applyAlignment="1">
      <alignment horizontal="center" vertical="center" wrapText="1"/>
    </xf>
    <xf numFmtId="0" fontId="3" fillId="4" borderId="57" xfId="0" applyFont="1" applyFill="1" applyBorder="1" applyAlignment="1">
      <alignment vertical="center"/>
    </xf>
    <xf numFmtId="3" fontId="8" fillId="2" borderId="12" xfId="0" applyNumberFormat="1" applyFont="1" applyFill="1" applyBorder="1" applyAlignment="1">
      <alignment horizontal="center" vertical="center"/>
    </xf>
    <xf numFmtId="3" fontId="10" fillId="3" borderId="12" xfId="0" applyNumberFormat="1" applyFont="1" applyFill="1" applyBorder="1" applyAlignment="1">
      <alignment horizontal="center" vertical="center"/>
    </xf>
    <xf numFmtId="3" fontId="6" fillId="15" borderId="15" xfId="0" applyNumberFormat="1" applyFont="1" applyFill="1" applyBorder="1" applyAlignment="1">
      <alignment horizontal="center" vertical="center" wrapText="1"/>
    </xf>
    <xf numFmtId="4" fontId="29" fillId="7" borderId="6" xfId="2" applyNumberFormat="1" applyFont="1" applyFill="1" applyBorder="1" applyAlignment="1">
      <alignment horizontal="right" vertical="center"/>
    </xf>
    <xf numFmtId="0" fontId="22" fillId="0" borderId="2" xfId="0" applyFont="1" applyBorder="1" applyAlignment="1">
      <alignment horizontal="left" vertical="center" wrapText="1"/>
    </xf>
    <xf numFmtId="0" fontId="31" fillId="0" borderId="2" xfId="0" applyFont="1" applyBorder="1" applyAlignment="1">
      <alignment horizontal="left" vertical="center" wrapText="1"/>
    </xf>
    <xf numFmtId="0" fontId="22" fillId="0" borderId="43" xfId="0" applyFont="1" applyBorder="1" applyAlignment="1">
      <alignment horizontal="left" vertical="center" wrapText="1"/>
    </xf>
    <xf numFmtId="4" fontId="18" fillId="7" borderId="36" xfId="2" applyNumberFormat="1" applyFont="1" applyFill="1" applyBorder="1" applyAlignment="1">
      <alignment vertical="center"/>
    </xf>
    <xf numFmtId="4" fontId="34" fillId="2" borderId="4" xfId="2" applyNumberFormat="1" applyFont="1" applyFill="1" applyBorder="1" applyAlignment="1">
      <alignment vertical="center"/>
    </xf>
    <xf numFmtId="10" fontId="0" fillId="0" borderId="0" xfId="1" applyNumberFormat="1" applyFont="1"/>
    <xf numFmtId="4" fontId="0" fillId="0" borderId="0" xfId="0" applyNumberFormat="1"/>
    <xf numFmtId="0" fontId="22" fillId="12" borderId="23" xfId="2" applyFont="1" applyFill="1" applyBorder="1" applyAlignment="1">
      <alignment horizontal="left" vertical="center"/>
    </xf>
    <xf numFmtId="0" fontId="39" fillId="12" borderId="3" xfId="2" applyFont="1" applyFill="1" applyBorder="1" applyAlignment="1">
      <alignment horizontal="left" vertical="center"/>
    </xf>
    <xf numFmtId="0" fontId="17" fillId="7" borderId="37" xfId="2" applyFont="1" applyFill="1" applyBorder="1" applyAlignment="1">
      <alignment horizontal="left" vertical="center"/>
    </xf>
    <xf numFmtId="4" fontId="31" fillId="12" borderId="37" xfId="2" applyNumberFormat="1" applyFont="1" applyFill="1" applyBorder="1" applyAlignment="1">
      <alignment horizontal="left" vertical="center"/>
    </xf>
    <xf numFmtId="0" fontId="31" fillId="12" borderId="17" xfId="2" applyFont="1" applyFill="1" applyBorder="1" applyAlignment="1">
      <alignment horizontal="left" vertical="center"/>
    </xf>
    <xf numFmtId="4" fontId="31" fillId="12" borderId="14" xfId="2" applyNumberFormat="1" applyFont="1" applyFill="1" applyBorder="1" applyAlignment="1">
      <alignment horizontal="left" vertical="center"/>
    </xf>
    <xf numFmtId="0" fontId="31" fillId="12" borderId="14" xfId="2" applyFont="1" applyFill="1" applyBorder="1" applyAlignment="1">
      <alignment horizontal="left" vertical="center"/>
    </xf>
    <xf numFmtId="0" fontId="31" fillId="12" borderId="41" xfId="2" applyFont="1" applyFill="1" applyBorder="1" applyAlignment="1">
      <alignment horizontal="left" vertical="center"/>
    </xf>
    <xf numFmtId="0" fontId="31" fillId="12" borderId="20" xfId="2" applyFont="1" applyFill="1" applyBorder="1" applyAlignment="1">
      <alignment horizontal="left" vertical="center"/>
    </xf>
    <xf numFmtId="0" fontId="31" fillId="12" borderId="23" xfId="2" applyFont="1" applyFill="1" applyBorder="1" applyAlignment="1">
      <alignment horizontal="left" vertical="center"/>
    </xf>
    <xf numFmtId="0" fontId="34" fillId="0" borderId="39" xfId="0" applyFont="1" applyBorder="1" applyAlignment="1">
      <alignment horizontal="left" vertical="center" wrapText="1"/>
    </xf>
    <xf numFmtId="0" fontId="39" fillId="12" borderId="19" xfId="2" applyFont="1" applyFill="1" applyBorder="1" applyAlignment="1">
      <alignment horizontal="left" vertical="center"/>
    </xf>
    <xf numFmtId="0" fontId="30" fillId="7" borderId="37" xfId="2" applyFont="1" applyFill="1" applyBorder="1" applyAlignment="1">
      <alignment horizontal="left" vertical="center"/>
    </xf>
    <xf numFmtId="0" fontId="17" fillId="0" borderId="39" xfId="2" applyFont="1" applyBorder="1" applyAlignment="1">
      <alignment horizontal="left" vertical="center" wrapText="1"/>
    </xf>
    <xf numFmtId="0" fontId="29" fillId="7" borderId="37" xfId="2" applyFont="1" applyFill="1" applyBorder="1" applyAlignment="1">
      <alignment horizontal="left"/>
    </xf>
    <xf numFmtId="0" fontId="29" fillId="7" borderId="41" xfId="2" applyFont="1" applyFill="1" applyBorder="1" applyAlignment="1">
      <alignment horizontal="left"/>
    </xf>
    <xf numFmtId="0" fontId="17" fillId="0" borderId="6" xfId="0" applyFont="1" applyBorder="1" applyAlignment="1">
      <alignment horizontal="left" vertical="center" wrapText="1"/>
    </xf>
    <xf numFmtId="4" fontId="22" fillId="11" borderId="31" xfId="2" applyNumberFormat="1" applyFont="1" applyFill="1" applyBorder="1" applyAlignment="1">
      <alignment horizontal="right" vertical="center"/>
    </xf>
    <xf numFmtId="165" fontId="29" fillId="7" borderId="27" xfId="2" applyNumberFormat="1" applyFont="1" applyFill="1" applyBorder="1" applyAlignment="1">
      <alignment horizontal="right" vertical="center"/>
    </xf>
    <xf numFmtId="0" fontId="32" fillId="12" borderId="31" xfId="2" applyFont="1" applyFill="1" applyBorder="1" applyAlignment="1">
      <alignment horizontal="left" vertical="center"/>
    </xf>
    <xf numFmtId="4" fontId="37" fillId="0" borderId="0" xfId="0" applyNumberFormat="1" applyFont="1" applyAlignment="1">
      <alignment horizontal="center" vertical="center" wrapText="1"/>
    </xf>
    <xf numFmtId="0" fontId="37" fillId="0" borderId="0" xfId="0" applyFont="1" applyAlignment="1">
      <alignment horizontal="left" vertical="center" wrapText="1"/>
    </xf>
    <xf numFmtId="0" fontId="14" fillId="0" borderId="0" xfId="0" applyFont="1" applyAlignment="1">
      <alignment horizontal="right" vertical="center"/>
    </xf>
    <xf numFmtId="49" fontId="48" fillId="14" borderId="31" xfId="2" applyNumberFormat="1" applyFont="1" applyFill="1" applyBorder="1" applyAlignment="1">
      <alignment horizontal="center" vertical="center"/>
    </xf>
    <xf numFmtId="49" fontId="48" fillId="0" borderId="16" xfId="2" applyNumberFormat="1" applyFont="1" applyBorder="1" applyAlignment="1">
      <alignment horizontal="left" vertical="center"/>
    </xf>
    <xf numFmtId="49" fontId="48" fillId="0" borderId="22" xfId="2" applyNumberFormat="1" applyFont="1" applyBorder="1" applyAlignment="1">
      <alignment horizontal="left" vertical="center"/>
    </xf>
    <xf numFmtId="49" fontId="48" fillId="0" borderId="37" xfId="2" applyNumberFormat="1" applyFont="1" applyBorder="1" applyAlignment="1">
      <alignment horizontal="left" vertical="center"/>
    </xf>
    <xf numFmtId="49" fontId="36" fillId="0" borderId="41" xfId="2" quotePrefix="1" applyNumberFormat="1" applyFont="1" applyBorder="1" applyAlignment="1">
      <alignment horizontal="left" vertical="center"/>
    </xf>
    <xf numFmtId="49" fontId="36" fillId="0" borderId="14" xfId="2" quotePrefix="1" applyNumberFormat="1" applyFont="1" applyBorder="1" applyAlignment="1">
      <alignment horizontal="left" vertical="center"/>
    </xf>
    <xf numFmtId="49" fontId="48" fillId="0" borderId="31" xfId="2" quotePrefix="1" applyNumberFormat="1" applyFont="1" applyBorder="1" applyAlignment="1">
      <alignment horizontal="left" vertical="center"/>
    </xf>
    <xf numFmtId="49" fontId="48" fillId="0" borderId="31" xfId="2" applyNumberFormat="1" applyFont="1" applyBorder="1" applyAlignment="1">
      <alignment horizontal="left" vertical="center"/>
    </xf>
    <xf numFmtId="0" fontId="49" fillId="0" borderId="0" xfId="0" applyFont="1" applyAlignment="1">
      <alignment vertical="center"/>
    </xf>
    <xf numFmtId="0" fontId="49" fillId="0" borderId="0" xfId="0" applyFont="1" applyAlignment="1">
      <alignment vertical="center" wrapText="1"/>
    </xf>
    <xf numFmtId="0" fontId="49" fillId="0" borderId="0" xfId="0" applyFont="1"/>
    <xf numFmtId="0" fontId="34" fillId="9" borderId="4" xfId="2" applyFont="1" applyFill="1" applyBorder="1" applyAlignment="1">
      <alignment horizontal="center" vertical="center"/>
    </xf>
    <xf numFmtId="0" fontId="34" fillId="9" borderId="4" xfId="2" applyFont="1" applyFill="1" applyBorder="1" applyAlignment="1">
      <alignment horizontal="left" vertical="center" wrapText="1"/>
    </xf>
    <xf numFmtId="4" fontId="34" fillId="9" borderId="26" xfId="2" applyNumberFormat="1" applyFont="1" applyFill="1" applyBorder="1" applyAlignment="1">
      <alignment horizontal="center" vertical="center"/>
    </xf>
    <xf numFmtId="4" fontId="34" fillId="9" borderId="26" xfId="2" applyNumberFormat="1" applyFont="1" applyFill="1" applyBorder="1" applyAlignment="1">
      <alignment horizontal="left" vertical="center"/>
    </xf>
    <xf numFmtId="4" fontId="49" fillId="0" borderId="0" xfId="0" applyNumberFormat="1" applyFont="1" applyAlignment="1">
      <alignment horizontal="center" vertical="center"/>
    </xf>
    <xf numFmtId="0" fontId="49" fillId="0" borderId="0" xfId="0" applyFont="1" applyAlignment="1">
      <alignment horizontal="left" vertical="center"/>
    </xf>
    <xf numFmtId="0" fontId="49" fillId="0" borderId="0" xfId="0" applyFont="1" applyAlignment="1">
      <alignment horizontal="center" vertical="center"/>
    </xf>
    <xf numFmtId="0" fontId="49" fillId="0" borderId="0" xfId="0" applyFont="1" applyAlignment="1">
      <alignment horizontal="center" vertical="center" wrapText="1"/>
    </xf>
    <xf numFmtId="4" fontId="49" fillId="10" borderId="0" xfId="0" applyNumberFormat="1" applyFont="1" applyFill="1" applyAlignment="1">
      <alignment horizontal="center" vertical="center"/>
    </xf>
    <xf numFmtId="0" fontId="34" fillId="14" borderId="36" xfId="5" applyFont="1" applyFill="1" applyBorder="1" applyAlignment="1">
      <alignment vertical="center" wrapText="1"/>
    </xf>
    <xf numFmtId="4" fontId="34" fillId="14" borderId="4" xfId="5" applyNumberFormat="1" applyFont="1" applyFill="1" applyBorder="1" applyAlignment="1">
      <alignment horizontal="center" vertical="center"/>
    </xf>
    <xf numFmtId="0" fontId="34" fillId="14" borderId="28" xfId="5" applyFont="1" applyFill="1" applyBorder="1" applyAlignment="1">
      <alignment vertical="center"/>
    </xf>
    <xf numFmtId="0" fontId="34" fillId="14" borderId="26" xfId="5" applyFont="1" applyFill="1" applyBorder="1" applyAlignment="1">
      <alignment vertical="center"/>
    </xf>
    <xf numFmtId="0" fontId="31" fillId="0" borderId="17" xfId="5" applyFont="1" applyBorder="1" applyAlignment="1">
      <alignment vertical="center" wrapText="1"/>
    </xf>
    <xf numFmtId="0" fontId="49" fillId="12" borderId="37" xfId="0" applyFont="1" applyFill="1" applyBorder="1" applyAlignment="1">
      <alignment horizontal="left" vertical="center"/>
    </xf>
    <xf numFmtId="0" fontId="49" fillId="12" borderId="17" xfId="0" applyFont="1" applyFill="1" applyBorder="1" applyAlignment="1">
      <alignment horizontal="center" vertical="center"/>
    </xf>
    <xf numFmtId="0" fontId="31" fillId="0" borderId="23" xfId="5" applyFont="1" applyBorder="1" applyAlignment="1">
      <alignment vertical="center" wrapText="1"/>
    </xf>
    <xf numFmtId="4" fontId="49" fillId="0" borderId="21" xfId="0" applyNumberFormat="1" applyFont="1" applyBorder="1" applyAlignment="1">
      <alignment horizontal="center" vertical="center"/>
    </xf>
    <xf numFmtId="0" fontId="49" fillId="12" borderId="41" xfId="0" applyFont="1" applyFill="1" applyBorder="1" applyAlignment="1">
      <alignment horizontal="left" vertical="center"/>
    </xf>
    <xf numFmtId="0" fontId="49" fillId="12" borderId="23" xfId="0" applyFont="1" applyFill="1" applyBorder="1" applyAlignment="1">
      <alignment horizontal="center" vertical="center"/>
    </xf>
    <xf numFmtId="4" fontId="37" fillId="0" borderId="4" xfId="0" applyNumberFormat="1" applyFont="1" applyBorder="1" applyAlignment="1">
      <alignment horizontal="center" vertical="center"/>
    </xf>
    <xf numFmtId="4" fontId="49" fillId="0" borderId="12" xfId="0" applyNumberFormat="1" applyFont="1" applyBorder="1" applyAlignment="1">
      <alignment horizontal="center" vertical="center"/>
    </xf>
    <xf numFmtId="0" fontId="49" fillId="12" borderId="14" xfId="0" applyFont="1" applyFill="1" applyBorder="1" applyAlignment="1">
      <alignment horizontal="left" vertical="center"/>
    </xf>
    <xf numFmtId="0" fontId="49" fillId="12" borderId="20" xfId="0" applyFont="1" applyFill="1" applyBorder="1" applyAlignment="1">
      <alignment horizontal="center" vertical="center"/>
    </xf>
    <xf numFmtId="4" fontId="37" fillId="0" borderId="0" xfId="0" applyNumberFormat="1" applyFont="1" applyAlignment="1">
      <alignment horizontal="center" vertical="center"/>
    </xf>
    <xf numFmtId="16" fontId="31" fillId="0" borderId="20" xfId="2" quotePrefix="1" applyNumberFormat="1" applyFont="1" applyBorder="1" applyAlignment="1">
      <alignment horizontal="left" vertical="center" wrapText="1"/>
    </xf>
    <xf numFmtId="0" fontId="31" fillId="0" borderId="39" xfId="5" applyFont="1" applyBorder="1" applyAlignment="1">
      <alignment vertical="center" wrapText="1"/>
    </xf>
    <xf numFmtId="0" fontId="49" fillId="12" borderId="19" xfId="0" applyFont="1" applyFill="1" applyBorder="1" applyAlignment="1">
      <alignment horizontal="left" vertical="center"/>
    </xf>
    <xf numFmtId="0" fontId="31" fillId="0" borderId="43" xfId="5" applyFont="1" applyBorder="1" applyAlignment="1">
      <alignment horizontal="left" vertical="center" wrapText="1"/>
    </xf>
    <xf numFmtId="0" fontId="49" fillId="12" borderId="25" xfId="0" applyFont="1" applyFill="1" applyBorder="1" applyAlignment="1">
      <alignment horizontal="left" vertical="center"/>
    </xf>
    <xf numFmtId="0" fontId="49" fillId="12" borderId="3" xfId="0" applyFont="1" applyFill="1" applyBorder="1" applyAlignment="1">
      <alignment horizontal="left" vertical="center"/>
    </xf>
    <xf numFmtId="0" fontId="49" fillId="11" borderId="43" xfId="0" applyFont="1" applyFill="1" applyBorder="1" applyAlignment="1">
      <alignment horizontal="left" vertical="center" wrapText="1"/>
    </xf>
    <xf numFmtId="0" fontId="49" fillId="12" borderId="28" xfId="0" applyFont="1" applyFill="1" applyBorder="1" applyAlignment="1">
      <alignment horizontal="left" vertical="center"/>
    </xf>
    <xf numFmtId="0" fontId="49" fillId="12" borderId="26" xfId="0" applyFont="1" applyFill="1" applyBorder="1" applyAlignment="1">
      <alignment horizontal="center" vertical="center"/>
    </xf>
    <xf numFmtId="0" fontId="49" fillId="0" borderId="2" xfId="0" applyFont="1" applyBorder="1" applyAlignment="1">
      <alignment horizontal="left" vertical="center" wrapText="1"/>
    </xf>
    <xf numFmtId="0" fontId="49" fillId="0" borderId="43" xfId="0" applyFont="1" applyBorder="1" applyAlignment="1">
      <alignment horizontal="left" vertical="center" wrapText="1"/>
    </xf>
    <xf numFmtId="4" fontId="49" fillId="10" borderId="4" xfId="0" applyNumberFormat="1" applyFont="1" applyFill="1" applyBorder="1" applyAlignment="1">
      <alignment horizontal="center" vertical="center"/>
    </xf>
    <xf numFmtId="4" fontId="49" fillId="0" borderId="16" xfId="0" applyNumberFormat="1" applyFont="1" applyBorder="1" applyAlignment="1">
      <alignment horizontal="center" vertical="center"/>
    </xf>
    <xf numFmtId="4" fontId="49" fillId="0" borderId="13" xfId="0" applyNumberFormat="1" applyFont="1" applyBorder="1" applyAlignment="1">
      <alignment horizontal="center" vertical="center"/>
    </xf>
    <xf numFmtId="4" fontId="49" fillId="0" borderId="22" xfId="0" applyNumberFormat="1" applyFont="1" applyBorder="1" applyAlignment="1">
      <alignment horizontal="center" vertical="center"/>
    </xf>
    <xf numFmtId="4" fontId="37" fillId="0" borderId="5" xfId="0" applyNumberFormat="1" applyFont="1" applyBorder="1" applyAlignment="1">
      <alignment horizontal="center" vertical="center"/>
    </xf>
    <xf numFmtId="0" fontId="49" fillId="0" borderId="39" xfId="0" applyFont="1" applyBorder="1" applyAlignment="1">
      <alignment horizontal="left" vertical="center" wrapText="1"/>
    </xf>
    <xf numFmtId="0" fontId="31" fillId="0" borderId="36" xfId="5" applyFont="1" applyBorder="1" applyAlignment="1">
      <alignment vertical="center" wrapText="1"/>
    </xf>
    <xf numFmtId="4" fontId="49" fillId="0" borderId="5" xfId="0" applyNumberFormat="1" applyFont="1" applyBorder="1" applyAlignment="1">
      <alignment horizontal="center" vertical="center"/>
    </xf>
    <xf numFmtId="0" fontId="49" fillId="0" borderId="36" xfId="0" applyFont="1" applyBorder="1" applyAlignment="1">
      <alignment horizontal="left" vertical="center" wrapText="1"/>
    </xf>
    <xf numFmtId="0" fontId="31" fillId="0" borderId="36" xfId="0" applyFont="1" applyBorder="1" applyAlignment="1">
      <alignment vertical="center" wrapText="1"/>
    </xf>
    <xf numFmtId="4" fontId="49" fillId="12" borderId="26" xfId="0" applyNumberFormat="1" applyFont="1" applyFill="1" applyBorder="1" applyAlignment="1">
      <alignment horizontal="center" vertical="center"/>
    </xf>
    <xf numFmtId="49" fontId="36" fillId="0" borderId="36" xfId="2" applyNumberFormat="1" applyFont="1" applyBorder="1" applyAlignment="1">
      <alignment horizontal="left" vertical="center" wrapText="1"/>
    </xf>
    <xf numFmtId="4" fontId="37" fillId="0" borderId="30" xfId="0" applyNumberFormat="1" applyFont="1" applyBorder="1" applyAlignment="1">
      <alignment horizontal="center" vertical="center"/>
    </xf>
    <xf numFmtId="0" fontId="34" fillId="0" borderId="39" xfId="5" applyFont="1" applyBorder="1" applyAlignment="1">
      <alignment vertical="center" wrapText="1"/>
    </xf>
    <xf numFmtId="0" fontId="34" fillId="0" borderId="36" xfId="2" applyFont="1" applyBorder="1" applyAlignment="1">
      <alignment vertical="center" wrapText="1"/>
    </xf>
    <xf numFmtId="0" fontId="37" fillId="11" borderId="39" xfId="0" applyFont="1" applyFill="1" applyBorder="1" applyAlignment="1">
      <alignment horizontal="left" vertical="center" wrapText="1"/>
    </xf>
    <xf numFmtId="0" fontId="37" fillId="11" borderId="36" xfId="0" applyFont="1" applyFill="1" applyBorder="1" applyAlignment="1">
      <alignment horizontal="left" vertical="center" wrapText="1"/>
    </xf>
    <xf numFmtId="49" fontId="36" fillId="0" borderId="41" xfId="2" applyNumberFormat="1" applyFont="1" applyBorder="1" applyAlignment="1">
      <alignment horizontal="left" vertical="center"/>
    </xf>
    <xf numFmtId="49" fontId="36" fillId="0" borderId="14" xfId="2" applyNumberFormat="1" applyFont="1" applyBorder="1" applyAlignment="1">
      <alignment horizontal="left" vertical="center"/>
    </xf>
    <xf numFmtId="4" fontId="37" fillId="0" borderId="9" xfId="0" applyNumberFormat="1" applyFont="1" applyBorder="1" applyAlignment="1">
      <alignment horizontal="center" vertical="center"/>
    </xf>
    <xf numFmtId="4" fontId="49" fillId="10" borderId="15" xfId="0" applyNumberFormat="1" applyFont="1" applyFill="1" applyBorder="1" applyAlignment="1">
      <alignment horizontal="center" vertical="center"/>
    </xf>
    <xf numFmtId="3" fontId="10" fillId="9" borderId="12" xfId="0" applyNumberFormat="1" applyFont="1" applyFill="1" applyBorder="1" applyAlignment="1">
      <alignment horizontal="center" vertical="center"/>
    </xf>
    <xf numFmtId="3" fontId="10" fillId="10" borderId="12" xfId="0" applyNumberFormat="1" applyFont="1" applyFill="1" applyBorder="1" applyAlignment="1">
      <alignment horizontal="center" vertical="center"/>
    </xf>
    <xf numFmtId="3" fontId="12" fillId="10" borderId="12" xfId="0" applyNumberFormat="1" applyFont="1" applyFill="1" applyBorder="1" applyAlignment="1">
      <alignment horizontal="center" vertical="center" wrapText="1"/>
    </xf>
    <xf numFmtId="4" fontId="6" fillId="0" borderId="11" xfId="0" applyNumberFormat="1" applyFont="1" applyBorder="1"/>
    <xf numFmtId="0" fontId="6" fillId="2" borderId="6" xfId="0" applyFont="1" applyFill="1" applyBorder="1" applyAlignment="1">
      <alignment vertical="center"/>
    </xf>
    <xf numFmtId="0" fontId="6" fillId="2" borderId="7" xfId="0" applyFont="1" applyFill="1" applyBorder="1" applyAlignment="1">
      <alignment vertical="center"/>
    </xf>
    <xf numFmtId="0" fontId="6" fillId="2" borderId="5" xfId="0" applyFont="1" applyFill="1" applyBorder="1" applyAlignment="1">
      <alignment vertical="center"/>
    </xf>
    <xf numFmtId="0" fontId="52" fillId="0" borderId="14" xfId="2" quotePrefix="1" applyFont="1" applyBorder="1" applyAlignment="1">
      <alignment horizontal="left" vertical="center" indent="1"/>
    </xf>
    <xf numFmtId="0" fontId="52" fillId="0" borderId="14" xfId="2" quotePrefix="1" applyFont="1" applyBorder="1" applyAlignment="1">
      <alignment horizontal="left" vertical="center" indent="2"/>
    </xf>
    <xf numFmtId="0" fontId="24" fillId="12" borderId="26" xfId="0" applyFont="1" applyFill="1" applyBorder="1" applyAlignment="1">
      <alignment horizontal="left" vertical="center"/>
    </xf>
    <xf numFmtId="0" fontId="16" fillId="0" borderId="31" xfId="2" quotePrefix="1" applyFont="1" applyBorder="1" applyAlignment="1">
      <alignment vertical="center"/>
    </xf>
    <xf numFmtId="0" fontId="18" fillId="7" borderId="31" xfId="2" applyFont="1" applyFill="1" applyBorder="1" applyAlignment="1">
      <alignment horizontal="left" vertical="center"/>
    </xf>
    <xf numFmtId="4" fontId="17" fillId="12" borderId="31" xfId="2" applyNumberFormat="1" applyFont="1" applyFill="1" applyBorder="1" applyAlignment="1">
      <alignment horizontal="left" vertical="center"/>
    </xf>
    <xf numFmtId="4" fontId="22" fillId="11" borderId="36" xfId="2" applyNumberFormat="1" applyFont="1" applyFill="1" applyBorder="1" applyAlignment="1">
      <alignment horizontal="right" vertical="center"/>
    </xf>
    <xf numFmtId="4" fontId="22" fillId="0" borderId="13" xfId="2" applyNumberFormat="1" applyFont="1" applyBorder="1" applyAlignment="1">
      <alignment horizontal="right" vertical="center"/>
    </xf>
    <xf numFmtId="0" fontId="52" fillId="0" borderId="41" xfId="2" quotePrefix="1" applyFont="1" applyBorder="1" applyAlignment="1">
      <alignment horizontal="left" vertical="center" indent="2"/>
    </xf>
    <xf numFmtId="16" fontId="22" fillId="0" borderId="2" xfId="2" quotePrefix="1" applyNumberFormat="1" applyFont="1" applyBorder="1" applyAlignment="1">
      <alignment horizontal="left" vertical="center" wrapText="1"/>
    </xf>
    <xf numFmtId="16" fontId="17" fillId="0" borderId="17" xfId="2" quotePrefix="1" applyNumberFormat="1" applyFont="1" applyBorder="1" applyAlignment="1">
      <alignment vertical="center" wrapText="1"/>
    </xf>
    <xf numFmtId="16" fontId="22" fillId="0" borderId="20" xfId="2" quotePrefix="1" applyNumberFormat="1" applyFont="1" applyBorder="1" applyAlignment="1">
      <alignment horizontal="left" vertical="center" wrapText="1"/>
    </xf>
    <xf numFmtId="0" fontId="17" fillId="13" borderId="20" xfId="2" applyFont="1" applyFill="1" applyBorder="1" applyAlignment="1">
      <alignment horizontal="left"/>
    </xf>
    <xf numFmtId="16" fontId="22" fillId="0" borderId="23" xfId="2" quotePrefix="1" applyNumberFormat="1" applyFont="1" applyBorder="1" applyAlignment="1">
      <alignment horizontal="left" vertical="center" wrapText="1"/>
    </xf>
    <xf numFmtId="0" fontId="17" fillId="13" borderId="37" xfId="2" applyFont="1" applyFill="1" applyBorder="1" applyAlignment="1">
      <alignment horizontal="left"/>
    </xf>
    <xf numFmtId="16" fontId="17" fillId="0" borderId="37" xfId="2" quotePrefix="1" applyNumberFormat="1" applyFont="1" applyBorder="1" applyAlignment="1">
      <alignment vertical="center"/>
    </xf>
    <xf numFmtId="16" fontId="22" fillId="0" borderId="14" xfId="2" quotePrefix="1" applyNumberFormat="1" applyFont="1" applyBorder="1" applyAlignment="1">
      <alignment horizontal="left" vertical="center" indent="1"/>
    </xf>
    <xf numFmtId="16" fontId="22" fillId="0" borderId="41" xfId="2" quotePrefix="1" applyNumberFormat="1" applyFont="1" applyBorder="1" applyAlignment="1">
      <alignment horizontal="left" vertical="center" indent="1"/>
    </xf>
    <xf numFmtId="0" fontId="29" fillId="7" borderId="5" xfId="4" applyFont="1" applyFill="1" applyBorder="1" applyAlignment="1">
      <alignment horizontal="left" vertical="center"/>
    </xf>
    <xf numFmtId="0" fontId="17" fillId="12" borderId="28" xfId="2" applyFont="1" applyFill="1" applyBorder="1" applyAlignment="1">
      <alignment horizontal="left"/>
    </xf>
    <xf numFmtId="0" fontId="24" fillId="12" borderId="7" xfId="4" applyFont="1" applyFill="1" applyBorder="1" applyAlignment="1">
      <alignment horizontal="left"/>
    </xf>
    <xf numFmtId="4" fontId="29" fillId="7" borderId="1" xfId="2" applyNumberFormat="1" applyFont="1" applyFill="1" applyBorder="1" applyAlignment="1">
      <alignment horizontal="left" vertical="center" indent="1"/>
    </xf>
    <xf numFmtId="0" fontId="0" fillId="0" borderId="0" xfId="0" applyAlignment="1">
      <alignment horizontal="left" indent="1"/>
    </xf>
    <xf numFmtId="0" fontId="24" fillId="12" borderId="17" xfId="4" applyFont="1" applyFill="1" applyBorder="1" applyAlignment="1">
      <alignment horizontal="left"/>
    </xf>
    <xf numFmtId="0" fontId="17" fillId="12" borderId="20" xfId="2" applyFont="1" applyFill="1" applyBorder="1" applyAlignment="1">
      <alignment horizontal="left" indent="1"/>
    </xf>
    <xf numFmtId="16" fontId="17" fillId="0" borderId="39" xfId="2" quotePrefix="1" applyNumberFormat="1" applyFont="1" applyBorder="1" applyAlignment="1">
      <alignment vertical="center" wrapText="1"/>
    </xf>
    <xf numFmtId="16" fontId="22" fillId="0" borderId="43" xfId="2" quotePrefix="1" applyNumberFormat="1" applyFont="1" applyBorder="1" applyAlignment="1">
      <alignment horizontal="left" vertical="center" wrapText="1"/>
    </xf>
    <xf numFmtId="0" fontId="17" fillId="12" borderId="3" xfId="2" applyFont="1" applyFill="1" applyBorder="1" applyAlignment="1">
      <alignment horizontal="left" indent="1"/>
    </xf>
    <xf numFmtId="0" fontId="29" fillId="7" borderId="37" xfId="4" applyFont="1" applyFill="1" applyBorder="1" applyAlignment="1">
      <alignment horizontal="left" vertical="center"/>
    </xf>
    <xf numFmtId="0" fontId="29" fillId="7" borderId="14" xfId="2" applyFont="1" applyFill="1" applyBorder="1" applyAlignment="1">
      <alignment horizontal="left" vertical="center" indent="1"/>
    </xf>
    <xf numFmtId="4" fontId="29" fillId="7" borderId="63" xfId="2" applyNumberFormat="1" applyFont="1" applyFill="1" applyBorder="1" applyAlignment="1">
      <alignment horizontal="right" vertical="center"/>
    </xf>
    <xf numFmtId="0" fontId="0" fillId="12" borderId="25" xfId="0" applyFill="1" applyBorder="1"/>
    <xf numFmtId="0" fontId="6" fillId="12" borderId="23" xfId="0" applyFont="1" applyFill="1" applyBorder="1"/>
    <xf numFmtId="0" fontId="0" fillId="7" borderId="41" xfId="0" applyFill="1" applyBorder="1"/>
    <xf numFmtId="0" fontId="0" fillId="7" borderId="24" xfId="0" applyFill="1" applyBorder="1"/>
    <xf numFmtId="4" fontId="22" fillId="11" borderId="65" xfId="2" applyNumberFormat="1" applyFont="1" applyFill="1" applyBorder="1" applyAlignment="1">
      <alignment horizontal="right" vertical="center"/>
    </xf>
    <xf numFmtId="16" fontId="31" fillId="0" borderId="20" xfId="2" quotePrefix="1" applyNumberFormat="1" applyFont="1" applyBorder="1" applyAlignment="1">
      <alignment vertical="center" wrapText="1"/>
    </xf>
    <xf numFmtId="0" fontId="22" fillId="0" borderId="23" xfId="0" applyFont="1" applyBorder="1" applyAlignment="1">
      <alignment vertical="center" wrapText="1"/>
    </xf>
    <xf numFmtId="16" fontId="17" fillId="0" borderId="26" xfId="2" quotePrefix="1" applyNumberFormat="1" applyFont="1" applyBorder="1" applyAlignment="1">
      <alignment vertical="center" wrapText="1"/>
    </xf>
    <xf numFmtId="16" fontId="31" fillId="0" borderId="23" xfId="2" quotePrefix="1" applyNumberFormat="1" applyFont="1" applyBorder="1" applyAlignment="1">
      <alignment vertical="center" wrapText="1"/>
    </xf>
    <xf numFmtId="16" fontId="22" fillId="0" borderId="20" xfId="2" quotePrefix="1" applyNumberFormat="1" applyFont="1" applyBorder="1" applyAlignment="1">
      <alignment vertical="center" wrapText="1"/>
    </xf>
    <xf numFmtId="4" fontId="17" fillId="12" borderId="6" xfId="2" applyNumberFormat="1" applyFont="1" applyFill="1" applyBorder="1" applyAlignment="1">
      <alignment vertical="center"/>
    </xf>
    <xf numFmtId="0" fontId="17" fillId="12" borderId="26" xfId="2" applyFont="1" applyFill="1" applyBorder="1" applyAlignment="1">
      <alignment horizontal="left"/>
    </xf>
    <xf numFmtId="4" fontId="26" fillId="7" borderId="26" xfId="0" applyNumberFormat="1" applyFont="1" applyFill="1" applyBorder="1" applyAlignment="1">
      <alignment vertical="center"/>
    </xf>
    <xf numFmtId="0" fontId="22" fillId="0" borderId="14" xfId="2" quotePrefix="1" applyFont="1" applyBorder="1" applyAlignment="1">
      <alignment horizontal="left" vertical="center" indent="2"/>
    </xf>
    <xf numFmtId="0" fontId="17" fillId="0" borderId="44" xfId="0" applyFont="1" applyBorder="1" applyAlignment="1">
      <alignment horizontal="left" vertical="center" wrapText="1"/>
    </xf>
    <xf numFmtId="0" fontId="22" fillId="0" borderId="65" xfId="2" quotePrefix="1" applyFont="1" applyBorder="1" applyAlignment="1">
      <alignment horizontal="center" vertical="center"/>
    </xf>
    <xf numFmtId="0" fontId="22" fillId="0" borderId="66" xfId="0" applyFont="1" applyBorder="1" applyAlignment="1">
      <alignment horizontal="left" vertical="center" wrapText="1"/>
    </xf>
    <xf numFmtId="0" fontId="30" fillId="7" borderId="62" xfId="2" applyFont="1" applyFill="1" applyBorder="1" applyAlignment="1">
      <alignment horizontal="left" vertical="center"/>
    </xf>
    <xf numFmtId="0" fontId="22" fillId="0" borderId="65" xfId="2" quotePrefix="1" applyFont="1" applyBorder="1" applyAlignment="1">
      <alignment horizontal="left" vertical="center" indent="2"/>
    </xf>
    <xf numFmtId="4" fontId="22" fillId="0" borderId="62" xfId="2" applyNumberFormat="1" applyFont="1" applyBorder="1" applyAlignment="1">
      <alignment horizontal="right" vertical="center"/>
    </xf>
    <xf numFmtId="4" fontId="22" fillId="0" borderId="37" xfId="2" applyNumberFormat="1" applyFont="1" applyBorder="1" applyAlignment="1">
      <alignment horizontal="right" vertical="center"/>
    </xf>
    <xf numFmtId="4" fontId="22" fillId="0" borderId="14" xfId="2" applyNumberFormat="1" applyFont="1" applyBorder="1" applyAlignment="1">
      <alignment horizontal="right" vertical="center"/>
    </xf>
    <xf numFmtId="4" fontId="22" fillId="0" borderId="41" xfId="2" applyNumberFormat="1" applyFont="1" applyBorder="1" applyAlignment="1">
      <alignment horizontal="right" vertical="center"/>
    </xf>
    <xf numFmtId="4" fontId="22" fillId="10" borderId="62" xfId="2" applyNumberFormat="1" applyFont="1" applyFill="1" applyBorder="1" applyAlignment="1">
      <alignment horizontal="right" vertical="center"/>
    </xf>
    <xf numFmtId="0" fontId="34" fillId="0" borderId="27" xfId="2" applyFont="1" applyBorder="1" applyAlignment="1">
      <alignment horizontal="left" vertical="center" wrapText="1"/>
    </xf>
    <xf numFmtId="4" fontId="22" fillId="12" borderId="31" xfId="2" applyNumberFormat="1" applyFont="1" applyFill="1" applyBorder="1" applyAlignment="1">
      <alignment horizontal="left" vertical="center"/>
    </xf>
    <xf numFmtId="4" fontId="22" fillId="12" borderId="26" xfId="2" applyNumberFormat="1" applyFont="1" applyFill="1" applyBorder="1" applyAlignment="1">
      <alignment horizontal="left" vertical="center"/>
    </xf>
    <xf numFmtId="0" fontId="36" fillId="0" borderId="14" xfId="2" quotePrefix="1" applyFont="1" applyBorder="1" applyAlignment="1">
      <alignment horizontal="left" vertical="center" wrapText="1" indent="1"/>
    </xf>
    <xf numFmtId="0" fontId="22" fillId="12" borderId="25" xfId="2" applyFont="1" applyFill="1" applyBorder="1" applyAlignment="1">
      <alignment horizontal="left" vertical="center"/>
    </xf>
    <xf numFmtId="0" fontId="29" fillId="7" borderId="61" xfId="2" applyFont="1" applyFill="1" applyBorder="1" applyAlignment="1">
      <alignment horizontal="left"/>
    </xf>
    <xf numFmtId="4" fontId="17" fillId="12" borderId="54" xfId="2" applyNumberFormat="1" applyFont="1" applyFill="1" applyBorder="1" applyAlignment="1">
      <alignment horizontal="left" vertical="center"/>
    </xf>
    <xf numFmtId="0" fontId="17" fillId="12" borderId="52" xfId="2" applyFont="1" applyFill="1" applyBorder="1" applyAlignment="1">
      <alignment horizontal="left"/>
    </xf>
    <xf numFmtId="0" fontId="31" fillId="0" borderId="60" xfId="2" applyFont="1" applyBorder="1" applyAlignment="1">
      <alignment horizontal="left" vertical="center" wrapText="1"/>
    </xf>
    <xf numFmtId="0" fontId="22" fillId="0" borderId="43" xfId="2" applyFont="1" applyBorder="1" applyAlignment="1">
      <alignment horizontal="left" vertical="center" wrapText="1"/>
    </xf>
    <xf numFmtId="0" fontId="6" fillId="0" borderId="37" xfId="0" applyFont="1" applyBorder="1"/>
    <xf numFmtId="0" fontId="6" fillId="0" borderId="31" xfId="0" applyFont="1" applyBorder="1"/>
    <xf numFmtId="4" fontId="5" fillId="0" borderId="37" xfId="0" applyNumberFormat="1" applyFont="1" applyBorder="1"/>
    <xf numFmtId="4" fontId="5" fillId="0" borderId="15" xfId="0" applyNumberFormat="1" applyFont="1" applyBorder="1"/>
    <xf numFmtId="4" fontId="5" fillId="7" borderId="37" xfId="0" applyNumberFormat="1" applyFont="1" applyFill="1" applyBorder="1"/>
    <xf numFmtId="4" fontId="5" fillId="7" borderId="18" xfId="0" applyNumberFormat="1" applyFont="1" applyFill="1" applyBorder="1"/>
    <xf numFmtId="4" fontId="5" fillId="0" borderId="14" xfId="0" applyNumberFormat="1" applyFont="1" applyBorder="1"/>
    <xf numFmtId="4" fontId="5" fillId="0" borderId="12" xfId="0" applyNumberFormat="1" applyFont="1" applyBorder="1"/>
    <xf numFmtId="4" fontId="5" fillId="7" borderId="14" xfId="0" applyNumberFormat="1" applyFont="1" applyFill="1" applyBorder="1"/>
    <xf numFmtId="4" fontId="5" fillId="7" borderId="1" xfId="0" applyNumberFormat="1" applyFont="1" applyFill="1" applyBorder="1"/>
    <xf numFmtId="4" fontId="5" fillId="0" borderId="41" xfId="0" applyNumberFormat="1" applyFont="1" applyBorder="1"/>
    <xf numFmtId="4" fontId="5" fillId="7" borderId="41" xfId="0" applyNumberFormat="1" applyFont="1" applyFill="1" applyBorder="1"/>
    <xf numFmtId="4" fontId="5" fillId="7" borderId="24" xfId="0" applyNumberFormat="1" applyFont="1" applyFill="1" applyBorder="1"/>
    <xf numFmtId="4" fontId="5" fillId="0" borderId="31" xfId="0" applyNumberFormat="1" applyFont="1" applyBorder="1"/>
    <xf numFmtId="4" fontId="5" fillId="7" borderId="31" xfId="0" applyNumberFormat="1" applyFont="1" applyFill="1" applyBorder="1"/>
    <xf numFmtId="4" fontId="5" fillId="7" borderId="27" xfId="0" applyNumberFormat="1" applyFont="1" applyFill="1" applyBorder="1"/>
    <xf numFmtId="4" fontId="5" fillId="0" borderId="39" xfId="0" applyNumberFormat="1" applyFont="1" applyBorder="1"/>
    <xf numFmtId="4" fontId="5" fillId="0" borderId="2" xfId="0" applyNumberFormat="1" applyFont="1" applyBorder="1"/>
    <xf numFmtId="4" fontId="26" fillId="7" borderId="26" xfId="0" applyNumberFormat="1" applyFont="1" applyFill="1" applyBorder="1"/>
    <xf numFmtId="4" fontId="26" fillId="7" borderId="17" xfId="0" applyNumberFormat="1" applyFont="1" applyFill="1" applyBorder="1"/>
    <xf numFmtId="4" fontId="26" fillId="7" borderId="20" xfId="0" applyNumberFormat="1" applyFont="1" applyFill="1" applyBorder="1"/>
    <xf numFmtId="4" fontId="26" fillId="7" borderId="23" xfId="0" applyNumberFormat="1" applyFont="1" applyFill="1" applyBorder="1"/>
    <xf numFmtId="4" fontId="22" fillId="0" borderId="61" xfId="2" applyNumberFormat="1" applyFont="1" applyBorder="1" applyAlignment="1">
      <alignment horizontal="right" vertical="center"/>
    </xf>
    <xf numFmtId="0" fontId="36" fillId="0" borderId="41" xfId="2" quotePrefix="1" applyFont="1" applyBorder="1" applyAlignment="1">
      <alignment horizontal="left" vertical="center" wrapText="1" indent="1"/>
    </xf>
    <xf numFmtId="0" fontId="5" fillId="0" borderId="14" xfId="0" applyFont="1" applyBorder="1" applyAlignment="1">
      <alignment horizontal="left" indent="1"/>
    </xf>
    <xf numFmtId="0" fontId="5" fillId="0" borderId="41" xfId="0" applyFont="1" applyBorder="1" applyAlignment="1">
      <alignment horizontal="left" indent="1"/>
    </xf>
    <xf numFmtId="0" fontId="5" fillId="0" borderId="14" xfId="0" applyFont="1" applyBorder="1" applyAlignment="1">
      <alignment horizontal="left" indent="2"/>
    </xf>
    <xf numFmtId="0" fontId="5" fillId="0" borderId="41" xfId="0" applyFont="1" applyBorder="1" applyAlignment="1">
      <alignment horizontal="left" indent="2"/>
    </xf>
    <xf numFmtId="4" fontId="5" fillId="10" borderId="12" xfId="0" applyNumberFormat="1" applyFont="1" applyFill="1" applyBorder="1"/>
    <xf numFmtId="4" fontId="5" fillId="10" borderId="21" xfId="0" applyNumberFormat="1" applyFont="1" applyFill="1" applyBorder="1"/>
    <xf numFmtId="4" fontId="19" fillId="0" borderId="9" xfId="0" applyNumberFormat="1" applyFont="1" applyBorder="1"/>
    <xf numFmtId="0" fontId="32" fillId="12" borderId="41" xfId="2" applyFont="1" applyFill="1" applyBorder="1" applyAlignment="1">
      <alignment horizontal="left" vertical="center"/>
    </xf>
    <xf numFmtId="0" fontId="32" fillId="12" borderId="23" xfId="2" applyFont="1" applyFill="1" applyBorder="1" applyAlignment="1">
      <alignment horizontal="left"/>
    </xf>
    <xf numFmtId="0" fontId="33" fillId="12" borderId="23" xfId="2" applyFont="1" applyFill="1" applyBorder="1" applyAlignment="1">
      <alignment horizontal="left"/>
    </xf>
    <xf numFmtId="0" fontId="22" fillId="0" borderId="49" xfId="0" applyFont="1" applyBorder="1" applyAlignment="1">
      <alignment horizontal="left" vertical="center" wrapText="1"/>
    </xf>
    <xf numFmtId="0" fontId="22" fillId="0" borderId="48" xfId="0" applyFont="1" applyBorder="1" applyAlignment="1">
      <alignment horizontal="left" vertical="center" wrapText="1"/>
    </xf>
    <xf numFmtId="0" fontId="17" fillId="0" borderId="39" xfId="0" applyFont="1" applyBorder="1" applyAlignment="1">
      <alignment horizontal="left" vertical="center" wrapText="1"/>
    </xf>
    <xf numFmtId="0" fontId="40" fillId="7" borderId="37" xfId="2" applyFont="1" applyFill="1" applyBorder="1" applyAlignment="1">
      <alignment horizontal="left"/>
    </xf>
    <xf numFmtId="0" fontId="40" fillId="7" borderId="41" xfId="2" applyFont="1" applyFill="1" applyBorder="1" applyAlignment="1">
      <alignment horizontal="left"/>
    </xf>
    <xf numFmtId="0" fontId="34" fillId="12" borderId="25" xfId="2" applyFont="1" applyFill="1" applyBorder="1" applyAlignment="1">
      <alignment horizontal="left" vertical="center"/>
    </xf>
    <xf numFmtId="0" fontId="31" fillId="0" borderId="41" xfId="2" quotePrefix="1" applyFont="1" applyBorder="1" applyAlignment="1">
      <alignment horizontal="left" vertical="center" indent="1"/>
    </xf>
    <xf numFmtId="0" fontId="17" fillId="0" borderId="16" xfId="2" quotePrefix="1" applyFont="1" applyBorder="1" applyAlignment="1">
      <alignment vertical="center"/>
    </xf>
    <xf numFmtId="0" fontId="46" fillId="0" borderId="22" xfId="2" quotePrefix="1" applyFont="1" applyBorder="1" applyAlignment="1">
      <alignment horizontal="center" vertical="center"/>
    </xf>
    <xf numFmtId="0" fontId="17" fillId="0" borderId="17" xfId="0" applyFont="1" applyBorder="1" applyAlignment="1">
      <alignment horizontal="left" vertical="center" wrapText="1"/>
    </xf>
    <xf numFmtId="3" fontId="6" fillId="16" borderId="15" xfId="0" applyNumberFormat="1" applyFont="1" applyFill="1" applyBorder="1" applyAlignment="1">
      <alignment horizontal="center" vertical="center" wrapText="1"/>
    </xf>
    <xf numFmtId="3" fontId="10" fillId="0" borderId="12" xfId="0" applyNumberFormat="1" applyFont="1" applyBorder="1" applyAlignment="1">
      <alignment horizontal="center" vertical="center"/>
    </xf>
    <xf numFmtId="49" fontId="25" fillId="2" borderId="4" xfId="2" applyNumberFormat="1" applyFont="1" applyFill="1" applyBorder="1" applyAlignment="1">
      <alignment horizontal="center" vertical="center" wrapText="1"/>
    </xf>
    <xf numFmtId="0" fontId="17" fillId="0" borderId="37" xfId="2" quotePrefix="1" applyFont="1" applyBorder="1" applyAlignment="1">
      <alignment vertical="center"/>
    </xf>
    <xf numFmtId="0" fontId="46" fillId="0" borderId="14" xfId="2" quotePrefix="1" applyFont="1" applyBorder="1" applyAlignment="1">
      <alignment horizontal="center" vertical="center"/>
    </xf>
    <xf numFmtId="0" fontId="22" fillId="0" borderId="20" xfId="0" applyFont="1" applyBorder="1" applyAlignment="1">
      <alignment vertical="center" wrapText="1"/>
    </xf>
    <xf numFmtId="0" fontId="46" fillId="0" borderId="41" xfId="2" quotePrefix="1" applyFont="1" applyBorder="1" applyAlignment="1">
      <alignment horizontal="center" vertical="center"/>
    </xf>
    <xf numFmtId="0" fontId="45" fillId="7" borderId="37" xfId="2" applyFont="1" applyFill="1" applyBorder="1" applyAlignment="1">
      <alignment horizontal="left"/>
    </xf>
    <xf numFmtId="49" fontId="36" fillId="0" borderId="13" xfId="2" quotePrefix="1" applyNumberFormat="1" applyFont="1" applyBorder="1" applyAlignment="1">
      <alignment horizontal="left" vertical="center" indent="2"/>
    </xf>
    <xf numFmtId="49" fontId="36" fillId="0" borderId="22" xfId="2" quotePrefix="1" applyNumberFormat="1" applyFont="1" applyBorder="1" applyAlignment="1">
      <alignment horizontal="left" vertical="center" indent="2"/>
    </xf>
    <xf numFmtId="0" fontId="49" fillId="8" borderId="23" xfId="0" applyFont="1" applyFill="1" applyBorder="1" applyAlignment="1">
      <alignment horizontal="center" vertical="center"/>
    </xf>
    <xf numFmtId="4" fontId="49" fillId="0" borderId="15" xfId="0" applyNumberFormat="1" applyFont="1" applyBorder="1" applyAlignment="1">
      <alignment horizontal="center" vertical="center"/>
    </xf>
    <xf numFmtId="0" fontId="49" fillId="12" borderId="46" xfId="0" applyFont="1" applyFill="1" applyBorder="1" applyAlignment="1">
      <alignment horizontal="center" vertical="center"/>
    </xf>
    <xf numFmtId="4" fontId="49" fillId="0" borderId="4" xfId="0" applyNumberFormat="1" applyFont="1" applyBorder="1" applyAlignment="1">
      <alignment horizontal="center" vertical="center"/>
    </xf>
    <xf numFmtId="4" fontId="49" fillId="10" borderId="5" xfId="0" applyNumberFormat="1" applyFont="1" applyFill="1" applyBorder="1" applyAlignment="1">
      <alignment horizontal="center" vertical="center"/>
    </xf>
    <xf numFmtId="0" fontId="49" fillId="12" borderId="31" xfId="0" applyFont="1" applyFill="1" applyBorder="1" applyAlignment="1">
      <alignment horizontal="left" vertical="center"/>
    </xf>
    <xf numFmtId="49" fontId="48" fillId="0" borderId="16" xfId="2" quotePrefix="1" applyNumberFormat="1" applyFont="1" applyBorder="1" applyAlignment="1">
      <alignment horizontal="left" vertical="center" indent="1"/>
    </xf>
    <xf numFmtId="0" fontId="34" fillId="0" borderId="17" xfId="5" applyFont="1" applyBorder="1" applyAlignment="1">
      <alignment horizontal="left" vertical="center" wrapText="1"/>
    </xf>
    <xf numFmtId="4" fontId="49" fillId="9" borderId="16" xfId="0" applyNumberFormat="1" applyFont="1" applyFill="1" applyBorder="1" applyAlignment="1">
      <alignment horizontal="center" vertical="center"/>
    </xf>
    <xf numFmtId="49" fontId="48" fillId="0" borderId="5" xfId="2" quotePrefix="1" applyNumberFormat="1" applyFont="1" applyBorder="1" applyAlignment="1">
      <alignment horizontal="left" vertical="center" indent="1"/>
    </xf>
    <xf numFmtId="4" fontId="37" fillId="0" borderId="5" xfId="0" applyNumberFormat="1" applyFont="1" applyBorder="1" applyAlignment="1">
      <alignment horizontal="center"/>
    </xf>
    <xf numFmtId="4" fontId="37" fillId="0" borderId="7" xfId="0" applyNumberFormat="1" applyFont="1" applyBorder="1" applyAlignment="1">
      <alignment horizontal="center"/>
    </xf>
    <xf numFmtId="4" fontId="37" fillId="0" borderId="4" xfId="0" applyNumberFormat="1" applyFont="1" applyBorder="1" applyAlignment="1">
      <alignment horizontal="center"/>
    </xf>
    <xf numFmtId="4" fontId="49" fillId="0" borderId="37" xfId="0" applyNumberFormat="1" applyFont="1" applyBorder="1" applyAlignment="1">
      <alignment horizontal="center" vertical="center"/>
    </xf>
    <xf numFmtId="4" fontId="49" fillId="0" borderId="14" xfId="0" applyNumberFormat="1" applyFont="1" applyBorder="1" applyAlignment="1">
      <alignment horizontal="center" vertical="center"/>
    </xf>
    <xf numFmtId="4" fontId="49" fillId="0" borderId="20" xfId="0" applyNumberFormat="1" applyFont="1" applyBorder="1" applyAlignment="1">
      <alignment horizontal="center" vertical="center"/>
    </xf>
    <xf numFmtId="4" fontId="49" fillId="0" borderId="41" xfId="0" applyNumberFormat="1" applyFont="1" applyBorder="1" applyAlignment="1">
      <alignment horizontal="center" vertical="center"/>
    </xf>
    <xf numFmtId="4" fontId="49" fillId="0" borderId="23" xfId="0" applyNumberFormat="1" applyFont="1" applyBorder="1" applyAlignment="1">
      <alignment horizontal="center" vertical="center"/>
    </xf>
    <xf numFmtId="4" fontId="49" fillId="0" borderId="49" xfId="0" applyNumberFormat="1" applyFont="1" applyBorder="1" applyAlignment="1">
      <alignment horizontal="center" vertical="center"/>
    </xf>
    <xf numFmtId="4" fontId="49" fillId="0" borderId="48" xfId="0" applyNumberFormat="1" applyFont="1" applyBorder="1" applyAlignment="1">
      <alignment horizontal="center" vertical="center"/>
    </xf>
    <xf numFmtId="4" fontId="49" fillId="9" borderId="47" xfId="0" applyNumberFormat="1" applyFont="1" applyFill="1" applyBorder="1" applyAlignment="1">
      <alignment horizontal="center" vertical="center"/>
    </xf>
    <xf numFmtId="49" fontId="36" fillId="0" borderId="14" xfId="2" quotePrefix="1" applyNumberFormat="1" applyFont="1" applyBorder="1" applyAlignment="1">
      <alignment horizontal="left" vertical="center" indent="1"/>
    </xf>
    <xf numFmtId="49" fontId="36" fillId="0" borderId="41" xfId="2" quotePrefix="1" applyNumberFormat="1" applyFont="1" applyBorder="1" applyAlignment="1">
      <alignment horizontal="left" vertical="center" indent="1"/>
    </xf>
    <xf numFmtId="4" fontId="49" fillId="9" borderId="15" xfId="0" applyNumberFormat="1" applyFont="1" applyFill="1" applyBorder="1" applyAlignment="1">
      <alignment horizontal="center" vertical="center"/>
    </xf>
    <xf numFmtId="4" fontId="49" fillId="0" borderId="3" xfId="0" applyNumberFormat="1" applyFont="1" applyBorder="1" applyAlignment="1">
      <alignment horizontal="center" vertical="center"/>
    </xf>
    <xf numFmtId="4" fontId="49" fillId="0" borderId="25" xfId="0" applyNumberFormat="1" applyFont="1" applyBorder="1" applyAlignment="1">
      <alignment horizontal="center" vertical="center"/>
    </xf>
    <xf numFmtId="0" fontId="34" fillId="0" borderId="36" xfId="5" applyFont="1" applyBorder="1" applyAlignment="1">
      <alignment vertical="center" wrapText="1"/>
    </xf>
    <xf numFmtId="0" fontId="37" fillId="0" borderId="36" xfId="0" applyFont="1" applyBorder="1" applyAlignment="1">
      <alignment vertical="center" wrapText="1"/>
    </xf>
    <xf numFmtId="0" fontId="37" fillId="0" borderId="39" xfId="0" applyFont="1" applyBorder="1" applyAlignment="1">
      <alignment horizontal="left" vertical="center" wrapText="1"/>
    </xf>
    <xf numFmtId="0" fontId="49" fillId="0" borderId="59" xfId="0" applyFont="1" applyBorder="1" applyAlignment="1">
      <alignment horizontal="left" vertical="center" wrapText="1"/>
    </xf>
    <xf numFmtId="4" fontId="49" fillId="0" borderId="67" xfId="0" applyNumberFormat="1" applyFont="1" applyBorder="1" applyAlignment="1">
      <alignment horizontal="center" vertical="center"/>
    </xf>
    <xf numFmtId="0" fontId="49" fillId="12" borderId="58" xfId="0" applyFont="1" applyFill="1" applyBorder="1" applyAlignment="1">
      <alignment horizontal="left" vertical="center"/>
    </xf>
    <xf numFmtId="49" fontId="36" fillId="0" borderId="37" xfId="2" quotePrefix="1" applyNumberFormat="1" applyFont="1" applyBorder="1" applyAlignment="1">
      <alignment horizontal="left" vertical="center"/>
    </xf>
    <xf numFmtId="49" fontId="36" fillId="0" borderId="14" xfId="2" applyNumberFormat="1" applyFont="1" applyBorder="1" applyAlignment="1">
      <alignment horizontal="left" vertical="center" indent="1"/>
    </xf>
    <xf numFmtId="49" fontId="36" fillId="0" borderId="41" xfId="2" applyNumberFormat="1" applyFont="1" applyBorder="1" applyAlignment="1">
      <alignment horizontal="left" vertical="center" indent="1"/>
    </xf>
    <xf numFmtId="4" fontId="49" fillId="0" borderId="19" xfId="0" applyNumberFormat="1" applyFont="1" applyBorder="1" applyAlignment="1">
      <alignment horizontal="center" vertical="center"/>
    </xf>
    <xf numFmtId="0" fontId="31" fillId="0" borderId="20" xfId="5" applyFont="1" applyBorder="1" applyAlignment="1">
      <alignment vertical="center" wrapText="1"/>
    </xf>
    <xf numFmtId="4" fontId="49" fillId="9" borderId="12" xfId="0" applyNumberFormat="1" applyFont="1" applyFill="1" applyBorder="1" applyAlignment="1">
      <alignment horizontal="center" vertical="center"/>
    </xf>
    <xf numFmtId="0" fontId="31" fillId="0" borderId="17" xfId="0" applyFont="1" applyBorder="1" applyAlignment="1">
      <alignment vertical="center" wrapText="1"/>
    </xf>
    <xf numFmtId="0" fontId="31" fillId="0" borderId="23" xfId="0" applyFont="1" applyBorder="1" applyAlignment="1">
      <alignment vertical="center" wrapText="1"/>
    </xf>
    <xf numFmtId="4" fontId="49" fillId="12" borderId="17" xfId="0" applyNumberFormat="1" applyFont="1" applyFill="1" applyBorder="1" applyAlignment="1">
      <alignment horizontal="center" vertical="center"/>
    </xf>
    <xf numFmtId="4" fontId="49" fillId="9" borderId="0" xfId="0" applyNumberFormat="1" applyFont="1" applyFill="1" applyAlignment="1">
      <alignment horizontal="center" vertical="center"/>
    </xf>
    <xf numFmtId="49" fontId="48" fillId="0" borderId="37" xfId="2" quotePrefix="1" applyNumberFormat="1" applyFont="1" applyBorder="1" applyAlignment="1">
      <alignment horizontal="left" vertical="center" indent="1"/>
    </xf>
    <xf numFmtId="0" fontId="37" fillId="0" borderId="17" xfId="0" applyFont="1" applyBorder="1" applyAlignment="1">
      <alignment horizontal="left" vertical="center" wrapText="1"/>
    </xf>
    <xf numFmtId="49" fontId="36" fillId="0" borderId="14" xfId="2" quotePrefix="1" applyNumberFormat="1" applyFont="1" applyBorder="1" applyAlignment="1">
      <alignment horizontal="left" vertical="center" indent="2"/>
    </xf>
    <xf numFmtId="49" fontId="36" fillId="0" borderId="41" xfId="2" quotePrefix="1" applyNumberFormat="1" applyFont="1" applyBorder="1" applyAlignment="1">
      <alignment horizontal="left" vertical="center" indent="2"/>
    </xf>
    <xf numFmtId="49" fontId="36" fillId="0" borderId="14" xfId="2" quotePrefix="1" applyNumberFormat="1" applyFont="1" applyBorder="1" applyAlignment="1">
      <alignment horizontal="left" vertical="center" indent="3"/>
    </xf>
    <xf numFmtId="4" fontId="22" fillId="10" borderId="43" xfId="2" applyNumberFormat="1" applyFont="1" applyFill="1" applyBorder="1" applyAlignment="1">
      <alignment horizontal="right" vertical="center"/>
    </xf>
    <xf numFmtId="4" fontId="22" fillId="0" borderId="48" xfId="2" applyNumberFormat="1" applyFont="1" applyBorder="1" applyAlignment="1">
      <alignment horizontal="right" vertical="center"/>
    </xf>
    <xf numFmtId="0" fontId="34" fillId="0" borderId="39" xfId="2" applyFont="1" applyBorder="1" applyAlignment="1">
      <alignment horizontal="left" vertical="center" wrapText="1"/>
    </xf>
    <xf numFmtId="4" fontId="22" fillId="10" borderId="6" xfId="2" applyNumberFormat="1" applyFont="1" applyFill="1" applyBorder="1" applyAlignment="1">
      <alignment horizontal="right" vertical="center"/>
    </xf>
    <xf numFmtId="4" fontId="5" fillId="10" borderId="2" xfId="0" applyNumberFormat="1" applyFont="1" applyFill="1" applyBorder="1"/>
    <xf numFmtId="4" fontId="5" fillId="10" borderId="36" xfId="0" applyNumberFormat="1" applyFont="1" applyFill="1" applyBorder="1"/>
    <xf numFmtId="4" fontId="5" fillId="10" borderId="43" xfId="0" applyNumberFormat="1" applyFont="1" applyFill="1" applyBorder="1"/>
    <xf numFmtId="4" fontId="5" fillId="0" borderId="13" xfId="0" applyNumberFormat="1" applyFont="1" applyBorder="1"/>
    <xf numFmtId="3" fontId="8" fillId="3" borderId="4" xfId="0" applyNumberFormat="1" applyFont="1" applyFill="1" applyBorder="1" applyAlignment="1">
      <alignment horizontal="center" vertical="center"/>
    </xf>
    <xf numFmtId="3" fontId="8" fillId="6" borderId="4" xfId="0" applyNumberFormat="1" applyFont="1" applyFill="1" applyBorder="1" applyAlignment="1">
      <alignment horizontal="center" vertical="center"/>
    </xf>
    <xf numFmtId="0" fontId="8" fillId="17" borderId="2" xfId="0" applyFont="1" applyFill="1" applyBorder="1" applyAlignment="1">
      <alignment horizontal="right" vertical="center" wrapText="1"/>
    </xf>
    <xf numFmtId="3" fontId="8" fillId="17" borderId="56" xfId="0" applyNumberFormat="1" applyFont="1" applyFill="1" applyBorder="1" applyAlignment="1">
      <alignment horizontal="center" vertical="center"/>
    </xf>
    <xf numFmtId="3" fontId="10" fillId="3" borderId="15" xfId="0" applyNumberFormat="1" applyFont="1" applyFill="1" applyBorder="1" applyAlignment="1">
      <alignment horizontal="center" vertical="center"/>
    </xf>
    <xf numFmtId="164" fontId="3" fillId="0" borderId="0" xfId="1" applyNumberFormat="1" applyFont="1"/>
    <xf numFmtId="0" fontId="0" fillId="0" borderId="68" xfId="0" applyBorder="1"/>
    <xf numFmtId="0" fontId="0" fillId="0" borderId="69" xfId="0" applyBorder="1"/>
    <xf numFmtId="4" fontId="0" fillId="0" borderId="55" xfId="0" applyNumberFormat="1" applyBorder="1"/>
    <xf numFmtId="0" fontId="0" fillId="0" borderId="60" xfId="0" applyBorder="1"/>
    <xf numFmtId="4" fontId="0" fillId="0" borderId="54" xfId="0" applyNumberFormat="1" applyBorder="1"/>
    <xf numFmtId="0" fontId="0" fillId="0" borderId="59" xfId="0" applyBorder="1"/>
    <xf numFmtId="0" fontId="0" fillId="0" borderId="70" xfId="0" applyBorder="1"/>
    <xf numFmtId="4" fontId="0" fillId="0" borderId="58" xfId="0" applyNumberFormat="1" applyBorder="1"/>
    <xf numFmtId="0" fontId="0" fillId="0" borderId="2" xfId="0" applyBorder="1"/>
    <xf numFmtId="0" fontId="0" fillId="0" borderId="49" xfId="0" applyBorder="1"/>
    <xf numFmtId="4" fontId="0" fillId="0" borderId="3" xfId="0" applyNumberFormat="1" applyBorder="1"/>
    <xf numFmtId="0" fontId="2" fillId="0" borderId="69" xfId="0" applyFont="1" applyBorder="1"/>
    <xf numFmtId="0" fontId="2" fillId="0" borderId="70" xfId="0" applyFont="1" applyBorder="1"/>
    <xf numFmtId="0" fontId="2" fillId="0" borderId="49" xfId="0" applyFont="1" applyBorder="1"/>
    <xf numFmtId="0" fontId="0" fillId="17" borderId="70" xfId="0" applyFill="1" applyBorder="1"/>
    <xf numFmtId="4" fontId="29" fillId="7" borderId="1" xfId="2" applyNumberFormat="1" applyFont="1" applyFill="1" applyBorder="1" applyAlignment="1">
      <alignment horizontal="left" vertical="center"/>
    </xf>
    <xf numFmtId="0" fontId="2" fillId="0" borderId="0" xfId="0" applyFont="1"/>
    <xf numFmtId="0" fontId="0" fillId="17" borderId="0" xfId="0" applyFill="1"/>
    <xf numFmtId="0" fontId="2" fillId="2" borderId="56" xfId="0" applyFont="1" applyFill="1" applyBorder="1" applyAlignment="1">
      <alignment horizontal="center"/>
    </xf>
    <xf numFmtId="4" fontId="2" fillId="2" borderId="56" xfId="0" applyNumberFormat="1" applyFont="1" applyFill="1" applyBorder="1" applyAlignment="1">
      <alignment horizontal="center"/>
    </xf>
    <xf numFmtId="4" fontId="2" fillId="0" borderId="1" xfId="0" applyNumberFormat="1" applyFont="1" applyBorder="1"/>
    <xf numFmtId="4" fontId="0" fillId="0" borderId="56" xfId="0" applyNumberFormat="1" applyBorder="1"/>
    <xf numFmtId="4" fontId="0" fillId="0" borderId="53" xfId="0" applyNumberFormat="1" applyBorder="1"/>
    <xf numFmtId="4" fontId="0" fillId="0" borderId="57" xfId="0" applyNumberFormat="1" applyBorder="1"/>
    <xf numFmtId="0" fontId="2" fillId="0" borderId="1" xfId="0" applyFont="1" applyBorder="1"/>
    <xf numFmtId="4" fontId="0" fillId="0" borderId="71" xfId="0" applyNumberFormat="1" applyBorder="1"/>
    <xf numFmtId="4" fontId="0" fillId="0" borderId="72" xfId="0" applyNumberFormat="1" applyBorder="1"/>
    <xf numFmtId="0" fontId="2" fillId="5" borderId="1" xfId="0" applyFont="1" applyFill="1" applyBorder="1"/>
    <xf numFmtId="3" fontId="2" fillId="5" borderId="1" xfId="0" applyNumberFormat="1" applyFont="1" applyFill="1" applyBorder="1"/>
    <xf numFmtId="10" fontId="2" fillId="0" borderId="0" xfId="1" applyNumberFormat="1" applyFont="1"/>
    <xf numFmtId="4" fontId="0" fillId="0" borderId="73" xfId="0" applyNumberFormat="1" applyBorder="1"/>
    <xf numFmtId="0" fontId="53" fillId="0" borderId="0" xfId="0" applyFont="1"/>
    <xf numFmtId="4" fontId="53" fillId="0" borderId="0" xfId="0" applyNumberFormat="1" applyFont="1"/>
    <xf numFmtId="0" fontId="54" fillId="0" borderId="0" xfId="0" applyFont="1"/>
    <xf numFmtId="0" fontId="17" fillId="12" borderId="19" xfId="2" applyFont="1" applyFill="1" applyBorder="1" applyAlignment="1">
      <alignment horizontal="left" vertical="center"/>
    </xf>
    <xf numFmtId="0" fontId="17" fillId="13" borderId="19" xfId="2" applyFont="1" applyFill="1" applyBorder="1" applyAlignment="1">
      <alignment horizontal="left" vertical="center"/>
    </xf>
    <xf numFmtId="0" fontId="17" fillId="13" borderId="25" xfId="2" applyFont="1" applyFill="1" applyBorder="1" applyAlignment="1">
      <alignment horizontal="left" vertical="center"/>
    </xf>
    <xf numFmtId="0" fontId="17" fillId="13" borderId="28" xfId="2" applyFont="1" applyFill="1" applyBorder="1" applyAlignment="1">
      <alignment horizontal="left" vertical="center"/>
    </xf>
    <xf numFmtId="0" fontId="17" fillId="13" borderId="3" xfId="2" applyFont="1" applyFill="1" applyBorder="1" applyAlignment="1">
      <alignment horizontal="left" vertical="center"/>
    </xf>
    <xf numFmtId="0" fontId="17" fillId="13" borderId="55" xfId="2" applyFont="1" applyFill="1" applyBorder="1" applyAlignment="1">
      <alignment horizontal="left" vertical="center"/>
    </xf>
    <xf numFmtId="0" fontId="32" fillId="8" borderId="23" xfId="2" applyFont="1" applyFill="1" applyBorder="1" applyAlignment="1">
      <alignment horizontal="left"/>
    </xf>
    <xf numFmtId="2" fontId="6" fillId="0" borderId="9" xfId="0" applyNumberFormat="1" applyFont="1" applyBorder="1"/>
    <xf numFmtId="0" fontId="0" fillId="11" borderId="0" xfId="0" applyFill="1"/>
    <xf numFmtId="0" fontId="13" fillId="11" borderId="0" xfId="0" applyFont="1" applyFill="1"/>
    <xf numFmtId="0" fontId="0" fillId="11" borderId="74" xfId="0" applyFill="1" applyBorder="1"/>
    <xf numFmtId="3" fontId="0" fillId="11" borderId="74" xfId="0" applyNumberFormat="1" applyFill="1" applyBorder="1"/>
    <xf numFmtId="0" fontId="0" fillId="11" borderId="75" xfId="0" applyFill="1" applyBorder="1"/>
    <xf numFmtId="3" fontId="0" fillId="11" borderId="75" xfId="0" applyNumberFormat="1" applyFill="1" applyBorder="1"/>
    <xf numFmtId="3" fontId="0" fillId="11" borderId="0" xfId="0" applyNumberFormat="1" applyFill="1"/>
    <xf numFmtId="3" fontId="2" fillId="11" borderId="0" xfId="0" applyNumberFormat="1" applyFont="1" applyFill="1"/>
    <xf numFmtId="0" fontId="0" fillId="11" borderId="70" xfId="0" applyFill="1" applyBorder="1"/>
    <xf numFmtId="4" fontId="0" fillId="11" borderId="0" xfId="0" applyNumberFormat="1" applyFill="1"/>
    <xf numFmtId="164" fontId="0" fillId="11" borderId="0" xfId="1" applyNumberFormat="1" applyFont="1" applyFill="1"/>
    <xf numFmtId="0" fontId="2" fillId="11" borderId="10" xfId="0" applyFont="1" applyFill="1" applyBorder="1" applyAlignment="1">
      <alignment horizontal="center"/>
    </xf>
    <xf numFmtId="0" fontId="55" fillId="11" borderId="10" xfId="0" applyFont="1" applyFill="1" applyBorder="1"/>
    <xf numFmtId="0" fontId="55" fillId="11" borderId="10" xfId="0" applyFont="1" applyFill="1" applyBorder="1" applyAlignment="1">
      <alignment horizontal="left"/>
    </xf>
    <xf numFmtId="4" fontId="55" fillId="11" borderId="10" xfId="0" applyNumberFormat="1" applyFont="1" applyFill="1" applyBorder="1"/>
    <xf numFmtId="0" fontId="0" fillId="11" borderId="10" xfId="0" applyFill="1" applyBorder="1"/>
    <xf numFmtId="10" fontId="0" fillId="11" borderId="0" xfId="1" applyNumberFormat="1" applyFont="1" applyFill="1" applyAlignment="1">
      <alignment horizontal="center"/>
    </xf>
    <xf numFmtId="0" fontId="2" fillId="11" borderId="0" xfId="0" applyFont="1" applyFill="1"/>
    <xf numFmtId="0" fontId="2" fillId="11" borderId="10" xfId="0" applyFont="1" applyFill="1" applyBorder="1" applyAlignment="1">
      <alignment horizontal="center" vertical="center" wrapText="1"/>
    </xf>
    <xf numFmtId="0" fontId="2" fillId="11" borderId="10" xfId="0" applyFont="1" applyFill="1" applyBorder="1" applyAlignment="1">
      <alignment horizontal="center" vertical="center"/>
    </xf>
    <xf numFmtId="4" fontId="0" fillId="11" borderId="74" xfId="0" applyNumberFormat="1" applyFill="1" applyBorder="1"/>
    <xf numFmtId="4" fontId="0" fillId="11" borderId="75" xfId="0" applyNumberFormat="1" applyFill="1" applyBorder="1"/>
    <xf numFmtId="0" fontId="0" fillId="11" borderId="76" xfId="0" applyFill="1" applyBorder="1"/>
    <xf numFmtId="4" fontId="0" fillId="11" borderId="76" xfId="0" applyNumberFormat="1" applyFill="1" applyBorder="1"/>
    <xf numFmtId="0" fontId="0" fillId="2" borderId="0" xfId="0" applyFill="1"/>
    <xf numFmtId="4" fontId="0" fillId="2" borderId="0" xfId="0" applyNumberFormat="1" applyFill="1"/>
    <xf numFmtId="0" fontId="0" fillId="11" borderId="0" xfId="0" applyFill="1" applyAlignment="1">
      <alignment horizontal="left" vertical="center"/>
    </xf>
    <xf numFmtId="4" fontId="2" fillId="11" borderId="0" xfId="0" applyNumberFormat="1" applyFont="1" applyFill="1"/>
    <xf numFmtId="4" fontId="2" fillId="11" borderId="77" xfId="0" applyNumberFormat="1" applyFont="1" applyFill="1" applyBorder="1"/>
    <xf numFmtId="14" fontId="2" fillId="11" borderId="77" xfId="0" applyNumberFormat="1" applyFont="1" applyFill="1" applyBorder="1" applyAlignment="1">
      <alignment horizontal="left"/>
    </xf>
    <xf numFmtId="4" fontId="2" fillId="11" borderId="77" xfId="0" applyNumberFormat="1" applyFont="1" applyFill="1" applyBorder="1" applyAlignment="1">
      <alignment horizontal="left" vertical="center"/>
    </xf>
    <xf numFmtId="4" fontId="2" fillId="11" borderId="77" xfId="0" applyNumberFormat="1" applyFont="1" applyFill="1" applyBorder="1" applyAlignment="1">
      <alignment horizontal="left" vertical="top"/>
    </xf>
    <xf numFmtId="3" fontId="56" fillId="0" borderId="0" xfId="0" applyNumberFormat="1" applyFont="1" applyAlignment="1">
      <alignment horizontal="center"/>
    </xf>
    <xf numFmtId="0" fontId="0" fillId="0" borderId="0" xfId="0" applyAlignment="1">
      <alignment horizontal="center"/>
    </xf>
    <xf numFmtId="0" fontId="0" fillId="11" borderId="75" xfId="0" applyFill="1" applyBorder="1" applyAlignment="1">
      <alignment horizontal="center"/>
    </xf>
    <xf numFmtId="0" fontId="0" fillId="11" borderId="78" xfId="0" applyFill="1" applyBorder="1"/>
    <xf numFmtId="0" fontId="0" fillId="11" borderId="78" xfId="0" applyFill="1" applyBorder="1" applyAlignment="1">
      <alignment horizontal="center"/>
    </xf>
    <xf numFmtId="4" fontId="0" fillId="11" borderId="78" xfId="0" applyNumberFormat="1" applyFill="1" applyBorder="1"/>
    <xf numFmtId="3" fontId="0" fillId="11" borderId="78" xfId="0" applyNumberFormat="1" applyFill="1" applyBorder="1"/>
    <xf numFmtId="3" fontId="0" fillId="11" borderId="70" xfId="0" applyNumberFormat="1" applyFill="1" applyBorder="1"/>
    <xf numFmtId="10" fontId="3" fillId="0" borderId="0" xfId="1" applyNumberFormat="1" applyFont="1"/>
    <xf numFmtId="0" fontId="0" fillId="0" borderId="0" xfId="0" applyAlignment="1">
      <alignment horizontal="right"/>
    </xf>
    <xf numFmtId="0" fontId="0" fillId="0" borderId="37" xfId="0" applyBorder="1" applyAlignment="1">
      <alignment horizontal="right"/>
    </xf>
    <xf numFmtId="0" fontId="0" fillId="0" borderId="18" xfId="0" applyBorder="1" applyAlignment="1">
      <alignment horizontal="center"/>
    </xf>
    <xf numFmtId="0" fontId="0" fillId="0" borderId="17" xfId="0" applyBorder="1" applyAlignment="1">
      <alignment horizontal="center"/>
    </xf>
    <xf numFmtId="0" fontId="0" fillId="0" borderId="14" xfId="0" applyBorder="1" applyAlignment="1">
      <alignment horizontal="right"/>
    </xf>
    <xf numFmtId="3" fontId="0" fillId="0" borderId="1" xfId="0" applyNumberFormat="1" applyBorder="1" applyAlignment="1">
      <alignment horizontal="center"/>
    </xf>
    <xf numFmtId="3" fontId="0" fillId="0" borderId="20" xfId="0" applyNumberFormat="1" applyBorder="1" applyAlignment="1">
      <alignment horizontal="center"/>
    </xf>
    <xf numFmtId="0" fontId="0" fillId="0" borderId="41" xfId="0" applyBorder="1" applyAlignment="1">
      <alignment horizontal="right"/>
    </xf>
    <xf numFmtId="9" fontId="0" fillId="0" borderId="24" xfId="0" applyNumberFormat="1" applyBorder="1" applyAlignment="1">
      <alignment horizontal="center"/>
    </xf>
    <xf numFmtId="9" fontId="0" fillId="0" borderId="23" xfId="0" applyNumberFormat="1" applyBorder="1" applyAlignment="1">
      <alignment horizontal="center"/>
    </xf>
    <xf numFmtId="4" fontId="22" fillId="9" borderId="16" xfId="2" applyNumberFormat="1" applyFont="1" applyFill="1" applyBorder="1" applyAlignment="1">
      <alignment horizontal="right" vertical="center"/>
    </xf>
    <xf numFmtId="4" fontId="22" fillId="10" borderId="13" xfId="2" applyNumberFormat="1" applyFont="1" applyFill="1" applyBorder="1" applyAlignment="1">
      <alignment horizontal="right" vertical="center"/>
    </xf>
    <xf numFmtId="4" fontId="5" fillId="0" borderId="16" xfId="0" applyNumberFormat="1" applyFont="1" applyBorder="1"/>
    <xf numFmtId="4" fontId="5" fillId="10" borderId="13" xfId="0" applyNumberFormat="1" applyFont="1" applyFill="1" applyBorder="1"/>
    <xf numFmtId="4" fontId="5" fillId="10" borderId="22" xfId="0" applyNumberFormat="1" applyFont="1" applyFill="1" applyBorder="1"/>
    <xf numFmtId="4" fontId="5" fillId="10" borderId="5" xfId="0" applyNumberFormat="1" applyFont="1" applyFill="1" applyBorder="1"/>
    <xf numFmtId="4" fontId="5" fillId="9" borderId="13" xfId="0" applyNumberFormat="1" applyFont="1" applyFill="1" applyBorder="1"/>
    <xf numFmtId="4" fontId="6" fillId="0" borderId="9" xfId="0" applyNumberFormat="1" applyFont="1" applyBorder="1"/>
    <xf numFmtId="4" fontId="22" fillId="11" borderId="1" xfId="2" applyNumberFormat="1" applyFont="1" applyFill="1" applyBorder="1" applyAlignment="1">
      <alignment horizontal="right" vertical="center"/>
    </xf>
    <xf numFmtId="4" fontId="22" fillId="10" borderId="1" xfId="2" applyNumberFormat="1" applyFont="1" applyFill="1" applyBorder="1" applyAlignment="1">
      <alignment horizontal="right" vertical="center"/>
    </xf>
    <xf numFmtId="4" fontId="22" fillId="11" borderId="18" xfId="2" applyNumberFormat="1" applyFont="1" applyFill="1" applyBorder="1" applyAlignment="1">
      <alignment horizontal="right" vertical="center"/>
    </xf>
    <xf numFmtId="4" fontId="22" fillId="10" borderId="18" xfId="2" applyNumberFormat="1" applyFont="1" applyFill="1" applyBorder="1" applyAlignment="1">
      <alignment horizontal="right" vertical="center"/>
    </xf>
    <xf numFmtId="4" fontId="18" fillId="7" borderId="18" xfId="0" applyNumberFormat="1" applyFont="1" applyFill="1" applyBorder="1" applyAlignment="1">
      <alignment horizontal="right" vertical="center"/>
    </xf>
    <xf numFmtId="0" fontId="24" fillId="12" borderId="17" xfId="0" applyFont="1" applyFill="1" applyBorder="1" applyAlignment="1">
      <alignment horizontal="left" vertical="center"/>
    </xf>
    <xf numFmtId="4" fontId="22" fillId="11" borderId="24" xfId="2" applyNumberFormat="1" applyFont="1" applyFill="1" applyBorder="1" applyAlignment="1">
      <alignment horizontal="right" vertical="center"/>
    </xf>
    <xf numFmtId="4" fontId="22" fillId="10" borderId="24" xfId="2" applyNumberFormat="1" applyFont="1" applyFill="1" applyBorder="1" applyAlignment="1">
      <alignment horizontal="right" vertical="center"/>
    </xf>
    <xf numFmtId="4" fontId="18" fillId="7" borderId="24" xfId="0" applyNumberFormat="1" applyFont="1" applyFill="1" applyBorder="1" applyAlignment="1">
      <alignment horizontal="right" vertical="center"/>
    </xf>
    <xf numFmtId="0" fontId="24" fillId="12" borderId="23" xfId="0" applyFont="1" applyFill="1" applyBorder="1" applyAlignment="1">
      <alignment horizontal="left" vertical="center"/>
    </xf>
    <xf numFmtId="0" fontId="16" fillId="0" borderId="16" xfId="2" quotePrefix="1" applyFont="1" applyBorder="1" applyAlignment="1">
      <alignment vertical="center"/>
    </xf>
    <xf numFmtId="4" fontId="22" fillId="11" borderId="19" xfId="2" applyNumberFormat="1" applyFont="1" applyFill="1" applyBorder="1" applyAlignment="1">
      <alignment horizontal="right" vertical="center"/>
    </xf>
    <xf numFmtId="4" fontId="22" fillId="11" borderId="25" xfId="2" applyNumberFormat="1" applyFont="1" applyFill="1" applyBorder="1" applyAlignment="1">
      <alignment horizontal="right" vertical="center"/>
    </xf>
    <xf numFmtId="0" fontId="18" fillId="7" borderId="37" xfId="0" applyFont="1" applyFill="1" applyBorder="1" applyAlignment="1">
      <alignment horizontal="left" vertical="center"/>
    </xf>
    <xf numFmtId="0" fontId="18" fillId="7" borderId="41" xfId="0" applyFont="1" applyFill="1" applyBorder="1" applyAlignment="1">
      <alignment horizontal="left" vertical="center"/>
    </xf>
    <xf numFmtId="4" fontId="22" fillId="0" borderId="43" xfId="2" applyNumberFormat="1" applyFont="1" applyBorder="1" applyAlignment="1">
      <alignment horizontal="right" vertical="center"/>
    </xf>
    <xf numFmtId="4" fontId="22" fillId="0" borderId="24" xfId="2" applyNumberFormat="1" applyFont="1" applyBorder="1" applyAlignment="1">
      <alignment horizontal="right" vertical="center"/>
    </xf>
    <xf numFmtId="3" fontId="3" fillId="0" borderId="0" xfId="0" applyNumberFormat="1" applyFont="1" applyAlignment="1">
      <alignment horizontal="left"/>
    </xf>
    <xf numFmtId="3" fontId="6" fillId="0" borderId="0" xfId="0" applyNumberFormat="1" applyFont="1" applyAlignment="1">
      <alignment horizontal="left" vertical="center" wrapText="1"/>
    </xf>
    <xf numFmtId="3" fontId="56" fillId="0" borderId="0" xfId="0" applyNumberFormat="1" applyFont="1" applyAlignment="1">
      <alignment horizontal="left"/>
    </xf>
    <xf numFmtId="10" fontId="3" fillId="0" borderId="0" xfId="1" applyNumberFormat="1" applyFont="1" applyAlignment="1">
      <alignment horizontal="left"/>
    </xf>
    <xf numFmtId="0" fontId="3" fillId="0" borderId="0" xfId="0" applyFont="1" applyAlignment="1">
      <alignment horizontal="left"/>
    </xf>
    <xf numFmtId="164" fontId="3" fillId="0" borderId="0" xfId="1" applyNumberFormat="1" applyFont="1" applyAlignment="1">
      <alignment horizontal="left"/>
    </xf>
    <xf numFmtId="4" fontId="22" fillId="0" borderId="1" xfId="2" applyNumberFormat="1" applyFont="1" applyBorder="1" applyAlignment="1">
      <alignment horizontal="right" vertical="center"/>
    </xf>
    <xf numFmtId="16" fontId="22" fillId="0" borderId="1" xfId="2" quotePrefix="1" applyNumberFormat="1" applyFont="1" applyBorder="1" applyAlignment="1">
      <alignment horizontal="left" vertical="center" wrapText="1"/>
    </xf>
    <xf numFmtId="4" fontId="22" fillId="9" borderId="1" xfId="2" applyNumberFormat="1" applyFont="1" applyFill="1" applyBorder="1" applyAlignment="1">
      <alignment horizontal="right" vertical="center"/>
    </xf>
    <xf numFmtId="16" fontId="17" fillId="0" borderId="18" xfId="2" quotePrefix="1" applyNumberFormat="1" applyFont="1" applyBorder="1" applyAlignment="1">
      <alignment vertical="center" wrapText="1"/>
    </xf>
    <xf numFmtId="4" fontId="22" fillId="0" borderId="18" xfId="2" applyNumberFormat="1" applyFont="1" applyBorder="1" applyAlignment="1">
      <alignment horizontal="right" vertical="center"/>
    </xf>
    <xf numFmtId="16" fontId="22" fillId="0" borderId="24" xfId="2" quotePrefix="1" applyNumberFormat="1" applyFont="1" applyBorder="1" applyAlignment="1">
      <alignment horizontal="left" vertical="center" wrapText="1"/>
    </xf>
    <xf numFmtId="0" fontId="16" fillId="0" borderId="5" xfId="2" quotePrefix="1" applyFont="1" applyBorder="1" applyAlignment="1">
      <alignment vertical="center"/>
    </xf>
    <xf numFmtId="0" fontId="17" fillId="0" borderId="26" xfId="2" applyFont="1" applyBorder="1" applyAlignment="1">
      <alignment horizontal="left" vertical="center" wrapText="1"/>
    </xf>
    <xf numFmtId="0" fontId="17" fillId="0" borderId="17" xfId="2" applyFont="1" applyBorder="1" applyAlignment="1">
      <alignment horizontal="left" vertical="center" wrapText="1"/>
    </xf>
    <xf numFmtId="0" fontId="31" fillId="0" borderId="23" xfId="2" applyFont="1" applyBorder="1" applyAlignment="1">
      <alignment horizontal="left" vertical="center" wrapText="1"/>
    </xf>
    <xf numFmtId="4" fontId="22" fillId="10" borderId="15" xfId="2" applyNumberFormat="1" applyFont="1" applyFill="1" applyBorder="1" applyAlignment="1">
      <alignment horizontal="right" vertical="center"/>
    </xf>
    <xf numFmtId="4" fontId="29" fillId="7" borderId="24" xfId="4" applyNumberFormat="1" applyFont="1" applyFill="1" applyBorder="1" applyAlignment="1">
      <alignment horizontal="right" vertical="center"/>
    </xf>
    <xf numFmtId="0" fontId="17" fillId="12" borderId="37" xfId="2" applyFont="1" applyFill="1" applyBorder="1" applyAlignment="1">
      <alignment horizontal="left"/>
    </xf>
    <xf numFmtId="4" fontId="57" fillId="0" borderId="12" xfId="2" applyNumberFormat="1" applyFont="1" applyBorder="1" applyAlignment="1">
      <alignment horizontal="right" vertical="center"/>
    </xf>
    <xf numFmtId="4" fontId="23" fillId="0" borderId="21" xfId="2" applyNumberFormat="1" applyFont="1" applyBorder="1" applyAlignment="1">
      <alignment horizontal="right" vertical="center"/>
    </xf>
    <xf numFmtId="16" fontId="31" fillId="0" borderId="63" xfId="2" quotePrefix="1" applyNumberFormat="1" applyFont="1" applyBorder="1" applyAlignment="1">
      <alignment vertical="center" wrapText="1"/>
    </xf>
    <xf numFmtId="0" fontId="29" fillId="7" borderId="65" xfId="2" applyFont="1" applyFill="1" applyBorder="1" applyAlignment="1">
      <alignment horizontal="left" vertical="center"/>
    </xf>
    <xf numFmtId="4" fontId="17" fillId="12" borderId="65" xfId="2" applyNumberFormat="1" applyFont="1" applyFill="1" applyBorder="1" applyAlignment="1">
      <alignment vertical="center"/>
    </xf>
    <xf numFmtId="0" fontId="17" fillId="12" borderId="63" xfId="2" applyFont="1" applyFill="1" applyBorder="1" applyAlignment="1">
      <alignment horizontal="left"/>
    </xf>
    <xf numFmtId="4" fontId="22" fillId="0" borderId="68" xfId="2" applyNumberFormat="1" applyFont="1" applyBorder="1" applyAlignment="1">
      <alignment horizontal="right" vertical="center"/>
    </xf>
    <xf numFmtId="4" fontId="22" fillId="10" borderId="68" xfId="2" applyNumberFormat="1" applyFont="1" applyFill="1" applyBorder="1" applyAlignment="1">
      <alignment horizontal="right" vertical="center"/>
    </xf>
    <xf numFmtId="0" fontId="34" fillId="7" borderId="5" xfId="2" applyFont="1" applyFill="1" applyBorder="1" applyAlignment="1">
      <alignment horizontal="left" vertical="center"/>
    </xf>
    <xf numFmtId="4" fontId="22" fillId="10" borderId="59" xfId="2" applyNumberFormat="1" applyFont="1" applyFill="1" applyBorder="1" applyAlignment="1">
      <alignment horizontal="right" vertical="center"/>
    </xf>
    <xf numFmtId="4" fontId="29" fillId="7" borderId="4" xfId="2" applyNumberFormat="1" applyFont="1" applyFill="1" applyBorder="1" applyAlignment="1">
      <alignment horizontal="right" vertical="center"/>
    </xf>
    <xf numFmtId="4" fontId="22" fillId="10" borderId="60" xfId="2" applyNumberFormat="1" applyFont="1" applyFill="1" applyBorder="1" applyAlignment="1">
      <alignment horizontal="right" vertical="center"/>
    </xf>
    <xf numFmtId="4" fontId="5" fillId="9" borderId="2" xfId="0" applyNumberFormat="1" applyFont="1" applyFill="1" applyBorder="1"/>
    <xf numFmtId="0" fontId="6" fillId="12" borderId="14" xfId="0" applyFont="1" applyFill="1" applyBorder="1"/>
    <xf numFmtId="4" fontId="22" fillId="10" borderId="27" xfId="2" applyNumberFormat="1" applyFont="1" applyFill="1" applyBorder="1" applyAlignment="1">
      <alignment horizontal="right" vertical="center"/>
    </xf>
    <xf numFmtId="4" fontId="22" fillId="9" borderId="18" xfId="2" applyNumberFormat="1" applyFont="1" applyFill="1" applyBorder="1" applyAlignment="1">
      <alignment horizontal="right" vertical="center"/>
    </xf>
    <xf numFmtId="4" fontId="49" fillId="0" borderId="1" xfId="0" applyNumberFormat="1" applyFont="1" applyBorder="1" applyAlignment="1">
      <alignment horizontal="center" vertical="center"/>
    </xf>
    <xf numFmtId="4" fontId="49" fillId="9" borderId="17" xfId="0" applyNumberFormat="1" applyFont="1" applyFill="1" applyBorder="1" applyAlignment="1">
      <alignment horizontal="center" vertical="center"/>
    </xf>
    <xf numFmtId="4" fontId="49" fillId="0" borderId="24" xfId="0" applyNumberFormat="1" applyFont="1" applyBorder="1" applyAlignment="1">
      <alignment horizontal="center" vertical="center"/>
    </xf>
    <xf numFmtId="49" fontId="36" fillId="8" borderId="14" xfId="2" quotePrefix="1" applyNumberFormat="1" applyFont="1" applyFill="1" applyBorder="1" applyAlignment="1">
      <alignment horizontal="left" vertical="center" indent="2"/>
    </xf>
    <xf numFmtId="49" fontId="36" fillId="8" borderId="41" xfId="2" quotePrefix="1" applyNumberFormat="1" applyFont="1" applyFill="1" applyBorder="1" applyAlignment="1">
      <alignment horizontal="left" vertical="center" indent="2"/>
    </xf>
    <xf numFmtId="0" fontId="59" fillId="12" borderId="20" xfId="0" applyFont="1" applyFill="1" applyBorder="1" applyAlignment="1">
      <alignment horizontal="center" vertical="center"/>
    </xf>
    <xf numFmtId="4" fontId="49" fillId="0" borderId="30" xfId="0" applyNumberFormat="1" applyFont="1" applyBorder="1" applyAlignment="1">
      <alignment horizontal="center" vertical="center"/>
    </xf>
    <xf numFmtId="0" fontId="34" fillId="0" borderId="17" xfId="5" applyFont="1" applyBorder="1" applyAlignment="1">
      <alignment vertical="center" wrapText="1"/>
    </xf>
    <xf numFmtId="49" fontId="36" fillId="8" borderId="41" xfId="2" quotePrefix="1" applyNumberFormat="1" applyFont="1" applyFill="1" applyBorder="1" applyAlignment="1">
      <alignment horizontal="left" vertical="center" indent="1"/>
    </xf>
    <xf numFmtId="0" fontId="58" fillId="0" borderId="43" xfId="0" applyFont="1" applyBorder="1" applyAlignment="1">
      <alignment horizontal="left" vertical="center" wrapText="1"/>
    </xf>
    <xf numFmtId="0" fontId="49" fillId="0" borderId="20" xfId="0" applyFont="1" applyBorder="1" applyAlignment="1">
      <alignment horizontal="left" vertical="center" wrapText="1"/>
    </xf>
    <xf numFmtId="0" fontId="49" fillId="0" borderId="23" xfId="0" applyFont="1" applyBorder="1" applyAlignment="1">
      <alignment horizontal="left" vertical="center" wrapText="1"/>
    </xf>
    <xf numFmtId="0" fontId="49" fillId="8" borderId="26" xfId="0" applyFont="1" applyFill="1" applyBorder="1" applyAlignment="1">
      <alignment horizontal="center" vertical="center"/>
    </xf>
    <xf numFmtId="49" fontId="36" fillId="8" borderId="41" xfId="2" applyNumberFormat="1" applyFont="1" applyFill="1" applyBorder="1" applyAlignment="1">
      <alignment horizontal="left" vertical="center"/>
    </xf>
    <xf numFmtId="0" fontId="31" fillId="0" borderId="20" xfId="0" applyFont="1" applyBorder="1" applyAlignment="1">
      <alignment vertical="center" wrapText="1"/>
    </xf>
    <xf numFmtId="0" fontId="49" fillId="12" borderId="14" xfId="0" applyFont="1" applyFill="1" applyBorder="1"/>
    <xf numFmtId="0" fontId="49" fillId="12" borderId="20" xfId="0" applyFont="1" applyFill="1" applyBorder="1"/>
    <xf numFmtId="49" fontId="36" fillId="0" borderId="39" xfId="2" applyNumberFormat="1" applyFont="1" applyBorder="1" applyAlignment="1">
      <alignment horizontal="left" vertical="center" wrapText="1"/>
    </xf>
    <xf numFmtId="49" fontId="36" fillId="0" borderId="43" xfId="2" applyNumberFormat="1" applyFont="1" applyBorder="1" applyAlignment="1">
      <alignment horizontal="left" vertical="center" wrapText="1"/>
    </xf>
    <xf numFmtId="4" fontId="49" fillId="10" borderId="21" xfId="0" applyNumberFormat="1" applyFont="1" applyFill="1" applyBorder="1" applyAlignment="1">
      <alignment horizontal="center" vertical="center"/>
    </xf>
    <xf numFmtId="49" fontId="48" fillId="8" borderId="41" xfId="2" applyNumberFormat="1" applyFont="1" applyFill="1" applyBorder="1" applyAlignment="1">
      <alignment horizontal="left" vertical="center"/>
    </xf>
    <xf numFmtId="4" fontId="49" fillId="0" borderId="29" xfId="0" applyNumberFormat="1" applyFont="1" applyBorder="1" applyAlignment="1">
      <alignment horizontal="center" vertical="center"/>
    </xf>
    <xf numFmtId="0" fontId="49" fillId="8" borderId="20" xfId="0" applyFont="1" applyFill="1" applyBorder="1" applyAlignment="1">
      <alignment horizontal="center" vertical="center"/>
    </xf>
    <xf numFmtId="0" fontId="49" fillId="0" borderId="20" xfId="5" applyFont="1" applyBorder="1" applyAlignment="1">
      <alignment horizontal="left" vertical="center" wrapText="1"/>
    </xf>
    <xf numFmtId="0" fontId="49" fillId="0" borderId="23" xfId="5" applyFont="1" applyBorder="1" applyAlignment="1">
      <alignment horizontal="left" vertical="center" wrapText="1"/>
    </xf>
    <xf numFmtId="0" fontId="49" fillId="0" borderId="26" xfId="0" applyFont="1" applyBorder="1" applyAlignment="1">
      <alignment horizontal="left" vertical="center" wrapText="1"/>
    </xf>
    <xf numFmtId="0" fontId="37" fillId="0" borderId="39" xfId="5" applyFont="1" applyBorder="1" applyAlignment="1">
      <alignment vertical="center" wrapText="1"/>
    </xf>
    <xf numFmtId="0" fontId="49" fillId="0" borderId="2" xfId="5" applyFont="1" applyBorder="1" applyAlignment="1">
      <alignment horizontal="left" vertical="center" wrapText="1"/>
    </xf>
    <xf numFmtId="0" fontId="49" fillId="0" borderId="43" xfId="5" applyFont="1" applyBorder="1" applyAlignment="1">
      <alignment horizontal="left" vertical="center" wrapText="1"/>
    </xf>
    <xf numFmtId="0" fontId="49" fillId="0" borderId="43" xfId="5" applyFont="1" applyBorder="1" applyAlignment="1">
      <alignment vertical="center" wrapText="1"/>
    </xf>
    <xf numFmtId="0" fontId="49" fillId="0" borderId="39" xfId="5" applyFont="1" applyBorder="1" applyAlignment="1">
      <alignment vertical="center" wrapText="1"/>
    </xf>
    <xf numFmtId="0" fontId="49" fillId="11" borderId="2" xfId="5" applyFont="1" applyFill="1" applyBorder="1" applyAlignment="1">
      <alignment vertical="center" wrapText="1"/>
    </xf>
    <xf numFmtId="0" fontId="49" fillId="0" borderId="2" xfId="5" applyFont="1" applyBorder="1" applyAlignment="1">
      <alignment vertical="center" wrapText="1"/>
    </xf>
    <xf numFmtId="0" fontId="49" fillId="0" borderId="20" xfId="5" applyFont="1" applyBorder="1" applyAlignment="1">
      <alignment vertical="center" wrapText="1"/>
    </xf>
    <xf numFmtId="0" fontId="49" fillId="0" borderId="23" xfId="5" applyFont="1" applyBorder="1" applyAlignment="1">
      <alignment vertical="center" wrapText="1"/>
    </xf>
    <xf numFmtId="4" fontId="22" fillId="9" borderId="39" xfId="2" applyNumberFormat="1" applyFont="1" applyFill="1" applyBorder="1" applyAlignment="1">
      <alignment horizontal="right" vertical="center"/>
    </xf>
    <xf numFmtId="166" fontId="3" fillId="0" borderId="0" xfId="0" applyNumberFormat="1" applyFont="1" applyAlignment="1">
      <alignment horizontal="center"/>
    </xf>
    <xf numFmtId="10" fontId="5" fillId="0" borderId="0" xfId="1" applyNumberFormat="1" applyFont="1" applyFill="1" applyAlignment="1">
      <alignment horizontal="left"/>
    </xf>
    <xf numFmtId="0" fontId="47" fillId="0" borderId="0" xfId="0" applyFont="1" applyAlignment="1">
      <alignment horizontal="center"/>
    </xf>
    <xf numFmtId="4" fontId="5" fillId="0" borderId="47" xfId="0" applyNumberFormat="1" applyFont="1" applyBorder="1"/>
    <xf numFmtId="4" fontId="5" fillId="10" borderId="49" xfId="0" applyNumberFormat="1" applyFont="1" applyFill="1" applyBorder="1"/>
    <xf numFmtId="4" fontId="5" fillId="10" borderId="48" xfId="0" applyNumberFormat="1" applyFont="1" applyFill="1" applyBorder="1"/>
    <xf numFmtId="4" fontId="22" fillId="0" borderId="4" xfId="2" applyNumberFormat="1" applyFont="1" applyBorder="1" applyAlignment="1">
      <alignment horizontal="right" vertical="center"/>
    </xf>
    <xf numFmtId="4" fontId="22" fillId="9" borderId="15" xfId="2" applyNumberFormat="1" applyFont="1" applyFill="1" applyBorder="1" applyAlignment="1">
      <alignment horizontal="right" vertical="center"/>
    </xf>
    <xf numFmtId="4" fontId="34" fillId="18" borderId="26" xfId="2" applyNumberFormat="1" applyFont="1" applyFill="1" applyBorder="1" applyAlignment="1">
      <alignment vertical="center"/>
    </xf>
    <xf numFmtId="0" fontId="6" fillId="19" borderId="0" xfId="0" applyFont="1" applyFill="1" applyAlignment="1">
      <alignment horizontal="center" vertical="center" wrapText="1"/>
    </xf>
    <xf numFmtId="4" fontId="22" fillId="18" borderId="36" xfId="2" applyNumberFormat="1" applyFont="1" applyFill="1" applyBorder="1" applyAlignment="1">
      <alignment horizontal="right" vertical="center"/>
    </xf>
    <xf numFmtId="4" fontId="22" fillId="18" borderId="39" xfId="2" applyNumberFormat="1" applyFont="1" applyFill="1" applyBorder="1" applyAlignment="1">
      <alignment horizontal="right" vertical="center"/>
    </xf>
    <xf numFmtId="4" fontId="22" fillId="18" borderId="2" xfId="2" applyNumberFormat="1" applyFont="1" applyFill="1" applyBorder="1" applyAlignment="1">
      <alignment horizontal="right" vertical="center"/>
    </xf>
    <xf numFmtId="4" fontId="22" fillId="18" borderId="43" xfId="2" applyNumberFormat="1" applyFont="1" applyFill="1" applyBorder="1" applyAlignment="1">
      <alignment horizontal="right" vertical="center"/>
    </xf>
    <xf numFmtId="4" fontId="22" fillId="18" borderId="18" xfId="2" applyNumberFormat="1" applyFont="1" applyFill="1" applyBorder="1" applyAlignment="1">
      <alignment horizontal="right" vertical="center"/>
    </xf>
    <xf numFmtId="4" fontId="22" fillId="18" borderId="24" xfId="2" applyNumberFormat="1" applyFont="1" applyFill="1" applyBorder="1" applyAlignment="1">
      <alignment horizontal="right" vertical="center"/>
    </xf>
    <xf numFmtId="4" fontId="22" fillId="18" borderId="26" xfId="2" applyNumberFormat="1" applyFont="1" applyFill="1" applyBorder="1" applyAlignment="1">
      <alignment horizontal="right" vertical="center"/>
    </xf>
    <xf numFmtId="4" fontId="6" fillId="18" borderId="6" xfId="0" applyNumberFormat="1" applyFont="1" applyFill="1" applyBorder="1" applyAlignment="1">
      <alignment vertical="center"/>
    </xf>
    <xf numFmtId="4" fontId="22" fillId="11" borderId="3" xfId="2" applyNumberFormat="1" applyFont="1" applyFill="1" applyBorder="1" applyAlignment="1">
      <alignment horizontal="right" vertical="center"/>
    </xf>
    <xf numFmtId="16" fontId="31" fillId="0" borderId="41" xfId="2" quotePrefix="1" applyNumberFormat="1" applyFont="1" applyBorder="1" applyAlignment="1">
      <alignment horizontal="left" vertical="center" indent="1"/>
    </xf>
    <xf numFmtId="16" fontId="22" fillId="0" borderId="14" xfId="2" quotePrefix="1" applyNumberFormat="1" applyFont="1" applyBorder="1" applyAlignment="1">
      <alignment horizontal="left" vertical="center" indent="2"/>
    </xf>
    <xf numFmtId="16" fontId="22" fillId="0" borderId="14" xfId="2" quotePrefix="1" applyNumberFormat="1" applyFont="1" applyBorder="1" applyAlignment="1">
      <alignment horizontal="left" vertical="center" indent="3"/>
    </xf>
    <xf numFmtId="16" fontId="22" fillId="0" borderId="41" xfId="2" quotePrefix="1" applyNumberFormat="1" applyFont="1" applyBorder="1" applyAlignment="1">
      <alignment horizontal="left" vertical="center" indent="2"/>
    </xf>
    <xf numFmtId="16" fontId="17" fillId="0" borderId="16" xfId="2" quotePrefix="1" applyNumberFormat="1" applyFont="1" applyBorder="1" applyAlignment="1">
      <alignment vertical="center"/>
    </xf>
    <xf numFmtId="16" fontId="22" fillId="0" borderId="13" xfId="2" quotePrefix="1" applyNumberFormat="1" applyFont="1" applyBorder="1" applyAlignment="1">
      <alignment horizontal="left" vertical="center" indent="1"/>
    </xf>
    <xf numFmtId="16" fontId="22" fillId="0" borderId="22" xfId="2" quotePrefix="1" applyNumberFormat="1" applyFont="1" applyBorder="1" applyAlignment="1">
      <alignment horizontal="left" vertical="center" indent="1"/>
    </xf>
    <xf numFmtId="16" fontId="17" fillId="0" borderId="5" xfId="2" quotePrefix="1" applyNumberFormat="1" applyFont="1" applyBorder="1" applyAlignment="1">
      <alignment vertical="center"/>
    </xf>
    <xf numFmtId="16" fontId="31" fillId="0" borderId="13" xfId="2" quotePrefix="1" applyNumberFormat="1" applyFont="1" applyBorder="1" applyAlignment="1">
      <alignment vertical="center"/>
    </xf>
    <xf numFmtId="16" fontId="31" fillId="0" borderId="22" xfId="2" quotePrefix="1" applyNumberFormat="1" applyFont="1" applyBorder="1" applyAlignment="1">
      <alignment vertical="center"/>
    </xf>
    <xf numFmtId="16" fontId="31" fillId="0" borderId="14" xfId="2" quotePrefix="1" applyNumberFormat="1" applyFont="1" applyBorder="1" applyAlignment="1">
      <alignment vertical="center"/>
    </xf>
    <xf numFmtId="16" fontId="31" fillId="0" borderId="65" xfId="2" quotePrefix="1" applyNumberFormat="1" applyFont="1" applyBorder="1" applyAlignment="1">
      <alignment horizontal="left" vertical="center" indent="1"/>
    </xf>
    <xf numFmtId="16" fontId="22" fillId="0" borderId="41" xfId="2" quotePrefix="1" applyNumberFormat="1" applyFont="1" applyBorder="1" applyAlignment="1">
      <alignment vertical="center"/>
    </xf>
    <xf numFmtId="16" fontId="31" fillId="0" borderId="14" xfId="2" quotePrefix="1" applyNumberFormat="1" applyFont="1" applyBorder="1" applyAlignment="1">
      <alignment horizontal="left" vertical="center" indent="1"/>
    </xf>
    <xf numFmtId="16" fontId="17" fillId="0" borderId="20" xfId="2" quotePrefix="1" applyNumberFormat="1" applyFont="1" applyBorder="1" applyAlignment="1">
      <alignment vertical="center" wrapText="1"/>
    </xf>
    <xf numFmtId="0" fontId="24" fillId="12" borderId="20" xfId="4" applyFont="1" applyFill="1" applyBorder="1" applyAlignment="1">
      <alignment horizontal="left"/>
    </xf>
    <xf numFmtId="4" fontId="22" fillId="18" borderId="1" xfId="2" applyNumberFormat="1" applyFont="1" applyFill="1" applyBorder="1" applyAlignment="1">
      <alignment horizontal="right" vertical="center"/>
    </xf>
    <xf numFmtId="4" fontId="22" fillId="18" borderId="17" xfId="2" applyNumberFormat="1" applyFont="1" applyFill="1" applyBorder="1" applyAlignment="1">
      <alignment horizontal="right" vertical="center"/>
    </xf>
    <xf numFmtId="4" fontId="22" fillId="18" borderId="20" xfId="2" applyNumberFormat="1" applyFont="1" applyFill="1" applyBorder="1" applyAlignment="1">
      <alignment horizontal="right" vertical="center"/>
    </xf>
    <xf numFmtId="4" fontId="22" fillId="18" borderId="23" xfId="2" applyNumberFormat="1" applyFont="1" applyFill="1" applyBorder="1" applyAlignment="1">
      <alignment horizontal="right" vertical="center"/>
    </xf>
    <xf numFmtId="4" fontId="22" fillId="18" borderId="63" xfId="2" applyNumberFormat="1" applyFont="1" applyFill="1" applyBorder="1" applyAlignment="1">
      <alignment horizontal="right" vertical="center"/>
    </xf>
    <xf numFmtId="0" fontId="24" fillId="12" borderId="23" xfId="4" applyFont="1" applyFill="1" applyBorder="1" applyAlignment="1">
      <alignment horizontal="left"/>
    </xf>
    <xf numFmtId="0" fontId="34" fillId="12" borderId="3" xfId="2" applyFont="1" applyFill="1" applyBorder="1" applyAlignment="1">
      <alignment horizontal="left"/>
    </xf>
    <xf numFmtId="0" fontId="24" fillId="8" borderId="20" xfId="4" applyFont="1" applyFill="1" applyBorder="1" applyAlignment="1">
      <alignment horizontal="left"/>
    </xf>
    <xf numFmtId="0" fontId="27" fillId="12" borderId="20" xfId="4" applyFont="1" applyFill="1" applyBorder="1" applyAlignment="1">
      <alignment horizontal="left"/>
    </xf>
    <xf numFmtId="16" fontId="22" fillId="0" borderId="2" xfId="2" quotePrefix="1" applyNumberFormat="1" applyFont="1" applyBorder="1" applyAlignment="1">
      <alignment vertical="center" wrapText="1"/>
    </xf>
    <xf numFmtId="16" fontId="22" fillId="0" borderId="43" xfId="2" quotePrefix="1" applyNumberFormat="1" applyFont="1" applyBorder="1" applyAlignment="1">
      <alignment vertical="center" wrapText="1"/>
    </xf>
    <xf numFmtId="0" fontId="16" fillId="12" borderId="14" xfId="2" applyFont="1" applyFill="1" applyBorder="1"/>
    <xf numFmtId="0" fontId="27" fillId="12" borderId="14" xfId="2" applyFont="1" applyFill="1" applyBorder="1" applyAlignment="1">
      <alignment horizontal="left"/>
    </xf>
    <xf numFmtId="0" fontId="17" fillId="8" borderId="23" xfId="2" applyFont="1" applyFill="1" applyBorder="1" applyAlignment="1">
      <alignment horizontal="left" vertical="center"/>
    </xf>
    <xf numFmtId="4" fontId="22" fillId="18" borderId="27" xfId="2" applyNumberFormat="1" applyFont="1" applyFill="1" applyBorder="1" applyAlignment="1">
      <alignment horizontal="right" vertical="center"/>
    </xf>
    <xf numFmtId="4" fontId="26" fillId="7" borderId="31" xfId="0" applyNumberFormat="1" applyFont="1" applyFill="1" applyBorder="1" applyAlignment="1">
      <alignment vertical="center"/>
    </xf>
    <xf numFmtId="3" fontId="10" fillId="3" borderId="29" xfId="0" applyNumberFormat="1" applyFont="1" applyFill="1" applyBorder="1" applyAlignment="1">
      <alignment horizontal="center" vertical="center"/>
    </xf>
    <xf numFmtId="3" fontId="10" fillId="10" borderId="21" xfId="0" applyNumberFormat="1" applyFont="1" applyFill="1" applyBorder="1" applyAlignment="1">
      <alignment horizontal="center" vertical="center"/>
    </xf>
    <xf numFmtId="4" fontId="22" fillId="18" borderId="60" xfId="2" applyNumberFormat="1" applyFont="1" applyFill="1" applyBorder="1" applyAlignment="1">
      <alignment horizontal="right" vertical="center"/>
    </xf>
    <xf numFmtId="0" fontId="51" fillId="0" borderId="0" xfId="0" applyFont="1"/>
    <xf numFmtId="0" fontId="17" fillId="13" borderId="17" xfId="2" applyFont="1" applyFill="1" applyBorder="1" applyAlignment="1">
      <alignment horizontal="left" vertical="center"/>
    </xf>
    <xf numFmtId="0" fontId="17" fillId="13" borderId="26" xfId="2" applyFont="1" applyFill="1" applyBorder="1" applyAlignment="1">
      <alignment horizontal="left" vertical="center"/>
    </xf>
    <xf numFmtId="0" fontId="17" fillId="13" borderId="20" xfId="2" applyFont="1" applyFill="1" applyBorder="1" applyAlignment="1">
      <alignment horizontal="left" vertical="center"/>
    </xf>
    <xf numFmtId="0" fontId="17" fillId="8" borderId="64" xfId="2" applyFont="1" applyFill="1" applyBorder="1" applyAlignment="1">
      <alignment horizontal="left" vertical="center"/>
    </xf>
    <xf numFmtId="0" fontId="17" fillId="13" borderId="64" xfId="2" applyFont="1" applyFill="1" applyBorder="1" applyAlignment="1">
      <alignment horizontal="left" vertical="center"/>
    </xf>
    <xf numFmtId="4" fontId="22" fillId="18" borderId="68" xfId="2" applyNumberFormat="1" applyFont="1" applyFill="1" applyBorder="1" applyAlignment="1">
      <alignment horizontal="right" vertical="center"/>
    </xf>
    <xf numFmtId="4" fontId="5" fillId="10" borderId="1" xfId="0" applyNumberFormat="1" applyFont="1" applyFill="1" applyBorder="1"/>
    <xf numFmtId="4" fontId="5" fillId="0" borderId="18" xfId="0" applyNumberFormat="1" applyFont="1" applyBorder="1"/>
    <xf numFmtId="4" fontId="5" fillId="10" borderId="24" xfId="0" applyNumberFormat="1" applyFont="1" applyFill="1" applyBorder="1"/>
    <xf numFmtId="4" fontId="5" fillId="0" borderId="49" xfId="0" applyNumberFormat="1" applyFont="1" applyBorder="1"/>
    <xf numFmtId="4" fontId="5" fillId="9" borderId="49" xfId="0" applyNumberFormat="1" applyFont="1" applyFill="1" applyBorder="1"/>
    <xf numFmtId="0" fontId="6" fillId="12" borderId="19" xfId="0" applyFont="1" applyFill="1" applyBorder="1"/>
    <xf numFmtId="0" fontId="6" fillId="12" borderId="17" xfId="0" applyFont="1" applyFill="1" applyBorder="1"/>
    <xf numFmtId="0" fontId="6" fillId="12" borderId="3" xfId="0" applyFont="1" applyFill="1" applyBorder="1"/>
    <xf numFmtId="0" fontId="6" fillId="12" borderId="20" xfId="0" applyFont="1" applyFill="1" applyBorder="1"/>
    <xf numFmtId="0" fontId="6" fillId="12" borderId="25" xfId="0" applyFont="1" applyFill="1" applyBorder="1"/>
    <xf numFmtId="4" fontId="5" fillId="10" borderId="18" xfId="0" applyNumberFormat="1" applyFont="1" applyFill="1" applyBorder="1"/>
    <xf numFmtId="0" fontId="5" fillId="0" borderId="41" xfId="0" applyFont="1" applyBorder="1"/>
    <xf numFmtId="4" fontId="5" fillId="0" borderId="48" xfId="0" applyNumberFormat="1" applyFont="1" applyBorder="1"/>
    <xf numFmtId="4" fontId="5" fillId="9" borderId="47" xfId="0" applyNumberFormat="1" applyFont="1" applyFill="1" applyBorder="1"/>
    <xf numFmtId="0" fontId="6" fillId="12" borderId="37" xfId="0" applyFont="1" applyFill="1" applyBorder="1"/>
    <xf numFmtId="0" fontId="6" fillId="12" borderId="41" xfId="0" applyFont="1" applyFill="1" applyBorder="1"/>
    <xf numFmtId="0" fontId="6" fillId="12" borderId="31" xfId="0" applyFont="1" applyFill="1" applyBorder="1"/>
    <xf numFmtId="0" fontId="6" fillId="12" borderId="26" xfId="0" applyFont="1" applyFill="1" applyBorder="1"/>
    <xf numFmtId="0" fontId="6" fillId="8" borderId="20" xfId="0" applyFont="1" applyFill="1" applyBorder="1"/>
    <xf numFmtId="4" fontId="22" fillId="0" borderId="79" xfId="2" applyNumberFormat="1" applyFont="1" applyBorder="1" applyAlignment="1">
      <alignment horizontal="right" vertical="center"/>
    </xf>
    <xf numFmtId="4" fontId="5" fillId="18" borderId="39" xfId="0" applyNumberFormat="1" applyFont="1" applyFill="1" applyBorder="1"/>
    <xf numFmtId="4" fontId="5" fillId="18" borderId="2" xfId="0" applyNumberFormat="1" applyFont="1" applyFill="1" applyBorder="1"/>
    <xf numFmtId="4" fontId="5" fillId="18" borderId="43" xfId="0" applyNumberFormat="1" applyFont="1" applyFill="1" applyBorder="1"/>
    <xf numFmtId="4" fontId="5" fillId="18" borderId="18" xfId="0" applyNumberFormat="1" applyFont="1" applyFill="1" applyBorder="1"/>
    <xf numFmtId="4" fontId="5" fillId="18" borderId="1" xfId="0" applyNumberFormat="1" applyFont="1" applyFill="1" applyBorder="1"/>
    <xf numFmtId="4" fontId="5" fillId="18" borderId="24" xfId="0" applyNumberFormat="1" applyFont="1" applyFill="1" applyBorder="1"/>
    <xf numFmtId="4" fontId="5" fillId="18" borderId="36" xfId="0" applyNumberFormat="1" applyFont="1" applyFill="1" applyBorder="1"/>
    <xf numFmtId="4" fontId="6" fillId="0" borderId="7" xfId="0" applyNumberFormat="1" applyFont="1" applyBorder="1"/>
    <xf numFmtId="0" fontId="31" fillId="0" borderId="43" xfId="0" applyFont="1" applyBorder="1" applyAlignment="1">
      <alignment horizontal="left" vertical="center" wrapText="1"/>
    </xf>
    <xf numFmtId="4" fontId="34" fillId="12" borderId="3" xfId="2" applyNumberFormat="1" applyFont="1" applyFill="1" applyBorder="1" applyAlignment="1">
      <alignment vertical="center"/>
    </xf>
    <xf numFmtId="0" fontId="16" fillId="2" borderId="4" xfId="2" applyFont="1" applyFill="1" applyBorder="1" applyAlignment="1">
      <alignment horizontal="left" vertical="center" wrapText="1"/>
    </xf>
    <xf numFmtId="0" fontId="31" fillId="0" borderId="2" xfId="2" applyFont="1" applyBorder="1" applyAlignment="1">
      <alignment horizontal="left" vertical="center" wrapText="1"/>
    </xf>
    <xf numFmtId="0" fontId="31" fillId="0" borderId="43" xfId="2" applyFont="1" applyBorder="1" applyAlignment="1">
      <alignment horizontal="left" vertical="center" wrapText="1"/>
    </xf>
    <xf numFmtId="0" fontId="6" fillId="2" borderId="6" xfId="0" applyFont="1" applyFill="1" applyBorder="1" applyAlignment="1">
      <alignment vertical="center" wrapText="1"/>
    </xf>
    <xf numFmtId="0" fontId="6" fillId="0" borderId="17" xfId="0" applyFont="1" applyBorder="1" applyAlignment="1">
      <alignment wrapText="1"/>
    </xf>
    <xf numFmtId="0" fontId="5" fillId="0" borderId="20" xfId="0" applyFont="1" applyBorder="1" applyAlignment="1">
      <alignment wrapText="1"/>
    </xf>
    <xf numFmtId="0" fontId="5" fillId="0" borderId="23" xfId="0" applyFont="1" applyBorder="1" applyAlignment="1">
      <alignment wrapText="1"/>
    </xf>
    <xf numFmtId="0" fontId="6" fillId="0" borderId="39" xfId="0" applyFont="1" applyBorder="1" applyAlignment="1">
      <alignment wrapText="1"/>
    </xf>
    <xf numFmtId="0" fontId="5" fillId="0" borderId="2" xfId="0" applyFont="1" applyBorder="1" applyAlignment="1">
      <alignment wrapText="1"/>
    </xf>
    <xf numFmtId="0" fontId="5" fillId="0" borderId="43" xfId="0" applyFont="1" applyBorder="1" applyAlignment="1">
      <alignment wrapText="1"/>
    </xf>
    <xf numFmtId="0" fontId="6" fillId="0" borderId="26" xfId="0" applyFont="1" applyBorder="1" applyAlignment="1">
      <alignment wrapText="1"/>
    </xf>
    <xf numFmtId="0" fontId="23" fillId="11" borderId="49" xfId="0" applyFont="1" applyFill="1" applyBorder="1" applyAlignment="1">
      <alignment horizontal="left" vertical="center" wrapText="1"/>
    </xf>
    <xf numFmtId="4" fontId="49" fillId="10" borderId="6" xfId="0" applyNumberFormat="1" applyFont="1" applyFill="1" applyBorder="1" applyAlignment="1">
      <alignment horizontal="center" vertical="center"/>
    </xf>
    <xf numFmtId="4" fontId="49" fillId="0" borderId="47" xfId="0" applyNumberFormat="1" applyFont="1" applyBorder="1" applyAlignment="1">
      <alignment horizontal="center" vertical="center"/>
    </xf>
    <xf numFmtId="4" fontId="49" fillId="10" borderId="16" xfId="0" applyNumberFormat="1" applyFont="1" applyFill="1" applyBorder="1" applyAlignment="1">
      <alignment horizontal="center" vertical="center"/>
    </xf>
    <xf numFmtId="4" fontId="49" fillId="10" borderId="47" xfId="0" applyNumberFormat="1" applyFont="1" applyFill="1" applyBorder="1" applyAlignment="1">
      <alignment horizontal="center" vertical="center"/>
    </xf>
    <xf numFmtId="4" fontId="49" fillId="9" borderId="49" xfId="0" applyNumberFormat="1" applyFont="1" applyFill="1" applyBorder="1" applyAlignment="1">
      <alignment horizontal="center" vertical="center"/>
    </xf>
    <xf numFmtId="4" fontId="49" fillId="10" borderId="13" xfId="0" applyNumberFormat="1" applyFont="1" applyFill="1" applyBorder="1" applyAlignment="1">
      <alignment horizontal="center"/>
    </xf>
    <xf numFmtId="4" fontId="49" fillId="10" borderId="48" xfId="0" applyNumberFormat="1" applyFont="1" applyFill="1" applyBorder="1" applyAlignment="1">
      <alignment horizontal="center" vertical="center"/>
    </xf>
    <xf numFmtId="4" fontId="34" fillId="14" borderId="5" xfId="5" applyNumberFormat="1" applyFont="1" applyFill="1" applyBorder="1" applyAlignment="1">
      <alignment horizontal="center" vertical="center"/>
    </xf>
    <xf numFmtId="4" fontId="49" fillId="9" borderId="35" xfId="0" applyNumberFormat="1" applyFont="1" applyFill="1" applyBorder="1" applyAlignment="1">
      <alignment horizontal="center" vertical="center"/>
    </xf>
    <xf numFmtId="4" fontId="49" fillId="0" borderId="34" xfId="0" applyNumberFormat="1" applyFont="1" applyBorder="1" applyAlignment="1">
      <alignment horizontal="center" vertical="center"/>
    </xf>
    <xf numFmtId="4" fontId="49" fillId="9" borderId="18" xfId="0" applyNumberFormat="1" applyFont="1" applyFill="1" applyBorder="1" applyAlignment="1">
      <alignment horizontal="center" vertical="center"/>
    </xf>
    <xf numFmtId="4" fontId="49" fillId="0" borderId="79" xfId="0" applyNumberFormat="1" applyFont="1" applyBorder="1" applyAlignment="1">
      <alignment horizontal="center" vertical="center"/>
    </xf>
    <xf numFmtId="4" fontId="37" fillId="0" borderId="30" xfId="0" applyNumberFormat="1" applyFont="1" applyBorder="1" applyAlignment="1">
      <alignment horizontal="center"/>
    </xf>
    <xf numFmtId="4" fontId="49" fillId="18" borderId="18" xfId="0" applyNumberFormat="1" applyFont="1" applyFill="1" applyBorder="1" applyAlignment="1">
      <alignment horizontal="center" vertical="center"/>
    </xf>
    <xf numFmtId="4" fontId="49" fillId="18" borderId="24" xfId="0" applyNumberFormat="1" applyFont="1" applyFill="1" applyBorder="1" applyAlignment="1">
      <alignment horizontal="center" vertical="center"/>
    </xf>
    <xf numFmtId="4" fontId="49" fillId="18" borderId="27" xfId="0" applyNumberFormat="1" applyFont="1" applyFill="1" applyBorder="1" applyAlignment="1">
      <alignment horizontal="center" vertical="center"/>
    </xf>
    <xf numFmtId="4" fontId="49" fillId="18" borderId="1" xfId="0" applyNumberFormat="1" applyFont="1" applyFill="1" applyBorder="1" applyAlignment="1">
      <alignment horizontal="center" vertical="center"/>
    </xf>
    <xf numFmtId="49" fontId="36" fillId="0" borderId="65" xfId="2" quotePrefix="1" applyNumberFormat="1" applyFont="1" applyBorder="1" applyAlignment="1">
      <alignment horizontal="left" vertical="center"/>
    </xf>
    <xf numFmtId="0" fontId="49" fillId="0" borderId="60" xfId="0" applyFont="1" applyBorder="1" applyAlignment="1">
      <alignment horizontal="left" vertical="center" wrapText="1"/>
    </xf>
    <xf numFmtId="4" fontId="49" fillId="0" borderId="51" xfId="0" applyNumberFormat="1" applyFont="1" applyBorder="1" applyAlignment="1">
      <alignment horizontal="center" vertical="center"/>
    </xf>
    <xf numFmtId="0" fontId="49" fillId="12" borderId="54" xfId="0" applyFont="1" applyFill="1" applyBorder="1" applyAlignment="1">
      <alignment horizontal="left" vertical="center"/>
    </xf>
    <xf numFmtId="0" fontId="49" fillId="12" borderId="52" xfId="0" applyFont="1" applyFill="1" applyBorder="1" applyAlignment="1">
      <alignment horizontal="center" vertical="center"/>
    </xf>
    <xf numFmtId="0" fontId="31" fillId="0" borderId="2" xfId="5" applyFont="1" applyBorder="1" applyAlignment="1">
      <alignment horizontal="left" vertical="center" wrapText="1"/>
    </xf>
    <xf numFmtId="3" fontId="10" fillId="9" borderId="29" xfId="0" applyNumberFormat="1" applyFont="1" applyFill="1" applyBorder="1" applyAlignment="1">
      <alignment horizontal="center" vertical="center"/>
    </xf>
    <xf numFmtId="4" fontId="22" fillId="18" borderId="5" xfId="2" applyNumberFormat="1" applyFont="1" applyFill="1" applyBorder="1" applyAlignment="1">
      <alignment horizontal="right" vertical="center"/>
    </xf>
    <xf numFmtId="4" fontId="17" fillId="18" borderId="26" xfId="2" applyNumberFormat="1" applyFont="1" applyFill="1" applyBorder="1" applyAlignment="1">
      <alignment horizontal="right" vertical="center"/>
    </xf>
    <xf numFmtId="4" fontId="17" fillId="18" borderId="4" xfId="2" applyNumberFormat="1" applyFont="1" applyFill="1" applyBorder="1" applyAlignment="1">
      <alignment horizontal="right" vertical="center"/>
    </xf>
    <xf numFmtId="4" fontId="17" fillId="18" borderId="5" xfId="2" applyNumberFormat="1" applyFont="1" applyFill="1" applyBorder="1" applyAlignment="1">
      <alignment horizontal="right" vertical="center"/>
    </xf>
    <xf numFmtId="3" fontId="6" fillId="19" borderId="15" xfId="0" applyNumberFormat="1" applyFont="1" applyFill="1" applyBorder="1" applyAlignment="1">
      <alignment horizontal="center" vertical="center" wrapText="1"/>
    </xf>
    <xf numFmtId="4" fontId="3" fillId="0" borderId="0" xfId="1" applyNumberFormat="1" applyFont="1"/>
    <xf numFmtId="3" fontId="3" fillId="0" borderId="0" xfId="1" applyNumberFormat="1" applyFont="1"/>
    <xf numFmtId="4" fontId="22" fillId="9" borderId="49" xfId="2" applyNumberFormat="1" applyFont="1" applyFill="1" applyBorder="1" applyAlignment="1">
      <alignment horizontal="right" vertical="center"/>
    </xf>
    <xf numFmtId="4" fontId="57" fillId="0" borderId="49" xfId="2" applyNumberFormat="1" applyFont="1" applyBorder="1" applyAlignment="1">
      <alignment horizontal="right" vertical="center"/>
    </xf>
    <xf numFmtId="4" fontId="23" fillId="0" borderId="48" xfId="2" applyNumberFormat="1" applyFont="1" applyBorder="1" applyAlignment="1">
      <alignment horizontal="right" vertical="center"/>
    </xf>
    <xf numFmtId="4" fontId="22" fillId="10" borderId="47" xfId="2" applyNumberFormat="1" applyFont="1" applyFill="1" applyBorder="1" applyAlignment="1">
      <alignment horizontal="right" vertical="center"/>
    </xf>
    <xf numFmtId="4" fontId="22" fillId="0" borderId="49" xfId="2" applyNumberFormat="1" applyFont="1" applyBorder="1" applyAlignment="1">
      <alignment horizontal="right" vertical="center"/>
    </xf>
    <xf numFmtId="4" fontId="22" fillId="10" borderId="49" xfId="2" applyNumberFormat="1" applyFont="1" applyFill="1" applyBorder="1" applyAlignment="1">
      <alignment horizontal="right" vertical="center"/>
    </xf>
    <xf numFmtId="0" fontId="17" fillId="13" borderId="19" xfId="2" applyFont="1" applyFill="1" applyBorder="1" applyAlignment="1">
      <alignment horizontal="left"/>
    </xf>
    <xf numFmtId="0" fontId="17" fillId="13" borderId="3" xfId="2" applyFont="1" applyFill="1" applyBorder="1" applyAlignment="1">
      <alignment horizontal="left"/>
    </xf>
    <xf numFmtId="0" fontId="27" fillId="12" borderId="3" xfId="2" applyFont="1" applyFill="1" applyBorder="1" applyAlignment="1">
      <alignment horizontal="left"/>
    </xf>
    <xf numFmtId="4" fontId="27" fillId="7" borderId="20" xfId="2" applyNumberFormat="1" applyFont="1" applyFill="1" applyBorder="1" applyAlignment="1">
      <alignment horizontal="right" vertical="center"/>
    </xf>
    <xf numFmtId="0" fontId="29" fillId="7" borderId="14" xfId="4" applyFont="1" applyFill="1" applyBorder="1" applyAlignment="1">
      <alignment horizontal="left" vertical="center"/>
    </xf>
    <xf numFmtId="0" fontId="29" fillId="7" borderId="41" xfId="4" applyFont="1" applyFill="1" applyBorder="1" applyAlignment="1">
      <alignment horizontal="left" vertical="center"/>
    </xf>
    <xf numFmtId="4" fontId="22" fillId="9" borderId="22" xfId="2" applyNumberFormat="1" applyFont="1" applyFill="1" applyBorder="1" applyAlignment="1">
      <alignment horizontal="right" vertical="center"/>
    </xf>
    <xf numFmtId="0" fontId="52" fillId="8" borderId="14" xfId="2" quotePrefix="1" applyFont="1" applyFill="1" applyBorder="1" applyAlignment="1">
      <alignment horizontal="left" vertical="center" indent="2"/>
    </xf>
    <xf numFmtId="0" fontId="52" fillId="0" borderId="22" xfId="2" quotePrefix="1" applyFont="1" applyBorder="1" applyAlignment="1">
      <alignment vertical="center"/>
    </xf>
    <xf numFmtId="16" fontId="31" fillId="0" borderId="81" xfId="2" quotePrefix="1" applyNumberFormat="1" applyFont="1" applyBorder="1" applyAlignment="1">
      <alignment vertical="center" wrapText="1"/>
    </xf>
    <xf numFmtId="16" fontId="31" fillId="0" borderId="2" xfId="2" quotePrefix="1" applyNumberFormat="1" applyFont="1" applyBorder="1" applyAlignment="1">
      <alignment vertical="center" wrapText="1"/>
    </xf>
    <xf numFmtId="0" fontId="17" fillId="12" borderId="82" xfId="2" applyFont="1" applyFill="1" applyBorder="1" applyAlignment="1">
      <alignment horizontal="left"/>
    </xf>
    <xf numFmtId="0" fontId="17" fillId="12" borderId="50" xfId="2" applyFont="1" applyFill="1" applyBorder="1" applyAlignment="1">
      <alignment horizontal="left"/>
    </xf>
    <xf numFmtId="4" fontId="22" fillId="0" borderId="69" xfId="2" applyNumberFormat="1" applyFont="1" applyBorder="1" applyAlignment="1">
      <alignment horizontal="right" vertical="center"/>
    </xf>
    <xf numFmtId="16" fontId="31" fillId="8" borderId="80" xfId="2" quotePrefix="1" applyNumberFormat="1" applyFont="1" applyFill="1" applyBorder="1" applyAlignment="1">
      <alignment vertical="center"/>
    </xf>
    <xf numFmtId="4" fontId="5" fillId="9" borderId="12" xfId="0" applyNumberFormat="1" applyFont="1" applyFill="1" applyBorder="1"/>
    <xf numFmtId="4" fontId="5" fillId="9" borderId="15" xfId="0" applyNumberFormat="1" applyFont="1" applyFill="1" applyBorder="1"/>
    <xf numFmtId="4" fontId="5" fillId="0" borderId="21" xfId="0" applyNumberFormat="1" applyFont="1" applyBorder="1"/>
    <xf numFmtId="4" fontId="17" fillId="12" borderId="45" xfId="2" applyNumberFormat="1" applyFont="1" applyFill="1" applyBorder="1" applyAlignment="1">
      <alignment horizontal="left" vertical="center"/>
    </xf>
    <xf numFmtId="0" fontId="17" fillId="12" borderId="46" xfId="2" applyFont="1" applyFill="1" applyBorder="1" applyAlignment="1">
      <alignment horizontal="left"/>
    </xf>
    <xf numFmtId="4" fontId="17" fillId="12" borderId="14" xfId="2" applyNumberFormat="1" applyFont="1" applyFill="1" applyBorder="1" applyAlignment="1">
      <alignment horizontal="left" vertical="center"/>
    </xf>
    <xf numFmtId="4" fontId="5" fillId="0" borderId="65" xfId="0" applyNumberFormat="1" applyFont="1" applyBorder="1"/>
    <xf numFmtId="4" fontId="5" fillId="10" borderId="56" xfId="0" applyNumberFormat="1" applyFont="1" applyFill="1" applyBorder="1"/>
    <xf numFmtId="4" fontId="5" fillId="0" borderId="1" xfId="0" applyNumberFormat="1" applyFont="1" applyBorder="1"/>
    <xf numFmtId="4" fontId="5" fillId="0" borderId="35" xfId="0" applyNumberFormat="1" applyFont="1" applyBorder="1"/>
    <xf numFmtId="4" fontId="5" fillId="9" borderId="33" xfId="0" applyNumberFormat="1" applyFont="1" applyFill="1" applyBorder="1"/>
    <xf numFmtId="4" fontId="5" fillId="0" borderId="33" xfId="0" applyNumberFormat="1" applyFont="1" applyBorder="1"/>
    <xf numFmtId="4" fontId="5" fillId="10" borderId="33" xfId="0" applyNumberFormat="1" applyFont="1" applyFill="1" applyBorder="1"/>
    <xf numFmtId="4" fontId="5" fillId="10" borderId="34" xfId="0" applyNumberFormat="1" applyFont="1" applyFill="1" applyBorder="1"/>
    <xf numFmtId="4" fontId="5" fillId="0" borderId="5" xfId="0" applyNumberFormat="1" applyFont="1" applyBorder="1"/>
    <xf numFmtId="0" fontId="5" fillId="0" borderId="63" xfId="0" applyFont="1" applyBorder="1" applyAlignment="1">
      <alignment wrapText="1"/>
    </xf>
    <xf numFmtId="4" fontId="5" fillId="10" borderId="68" xfId="0" applyNumberFormat="1" applyFont="1" applyFill="1" applyBorder="1"/>
    <xf numFmtId="4" fontId="5" fillId="18" borderId="68" xfId="0" applyNumberFormat="1" applyFont="1" applyFill="1" applyBorder="1"/>
    <xf numFmtId="4" fontId="5" fillId="10" borderId="83" xfId="0" applyNumberFormat="1" applyFont="1" applyFill="1" applyBorder="1"/>
    <xf numFmtId="4" fontId="5" fillId="7" borderId="65" xfId="0" applyNumberFormat="1" applyFont="1" applyFill="1" applyBorder="1"/>
    <xf numFmtId="4" fontId="5" fillId="7" borderId="56" xfId="0" applyNumberFormat="1" applyFont="1" applyFill="1" applyBorder="1"/>
    <xf numFmtId="4" fontId="26" fillId="7" borderId="63" xfId="0" applyNumberFormat="1" applyFont="1" applyFill="1" applyBorder="1"/>
    <xf numFmtId="0" fontId="6" fillId="12" borderId="65" xfId="0" applyFont="1" applyFill="1" applyBorder="1"/>
    <xf numFmtId="0" fontId="6" fillId="12" borderId="63" xfId="0" applyFont="1" applyFill="1" applyBorder="1"/>
    <xf numFmtId="4" fontId="5" fillId="0" borderId="69" xfId="0" applyNumberFormat="1" applyFont="1" applyBorder="1"/>
    <xf numFmtId="4" fontId="5" fillId="7" borderId="45" xfId="0" applyNumberFormat="1" applyFont="1" applyFill="1" applyBorder="1"/>
    <xf numFmtId="4" fontId="5" fillId="7" borderId="57" xfId="0" applyNumberFormat="1" applyFont="1" applyFill="1" applyBorder="1"/>
    <xf numFmtId="4" fontId="26" fillId="7" borderId="46" xfId="0" applyNumberFormat="1" applyFont="1" applyFill="1" applyBorder="1"/>
    <xf numFmtId="0" fontId="6" fillId="12" borderId="45" xfId="0" applyFont="1" applyFill="1" applyBorder="1"/>
    <xf numFmtId="0" fontId="6" fillId="12" borderId="46" xfId="0" applyFont="1" applyFill="1" applyBorder="1"/>
    <xf numFmtId="4" fontId="5" fillId="9" borderId="67" xfId="0" applyNumberFormat="1" applyFont="1" applyFill="1" applyBorder="1"/>
    <xf numFmtId="4" fontId="5" fillId="0" borderId="67" xfId="0" applyNumberFormat="1" applyFont="1" applyBorder="1"/>
    <xf numFmtId="0" fontId="5" fillId="8" borderId="14" xfId="0" applyFont="1" applyFill="1" applyBorder="1" applyAlignment="1">
      <alignment horizontal="left" indent="1"/>
    </xf>
    <xf numFmtId="4" fontId="22" fillId="10" borderId="48" xfId="2" applyNumberFormat="1" applyFont="1" applyFill="1" applyBorder="1" applyAlignment="1">
      <alignment horizontal="right" vertical="center"/>
    </xf>
    <xf numFmtId="0" fontId="40" fillId="7" borderId="14" xfId="2" applyFont="1" applyFill="1" applyBorder="1" applyAlignment="1">
      <alignment horizontal="left"/>
    </xf>
    <xf numFmtId="0" fontId="41" fillId="7" borderId="14" xfId="2" applyFont="1" applyFill="1" applyBorder="1" applyAlignment="1">
      <alignment horizontal="left"/>
    </xf>
    <xf numFmtId="0" fontId="40" fillId="7" borderId="31" xfId="2" applyFont="1" applyFill="1" applyBorder="1" applyAlignment="1">
      <alignment horizontal="left"/>
    </xf>
    <xf numFmtId="4" fontId="22" fillId="9" borderId="47" xfId="2" applyNumberFormat="1" applyFont="1" applyFill="1" applyBorder="1" applyAlignment="1">
      <alignment horizontal="right" vertical="center"/>
    </xf>
    <xf numFmtId="4" fontId="49" fillId="10" borderId="18" xfId="0" applyNumberFormat="1" applyFont="1" applyFill="1" applyBorder="1" applyAlignment="1">
      <alignment horizontal="center" vertical="center"/>
    </xf>
    <xf numFmtId="4" fontId="49" fillId="10" borderId="24" xfId="0" applyNumberFormat="1" applyFont="1" applyFill="1" applyBorder="1" applyAlignment="1">
      <alignment horizontal="center" vertical="center"/>
    </xf>
    <xf numFmtId="4" fontId="49" fillId="10" borderId="17" xfId="0" applyNumberFormat="1" applyFont="1" applyFill="1" applyBorder="1" applyAlignment="1">
      <alignment horizontal="center" vertical="center"/>
    </xf>
    <xf numFmtId="4" fontId="49" fillId="10" borderId="23" xfId="0" applyNumberFormat="1" applyFont="1" applyFill="1" applyBorder="1" applyAlignment="1">
      <alignment horizontal="center" vertical="center"/>
    </xf>
    <xf numFmtId="4" fontId="49" fillId="18" borderId="47" xfId="0" applyNumberFormat="1" applyFont="1" applyFill="1" applyBorder="1" applyAlignment="1">
      <alignment horizontal="center" vertical="center"/>
    </xf>
    <xf numFmtId="4" fontId="49" fillId="18" borderId="48" xfId="0" applyNumberFormat="1" applyFont="1" applyFill="1" applyBorder="1" applyAlignment="1">
      <alignment horizontal="center" vertical="center"/>
    </xf>
    <xf numFmtId="0" fontId="31" fillId="0" borderId="43" xfId="5" applyFont="1" applyBorder="1" applyAlignment="1">
      <alignment vertical="center" wrapText="1"/>
    </xf>
    <xf numFmtId="4" fontId="49" fillId="0" borderId="69" xfId="0" applyNumberFormat="1" applyFont="1" applyBorder="1" applyAlignment="1">
      <alignment horizontal="center" vertical="center"/>
    </xf>
    <xf numFmtId="4" fontId="65" fillId="8" borderId="4" xfId="0" applyNumberFormat="1" applyFont="1" applyFill="1" applyBorder="1" applyAlignment="1">
      <alignment horizontal="center" vertical="center"/>
    </xf>
    <xf numFmtId="4" fontId="49" fillId="18" borderId="49" xfId="0" applyNumberFormat="1" applyFont="1" applyFill="1" applyBorder="1" applyAlignment="1">
      <alignment horizontal="center" vertical="center"/>
    </xf>
    <xf numFmtId="0" fontId="3" fillId="0" borderId="1" xfId="0" applyFont="1" applyBorder="1"/>
    <xf numFmtId="17" fontId="4" fillId="0" borderId="1" xfId="0" applyNumberFormat="1" applyFont="1" applyBorder="1" applyAlignment="1">
      <alignment horizontal="center" vertical="center"/>
    </xf>
    <xf numFmtId="0" fontId="4" fillId="0" borderId="1" xfId="0" applyFont="1" applyBorder="1" applyAlignment="1">
      <alignment horizontal="center" vertical="center"/>
    </xf>
    <xf numFmtId="3" fontId="3" fillId="0" borderId="1" xfId="0" applyNumberFormat="1" applyFont="1" applyBorder="1"/>
    <xf numFmtId="164" fontId="3" fillId="0" borderId="1" xfId="1" applyNumberFormat="1" applyFont="1" applyBorder="1"/>
    <xf numFmtId="3" fontId="4" fillId="0" borderId="1" xfId="0" applyNumberFormat="1" applyFont="1" applyBorder="1"/>
    <xf numFmtId="0" fontId="4" fillId="0" borderId="2" xfId="0" applyFont="1" applyBorder="1" applyAlignment="1">
      <alignment horizontal="center" vertical="center"/>
    </xf>
    <xf numFmtId="0" fontId="3" fillId="0" borderId="2" xfId="0" applyFont="1" applyBorder="1"/>
    <xf numFmtId="17" fontId="4" fillId="0" borderId="56" xfId="0" applyNumberFormat="1" applyFont="1" applyBorder="1" applyAlignment="1">
      <alignment horizontal="center" vertical="center"/>
    </xf>
    <xf numFmtId="4" fontId="3" fillId="0" borderId="1" xfId="0" applyNumberFormat="1" applyFont="1" applyBorder="1"/>
    <xf numFmtId="10" fontId="3" fillId="0" borderId="1" xfId="1" applyNumberFormat="1" applyFont="1" applyBorder="1"/>
    <xf numFmtId="4" fontId="49" fillId="9" borderId="39" xfId="0" applyNumberFormat="1" applyFont="1" applyFill="1" applyBorder="1" applyAlignment="1">
      <alignment horizontal="center" vertical="center"/>
    </xf>
    <xf numFmtId="4" fontId="49" fillId="0" borderId="2" xfId="0" applyNumberFormat="1" applyFont="1" applyBorder="1" applyAlignment="1">
      <alignment horizontal="center" vertical="center"/>
    </xf>
    <xf numFmtId="4" fontId="49" fillId="0" borderId="43" xfId="0" applyNumberFormat="1" applyFont="1" applyBorder="1" applyAlignment="1">
      <alignment horizontal="center" vertical="center"/>
    </xf>
    <xf numFmtId="4" fontId="49" fillId="10" borderId="36" xfId="0" applyNumberFormat="1" applyFont="1" applyFill="1" applyBorder="1" applyAlignment="1">
      <alignment horizontal="center" vertical="center"/>
    </xf>
    <xf numFmtId="4" fontId="49" fillId="0" borderId="36" xfId="0" applyNumberFormat="1" applyFont="1" applyBorder="1" applyAlignment="1">
      <alignment horizontal="center" vertical="center"/>
    </xf>
    <xf numFmtId="4" fontId="49" fillId="0" borderId="81" xfId="0" applyNumberFormat="1" applyFont="1" applyBorder="1" applyAlignment="1">
      <alignment horizontal="center" vertical="center"/>
    </xf>
    <xf numFmtId="4" fontId="49" fillId="0" borderId="39" xfId="0" applyNumberFormat="1" applyFont="1" applyBorder="1" applyAlignment="1">
      <alignment horizontal="center" vertical="center"/>
    </xf>
    <xf numFmtId="4" fontId="49" fillId="0" borderId="59" xfId="0" applyNumberFormat="1" applyFont="1" applyBorder="1" applyAlignment="1">
      <alignment horizontal="center" vertical="center"/>
    </xf>
    <xf numFmtId="4" fontId="49" fillId="0" borderId="60" xfId="0" applyNumberFormat="1" applyFont="1" applyBorder="1" applyAlignment="1">
      <alignment horizontal="center" vertical="center"/>
    </xf>
    <xf numFmtId="4" fontId="49" fillId="10" borderId="39" xfId="0" applyNumberFormat="1" applyFont="1" applyFill="1" applyBorder="1" applyAlignment="1">
      <alignment horizontal="center" vertical="center"/>
    </xf>
    <xf numFmtId="4" fontId="49" fillId="9" borderId="2" xfId="0" applyNumberFormat="1" applyFont="1" applyFill="1" applyBorder="1" applyAlignment="1">
      <alignment horizontal="center" vertical="center"/>
    </xf>
    <xf numFmtId="4" fontId="49" fillId="10" borderId="49" xfId="0" applyNumberFormat="1" applyFont="1" applyFill="1" applyBorder="1" applyAlignment="1">
      <alignment horizontal="center"/>
    </xf>
    <xf numFmtId="4" fontId="49" fillId="10" borderId="20" xfId="0" applyNumberFormat="1" applyFont="1" applyFill="1" applyBorder="1" applyAlignment="1">
      <alignment horizontal="center"/>
    </xf>
    <xf numFmtId="4" fontId="49" fillId="10" borderId="43" xfId="0" applyNumberFormat="1" applyFont="1" applyFill="1" applyBorder="1" applyAlignment="1">
      <alignment horizontal="center" vertical="center"/>
    </xf>
    <xf numFmtId="0" fontId="37" fillId="0" borderId="17" xfId="5" applyFont="1" applyBorder="1" applyAlignment="1">
      <alignment vertical="center" wrapText="1"/>
    </xf>
    <xf numFmtId="4" fontId="49" fillId="18" borderId="17" xfId="0" applyNumberFormat="1" applyFont="1" applyFill="1" applyBorder="1" applyAlignment="1">
      <alignment horizontal="center" vertical="center"/>
    </xf>
    <xf numFmtId="4" fontId="49" fillId="18" borderId="20" xfId="0" applyNumberFormat="1" applyFont="1" applyFill="1" applyBorder="1" applyAlignment="1">
      <alignment horizontal="center" vertical="center"/>
    </xf>
    <xf numFmtId="4" fontId="49" fillId="18" borderId="23" xfId="0" applyNumberFormat="1" applyFont="1" applyFill="1" applyBorder="1" applyAlignment="1">
      <alignment horizontal="center" vertical="center"/>
    </xf>
    <xf numFmtId="0" fontId="49" fillId="0" borderId="10" xfId="0" applyFont="1" applyBorder="1" applyAlignment="1">
      <alignment vertical="center"/>
    </xf>
    <xf numFmtId="0" fontId="49" fillId="0" borderId="17" xfId="0" applyFont="1" applyBorder="1" applyAlignment="1">
      <alignment horizontal="left" vertical="center" wrapText="1"/>
    </xf>
    <xf numFmtId="4" fontId="49" fillId="0" borderId="84" xfId="0" applyNumberFormat="1" applyFont="1" applyBorder="1" applyAlignment="1">
      <alignment horizontal="center" vertical="center"/>
    </xf>
    <xf numFmtId="4" fontId="49" fillId="0" borderId="85" xfId="0" applyNumberFormat="1" applyFont="1" applyBorder="1" applyAlignment="1">
      <alignment horizontal="center" vertical="center"/>
    </xf>
    <xf numFmtId="4" fontId="49" fillId="18" borderId="15" xfId="0" applyNumberFormat="1" applyFont="1" applyFill="1" applyBorder="1" applyAlignment="1">
      <alignment horizontal="center" vertical="center"/>
    </xf>
    <xf numFmtId="4" fontId="49" fillId="18" borderId="29" xfId="0" applyNumberFormat="1" applyFont="1" applyFill="1" applyBorder="1" applyAlignment="1">
      <alignment horizontal="center" vertical="center"/>
    </xf>
    <xf numFmtId="4" fontId="49" fillId="18" borderId="51" xfId="0" applyNumberFormat="1" applyFont="1" applyFill="1" applyBorder="1" applyAlignment="1">
      <alignment horizontal="center" vertical="center"/>
    </xf>
    <xf numFmtId="4" fontId="49" fillId="18" borderId="12" xfId="0" applyNumberFormat="1" applyFont="1" applyFill="1" applyBorder="1" applyAlignment="1">
      <alignment horizontal="center" vertical="center"/>
    </xf>
    <xf numFmtId="4" fontId="49" fillId="18" borderId="21" xfId="0" applyNumberFormat="1" applyFont="1" applyFill="1" applyBorder="1" applyAlignment="1">
      <alignment horizontal="center" vertical="center"/>
    </xf>
    <xf numFmtId="4" fontId="49" fillId="18" borderId="35" xfId="0" applyNumberFormat="1" applyFont="1" applyFill="1" applyBorder="1" applyAlignment="1">
      <alignment horizontal="center" vertical="center"/>
    </xf>
    <xf numFmtId="4" fontId="49" fillId="18" borderId="33" xfId="0" applyNumberFormat="1" applyFont="1" applyFill="1" applyBorder="1" applyAlignment="1">
      <alignment horizontal="center" vertical="center"/>
    </xf>
    <xf numFmtId="4" fontId="49" fillId="18" borderId="34" xfId="0" applyNumberFormat="1" applyFont="1" applyFill="1" applyBorder="1" applyAlignment="1">
      <alignment horizontal="center" vertical="center"/>
    </xf>
    <xf numFmtId="0" fontId="2" fillId="0" borderId="0" xfId="0" applyFont="1" applyAlignment="1">
      <alignment horizontal="center"/>
    </xf>
    <xf numFmtId="0" fontId="47" fillId="0" borderId="5" xfId="0" applyFont="1" applyBorder="1" applyAlignment="1">
      <alignment horizontal="center"/>
    </xf>
    <xf numFmtId="0" fontId="47" fillId="0" borderId="6" xfId="0" applyFont="1" applyBorder="1" applyAlignment="1">
      <alignment horizontal="center"/>
    </xf>
    <xf numFmtId="0" fontId="47" fillId="0" borderId="7" xfId="0" applyFont="1" applyBorder="1" applyAlignment="1">
      <alignment horizontal="center"/>
    </xf>
    <xf numFmtId="4" fontId="2" fillId="11" borderId="10" xfId="0" applyNumberFormat="1" applyFont="1" applyFill="1" applyBorder="1" applyAlignment="1">
      <alignment horizontal="center"/>
    </xf>
    <xf numFmtId="0" fontId="2" fillId="11" borderId="0" xfId="0" applyFont="1" applyFill="1" applyAlignment="1">
      <alignment horizontal="center"/>
    </xf>
    <xf numFmtId="0" fontId="2" fillId="11" borderId="10" xfId="0" applyFont="1" applyFill="1" applyBorder="1" applyAlignment="1">
      <alignment horizontal="center"/>
    </xf>
    <xf numFmtId="0" fontId="3" fillId="0" borderId="0" xfId="0" applyFont="1" applyBorder="1"/>
    <xf numFmtId="164" fontId="3" fillId="0" borderId="0" xfId="1" applyNumberFormat="1" applyFont="1" applyBorder="1"/>
    <xf numFmtId="0" fontId="0" fillId="0" borderId="1" xfId="0" applyBorder="1"/>
    <xf numFmtId="43" fontId="0" fillId="0" borderId="1" xfId="6" applyFont="1" applyBorder="1" applyAlignment="1">
      <alignment horizontal="center" vertical="center"/>
    </xf>
    <xf numFmtId="0" fontId="0" fillId="0" borderId="53" xfId="0" applyFill="1" applyBorder="1"/>
    <xf numFmtId="43" fontId="2" fillId="0" borderId="1" xfId="6" applyFont="1" applyFill="1" applyBorder="1" applyAlignment="1">
      <alignment horizontal="center" vertical="center"/>
    </xf>
    <xf numFmtId="0" fontId="66" fillId="0" borderId="1" xfId="0" applyFont="1" applyBorder="1" applyAlignment="1">
      <alignment horizontal="center" vertical="center"/>
    </xf>
  </cellXfs>
  <cellStyles count="7">
    <cellStyle name="Comma" xfId="6" builtinId="3"/>
    <cellStyle name="Normal" xfId="0" builtinId="0"/>
    <cellStyle name="Normalny 10" xfId="5" xr:uid="{4BB44468-684F-4A03-8EF3-F56B6D19F7DD}"/>
    <cellStyle name="Normalny 4" xfId="2" xr:uid="{07E950A7-0239-49AD-99CE-E4C91712D392}"/>
    <cellStyle name="Normalny 51" xfId="4" xr:uid="{021B88B7-D6AA-4B36-868F-698AE76FBB3E}"/>
    <cellStyle name="Normalny 52" xfId="3" xr:uid="{3D6527B0-AC69-4CFB-999F-08C7DCE086DC}"/>
    <cellStyle name="Per cent" xfId="1" builtinId="5"/>
  </cellStyles>
  <dxfs count="242">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s>
  <tableStyles count="0" defaultTableStyle="TableStyleMedium2" defaultPivotStyle="PivotStyleLight16"/>
  <colors>
    <mruColors>
      <color rgb="FFCCFFFF"/>
      <color rgb="FFDDD9C3"/>
      <color rgb="FF376092"/>
      <color rgb="FF71A1DC"/>
      <color rgb="FF83E28E"/>
      <color rgb="FFFF9999"/>
      <color rgb="FFFFFF99"/>
      <color rgb="FFFFE07D"/>
      <color rgb="FFFFFFD5"/>
      <color rgb="FF83CC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it-IT" b="1"/>
              <a:t>Costi Wloclawek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it-IT"/>
        </a:p>
      </c:txPr>
    </c:title>
    <c:autoTitleDeleted val="0"/>
    <c:plotArea>
      <c:layout/>
      <c:pieChart>
        <c:varyColors val="1"/>
        <c:ser>
          <c:idx val="0"/>
          <c:order val="0"/>
          <c:spPr>
            <a:solidFill>
              <a:srgbClr val="71A1DC"/>
            </a:solidFill>
          </c:spPr>
          <c:dPt>
            <c:idx val="0"/>
            <c:bubble3D val="0"/>
            <c:spPr>
              <a:solidFill>
                <a:srgbClr val="71A1DC"/>
              </a:solidFill>
              <a:ln w="19050">
                <a:solidFill>
                  <a:schemeClr val="lt1"/>
                </a:solidFill>
              </a:ln>
              <a:effectLst/>
            </c:spPr>
            <c:extLst>
              <c:ext xmlns:c16="http://schemas.microsoft.com/office/drawing/2014/chart" uri="{C3380CC4-5D6E-409C-BE32-E72D297353CC}">
                <c16:uniqueId val="{00000001-EF59-4C23-8129-789CFCA2A139}"/>
              </c:ext>
            </c:extLst>
          </c:dPt>
          <c:dPt>
            <c:idx val="1"/>
            <c:bubble3D val="0"/>
            <c:spPr>
              <a:solidFill>
                <a:srgbClr val="71A1DC"/>
              </a:solidFill>
              <a:ln w="19050">
                <a:solidFill>
                  <a:schemeClr val="lt1"/>
                </a:solidFill>
              </a:ln>
              <a:effectLst/>
            </c:spPr>
            <c:extLst>
              <c:ext xmlns:c16="http://schemas.microsoft.com/office/drawing/2014/chart" uri="{C3380CC4-5D6E-409C-BE32-E72D297353CC}">
                <c16:uniqueId val="{00000003-EF59-4C23-8129-789CFCA2A139}"/>
              </c:ext>
            </c:extLst>
          </c:dPt>
          <c:dPt>
            <c:idx val="2"/>
            <c:bubble3D val="0"/>
            <c:spPr>
              <a:solidFill>
                <a:srgbClr val="376092"/>
              </a:solidFill>
              <a:ln w="19050">
                <a:solidFill>
                  <a:schemeClr val="lt1"/>
                </a:solidFill>
              </a:ln>
              <a:effectLst/>
            </c:spPr>
            <c:extLst>
              <c:ext xmlns:c16="http://schemas.microsoft.com/office/drawing/2014/chart" uri="{C3380CC4-5D6E-409C-BE32-E72D297353CC}">
                <c16:uniqueId val="{00000005-EF59-4C23-8129-789CFCA2A139}"/>
              </c:ext>
            </c:extLst>
          </c:dPt>
          <c:dPt>
            <c:idx val="3"/>
            <c:bubble3D val="0"/>
            <c:spPr>
              <a:solidFill>
                <a:srgbClr val="DDD9C3"/>
              </a:solidFill>
              <a:ln w="19050">
                <a:solidFill>
                  <a:schemeClr val="lt1"/>
                </a:solidFill>
              </a:ln>
              <a:effectLst/>
            </c:spPr>
            <c:extLst>
              <c:ext xmlns:c16="http://schemas.microsoft.com/office/drawing/2014/chart" uri="{C3380CC4-5D6E-409C-BE32-E72D297353CC}">
                <c16:uniqueId val="{00000007-EF59-4C23-8129-789CFCA2A139}"/>
              </c:ext>
            </c:extLst>
          </c:dPt>
          <c:dLbls>
            <c:dLbl>
              <c:idx val="0"/>
              <c:layout>
                <c:manualLayout>
                  <c:x val="-3.4941422021638472E-4"/>
                  <c:y val="-7.3381005945685361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59-4C23-8129-789CFCA2A139}"/>
                </c:ext>
              </c:extLst>
            </c:dLbl>
            <c:dLbl>
              <c:idx val="2"/>
              <c:layout>
                <c:manualLayout>
                  <c:x val="2.5298568637803459E-3"/>
                  <c:y val="-5.189029942685735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59-4C23-8129-789CFCA2A139}"/>
                </c:ext>
              </c:extLst>
            </c:dLbl>
            <c:dLbl>
              <c:idx val="3"/>
              <c:layout>
                <c:manualLayout>
                  <c:x val="4.227850871234679E-3"/>
                  <c:y val="0.1082829824843323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F59-4C23-8129-789CFCA2A1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t-I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'JV RIEPILOGO'!$B$32:$B$36</c:f>
              <c:strCache>
                <c:ptCount val="5"/>
                <c:pt idx="0">
                  <c:v>Diretti</c:v>
                </c:pt>
                <c:pt idx="2">
                  <c:v>Indiretti</c:v>
                </c:pt>
                <c:pt idx="3">
                  <c:v>Manutenzione</c:v>
                </c:pt>
                <c:pt idx="4">
                  <c:v>Totale Costi</c:v>
                </c:pt>
              </c:strCache>
            </c:strRef>
          </c:cat>
          <c:val>
            <c:numRef>
              <c:f>'JV RIEPILOGO'!$M$32:$M$35</c:f>
              <c:numCache>
                <c:formatCode>#,##0</c:formatCode>
                <c:ptCount val="4"/>
                <c:pt idx="0">
                  <c:v>501457853.0228287</c:v>
                </c:pt>
                <c:pt idx="2">
                  <c:v>40357635.06243097</c:v>
                </c:pt>
                <c:pt idx="3">
                  <c:v>22098535.149999999</c:v>
                </c:pt>
              </c:numCache>
            </c:numRef>
          </c:val>
          <c:extLst>
            <c:ext xmlns:c16="http://schemas.microsoft.com/office/drawing/2014/chart" uri="{C3380CC4-5D6E-409C-BE32-E72D297353CC}">
              <c16:uniqueId val="{00000008-7337-4D2F-B16A-0B10B31155CA}"/>
            </c:ext>
          </c:extLst>
        </c:ser>
        <c:dLbls>
          <c:showLegendKey val="0"/>
          <c:showVal val="0"/>
          <c:showCatName val="0"/>
          <c:showSerName val="0"/>
          <c:showPercent val="0"/>
          <c:showBubbleSize val="0"/>
          <c:showLeaderLines val="1"/>
        </c:dLbls>
        <c:firstSliceAng val="105"/>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solidFill>
            <a:schemeClr val="tx1"/>
          </a:solidFill>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it-IT" sz="1200" b="1"/>
              <a:t>Design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it-I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6F-426F-B279-90BF06B61B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6F-426F-B279-90BF06B61B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6F-426F-B279-90BF06B61B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t-IT"/>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'JV RIEPILOGO'!$I$5:$I$7</c:f>
              <c:numCache>
                <c:formatCode>#,##0</c:formatCode>
                <c:ptCount val="3"/>
                <c:pt idx="0">
                  <c:v>24886974.004545454</c:v>
                </c:pt>
                <c:pt idx="1">
                  <c:v>17372026</c:v>
                </c:pt>
                <c:pt idx="2">
                  <c:v>3331000.0080848937</c:v>
                </c:pt>
              </c:numCache>
            </c:numRef>
          </c:val>
          <c:extLst>
            <c:ext xmlns:c15="http://schemas.microsoft.com/office/drawing/2012/chart" uri="{02D57815-91ED-43cb-92C2-25804820EDAC}">
              <c15:filteredCategoryTitle>
                <c15:cat>
                  <c:multiLvlStrRef>
                    <c:extLst>
                      <c:ext uri="{02D57815-91ED-43cb-92C2-25804820EDAC}">
                        <c15:formulaRef>
                          <c15:sqref>'JV RIEPILOGO'!$F$5:$F$7</c15:sqref>
                        </c15:formulaRef>
                      </c:ext>
                    </c:extLst>
                  </c:multiLvlStrRef>
                </c15:cat>
              </c15:filteredCategoryTitle>
            </c:ext>
            <c:ext xmlns:c16="http://schemas.microsoft.com/office/drawing/2014/chart" uri="{C3380CC4-5D6E-409C-BE32-E72D297353CC}">
              <c16:uniqueId val="{00000008-CA8A-45E3-B034-917358A3698B}"/>
            </c:ext>
          </c:extLst>
        </c:ser>
        <c:dLbls>
          <c:showLegendKey val="0"/>
          <c:showVal val="0"/>
          <c:showCatName val="0"/>
          <c:showSerName val="0"/>
          <c:showPercent val="0"/>
          <c:showBubbleSize val="0"/>
          <c:showLeaderLines val="1"/>
        </c:dLbls>
        <c:firstSliceAng val="101"/>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it-IT" sz="1200" b="1"/>
              <a:t>Civil Works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it-I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09-4D87-99D4-6ECEB7EBEA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09-4D87-99D4-6ECEB7EBEA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09-4D87-99D4-6ECEB7EBEA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t-IT"/>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'JV RIEPILOGO'!$I$9:$I$11</c:f>
              <c:numCache>
                <c:formatCode>#,##0</c:formatCode>
                <c:ptCount val="3"/>
                <c:pt idx="0">
                  <c:v>53496524.158552624</c:v>
                </c:pt>
                <c:pt idx="1">
                  <c:v>16378806.852000002</c:v>
                </c:pt>
                <c:pt idx="2">
                  <c:v>38234435.999399997</c:v>
                </c:pt>
              </c:numCache>
            </c:numRef>
          </c:val>
          <c:extLst>
            <c:ext xmlns:c15="http://schemas.microsoft.com/office/drawing/2012/chart" uri="{02D57815-91ED-43cb-92C2-25804820EDAC}">
              <c15:filteredCategoryTitle>
                <c15:cat>
                  <c:multiLvlStrRef>
                    <c:extLst>
                      <c:ext uri="{02D57815-91ED-43cb-92C2-25804820EDAC}">
                        <c15:formulaRef>
                          <c15:sqref>'JV RIEPILOGO'!$F$5:$F$7</c15:sqref>
                        </c15:formulaRef>
                      </c:ext>
                    </c:extLst>
                  </c:multiLvlStrRef>
                </c15:cat>
              </c15:filteredCategoryTitle>
            </c:ext>
            <c:ext xmlns:c16="http://schemas.microsoft.com/office/drawing/2014/chart" uri="{C3380CC4-5D6E-409C-BE32-E72D297353CC}">
              <c16:uniqueId val="{00000008-CA8A-45E3-B034-917358A3698B}"/>
            </c:ext>
          </c:extLst>
        </c:ser>
        <c:dLbls>
          <c:showLegendKey val="0"/>
          <c:showVal val="0"/>
          <c:showCatName val="0"/>
          <c:showSerName val="0"/>
          <c:showPercent val="0"/>
          <c:showBubbleSize val="0"/>
          <c:showLeaderLines val="1"/>
        </c:dLbls>
        <c:firstSliceAng val="64"/>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703242791321436E-2"/>
          <c:y val="9.6520593404632121E-2"/>
          <c:w val="0.95059351441735718"/>
          <c:h val="0.7210352082867056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3-33E9-4C91-B8E4-790B41255FEC}"/>
              </c:ext>
            </c:extLst>
          </c:dPt>
          <c:dPt>
            <c:idx val="1"/>
            <c:invertIfNegative val="0"/>
            <c:bubble3D val="0"/>
            <c:spPr>
              <a:solidFill>
                <a:srgbClr val="FFC000"/>
              </a:solidFill>
              <a:ln>
                <a:noFill/>
              </a:ln>
              <a:effectLst/>
            </c:spPr>
            <c:extLst>
              <c:ext xmlns:c16="http://schemas.microsoft.com/office/drawing/2014/chart" uri="{C3380CC4-5D6E-409C-BE32-E72D297353CC}">
                <c16:uniqueId val="{00000004-33E9-4C91-B8E4-790B41255FEC}"/>
              </c:ext>
            </c:extLst>
          </c:dPt>
          <c:dPt>
            <c:idx val="2"/>
            <c:invertIfNegative val="0"/>
            <c:bubble3D val="0"/>
            <c:spPr>
              <a:solidFill>
                <a:srgbClr val="FFFF99"/>
              </a:solidFill>
              <a:ln>
                <a:noFill/>
              </a:ln>
              <a:effectLst/>
            </c:spPr>
            <c:extLst>
              <c:ext xmlns:c16="http://schemas.microsoft.com/office/drawing/2014/chart" uri="{C3380CC4-5D6E-409C-BE32-E72D297353CC}">
                <c16:uniqueId val="{00000005-33E9-4C91-B8E4-790B41255FEC}"/>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33E9-4C91-B8E4-790B41255FEC}"/>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6-33E9-4C91-B8E4-790B41255FEC}"/>
              </c:ext>
            </c:extLst>
          </c:dPt>
          <c:dLbls>
            <c:dLbl>
              <c:idx val="0"/>
              <c:tx>
                <c:rich>
                  <a:bodyPr/>
                  <a:lstStyle/>
                  <a:p>
                    <a:fld id="{B074FF5F-ACE9-4174-AD1E-C50FE20408BA}" type="CELLRANGE">
                      <a:rPr lang="en-US"/>
                      <a:pPr/>
                      <a:t>[CELLRANGE]</a:t>
                    </a:fld>
                    <a:endParaRPr lang="en-US" baseline="0"/>
                  </a:p>
                  <a:p>
                    <a:fld id="{131D522A-F270-404A-AB25-3053E96F9702}" type="VALUE">
                      <a:rPr lang="en-US"/>
                      <a:pPr/>
                      <a:t>[VALUE]</a:t>
                    </a:fld>
                    <a:endParaRPr lang="it-IT"/>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33E9-4C91-B8E4-790B41255FEC}"/>
                </c:ext>
              </c:extLst>
            </c:dLbl>
            <c:dLbl>
              <c:idx val="1"/>
              <c:tx>
                <c:rich>
                  <a:bodyPr/>
                  <a:lstStyle/>
                  <a:p>
                    <a:fld id="{56914F37-9680-4825-AC60-56D4C9AC5065}" type="CELLRANGE">
                      <a:rPr lang="en-US"/>
                      <a:pPr/>
                      <a:t>[CELLRANGE]</a:t>
                    </a:fld>
                    <a:endParaRPr lang="en-US" baseline="0"/>
                  </a:p>
                  <a:p>
                    <a:fld id="{F6D686ED-EBAC-4C71-8707-D52455CDC04A}" type="VALUE">
                      <a:rPr lang="en-US"/>
                      <a:pPr/>
                      <a:t>[VALUE]</a:t>
                    </a:fld>
                    <a:endParaRPr lang="it-IT"/>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33E9-4C91-B8E4-790B41255FEC}"/>
                </c:ext>
              </c:extLst>
            </c:dLbl>
            <c:dLbl>
              <c:idx val="2"/>
              <c:tx>
                <c:rich>
                  <a:bodyPr/>
                  <a:lstStyle/>
                  <a:p>
                    <a:fld id="{CC521205-BAE2-4594-8473-A7F2DDFB1F91}" type="CELLRANGE">
                      <a:rPr lang="en-US"/>
                      <a:pPr/>
                      <a:t>[CELLRANGE]</a:t>
                    </a:fld>
                    <a:endParaRPr lang="en-US" baseline="0"/>
                  </a:p>
                  <a:p>
                    <a:fld id="{EC985A8C-CA84-48C6-8C14-32B8C5665BF9}" type="VALUE">
                      <a:rPr lang="en-US"/>
                      <a:pPr/>
                      <a:t>[VALUE]</a:t>
                    </a:fld>
                    <a:endParaRPr lang="it-IT"/>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33E9-4C91-B8E4-790B41255FEC}"/>
                </c:ext>
              </c:extLst>
            </c:dLbl>
            <c:dLbl>
              <c:idx val="3"/>
              <c:layout>
                <c:manualLayout>
                  <c:x val="0"/>
                  <c:y val="2.9343818017743693E-3"/>
                </c:manualLayout>
              </c:layout>
              <c:tx>
                <c:rich>
                  <a:bodyPr/>
                  <a:lstStyle/>
                  <a:p>
                    <a:fld id="{F08B1D23-F703-45F2-A3BC-12A16BC90513}" type="CELLRANGE">
                      <a:rPr lang="en-US"/>
                      <a:pPr/>
                      <a:t>[CELLRANGE]</a:t>
                    </a:fld>
                    <a:endParaRPr lang="en-US" baseline="0"/>
                  </a:p>
                  <a:p>
                    <a:fld id="{391172E3-36AA-4844-A1BB-4A5DC5AFA812}" type="VALUE">
                      <a:rPr lang="en-US"/>
                      <a:pPr/>
                      <a:t>[VALUE]</a:t>
                    </a:fld>
                    <a:endParaRPr lang="it-IT"/>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33E9-4C91-B8E4-790B41255FEC}"/>
                </c:ext>
              </c:extLst>
            </c:dLbl>
            <c:dLbl>
              <c:idx val="4"/>
              <c:tx>
                <c:rich>
                  <a:bodyPr/>
                  <a:lstStyle/>
                  <a:p>
                    <a:fld id="{2CA0CF06-A237-44CE-A8B5-200C3FCC0FB8}" type="CELLRANGE">
                      <a:rPr lang="en-US"/>
                      <a:pPr/>
                      <a:t>[CELLRANGE]</a:t>
                    </a:fld>
                    <a:endParaRPr lang="en-US" baseline="0"/>
                  </a:p>
                  <a:p>
                    <a:fld id="{DBCE1712-7E44-4E8C-8516-AE36C8239AD5}" type="VALUE">
                      <a:rPr lang="en-US"/>
                      <a:pPr/>
                      <a:t>[VALUE]</a:t>
                    </a:fld>
                    <a:endParaRPr lang="it-IT"/>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33E9-4C91-B8E4-790B41255F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t-IT"/>
              </a:p>
            </c:txP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Report!$L$17:$L$21</c:f>
              <c:strCache>
                <c:ptCount val="5"/>
                <c:pt idx="0">
                  <c:v>Ordinato totale (senza TME)</c:v>
                </c:pt>
                <c:pt idx="1">
                  <c:v>Ordini a TME</c:v>
                </c:pt>
                <c:pt idx="2">
                  <c:v>Negoziazioni totale</c:v>
                </c:pt>
                <c:pt idx="3">
                  <c:v>Pianificato totale</c:v>
                </c:pt>
                <c:pt idx="4">
                  <c:v>Buffer totale</c:v>
                </c:pt>
              </c:strCache>
            </c:strRef>
          </c:cat>
          <c:val>
            <c:numRef>
              <c:f>Report!$M$17:$M$21</c:f>
              <c:numCache>
                <c:formatCode>#,##0</c:formatCode>
                <c:ptCount val="5"/>
                <c:pt idx="0">
                  <c:v>190930424.031266</c:v>
                </c:pt>
                <c:pt idx="1">
                  <c:v>77399999.99777779</c:v>
                </c:pt>
                <c:pt idx="2">
                  <c:v>43012548.990400001</c:v>
                </c:pt>
                <c:pt idx="3">
                  <c:v>190114880.00338486</c:v>
                </c:pt>
                <c:pt idx="4">
                  <c:v>0</c:v>
                </c:pt>
              </c:numCache>
            </c:numRef>
          </c:val>
          <c:extLst>
            <c:ext xmlns:c15="http://schemas.microsoft.com/office/drawing/2012/chart" uri="{02D57815-91ED-43cb-92C2-25804820EDAC}">
              <c15:datalabelsRange>
                <c15:f>Report!$N$17:$N$21</c15:f>
                <c15:dlblRangeCache>
                  <c:ptCount val="5"/>
                  <c:pt idx="0">
                    <c:v>#REF!</c:v>
                  </c:pt>
                  <c:pt idx="1">
                    <c:v>#REF!</c:v>
                  </c:pt>
                  <c:pt idx="2">
                    <c:v>#REF!</c:v>
                  </c:pt>
                  <c:pt idx="3">
                    <c:v>#REF!</c:v>
                  </c:pt>
                  <c:pt idx="4">
                    <c:v>#REF!</c:v>
                  </c:pt>
                </c15:dlblRangeCache>
              </c15:datalabelsRange>
            </c:ext>
            <c:ext xmlns:c16="http://schemas.microsoft.com/office/drawing/2014/chart" uri="{C3380CC4-5D6E-409C-BE32-E72D297353CC}">
              <c16:uniqueId val="{00000000-33E9-4C91-B8E4-790B41255FEC}"/>
            </c:ext>
          </c:extLst>
        </c:ser>
        <c:dLbls>
          <c:showLegendKey val="0"/>
          <c:showVal val="0"/>
          <c:showCatName val="0"/>
          <c:showSerName val="0"/>
          <c:showPercent val="0"/>
          <c:showBubbleSize val="0"/>
        </c:dLbls>
        <c:gapWidth val="219"/>
        <c:overlap val="-27"/>
        <c:axId val="873801919"/>
        <c:axId val="873799999"/>
      </c:barChart>
      <c:catAx>
        <c:axId val="873801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873799999"/>
        <c:crosses val="autoZero"/>
        <c:auto val="1"/>
        <c:lblAlgn val="ctr"/>
        <c:lblOffset val="100"/>
        <c:noMultiLvlLbl val="0"/>
      </c:catAx>
      <c:valAx>
        <c:axId val="87379999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7380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it-IT" sz="1200" b="1"/>
              <a:t>Electrical Works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it-I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99-4A57-BAFF-E3F24D28FC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99-4A57-BAFF-E3F24D28FC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99-4A57-BAFF-E3F24D28FC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t-IT"/>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'JV RIEPILOGO'!$I$13:$I$15</c:f>
              <c:numCache>
                <c:formatCode>#,##0</c:formatCode>
                <c:ptCount val="3"/>
                <c:pt idx="0">
                  <c:v>36070000</c:v>
                </c:pt>
                <c:pt idx="1">
                  <c:v>2016200</c:v>
                </c:pt>
                <c:pt idx="2">
                  <c:v>20259140</c:v>
                </c:pt>
              </c:numCache>
            </c:numRef>
          </c:val>
          <c:extLst>
            <c:ext xmlns:c15="http://schemas.microsoft.com/office/drawing/2012/chart" uri="{02D57815-91ED-43cb-92C2-25804820EDAC}">
              <c15:filteredCategoryTitle>
                <c15:cat>
                  <c:multiLvlStrRef>
                    <c:extLst>
                      <c:ext uri="{02D57815-91ED-43cb-92C2-25804820EDAC}">
                        <c15:formulaRef>
                          <c15:sqref>'JV RIEPILOGO'!$F$5:$F$7</c15:sqref>
                        </c15:formulaRef>
                      </c:ext>
                    </c:extLst>
                  </c:multiLvlStrRef>
                </c15:cat>
              </c15:filteredCategoryTitle>
            </c:ext>
            <c:ext xmlns:c16="http://schemas.microsoft.com/office/drawing/2014/chart" uri="{C3380CC4-5D6E-409C-BE32-E72D297353CC}">
              <c16:uniqueId val="{00000008-1706-497A-A98A-5E60C2398248}"/>
            </c:ext>
          </c:extLst>
        </c:ser>
        <c:dLbls>
          <c:showLegendKey val="0"/>
          <c:showVal val="0"/>
          <c:showCatName val="0"/>
          <c:showSerName val="0"/>
          <c:showPercent val="0"/>
          <c:showBubbleSize val="0"/>
          <c:showLeaderLines val="1"/>
        </c:dLbls>
        <c:firstSliceAng val="126"/>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it-IT" sz="1200" b="1"/>
              <a:t>Sanitary Works &amp; Fire Figthing</a:t>
            </a:r>
          </a:p>
        </c:rich>
      </c:tx>
      <c:layout>
        <c:manualLayout>
          <c:xMode val="edge"/>
          <c:yMode val="edge"/>
          <c:x val="0.14279005316949803"/>
          <c:y val="3.281762573522033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it-I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84-4E6B-AB16-5FCE84483D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84-4E6B-AB16-5FCE84483D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84-4E6B-AB16-5FCE84483D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t-IT"/>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'JV RIEPILOGO'!$I$17:$I$19</c:f>
              <c:numCache>
                <c:formatCode>#,##0</c:formatCode>
                <c:ptCount val="3"/>
                <c:pt idx="0">
                  <c:v>0</c:v>
                </c:pt>
                <c:pt idx="1">
                  <c:v>0</c:v>
                </c:pt>
                <c:pt idx="2">
                  <c:v>21293319.001499999</c:v>
                </c:pt>
              </c:numCache>
            </c:numRef>
          </c:val>
          <c:extLst>
            <c:ext xmlns:c15="http://schemas.microsoft.com/office/drawing/2012/chart" uri="{02D57815-91ED-43cb-92C2-25804820EDAC}">
              <c15:filteredCategoryTitle>
                <c15:cat>
                  <c:multiLvlStrRef>
                    <c:extLst>
                      <c:ext uri="{02D57815-91ED-43cb-92C2-25804820EDAC}">
                        <c15:formulaRef>
                          <c15:sqref>'JV RIEPILOGO'!$F$5:$F$7</c15:sqref>
                        </c15:formulaRef>
                      </c:ext>
                    </c:extLst>
                  </c:multiLvlStrRef>
                </c15:cat>
              </c15:filteredCategoryTitle>
            </c:ext>
            <c:ext xmlns:c16="http://schemas.microsoft.com/office/drawing/2014/chart" uri="{C3380CC4-5D6E-409C-BE32-E72D297353CC}">
              <c16:uniqueId val="{00000008-09B6-4DEA-BE39-BA11B494E1F9}"/>
            </c:ext>
          </c:extLst>
        </c:ser>
        <c:dLbls>
          <c:showLegendKey val="0"/>
          <c:showVal val="0"/>
          <c:showCatName val="0"/>
          <c:showSerName val="0"/>
          <c:showPercent val="0"/>
          <c:showBubbleSize val="0"/>
          <c:showLeaderLines val="1"/>
        </c:dLbls>
        <c:firstSliceAng val="101"/>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it-IT" sz="1200" b="1"/>
              <a:t>Mechanical &amp; Technological Works</a:t>
            </a:r>
          </a:p>
        </c:rich>
      </c:tx>
      <c:layout>
        <c:manualLayout>
          <c:xMode val="edge"/>
          <c:yMode val="edge"/>
          <c:x val="9.53924172652071E-2"/>
          <c:y val="3.82872300244237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it-I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20-4D79-AAA8-92A8ED5DDE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20-4D79-AAA8-92A8ED5DDE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20-4D79-AAA8-92A8ED5DDE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t-IT"/>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'JV RIEPILOGO'!$I$21:$I$23</c:f>
              <c:numCache>
                <c:formatCode>#,##0</c:formatCode>
                <c:ptCount val="3"/>
                <c:pt idx="0">
                  <c:v>153053763.05594572</c:v>
                </c:pt>
                <c:pt idx="1">
                  <c:v>6615897.9500000002</c:v>
                </c:pt>
                <c:pt idx="2">
                  <c:v>98996984.995699972</c:v>
                </c:pt>
              </c:numCache>
            </c:numRef>
          </c:val>
          <c:extLst>
            <c:ext xmlns:c15="http://schemas.microsoft.com/office/drawing/2012/chart" uri="{02D57815-91ED-43cb-92C2-25804820EDAC}">
              <c15:filteredCategoryTitle>
                <c15:cat>
                  <c:multiLvlStrRef>
                    <c:extLst>
                      <c:ext uri="{02D57815-91ED-43cb-92C2-25804820EDAC}">
                        <c15:formulaRef>
                          <c15:sqref>'JV RIEPILOGO'!$F$5:$F$7</c15:sqref>
                        </c15:formulaRef>
                      </c:ext>
                    </c:extLst>
                  </c:multiLvlStrRef>
                </c15:cat>
              </c15:filteredCategoryTitle>
            </c:ext>
            <c:ext xmlns:c16="http://schemas.microsoft.com/office/drawing/2014/chart" uri="{C3380CC4-5D6E-409C-BE32-E72D297353CC}">
              <c16:uniqueId val="{00000008-83C2-4B84-8A46-6ACBC884A995}"/>
            </c:ext>
          </c:extLst>
        </c:ser>
        <c:dLbls>
          <c:showLegendKey val="0"/>
          <c:showVal val="0"/>
          <c:showCatName val="0"/>
          <c:showSerName val="0"/>
          <c:showPercent val="0"/>
          <c:showBubbleSize val="0"/>
          <c:showLeaderLines val="1"/>
        </c:dLbls>
        <c:firstSliceAng val="54"/>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it-IT" sz="1200" b="1"/>
              <a:t>Commissioning</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it-I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26-4E23-93EF-806068BC86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26-4E23-93EF-806068BC86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26-4E23-93EF-806068BC86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t-IT"/>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'JV RIEPILOGO'!$I$25:$I$27</c:f>
              <c:numCache>
                <c:formatCode>#,##0</c:formatCode>
                <c:ptCount val="3"/>
                <c:pt idx="0">
                  <c:v>100000</c:v>
                </c:pt>
                <c:pt idx="1">
                  <c:v>399999.99840000004</c:v>
                </c:pt>
                <c:pt idx="2">
                  <c:v>7999999.9987000003</c:v>
                </c:pt>
              </c:numCache>
            </c:numRef>
          </c:val>
          <c:extLst>
            <c:ext xmlns:c15="http://schemas.microsoft.com/office/drawing/2012/chart" uri="{02D57815-91ED-43cb-92C2-25804820EDAC}">
              <c15:filteredCategoryTitle>
                <c15:cat>
                  <c:multiLvlStrRef>
                    <c:extLst>
                      <c:ext uri="{02D57815-91ED-43cb-92C2-25804820EDAC}">
                        <c15:formulaRef>
                          <c15:sqref>'JV RIEPILOGO'!$F$5:$F$7</c15:sqref>
                        </c15:formulaRef>
                      </c:ext>
                    </c:extLst>
                  </c:multiLvlStrRef>
                </c15:cat>
              </c15:filteredCategoryTitle>
            </c:ext>
            <c:ext xmlns:c16="http://schemas.microsoft.com/office/drawing/2014/chart" uri="{C3380CC4-5D6E-409C-BE32-E72D297353CC}">
              <c16:uniqueId val="{00000008-A7D3-4754-96E9-D66B9A8BD26E}"/>
            </c:ext>
          </c:extLst>
        </c:ser>
        <c:dLbls>
          <c:showLegendKey val="0"/>
          <c:showVal val="0"/>
          <c:showCatName val="0"/>
          <c:showSerName val="0"/>
          <c:showPercent val="0"/>
          <c:showBubbleSize val="0"/>
          <c:showLeaderLines val="1"/>
        </c:dLbls>
        <c:firstSliceAng val="101"/>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it-I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24968600953306"/>
          <c:y val="0.13560317738234562"/>
          <c:w val="0.82244542232392792"/>
          <c:h val="0.6120970677405384"/>
        </c:manualLayout>
      </c:layout>
      <c:barChart>
        <c:barDir val="col"/>
        <c:grouping val="stacked"/>
        <c:varyColors val="0"/>
        <c:ser>
          <c:idx val="0"/>
          <c:order val="0"/>
          <c:tx>
            <c:strRef>
              <c:f>Report!$B$8</c:f>
              <c:strCache>
                <c:ptCount val="1"/>
                <c:pt idx="0">
                  <c:v>Totale costi</c:v>
                </c:pt>
              </c:strCache>
            </c:strRef>
          </c:tx>
          <c:spPr>
            <a:solidFill>
              <a:srgbClr val="FF99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Report!$C$4:$E$4</c:f>
              <c:strCache>
                <c:ptCount val="3"/>
                <c:pt idx="0">
                  <c:v>Bdgt apertura</c:v>
                </c:pt>
                <c:pt idx="1">
                  <c:v>B02 - Gen26</c:v>
                </c:pt>
                <c:pt idx="2">
                  <c:v>B07 - Feb26</c:v>
                </c:pt>
              </c:strCache>
            </c:strRef>
          </c:cat>
          <c:val>
            <c:numRef>
              <c:f>Report!$C$8:$E$8</c:f>
              <c:numCache>
                <c:formatCode>#,##0</c:formatCode>
                <c:ptCount val="3"/>
                <c:pt idx="0">
                  <c:v>546148867.14999998</c:v>
                </c:pt>
                <c:pt idx="1">
                  <c:v>568238402.29067779</c:v>
                </c:pt>
                <c:pt idx="2">
                  <c:v>563911592.87770593</c:v>
                </c:pt>
              </c:numCache>
            </c:numRef>
          </c:val>
          <c:extLst>
            <c:ext xmlns:c16="http://schemas.microsoft.com/office/drawing/2014/chart" uri="{C3380CC4-5D6E-409C-BE32-E72D297353CC}">
              <c16:uniqueId val="{00000000-418E-4987-82AD-73A1E9D0159A}"/>
            </c:ext>
          </c:extLst>
        </c:ser>
        <c:ser>
          <c:idx val="1"/>
          <c:order val="1"/>
          <c:tx>
            <c:strRef>
              <c:f>Report!$B$10</c:f>
              <c:strCache>
                <c:ptCount val="1"/>
                <c:pt idx="0">
                  <c:v>Margine</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Report!$C$4:$E$4</c:f>
              <c:strCache>
                <c:ptCount val="3"/>
                <c:pt idx="0">
                  <c:v>Bdgt apertura</c:v>
                </c:pt>
                <c:pt idx="1">
                  <c:v>B02 - Gen26</c:v>
                </c:pt>
                <c:pt idx="2">
                  <c:v>B07 - Feb26</c:v>
                </c:pt>
              </c:strCache>
            </c:strRef>
          </c:cat>
          <c:val>
            <c:numRef>
              <c:f>Report!$C$10:$E$10</c:f>
              <c:numCache>
                <c:formatCode>#,##0</c:formatCode>
                <c:ptCount val="3"/>
                <c:pt idx="0">
                  <c:v>85237132.850000024</c:v>
                </c:pt>
                <c:pt idx="1">
                  <c:v>63147597.709322214</c:v>
                </c:pt>
                <c:pt idx="2">
                  <c:v>63174407.122294068</c:v>
                </c:pt>
              </c:numCache>
            </c:numRef>
          </c:val>
          <c:extLst>
            <c:ext xmlns:c16="http://schemas.microsoft.com/office/drawing/2014/chart" uri="{C3380CC4-5D6E-409C-BE32-E72D297353CC}">
              <c16:uniqueId val="{00000001-418E-4987-82AD-73A1E9D0159A}"/>
            </c:ext>
          </c:extLst>
        </c:ser>
        <c:dLbls>
          <c:showLegendKey val="0"/>
          <c:showVal val="0"/>
          <c:showCatName val="0"/>
          <c:showSerName val="0"/>
          <c:showPercent val="0"/>
          <c:showBubbleSize val="0"/>
        </c:dLbls>
        <c:gapWidth val="150"/>
        <c:overlap val="100"/>
        <c:axId val="247757791"/>
        <c:axId val="247752991"/>
      </c:barChart>
      <c:catAx>
        <c:axId val="24775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247752991"/>
        <c:crosses val="autoZero"/>
        <c:auto val="1"/>
        <c:lblAlgn val="ctr"/>
        <c:lblOffset val="100"/>
        <c:noMultiLvlLbl val="0"/>
      </c:catAx>
      <c:valAx>
        <c:axId val="247752991"/>
        <c:scaling>
          <c:orientation val="minMax"/>
          <c:max val="700000000"/>
          <c:min val="2000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247757791"/>
        <c:crosses val="autoZero"/>
        <c:crossBetween val="between"/>
      </c:valAx>
      <c:spPr>
        <a:noFill/>
        <a:ln>
          <a:noFill/>
        </a:ln>
        <a:effectLst/>
      </c:spPr>
    </c:plotArea>
    <c:legend>
      <c:legendPos val="b"/>
      <c:layout>
        <c:manualLayout>
          <c:xMode val="edge"/>
          <c:yMode val="edge"/>
          <c:x val="0.38745608701943901"/>
          <c:y val="0.84730848622796429"/>
          <c:w val="0.22508782596112198"/>
          <c:h val="0.123433425177621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13</xdr:row>
      <xdr:rowOff>185056</xdr:rowOff>
    </xdr:from>
    <xdr:to>
      <xdr:col>6</xdr:col>
      <xdr:colOff>144780</xdr:colOff>
      <xdr:row>34</xdr:row>
      <xdr:rowOff>10884</xdr:rowOff>
    </xdr:to>
    <xdr:graphicFrame macro="">
      <xdr:nvGraphicFramePr>
        <xdr:cNvPr id="2" name="Grafico 1">
          <a:extLst>
            <a:ext uri="{FF2B5EF4-FFF2-40B4-BE49-F238E27FC236}">
              <a16:creationId xmlns:a16="http://schemas.microsoft.com/office/drawing/2014/main" id="{B47FDD6D-74DF-46F8-B552-3F2ABEB47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36</xdr:row>
      <xdr:rowOff>106680</xdr:rowOff>
    </xdr:from>
    <xdr:to>
      <xdr:col>6</xdr:col>
      <xdr:colOff>160020</xdr:colOff>
      <xdr:row>49</xdr:row>
      <xdr:rowOff>22860</xdr:rowOff>
    </xdr:to>
    <xdr:graphicFrame macro="">
      <xdr:nvGraphicFramePr>
        <xdr:cNvPr id="3" name="Grafico 2">
          <a:extLst>
            <a:ext uri="{FF2B5EF4-FFF2-40B4-BE49-F238E27FC236}">
              <a16:creationId xmlns:a16="http://schemas.microsoft.com/office/drawing/2014/main" id="{359270F0-C08C-4383-8CB9-25A685417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0</xdr:colOff>
      <xdr:row>37</xdr:row>
      <xdr:rowOff>15240</xdr:rowOff>
    </xdr:from>
    <xdr:ext cx="967740" cy="280205"/>
    <xdr:sp macro="" textlink="$J$17">
      <xdr:nvSpPr>
        <xdr:cNvPr id="10" name="CasellaDiTesto 9">
          <a:extLst>
            <a:ext uri="{FF2B5EF4-FFF2-40B4-BE49-F238E27FC236}">
              <a16:creationId xmlns:a16="http://schemas.microsoft.com/office/drawing/2014/main" id="{FE6D1309-849D-7729-60D1-B13BB809BC6C}"/>
            </a:ext>
          </a:extLst>
        </xdr:cNvPr>
        <xdr:cNvSpPr txBox="1"/>
      </xdr:nvSpPr>
      <xdr:spPr>
        <a:xfrm>
          <a:off x="3451860" y="4038600"/>
          <a:ext cx="967740" cy="280205"/>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B76CC6C-FE32-46CD-8D74-3648006828CA}" type="TxLink">
            <a:rPr lang="en-US" sz="1200" b="1" i="0" u="none" strike="noStrike">
              <a:solidFill>
                <a:srgbClr val="000000"/>
              </a:solidFill>
              <a:latin typeface="Aptos Narrow"/>
            </a:rPr>
            <a:pPr algn="ctr"/>
            <a:t>45.590.000</a:t>
          </a:fld>
          <a:endParaRPr lang="it-IT" sz="1200" b="1"/>
        </a:p>
      </xdr:txBody>
    </xdr:sp>
    <xdr:clientData/>
  </xdr:oneCellAnchor>
  <xdr:twoCellAnchor>
    <xdr:from>
      <xdr:col>7</xdr:col>
      <xdr:colOff>60960</xdr:colOff>
      <xdr:row>36</xdr:row>
      <xdr:rowOff>106680</xdr:rowOff>
    </xdr:from>
    <xdr:to>
      <xdr:col>10</xdr:col>
      <xdr:colOff>0</xdr:colOff>
      <xdr:row>49</xdr:row>
      <xdr:rowOff>22860</xdr:rowOff>
    </xdr:to>
    <xdr:graphicFrame macro="">
      <xdr:nvGraphicFramePr>
        <xdr:cNvPr id="11" name="Grafico 10">
          <a:extLst>
            <a:ext uri="{FF2B5EF4-FFF2-40B4-BE49-F238E27FC236}">
              <a16:creationId xmlns:a16="http://schemas.microsoft.com/office/drawing/2014/main" id="{6F4F30FF-A42A-8CD3-680F-FA34175C3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2957648</xdr:colOff>
      <xdr:row>37</xdr:row>
      <xdr:rowOff>15240</xdr:rowOff>
    </xdr:from>
    <xdr:ext cx="967740" cy="280205"/>
    <xdr:sp macro="" textlink="$J$18">
      <xdr:nvSpPr>
        <xdr:cNvPr id="12" name="CasellaDiTesto 11">
          <a:extLst>
            <a:ext uri="{FF2B5EF4-FFF2-40B4-BE49-F238E27FC236}">
              <a16:creationId xmlns:a16="http://schemas.microsoft.com/office/drawing/2014/main" id="{AE8FB7E8-BCC8-9DE4-A88D-D6006ACE98D4}"/>
            </a:ext>
          </a:extLst>
        </xdr:cNvPr>
        <xdr:cNvSpPr txBox="1"/>
      </xdr:nvSpPr>
      <xdr:spPr>
        <a:xfrm>
          <a:off x="7344591" y="7276011"/>
          <a:ext cx="967740" cy="280205"/>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3887E5A-F027-4D29-BF0D-AB9383A00314}" type="TxLink">
            <a:rPr lang="en-US" sz="1200" b="1" i="0" u="none" strike="noStrike">
              <a:solidFill>
                <a:srgbClr val="000000"/>
              </a:solidFill>
              <a:latin typeface="Aptos Narrow"/>
            </a:rPr>
            <a:pPr algn="ctr"/>
            <a:t>108.109.767</a:t>
          </a:fld>
          <a:endParaRPr lang="it-IT" sz="1400" b="1"/>
        </a:p>
      </xdr:txBody>
    </xdr:sp>
    <xdr:clientData/>
  </xdr:oneCellAnchor>
  <xdr:twoCellAnchor>
    <xdr:from>
      <xdr:col>13</xdr:col>
      <xdr:colOff>97972</xdr:colOff>
      <xdr:row>13</xdr:row>
      <xdr:rowOff>136072</xdr:rowOff>
    </xdr:from>
    <xdr:to>
      <xdr:col>17</xdr:col>
      <xdr:colOff>95250</xdr:colOff>
      <xdr:row>23</xdr:row>
      <xdr:rowOff>163286</xdr:rowOff>
    </xdr:to>
    <xdr:graphicFrame macro="">
      <xdr:nvGraphicFramePr>
        <xdr:cNvPr id="13" name="Grafico 12">
          <a:extLst>
            <a:ext uri="{FF2B5EF4-FFF2-40B4-BE49-F238E27FC236}">
              <a16:creationId xmlns:a16="http://schemas.microsoft.com/office/drawing/2014/main" id="{73340A6D-BE5F-BE3A-E6D0-F030BC2A6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49</xdr:row>
      <xdr:rowOff>108585</xdr:rowOff>
    </xdr:from>
    <xdr:to>
      <xdr:col>6</xdr:col>
      <xdr:colOff>160020</xdr:colOff>
      <xdr:row>62</xdr:row>
      <xdr:rowOff>24765</xdr:rowOff>
    </xdr:to>
    <xdr:graphicFrame macro="">
      <xdr:nvGraphicFramePr>
        <xdr:cNvPr id="15" name="Grafico 14">
          <a:extLst>
            <a:ext uri="{FF2B5EF4-FFF2-40B4-BE49-F238E27FC236}">
              <a16:creationId xmlns:a16="http://schemas.microsoft.com/office/drawing/2014/main" id="{B5349DF3-22B6-4AF9-8258-A959C96BD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60960</xdr:colOff>
      <xdr:row>49</xdr:row>
      <xdr:rowOff>108585</xdr:rowOff>
    </xdr:from>
    <xdr:to>
      <xdr:col>10</xdr:col>
      <xdr:colOff>0</xdr:colOff>
      <xdr:row>62</xdr:row>
      <xdr:rowOff>24765</xdr:rowOff>
    </xdr:to>
    <xdr:graphicFrame macro="">
      <xdr:nvGraphicFramePr>
        <xdr:cNvPr id="16" name="Grafico 15">
          <a:extLst>
            <a:ext uri="{FF2B5EF4-FFF2-40B4-BE49-F238E27FC236}">
              <a16:creationId xmlns:a16="http://schemas.microsoft.com/office/drawing/2014/main" id="{515BCF3A-63FC-4C21-BF9B-189626642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62</xdr:row>
      <xdr:rowOff>118110</xdr:rowOff>
    </xdr:from>
    <xdr:to>
      <xdr:col>6</xdr:col>
      <xdr:colOff>160020</xdr:colOff>
      <xdr:row>75</xdr:row>
      <xdr:rowOff>34290</xdr:rowOff>
    </xdr:to>
    <xdr:graphicFrame macro="">
      <xdr:nvGraphicFramePr>
        <xdr:cNvPr id="17" name="Grafico 16">
          <a:extLst>
            <a:ext uri="{FF2B5EF4-FFF2-40B4-BE49-F238E27FC236}">
              <a16:creationId xmlns:a16="http://schemas.microsoft.com/office/drawing/2014/main" id="{03699E83-73AD-4125-85FB-4CF54C57D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60960</xdr:colOff>
      <xdr:row>62</xdr:row>
      <xdr:rowOff>118110</xdr:rowOff>
    </xdr:from>
    <xdr:to>
      <xdr:col>10</xdr:col>
      <xdr:colOff>0</xdr:colOff>
      <xdr:row>75</xdr:row>
      <xdr:rowOff>34290</xdr:rowOff>
    </xdr:to>
    <xdr:graphicFrame macro="">
      <xdr:nvGraphicFramePr>
        <xdr:cNvPr id="18" name="Grafico 17">
          <a:extLst>
            <a:ext uri="{FF2B5EF4-FFF2-40B4-BE49-F238E27FC236}">
              <a16:creationId xmlns:a16="http://schemas.microsoft.com/office/drawing/2014/main" id="{49A919F5-687F-45D1-99B7-06A5686FD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2957648</xdr:colOff>
      <xdr:row>50</xdr:row>
      <xdr:rowOff>37011</xdr:rowOff>
    </xdr:from>
    <xdr:ext cx="967740" cy="264560"/>
    <xdr:sp macro="" textlink="$J$20">
      <xdr:nvSpPr>
        <xdr:cNvPr id="20" name="CasellaDiTesto 19">
          <a:extLst>
            <a:ext uri="{FF2B5EF4-FFF2-40B4-BE49-F238E27FC236}">
              <a16:creationId xmlns:a16="http://schemas.microsoft.com/office/drawing/2014/main" id="{99BFFF93-7CE6-5CCD-88B8-F1BCD539B743}"/>
            </a:ext>
          </a:extLst>
        </xdr:cNvPr>
        <xdr:cNvSpPr txBox="1"/>
      </xdr:nvSpPr>
      <xdr:spPr>
        <a:xfrm>
          <a:off x="7344591" y="9703525"/>
          <a:ext cx="967740" cy="264560"/>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A6C4FBEE-A2A4-4539-B288-696225AE5752}" type="TxLink">
            <a:rPr lang="en-US" sz="1100" b="1" i="0" u="none" strike="noStrike">
              <a:solidFill>
                <a:srgbClr val="000000"/>
              </a:solidFill>
              <a:latin typeface="Aptos Narrow"/>
            </a:rPr>
            <a:pPr algn="ctr"/>
            <a:t>21.293.319</a:t>
          </a:fld>
          <a:endParaRPr lang="it-IT" sz="1400" b="1"/>
        </a:p>
      </xdr:txBody>
    </xdr:sp>
    <xdr:clientData/>
  </xdr:oneCellAnchor>
  <xdr:oneCellAnchor>
    <xdr:from>
      <xdr:col>7</xdr:col>
      <xdr:colOff>2957648</xdr:colOff>
      <xdr:row>63</xdr:row>
      <xdr:rowOff>58782</xdr:rowOff>
    </xdr:from>
    <xdr:ext cx="967740" cy="264560"/>
    <xdr:sp macro="" textlink="$J$22">
      <xdr:nvSpPr>
        <xdr:cNvPr id="21" name="CasellaDiTesto 20">
          <a:extLst>
            <a:ext uri="{FF2B5EF4-FFF2-40B4-BE49-F238E27FC236}">
              <a16:creationId xmlns:a16="http://schemas.microsoft.com/office/drawing/2014/main" id="{0B8F7AE8-9E00-65D3-7AD0-337894EC8022}"/>
            </a:ext>
          </a:extLst>
        </xdr:cNvPr>
        <xdr:cNvSpPr txBox="1"/>
      </xdr:nvSpPr>
      <xdr:spPr>
        <a:xfrm>
          <a:off x="7344591" y="12131039"/>
          <a:ext cx="967740" cy="264560"/>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37BC328-ACED-4DBE-BA00-A5DEDB455AE5}" type="TxLink">
            <a:rPr lang="en-US" sz="1100" b="1" i="0" u="none" strike="noStrike">
              <a:solidFill>
                <a:srgbClr val="000000"/>
              </a:solidFill>
              <a:latin typeface="Aptos Narrow"/>
            </a:rPr>
            <a:pPr algn="ctr"/>
            <a:t>8.500.000</a:t>
          </a:fld>
          <a:endParaRPr lang="it-IT" sz="1400" b="1"/>
        </a:p>
      </xdr:txBody>
    </xdr:sp>
    <xdr:clientData/>
  </xdr:oneCellAnchor>
  <xdr:oneCellAnchor>
    <xdr:from>
      <xdr:col>5</xdr:col>
      <xdr:colOff>0</xdr:colOff>
      <xdr:row>50</xdr:row>
      <xdr:rowOff>37011</xdr:rowOff>
    </xdr:from>
    <xdr:ext cx="967740" cy="264560"/>
    <xdr:sp macro="" textlink="$J$19">
      <xdr:nvSpPr>
        <xdr:cNvPr id="22" name="CasellaDiTesto 21">
          <a:extLst>
            <a:ext uri="{FF2B5EF4-FFF2-40B4-BE49-F238E27FC236}">
              <a16:creationId xmlns:a16="http://schemas.microsoft.com/office/drawing/2014/main" id="{F2C512DA-8521-C3D1-53CC-EC27F2A05062}"/>
            </a:ext>
          </a:extLst>
        </xdr:cNvPr>
        <xdr:cNvSpPr txBox="1"/>
      </xdr:nvSpPr>
      <xdr:spPr>
        <a:xfrm>
          <a:off x="3147060" y="9703525"/>
          <a:ext cx="967740" cy="264560"/>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7D0D9238-BB58-4662-AD44-91A2A510C40E}" type="TxLink">
            <a:rPr lang="en-US" sz="1100" b="1" i="0" u="none" strike="noStrike">
              <a:solidFill>
                <a:srgbClr val="000000"/>
              </a:solidFill>
              <a:latin typeface="Aptos Narrow"/>
            </a:rPr>
            <a:pPr algn="ctr"/>
            <a:t>58.345.340</a:t>
          </a:fld>
          <a:endParaRPr lang="it-IT" sz="1200" b="1"/>
        </a:p>
      </xdr:txBody>
    </xdr:sp>
    <xdr:clientData/>
  </xdr:oneCellAnchor>
  <xdr:oneCellAnchor>
    <xdr:from>
      <xdr:col>5</xdr:col>
      <xdr:colOff>0</xdr:colOff>
      <xdr:row>63</xdr:row>
      <xdr:rowOff>37010</xdr:rowOff>
    </xdr:from>
    <xdr:ext cx="967740" cy="264560"/>
    <xdr:sp macro="" textlink="$J$21">
      <xdr:nvSpPr>
        <xdr:cNvPr id="23" name="CasellaDiTesto 22">
          <a:extLst>
            <a:ext uri="{FF2B5EF4-FFF2-40B4-BE49-F238E27FC236}">
              <a16:creationId xmlns:a16="http://schemas.microsoft.com/office/drawing/2014/main" id="{CC28BCF5-C2E2-7FD0-8FB6-FE2C3E17C4D2}"/>
            </a:ext>
          </a:extLst>
        </xdr:cNvPr>
        <xdr:cNvSpPr txBox="1"/>
      </xdr:nvSpPr>
      <xdr:spPr>
        <a:xfrm>
          <a:off x="3147060" y="12109267"/>
          <a:ext cx="967740" cy="264560"/>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E8CE80D-7A14-4524-9C89-DB7939D75128}" type="TxLink">
            <a:rPr lang="en-US" sz="1100" b="1" i="0" u="none" strike="noStrike">
              <a:solidFill>
                <a:srgbClr val="000000"/>
              </a:solidFill>
              <a:latin typeface="Aptos Narrow"/>
            </a:rPr>
            <a:pPr algn="ctr"/>
            <a:t>258.666.646</a:t>
          </a:fld>
          <a:endParaRPr lang="it-IT" sz="1200" b="1"/>
        </a:p>
      </xdr:txBody>
    </xdr:sp>
    <xdr:clientData/>
  </xdr:oneCellAnchor>
  <xdr:twoCellAnchor>
    <xdr:from>
      <xdr:col>5</xdr:col>
      <xdr:colOff>195941</xdr:colOff>
      <xdr:row>2</xdr:row>
      <xdr:rowOff>146957</xdr:rowOff>
    </xdr:from>
    <xdr:to>
      <xdr:col>11</xdr:col>
      <xdr:colOff>-1</xdr:colOff>
      <xdr:row>11</xdr:row>
      <xdr:rowOff>163286</xdr:rowOff>
    </xdr:to>
    <xdr:graphicFrame macro="">
      <xdr:nvGraphicFramePr>
        <xdr:cNvPr id="26" name="Grafico 25">
          <a:extLst>
            <a:ext uri="{FF2B5EF4-FFF2-40B4-BE49-F238E27FC236}">
              <a16:creationId xmlns:a16="http://schemas.microsoft.com/office/drawing/2014/main" id="{E159CF81-B6E4-896F-1DE4-554F7109E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7</xdr:col>
      <xdr:colOff>1317169</xdr:colOff>
      <xdr:row>2</xdr:row>
      <xdr:rowOff>97971</xdr:rowOff>
    </xdr:from>
    <xdr:ext cx="2111831" cy="264560"/>
    <xdr:sp macro="" textlink="$C$9">
      <xdr:nvSpPr>
        <xdr:cNvPr id="27" name="CasellaDiTesto 26">
          <a:extLst>
            <a:ext uri="{FF2B5EF4-FFF2-40B4-BE49-F238E27FC236}">
              <a16:creationId xmlns:a16="http://schemas.microsoft.com/office/drawing/2014/main" id="{9C5482C8-D49A-2F5A-8418-45FF7850589A}"/>
            </a:ext>
          </a:extLst>
        </xdr:cNvPr>
        <xdr:cNvSpPr txBox="1"/>
      </xdr:nvSpPr>
      <xdr:spPr>
        <a:xfrm>
          <a:off x="5987140" y="293914"/>
          <a:ext cx="21118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i="0" u="none" strike="noStrike">
              <a:solidFill>
                <a:srgbClr val="000000"/>
              </a:solidFill>
              <a:latin typeface="Aptos Narrow"/>
            </a:rPr>
            <a:t>Ricavi base: </a:t>
          </a:r>
          <a:fld id="{6B5D45B5-0D03-458C-9589-DD85EF578723}" type="TxLink">
            <a:rPr lang="en-US" sz="1100" b="1" i="0" u="none" strike="noStrike">
              <a:solidFill>
                <a:srgbClr val="000000"/>
              </a:solidFill>
              <a:latin typeface="Aptos Narrow"/>
            </a:rPr>
            <a:pPr/>
            <a:t>631.386.000</a:t>
          </a:fld>
          <a:r>
            <a:rPr lang="en-US" sz="1100" b="1" i="0" u="none" strike="noStrike">
              <a:solidFill>
                <a:srgbClr val="000000"/>
              </a:solidFill>
              <a:latin typeface="Aptos Narrow"/>
            </a:rPr>
            <a:t> PLN</a:t>
          </a:r>
          <a:endParaRPr lang="it-IT"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Rete\00611%20CEP\1_COMUNE\tme\Wloclawek\00_Budget\07.%202026.02%20Budget_1152500001_ITPO%20W&#322;oc&#322;awek%2017.02.2025_%20(con%20produzione%20TME).xlsm" TargetMode="External"/><Relationship Id="rId1" Type="http://schemas.openxmlformats.org/officeDocument/2006/relationships/externalLinkPath" Target="file:///S:\Rete\00611%20CEP\1_COMUNE\tme\Wloclawek\00_Budget\07.%202026.02%20Budget_1152500001_ITPO%20W&#322;oc&#322;awek%2017.02.2025_%20(con%20produzione%20TM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łocławek Budget"/>
      <sheetName val="TME produzione"/>
      <sheetName val="KM"/>
      <sheetName val="CF - nowe KM HRF UMOWA"/>
      <sheetName val="Arkusz1"/>
      <sheetName val="CF - stare KM"/>
      <sheetName val="arkusz pomocniczy"/>
    </sheetNames>
    <sheetDataSet>
      <sheetData sheetId="0">
        <row r="391">
          <cell r="AM391">
            <v>-67344.37</v>
          </cell>
        </row>
        <row r="403">
          <cell r="AB403">
            <v>568242661.41244376</v>
          </cell>
          <cell r="AM403">
            <v>6228403.0899999999</v>
          </cell>
          <cell r="AN403">
            <v>1008199.9933333333</v>
          </cell>
          <cell r="AO403">
            <v>10613891.444666263</v>
          </cell>
          <cell r="AP403">
            <v>13823910.962356279</v>
          </cell>
          <cell r="AQ403">
            <v>12795518.05349176</v>
          </cell>
          <cell r="AR403">
            <v>15112922.271543276</v>
          </cell>
          <cell r="AS403">
            <v>16469675.099324469</v>
          </cell>
          <cell r="AT403">
            <v>16494479.929768918</v>
          </cell>
          <cell r="AU403">
            <v>25982178.579878442</v>
          </cell>
          <cell r="AV403">
            <v>32817728.067856222</v>
          </cell>
          <cell r="AW403">
            <v>29141324.248961914</v>
          </cell>
          <cell r="AX403">
            <v>28064122.030723818</v>
          </cell>
          <cell r="AY403">
            <v>30290335.657057151</v>
          </cell>
        </row>
      </sheetData>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Andrea Savocchi" id="{6727AB73-B024-48BA-8B85-46808C03515B}" userId="S::a.savocchi@termomeccanicagroup.onmicrosoft.com::d82bbfa4-5053-4685-b2d3-70ed9185f6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42" dT="2026-04-07T10:59:26.78" personId="{6727AB73-B024-48BA-8B85-46808C03515B}" id="{235C5FF2-2A9B-4B5E-9CB2-5D19A09CE9A8}">
    <text>Tolto Stump Franki (4.300.000 PLN)</text>
  </threadedComment>
</ThreadedComments>
</file>

<file path=xl/threadedComments/threadedComment2.xml><?xml version="1.0" encoding="utf-8"?>
<ThreadedComments xmlns="http://schemas.microsoft.com/office/spreadsheetml/2018/threadedcomments" xmlns:x="http://schemas.openxmlformats.org/spreadsheetml/2006/main">
  <threadedComment ref="F65" dT="2026-04-09T06:49:04.40" personId="{6727AB73-B024-48BA-8B85-46808C03515B}" id="{794403A7-4461-415C-9ED0-165B03173307}">
    <text>Da considerare sempre in negoziazione</text>
  </threadedComment>
  <threadedComment ref="G65" dT="2026-04-09T06:49:04.40" personId="{6727AB73-B024-48BA-8B85-46808C03515B}" id="{9D255145-CD76-4F2A-8976-0BC3860F0A02}">
    <text>Da considerare sempre in negoziazione</text>
  </threadedComment>
  <threadedComment ref="H65" dT="2026-04-09T06:49:04.40" personId="{6727AB73-B024-48BA-8B85-46808C03515B}" id="{84FAF268-F1E7-4096-A017-7BBEAE931461}">
    <text>Da considerare sempre in negoziazione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5EB76-216A-48CD-9773-592D2399E4E6}">
  <sheetPr>
    <tabColor rgb="FFFF0000"/>
  </sheetPr>
  <dimension ref="A1:C10"/>
  <sheetViews>
    <sheetView tabSelected="1" workbookViewId="0">
      <selection activeCell="C23" sqref="C23"/>
    </sheetView>
  </sheetViews>
  <sheetFormatPr defaultRowHeight="14.25"/>
  <cols>
    <col min="1" max="1" width="30.06640625" bestFit="1" customWidth="1"/>
    <col min="2" max="2" width="20.3984375" customWidth="1"/>
    <col min="3" max="3" width="20.6640625" customWidth="1"/>
  </cols>
  <sheetData>
    <row r="1" spans="1:3">
      <c r="A1" s="980"/>
      <c r="B1" s="984" t="s">
        <v>755</v>
      </c>
      <c r="C1" s="984" t="s">
        <v>945</v>
      </c>
    </row>
    <row r="2" spans="1:3">
      <c r="A2" s="980" t="s">
        <v>1</v>
      </c>
      <c r="B2" s="981" cm="1">
        <f t="array" ref="B2">IFERROR(INDEX('JV RIEPILOGO'!$M:$M,MATCH($A2,'JV RIEPILOGO'!$B:$B,0)+1),"")</f>
        <v>24886974.004545454</v>
      </c>
      <c r="C2" s="981">
        <f>IFERROR(SUM(INDEX('JV RIEPILOGO'!$M:$M,MATCH($A2,'JV RIEPILOGO'!$B:$B,0)+2),INDEX('JV RIEPILOGO'!$M:$M,MATCH($A2,'JV RIEPILOGO'!$B:$B,0)+3)),"")</f>
        <v>20703026.008084893</v>
      </c>
    </row>
    <row r="3" spans="1:3">
      <c r="A3" s="980" t="s">
        <v>6</v>
      </c>
      <c r="B3" s="981" cm="1">
        <f t="array" ref="B3">IFERROR(INDEX('JV RIEPILOGO'!$M:$M,MATCH($A3,'JV RIEPILOGO'!$B:$B,0)+1),"")</f>
        <v>53496524.158552624</v>
      </c>
      <c r="C3" s="981">
        <f>IFERROR(SUM(INDEX('JV RIEPILOGO'!$M:$M,MATCH($A3,'JV RIEPILOGO'!$B:$B,0)+2),INDEX('JV RIEPILOGO'!$M:$M,MATCH($A3,'JV RIEPILOGO'!$B:$B,0)+3)),"")</f>
        <v>54613242.851400003</v>
      </c>
    </row>
    <row r="4" spans="1:3">
      <c r="A4" s="980" t="s">
        <v>7</v>
      </c>
      <c r="B4" s="981" cm="1">
        <f t="array" ref="B4">IFERROR(INDEX('JV RIEPILOGO'!$M:$M,MATCH($A4,'JV RIEPILOGO'!$B:$B,0)+1),"")</f>
        <v>36070000</v>
      </c>
      <c r="C4" s="981">
        <f>IFERROR(SUM(INDEX('JV RIEPILOGO'!$M:$M,MATCH($A4,'JV RIEPILOGO'!$B:$B,0)+2),INDEX('JV RIEPILOGO'!$M:$M,MATCH($A4,'JV RIEPILOGO'!$B:$B,0)+3)),"")</f>
        <v>22275340</v>
      </c>
    </row>
    <row r="5" spans="1:3">
      <c r="A5" s="980" t="s">
        <v>566</v>
      </c>
      <c r="B5" s="981" cm="1">
        <f t="array" ref="B5">IFERROR(INDEX('JV RIEPILOGO'!$M:$M,MATCH($A5,'JV RIEPILOGO'!$B:$B,0)+1),"")</f>
        <v>0</v>
      </c>
      <c r="C5" s="981">
        <f>IFERROR(SUM(INDEX('JV RIEPILOGO'!$M:$M,MATCH($A5,'JV RIEPILOGO'!$B:$B,0)+2),INDEX('JV RIEPILOGO'!$M:$M,MATCH($A5,'JV RIEPILOGO'!$B:$B,0)+3)),"")</f>
        <v>21293319.001499999</v>
      </c>
    </row>
    <row r="6" spans="1:3">
      <c r="A6" s="980" t="s">
        <v>567</v>
      </c>
      <c r="B6" s="981" cm="1">
        <f t="array" ref="B6">IFERROR(INDEX('JV RIEPILOGO'!$M:$M,MATCH($A6,'JV RIEPILOGO'!$B:$B,0)+1),"")</f>
        <v>153053763.05594572</v>
      </c>
      <c r="C6" s="981">
        <f>IFERROR(SUM(INDEX('JV RIEPILOGO'!$M:$M,MATCH($A6,'JV RIEPILOGO'!$B:$B,0)+2),INDEX('JV RIEPILOGO'!$M:$M,MATCH($A6,'JV RIEPILOGO'!$B:$B,0)+3)),"")</f>
        <v>105612882.94569997</v>
      </c>
    </row>
    <row r="7" spans="1:3">
      <c r="A7" s="980" t="s">
        <v>144</v>
      </c>
      <c r="B7" s="981" cm="1">
        <f t="array" ref="B7">IFERROR(INDEX('JV RIEPILOGO'!$M:$M,MATCH($A7,'JV RIEPILOGO'!$B:$B,0)+1),"")</f>
        <v>100000</v>
      </c>
      <c r="C7" s="981">
        <f>IFERROR(SUM(INDEX('JV RIEPILOGO'!$M:$M,MATCH($A7,'JV RIEPILOGO'!$B:$B,0)+2),INDEX('JV RIEPILOGO'!$M:$M,MATCH($A7,'JV RIEPILOGO'!$B:$B,0)+3)),"")</f>
        <v>8399999.9971000012</v>
      </c>
    </row>
    <row r="8" spans="1:3">
      <c r="A8" s="980" t="s">
        <v>568</v>
      </c>
      <c r="B8" s="981" cm="1">
        <f t="array" ref="B8">IFERROR(INDEX('JV RIEPILOGO'!$M:$M,MATCH($A8,'JV RIEPILOGO'!$B:$B,0)+1),"")</f>
        <v>723162.81</v>
      </c>
      <c r="C8" s="981">
        <f>IFERROR(SUM(INDEX('JV RIEPILOGO'!$M:$M,MATCH($A8,'JV RIEPILOGO'!$B:$B,0)+2),INDEX('JV RIEPILOGO'!$M:$M,MATCH($A8,'JV RIEPILOGO'!$B:$B,0)+3)),"")</f>
        <v>229618.19</v>
      </c>
    </row>
    <row r="9" spans="1:3">
      <c r="A9" s="982" t="s">
        <v>946</v>
      </c>
      <c r="B9" s="983">
        <f>SUM(B2:B8)</f>
        <v>268330424.02904379</v>
      </c>
      <c r="C9" s="983">
        <f>SUM(C2:C8)</f>
        <v>233127428.99378484</v>
      </c>
    </row>
    <row r="10" spans="1:3">
      <c r="B10" s="258">
        <f>B9/'JV RIEPILOGO'!$M$32</f>
        <v>0.53510065185244615</v>
      </c>
      <c r="C10" s="258">
        <f>C9/'JV RIEPILOGO'!$M$32</f>
        <v>0.46489934814755368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24372-BC2A-41E6-808A-A463273540CC}">
  <sheetPr>
    <tabColor rgb="FFFFFF00"/>
    <pageSetUpPr fitToPage="1"/>
  </sheetPr>
  <dimension ref="A1:AK67"/>
  <sheetViews>
    <sheetView topLeftCell="C10" zoomScale="115" zoomScaleNormal="115" workbookViewId="0">
      <selection activeCell="N30" sqref="N30"/>
    </sheetView>
  </sheetViews>
  <sheetFormatPr defaultColWidth="8.86328125" defaultRowHeight="13.05" customHeight="1"/>
  <cols>
    <col min="1" max="1" width="2.53125" style="1" customWidth="1"/>
    <col min="2" max="2" width="32" style="1" customWidth="1"/>
    <col min="3" max="3" width="15.796875" style="1" customWidth="1"/>
    <col min="4" max="4" width="4.796875" style="1" customWidth="1"/>
    <col min="5" max="5" width="15.796875" style="2" hidden="1" customWidth="1"/>
    <col min="6" max="6" width="6.796875" style="2" hidden="1" customWidth="1"/>
    <col min="7" max="7" width="13.86328125" style="2" hidden="1" customWidth="1"/>
    <col min="8" max="8" width="6.796875" style="656" hidden="1" customWidth="1"/>
    <col min="9" max="9" width="21" style="2" customWidth="1"/>
    <col min="10" max="10" width="5.796875" style="656" bestFit="1" customWidth="1"/>
    <col min="11" max="11" width="15.796875" style="2" customWidth="1"/>
    <col min="12" max="12" width="5.796875" style="656" customWidth="1"/>
    <col min="13" max="13" width="15.796875" style="2" customWidth="1"/>
    <col min="14" max="14" width="6.796875" style="656" customWidth="1"/>
    <col min="15" max="15" width="10.6640625" style="2" bestFit="1" customWidth="1"/>
    <col min="16" max="16" width="14.6640625" style="1" customWidth="1"/>
    <col min="17" max="17" width="26.33203125" style="1" bestFit="1" customWidth="1"/>
    <col min="18" max="18" width="11.33203125" style="1" bestFit="1" customWidth="1"/>
    <col min="19" max="19" width="13.796875" style="1" customWidth="1"/>
    <col min="20" max="20" width="6" style="1" bestFit="1" customWidth="1"/>
    <col min="21" max="21" width="13.6640625" style="1" customWidth="1"/>
    <col min="22" max="22" width="6" style="1" bestFit="1" customWidth="1"/>
    <col min="23" max="23" width="13.6640625" style="1" customWidth="1"/>
    <col min="24" max="24" width="6" style="1" customWidth="1"/>
    <col min="25" max="25" width="13.6640625" style="1" customWidth="1"/>
    <col min="26" max="33" width="6" style="1" customWidth="1"/>
    <col min="34" max="34" width="8.86328125" style="1"/>
    <col min="35" max="35" width="24.796875" style="1" bestFit="1" customWidth="1"/>
    <col min="36" max="36" width="9.33203125" style="1" bestFit="1" customWidth="1"/>
    <col min="37" max="37" width="11.33203125" style="1" bestFit="1" customWidth="1"/>
    <col min="38" max="16384" width="8.86328125" style="1"/>
  </cols>
  <sheetData>
    <row r="1" spans="1:37" ht="13.05" customHeight="1" thickBot="1">
      <c r="B1" s="972" t="s">
        <v>740</v>
      </c>
      <c r="C1" s="973"/>
      <c r="D1" s="973"/>
      <c r="E1" s="973"/>
      <c r="F1" s="973"/>
      <c r="G1" s="973"/>
      <c r="H1" s="973"/>
      <c r="I1" s="973"/>
      <c r="J1" s="973"/>
      <c r="K1" s="973"/>
      <c r="L1" s="973"/>
      <c r="M1" s="973"/>
      <c r="N1" s="974"/>
      <c r="O1" s="729"/>
    </row>
    <row r="2" spans="1:37" ht="13.05" customHeight="1" thickBot="1">
      <c r="E2" s="1"/>
      <c r="J2" s="660"/>
      <c r="L2" s="660"/>
      <c r="N2" s="660"/>
    </row>
    <row r="3" spans="1:37" ht="13.05" customHeight="1">
      <c r="C3" s="251" t="s">
        <v>145</v>
      </c>
      <c r="D3" s="3"/>
      <c r="E3" s="467" t="s">
        <v>569</v>
      </c>
      <c r="F3" s="4"/>
      <c r="G3" s="467" t="s">
        <v>823</v>
      </c>
      <c r="H3" s="657"/>
      <c r="I3" s="858" t="s">
        <v>822</v>
      </c>
      <c r="J3" s="660"/>
      <c r="K3" s="467" t="s">
        <v>741</v>
      </c>
      <c r="L3" s="660"/>
      <c r="M3" s="467" t="s">
        <v>875</v>
      </c>
      <c r="N3" s="660"/>
      <c r="O3" s="1"/>
      <c r="Q3" s="936" t="s">
        <v>755</v>
      </c>
      <c r="R3" s="932" t="s">
        <v>884</v>
      </c>
      <c r="S3" s="931">
        <v>46143</v>
      </c>
      <c r="T3" s="932"/>
      <c r="U3" s="931">
        <v>46174</v>
      </c>
      <c r="V3" s="930"/>
      <c r="W3" s="931">
        <v>46204</v>
      </c>
      <c r="X3" s="930"/>
      <c r="Y3" s="931">
        <v>46235</v>
      </c>
      <c r="Z3" s="930"/>
      <c r="AA3" s="978"/>
      <c r="AB3" s="978"/>
      <c r="AC3" s="978"/>
      <c r="AD3" s="978"/>
      <c r="AE3" s="978"/>
      <c r="AF3" s="978"/>
      <c r="AG3" s="978"/>
      <c r="AJ3" s="938">
        <v>46143</v>
      </c>
      <c r="AK3" s="938">
        <v>46174</v>
      </c>
    </row>
    <row r="4" spans="1:37" ht="13.05" customHeight="1">
      <c r="B4" s="5" t="s">
        <v>1</v>
      </c>
      <c r="C4" s="249">
        <f>'1_Design'!C4+'1_Design'!C30</f>
        <v>45590000</v>
      </c>
      <c r="E4" s="249">
        <f>SUM(E5:E7)</f>
        <v>45590000</v>
      </c>
      <c r="F4" s="612" t="str">
        <f>B4</f>
        <v>DESIGN</v>
      </c>
      <c r="G4" s="249">
        <f>SUM(G5:G7)</f>
        <v>45590000</v>
      </c>
      <c r="H4" s="658"/>
      <c r="I4" s="249">
        <f>SUM(I5:I7)</f>
        <v>45590000.012630343</v>
      </c>
      <c r="J4" s="660"/>
      <c r="K4" s="249">
        <f>'1_Design'!G4+'1_Design'!G30</f>
        <v>45590000.012202106</v>
      </c>
      <c r="L4" s="660"/>
      <c r="M4" s="249">
        <f>SUM(M5:M7)</f>
        <v>45590000.012630343</v>
      </c>
      <c r="N4" s="660"/>
      <c r="O4" s="1"/>
      <c r="Q4" s="937" t="str">
        <f>B4</f>
        <v>DESIGN</v>
      </c>
      <c r="R4" s="933">
        <f>M4</f>
        <v>45590000.012630343</v>
      </c>
      <c r="S4" s="933">
        <v>24397974</v>
      </c>
      <c r="T4" s="934">
        <f>S4/M4</f>
        <v>0.53516064911692773</v>
      </c>
      <c r="U4" s="933">
        <f>M5</f>
        <v>24886974.004545454</v>
      </c>
      <c r="V4" s="934">
        <f>U4/M4</f>
        <v>0.54588668562515286</v>
      </c>
      <c r="W4" s="933"/>
      <c r="X4" s="934"/>
      <c r="Y4" s="933"/>
      <c r="Z4" s="934"/>
      <c r="AA4" s="979"/>
      <c r="AB4" s="979"/>
      <c r="AC4" s="979"/>
      <c r="AD4" s="979"/>
      <c r="AE4" s="979"/>
      <c r="AF4" s="979"/>
      <c r="AG4" s="979"/>
      <c r="AI4" s="930" t="s">
        <v>944</v>
      </c>
      <c r="AJ4" s="933">
        <f>K34</f>
        <v>40036817.273699939</v>
      </c>
      <c r="AK4" s="939">
        <v>40357633</v>
      </c>
    </row>
    <row r="5" spans="1:37" ht="13.05" customHeight="1">
      <c r="B5" s="6" t="s">
        <v>2</v>
      </c>
      <c r="C5" s="250" t="s">
        <v>3</v>
      </c>
      <c r="E5" s="468">
        <v>21990000</v>
      </c>
      <c r="F5" s="612" t="str">
        <f t="shared" ref="F5:F32" si="0">B5</f>
        <v>Ordinato</v>
      </c>
      <c r="G5" s="250">
        <v>24270000</v>
      </c>
      <c r="H5" s="659">
        <v>0.85894759731496795</v>
      </c>
      <c r="I5" s="250">
        <f>'1_Design'!$M$6</f>
        <v>24886974.004545454</v>
      </c>
      <c r="J5" s="660"/>
      <c r="K5" s="250">
        <f>'1_Design'!G12+'1_Design'!G17+'1_Design'!G18+'1_Design'!G20+'1_Design'!G22+'1_Design'!G26+'1_Design'!G37</f>
        <v>24787974.004606728</v>
      </c>
      <c r="L5" s="660"/>
      <c r="M5" s="250">
        <f>'1_Design'!$M$6</f>
        <v>24886974.004545454</v>
      </c>
      <c r="N5" s="659">
        <f>M5/M4</f>
        <v>0.54588668562515286</v>
      </c>
      <c r="O5" s="620"/>
      <c r="P5" s="20"/>
      <c r="Q5" s="937" t="str">
        <f>B8</f>
        <v>CIVIL WORKS</v>
      </c>
      <c r="R5" s="933">
        <f>M8</f>
        <v>108109767.00995263</v>
      </c>
      <c r="S5" s="933">
        <v>33404101</v>
      </c>
      <c r="T5" s="934">
        <f>S5/M8</f>
        <v>0.3089831929517044</v>
      </c>
      <c r="U5" s="933">
        <f>M9</f>
        <v>53496524.158552624</v>
      </c>
      <c r="V5" s="934">
        <f>U5/M8</f>
        <v>0.49483525529777256</v>
      </c>
      <c r="W5" s="933"/>
      <c r="X5" s="934"/>
      <c r="Y5" s="933"/>
      <c r="Z5" s="934"/>
      <c r="AA5" s="979"/>
      <c r="AB5" s="979"/>
      <c r="AC5" s="979"/>
      <c r="AD5" s="979"/>
      <c r="AE5" s="979"/>
      <c r="AF5" s="979"/>
      <c r="AG5" s="979"/>
      <c r="AI5" s="930" t="s">
        <v>885</v>
      </c>
      <c r="AJ5" s="933">
        <f>K35</f>
        <v>22098535.149999999</v>
      </c>
      <c r="AK5" s="939">
        <v>22098535</v>
      </c>
    </row>
    <row r="6" spans="1:37" ht="13.05" customHeight="1">
      <c r="B6" s="6" t="s">
        <v>756</v>
      </c>
      <c r="C6" s="250" t="s">
        <v>3</v>
      </c>
      <c r="E6" s="468">
        <f>390000+17000000+150000</f>
        <v>17540000</v>
      </c>
      <c r="F6" s="612" t="str">
        <f t="shared" si="0"/>
        <v>In negoziazione + buffer</v>
      </c>
      <c r="G6" s="351">
        <v>17890000</v>
      </c>
      <c r="H6" s="659">
        <v>4.283539898729511E-2</v>
      </c>
      <c r="I6" s="250">
        <f>'1_Design'!$M$7</f>
        <v>17372026</v>
      </c>
      <c r="J6" s="660"/>
      <c r="K6" s="351">
        <f>'1_Design'!G16+'1_Design'!G21+'1_Design'!G25+'1_Design'!G36+'1_Design'!G65</f>
        <v>17372026</v>
      </c>
      <c r="L6" s="660"/>
      <c r="M6" s="351">
        <f>'1_Design'!$M$7</f>
        <v>17372026</v>
      </c>
      <c r="N6" s="660"/>
      <c r="O6" s="620"/>
      <c r="Q6" s="937" t="str">
        <f>B12</f>
        <v>ELECTRICAL WORKS</v>
      </c>
      <c r="R6" s="933">
        <f>M12</f>
        <v>58345340</v>
      </c>
      <c r="S6" s="933">
        <v>36070000</v>
      </c>
      <c r="T6" s="934">
        <f>S6/M12</f>
        <v>0.61821561070687048</v>
      </c>
      <c r="U6" s="933">
        <f>M13</f>
        <v>36070000</v>
      </c>
      <c r="V6" s="934">
        <f>U6/M12</f>
        <v>0.61821561070687048</v>
      </c>
      <c r="W6" s="933"/>
      <c r="X6" s="934"/>
      <c r="Y6" s="933"/>
      <c r="Z6" s="934"/>
      <c r="AA6" s="979"/>
      <c r="AB6" s="979"/>
      <c r="AC6" s="979"/>
      <c r="AD6" s="979"/>
      <c r="AE6" s="979"/>
      <c r="AF6" s="979"/>
      <c r="AG6" s="979"/>
      <c r="AI6" s="930" t="s">
        <v>12</v>
      </c>
      <c r="AJ6" s="933">
        <f>AJ5+AJ4+R11</f>
        <v>563593205.44652867</v>
      </c>
      <c r="AK6" s="939">
        <f>R11+AK4+AK5</f>
        <v>563914021.0228287</v>
      </c>
    </row>
    <row r="7" spans="1:37" ht="13.05" customHeight="1">
      <c r="B7" s="6" t="s">
        <v>4</v>
      </c>
      <c r="C7" s="250">
        <f>C4</f>
        <v>45590000</v>
      </c>
      <c r="E7" s="353">
        <v>6060000</v>
      </c>
      <c r="F7" s="612" t="str">
        <f t="shared" si="0"/>
        <v>Da ordinare</v>
      </c>
      <c r="G7" s="353">
        <v>3430000</v>
      </c>
      <c r="H7" s="659">
        <v>9.088932376722185E-2</v>
      </c>
      <c r="I7" s="353">
        <f>'1_Design'!$M$8</f>
        <v>3331000.0080848937</v>
      </c>
      <c r="J7" s="660"/>
      <c r="K7" s="353">
        <f>'1_Design'!G19+'1_Design'!G23+'1_Design'!G24+'1_Design'!G32+'1_Design'!G41+'1_Design'!G45+'1_Design'!G49+'1_Design'!G53+'1_Design'!G57+'1_Design'!G61</f>
        <v>3430000.0075953836</v>
      </c>
      <c r="L7" s="660"/>
      <c r="M7" s="353">
        <f>'1_Design'!$M$8</f>
        <v>3331000.0080848937</v>
      </c>
      <c r="N7" s="660"/>
      <c r="O7" s="620"/>
      <c r="Q7" s="937" t="str">
        <f>B16</f>
        <v>SANITARY WORKS AND FF</v>
      </c>
      <c r="R7" s="933">
        <f>M16</f>
        <v>21293319.001499999</v>
      </c>
      <c r="S7" s="933">
        <v>0</v>
      </c>
      <c r="T7" s="934">
        <f>S7/M16</f>
        <v>0</v>
      </c>
      <c r="U7" s="933">
        <f>M17</f>
        <v>0</v>
      </c>
      <c r="V7" s="934">
        <f>U7/M16</f>
        <v>0</v>
      </c>
      <c r="W7" s="933"/>
      <c r="X7" s="934"/>
      <c r="Y7" s="933"/>
      <c r="Z7" s="934"/>
      <c r="AA7" s="979"/>
      <c r="AB7" s="979"/>
      <c r="AC7" s="979"/>
      <c r="AD7" s="979"/>
      <c r="AE7" s="979"/>
      <c r="AF7" s="979"/>
      <c r="AG7" s="979"/>
    </row>
    <row r="8" spans="1:37" ht="13.05" customHeight="1">
      <c r="A8" s="7"/>
      <c r="B8" s="5" t="s">
        <v>6</v>
      </c>
      <c r="C8" s="249">
        <f>'2_Civil Work'!C3</f>
        <v>112409767</v>
      </c>
      <c r="D8" s="7"/>
      <c r="E8" s="249">
        <f>SUM(E9:E11)</f>
        <v>112400766.993</v>
      </c>
      <c r="F8" s="612" t="str">
        <f t="shared" si="0"/>
        <v>CIVIL WORKS</v>
      </c>
      <c r="G8" s="249">
        <f>SUM(G9:G11)</f>
        <v>108109767</v>
      </c>
      <c r="H8" s="658"/>
      <c r="I8" s="249">
        <f>SUM(I9:I11)</f>
        <v>108109767.00995263</v>
      </c>
      <c r="J8" s="660"/>
      <c r="K8" s="249">
        <f>'2_Civil Work'!G3</f>
        <v>108109767.00781876</v>
      </c>
      <c r="L8" s="660"/>
      <c r="M8" s="249">
        <f>SUM(M9:M11)</f>
        <v>108109767.00995263</v>
      </c>
      <c r="N8" s="660"/>
      <c r="O8" s="20"/>
      <c r="Q8" s="937" t="str">
        <f>B20</f>
        <v>MECHANICAL AND TECHNOLOGICAL</v>
      </c>
      <c r="R8" s="933">
        <f>M20</f>
        <v>258666646.00164568</v>
      </c>
      <c r="S8" s="933">
        <v>131227829</v>
      </c>
      <c r="T8" s="934">
        <f>S8/M20</f>
        <v>0.50732412171596764</v>
      </c>
      <c r="U8" s="933">
        <f>M21</f>
        <v>153053763.05594572</v>
      </c>
      <c r="V8" s="934">
        <f>U8/M20</f>
        <v>0.59170273949804864</v>
      </c>
      <c r="W8" s="933"/>
      <c r="X8" s="934"/>
      <c r="Y8" s="933"/>
      <c r="Z8" s="934"/>
      <c r="AA8" s="979"/>
      <c r="AB8" s="979"/>
      <c r="AC8" s="979"/>
      <c r="AD8" s="979"/>
      <c r="AE8" s="979"/>
      <c r="AF8" s="979"/>
      <c r="AG8" s="979"/>
      <c r="AI8" s="930" t="s">
        <v>886</v>
      </c>
      <c r="AJ8" s="933">
        <f>K42</f>
        <v>627086000</v>
      </c>
      <c r="AK8" s="939">
        <v>627086000</v>
      </c>
    </row>
    <row r="9" spans="1:37" ht="13.05" customHeight="1">
      <c r="A9" s="7"/>
      <c r="B9" s="6" t="s">
        <v>2</v>
      </c>
      <c r="C9" s="250" t="s">
        <v>3</v>
      </c>
      <c r="D9" s="7"/>
      <c r="E9" s="250">
        <v>9610714</v>
      </c>
      <c r="F9" s="612" t="str">
        <f t="shared" si="0"/>
        <v>Ordinato</v>
      </c>
      <c r="G9" s="250">
        <v>25047291</v>
      </c>
      <c r="H9" s="658"/>
      <c r="I9" s="250">
        <f>'2_Civil Work'!$M$5</f>
        <v>53496524.158552624</v>
      </c>
      <c r="J9" s="660"/>
      <c r="K9" s="250">
        <f>'2_Civil Work'!G15+'2_Civil Work'!G20+'2_Civil Work'!G21+'2_Civil Work'!G22+'2_Civil Work'!G27+'2_Civil Work'!G34+'2_Civil Work'!G35+'2_Civil Work'!G36+'2_Civil Work'!G44+'2_Civil Work'!G47+'2_Civil Work'!G49+'2_Civil Work'!G50+'2_Civil Work'!G54+'2_Civil Work'!G57+'2_Civil Work'!G59+'2_Civil Work'!G60+'2_Civil Work'!G61+'2_Civil Work'!G69+'2_Civil Work'!G70+'2_Civil Work'!G72+'2_Civil Work'!G75+'2_Civil Work'!G121+'2_Civil Work'!G123+'2_Civil Work'!G149+'2_Civil Work'!G150</f>
        <v>53701520.156418771</v>
      </c>
      <c r="L9" s="660"/>
      <c r="M9" s="250">
        <f>'2_Civil Work'!$M$5</f>
        <v>53496524.158552624</v>
      </c>
      <c r="N9" s="659">
        <f>M9/M8</f>
        <v>0.49483525529777256</v>
      </c>
      <c r="O9" s="1"/>
      <c r="Q9" s="937" t="str">
        <f>B24</f>
        <v>COMMISSIONING</v>
      </c>
      <c r="R9" s="933">
        <f>M24</f>
        <v>8499999.9971000012</v>
      </c>
      <c r="S9" s="933">
        <v>100000</v>
      </c>
      <c r="T9" s="934">
        <f>S9/M24</f>
        <v>1.1764705886366781E-2</v>
      </c>
      <c r="U9" s="933">
        <f>M25</f>
        <v>100000</v>
      </c>
      <c r="V9" s="934">
        <f>U9/M24</f>
        <v>1.1764705886366781E-2</v>
      </c>
      <c r="W9" s="933"/>
      <c r="X9" s="934"/>
      <c r="Y9" s="933"/>
      <c r="Z9" s="934"/>
      <c r="AA9" s="979"/>
      <c r="AB9" s="979"/>
      <c r="AC9" s="979"/>
      <c r="AD9" s="979"/>
      <c r="AE9" s="979"/>
      <c r="AF9" s="979"/>
      <c r="AG9" s="979"/>
      <c r="AI9" s="930" t="s">
        <v>247</v>
      </c>
      <c r="AJ9" s="933">
        <f>AJ8-AJ6</f>
        <v>63492794.553471327</v>
      </c>
      <c r="AK9" s="933">
        <f>AK8-AK6</f>
        <v>63171978.977171302</v>
      </c>
    </row>
    <row r="10" spans="1:37" ht="13.05" customHeight="1">
      <c r="A10" s="7"/>
      <c r="B10" s="6" t="s">
        <v>756</v>
      </c>
      <c r="C10" s="250" t="s">
        <v>3</v>
      </c>
      <c r="D10" s="7"/>
      <c r="E10" s="250">
        <f>18700000+15345674</f>
        <v>34045674</v>
      </c>
      <c r="F10" s="612" t="str">
        <f t="shared" si="0"/>
        <v>In negoziazione + buffer</v>
      </c>
      <c r="G10" s="351">
        <v>20510200</v>
      </c>
      <c r="H10" s="658"/>
      <c r="I10" s="250">
        <f>'2_Civil Work'!$M$6</f>
        <v>16378806.852000002</v>
      </c>
      <c r="J10" s="660"/>
      <c r="K10" s="351">
        <f>'2_Civil Work'!G12+'2_Civil Work'!G33+'2_Civil Work'!G42+'2_Civil Work'!G43+'2_Civil Work'!G46+'2_Civil Work'!G48+'2_Civil Work'!G53+'2_Civil Work'!G56+'2_Civil Work'!G68+'2_Civil Work'!G71+'2_Civil Work'!G74+'2_Civil Work'!G120+'2_Civil Work'!G122+'2_Civil Work'!G148</f>
        <v>16091827.852000002</v>
      </c>
      <c r="L10" s="660"/>
      <c r="M10" s="351">
        <f>'2_Civil Work'!$M$6</f>
        <v>16378806.852000002</v>
      </c>
      <c r="N10" s="660"/>
      <c r="O10" s="1"/>
      <c r="Q10" s="937" t="str">
        <f>B28</f>
        <v>ALIGNEMENT AND BACKUP</v>
      </c>
      <c r="R10" s="933">
        <f>M28</f>
        <v>952781</v>
      </c>
      <c r="S10" s="933">
        <f>K29</f>
        <v>723162.81</v>
      </c>
      <c r="T10" s="934">
        <f>S10/M28</f>
        <v>0.75900213165459851</v>
      </c>
      <c r="U10" s="933">
        <f>M29</f>
        <v>723162.81</v>
      </c>
      <c r="V10" s="934">
        <f>U10/M28</f>
        <v>0.75900213165459851</v>
      </c>
      <c r="W10" s="933"/>
      <c r="X10" s="934"/>
      <c r="Y10" s="933"/>
      <c r="Z10" s="934"/>
      <c r="AA10" s="979"/>
      <c r="AB10" s="979"/>
      <c r="AC10" s="979"/>
      <c r="AD10" s="979"/>
      <c r="AE10" s="979"/>
      <c r="AF10" s="979"/>
      <c r="AG10" s="979"/>
      <c r="AJ10" s="940">
        <f>AJ9/AJ6</f>
        <v>0.11265713273311499</v>
      </c>
      <c r="AK10" s="940">
        <f>AK9/AK6</f>
        <v>0.11202413244237092</v>
      </c>
    </row>
    <row r="11" spans="1:37" ht="13.05" customHeight="1">
      <c r="A11" s="7"/>
      <c r="B11" s="6" t="s">
        <v>4</v>
      </c>
      <c r="C11" s="250">
        <f>C8</f>
        <v>112409767</v>
      </c>
      <c r="D11" s="7"/>
      <c r="E11" s="352">
        <v>68744378.993000001</v>
      </c>
      <c r="F11" s="612" t="str">
        <f t="shared" si="0"/>
        <v>Da ordinare</v>
      </c>
      <c r="G11" s="352">
        <v>62552276</v>
      </c>
      <c r="H11" s="658"/>
      <c r="I11" s="352">
        <f>'2_Civil Work'!$M$7</f>
        <v>38234435.999399997</v>
      </c>
      <c r="J11" s="660"/>
      <c r="K11" s="352">
        <f>'2_Civil Work'!G26+'2_Civil Work'!G32+'2_Civil Work'!G55+'2_Civil Work'!G62+'2_Civil Work'!G63+'2_Civil Work'!G73+'2_Civil Work'!G79+'2_Civil Work'!G84+'2_Civil Work'!G85+'2_Civil Work'!G86+'2_Civil Work'!G87+'2_Civil Work'!G88+'2_Civil Work'!G89+'2_Civil Work'!G90+'2_Civil Work'!G91+'2_Civil Work'!G92+'2_Civil Work'!G93+'2_Civil Work'!G94+'2_Civil Work'!G95+'2_Civil Work'!G96+'2_Civil Work'!G101+'2_Civil Work'!G102+'2_Civil Work'!G103+'2_Civil Work'!G104+'2_Civil Work'!G105+'2_Civil Work'!G106+'2_Civil Work'!G110+'2_Civil Work'!G115+'2_Civil Work'!G116+'2_Civil Work'!G117+'2_Civil Work'!G118+'2_Civil Work'!G119+'2_Civil Work'!G124+'2_Civil Work'!G125+'2_Civil Work'!G126+'2_Civil Work'!G127+'2_Civil Work'!G128+'2_Civil Work'!G129+'2_Civil Work'!G130+'2_Civil Work'!G131+'2_Civil Work'!G132+'2_Civil Work'!G137+'2_Civil Work'!G138+'2_Civil Work'!G142+'2_Civil Work'!G147+'2_Civil Work'!G151+'2_Civil Work'!G155+'2_Civil Work'!G160+'2_Civil Work'!G161</f>
        <v>38316418.999399997</v>
      </c>
      <c r="L11" s="660"/>
      <c r="M11" s="352">
        <f>'2_Civil Work'!$M$7</f>
        <v>38234435.999399997</v>
      </c>
      <c r="N11" s="660"/>
      <c r="O11" s="1"/>
      <c r="R11" s="935">
        <f>SUM(R4:R10)</f>
        <v>501457853.0228287</v>
      </c>
      <c r="S11" s="935">
        <f>SUM(S4:S10)</f>
        <v>225923066.81</v>
      </c>
      <c r="T11" s="934">
        <f>S11/M32</f>
        <v>0.45053251324735943</v>
      </c>
      <c r="U11" s="935">
        <f>SUM(U4:U10)</f>
        <v>268330424.02904379</v>
      </c>
      <c r="V11" s="934">
        <f>U11/M32</f>
        <v>0.53510065185244615</v>
      </c>
      <c r="W11" s="935"/>
      <c r="X11" s="934"/>
      <c r="Y11" s="935"/>
      <c r="Z11" s="934"/>
      <c r="AA11" s="979"/>
      <c r="AB11" s="979"/>
      <c r="AC11" s="979"/>
      <c r="AD11" s="979"/>
      <c r="AE11" s="979"/>
      <c r="AF11" s="979"/>
      <c r="AG11" s="979"/>
    </row>
    <row r="12" spans="1:37" ht="13.05" customHeight="1">
      <c r="B12" s="8" t="s">
        <v>7</v>
      </c>
      <c r="C12" s="249">
        <f>'3_Electrical Works'!C3</f>
        <v>58345340</v>
      </c>
      <c r="E12" s="249">
        <f>SUM(E13:E15)</f>
        <v>58345340</v>
      </c>
      <c r="F12" s="612" t="str">
        <f t="shared" si="0"/>
        <v>ELECTRICAL WORKS</v>
      </c>
      <c r="G12" s="249">
        <f>SUM(G13:G15)</f>
        <v>58327340</v>
      </c>
      <c r="H12" s="658"/>
      <c r="I12" s="249">
        <f>SUM(I13:I15)</f>
        <v>58345340</v>
      </c>
      <c r="J12" s="660"/>
      <c r="K12" s="249">
        <f>'3_Electrical Works'!G3</f>
        <v>58345340</v>
      </c>
      <c r="L12" s="660"/>
      <c r="M12" s="249">
        <f>SUM(M13:M15)</f>
        <v>58345340</v>
      </c>
      <c r="N12" s="659"/>
      <c r="O12" s="1"/>
      <c r="R12" s="20"/>
    </row>
    <row r="13" spans="1:37" ht="13.05" customHeight="1">
      <c r="B13" s="6" t="s">
        <v>2</v>
      </c>
      <c r="C13" s="250" t="s">
        <v>3</v>
      </c>
      <c r="E13" s="468">
        <v>0</v>
      </c>
      <c r="F13" s="612" t="str">
        <f t="shared" si="0"/>
        <v>Ordinato</v>
      </c>
      <c r="G13" s="468">
        <v>38068200</v>
      </c>
      <c r="H13" s="658"/>
      <c r="I13" s="468">
        <f>'3_Electrical Works'!$M$5</f>
        <v>36070000</v>
      </c>
      <c r="J13" s="660"/>
      <c r="K13" s="468">
        <f>'3_Electrical Works'!G13+'3_Electrical Works'!G22+'3_Electrical Works'!G32</f>
        <v>36070000</v>
      </c>
      <c r="L13" s="660"/>
      <c r="M13" s="468">
        <f>'3_Electrical Works'!$M$5</f>
        <v>36070000</v>
      </c>
      <c r="N13" s="659">
        <f>M13/M12</f>
        <v>0.61821561070687048</v>
      </c>
      <c r="O13" s="1"/>
      <c r="S13" s="20"/>
    </row>
    <row r="14" spans="1:37" ht="13.05" customHeight="1">
      <c r="B14" s="6" t="s">
        <v>756</v>
      </c>
      <c r="C14" s="250" t="s">
        <v>3</v>
      </c>
      <c r="E14" s="250">
        <v>37400000</v>
      </c>
      <c r="F14" s="612" t="str">
        <f t="shared" si="0"/>
        <v>In negoziazione + buffer</v>
      </c>
      <c r="G14" s="351">
        <v>0</v>
      </c>
      <c r="H14" s="658"/>
      <c r="I14" s="468">
        <f>'3_Electrical Works'!$M$6</f>
        <v>2016200</v>
      </c>
      <c r="J14" s="660"/>
      <c r="K14" s="351">
        <f>+'3_Electrical Works'!G12+'3_Electrical Works'!G31</f>
        <v>2016200</v>
      </c>
      <c r="L14" s="660"/>
      <c r="M14" s="351">
        <f>'3_Electrical Works'!$M$6</f>
        <v>2016200</v>
      </c>
      <c r="N14" s="660"/>
      <c r="O14" s="1"/>
    </row>
    <row r="15" spans="1:37" ht="13.05" customHeight="1">
      <c r="B15" s="6" t="s">
        <v>4</v>
      </c>
      <c r="C15" s="250">
        <f>C12</f>
        <v>58345340</v>
      </c>
      <c r="E15" s="352">
        <v>20945340</v>
      </c>
      <c r="F15" s="612" t="str">
        <f t="shared" si="0"/>
        <v>Da ordinare</v>
      </c>
      <c r="G15" s="352">
        <v>20259140</v>
      </c>
      <c r="H15" s="658"/>
      <c r="I15" s="352">
        <f>'3_Electrical Works'!$M$7</f>
        <v>20259140</v>
      </c>
      <c r="J15" s="660"/>
      <c r="K15" s="352">
        <f>+'3_Electrical Works'!G14+'3_Electrical Works'!G15+'3_Electrical Works'!G16+'3_Electrical Works'!G17+'3_Electrical Works'!G26+'3_Electrical Works'!G33+'3_Electrical Works'!G34</f>
        <v>20259140</v>
      </c>
      <c r="L15" s="660"/>
      <c r="M15" s="352">
        <f>'3_Electrical Works'!$M$7</f>
        <v>20259140</v>
      </c>
      <c r="N15" s="660"/>
      <c r="O15" s="1"/>
    </row>
    <row r="16" spans="1:37" ht="13.05" customHeight="1">
      <c r="B16" s="8" t="s">
        <v>566</v>
      </c>
      <c r="C16" s="249">
        <f>'4_Sanitary works and FF'!C3</f>
        <v>21293319</v>
      </c>
      <c r="E16" s="249">
        <v>21293319</v>
      </c>
      <c r="F16" s="612" t="str">
        <f t="shared" si="0"/>
        <v>SANITARY WORKS AND FF</v>
      </c>
      <c r="G16" s="249">
        <f>SUM(G17:G19)</f>
        <v>21293319</v>
      </c>
      <c r="H16" s="658"/>
      <c r="I16" s="249">
        <f>SUM(I17:I19)</f>
        <v>21293319.001499999</v>
      </c>
      <c r="J16" s="660"/>
      <c r="K16" s="249">
        <v>21293319.001499999</v>
      </c>
      <c r="L16" s="660"/>
      <c r="M16" s="249">
        <f>SUM(M17:M19)</f>
        <v>21293319.001499999</v>
      </c>
      <c r="N16" s="660"/>
      <c r="O16" s="1"/>
    </row>
    <row r="17" spans="2:17" ht="13.05" customHeight="1">
      <c r="B17" s="6" t="s">
        <v>2</v>
      </c>
      <c r="C17" s="250" t="s">
        <v>3</v>
      </c>
      <c r="E17" s="250">
        <v>0</v>
      </c>
      <c r="F17" s="612" t="str">
        <f t="shared" si="0"/>
        <v>Ordinato</v>
      </c>
      <c r="G17" s="468">
        <v>0</v>
      </c>
      <c r="H17" s="658"/>
      <c r="I17" s="468">
        <f>'4_Sanitary works and FF'!$M$6</f>
        <v>0</v>
      </c>
      <c r="J17" s="660"/>
      <c r="K17" s="468">
        <v>0</v>
      </c>
      <c r="L17" s="660"/>
      <c r="M17" s="468">
        <f>'4_Sanitary works and FF'!$M$6</f>
        <v>0</v>
      </c>
      <c r="N17" s="659">
        <f>M17/M16</f>
        <v>0</v>
      </c>
      <c r="O17" s="1"/>
    </row>
    <row r="18" spans="2:17" ht="13.05" customHeight="1">
      <c r="B18" s="6" t="s">
        <v>756</v>
      </c>
      <c r="C18" s="250" t="s">
        <v>3</v>
      </c>
      <c r="E18" s="250">
        <v>0</v>
      </c>
      <c r="F18" s="612" t="str">
        <f t="shared" si="0"/>
        <v>In negoziazione + buffer</v>
      </c>
      <c r="G18" s="351">
        <v>0</v>
      </c>
      <c r="H18" s="658"/>
      <c r="I18" s="468">
        <f>'4_Sanitary works and FF'!$M$7</f>
        <v>0</v>
      </c>
      <c r="J18" s="660"/>
      <c r="K18" s="351">
        <v>0</v>
      </c>
      <c r="L18" s="660"/>
      <c r="M18" s="351">
        <f>'4_Sanitary works and FF'!$M$7</f>
        <v>0</v>
      </c>
      <c r="N18" s="660"/>
      <c r="O18" s="1"/>
    </row>
    <row r="19" spans="2:17" ht="13.05" customHeight="1">
      <c r="B19" s="6" t="s">
        <v>4</v>
      </c>
      <c r="C19" s="250">
        <f>C16</f>
        <v>21293319</v>
      </c>
      <c r="E19" s="352">
        <v>21293319</v>
      </c>
      <c r="F19" s="612" t="str">
        <f t="shared" si="0"/>
        <v>Da ordinare</v>
      </c>
      <c r="G19" s="352">
        <v>21293319</v>
      </c>
      <c r="H19" s="658"/>
      <c r="I19" s="352">
        <f>'4_Sanitary works and FF'!$M$8</f>
        <v>21293319.001499999</v>
      </c>
      <c r="J19" s="660"/>
      <c r="K19" s="352">
        <v>21293319.001499999</v>
      </c>
      <c r="L19" s="660"/>
      <c r="M19" s="352">
        <f>'4_Sanitary works and FF'!$M$8</f>
        <v>21293319.001499999</v>
      </c>
      <c r="N19" s="660"/>
      <c r="O19" s="1"/>
    </row>
    <row r="20" spans="2:17" ht="13.05" customHeight="1">
      <c r="B20" s="8" t="s">
        <v>567</v>
      </c>
      <c r="C20" s="249">
        <f>'5_Mechanical and technological'!C3</f>
        <v>258666646</v>
      </c>
      <c r="E20" s="249">
        <f>SUM(E21:E23)</f>
        <v>258666645.99767777</v>
      </c>
      <c r="F20" s="612" t="str">
        <f t="shared" si="0"/>
        <v>MECHANICAL AND TECHNOLOGICAL</v>
      </c>
      <c r="G20" s="249">
        <f>SUM(G21:G23)</f>
        <v>258666646</v>
      </c>
      <c r="H20" s="658"/>
      <c r="I20" s="249">
        <f>SUM(I21:I23)</f>
        <v>258666646.00164568</v>
      </c>
      <c r="J20" s="660"/>
      <c r="K20" s="249">
        <v>258666646.00164568</v>
      </c>
      <c r="L20" s="660"/>
      <c r="M20" s="249">
        <f>SUM(M21:M23)</f>
        <v>258666646.00164568</v>
      </c>
      <c r="N20" s="660"/>
      <c r="O20" s="1"/>
    </row>
    <row r="21" spans="2:17" ht="13.05" customHeight="1">
      <c r="B21" s="6" t="s">
        <v>2</v>
      </c>
      <c r="C21" s="250" t="s">
        <v>3</v>
      </c>
      <c r="E21" s="250">
        <v>67509999.99777779</v>
      </c>
      <c r="F21" s="612" t="str">
        <f t="shared" si="0"/>
        <v>Ordinato</v>
      </c>
      <c r="G21" s="250">
        <v>67810000</v>
      </c>
      <c r="H21" s="658"/>
      <c r="I21" s="250">
        <f>'5_Mechanical and technological'!$M$5</f>
        <v>153053763.05594572</v>
      </c>
      <c r="J21" s="660"/>
      <c r="K21" s="250">
        <f>'5_Mechanical and technological'!G17+'5_Mechanical and technological'!G23+'5_Mechanical and technological'!G36+'5_Mechanical and technological'!G41+'5_Mechanical and technological'!G59+'5_Mechanical and technological'!G80+'5_Mechanical and technological'!G103+'5_Mechanical and technological'!G127</f>
        <v>131227829.05238248</v>
      </c>
      <c r="L21" s="660"/>
      <c r="M21" s="250">
        <f>'5_Mechanical and technological'!$M$5</f>
        <v>153053763.05594572</v>
      </c>
      <c r="N21" s="659">
        <f>M21/M20</f>
        <v>0.59170273949804864</v>
      </c>
      <c r="O21" s="1"/>
    </row>
    <row r="22" spans="2:17" ht="13.05" customHeight="1">
      <c r="B22" s="6" t="s">
        <v>756</v>
      </c>
      <c r="C22" s="250" t="s">
        <v>3</v>
      </c>
      <c r="E22" s="250">
        <f>700000+300000</f>
        <v>1000000</v>
      </c>
      <c r="F22" s="612" t="str">
        <f t="shared" si="0"/>
        <v>In negoziazione + buffer</v>
      </c>
      <c r="G22" s="351">
        <v>85700000</v>
      </c>
      <c r="H22" s="658"/>
      <c r="I22" s="250">
        <f>'5_Mechanical and technological'!$M$6</f>
        <v>6615897.9500000002</v>
      </c>
      <c r="J22" s="660"/>
      <c r="K22" s="351">
        <f>'5_Mechanical and technological'!G35+'5_Mechanical and technological'!G79+'5_Mechanical and technological'!G102+'5_Mechanical and technological'!G126</f>
        <v>9211113.9499999993</v>
      </c>
      <c r="L22" s="660"/>
      <c r="M22" s="351">
        <f>'5_Mechanical and technological'!$M$6</f>
        <v>6615897.9500000002</v>
      </c>
      <c r="N22" s="660"/>
      <c r="O22" s="1"/>
    </row>
    <row r="23" spans="2:17" ht="13.05" customHeight="1">
      <c r="B23" s="6" t="s">
        <v>4</v>
      </c>
      <c r="C23" s="250">
        <f>C20</f>
        <v>258666646</v>
      </c>
      <c r="E23" s="352">
        <v>190156645.99989998</v>
      </c>
      <c r="F23" s="612" t="str">
        <f t="shared" si="0"/>
        <v>Da ordinare</v>
      </c>
      <c r="G23" s="352">
        <v>105156646</v>
      </c>
      <c r="H23" s="658"/>
      <c r="I23" s="352">
        <f>'5_Mechanical and technological'!$M$7</f>
        <v>98996984.995699972</v>
      </c>
      <c r="J23" s="660"/>
      <c r="K23" s="352">
        <f>+'5_Mechanical and technological'!G12+'5_Mechanical and technological'!G18+'5_Mechanical and technological'!G24+'5_Mechanical and technological'!G25+'5_Mechanical and technological'!G26+'5_Mechanical and technological'!G27+'5_Mechanical and technological'!G28+'5_Mechanical and technological'!G29+'5_Mechanical and technological'!G30+'5_Mechanical and technological'!G42+'5_Mechanical and technological'!G43+'5_Mechanical and technological'!G44+'5_Mechanical and technological'!G45+'5_Mechanical and technological'!G49+'5_Mechanical and technological'!G53+'5_Mechanical and technological'!G58+'5_Mechanical and technological'!G60+'5_Mechanical and technological'!G61+'5_Mechanical and technological'!G66+'5_Mechanical and technological'!G67+'5_Mechanical and technological'!G68+'5_Mechanical and technological'!G72+'5_Mechanical and technological'!G77+'5_Mechanical and technological'!G78+'5_Mechanical and technological'!G81+'5_Mechanical and technological'!G82+'5_Mechanical and technological'!G83+'5_Mechanical and technological'!G84+'5_Mechanical and technological'!G85+'5_Mechanical and technological'!G86+'5_Mechanical and technological'!G87+'5_Mechanical and technological'!G88+'5_Mechanical and technological'!G89+'5_Mechanical and technological'!G90+'5_Mechanical and technological'!G91+'5_Mechanical and technological'!G92+'5_Mechanical and technological'!G94+'5_Mechanical and technological'!G95+'5_Mechanical and technological'!G96+'5_Mechanical and technological'!G97+'5_Mechanical and technological'!G98+'5_Mechanical and technological'!G107+'5_Mechanical and technological'!G112+'5_Mechanical and technological'!G113+'5_Mechanical and technological'!G114+'5_Mechanical and technological'!G115+'5_Mechanical and technological'!G116+'5_Mechanical and technological'!G117+'5_Mechanical and technological'!G118+'5_Mechanical and technological'!G119+'5_Mechanical and technological'!G120+'5_Mechanical and technological'!G121+'5_Mechanical and technological'!G128+'5_Mechanical and technological'!G129+'5_Mechanical and technological'!G130</f>
        <v>118227702.99469998</v>
      </c>
      <c r="L23" s="660"/>
      <c r="M23" s="352">
        <f>'5_Mechanical and technological'!$M$7</f>
        <v>98996984.995699972</v>
      </c>
      <c r="N23" s="660"/>
      <c r="O23" s="20"/>
    </row>
    <row r="24" spans="2:17" ht="13.05" customHeight="1">
      <c r="B24" s="8" t="s">
        <v>144</v>
      </c>
      <c r="C24" s="249">
        <f>'6_ Commissioning'!C3</f>
        <v>8500000</v>
      </c>
      <c r="E24" s="249">
        <f>SUM(E25:E27)</f>
        <v>8500000</v>
      </c>
      <c r="F24" s="612" t="str">
        <f t="shared" si="0"/>
        <v>COMMISSIONING</v>
      </c>
      <c r="G24" s="249">
        <f>SUM(G25:G27)</f>
        <v>8500000</v>
      </c>
      <c r="H24" s="658"/>
      <c r="I24" s="249">
        <f>SUM(I25:I27)</f>
        <v>8499999.9971000012</v>
      </c>
      <c r="J24" s="660"/>
      <c r="K24" s="249">
        <f>+'6_ Commissioning'!G3</f>
        <v>8499999.9970999993</v>
      </c>
      <c r="L24" s="660"/>
      <c r="M24" s="249">
        <f>SUM(M25:M27)</f>
        <v>8499999.9971000012</v>
      </c>
      <c r="N24" s="660"/>
      <c r="O24" s="1"/>
    </row>
    <row r="25" spans="2:17" ht="13.05" customHeight="1">
      <c r="B25" s="6" t="s">
        <v>2</v>
      </c>
      <c r="C25" s="250" t="s">
        <v>3</v>
      </c>
      <c r="E25" s="250">
        <v>0</v>
      </c>
      <c r="F25" s="612" t="str">
        <f t="shared" si="0"/>
        <v>Ordinato</v>
      </c>
      <c r="G25" s="468">
        <v>500000</v>
      </c>
      <c r="H25" s="658"/>
      <c r="I25" s="468">
        <f>'6_ Commissioning'!$M$5</f>
        <v>100000</v>
      </c>
      <c r="J25" s="660"/>
      <c r="K25" s="468">
        <f>+'6_ Commissioning'!G35</f>
        <v>100000</v>
      </c>
      <c r="L25" s="660"/>
      <c r="M25" s="468">
        <f>'6_ Commissioning'!$M$5</f>
        <v>100000</v>
      </c>
      <c r="N25" s="659">
        <f>M25/M24</f>
        <v>1.1764705886366781E-2</v>
      </c>
      <c r="O25" s="1"/>
    </row>
    <row r="26" spans="2:17" ht="13.05" customHeight="1">
      <c r="B26" s="6" t="s">
        <v>756</v>
      </c>
      <c r="C26" s="250" t="s">
        <v>3</v>
      </c>
      <c r="E26" s="250">
        <v>0</v>
      </c>
      <c r="F26" s="612" t="str">
        <f t="shared" si="0"/>
        <v>In negoziazione + buffer</v>
      </c>
      <c r="G26" s="351">
        <v>0</v>
      </c>
      <c r="H26" s="658"/>
      <c r="I26" s="468">
        <f>'6_ Commissioning'!$M$6</f>
        <v>399999.99840000004</v>
      </c>
      <c r="J26" s="660"/>
      <c r="K26" s="351">
        <f>+'6_ Commissioning'!G34</f>
        <v>399999.99840000004</v>
      </c>
      <c r="L26" s="660"/>
      <c r="M26" s="351">
        <f>'6_ Commissioning'!$M$6</f>
        <v>399999.99840000004</v>
      </c>
      <c r="N26" s="660"/>
      <c r="O26" s="1"/>
    </row>
    <row r="27" spans="2:17" ht="13.05" customHeight="1">
      <c r="B27" s="6" t="s">
        <v>4</v>
      </c>
      <c r="C27" s="250">
        <f>C24</f>
        <v>8500000</v>
      </c>
      <c r="E27" s="352">
        <v>8500000</v>
      </c>
      <c r="F27" s="612" t="str">
        <f t="shared" si="0"/>
        <v>Da ordinare</v>
      </c>
      <c r="G27" s="352">
        <v>8000000</v>
      </c>
      <c r="H27" s="658"/>
      <c r="I27" s="352">
        <f>'6_ Commissioning'!$M$7</f>
        <v>7999999.9987000003</v>
      </c>
      <c r="J27" s="660"/>
      <c r="K27" s="352">
        <f>+'6_ Commissioning'!G12+'6_ Commissioning'!G13+'6_ Commissioning'!G14+'6_ Commissioning'!G15+'6_ Commissioning'!G20+'6_ Commissioning'!G21+'6_ Commissioning'!G22+'6_ Commissioning'!G23+'6_ Commissioning'!G24+'6_ Commissioning'!G25+'6_ Commissioning'!G26+'6_ Commissioning'!G30+'6_ Commissioning'!G39+'6_ Commissioning'!G43</f>
        <v>7999999.9987000003</v>
      </c>
      <c r="L27" s="660"/>
      <c r="M27" s="352">
        <f>'6_ Commissioning'!$M$7</f>
        <v>7999999.9987000003</v>
      </c>
      <c r="N27" s="660"/>
      <c r="O27" s="1"/>
    </row>
    <row r="28" spans="2:17" ht="13.05" customHeight="1">
      <c r="B28" s="8" t="s">
        <v>568</v>
      </c>
      <c r="C28" s="249">
        <f>'7_Backup'!C3</f>
        <v>952781</v>
      </c>
      <c r="E28" s="249">
        <f>SUM(E29:E31)</f>
        <v>952781</v>
      </c>
      <c r="F28" s="612" t="str">
        <f t="shared" si="0"/>
        <v>ALIGNEMENT AND BACKUP</v>
      </c>
      <c r="G28" s="249">
        <f>SUM(G29:G31)</f>
        <v>952781</v>
      </c>
      <c r="H28" s="658"/>
      <c r="I28" s="249">
        <f>SUM(I29:I31)</f>
        <v>952781</v>
      </c>
      <c r="J28" s="660"/>
      <c r="K28" s="249">
        <f>+'7_Backup'!G3</f>
        <v>952781</v>
      </c>
      <c r="L28" s="660"/>
      <c r="M28" s="249">
        <f>SUM(M29:M31)</f>
        <v>952781</v>
      </c>
      <c r="N28" s="660"/>
      <c r="O28" s="1"/>
    </row>
    <row r="29" spans="2:17" ht="13.05" customHeight="1">
      <c r="B29" s="6" t="s">
        <v>2</v>
      </c>
      <c r="C29" s="250" t="s">
        <v>3</v>
      </c>
      <c r="E29" s="250">
        <f>322212.81+400000</f>
        <v>722212.81</v>
      </c>
      <c r="F29" s="612" t="str">
        <f t="shared" si="0"/>
        <v>Ordinato</v>
      </c>
      <c r="G29" s="250">
        <v>723163</v>
      </c>
      <c r="H29" s="658"/>
      <c r="I29" s="250">
        <f>'7_Backup'!$M$5</f>
        <v>723162.81</v>
      </c>
      <c r="J29" s="660"/>
      <c r="K29" s="250">
        <f>'7_Backup'!$M$5</f>
        <v>723162.81</v>
      </c>
      <c r="L29" s="660"/>
      <c r="M29" s="250">
        <f>'7_Backup'!$M$5</f>
        <v>723162.81</v>
      </c>
      <c r="N29" s="659">
        <f>M29/M28</f>
        <v>0.75900213165459851</v>
      </c>
      <c r="O29" s="1"/>
    </row>
    <row r="30" spans="2:17" ht="13.05" customHeight="1">
      <c r="B30" s="6" t="s">
        <v>756</v>
      </c>
      <c r="C30" s="250" t="s">
        <v>3</v>
      </c>
      <c r="E30" s="250">
        <v>0</v>
      </c>
      <c r="F30" s="612" t="str">
        <f t="shared" si="0"/>
        <v>In negoziazione + buffer</v>
      </c>
      <c r="G30" s="351">
        <v>0</v>
      </c>
      <c r="H30" s="658"/>
      <c r="I30" s="250">
        <f>'7_Backup'!$M$6</f>
        <v>229618.19</v>
      </c>
      <c r="J30" s="660"/>
      <c r="K30" s="351">
        <f>+'7_Backup'!G11+'7_Backup'!G16</f>
        <v>229618.19</v>
      </c>
      <c r="L30" s="660"/>
      <c r="M30" s="351">
        <f>'7_Backup'!$M$6</f>
        <v>229618.19</v>
      </c>
      <c r="N30" s="660"/>
      <c r="O30" s="1"/>
    </row>
    <row r="31" spans="2:17" ht="13.05" customHeight="1">
      <c r="B31" s="6" t="s">
        <v>4</v>
      </c>
      <c r="C31" s="250">
        <f>C28</f>
        <v>952781</v>
      </c>
      <c r="E31" s="352">
        <f>216139.19+14429</f>
        <v>230568.19</v>
      </c>
      <c r="F31" s="612" t="str">
        <f t="shared" si="0"/>
        <v>Da ordinare</v>
      </c>
      <c r="G31" s="352">
        <v>229618</v>
      </c>
      <c r="H31" s="658"/>
      <c r="I31" s="352">
        <f>'7_Backup'!$M$9</f>
        <v>0</v>
      </c>
      <c r="J31" s="660"/>
      <c r="K31" s="352">
        <v>0</v>
      </c>
      <c r="L31" s="660"/>
      <c r="M31" s="352">
        <f>'7_Backup'!$M$9</f>
        <v>0</v>
      </c>
      <c r="N31" s="660"/>
      <c r="O31" s="1"/>
    </row>
    <row r="32" spans="2:17" ht="13.05" customHeight="1" thickBot="1">
      <c r="B32" s="9" t="s">
        <v>9</v>
      </c>
      <c r="C32" s="247">
        <f>C4+C8+C12+C16+C20+C24+C28</f>
        <v>505757853</v>
      </c>
      <c r="E32" s="247">
        <f>E4+E8+E12+E16+E20+E24+E28</f>
        <v>505748852.99067777</v>
      </c>
      <c r="F32" s="612" t="str">
        <f t="shared" si="0"/>
        <v>Diretti</v>
      </c>
      <c r="G32" s="247">
        <v>506157852.98870301</v>
      </c>
      <c r="H32" s="658"/>
      <c r="I32" s="247">
        <f>I4+I8+I12+I16+I20+I24+I28</f>
        <v>501457853.0228287</v>
      </c>
      <c r="J32" s="660"/>
      <c r="K32" s="247">
        <f>+K28+K24+K20+K16+K12+K8+K4</f>
        <v>501457853.02026653</v>
      </c>
      <c r="L32" s="660"/>
      <c r="M32" s="247">
        <f>M4+M8+M12+M16+M20+M24+M28</f>
        <v>501457853.0228287</v>
      </c>
      <c r="N32" s="660"/>
      <c r="O32" s="859"/>
      <c r="P32" s="859"/>
      <c r="Q32" s="1">
        <v>40357633.064500198</v>
      </c>
    </row>
    <row r="33" spans="2:20" s="7" customFormat="1" ht="13.05" customHeight="1">
      <c r="B33" s="10"/>
      <c r="C33" s="248"/>
      <c r="D33" s="1"/>
      <c r="E33" s="248"/>
      <c r="F33" s="2"/>
      <c r="G33" s="237"/>
      <c r="H33" s="656"/>
      <c r="I33" s="237"/>
      <c r="J33" s="660"/>
      <c r="K33" s="237"/>
      <c r="L33" s="660"/>
      <c r="M33" s="237"/>
      <c r="N33" s="660"/>
      <c r="O33" s="859"/>
      <c r="P33" s="859"/>
      <c r="Q33" s="1" t="s">
        <v>10</v>
      </c>
      <c r="R33" s="1"/>
      <c r="S33" s="1"/>
      <c r="T33" s="1"/>
    </row>
    <row r="34" spans="2:20" ht="13.05" customHeight="1">
      <c r="B34" s="9" t="s">
        <v>11</v>
      </c>
      <c r="C34" s="11">
        <f>'0_Indirect'!C3</f>
        <v>40391014.149999999</v>
      </c>
      <c r="E34" s="11">
        <f>'0_Indirect'!D3</f>
        <v>40391014.149999999</v>
      </c>
      <c r="G34" s="11">
        <v>40386273.290180624</v>
      </c>
      <c r="I34" s="11">
        <v>40355204.704877257</v>
      </c>
      <c r="J34" s="660"/>
      <c r="K34" s="11">
        <v>40036817.273699939</v>
      </c>
      <c r="L34" s="660"/>
      <c r="M34" s="11">
        <f>'0_Indirect'!H3</f>
        <v>40357635.06243097</v>
      </c>
      <c r="N34" s="660"/>
      <c r="O34" s="859"/>
      <c r="P34" s="859"/>
    </row>
    <row r="35" spans="2:20" ht="13.05" customHeight="1" thickBot="1">
      <c r="B35" s="534" t="s">
        <v>689</v>
      </c>
      <c r="C35" s="535">
        <v>0</v>
      </c>
      <c r="E35" s="535">
        <v>22098535.149999999</v>
      </c>
      <c r="G35" s="535">
        <v>22098535.149999999</v>
      </c>
      <c r="I35" s="535">
        <v>22098535.149999999</v>
      </c>
      <c r="J35" s="660"/>
      <c r="K35" s="535">
        <v>22098535.149999999</v>
      </c>
      <c r="L35" s="660"/>
      <c r="M35" s="535">
        <v>22098535.149999999</v>
      </c>
      <c r="N35" s="660"/>
      <c r="O35" s="860"/>
      <c r="P35" s="860"/>
    </row>
    <row r="36" spans="2:20" ht="13.05" customHeight="1" thickBot="1">
      <c r="B36" s="12" t="s">
        <v>12</v>
      </c>
      <c r="C36" s="533">
        <f>C32+C34</f>
        <v>546148867.14999998</v>
      </c>
      <c r="E36" s="533">
        <f>E32+E34+E35</f>
        <v>568238402.29067779</v>
      </c>
      <c r="G36" s="533">
        <f>G32+G34+G35</f>
        <v>568642661.42888367</v>
      </c>
      <c r="I36" s="533">
        <f>I32+I34+I35</f>
        <v>563911592.87770593</v>
      </c>
      <c r="J36" s="660"/>
      <c r="K36" s="533">
        <v>563593205.44282866</v>
      </c>
      <c r="L36" s="660"/>
      <c r="M36" s="533">
        <f>M32+M34+M35</f>
        <v>563914023.23525965</v>
      </c>
      <c r="N36" s="660"/>
      <c r="O36" s="860">
        <f>M36/4.25</f>
        <v>132685652.52594344</v>
      </c>
      <c r="P36" s="860">
        <f>O36*0.2</f>
        <v>26537130.505188689</v>
      </c>
    </row>
    <row r="37" spans="2:20" ht="13.05" customHeight="1" thickBot="1">
      <c r="E37" s="1"/>
      <c r="F37" s="1"/>
      <c r="G37" s="1"/>
      <c r="H37" s="660"/>
      <c r="I37" s="1"/>
      <c r="J37" s="660"/>
      <c r="K37" s="1"/>
      <c r="L37" s="660"/>
      <c r="M37" s="1"/>
      <c r="N37" s="660"/>
      <c r="O37" s="860"/>
      <c r="P37" s="860"/>
    </row>
    <row r="38" spans="2:20" ht="13.05" customHeight="1">
      <c r="C38" s="16" t="s">
        <v>634</v>
      </c>
      <c r="E38" s="536">
        <f>E29+E25+E21+E17+E13+E9+E5</f>
        <v>99832926.807777792</v>
      </c>
      <c r="F38" s="537">
        <f>E38/$E$32</f>
        <v>0.19739624957610721</v>
      </c>
      <c r="G38" s="536">
        <f>G29+G25+G21+G17+G13+G9+G5</f>
        <v>156418654</v>
      </c>
      <c r="H38" s="661">
        <v>0.3049413061466868</v>
      </c>
      <c r="I38" s="536">
        <f>I29+I25+I21+I17+I14+I9+I5</f>
        <v>234276624.02904379</v>
      </c>
      <c r="J38" s="661">
        <f>I38/$I$32</f>
        <v>0.46719105627084162</v>
      </c>
      <c r="K38" s="536">
        <v>268330424.02904379</v>
      </c>
      <c r="L38" s="661"/>
      <c r="M38" s="536">
        <f>M29+M25+M21+M17+M13+M9+M5</f>
        <v>268330424.02904379</v>
      </c>
      <c r="N38" s="661">
        <f>M38/M32</f>
        <v>0.53510065185244615</v>
      </c>
      <c r="O38" s="860"/>
      <c r="P38" s="860"/>
    </row>
    <row r="39" spans="2:20" ht="13.05" customHeight="1">
      <c r="C39" s="16" t="s">
        <v>758</v>
      </c>
      <c r="E39" s="778">
        <f>E6+E10+E14+E18+E22+E26+E30</f>
        <v>89985674</v>
      </c>
      <c r="F39" s="537"/>
      <c r="G39" s="853">
        <f>G6+G10+G14+G18+G22+G26+G30</f>
        <v>124100200</v>
      </c>
      <c r="H39" s="661"/>
      <c r="I39" s="778"/>
      <c r="J39" s="661"/>
      <c r="K39" s="853">
        <v>43012548.990400001</v>
      </c>
      <c r="L39" s="661"/>
      <c r="M39" s="853">
        <f>M6+M10+M14+M18+M22+M26+M30</f>
        <v>43012548.990400001</v>
      </c>
      <c r="N39" s="661">
        <f>M39/M32</f>
        <v>8.5775003285155194E-2</v>
      </c>
      <c r="O39" s="860"/>
      <c r="P39" s="860"/>
    </row>
    <row r="40" spans="2:20" ht="13.05" customHeight="1" thickBot="1">
      <c r="C40" s="16" t="s">
        <v>635</v>
      </c>
      <c r="E40" s="779">
        <f>E7+E11+E15+E19+E23+E27+E31</f>
        <v>315930252.18290001</v>
      </c>
      <c r="F40" s="537">
        <f t="shared" ref="F40" si="1">E40/$E$32</f>
        <v>0.62467813879297795</v>
      </c>
      <c r="G40" s="779">
        <f>G7+G11+G15+G19+G23+G27+G31</f>
        <v>220920999</v>
      </c>
      <c r="H40" s="661">
        <v>0.61558488356140773</v>
      </c>
      <c r="I40" s="779">
        <f>I31+I27+I23+I19+I15+I11+I7</f>
        <v>190114880.00338486</v>
      </c>
      <c r="J40" s="661">
        <f>I40/$I$32</f>
        <v>0.37912434486239854</v>
      </c>
      <c r="K40" s="779">
        <v>190114880.00338486</v>
      </c>
      <c r="L40" s="661"/>
      <c r="M40" s="779">
        <f>M7+M11+M15+M19+M23+M27+M31</f>
        <v>190114880.00338486</v>
      </c>
      <c r="N40" s="661">
        <f>M40/M32</f>
        <v>0.37912434486239854</v>
      </c>
      <c r="O40" s="860"/>
      <c r="P40" s="860"/>
    </row>
    <row r="41" spans="2:20" ht="13.05" customHeight="1" thickBot="1">
      <c r="B41" s="13"/>
      <c r="C41" s="14"/>
      <c r="E41" s="14"/>
      <c r="G41" s="14"/>
      <c r="H41" s="660"/>
      <c r="I41" s="14"/>
      <c r="J41" s="660"/>
      <c r="K41" s="14"/>
      <c r="L41" s="660"/>
      <c r="M41" s="14"/>
      <c r="N41" s="660"/>
      <c r="O41" s="860"/>
      <c r="P41" s="860"/>
      <c r="S41" s="15"/>
      <c r="T41" s="15"/>
    </row>
    <row r="42" spans="2:20" ht="13.05" customHeight="1" thickBot="1">
      <c r="B42" s="16" t="s">
        <v>13</v>
      </c>
      <c r="C42" s="532">
        <v>631386000</v>
      </c>
      <c r="D42" s="19"/>
      <c r="E42" s="532">
        <v>631386000</v>
      </c>
      <c r="F42" s="17"/>
      <c r="G42" s="532">
        <v>631385999.73000002</v>
      </c>
      <c r="H42" s="660"/>
      <c r="I42" s="532">
        <v>627086000</v>
      </c>
      <c r="J42" s="660"/>
      <c r="K42" s="532">
        <v>627086000</v>
      </c>
      <c r="L42" s="660"/>
      <c r="M42" s="532">
        <v>627086000</v>
      </c>
      <c r="O42" s="860">
        <f>M42/4.21</f>
        <v>148951543.94299287</v>
      </c>
      <c r="P42" s="860">
        <f>O42*0.2</f>
        <v>29790308.788598575</v>
      </c>
    </row>
    <row r="43" spans="2:20" ht="13.05" customHeight="1" thickBot="1">
      <c r="B43" s="18"/>
      <c r="E43" s="1"/>
      <c r="F43" s="20"/>
      <c r="G43" s="1"/>
      <c r="H43" s="660"/>
      <c r="I43" s="1"/>
      <c r="J43" s="660"/>
      <c r="K43" s="1"/>
      <c r="L43" s="660"/>
      <c r="M43" s="1"/>
      <c r="N43" s="660"/>
      <c r="O43" s="860"/>
      <c r="P43" s="860"/>
    </row>
    <row r="44" spans="2:20" ht="13.05" customHeight="1" thickBot="1">
      <c r="B44" s="16" t="s">
        <v>247</v>
      </c>
      <c r="C44" s="532">
        <f>C42-C36</f>
        <v>85237132.850000024</v>
      </c>
      <c r="D44" s="21">
        <f>C44/C36</f>
        <v>0.15606941252995332</v>
      </c>
      <c r="E44" s="532">
        <f>E42-E36</f>
        <v>63147597.709322214</v>
      </c>
      <c r="F44" s="21">
        <f>E44/E36</f>
        <v>0.11112870487943469</v>
      </c>
      <c r="G44" s="532">
        <v>62743338.301116347</v>
      </c>
      <c r="H44" s="21">
        <f>G44/G36</f>
        <v>0.1103387813771395</v>
      </c>
      <c r="I44" s="532">
        <f>I42-I36</f>
        <v>63174407.122294068</v>
      </c>
      <c r="J44" s="728">
        <f>I44/I36</f>
        <v>0.11202892070352337</v>
      </c>
      <c r="K44" s="532">
        <v>63492794.557171345</v>
      </c>
      <c r="L44" s="728"/>
      <c r="M44" s="532">
        <f>M42-M36</f>
        <v>63171976.764740348</v>
      </c>
      <c r="N44" s="728">
        <f>M44/M36</f>
        <v>0.11202412807951327</v>
      </c>
      <c r="O44" s="860">
        <f>M44/4.25</f>
        <v>14863994.532880083</v>
      </c>
      <c r="P44" s="860">
        <f>O44*0.2</f>
        <v>2972798.9065760169</v>
      </c>
      <c r="Q44" s="537">
        <f>P44/P36</f>
        <v>0.11202412807951329</v>
      </c>
      <c r="R44" s="537"/>
    </row>
    <row r="45" spans="2:20" ht="13.05" customHeight="1">
      <c r="E45" s="1"/>
      <c r="F45" s="1"/>
      <c r="G45" s="1"/>
      <c r="H45" s="660"/>
      <c r="I45" s="1"/>
      <c r="J45" s="660"/>
      <c r="K45" s="1"/>
      <c r="L45" s="660"/>
      <c r="M45" s="1"/>
      <c r="N45" s="660"/>
      <c r="O45" s="859"/>
      <c r="P45" s="859"/>
    </row>
    <row r="50" spans="15:35" ht="13.05" customHeight="1">
      <c r="O50" s="727"/>
    </row>
    <row r="52" spans="15:35" ht="13.05" customHeight="1">
      <c r="T52" s="20"/>
      <c r="U52" s="20"/>
      <c r="V52" s="20"/>
      <c r="W52" s="20"/>
      <c r="X52" s="20"/>
      <c r="Y52" s="20"/>
      <c r="Z52" s="20"/>
      <c r="AA52" s="20"/>
      <c r="AB52" s="20"/>
      <c r="AC52" s="20"/>
      <c r="AD52" s="20"/>
      <c r="AE52" s="20"/>
      <c r="AF52" s="20"/>
      <c r="AG52" s="20"/>
      <c r="AI52" s="20"/>
    </row>
    <row r="53" spans="15:35" ht="13.05" customHeight="1">
      <c r="O53" s="727"/>
      <c r="U53" s="20"/>
      <c r="V53" s="20"/>
      <c r="W53" s="20"/>
      <c r="X53" s="20"/>
      <c r="Y53" s="20"/>
      <c r="Z53" s="20"/>
      <c r="AA53" s="20"/>
      <c r="AB53" s="20"/>
      <c r="AC53" s="20"/>
      <c r="AD53" s="20"/>
      <c r="AE53" s="20"/>
      <c r="AF53" s="20"/>
      <c r="AG53" s="20"/>
      <c r="AH53" s="20"/>
      <c r="AI53" s="20"/>
    </row>
    <row r="54" spans="15:35" ht="13.05" customHeight="1">
      <c r="U54" s="20"/>
      <c r="V54" s="20"/>
      <c r="W54" s="20"/>
      <c r="X54" s="20"/>
      <c r="Y54" s="20"/>
      <c r="Z54" s="20"/>
      <c r="AA54" s="20"/>
      <c r="AB54" s="20"/>
      <c r="AC54" s="20"/>
      <c r="AD54" s="20"/>
      <c r="AE54" s="20"/>
      <c r="AF54" s="20"/>
      <c r="AG54" s="20"/>
      <c r="AH54" s="20"/>
      <c r="AI54" s="20"/>
    </row>
    <row r="55" spans="15:35" ht="13.05" customHeight="1">
      <c r="U55" s="20"/>
      <c r="V55" s="20"/>
      <c r="W55" s="20"/>
      <c r="X55" s="20"/>
      <c r="Y55" s="20"/>
      <c r="Z55" s="20"/>
      <c r="AA55" s="20"/>
      <c r="AB55" s="20"/>
      <c r="AC55" s="20"/>
      <c r="AD55" s="20"/>
      <c r="AE55" s="20"/>
      <c r="AF55" s="20"/>
      <c r="AG55" s="20"/>
      <c r="AH55" s="20"/>
      <c r="AI55" s="20"/>
    </row>
    <row r="56" spans="15:35" ht="13.05" customHeight="1">
      <c r="U56" s="20"/>
      <c r="V56" s="20"/>
      <c r="W56" s="20"/>
      <c r="X56" s="20"/>
      <c r="Y56" s="20"/>
      <c r="Z56" s="20"/>
      <c r="AA56" s="20"/>
      <c r="AB56" s="20"/>
      <c r="AC56" s="20"/>
      <c r="AD56" s="20"/>
      <c r="AE56" s="20"/>
      <c r="AF56" s="20"/>
      <c r="AG56" s="20"/>
      <c r="AH56" s="20"/>
      <c r="AI56" s="20"/>
    </row>
    <row r="57" spans="15:35" ht="13.05" customHeight="1">
      <c r="U57" s="20"/>
      <c r="V57" s="20"/>
      <c r="W57" s="20"/>
      <c r="X57" s="20"/>
      <c r="Y57" s="20"/>
      <c r="Z57" s="20"/>
      <c r="AA57" s="20"/>
      <c r="AB57" s="20"/>
      <c r="AC57" s="20"/>
      <c r="AD57" s="20"/>
      <c r="AE57" s="20"/>
      <c r="AF57" s="20"/>
      <c r="AG57" s="20"/>
      <c r="AH57" s="20"/>
      <c r="AI57" s="20"/>
    </row>
    <row r="58" spans="15:35" ht="13.05" customHeight="1">
      <c r="U58" s="20"/>
      <c r="V58" s="20"/>
      <c r="W58" s="20"/>
      <c r="X58" s="20"/>
      <c r="Y58" s="20"/>
      <c r="Z58" s="20"/>
      <c r="AA58" s="20"/>
      <c r="AB58" s="20"/>
      <c r="AC58" s="20"/>
      <c r="AD58" s="20"/>
      <c r="AE58" s="20"/>
      <c r="AF58" s="20"/>
      <c r="AG58" s="20"/>
      <c r="AH58" s="20"/>
      <c r="AI58" s="20"/>
    </row>
    <row r="59" spans="15:35" ht="13.05" customHeight="1">
      <c r="U59" s="20"/>
      <c r="V59" s="20"/>
      <c r="W59" s="20"/>
      <c r="X59" s="20"/>
      <c r="Y59" s="20"/>
      <c r="Z59" s="20"/>
      <c r="AA59" s="20"/>
      <c r="AB59" s="20"/>
      <c r="AC59" s="20"/>
      <c r="AD59" s="20"/>
      <c r="AE59" s="20"/>
      <c r="AF59" s="20"/>
      <c r="AG59" s="20"/>
      <c r="AH59" s="20"/>
      <c r="AI59" s="20"/>
    </row>
    <row r="60" spans="15:35" ht="13.05" customHeight="1">
      <c r="U60" s="20"/>
      <c r="V60" s="20"/>
      <c r="W60" s="20"/>
      <c r="X60" s="20"/>
      <c r="Y60" s="20"/>
      <c r="Z60" s="20"/>
      <c r="AA60" s="20"/>
      <c r="AB60" s="20"/>
      <c r="AC60" s="20"/>
      <c r="AD60" s="20"/>
      <c r="AE60" s="20"/>
      <c r="AF60" s="20"/>
      <c r="AG60" s="20"/>
      <c r="AH60" s="20"/>
      <c r="AI60" s="20"/>
    </row>
    <row r="62" spans="15:35" ht="13.05" customHeight="1">
      <c r="U62" s="20"/>
      <c r="V62" s="20"/>
      <c r="W62" s="20"/>
      <c r="X62" s="20"/>
      <c r="Y62" s="20"/>
      <c r="Z62" s="20"/>
      <c r="AA62" s="20"/>
      <c r="AB62" s="20"/>
      <c r="AC62" s="20"/>
      <c r="AD62" s="20"/>
      <c r="AE62" s="20"/>
      <c r="AF62" s="20"/>
      <c r="AG62" s="20"/>
      <c r="AH62" s="20"/>
    </row>
    <row r="63" spans="15:35" ht="13.05" customHeight="1">
      <c r="U63" s="20"/>
      <c r="W63" s="20"/>
      <c r="AH63" s="20"/>
    </row>
    <row r="64" spans="15:35" ht="13.05" customHeight="1">
      <c r="U64" s="20"/>
      <c r="W64" s="20"/>
      <c r="AH64" s="20"/>
    </row>
    <row r="65" spans="21:34" ht="13.05" customHeight="1">
      <c r="U65" s="20"/>
      <c r="V65" s="20"/>
      <c r="W65" s="20"/>
      <c r="X65" s="20"/>
      <c r="Y65" s="20"/>
      <c r="Z65" s="20"/>
      <c r="AA65" s="20"/>
      <c r="AB65" s="20"/>
      <c r="AC65" s="20"/>
      <c r="AD65" s="20"/>
      <c r="AE65" s="20"/>
      <c r="AF65" s="20"/>
      <c r="AG65" s="20"/>
      <c r="AH65" s="20"/>
    </row>
    <row r="66" spans="21:34" ht="13.05" customHeight="1">
      <c r="U66" s="20"/>
      <c r="V66" s="20"/>
      <c r="W66" s="20"/>
      <c r="X66" s="20"/>
      <c r="Y66" s="20"/>
      <c r="Z66" s="20"/>
      <c r="AA66" s="20"/>
      <c r="AB66" s="20"/>
      <c r="AC66" s="20"/>
      <c r="AD66" s="20"/>
      <c r="AE66" s="20"/>
      <c r="AF66" s="20"/>
      <c r="AG66" s="20"/>
      <c r="AH66" s="20"/>
    </row>
    <row r="67" spans="21:34" ht="13.05" customHeight="1">
      <c r="U67" s="20"/>
      <c r="W67" s="20"/>
    </row>
  </sheetData>
  <mergeCells count="1">
    <mergeCell ref="B1:N1"/>
  </mergeCells>
  <pageMargins left="0.11811023622047245" right="0.11811023622047245" top="0.15748031496062992" bottom="0.35433070866141736" header="0.11811023622047245" footer="0.11811023622047245"/>
  <pageSetup paperSize="8" fitToHeight="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21624-F48D-4CD8-8A83-F468B4C8126C}">
  <sheetPr>
    <tabColor rgb="FFFFFF00"/>
  </sheetPr>
  <dimension ref="B1:E6"/>
  <sheetViews>
    <sheetView workbookViewId="0">
      <selection activeCell="F27" sqref="F27"/>
    </sheetView>
  </sheetViews>
  <sheetFormatPr defaultRowHeight="14.25"/>
  <cols>
    <col min="1" max="1" width="3.46484375" customWidth="1"/>
    <col min="2" max="2" width="10.6640625" bestFit="1" customWidth="1"/>
    <col min="3" max="3" width="10.796875" style="621" bestFit="1" customWidth="1"/>
    <col min="4" max="6" width="16.796875" customWidth="1"/>
  </cols>
  <sheetData>
    <row r="1" spans="2:5" ht="14.65" thickBot="1"/>
    <row r="2" spans="2:5">
      <c r="B2" s="622"/>
      <c r="C2" s="623">
        <v>2025</v>
      </c>
      <c r="D2" s="623">
        <v>2026</v>
      </c>
      <c r="E2" s="624" t="s">
        <v>690</v>
      </c>
    </row>
    <row r="3" spans="2:5">
      <c r="B3" s="625" t="s">
        <v>691</v>
      </c>
      <c r="C3" s="626">
        <f>+C4+C5</f>
        <v>244.46200849714285</v>
      </c>
      <c r="D3" s="626">
        <f>+D4+D5</f>
        <v>8888</v>
      </c>
      <c r="E3" s="627">
        <f>+E4+E5</f>
        <v>13414.59502111803</v>
      </c>
    </row>
    <row r="4" spans="2:5">
      <c r="B4" s="625" t="s">
        <v>692</v>
      </c>
      <c r="C4" s="626">
        <f>+('[1]Włocławek Budget'!AM403+'[1]Włocławek Budget'!AM391)/4.2*0.15/1000</f>
        <v>220.03781142857142</v>
      </c>
      <c r="D4" s="626">
        <f>+_xlfn.FLOOR.MATH(SUM('[1]Włocławek Budget'!AN403:AY403)/4.2*0.15/1000,1000)</f>
        <v>8000</v>
      </c>
      <c r="E4" s="627">
        <f>+('[1]Włocławek Budget'!AB403/4.2*0.15/1000)-D4-C4</f>
        <v>12074.342953301557</v>
      </c>
    </row>
    <row r="5" spans="2:5">
      <c r="B5" s="625" t="s">
        <v>693</v>
      </c>
      <c r="C5" s="626">
        <f>+C4*C6</f>
        <v>24.424197068571427</v>
      </c>
      <c r="D5" s="626">
        <f>+D4*D6</f>
        <v>888</v>
      </c>
      <c r="E5" s="627">
        <f>+E4*E6</f>
        <v>1340.2520678164728</v>
      </c>
    </row>
    <row r="6" spans="2:5" ht="14.65" thickBot="1">
      <c r="B6" s="628" t="s">
        <v>248</v>
      </c>
      <c r="C6" s="629">
        <f>+D6</f>
        <v>0.111</v>
      </c>
      <c r="D6" s="629">
        <v>0.111</v>
      </c>
      <c r="E6" s="630">
        <f>+D6</f>
        <v>0.111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DC525-B036-400D-9703-4442F6D03925}">
  <sheetPr>
    <tabColor rgb="FF00B0F0"/>
  </sheetPr>
  <dimension ref="B2:Q77"/>
  <sheetViews>
    <sheetView zoomScale="70" zoomScaleNormal="70" workbookViewId="0">
      <selection activeCell="T25" sqref="T25"/>
    </sheetView>
  </sheetViews>
  <sheetFormatPr defaultColWidth="8.86328125" defaultRowHeight="14.25"/>
  <cols>
    <col min="1" max="1" width="4.46484375" style="580" customWidth="1"/>
    <col min="2" max="2" width="12.33203125" style="580" customWidth="1"/>
    <col min="3" max="5" width="12" style="580" bestFit="1" customWidth="1"/>
    <col min="6" max="6" width="8.86328125" style="580"/>
    <col min="7" max="7" width="6.1328125" style="580" customWidth="1"/>
    <col min="8" max="8" width="45.46484375" style="580" bestFit="1" customWidth="1"/>
    <col min="9" max="9" width="13.46484375" style="580" customWidth="1"/>
    <col min="10" max="10" width="12.796875" style="580" customWidth="1"/>
    <col min="11" max="11" width="4.53125" style="580" customWidth="1"/>
    <col min="12" max="12" width="35" style="580" bestFit="1" customWidth="1"/>
    <col min="13" max="13" width="18.6640625" style="580" bestFit="1" customWidth="1"/>
    <col min="14" max="14" width="8.86328125" style="580"/>
    <col min="15" max="15" width="49.19921875" style="580" customWidth="1"/>
    <col min="16" max="16" width="13.33203125" style="580" customWidth="1"/>
    <col min="17" max="17" width="14.86328125" style="589" bestFit="1" customWidth="1"/>
    <col min="18" max="18" width="4.46484375" style="580" customWidth="1"/>
    <col min="19" max="16384" width="8.86328125" style="580"/>
  </cols>
  <sheetData>
    <row r="2" spans="2:17">
      <c r="B2" s="604"/>
      <c r="C2" s="604"/>
      <c r="D2" s="604"/>
      <c r="E2" s="604"/>
      <c r="F2" s="604"/>
      <c r="G2" s="604"/>
      <c r="H2" s="604"/>
      <c r="I2" s="604"/>
      <c r="J2" s="604"/>
      <c r="K2" s="604"/>
      <c r="L2" s="604"/>
      <c r="M2" s="604"/>
      <c r="N2" s="604"/>
      <c r="O2" s="604"/>
      <c r="P2" s="604"/>
      <c r="Q2" s="605"/>
    </row>
    <row r="4" spans="2:17" ht="19.25" customHeight="1" thickBot="1">
      <c r="B4" s="595"/>
      <c r="C4" s="598" t="s">
        <v>685</v>
      </c>
      <c r="D4" s="599" t="s">
        <v>676</v>
      </c>
      <c r="E4" s="599" t="s">
        <v>677</v>
      </c>
      <c r="P4" s="606" t="s">
        <v>680</v>
      </c>
      <c r="Q4" s="610" t="s">
        <v>681</v>
      </c>
    </row>
    <row r="5" spans="2:17">
      <c r="B5" s="580" t="s">
        <v>672</v>
      </c>
      <c r="C5" s="586">
        <f>'JV RIEPILOGO'!C32</f>
        <v>505757853</v>
      </c>
      <c r="D5" s="586">
        <f>'JV RIEPILOGO'!E32</f>
        <v>505748852.99067777</v>
      </c>
      <c r="E5" s="586">
        <f>'JV RIEPILOGO'!I32</f>
        <v>501457853.0228287</v>
      </c>
      <c r="P5" s="606"/>
      <c r="Q5" s="611" t="s">
        <v>682</v>
      </c>
    </row>
    <row r="6" spans="2:17">
      <c r="B6" s="580" t="s">
        <v>673</v>
      </c>
      <c r="C6" s="586">
        <f>'JV RIEPILOGO'!C34</f>
        <v>40391014.149999999</v>
      </c>
      <c r="D6" s="586">
        <f>'JV RIEPILOGO'!E34</f>
        <v>40391014.149999999</v>
      </c>
      <c r="E6" s="586">
        <f>'JV RIEPILOGO'!I34</f>
        <v>40355204.704877257</v>
      </c>
      <c r="Q6" s="607"/>
    </row>
    <row r="7" spans="2:17">
      <c r="B7" s="580" t="s">
        <v>633</v>
      </c>
      <c r="C7" s="586">
        <f>'JV RIEPILOGO'!C35</f>
        <v>0</v>
      </c>
      <c r="D7" s="586">
        <f>'JV RIEPILOGO'!E35</f>
        <v>22098535.149999999</v>
      </c>
      <c r="E7" s="586">
        <f>'JV RIEPILOGO'!I35</f>
        <v>22098535.149999999</v>
      </c>
      <c r="P7" s="580" t="s">
        <v>683</v>
      </c>
      <c r="Q7" s="608" t="s">
        <v>684</v>
      </c>
    </row>
    <row r="8" spans="2:17">
      <c r="B8" s="597" t="s">
        <v>658</v>
      </c>
      <c r="C8" s="587">
        <f>'JV RIEPILOGO'!C36</f>
        <v>546148867.14999998</v>
      </c>
      <c r="D8" s="587">
        <f>'JV RIEPILOGO'!E36</f>
        <v>568238402.29067779</v>
      </c>
      <c r="E8" s="587">
        <f>'JV RIEPILOGO'!I36</f>
        <v>563911592.87770593</v>
      </c>
      <c r="Q8" s="607"/>
    </row>
    <row r="9" spans="2:17">
      <c r="B9" s="597" t="s">
        <v>674</v>
      </c>
      <c r="C9" s="587">
        <f>'JV RIEPILOGO'!C42</f>
        <v>631386000</v>
      </c>
      <c r="D9" s="587">
        <f>'JV RIEPILOGO'!E42</f>
        <v>631386000</v>
      </c>
      <c r="E9" s="587">
        <f>'JV RIEPILOGO'!I42</f>
        <v>627086000</v>
      </c>
      <c r="P9" s="580" t="s">
        <v>678</v>
      </c>
      <c r="Q9" s="609">
        <v>46052</v>
      </c>
    </row>
    <row r="10" spans="2:17">
      <c r="B10" s="597" t="s">
        <v>247</v>
      </c>
      <c r="C10" s="587">
        <f>'JV RIEPILOGO'!C44</f>
        <v>85237132.850000024</v>
      </c>
      <c r="D10" s="587">
        <f>'JV RIEPILOGO'!E44</f>
        <v>63147597.709322214</v>
      </c>
      <c r="E10" s="587">
        <f>'JV RIEPILOGO'!I44</f>
        <v>63174407.122294068</v>
      </c>
      <c r="Q10" s="580"/>
    </row>
    <row r="11" spans="2:17">
      <c r="B11" s="580" t="s">
        <v>248</v>
      </c>
      <c r="C11" s="596">
        <f>C10/C9</f>
        <v>0.13500003619022283</v>
      </c>
      <c r="D11" s="596">
        <f t="shared" ref="D11:E11" si="0">D10/D9</f>
        <v>0.10001425072669051</v>
      </c>
      <c r="E11" s="596">
        <f t="shared" si="0"/>
        <v>0.10074281218571945</v>
      </c>
      <c r="P11" s="580" t="s">
        <v>679</v>
      </c>
      <c r="Q11" s="609">
        <v>46934</v>
      </c>
    </row>
    <row r="12" spans="2:17">
      <c r="C12" s="586"/>
      <c r="D12" s="586"/>
      <c r="E12" s="586"/>
    </row>
    <row r="13" spans="2:17">
      <c r="B13" s="604"/>
      <c r="C13" s="604"/>
      <c r="D13" s="604"/>
      <c r="E13" s="604"/>
      <c r="F13" s="604"/>
      <c r="G13" s="604"/>
      <c r="H13" s="604"/>
      <c r="I13" s="604"/>
      <c r="J13" s="604"/>
      <c r="K13" s="604"/>
      <c r="L13" s="604"/>
      <c r="M13" s="604"/>
      <c r="N13" s="604"/>
      <c r="O13" s="604"/>
      <c r="P13" s="604"/>
      <c r="Q13" s="605"/>
    </row>
    <row r="15" spans="2:17">
      <c r="H15" s="976" t="s">
        <v>661</v>
      </c>
      <c r="I15" s="976"/>
      <c r="J15" s="976"/>
    </row>
    <row r="16" spans="2:17" ht="14.65" thickBot="1">
      <c r="H16" s="591"/>
      <c r="I16" s="591" t="s">
        <v>686</v>
      </c>
      <c r="J16" s="591" t="s">
        <v>675</v>
      </c>
      <c r="L16" s="977" t="s">
        <v>669</v>
      </c>
      <c r="M16" s="977"/>
    </row>
    <row r="17" spans="8:17">
      <c r="H17" s="582" t="s">
        <v>1</v>
      </c>
      <c r="I17" s="583">
        <f>'JV RIEPILOGO'!C4</f>
        <v>45590000</v>
      </c>
      <c r="J17" s="583">
        <f>'JV RIEPILOGO'!I4</f>
        <v>45590000.012630343</v>
      </c>
      <c r="L17" s="580" t="s">
        <v>670</v>
      </c>
      <c r="M17" s="586">
        <f ca="1">'JV RIEPILOGO'!I5+'JV RIEPILOGO'!I9+'JV RIEPILOGO'!I13+'JV RIEPILOGO'!I17+'JV RIEPILOGO'!I21+'JV RIEPILOGO'!I25+'JV RIEPILOGO'!I29-M18</f>
        <v>190930424.031266</v>
      </c>
      <c r="N17" s="590" t="e">
        <f ca="1">M17/SUM($M$17:$M$21)</f>
        <v>#REF!</v>
      </c>
    </row>
    <row r="18" spans="8:17">
      <c r="H18" s="584" t="s">
        <v>6</v>
      </c>
      <c r="I18" s="585">
        <f>'JV RIEPILOGO'!C8</f>
        <v>112409767</v>
      </c>
      <c r="J18" s="585">
        <f>'JV RIEPILOGO'!I8</f>
        <v>108109767.00995263</v>
      </c>
      <c r="L18" s="580" t="s">
        <v>671</v>
      </c>
      <c r="M18" s="586">
        <f ca="1">Ordinato!C4</f>
        <v>77399999.99777779</v>
      </c>
      <c r="N18" s="590" t="e">
        <f ca="1">M18/SUM($M$17:$M$21)</f>
        <v>#REF!</v>
      </c>
    </row>
    <row r="19" spans="8:17">
      <c r="H19" s="584" t="s">
        <v>7</v>
      </c>
      <c r="I19" s="585">
        <f>'JV RIEPILOGO'!C12</f>
        <v>58345340</v>
      </c>
      <c r="J19" s="585">
        <f>'JV RIEPILOGO'!I12</f>
        <v>58345340</v>
      </c>
      <c r="L19" s="580" t="s">
        <v>666</v>
      </c>
      <c r="M19" s="586">
        <f>'JV RIEPILOGO'!I6+'JV RIEPILOGO'!I10+'JV RIEPILOGO'!I14+'JV RIEPILOGO'!I18+'JV RIEPILOGO'!I22+'JV RIEPILOGO'!I26+'JV RIEPILOGO'!I30</f>
        <v>43012548.990400001</v>
      </c>
      <c r="N19" s="590" t="e">
        <f ca="1">M19/SUM($M$17:$M$21)</f>
        <v>#REF!</v>
      </c>
    </row>
    <row r="20" spans="8:17">
      <c r="H20" s="584" t="s">
        <v>566</v>
      </c>
      <c r="I20" s="585">
        <f>'JV RIEPILOGO'!E16</f>
        <v>21293319</v>
      </c>
      <c r="J20" s="585">
        <f>'JV RIEPILOGO'!I16</f>
        <v>21293319.001499999</v>
      </c>
      <c r="L20" s="580" t="s">
        <v>667</v>
      </c>
      <c r="M20" s="586">
        <f>'JV RIEPILOGO'!I7+'JV RIEPILOGO'!I11+'JV RIEPILOGO'!I15+'JV RIEPILOGO'!I19+'JV RIEPILOGO'!I23+'JV RIEPILOGO'!I27+'JV RIEPILOGO'!I31</f>
        <v>190114880.00338486</v>
      </c>
      <c r="N20" s="590" t="e">
        <f ca="1">M20/SUM($M$17:$M$21)</f>
        <v>#REF!</v>
      </c>
    </row>
    <row r="21" spans="8:17">
      <c r="H21" s="584" t="s">
        <v>567</v>
      </c>
      <c r="I21" s="585">
        <f>'JV RIEPILOGO'!E20</f>
        <v>258666645.99767777</v>
      </c>
      <c r="J21" s="585">
        <f>'JV RIEPILOGO'!I20</f>
        <v>258666646.00164568</v>
      </c>
      <c r="L21" s="588" t="s">
        <v>668</v>
      </c>
      <c r="M21" s="619" t="e">
        <f>'JV RIEPILOGO'!#REF!+'JV RIEPILOGO'!#REF!+'JV RIEPILOGO'!#REF!+'JV RIEPILOGO'!#REF!+'JV RIEPILOGO'!#REF!+'JV RIEPILOGO'!#REF!+'JV RIEPILOGO'!#REF!</f>
        <v>#REF!</v>
      </c>
      <c r="N21" s="590" t="e">
        <f ca="1">M21/SUM($M$17:$M$21)</f>
        <v>#REF!</v>
      </c>
    </row>
    <row r="22" spans="8:17">
      <c r="H22" s="584" t="s">
        <v>144</v>
      </c>
      <c r="I22" s="585">
        <f>'JV RIEPILOGO'!C24</f>
        <v>8500000</v>
      </c>
      <c r="J22" s="585">
        <f>'JV RIEPILOGO'!I24</f>
        <v>8499999.9971000012</v>
      </c>
      <c r="M22" s="587" t="e">
        <f ca="1">SUM(M17:M21)</f>
        <v>#REF!</v>
      </c>
    </row>
    <row r="23" spans="8:17">
      <c r="H23" s="615" t="s">
        <v>568</v>
      </c>
      <c r="I23" s="618">
        <f>'JV RIEPILOGO'!C28</f>
        <v>952781</v>
      </c>
      <c r="J23" s="618">
        <f>'JV RIEPILOGO'!I28</f>
        <v>952781</v>
      </c>
      <c r="Q23" s="580"/>
    </row>
    <row r="24" spans="8:17">
      <c r="I24" s="587">
        <f>SUM(I17:I23)</f>
        <v>505757852.9976778</v>
      </c>
      <c r="J24" s="587">
        <f>SUM(J17:J23)</f>
        <v>501457853.0228287</v>
      </c>
      <c r="Q24" s="580"/>
    </row>
    <row r="25" spans="8:17">
      <c r="Q25" s="580"/>
    </row>
    <row r="26" spans="8:17">
      <c r="H26" s="976" t="s">
        <v>663</v>
      </c>
      <c r="I26" s="976"/>
      <c r="J26" s="976"/>
      <c r="L26" s="976" t="s">
        <v>665</v>
      </c>
      <c r="M26" s="976"/>
      <c r="N26" s="976"/>
      <c r="O26" s="976"/>
      <c r="P26" s="976"/>
      <c r="Q26" s="976"/>
    </row>
    <row r="27" spans="8:17" ht="14.65" thickBot="1">
      <c r="H27" s="591"/>
      <c r="I27" s="591" t="s">
        <v>686</v>
      </c>
      <c r="J27" s="591" t="s">
        <v>675</v>
      </c>
      <c r="L27" s="592" t="s">
        <v>636</v>
      </c>
      <c r="M27" s="592" t="s">
        <v>664</v>
      </c>
      <c r="N27" s="592" t="s">
        <v>646</v>
      </c>
      <c r="O27" s="593" t="s">
        <v>638</v>
      </c>
      <c r="P27" s="592" t="s">
        <v>640</v>
      </c>
      <c r="Q27" s="594" t="s">
        <v>639</v>
      </c>
    </row>
    <row r="28" spans="8:17">
      <c r="H28" s="582" t="s">
        <v>150</v>
      </c>
      <c r="I28" s="583">
        <f>'0_Indirect'!C10</f>
        <v>29056500</v>
      </c>
      <c r="J28" s="583">
        <f>'0_Indirect'!E10</f>
        <v>29056500</v>
      </c>
      <c r="L28" s="602" t="str">
        <f>Ordinato!B28</f>
        <v>FOROOM</v>
      </c>
      <c r="M28" s="602" t="str">
        <f>Ordinato!C28</f>
        <v>1_Design</v>
      </c>
      <c r="N28" s="602" t="str">
        <f>Ordinato!D28</f>
        <v>1.2.1</v>
      </c>
      <c r="O28" s="602" t="str">
        <f>Ordinato!E28</f>
        <v>Detailed architectural, structural, sanitary and road designs</v>
      </c>
      <c r="P28" s="602">
        <f>Ordinato!F28</f>
        <v>4502938068</v>
      </c>
      <c r="Q28" s="603">
        <f>Ordinato!G28</f>
        <v>12100000</v>
      </c>
    </row>
    <row r="29" spans="8:17">
      <c r="H29" s="584" t="s">
        <v>158</v>
      </c>
      <c r="I29" s="585">
        <f>'0_Indirect'!C18</f>
        <v>2404000</v>
      </c>
      <c r="J29" s="585">
        <f>'0_Indirect'!E18</f>
        <v>2404000.0003448278</v>
      </c>
      <c r="L29" s="582" t="str">
        <f>Ordinato!B29</f>
        <v>THYSSENKRUPP MATERIALS POLAND S.A.</v>
      </c>
      <c r="M29" s="582" t="str">
        <f>Ordinato!C29</f>
        <v>2_Civil Works</v>
      </c>
      <c r="N29" s="582" t="str">
        <f>Ordinato!D29</f>
        <v>2.5.1.1.1</v>
      </c>
      <c r="O29" s="582" t="str">
        <f>Ordinato!E29</f>
        <v>Supply of reinforcing steel</v>
      </c>
      <c r="P29" s="582">
        <f>Ordinato!F29</f>
        <v>4502938804</v>
      </c>
      <c r="Q29" s="600">
        <f>Ordinato!G29</f>
        <v>1821319.0000000002</v>
      </c>
    </row>
    <row r="30" spans="8:17">
      <c r="H30" s="584" t="s">
        <v>163</v>
      </c>
      <c r="I30" s="585">
        <f>'0_Indirect'!C61</f>
        <v>4216821</v>
      </c>
      <c r="J30" s="585">
        <f>'0_Indirect'!E61</f>
        <v>4216821</v>
      </c>
      <c r="L30" s="584" t="str">
        <f>Ordinato!B30</f>
        <v>THYSSENKRUPP MATERIALS POLAND S.A.</v>
      </c>
      <c r="M30" s="584" t="str">
        <f>Ordinato!C30</f>
        <v>2_Civil Works</v>
      </c>
      <c r="N30" s="584" t="str">
        <f>Ordinato!D30</f>
        <v>2.5.2.3.1</v>
      </c>
      <c r="O30" s="584" t="str">
        <f>Ordinato!E30</f>
        <v>Supply of reinforcing steel</v>
      </c>
      <c r="P30" s="584">
        <f>Ordinato!F30</f>
        <v>4502938804</v>
      </c>
      <c r="Q30" s="601">
        <f>Ordinato!G30</f>
        <v>1602760.9990000001</v>
      </c>
    </row>
    <row r="31" spans="8:17">
      <c r="H31" s="584" t="s">
        <v>662</v>
      </c>
      <c r="I31" s="585">
        <f>'0_Indirect'!C158</f>
        <v>3767010</v>
      </c>
      <c r="J31" s="585">
        <f>'0_Indirect'!E158</f>
        <v>3767010.0010000002</v>
      </c>
      <c r="L31" s="584" t="str">
        <f>Ordinato!B31</f>
        <v>MAR-KOP Marcin Mierzwa</v>
      </c>
      <c r="M31" s="584" t="str">
        <f>Ordinato!C31</f>
        <v>2_Civil Works</v>
      </c>
      <c r="N31" s="584" t="str">
        <f>Ordinato!D31</f>
        <v>2.2.1</v>
      </c>
      <c r="O31" s="584" t="str">
        <f>Ordinato!E31</f>
        <v>Working platform for foundation works</v>
      </c>
      <c r="P31" s="584">
        <f>Ordinato!F31</f>
        <v>4502939064</v>
      </c>
      <c r="Q31" s="601">
        <f>Ordinato!G31</f>
        <v>176673</v>
      </c>
    </row>
    <row r="32" spans="8:17">
      <c r="H32" s="584" t="s">
        <v>610</v>
      </c>
      <c r="I32" s="585">
        <f>'0_Indirect'!C222</f>
        <v>2278160</v>
      </c>
      <c r="J32" s="585">
        <f>'0_Indirect'!E222</f>
        <v>2278159.9932666663</v>
      </c>
      <c r="L32" s="584" t="str">
        <f>Ordinato!B32</f>
        <v>MAR-KOP Marcin Mierzwa</v>
      </c>
      <c r="M32" s="584" t="str">
        <f>Ordinato!C32</f>
        <v>2_Civil Works</v>
      </c>
      <c r="N32" s="584" t="str">
        <f>Ordinato!D32</f>
        <v>2.2.2</v>
      </c>
      <c r="O32" s="584" t="str">
        <f>Ordinato!E32</f>
        <v>Earthworks</v>
      </c>
      <c r="P32" s="584">
        <f>Ordinato!F32</f>
        <v>4502939064</v>
      </c>
      <c r="Q32" s="601">
        <f>Ordinato!G32</f>
        <v>2196542</v>
      </c>
    </row>
    <row r="33" spans="2:17">
      <c r="H33" s="584" t="s">
        <v>221</v>
      </c>
      <c r="I33" s="585">
        <f>'0_Indirect'!C270</f>
        <v>1600208</v>
      </c>
      <c r="J33" s="585">
        <f>'0_Indirect'!E270</f>
        <v>1600208.0010311997</v>
      </c>
      <c r="L33" s="584" t="str">
        <f>Ordinato!B33</f>
        <v>MAR-KOP Marcin Mierzwa</v>
      </c>
      <c r="M33" s="584" t="str">
        <f>Ordinato!C33</f>
        <v>2_Civil Works</v>
      </c>
      <c r="N33" s="584" t="str">
        <f>Ordinato!D33</f>
        <v>2.2.3</v>
      </c>
      <c r="O33" s="584" t="str">
        <f>Ordinato!E33</f>
        <v>Earthworks – backfilling of retaining wall</v>
      </c>
      <c r="P33" s="584">
        <f>Ordinato!F33</f>
        <v>4502939064</v>
      </c>
      <c r="Q33" s="601">
        <f>Ordinato!G33</f>
        <v>313419</v>
      </c>
    </row>
    <row r="34" spans="2:17">
      <c r="H34" s="615" t="s">
        <v>227</v>
      </c>
      <c r="I34" s="618">
        <f>'0_Indirect'!C305</f>
        <v>-2931684.8500000006</v>
      </c>
      <c r="J34" s="618">
        <f>'0_Indirect'!E305</f>
        <v>-2936425.7054620702</v>
      </c>
      <c r="L34" s="584" t="str">
        <f>Ordinato!B34</f>
        <v>MAR-KOP Marcin Mierzwa</v>
      </c>
      <c r="M34" s="584" t="str">
        <f>Ordinato!C34</f>
        <v>7_Backup</v>
      </c>
      <c r="N34" s="584" t="str">
        <f>Ordinato!D34</f>
        <v>7.1.1</v>
      </c>
      <c r="O34" s="584" t="str">
        <f>Ordinato!E34</f>
        <v>Earthmoving robots ECR 3</v>
      </c>
      <c r="P34" s="584">
        <f>Ordinato!F34</f>
        <v>4502939064</v>
      </c>
      <c r="Q34" s="601">
        <f>Ordinato!G34</f>
        <v>322212.81</v>
      </c>
    </row>
    <row r="35" spans="2:17">
      <c r="B35" s="581" t="s">
        <v>660</v>
      </c>
      <c r="I35" s="587">
        <f>SUM(I28:I34)</f>
        <v>40391014.149999999</v>
      </c>
      <c r="J35" s="587">
        <f>SUM(J28:J34)</f>
        <v>40386273.290180624</v>
      </c>
      <c r="L35" s="584" t="str">
        <f>Ordinato!B35</f>
        <v>KaBo</v>
      </c>
      <c r="M35" s="584" t="str">
        <f>Ordinato!C35</f>
        <v>7_Backup</v>
      </c>
      <c r="N35" s="584" t="str">
        <f>Ordinato!D35</f>
        <v>8.1.2</v>
      </c>
      <c r="O35" s="584" t="str">
        <f>Ordinato!E35</f>
        <v>Obtaining ECR 4 decisions and permits</v>
      </c>
      <c r="P35" s="584">
        <f>Ordinato!F35</f>
        <v>4502946461</v>
      </c>
      <c r="Q35" s="601">
        <f>Ordinato!G35</f>
        <v>400000</v>
      </c>
    </row>
    <row r="36" spans="2:17">
      <c r="L36" s="584" t="str">
        <f>Ordinato!B36</f>
        <v>ZAKŁAD SOZOTECHNIKI</v>
      </c>
      <c r="M36" s="584" t="str">
        <f>Ordinato!C36</f>
        <v>1_Design</v>
      </c>
      <c r="N36" s="584" t="str">
        <f>Ordinato!D36</f>
        <v>1.2.7.1</v>
      </c>
      <c r="O36" s="584" t="str">
        <f>Ordinato!E36</f>
        <v>Preparation of an application for an integrated permit, together with all necessary documents.</v>
      </c>
      <c r="P36" s="584">
        <f>Ordinato!F36</f>
        <v>4502966963</v>
      </c>
      <c r="Q36" s="601">
        <f>Ordinato!G36</f>
        <v>112999.99999999997</v>
      </c>
    </row>
    <row r="37" spans="2:17">
      <c r="L37" s="584" t="str">
        <f>Ordinato!B37</f>
        <v>BARG</v>
      </c>
      <c r="M37" s="584" t="str">
        <f>Ordinato!C37</f>
        <v>2_Civil Works</v>
      </c>
      <c r="N37" s="584" t="str">
        <f>Ordinato!D37</f>
        <v>2.5.1.1.2</v>
      </c>
      <c r="O37" s="584" t="str">
        <f>Ordinato!E37</f>
        <v>Concrete testing</v>
      </c>
      <c r="P37" s="584">
        <f>Ordinato!F37</f>
        <v>4502968920</v>
      </c>
      <c r="Q37" s="601">
        <f>Ordinato!G37</f>
        <v>131560</v>
      </c>
    </row>
    <row r="38" spans="2:17">
      <c r="L38" s="584" t="str">
        <f>Ordinato!B38</f>
        <v>PROJBUD</v>
      </c>
      <c r="M38" s="584" t="str">
        <f>Ordinato!C38</f>
        <v>7_Backup</v>
      </c>
      <c r="N38" s="584" t="str">
        <f>Ordinato!D38</f>
        <v>8.1.1</v>
      </c>
      <c r="O38" s="584" t="str">
        <f>Ordinato!E38</f>
        <v>Temporary traffic organization ECD 34</v>
      </c>
      <c r="P38" s="584">
        <f>Ordinato!F38</f>
        <v>4502971480</v>
      </c>
      <c r="Q38" s="601">
        <f>Ordinato!G38</f>
        <v>950</v>
      </c>
    </row>
    <row r="39" spans="2:17">
      <c r="L39" s="584" t="str">
        <f>Ordinato!B43</f>
        <v>Stump-Franki Sp. z o.o.</v>
      </c>
      <c r="M39" s="584" t="str">
        <f>Ordinato!C43</f>
        <v>2_Civil Works</v>
      </c>
      <c r="N39" s="584" t="str">
        <f>Ordinato!D43</f>
        <v>2.1.2</v>
      </c>
      <c r="O39" s="584" t="str">
        <f>Ordinato!E43</f>
        <v>Diaphragm wall and barrettes part 1</v>
      </c>
      <c r="P39" s="614" t="str">
        <f>Ordinato!F43</f>
        <v>ok</v>
      </c>
      <c r="Q39" s="601">
        <f>Ordinato!G43</f>
        <v>3176000</v>
      </c>
    </row>
    <row r="40" spans="2:17">
      <c r="L40" s="615" t="str">
        <f>Ordinato!B44</f>
        <v>Stump-Franki Sp. z o.o.</v>
      </c>
      <c r="M40" s="615" t="str">
        <f>Ordinato!C44</f>
        <v>2_Civil Works</v>
      </c>
      <c r="N40" s="615" t="str">
        <f>Ordinato!D44</f>
        <v>2.1.3</v>
      </c>
      <c r="O40" s="615" t="str">
        <f>Ordinato!E44</f>
        <v>Barrettes part 2</v>
      </c>
      <c r="P40" s="616" t="str">
        <f>Ordinato!F44</f>
        <v>ok</v>
      </c>
      <c r="Q40" s="617">
        <f>Ordinato!G44</f>
        <v>1124000</v>
      </c>
    </row>
    <row r="41" spans="2:17">
      <c r="Q41" s="607">
        <f>SUM(Q28:Q40)</f>
        <v>23478436.808999997</v>
      </c>
    </row>
    <row r="42" spans="2:17">
      <c r="Q42" s="580"/>
    </row>
    <row r="43" spans="2:17">
      <c r="L43" s="584" t="str">
        <f>Ordinato!B52</f>
        <v>TM.E. S.p.A - Termomeccanica Ecologia</v>
      </c>
      <c r="M43" s="584" t="str">
        <f>Ordinato!C52</f>
        <v>5_Mechanical &amp; Tech.</v>
      </c>
      <c r="N43" s="584" t="str">
        <f>Ordinato!D52</f>
        <v>5.3.1</v>
      </c>
      <c r="O43" s="584" t="str">
        <f>Ordinato!E52</f>
        <v>Furnace charging hopper + Furnace supporting steel structure + Complete grate fired furnace with waste feeding system + Hoppers under grate</v>
      </c>
      <c r="P43" s="614" t="str">
        <f>Ordinato!F52</f>
        <v>ok</v>
      </c>
      <c r="Q43" s="601">
        <f>Ordinato!G52</f>
        <v>33754999.997777782</v>
      </c>
    </row>
    <row r="44" spans="2:17">
      <c r="L44" s="584" t="str">
        <f>Ordinato!B53</f>
        <v>TM.E. S.p.A - Termomeccanica Ecologia</v>
      </c>
      <c r="M44" s="584" t="str">
        <f>Ordinato!C53</f>
        <v>5_Mechanical &amp; Tech.</v>
      </c>
      <c r="N44" s="584" t="str">
        <f>Ordinato!D53</f>
        <v>5.7.2</v>
      </c>
      <c r="O44" s="584" t="str">
        <f>Ordinato!E53</f>
        <v>Flue gas treatment (FGT): Bag filter, Reactor, DeNOx, Flue gas condensation, Lime and activated carbon silos, dosing system</v>
      </c>
      <c r="P44" s="614" t="str">
        <f>Ordinato!F53</f>
        <v>ok</v>
      </c>
      <c r="Q44" s="601">
        <f>Ordinato!G53</f>
        <v>33755000</v>
      </c>
    </row>
    <row r="45" spans="2:17">
      <c r="L45" s="615" t="str">
        <f>Ordinato!B39</f>
        <v>TME</v>
      </c>
      <c r="M45" s="615" t="str">
        <f>Ordinato!C39</f>
        <v>1_Design</v>
      </c>
      <c r="N45" s="615" t="str">
        <f>Ordinato!D39</f>
        <v>1.1</v>
      </c>
      <c r="O45" s="615" t="str">
        <f>Ordinato!E39</f>
        <v>TME design</v>
      </c>
      <c r="P45" s="616" t="str">
        <f>Ordinato!F39</f>
        <v>ok</v>
      </c>
      <c r="Q45" s="617">
        <f>Ordinato!G39</f>
        <v>9890000</v>
      </c>
    </row>
    <row r="46" spans="2:17">
      <c r="Q46" s="607">
        <f>SUM(Q43:Q45)</f>
        <v>77399999.99777779</v>
      </c>
    </row>
    <row r="47" spans="2:17">
      <c r="Q47" s="580"/>
    </row>
    <row r="48" spans="2:17">
      <c r="L48" s="584" t="str">
        <f>Ordinato!B40</f>
        <v>ELEKTROSERV - ZAP</v>
      </c>
      <c r="M48" s="584" t="str">
        <f>Ordinato!C40</f>
        <v>1_Design</v>
      </c>
      <c r="N48" s="584" t="str">
        <f>Ordinato!D40</f>
        <v>1.2.4</v>
      </c>
      <c r="O48" s="584" t="str">
        <f>Ordinato!E40</f>
        <v xml:space="preserve">Electrical &amp; I/C detailed design </v>
      </c>
      <c r="P48" s="584">
        <f>Ordinato!F40</f>
        <v>0</v>
      </c>
      <c r="Q48" s="601">
        <f>Ordinato!G40</f>
        <v>1580000.0000000009</v>
      </c>
    </row>
    <row r="49" spans="12:17">
      <c r="L49" s="584" t="str">
        <f>Ordinato!B49</f>
        <v>ELEKTROSERV - ZAP</v>
      </c>
      <c r="M49" s="584" t="str">
        <f>Ordinato!C49</f>
        <v>3_Electrical Works</v>
      </c>
      <c r="N49" s="584" t="str">
        <f>Ordinato!D49</f>
        <v>3.1.1.1</v>
      </c>
      <c r="O49" s="584" t="str">
        <f>Ordinato!E49</f>
        <v>Delivery and installation of electrical equipment</v>
      </c>
      <c r="P49" s="584">
        <f>Ordinato!F49</f>
        <v>0</v>
      </c>
      <c r="Q49" s="601">
        <f>Ordinato!G49</f>
        <v>28282000.000000007</v>
      </c>
    </row>
    <row r="50" spans="12:17">
      <c r="L50" s="584" t="str">
        <f>Ordinato!B50</f>
        <v>ELEKTROSERV - ZAP</v>
      </c>
      <c r="M50" s="584" t="str">
        <f>Ordinato!C50</f>
        <v>3_Electrical Works</v>
      </c>
      <c r="N50" s="584" t="str">
        <f>Ordinato!D50</f>
        <v>3.2.1</v>
      </c>
      <c r="O50" s="584" t="str">
        <f>Ordinato!E50</f>
        <v>Teletechnical installations</v>
      </c>
      <c r="P50" s="584">
        <f>Ordinato!F50</f>
        <v>0</v>
      </c>
      <c r="Q50" s="601">
        <f>Ordinato!G50</f>
        <v>2579200</v>
      </c>
    </row>
    <row r="51" spans="12:17">
      <c r="L51" s="584" t="str">
        <f>Ordinato!B51</f>
        <v>ELEKTROSERV - ZAP</v>
      </c>
      <c r="M51" s="584" t="str">
        <f>Ordinato!C51</f>
        <v>3_Electrical Works</v>
      </c>
      <c r="N51" s="584" t="str">
        <f>Ordinato!D51</f>
        <v>3.4.1.1</v>
      </c>
      <c r="O51" s="584" t="str">
        <f>Ordinato!E51</f>
        <v>Automation system and instrumentation, communication networks and control room devices</v>
      </c>
      <c r="P51" s="584">
        <f>Ordinato!F51</f>
        <v>0</v>
      </c>
      <c r="Q51" s="601">
        <f>Ordinato!G51</f>
        <v>5208800</v>
      </c>
    </row>
    <row r="52" spans="12:17">
      <c r="L52" s="584" t="str">
        <f>Ordinato!B55</f>
        <v>ELEKTROSERV - ZAP</v>
      </c>
      <c r="M52" s="584" t="str">
        <f>Ordinato!C55</f>
        <v>6_Commissioning</v>
      </c>
      <c r="N52" s="584" t="str">
        <f>Ordinato!D55</f>
        <v>6.4.1</v>
      </c>
      <c r="O52" s="584" t="str">
        <f>Ordinato!E55</f>
        <v>Warranty extension for electrical works</v>
      </c>
      <c r="P52" s="584">
        <f>Ordinato!F55</f>
        <v>0</v>
      </c>
      <c r="Q52" s="601">
        <f>Ordinato!G55</f>
        <v>100000</v>
      </c>
    </row>
    <row r="53" spans="12:17">
      <c r="L53" s="584" t="str">
        <f>Ordinato!B41</f>
        <v>MENOS</v>
      </c>
      <c r="M53" s="584" t="str">
        <f>Ordinato!C41</f>
        <v>1_Design</v>
      </c>
      <c r="N53" s="584" t="str">
        <f>Ordinato!D41</f>
        <v>1.2.5.1</v>
      </c>
      <c r="O53" s="584" t="str">
        <f>Ordinato!E41</f>
        <v>Building and detailed design of the GPO/GPZ station</v>
      </c>
      <c r="P53" s="584">
        <f>Ordinato!F41</f>
        <v>0</v>
      </c>
      <c r="Q53" s="601">
        <f>Ordinato!G41</f>
        <v>389999.99939999986</v>
      </c>
    </row>
    <row r="54" spans="12:17">
      <c r="L54" s="584" t="str">
        <f>Ordinato!B42</f>
        <v>KaBo</v>
      </c>
      <c r="M54" s="584" t="str">
        <f>Ordinato!C42</f>
        <v>1_Design</v>
      </c>
      <c r="N54" s="584" t="str">
        <f>Ordinato!D42</f>
        <v>1.11</v>
      </c>
      <c r="O54" s="584" t="str">
        <f>Ordinato!E42</f>
        <v>Obtaining decisions and permits</v>
      </c>
      <c r="P54" s="584">
        <f>Ordinato!F42</f>
        <v>0</v>
      </c>
      <c r="Q54" s="601">
        <f>Ordinato!G42</f>
        <v>17000000</v>
      </c>
    </row>
    <row r="55" spans="12:17">
      <c r="L55" s="584" t="str">
        <f>Ordinato!B46</f>
        <v>BETARD</v>
      </c>
      <c r="M55" s="584" t="str">
        <f>Ordinato!C46</f>
        <v>2_Civil Works</v>
      </c>
      <c r="N55" s="584" t="str">
        <f>Ordinato!D46</f>
        <v>2.5.2.1.1</v>
      </c>
      <c r="O55" s="584" t="str">
        <f>Ordinato!E46</f>
        <v>Reinforced concrete structure of the above-ground part of the B1 building - delivery and assembly of prefabricated elements</v>
      </c>
      <c r="P55" s="584">
        <f>Ordinato!F46</f>
        <v>0</v>
      </c>
      <c r="Q55" s="601">
        <f>Ordinato!G46</f>
        <v>18699999.999999996</v>
      </c>
    </row>
    <row r="56" spans="12:17">
      <c r="L56" s="584" t="str">
        <f>Ordinato!B47</f>
        <v>BUSZREM</v>
      </c>
      <c r="M56" s="584" t="str">
        <f>Ordinato!C47</f>
        <v>2_Civil Works</v>
      </c>
      <c r="N56" s="584" t="str">
        <f>Ordinato!D47</f>
        <v>2.5.2.4</v>
      </c>
      <c r="O56" s="584" t="str">
        <f>Ordinato!E47</f>
        <v>Supply of concrete mix with pumping service</v>
      </c>
      <c r="P56" s="584">
        <f>Ordinato!F47</f>
        <v>0</v>
      </c>
      <c r="Q56" s="601">
        <f>Ordinato!G47</f>
        <v>29639</v>
      </c>
    </row>
    <row r="57" spans="12:17">
      <c r="L57" s="584" t="str">
        <f>Ordinato!B48</f>
        <v>BUSZREM</v>
      </c>
      <c r="M57" s="584" t="str">
        <f>Ordinato!C48</f>
        <v>2_Civil Works</v>
      </c>
      <c r="N57" s="584" t="str">
        <f>Ordinato!D48</f>
        <v>2.11.5.1</v>
      </c>
      <c r="O57" s="584" t="str">
        <f>Ordinato!E48</f>
        <v>Delivery of concrete mix with pumping service</v>
      </c>
      <c r="P57" s="584">
        <f>Ordinato!F48</f>
        <v>0</v>
      </c>
      <c r="Q57" s="601">
        <f>Ordinato!G48</f>
        <v>1040470.0024999999</v>
      </c>
    </row>
    <row r="58" spans="12:17">
      <c r="L58" s="584" t="str">
        <f>Ordinato!B45</f>
        <v>BUSZREM</v>
      </c>
      <c r="M58" s="584" t="str">
        <f>Ordinato!C45</f>
        <v>2_Civil Works</v>
      </c>
      <c r="N58" s="584" t="str">
        <f>Ordinato!D45</f>
        <v>2.5.1.2</v>
      </c>
      <c r="O58" s="584" t="str">
        <f>Ordinato!E45</f>
        <v>Supply of concrete mix with pumping service</v>
      </c>
      <c r="P58" s="584">
        <f>Ordinato!F45</f>
        <v>0</v>
      </c>
      <c r="Q58" s="601">
        <f>Ordinato!G45</f>
        <v>3419999.9999999991</v>
      </c>
    </row>
    <row r="59" spans="12:17">
      <c r="L59" s="615" t="str">
        <f>Ordinato!B54</f>
        <v>AS Rusztowania</v>
      </c>
      <c r="M59" s="615" t="str">
        <f>Ordinato!C54</f>
        <v>5_Mechanical &amp; Tech.</v>
      </c>
      <c r="N59" s="615" t="str">
        <f>Ordinato!D54</f>
        <v>5.14.1.1</v>
      </c>
      <c r="O59" s="615" t="str">
        <f>Ordinato!E54</f>
        <v>Scaffoldings</v>
      </c>
      <c r="P59" s="615">
        <f>Ordinato!F54</f>
        <v>0</v>
      </c>
      <c r="Q59" s="617">
        <f>Ordinato!G54</f>
        <v>700000.00000000035</v>
      </c>
    </row>
    <row r="60" spans="12:17">
      <c r="Q60" s="607">
        <f>SUM(Q48:Q59)</f>
        <v>79030109.001900002</v>
      </c>
    </row>
    <row r="61" spans="12:17">
      <c r="Q61" s="580"/>
    </row>
    <row r="62" spans="12:17" ht="14.65" thickBot="1">
      <c r="L62" s="975" t="s">
        <v>688</v>
      </c>
      <c r="M62" s="975"/>
      <c r="N62" s="975"/>
      <c r="O62" s="975"/>
      <c r="P62" s="975"/>
      <c r="Q62" s="975"/>
    </row>
    <row r="63" spans="12:17">
      <c r="Q63" s="580"/>
    </row>
    <row r="64" spans="12:17">
      <c r="L64" s="589" t="s">
        <v>280</v>
      </c>
      <c r="M64" s="607"/>
      <c r="N64" s="607"/>
      <c r="O64" s="607"/>
      <c r="P64" s="607"/>
      <c r="Q64" s="607"/>
    </row>
    <row r="65" spans="12:16">
      <c r="L65" s="589"/>
      <c r="M65" s="589"/>
      <c r="N65" s="589"/>
      <c r="O65" s="589"/>
      <c r="P65" s="589"/>
    </row>
    <row r="66" spans="12:16">
      <c r="L66" s="589" t="s">
        <v>265</v>
      </c>
      <c r="M66" s="589"/>
      <c r="N66" s="589"/>
      <c r="O66" s="589"/>
      <c r="P66" s="589"/>
    </row>
    <row r="67" spans="12:16">
      <c r="L67" s="589"/>
      <c r="M67" s="589"/>
      <c r="N67" s="589"/>
      <c r="O67" s="589"/>
      <c r="P67" s="589"/>
    </row>
    <row r="68" spans="12:16">
      <c r="L68" s="589" t="s">
        <v>279</v>
      </c>
      <c r="M68" s="589"/>
      <c r="N68" s="589"/>
      <c r="O68" s="589"/>
      <c r="P68" s="589"/>
    </row>
    <row r="69" spans="12:16">
      <c r="L69" s="589"/>
      <c r="M69" s="589"/>
      <c r="N69" s="589"/>
      <c r="O69" s="589"/>
      <c r="P69" s="589"/>
    </row>
    <row r="70" spans="12:16">
      <c r="L70" s="589" t="s">
        <v>318</v>
      </c>
      <c r="M70" s="589"/>
      <c r="N70" s="589"/>
      <c r="O70" s="589"/>
      <c r="P70" s="589"/>
    </row>
    <row r="71" spans="12:16">
      <c r="L71" s="589"/>
      <c r="M71" s="589"/>
      <c r="N71" s="589"/>
      <c r="O71" s="589"/>
      <c r="P71" s="589"/>
    </row>
    <row r="72" spans="12:16">
      <c r="L72" s="589" t="s">
        <v>319</v>
      </c>
      <c r="M72" s="589"/>
      <c r="N72" s="589"/>
      <c r="O72" s="589"/>
      <c r="P72" s="589"/>
    </row>
    <row r="73" spans="12:16">
      <c r="L73" s="589"/>
      <c r="M73" s="589"/>
      <c r="N73" s="589"/>
      <c r="O73" s="589"/>
      <c r="P73" s="589"/>
    </row>
    <row r="74" spans="12:16">
      <c r="L74" s="589" t="s">
        <v>544</v>
      </c>
      <c r="M74" s="589"/>
      <c r="N74" s="589"/>
      <c r="O74" s="589"/>
      <c r="P74" s="589"/>
    </row>
    <row r="75" spans="12:16">
      <c r="M75" s="589"/>
      <c r="N75" s="589"/>
      <c r="O75" s="589"/>
      <c r="P75" s="589"/>
    </row>
    <row r="76" spans="12:16">
      <c r="L76" s="589"/>
      <c r="M76" s="589"/>
      <c r="N76" s="589"/>
      <c r="O76" s="589"/>
      <c r="P76" s="589"/>
    </row>
    <row r="77" spans="12:16">
      <c r="L77" s="589"/>
      <c r="M77" s="589"/>
      <c r="N77" s="589"/>
      <c r="O77" s="589"/>
      <c r="P77" s="589"/>
    </row>
  </sheetData>
  <mergeCells count="5">
    <mergeCell ref="L62:Q62"/>
    <mergeCell ref="H15:J15"/>
    <mergeCell ref="H26:J26"/>
    <mergeCell ref="L26:Q26"/>
    <mergeCell ref="L16:M16"/>
  </mergeCells>
  <pageMargins left="0.7" right="0.7" top="0.75" bottom="0.75" header="0.3" footer="0.3"/>
  <pageSetup paperSize="9" scale="3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EDD55-DA2E-4FB7-9B89-39E12D17CA7B}">
  <sheetPr>
    <tabColor theme="5" tint="-0.249977111117893"/>
    <pageSetUpPr fitToPage="1"/>
  </sheetPr>
  <dimension ref="B2:H61"/>
  <sheetViews>
    <sheetView workbookViewId="0">
      <selection activeCell="E21" sqref="E21"/>
    </sheetView>
  </sheetViews>
  <sheetFormatPr defaultRowHeight="14.25"/>
  <cols>
    <col min="1" max="1" width="2.86328125" customWidth="1"/>
    <col min="2" max="2" width="36.46484375" bestFit="1" customWidth="1"/>
    <col min="3" max="3" width="22.53125" customWidth="1"/>
    <col min="4" max="4" width="8.19921875" bestFit="1" customWidth="1"/>
    <col min="5" max="5" width="112.796875" customWidth="1"/>
    <col min="6" max="6" width="13.86328125" customWidth="1"/>
    <col min="7" max="7" width="13.6640625" style="259" bestFit="1" customWidth="1"/>
    <col min="8" max="8" width="13.6640625" bestFit="1" customWidth="1"/>
  </cols>
  <sheetData>
    <row r="2" spans="2:5">
      <c r="B2" s="565" t="s">
        <v>658</v>
      </c>
      <c r="C2" s="566">
        <f>'JV RIEPILOGO'!I32</f>
        <v>501457853.0228287</v>
      </c>
    </row>
    <row r="3" spans="2:5">
      <c r="B3" s="562" t="s">
        <v>657</v>
      </c>
      <c r="C3" s="558">
        <f ca="1">SUM(C8:C23)</f>
        <v>179908545.80867779</v>
      </c>
      <c r="D3" s="567">
        <f ca="1">C3/C2</f>
        <v>0.35877102078305179</v>
      </c>
    </row>
    <row r="4" spans="2:5">
      <c r="B4" s="541" t="s">
        <v>20</v>
      </c>
      <c r="C4" s="559">
        <f ca="1">C9+C8</f>
        <v>77399999.99777779</v>
      </c>
      <c r="D4" s="258">
        <f ca="1">C4/$C$3</f>
        <v>0.43021858494753307</v>
      </c>
    </row>
    <row r="5" spans="2:5">
      <c r="B5" s="541" t="s">
        <v>654</v>
      </c>
      <c r="C5" s="560">
        <f>G28+G29+G31+G30+G32+G33+G35+G34+G36+G37+G38</f>
        <v>19178436.808999997</v>
      </c>
      <c r="D5" s="258">
        <f ca="1">C5/$C$3</f>
        <v>0.10660103289031718</v>
      </c>
    </row>
    <row r="6" spans="2:5">
      <c r="B6" s="543" t="s">
        <v>655</v>
      </c>
      <c r="C6" s="561">
        <f>G40+G41+G42+G43+G44+G45+G46+G47+G48+G49+G50+G51+G54+G55</f>
        <v>83330109.001900002</v>
      </c>
      <c r="D6" s="258">
        <f ca="1">C6/$C$3</f>
        <v>0.46318038216214974</v>
      </c>
    </row>
    <row r="8" spans="2:5">
      <c r="B8" s="538" t="s">
        <v>20</v>
      </c>
      <c r="C8" s="563">
        <f ca="1">SUMIF($B$28:$B$5004,B8,$G$28:$G$5003)</f>
        <v>9890000</v>
      </c>
      <c r="D8" s="258">
        <f ca="1">C8/$C$3</f>
        <v>5.4972374744874188E-2</v>
      </c>
    </row>
    <row r="9" spans="2:5">
      <c r="B9" s="543" t="s">
        <v>543</v>
      </c>
      <c r="C9" s="564">
        <f ca="1">SUMIF($B$28:$B$5004,B9,$G$28:$G$5003)</f>
        <v>67509999.99777779</v>
      </c>
      <c r="D9" s="258">
        <f ca="1">C9/$C$3</f>
        <v>0.37524621020265886</v>
      </c>
    </row>
    <row r="11" spans="2:5">
      <c r="B11" s="538" t="s">
        <v>253</v>
      </c>
      <c r="C11" s="563">
        <f t="shared" ref="C11:C23" ca="1" si="0">SUMIF($B$28:$B$5004,B11,$G$28:$G$5003)</f>
        <v>12100000</v>
      </c>
      <c r="D11" s="258">
        <f t="shared" ref="D11:D21" ca="1" si="1">C11/$C$3</f>
        <v>6.7256393772798545E-2</v>
      </c>
    </row>
    <row r="12" spans="2:5">
      <c r="B12" s="541" t="s">
        <v>280</v>
      </c>
      <c r="C12" s="568">
        <f t="shared" ca="1" si="0"/>
        <v>37750000.000000007</v>
      </c>
      <c r="D12" s="258">
        <f t="shared" ca="1" si="1"/>
        <v>0.20982883181183024</v>
      </c>
      <c r="E12" t="s">
        <v>653</v>
      </c>
    </row>
    <row r="13" spans="2:5">
      <c r="B13" s="541" t="s">
        <v>265</v>
      </c>
      <c r="C13" s="568">
        <f t="shared" ca="1" si="0"/>
        <v>389999.99939999986</v>
      </c>
      <c r="D13" s="258">
        <f t="shared" ca="1" si="1"/>
        <v>2.1677680604163295E-3</v>
      </c>
    </row>
    <row r="14" spans="2:5">
      <c r="B14" s="541" t="s">
        <v>283</v>
      </c>
      <c r="C14" s="568">
        <f t="shared" ca="1" si="0"/>
        <v>112999.99999999997</v>
      </c>
      <c r="D14" s="258">
        <f t="shared" ca="1" si="1"/>
        <v>6.2809690052282924E-4</v>
      </c>
    </row>
    <row r="15" spans="2:5">
      <c r="B15" s="541" t="s">
        <v>279</v>
      </c>
      <c r="C15" s="568">
        <f t="shared" ca="1" si="0"/>
        <v>17400000</v>
      </c>
      <c r="D15" s="258">
        <f t="shared" ca="1" si="1"/>
        <v>9.671580592121444E-2</v>
      </c>
    </row>
    <row r="16" spans="2:5">
      <c r="B16" s="541" t="s">
        <v>287</v>
      </c>
      <c r="C16" s="568">
        <f t="shared" ca="1" si="0"/>
        <v>4300000</v>
      </c>
      <c r="D16" s="258">
        <f t="shared" ca="1" si="1"/>
        <v>2.3901032497771386E-2</v>
      </c>
    </row>
    <row r="17" spans="2:8">
      <c r="B17" s="541" t="s">
        <v>291</v>
      </c>
      <c r="C17" s="568">
        <f t="shared" ca="1" si="0"/>
        <v>3008846.81</v>
      </c>
      <c r="D17" s="258">
        <f t="shared" ca="1" si="1"/>
        <v>1.6724312880610645E-2</v>
      </c>
    </row>
    <row r="18" spans="2:8">
      <c r="B18" s="541" t="s">
        <v>316</v>
      </c>
      <c r="C18" s="568">
        <f t="shared" ca="1" si="0"/>
        <v>3424079.9990000003</v>
      </c>
      <c r="D18" s="258">
        <f t="shared" ca="1" si="1"/>
        <v>1.9032336588620469E-2</v>
      </c>
    </row>
    <row r="19" spans="2:8">
      <c r="B19" s="541" t="s">
        <v>317</v>
      </c>
      <c r="C19" s="568">
        <f t="shared" ca="1" si="0"/>
        <v>131560</v>
      </c>
      <c r="D19" s="258">
        <f t="shared" ca="1" si="1"/>
        <v>7.3126042683879149E-4</v>
      </c>
    </row>
    <row r="20" spans="2:8">
      <c r="B20" s="541" t="s">
        <v>318</v>
      </c>
      <c r="C20" s="568">
        <f t="shared" ca="1" si="0"/>
        <v>4490109.0024999995</v>
      </c>
      <c r="D20" s="258">
        <f t="shared" ca="1" si="1"/>
        <v>2.495773050867171E-2</v>
      </c>
    </row>
    <row r="21" spans="2:8">
      <c r="B21" s="541" t="s">
        <v>319</v>
      </c>
      <c r="C21" s="568">
        <f t="shared" ca="1" si="0"/>
        <v>18699999.999999996</v>
      </c>
      <c r="D21" s="258">
        <f t="shared" ca="1" si="1"/>
        <v>0.10394169946705228</v>
      </c>
    </row>
    <row r="22" spans="2:8">
      <c r="B22" s="541" t="s">
        <v>544</v>
      </c>
      <c r="C22" s="568">
        <f t="shared" ca="1" si="0"/>
        <v>700000.00000000035</v>
      </c>
      <c r="D22" s="258">
        <f t="shared" ref="D22" ca="1" si="2">C22/$C$3</f>
        <v>3.8908657554511577E-3</v>
      </c>
    </row>
    <row r="23" spans="2:8">
      <c r="B23" s="543" t="s">
        <v>574</v>
      </c>
      <c r="C23" s="564">
        <f t="shared" ca="1" si="0"/>
        <v>950</v>
      </c>
      <c r="D23" s="258">
        <f ca="1">C23/$C$3</f>
        <v>5.2804606681122833E-6</v>
      </c>
    </row>
    <row r="24" spans="2:8">
      <c r="C24" s="259"/>
      <c r="D24" s="258"/>
    </row>
    <row r="27" spans="2:8">
      <c r="B27" s="556" t="s">
        <v>636</v>
      </c>
      <c r="C27" s="556" t="s">
        <v>637</v>
      </c>
      <c r="D27" s="556" t="s">
        <v>646</v>
      </c>
      <c r="E27" s="556" t="s">
        <v>638</v>
      </c>
      <c r="F27" s="556" t="s">
        <v>640</v>
      </c>
      <c r="G27" s="557" t="s">
        <v>639</v>
      </c>
      <c r="H27" s="571"/>
    </row>
    <row r="28" spans="2:8">
      <c r="B28" s="538" t="s">
        <v>253</v>
      </c>
      <c r="C28" s="549" t="s">
        <v>647</v>
      </c>
      <c r="D28" s="539" t="s">
        <v>250</v>
      </c>
      <c r="E28" s="539" t="s">
        <v>252</v>
      </c>
      <c r="F28" s="539">
        <v>4502938068</v>
      </c>
      <c r="G28" s="540">
        <v>12100000</v>
      </c>
    </row>
    <row r="29" spans="2:8">
      <c r="B29" s="538" t="s">
        <v>316</v>
      </c>
      <c r="C29" s="549" t="s">
        <v>648</v>
      </c>
      <c r="D29" s="539" t="s">
        <v>294</v>
      </c>
      <c r="E29" s="539" t="s">
        <v>309</v>
      </c>
      <c r="F29" s="539">
        <v>4502938804</v>
      </c>
      <c r="G29" s="540">
        <v>1821319.0000000002</v>
      </c>
      <c r="H29" s="571"/>
    </row>
    <row r="30" spans="2:8">
      <c r="B30" s="543" t="s">
        <v>316</v>
      </c>
      <c r="C30" s="550" t="s">
        <v>648</v>
      </c>
      <c r="D30" s="544" t="s">
        <v>303</v>
      </c>
      <c r="E30" s="544" t="s">
        <v>309</v>
      </c>
      <c r="F30" s="544">
        <v>4502938804</v>
      </c>
      <c r="G30" s="545">
        <v>1602760.9990000001</v>
      </c>
      <c r="H30" s="569"/>
    </row>
    <row r="31" spans="2:8">
      <c r="B31" s="538" t="s">
        <v>291</v>
      </c>
      <c r="C31" s="549" t="s">
        <v>648</v>
      </c>
      <c r="D31" s="539" t="s">
        <v>32</v>
      </c>
      <c r="E31" s="539" t="s">
        <v>288</v>
      </c>
      <c r="F31" s="539">
        <v>4502939064</v>
      </c>
      <c r="G31" s="540">
        <v>176673</v>
      </c>
      <c r="H31" s="569"/>
    </row>
    <row r="32" spans="2:8">
      <c r="B32" s="541" t="s">
        <v>291</v>
      </c>
      <c r="C32" s="554" t="s">
        <v>648</v>
      </c>
      <c r="D32" t="s">
        <v>159</v>
      </c>
      <c r="E32" t="s">
        <v>289</v>
      </c>
      <c r="F32">
        <v>4502939064</v>
      </c>
      <c r="G32" s="542">
        <v>2196542</v>
      </c>
      <c r="H32" s="569"/>
    </row>
    <row r="33" spans="2:8">
      <c r="B33" s="541" t="s">
        <v>291</v>
      </c>
      <c r="C33" s="554" t="s">
        <v>648</v>
      </c>
      <c r="D33" t="s">
        <v>160</v>
      </c>
      <c r="E33" t="s">
        <v>290</v>
      </c>
      <c r="F33">
        <v>4502939064</v>
      </c>
      <c r="G33" s="542">
        <v>313419</v>
      </c>
      <c r="H33" s="569"/>
    </row>
    <row r="34" spans="2:8">
      <c r="B34" s="541" t="s">
        <v>291</v>
      </c>
      <c r="C34" s="554" t="s">
        <v>652</v>
      </c>
      <c r="D34" t="s">
        <v>139</v>
      </c>
      <c r="E34" t="s">
        <v>656</v>
      </c>
      <c r="F34">
        <v>4502939064</v>
      </c>
      <c r="G34" s="542">
        <v>322212.81</v>
      </c>
      <c r="H34" s="569"/>
    </row>
    <row r="35" spans="2:8">
      <c r="B35" s="546" t="s">
        <v>279</v>
      </c>
      <c r="C35" s="551" t="s">
        <v>652</v>
      </c>
      <c r="D35" s="547" t="s">
        <v>573</v>
      </c>
      <c r="E35" s="547" t="s">
        <v>645</v>
      </c>
      <c r="F35" s="547">
        <v>4502946461</v>
      </c>
      <c r="G35" s="548">
        <v>400000</v>
      </c>
      <c r="H35" s="569"/>
    </row>
    <row r="36" spans="2:8">
      <c r="B36" s="541" t="s">
        <v>283</v>
      </c>
      <c r="C36" s="554" t="s">
        <v>647</v>
      </c>
      <c r="D36" t="s">
        <v>281</v>
      </c>
      <c r="E36" t="s">
        <v>282</v>
      </c>
      <c r="F36">
        <v>4502966963</v>
      </c>
      <c r="G36" s="542">
        <v>112999.99999999997</v>
      </c>
      <c r="H36" s="569"/>
    </row>
    <row r="37" spans="2:8">
      <c r="B37" s="546" t="s">
        <v>317</v>
      </c>
      <c r="C37" s="551" t="s">
        <v>648</v>
      </c>
      <c r="D37" s="547" t="s">
        <v>295</v>
      </c>
      <c r="E37" s="547" t="s">
        <v>641</v>
      </c>
      <c r="F37" s="547">
        <v>4502968920</v>
      </c>
      <c r="G37" s="548">
        <v>131560</v>
      </c>
      <c r="H37" s="570">
        <f>SUM(G29:G37)</f>
        <v>7077486.8089999994</v>
      </c>
    </row>
    <row r="38" spans="2:8">
      <c r="B38" s="546" t="s">
        <v>574</v>
      </c>
      <c r="C38" s="551" t="s">
        <v>652</v>
      </c>
      <c r="D38" s="547" t="s">
        <v>572</v>
      </c>
      <c r="E38" s="547" t="s">
        <v>644</v>
      </c>
      <c r="F38" s="547">
        <v>4502971480</v>
      </c>
      <c r="G38" s="548">
        <v>950</v>
      </c>
      <c r="H38" s="569"/>
    </row>
    <row r="39" spans="2:8">
      <c r="B39" s="541" t="s">
        <v>20</v>
      </c>
      <c r="C39" s="554" t="s">
        <v>647</v>
      </c>
      <c r="D39" t="s">
        <v>18</v>
      </c>
      <c r="E39" t="s">
        <v>19</v>
      </c>
      <c r="F39" s="613" t="s">
        <v>687</v>
      </c>
      <c r="G39" s="542">
        <v>9890000</v>
      </c>
      <c r="H39" s="569"/>
    </row>
    <row r="40" spans="2:8">
      <c r="B40" s="541" t="s">
        <v>280</v>
      </c>
      <c r="C40" s="554" t="s">
        <v>647</v>
      </c>
      <c r="D40" t="s">
        <v>255</v>
      </c>
      <c r="E40" t="s">
        <v>261</v>
      </c>
      <c r="F40" s="555"/>
      <c r="G40" s="542">
        <v>1580000.0000000009</v>
      </c>
      <c r="H40" s="569"/>
    </row>
    <row r="41" spans="2:8">
      <c r="B41" s="541" t="s">
        <v>265</v>
      </c>
      <c r="C41" s="554" t="s">
        <v>647</v>
      </c>
      <c r="D41" t="s">
        <v>257</v>
      </c>
      <c r="E41" t="s">
        <v>262</v>
      </c>
      <c r="F41" s="555"/>
      <c r="G41" s="542">
        <v>389999.99939999986</v>
      </c>
      <c r="H41" s="569"/>
    </row>
    <row r="42" spans="2:8">
      <c r="B42" s="541" t="s">
        <v>279</v>
      </c>
      <c r="C42" s="554" t="s">
        <v>647</v>
      </c>
      <c r="D42" t="s">
        <v>271</v>
      </c>
      <c r="E42" t="s">
        <v>272</v>
      </c>
      <c r="F42" s="555"/>
      <c r="G42" s="542">
        <v>17000000</v>
      </c>
      <c r="H42" s="569"/>
    </row>
    <row r="43" spans="2:8">
      <c r="B43" s="541" t="s">
        <v>287</v>
      </c>
      <c r="C43" s="554" t="s">
        <v>648</v>
      </c>
      <c r="D43" t="s">
        <v>30</v>
      </c>
      <c r="E43" t="s">
        <v>285</v>
      </c>
      <c r="F43" s="613" t="s">
        <v>687</v>
      </c>
      <c r="G43" s="542">
        <v>3176000</v>
      </c>
      <c r="H43" s="569"/>
    </row>
    <row r="44" spans="2:8">
      <c r="B44" s="541" t="s">
        <v>287</v>
      </c>
      <c r="C44" s="554" t="s">
        <v>648</v>
      </c>
      <c r="D44" t="s">
        <v>155</v>
      </c>
      <c r="E44" t="s">
        <v>286</v>
      </c>
      <c r="F44" s="613" t="s">
        <v>687</v>
      </c>
      <c r="G44" s="542">
        <v>1124000</v>
      </c>
      <c r="H44" s="569"/>
    </row>
    <row r="45" spans="2:8">
      <c r="B45" s="541" t="s">
        <v>318</v>
      </c>
      <c r="C45" s="554" t="s">
        <v>648</v>
      </c>
      <c r="D45" t="s">
        <v>296</v>
      </c>
      <c r="E45" t="s">
        <v>310</v>
      </c>
      <c r="F45" s="555"/>
      <c r="G45" s="542">
        <v>3419999.9999999991</v>
      </c>
      <c r="H45" s="569"/>
    </row>
    <row r="46" spans="2:8">
      <c r="B46" s="541" t="s">
        <v>319</v>
      </c>
      <c r="C46" s="554" t="s">
        <v>648</v>
      </c>
      <c r="D46" t="s">
        <v>300</v>
      </c>
      <c r="E46" t="s">
        <v>313</v>
      </c>
      <c r="F46" s="555"/>
      <c r="G46" s="542">
        <v>18699999.999999996</v>
      </c>
      <c r="H46" s="569"/>
    </row>
    <row r="47" spans="2:8">
      <c r="B47" s="541" t="s">
        <v>318</v>
      </c>
      <c r="C47" s="554" t="s">
        <v>648</v>
      </c>
      <c r="D47" t="s">
        <v>304</v>
      </c>
      <c r="E47" t="s">
        <v>310</v>
      </c>
      <c r="F47" s="555"/>
      <c r="G47" s="542">
        <v>29639</v>
      </c>
      <c r="H47" s="569"/>
    </row>
    <row r="48" spans="2:8">
      <c r="B48" s="543" t="s">
        <v>318</v>
      </c>
      <c r="C48" s="550" t="s">
        <v>648</v>
      </c>
      <c r="D48" s="544" t="s">
        <v>358</v>
      </c>
      <c r="E48" s="544" t="s">
        <v>642</v>
      </c>
      <c r="F48" s="552"/>
      <c r="G48" s="545">
        <v>1040470.0024999999</v>
      </c>
      <c r="H48" s="570">
        <f>SUM(G43:G48)</f>
        <v>27490109.002499998</v>
      </c>
    </row>
    <row r="49" spans="2:8">
      <c r="B49" s="541" t="s">
        <v>280</v>
      </c>
      <c r="C49" s="554" t="s">
        <v>649</v>
      </c>
      <c r="D49" t="s">
        <v>402</v>
      </c>
      <c r="E49" t="s">
        <v>397</v>
      </c>
      <c r="F49" s="555"/>
      <c r="G49" s="542">
        <v>28282000.000000007</v>
      </c>
      <c r="H49" s="569"/>
    </row>
    <row r="50" spans="2:8">
      <c r="B50" s="541" t="s">
        <v>280</v>
      </c>
      <c r="C50" s="554" t="s">
        <v>649</v>
      </c>
      <c r="D50" t="s">
        <v>79</v>
      </c>
      <c r="E50" t="s">
        <v>395</v>
      </c>
      <c r="F50" s="555"/>
      <c r="G50" s="542">
        <v>2579200</v>
      </c>
      <c r="H50" s="569"/>
    </row>
    <row r="51" spans="2:8">
      <c r="B51" s="541" t="s">
        <v>280</v>
      </c>
      <c r="C51" s="554" t="s">
        <v>649</v>
      </c>
      <c r="D51" t="s">
        <v>84</v>
      </c>
      <c r="E51" t="s">
        <v>404</v>
      </c>
      <c r="F51" s="555"/>
      <c r="G51" s="542">
        <v>5208800</v>
      </c>
      <c r="H51" s="569"/>
    </row>
    <row r="52" spans="2:8">
      <c r="B52" s="541" t="s">
        <v>543</v>
      </c>
      <c r="C52" s="554" t="s">
        <v>650</v>
      </c>
      <c r="D52" t="s">
        <v>205</v>
      </c>
      <c r="E52" t="s">
        <v>531</v>
      </c>
      <c r="F52" s="613" t="s">
        <v>687</v>
      </c>
      <c r="G52" s="542">
        <v>33754999.997777782</v>
      </c>
    </row>
    <row r="53" spans="2:8">
      <c r="B53" s="541" t="s">
        <v>543</v>
      </c>
      <c r="C53" s="554" t="s">
        <v>650</v>
      </c>
      <c r="D53" t="s">
        <v>432</v>
      </c>
      <c r="E53" t="s">
        <v>520</v>
      </c>
      <c r="F53" s="613" t="s">
        <v>687</v>
      </c>
      <c r="G53" s="542">
        <v>33755000</v>
      </c>
    </row>
    <row r="54" spans="2:8">
      <c r="B54" s="541" t="s">
        <v>544</v>
      </c>
      <c r="C54" s="554" t="s">
        <v>650</v>
      </c>
      <c r="D54" t="s">
        <v>473</v>
      </c>
      <c r="E54" t="s">
        <v>478</v>
      </c>
      <c r="F54" s="555"/>
      <c r="G54" s="542">
        <v>700000.00000000035</v>
      </c>
    </row>
    <row r="55" spans="2:8">
      <c r="B55" s="543" t="s">
        <v>280</v>
      </c>
      <c r="C55" s="550" t="s">
        <v>651</v>
      </c>
      <c r="D55" s="544" t="s">
        <v>137</v>
      </c>
      <c r="E55" s="544" t="s">
        <v>643</v>
      </c>
      <c r="F55" s="552"/>
      <c r="G55" s="545">
        <v>100000</v>
      </c>
    </row>
    <row r="56" spans="2:8">
      <c r="H56" s="569"/>
    </row>
    <row r="57" spans="2:8">
      <c r="H57" s="569"/>
    </row>
    <row r="58" spans="2:8">
      <c r="H58" s="569"/>
    </row>
    <row r="59" spans="2:8">
      <c r="H59" s="571"/>
    </row>
    <row r="60" spans="2:8">
      <c r="H60" s="571"/>
    </row>
    <row r="61" spans="2:8">
      <c r="H61" s="571"/>
    </row>
  </sheetData>
  <autoFilter ref="B27:G55" xr:uid="{B40EDD55-DA2E-4FB7-9B89-39E12D17CA7B}">
    <sortState xmlns:xlrd2="http://schemas.microsoft.com/office/spreadsheetml/2017/richdata2" ref="B28:G55">
      <sortCondition ref="F27:F55"/>
    </sortState>
  </autoFilter>
  <conditionalFormatting sqref="D24">
    <cfRule type="colorScale" priority="1">
      <colorScale>
        <cfvo type="min"/>
        <cfvo type="max"/>
        <color rgb="FFFCFCFF"/>
        <color rgb="FFF8696B"/>
      </colorScale>
    </cfRule>
  </conditionalFormatting>
  <pageMargins left="0" right="0" top="0" bottom="0" header="0" footer="0"/>
  <pageSetup paperSize="8" scale="9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BA913-68F5-40AF-B5A0-074E6C5EF3C7}">
  <sheetPr>
    <tabColor theme="3" tint="0.749992370372631"/>
    <pageSetUpPr fitToPage="1"/>
  </sheetPr>
  <dimension ref="A2:J353"/>
  <sheetViews>
    <sheetView zoomScale="130" zoomScaleNormal="130" workbookViewId="0">
      <selection activeCell="G7" sqref="G7"/>
    </sheetView>
  </sheetViews>
  <sheetFormatPr defaultColWidth="8.86328125" defaultRowHeight="10.15"/>
  <cols>
    <col min="1" max="1" width="8.19921875" style="291" bestFit="1" customWidth="1"/>
    <col min="2" max="2" width="60.86328125" style="292" customWidth="1"/>
    <col min="3" max="8" width="14.796875" style="298" customWidth="1"/>
    <col min="9" max="9" width="25.86328125" style="299" customWidth="1"/>
    <col min="10" max="10" width="12.796875" style="300" customWidth="1"/>
    <col min="11" max="11" width="8.86328125" style="293"/>
    <col min="12" max="12" width="9.1328125" style="293" bestFit="1" customWidth="1"/>
    <col min="13" max="16384" width="8.86328125" style="293"/>
  </cols>
  <sheetData>
    <row r="2" spans="1:10" ht="21.4" thickBot="1">
      <c r="C2" s="280" t="s">
        <v>146</v>
      </c>
      <c r="D2" s="280" t="s">
        <v>249</v>
      </c>
      <c r="E2" s="3" t="s">
        <v>820</v>
      </c>
      <c r="F2" s="736" t="s">
        <v>821</v>
      </c>
      <c r="G2" s="280" t="s">
        <v>742</v>
      </c>
      <c r="H2" s="3" t="s">
        <v>824</v>
      </c>
      <c r="I2" s="281"/>
      <c r="J2" s="280">
        <f>SUM(J5:J7)</f>
        <v>40357635.062430978</v>
      </c>
    </row>
    <row r="3" spans="1:10" ht="24" customHeight="1" thickBot="1">
      <c r="A3" s="294">
        <v>0</v>
      </c>
      <c r="B3" s="295" t="s">
        <v>149</v>
      </c>
      <c r="C3" s="296">
        <f t="shared" ref="C3:G3" si="0">C10+C18+C61+C158+C222+C270+C305</f>
        <v>40391014.149999999</v>
      </c>
      <c r="D3" s="296">
        <f t="shared" si="0"/>
        <v>40391014.149999999</v>
      </c>
      <c r="E3" s="296">
        <f t="shared" si="0"/>
        <v>40386273.290180624</v>
      </c>
      <c r="F3" s="296">
        <f t="shared" si="0"/>
        <v>40355204.704877257</v>
      </c>
      <c r="G3" s="296">
        <f t="shared" si="0"/>
        <v>40036817.273699939</v>
      </c>
      <c r="H3" s="296">
        <f>H10+H18+H61+H158+H222+H270+H305</f>
        <v>40357635.06243097</v>
      </c>
      <c r="I3" s="297"/>
      <c r="J3" s="296"/>
    </row>
    <row r="4" spans="1:10" ht="10.5" thickBot="1">
      <c r="G4" s="928">
        <f>$F$3-G3</f>
        <v>318387.4311773181</v>
      </c>
      <c r="H4" s="928">
        <f>$F$3-H3</f>
        <v>-2430.3575537130237</v>
      </c>
    </row>
    <row r="5" spans="1:10">
      <c r="I5" s="282" t="s">
        <v>17</v>
      </c>
      <c r="J5" s="298">
        <f>H13+H14+H22+H27+H28+H42+H43+H65+H67+H74+H79+H96+H107+H108+H109+H122+H135+H140+H146+H150+H166+H182+H187+H197+H201+H205+H226+H232+H233+H235+H236+H237+H244+H245+H255+H278+H279+H285+H300+H301+H314+H57+H55+H54+H53+H29+H30+H31+H32+H101+H167+H66+H254+H33+H34+H35+H36+H37+H44+H68+H69+H102+H123+H131+H141+H142+H168+H173+H188+H193+H210+H238+H256+H257+H258+H284+H294</f>
        <v>36343125.95642785</v>
      </c>
    </row>
    <row r="6" spans="1:10">
      <c r="I6" s="282" t="s">
        <v>819</v>
      </c>
      <c r="J6" s="298">
        <f>+H26+H41+H52+H64+H73+H78+H95+H100+H106+H121+H139+H165+H172+H181+H186+H192+H231+H234+H253+H277+H283+H299+H312</f>
        <v>3545712.9541379311</v>
      </c>
    </row>
    <row r="7" spans="1:10">
      <c r="A7" s="300"/>
      <c r="B7" s="301"/>
      <c r="I7" s="282" t="s">
        <v>15</v>
      </c>
      <c r="J7" s="302">
        <f>+H21+H48+H83+H87+H91+H117+H127+H154+H161+H177+H209+H214+H249+H262+H266+H273+H289+H293+H298+H313+H318+H326+H330+H334+H338+H339</f>
        <v>468796.15186519752</v>
      </c>
    </row>
    <row r="8" spans="1:10">
      <c r="A8" s="300"/>
      <c r="B8" s="301"/>
      <c r="I8" s="282" t="s">
        <v>757</v>
      </c>
      <c r="J8" s="518">
        <f>+H26+H41+H52+H64+H73+H78+H95+H100+H106+H121+H139+H165+H172+H181+H186+H192+H231+H234+H253+H277+H283+H299+H312</f>
        <v>3545712.9541379311</v>
      </c>
    </row>
    <row r="9" spans="1:10" ht="10.5" thickBot="1"/>
    <row r="10" spans="1:10" ht="10.5" thickBot="1">
      <c r="A10" s="283">
        <v>1</v>
      </c>
      <c r="B10" s="303" t="s">
        <v>150</v>
      </c>
      <c r="C10" s="304">
        <f t="shared" ref="C10:D10" si="1">C15</f>
        <v>29056500</v>
      </c>
      <c r="D10" s="304">
        <f t="shared" si="1"/>
        <v>29056500</v>
      </c>
      <c r="E10" s="304">
        <f>E15</f>
        <v>29056500</v>
      </c>
      <c r="F10" s="304">
        <f>F15</f>
        <v>29056500</v>
      </c>
      <c r="G10" s="304">
        <f>G15</f>
        <v>28713000</v>
      </c>
      <c r="H10" s="304">
        <f>H15</f>
        <v>29017400</v>
      </c>
      <c r="I10" s="305"/>
      <c r="J10" s="306"/>
    </row>
    <row r="11" spans="1:10">
      <c r="A11" s="300"/>
      <c r="B11" s="301"/>
      <c r="G11" s="298">
        <f>G10-$F10</f>
        <v>-343500</v>
      </c>
      <c r="H11" s="298">
        <f>H10-$F10</f>
        <v>-39100</v>
      </c>
      <c r="I11" s="300"/>
    </row>
    <row r="12" spans="1:10" ht="10.5" thickBot="1">
      <c r="A12" s="300"/>
      <c r="B12" s="301"/>
      <c r="I12" s="300"/>
    </row>
    <row r="13" spans="1:10">
      <c r="A13" s="284" t="s">
        <v>18</v>
      </c>
      <c r="B13" s="307" t="s">
        <v>151</v>
      </c>
      <c r="C13" s="331">
        <v>18824500</v>
      </c>
      <c r="D13" s="831">
        <v>18824500</v>
      </c>
      <c r="E13" s="831">
        <v>18824500</v>
      </c>
      <c r="F13" s="843">
        <v>18824500</v>
      </c>
      <c r="G13" s="331">
        <v>18481000</v>
      </c>
      <c r="H13" s="331">
        <v>18824500</v>
      </c>
      <c r="I13" s="308" t="s">
        <v>153</v>
      </c>
      <c r="J13" s="309"/>
    </row>
    <row r="14" spans="1:10" ht="10.5" thickBot="1">
      <c r="A14" s="285" t="s">
        <v>21</v>
      </c>
      <c r="B14" s="310" t="s">
        <v>152</v>
      </c>
      <c r="C14" s="333">
        <v>10232000</v>
      </c>
      <c r="D14" s="496">
        <v>10232000</v>
      </c>
      <c r="E14" s="496">
        <v>10232000</v>
      </c>
      <c r="F14" s="844">
        <v>10232000</v>
      </c>
      <c r="G14" s="333">
        <v>10232000</v>
      </c>
      <c r="H14" s="333">
        <v>10192900</v>
      </c>
      <c r="I14" s="312" t="s">
        <v>154</v>
      </c>
      <c r="J14" s="313"/>
    </row>
    <row r="15" spans="1:10" ht="10.5" thickBot="1">
      <c r="C15" s="314">
        <f>SUM(C13:C14)</f>
        <v>29056500</v>
      </c>
      <c r="D15" s="314">
        <f t="shared" ref="D15:G15" si="2">SUM(D13:D14)</f>
        <v>29056500</v>
      </c>
      <c r="E15" s="314">
        <f t="shared" si="2"/>
        <v>29056500</v>
      </c>
      <c r="F15" s="314">
        <f t="shared" si="2"/>
        <v>29056500</v>
      </c>
      <c r="G15" s="314">
        <f t="shared" si="2"/>
        <v>28713000</v>
      </c>
      <c r="H15" s="314">
        <f>SUM(H13:H14)</f>
        <v>29017400</v>
      </c>
    </row>
    <row r="16" spans="1:10">
      <c r="G16" s="298">
        <f>G15-$F15</f>
        <v>-343500</v>
      </c>
      <c r="H16" s="298">
        <f>H15-$F15</f>
        <v>-39100</v>
      </c>
    </row>
    <row r="17" spans="1:10" ht="10.5" thickBot="1"/>
    <row r="18" spans="1:10" ht="10.5" thickBot="1">
      <c r="A18" s="283" t="s">
        <v>157</v>
      </c>
      <c r="B18" s="303" t="s">
        <v>158</v>
      </c>
      <c r="C18" s="304">
        <f t="shared" ref="C18:D18" si="3">C23+C38+C45+C49+C58</f>
        <v>2404000</v>
      </c>
      <c r="D18" s="304">
        <f t="shared" si="3"/>
        <v>2404000</v>
      </c>
      <c r="E18" s="304">
        <f>E23+E38+E45+E49+E58</f>
        <v>2404000.0003448278</v>
      </c>
      <c r="F18" s="304">
        <f>F23+F38+F45+F49+F58</f>
        <v>2388999.9906957047</v>
      </c>
      <c r="G18" s="304">
        <f>G23+G38+G45+G49+G58</f>
        <v>2419000.6406957046</v>
      </c>
      <c r="H18" s="304">
        <f>H23+H38+H45+H49+H58</f>
        <v>2404100.0051784636</v>
      </c>
      <c r="I18" s="305"/>
      <c r="J18" s="306"/>
    </row>
    <row r="19" spans="1:10">
      <c r="G19" s="298">
        <f>G18-$F18</f>
        <v>30000.649999999907</v>
      </c>
      <c r="H19" s="298">
        <f>H18-$F18</f>
        <v>15100.014482758939</v>
      </c>
    </row>
    <row r="20" spans="1:10" ht="10.5" thickBot="1"/>
    <row r="21" spans="1:10">
      <c r="A21" s="286" t="s">
        <v>28</v>
      </c>
      <c r="B21" s="343" t="s">
        <v>156</v>
      </c>
      <c r="C21" s="490">
        <v>96000</v>
      </c>
      <c r="D21" s="920">
        <v>96000</v>
      </c>
      <c r="E21" s="922">
        <v>96000</v>
      </c>
      <c r="F21" s="924">
        <v>96000</v>
      </c>
      <c r="G21" s="350">
        <v>96000</v>
      </c>
      <c r="H21" s="833">
        <v>90866.459999999992</v>
      </c>
      <c r="I21" s="308"/>
      <c r="J21" s="309"/>
    </row>
    <row r="22" spans="1:10" ht="10.5" thickBot="1">
      <c r="A22" s="704" t="s">
        <v>29</v>
      </c>
      <c r="B22" s="926" t="s">
        <v>877</v>
      </c>
      <c r="C22" s="493">
        <v>0</v>
      </c>
      <c r="D22" s="921">
        <v>0</v>
      </c>
      <c r="E22" s="923">
        <v>0</v>
      </c>
      <c r="F22" s="925">
        <v>0</v>
      </c>
      <c r="G22" s="710">
        <v>0</v>
      </c>
      <c r="H22" s="496">
        <v>5233.54</v>
      </c>
      <c r="I22" s="312" t="s">
        <v>876</v>
      </c>
      <c r="J22" s="313"/>
    </row>
    <row r="23" spans="1:10" ht="10.5" thickBot="1">
      <c r="A23" s="293"/>
      <c r="B23" s="293"/>
      <c r="C23" s="842">
        <f>SUM(C21:C22)</f>
        <v>96000</v>
      </c>
      <c r="D23" s="842">
        <f t="shared" ref="D23:H23" si="4">SUM(D21:D22)</f>
        <v>96000</v>
      </c>
      <c r="E23" s="842">
        <f t="shared" si="4"/>
        <v>96000</v>
      </c>
      <c r="F23" s="842">
        <f t="shared" si="4"/>
        <v>96000</v>
      </c>
      <c r="G23" s="842">
        <f t="shared" si="4"/>
        <v>96000</v>
      </c>
      <c r="H23" s="842">
        <f t="shared" si="4"/>
        <v>96099.999999999985</v>
      </c>
      <c r="I23" s="293"/>
      <c r="J23" s="293"/>
    </row>
    <row r="24" spans="1:10">
      <c r="A24" s="293"/>
      <c r="B24" s="293"/>
      <c r="G24" s="298">
        <f>G23-$F23</f>
        <v>0</v>
      </c>
      <c r="H24" s="298">
        <f>H23-$F23</f>
        <v>99.999999999985448</v>
      </c>
      <c r="I24" s="293"/>
      <c r="J24" s="293"/>
    </row>
    <row r="25" spans="1:10" ht="10.5" thickBot="1">
      <c r="A25" s="293"/>
      <c r="B25" s="293"/>
      <c r="C25" s="293"/>
      <c r="D25" s="293"/>
      <c r="E25" s="293"/>
      <c r="F25" s="293"/>
      <c r="G25" s="293"/>
      <c r="H25" s="293"/>
      <c r="I25" s="293"/>
      <c r="J25" s="293"/>
    </row>
    <row r="26" spans="1:10">
      <c r="A26" s="519" t="s">
        <v>31</v>
      </c>
      <c r="B26" s="484" t="s">
        <v>161</v>
      </c>
      <c r="C26" s="490">
        <v>90000</v>
      </c>
      <c r="D26" s="840">
        <v>89038</v>
      </c>
      <c r="E26" s="840">
        <v>84038</v>
      </c>
      <c r="F26" s="843">
        <v>55834</v>
      </c>
      <c r="G26" s="692">
        <v>48734</v>
      </c>
      <c r="H26" s="497">
        <v>43734</v>
      </c>
      <c r="I26" s="308"/>
      <c r="J26" s="309"/>
    </row>
    <row r="27" spans="1:10">
      <c r="A27" s="521" t="s">
        <v>32</v>
      </c>
      <c r="B27" s="714" t="s">
        <v>921</v>
      </c>
      <c r="C27" s="491">
        <v>0</v>
      </c>
      <c r="D27" s="691">
        <v>962</v>
      </c>
      <c r="E27" s="691">
        <v>962</v>
      </c>
      <c r="F27" s="846">
        <v>962</v>
      </c>
      <c r="G27" s="492">
        <v>962</v>
      </c>
      <c r="H27" s="495">
        <v>962</v>
      </c>
      <c r="I27" s="316" t="s">
        <v>578</v>
      </c>
      <c r="J27" s="317">
        <v>4502914407</v>
      </c>
    </row>
    <row r="28" spans="1:10">
      <c r="A28" s="521" t="s">
        <v>159</v>
      </c>
      <c r="B28" s="714" t="s">
        <v>802</v>
      </c>
      <c r="C28" s="491">
        <v>0</v>
      </c>
      <c r="D28" s="691">
        <v>0</v>
      </c>
      <c r="E28" s="691">
        <v>2500</v>
      </c>
      <c r="F28" s="846">
        <v>2500</v>
      </c>
      <c r="G28" s="492">
        <v>2500</v>
      </c>
      <c r="H28" s="495">
        <v>2500</v>
      </c>
      <c r="I28" s="316" t="s">
        <v>579</v>
      </c>
      <c r="J28" s="317">
        <v>4502946426</v>
      </c>
    </row>
    <row r="29" spans="1:10">
      <c r="A29" s="521" t="s">
        <v>160</v>
      </c>
      <c r="B29" s="714" t="s">
        <v>803</v>
      </c>
      <c r="C29" s="491">
        <v>0</v>
      </c>
      <c r="D29" s="691">
        <v>0</v>
      </c>
      <c r="E29" s="691">
        <v>2500</v>
      </c>
      <c r="F29" s="846">
        <v>2500</v>
      </c>
      <c r="G29" s="492">
        <v>2500</v>
      </c>
      <c r="H29" s="495">
        <v>2500</v>
      </c>
      <c r="I29" s="316" t="s">
        <v>579</v>
      </c>
      <c r="J29" s="317">
        <v>4502946426</v>
      </c>
    </row>
    <row r="30" spans="1:10">
      <c r="A30" s="521" t="s">
        <v>714</v>
      </c>
      <c r="B30" s="714" t="s">
        <v>804</v>
      </c>
      <c r="C30" s="491">
        <v>0</v>
      </c>
      <c r="D30" s="691">
        <v>0</v>
      </c>
      <c r="E30" s="691">
        <v>0</v>
      </c>
      <c r="F30" s="846">
        <v>2400</v>
      </c>
      <c r="G30" s="492">
        <v>2400</v>
      </c>
      <c r="H30" s="495">
        <v>2400</v>
      </c>
      <c r="I30" s="316" t="s">
        <v>579</v>
      </c>
      <c r="J30" s="317">
        <v>4502946426</v>
      </c>
    </row>
    <row r="31" spans="1:10">
      <c r="A31" s="521" t="s">
        <v>715</v>
      </c>
      <c r="B31" s="714" t="s">
        <v>801</v>
      </c>
      <c r="C31" s="491">
        <v>0</v>
      </c>
      <c r="D31" s="691">
        <v>0</v>
      </c>
      <c r="E31" s="691">
        <v>0</v>
      </c>
      <c r="F31" s="846">
        <v>1400</v>
      </c>
      <c r="G31" s="492">
        <v>1400</v>
      </c>
      <c r="H31" s="495">
        <v>1400</v>
      </c>
      <c r="I31" s="316" t="s">
        <v>579</v>
      </c>
      <c r="J31" s="317">
        <v>4502946426</v>
      </c>
    </row>
    <row r="32" spans="1:10">
      <c r="A32" s="521" t="s">
        <v>716</v>
      </c>
      <c r="B32" s="714" t="s">
        <v>805</v>
      </c>
      <c r="C32" s="491">
        <v>0</v>
      </c>
      <c r="D32" s="691">
        <v>0</v>
      </c>
      <c r="E32" s="691">
        <v>0</v>
      </c>
      <c r="F32" s="846">
        <v>23904</v>
      </c>
      <c r="G32" s="492">
        <v>23904</v>
      </c>
      <c r="H32" s="495">
        <v>23904</v>
      </c>
      <c r="I32" s="316" t="s">
        <v>718</v>
      </c>
      <c r="J32" s="317">
        <v>4503007260</v>
      </c>
    </row>
    <row r="33" spans="1:10">
      <c r="A33" s="521" t="s">
        <v>717</v>
      </c>
      <c r="B33" s="714" t="s">
        <v>806</v>
      </c>
      <c r="C33" s="491">
        <v>0</v>
      </c>
      <c r="D33" s="691">
        <v>0</v>
      </c>
      <c r="E33" s="691">
        <v>0</v>
      </c>
      <c r="F33" s="846">
        <v>500</v>
      </c>
      <c r="G33" s="492">
        <v>500</v>
      </c>
      <c r="H33" s="495">
        <v>500</v>
      </c>
      <c r="I33" s="316" t="s">
        <v>579</v>
      </c>
      <c r="J33" s="317">
        <v>4502946426</v>
      </c>
    </row>
    <row r="34" spans="1:10">
      <c r="A34" s="521" t="s">
        <v>795</v>
      </c>
      <c r="B34" s="714" t="s">
        <v>807</v>
      </c>
      <c r="C34" s="491">
        <v>0</v>
      </c>
      <c r="D34" s="691">
        <v>0</v>
      </c>
      <c r="E34" s="691">
        <v>0</v>
      </c>
      <c r="F34" s="846">
        <v>0</v>
      </c>
      <c r="G34" s="492">
        <v>4600</v>
      </c>
      <c r="H34" s="495">
        <v>4600</v>
      </c>
      <c r="I34" s="316" t="s">
        <v>794</v>
      </c>
      <c r="J34" s="317">
        <v>4503061913</v>
      </c>
    </row>
    <row r="35" spans="1:10">
      <c r="A35" s="521" t="s">
        <v>796</v>
      </c>
      <c r="B35" s="714" t="s">
        <v>808</v>
      </c>
      <c r="C35" s="491">
        <v>0</v>
      </c>
      <c r="D35" s="691">
        <v>0</v>
      </c>
      <c r="E35" s="691">
        <v>0</v>
      </c>
      <c r="F35" s="846">
        <v>0</v>
      </c>
      <c r="G35" s="492">
        <v>2500</v>
      </c>
      <c r="H35" s="495">
        <v>2500</v>
      </c>
      <c r="I35" s="316" t="s">
        <v>579</v>
      </c>
      <c r="J35" s="317">
        <v>4502946426</v>
      </c>
    </row>
    <row r="36" spans="1:10">
      <c r="A36" s="694" t="s">
        <v>878</v>
      </c>
      <c r="B36" s="714" t="s">
        <v>881</v>
      </c>
      <c r="C36" s="491">
        <v>0</v>
      </c>
      <c r="D36" s="691">
        <v>0</v>
      </c>
      <c r="E36" s="691">
        <v>0</v>
      </c>
      <c r="F36" s="846">
        <v>0</v>
      </c>
      <c r="G36" s="492">
        <v>0</v>
      </c>
      <c r="H36" s="495">
        <v>2700</v>
      </c>
      <c r="I36" s="316" t="s">
        <v>880</v>
      </c>
      <c r="J36" s="317">
        <v>4503121690</v>
      </c>
    </row>
    <row r="37" spans="1:10" ht="10.5" thickBot="1">
      <c r="A37" s="695" t="s">
        <v>879</v>
      </c>
      <c r="B37" s="715" t="s">
        <v>882</v>
      </c>
      <c r="C37" s="491">
        <v>0</v>
      </c>
      <c r="D37" s="691">
        <v>0</v>
      </c>
      <c r="E37" s="691">
        <v>0</v>
      </c>
      <c r="F37" s="846">
        <v>0</v>
      </c>
      <c r="G37" s="494">
        <v>0</v>
      </c>
      <c r="H37" s="927">
        <v>2300</v>
      </c>
      <c r="I37" s="312" t="s">
        <v>880</v>
      </c>
      <c r="J37" s="313">
        <v>4503121690</v>
      </c>
    </row>
    <row r="38" spans="1:10" ht="10.5" thickBot="1">
      <c r="A38" s="293"/>
      <c r="B38" s="293"/>
      <c r="C38" s="842">
        <f>SUM(C26:C35)</f>
        <v>90000</v>
      </c>
      <c r="D38" s="842">
        <f t="shared" ref="D38:F38" si="5">SUM(D26:D35)</f>
        <v>90000</v>
      </c>
      <c r="E38" s="842">
        <f t="shared" si="5"/>
        <v>90000</v>
      </c>
      <c r="F38" s="842">
        <f t="shared" si="5"/>
        <v>90000</v>
      </c>
      <c r="G38" s="842">
        <f>SUM(G26:G37)</f>
        <v>90000</v>
      </c>
      <c r="H38" s="489">
        <f>SUM(H26:H37)</f>
        <v>90000</v>
      </c>
      <c r="I38" s="293"/>
      <c r="J38" s="293"/>
    </row>
    <row r="39" spans="1:10">
      <c r="A39" s="293"/>
      <c r="B39" s="293"/>
      <c r="G39" s="298">
        <f>G38-$F38</f>
        <v>0</v>
      </c>
      <c r="H39" s="298">
        <f>H38-$F38</f>
        <v>0</v>
      </c>
      <c r="I39" s="293"/>
      <c r="J39" s="293"/>
    </row>
    <row r="40" spans="1:10" ht="10.5" thickBot="1">
      <c r="A40" s="293"/>
      <c r="B40" s="293"/>
      <c r="C40" s="293"/>
      <c r="D40" s="293"/>
      <c r="E40" s="293"/>
      <c r="F40" s="293"/>
      <c r="G40" s="293"/>
      <c r="H40" s="293"/>
      <c r="I40" s="293"/>
      <c r="J40" s="293"/>
    </row>
    <row r="41" spans="1:10">
      <c r="A41" s="483" t="s">
        <v>33</v>
      </c>
      <c r="B41" s="484" t="s">
        <v>797</v>
      </c>
      <c r="C41" s="331">
        <v>314000</v>
      </c>
      <c r="D41" s="497">
        <v>314000</v>
      </c>
      <c r="E41" s="497">
        <v>123833</v>
      </c>
      <c r="F41" s="843">
        <v>123832.99</v>
      </c>
      <c r="G41" s="485">
        <v>123833</v>
      </c>
      <c r="H41" s="485">
        <v>123833</v>
      </c>
      <c r="I41" s="308"/>
      <c r="J41" s="309"/>
    </row>
    <row r="42" spans="1:10">
      <c r="A42" s="475" t="s">
        <v>34</v>
      </c>
      <c r="B42" s="714" t="s">
        <v>798</v>
      </c>
      <c r="C42" s="332">
        <v>0</v>
      </c>
      <c r="D42" s="495">
        <v>0</v>
      </c>
      <c r="E42" s="495">
        <v>50000.00413793105</v>
      </c>
      <c r="F42" s="846">
        <v>50000.003103448274</v>
      </c>
      <c r="G42" s="332">
        <v>50000.643103448274</v>
      </c>
      <c r="H42" s="332">
        <v>50000.001379310357</v>
      </c>
      <c r="I42" s="316" t="s">
        <v>580</v>
      </c>
      <c r="J42" s="317">
        <v>4502950515</v>
      </c>
    </row>
    <row r="43" spans="1:10">
      <c r="A43" s="475" t="s">
        <v>35</v>
      </c>
      <c r="B43" s="714" t="s">
        <v>799</v>
      </c>
      <c r="C43" s="332">
        <v>0</v>
      </c>
      <c r="D43" s="495">
        <v>0</v>
      </c>
      <c r="E43" s="495">
        <v>49999.996206896561</v>
      </c>
      <c r="F43" s="846">
        <v>49999.997241379337</v>
      </c>
      <c r="G43" s="332">
        <v>49999.997241379337</v>
      </c>
      <c r="H43" s="332">
        <v>50000.003448275878</v>
      </c>
      <c r="I43" s="316" t="s">
        <v>581</v>
      </c>
      <c r="J43" s="317">
        <v>4502950551</v>
      </c>
    </row>
    <row r="44" spans="1:10" ht="10.5" thickBot="1">
      <c r="A44" s="476" t="s">
        <v>148</v>
      </c>
      <c r="B44" s="715" t="s">
        <v>800</v>
      </c>
      <c r="C44" s="333">
        <v>0</v>
      </c>
      <c r="D44" s="496">
        <v>0</v>
      </c>
      <c r="E44" s="496">
        <v>90167.000000000015</v>
      </c>
      <c r="F44" s="844">
        <v>90167.003684210533</v>
      </c>
      <c r="G44" s="333">
        <v>90167.003684210533</v>
      </c>
      <c r="H44" s="333">
        <v>90167.003684210533</v>
      </c>
      <c r="I44" s="312" t="s">
        <v>582</v>
      </c>
      <c r="J44" s="477"/>
    </row>
    <row r="45" spans="1:10" ht="10.5" thickBot="1">
      <c r="A45" s="293"/>
      <c r="B45" s="293"/>
      <c r="C45" s="487">
        <f>SUM(C41:C44)</f>
        <v>314000</v>
      </c>
      <c r="D45" s="488">
        <f t="shared" ref="D45:G45" si="6">SUM(D41:D44)</f>
        <v>314000</v>
      </c>
      <c r="E45" s="488">
        <f t="shared" si="6"/>
        <v>314000.0003448276</v>
      </c>
      <c r="F45" s="488">
        <f t="shared" si="6"/>
        <v>313999.99402903812</v>
      </c>
      <c r="G45" s="488">
        <f t="shared" si="6"/>
        <v>314000.64402903814</v>
      </c>
      <c r="H45" s="488">
        <f t="shared" ref="H45" si="7">SUM(H41:H44)</f>
        <v>314000.00851179677</v>
      </c>
      <c r="I45" s="293"/>
      <c r="J45" s="293"/>
    </row>
    <row r="46" spans="1:10">
      <c r="A46" s="293"/>
      <c r="B46" s="293"/>
      <c r="G46" s="298">
        <f>G45-$F45</f>
        <v>0.65000000002328306</v>
      </c>
      <c r="H46" s="298">
        <f>H45-$F45</f>
        <v>1.44827586482279E-2</v>
      </c>
      <c r="I46" s="293"/>
      <c r="J46" s="293"/>
    </row>
    <row r="47" spans="1:10" ht="10.5" thickBot="1">
      <c r="A47" s="293"/>
      <c r="B47" s="293"/>
      <c r="C47" s="293"/>
      <c r="D47" s="293"/>
      <c r="E47" s="293"/>
      <c r="F47" s="293"/>
      <c r="G47" s="293"/>
      <c r="H47" s="293"/>
      <c r="I47" s="293"/>
      <c r="J47" s="293"/>
    </row>
    <row r="48" spans="1:10" ht="10.5" thickBot="1">
      <c r="A48" s="486" t="s">
        <v>36</v>
      </c>
      <c r="B48" s="716" t="s">
        <v>733</v>
      </c>
      <c r="C48" s="337">
        <v>544000</v>
      </c>
      <c r="D48" s="830">
        <v>544000</v>
      </c>
      <c r="E48" s="830">
        <v>544000</v>
      </c>
      <c r="F48" s="845">
        <v>544000</v>
      </c>
      <c r="G48" s="481">
        <v>544000</v>
      </c>
      <c r="H48" s="481">
        <v>544000</v>
      </c>
      <c r="I48" s="482"/>
      <c r="J48" s="327"/>
    </row>
    <row r="49" spans="1:10" ht="10.5" thickBot="1">
      <c r="A49" s="293"/>
      <c r="B49" s="293"/>
      <c r="C49" s="487">
        <f>C48</f>
        <v>544000</v>
      </c>
      <c r="D49" s="488">
        <f t="shared" ref="D49:G49" si="8">D48</f>
        <v>544000</v>
      </c>
      <c r="E49" s="488">
        <f t="shared" si="8"/>
        <v>544000</v>
      </c>
      <c r="F49" s="488">
        <f t="shared" si="8"/>
        <v>544000</v>
      </c>
      <c r="G49" s="488">
        <f t="shared" si="8"/>
        <v>544000</v>
      </c>
      <c r="H49" s="488">
        <f t="shared" ref="H49" si="9">H48</f>
        <v>544000</v>
      </c>
      <c r="I49" s="293"/>
      <c r="J49" s="293"/>
    </row>
    <row r="50" spans="1:10">
      <c r="A50" s="293"/>
      <c r="B50" s="293"/>
      <c r="G50" s="298">
        <f>G49-$F49</f>
        <v>0</v>
      </c>
      <c r="H50" s="298">
        <f>H49-$F49</f>
        <v>0</v>
      </c>
      <c r="I50" s="293"/>
      <c r="J50" s="293"/>
    </row>
    <row r="51" spans="1:10" ht="10.5" thickBot="1">
      <c r="A51" s="293"/>
      <c r="B51" s="293"/>
      <c r="C51" s="293"/>
      <c r="D51" s="293"/>
      <c r="E51" s="293"/>
      <c r="F51" s="293"/>
      <c r="G51" s="293"/>
      <c r="H51" s="293"/>
      <c r="I51" s="293"/>
      <c r="J51" s="293"/>
    </row>
    <row r="52" spans="1:10">
      <c r="A52" s="519" t="s">
        <v>37</v>
      </c>
      <c r="B52" s="520" t="s">
        <v>575</v>
      </c>
      <c r="C52" s="490">
        <v>1360000</v>
      </c>
      <c r="D52" s="497">
        <v>1360000</v>
      </c>
      <c r="E52" s="497">
        <v>0</v>
      </c>
      <c r="F52" s="843">
        <v>1917</v>
      </c>
      <c r="G52" s="485">
        <v>16917</v>
      </c>
      <c r="H52" s="500">
        <v>1917</v>
      </c>
      <c r="I52" s="308"/>
      <c r="J52" s="309"/>
    </row>
    <row r="53" spans="1:10">
      <c r="A53" s="521" t="s">
        <v>38</v>
      </c>
      <c r="B53" s="701" t="s">
        <v>809</v>
      </c>
      <c r="C53" s="491">
        <v>0</v>
      </c>
      <c r="D53" s="495">
        <v>0</v>
      </c>
      <c r="E53" s="495">
        <v>101500</v>
      </c>
      <c r="F53" s="846">
        <v>101500</v>
      </c>
      <c r="G53" s="332">
        <v>101500</v>
      </c>
      <c r="H53" s="315">
        <v>101500</v>
      </c>
      <c r="I53" s="316" t="s">
        <v>583</v>
      </c>
      <c r="J53" s="317">
        <v>4502939080</v>
      </c>
    </row>
    <row r="54" spans="1:10">
      <c r="A54" s="523" t="s">
        <v>293</v>
      </c>
      <c r="B54" s="701" t="s">
        <v>810</v>
      </c>
      <c r="C54" s="491">
        <v>0</v>
      </c>
      <c r="D54" s="495">
        <v>0</v>
      </c>
      <c r="E54" s="495">
        <v>21000</v>
      </c>
      <c r="F54" s="846">
        <v>21000</v>
      </c>
      <c r="G54" s="332">
        <v>21000</v>
      </c>
      <c r="H54" s="315">
        <v>21000</v>
      </c>
      <c r="I54" s="316" t="s">
        <v>584</v>
      </c>
      <c r="J54" s="317">
        <v>4502939080</v>
      </c>
    </row>
    <row r="55" spans="1:10">
      <c r="A55" s="521" t="s">
        <v>298</v>
      </c>
      <c r="B55" s="701" t="s">
        <v>811</v>
      </c>
      <c r="C55" s="491">
        <v>0</v>
      </c>
      <c r="D55" s="495">
        <v>0</v>
      </c>
      <c r="E55" s="495">
        <v>155550</v>
      </c>
      <c r="F55" s="846">
        <v>140549.99666666664</v>
      </c>
      <c r="G55" s="332">
        <v>155549.99666666667</v>
      </c>
      <c r="H55" s="315">
        <v>155549.99666666667</v>
      </c>
      <c r="I55" s="316" t="s">
        <v>585</v>
      </c>
      <c r="J55" s="317">
        <v>4502939075</v>
      </c>
    </row>
    <row r="56" spans="1:10">
      <c r="A56" s="521" t="s">
        <v>576</v>
      </c>
      <c r="B56" s="701" t="s">
        <v>800</v>
      </c>
      <c r="C56" s="491">
        <v>0</v>
      </c>
      <c r="D56" s="495">
        <v>0</v>
      </c>
      <c r="E56" s="495">
        <v>1917</v>
      </c>
      <c r="F56" s="846">
        <v>0</v>
      </c>
      <c r="G56" s="332">
        <v>0</v>
      </c>
      <c r="H56" s="315">
        <v>0</v>
      </c>
      <c r="I56" s="316"/>
      <c r="J56" s="696"/>
    </row>
    <row r="57" spans="1:10" ht="10.5" thickBot="1">
      <c r="A57" s="522" t="s">
        <v>577</v>
      </c>
      <c r="B57" s="702" t="s">
        <v>800</v>
      </c>
      <c r="C57" s="493">
        <v>0</v>
      </c>
      <c r="D57" s="496">
        <v>0</v>
      </c>
      <c r="E57" s="496">
        <v>1080033</v>
      </c>
      <c r="F57" s="844">
        <v>1080032.9999999998</v>
      </c>
      <c r="G57" s="332">
        <v>1080032.9999999998</v>
      </c>
      <c r="H57" s="311">
        <v>1080032.9999999998</v>
      </c>
      <c r="I57" s="312" t="s">
        <v>582</v>
      </c>
      <c r="J57" s="477"/>
    </row>
    <row r="58" spans="1:10" ht="10.5" thickBot="1">
      <c r="A58" s="293"/>
      <c r="B58" s="293"/>
      <c r="C58" s="487">
        <f>SUM(C52:C57)</f>
        <v>1360000</v>
      </c>
      <c r="D58" s="489">
        <f t="shared" ref="D58:E58" si="10">SUM(D52:D57)</f>
        <v>1360000</v>
      </c>
      <c r="E58" s="489">
        <f t="shared" si="10"/>
        <v>1360000</v>
      </c>
      <c r="F58" s="489">
        <f>SUM(F52:F57)</f>
        <v>1344999.9966666664</v>
      </c>
      <c r="G58" s="489">
        <f>SUM(G52:G57)</f>
        <v>1374999.9966666666</v>
      </c>
      <c r="H58" s="489">
        <f>SUM(H52:H57)</f>
        <v>1359999.9966666666</v>
      </c>
      <c r="I58" s="293"/>
      <c r="J58" s="293"/>
    </row>
    <row r="59" spans="1:10">
      <c r="A59" s="293"/>
      <c r="B59" s="293"/>
      <c r="G59" s="298">
        <f>G58-$F58</f>
        <v>30000.000000000233</v>
      </c>
      <c r="H59" s="298">
        <f>H58-$F58</f>
        <v>15000.000000000233</v>
      </c>
      <c r="I59" s="293"/>
      <c r="J59" s="293"/>
    </row>
    <row r="60" spans="1:10" ht="10.5" thickBot="1"/>
    <row r="61" spans="1:10" ht="10.5" thickBot="1">
      <c r="A61" s="283" t="s">
        <v>162</v>
      </c>
      <c r="B61" s="303" t="s">
        <v>163</v>
      </c>
      <c r="C61" s="304">
        <f t="shared" ref="C61:E61" si="11">C70+C75+C80+C84+C88+C92+C97+C103+C110+C114+C118+C124+C128+C132+C136+C143+C147+C151+C155</f>
        <v>4216821</v>
      </c>
      <c r="D61" s="304">
        <f t="shared" si="11"/>
        <v>4216821</v>
      </c>
      <c r="E61" s="304">
        <f t="shared" si="11"/>
        <v>4216821</v>
      </c>
      <c r="F61" s="304">
        <f>F70+F75+F80+F84+F88+F92+F97+F103+F110+F114+F118+F124+F128+F132+F136+F143+F147+F151+F155</f>
        <v>4230235.6403225791</v>
      </c>
      <c r="G61" s="304">
        <f>G70+G75+G80+G84+G88+G92+G97+G103+G110+G114+G118+G124+G128+G132+G136+G143+G147+G151+G155</f>
        <v>4213421.0003225785</v>
      </c>
      <c r="H61" s="304">
        <f>H70+H75+H80+H84+H88+H92+H97+H103+H110+H114+H118+H124+H128+H132+H136+H143+H147+H151+H155</f>
        <v>4244737.3337708563</v>
      </c>
      <c r="I61" s="305"/>
      <c r="J61" s="306"/>
    </row>
    <row r="62" spans="1:10">
      <c r="G62" s="298">
        <f>G61-$F61</f>
        <v>-16814.640000000596</v>
      </c>
      <c r="H62" s="298">
        <f>H61-$F61</f>
        <v>14501.69344827719</v>
      </c>
    </row>
    <row r="63" spans="1:10" ht="10.5" thickBot="1"/>
    <row r="64" spans="1:10">
      <c r="A64" s="286" t="s">
        <v>71</v>
      </c>
      <c r="B64" s="955" t="s">
        <v>734</v>
      </c>
      <c r="C64" s="490">
        <v>1984000</v>
      </c>
      <c r="D64" s="941">
        <v>1984000</v>
      </c>
      <c r="E64" s="692">
        <v>1150802</v>
      </c>
      <c r="F64" s="843">
        <v>1150802</v>
      </c>
      <c r="G64" s="497">
        <v>1145682</v>
      </c>
      <c r="H64" s="500">
        <v>1173395.3900000001</v>
      </c>
      <c r="I64" s="321"/>
      <c r="J64" s="309"/>
    </row>
    <row r="65" spans="1:10">
      <c r="A65" s="498" t="s">
        <v>72</v>
      </c>
      <c r="B65" s="714" t="s">
        <v>887</v>
      </c>
      <c r="C65" s="491">
        <v>0</v>
      </c>
      <c r="D65" s="942">
        <v>0</v>
      </c>
      <c r="E65" s="492">
        <v>4080</v>
      </c>
      <c r="F65" s="846">
        <v>4080</v>
      </c>
      <c r="G65" s="495">
        <v>4080</v>
      </c>
      <c r="H65" s="315">
        <v>4080</v>
      </c>
      <c r="I65" s="324" t="s">
        <v>586</v>
      </c>
      <c r="J65" s="317">
        <v>4502914369</v>
      </c>
    </row>
    <row r="66" spans="1:10">
      <c r="A66" s="498" t="s">
        <v>73</v>
      </c>
      <c r="B66" s="714" t="s">
        <v>888</v>
      </c>
      <c r="C66" s="491">
        <v>0</v>
      </c>
      <c r="D66" s="942">
        <v>0</v>
      </c>
      <c r="E66" s="492">
        <v>821840</v>
      </c>
      <c r="F66" s="846">
        <v>821840</v>
      </c>
      <c r="G66" s="495">
        <v>821840</v>
      </c>
      <c r="H66" s="315">
        <v>821840</v>
      </c>
      <c r="I66" s="324" t="s">
        <v>587</v>
      </c>
      <c r="J66" s="317"/>
    </row>
    <row r="67" spans="1:10">
      <c r="A67" s="498" t="s">
        <v>74</v>
      </c>
      <c r="B67" s="714" t="s">
        <v>889</v>
      </c>
      <c r="C67" s="491">
        <v>0</v>
      </c>
      <c r="D67" s="942">
        <v>0</v>
      </c>
      <c r="E67" s="492">
        <v>7278</v>
      </c>
      <c r="F67" s="846">
        <v>7278</v>
      </c>
      <c r="G67" s="495">
        <v>7278</v>
      </c>
      <c r="H67" s="315">
        <v>7278</v>
      </c>
      <c r="I67" s="324" t="s">
        <v>588</v>
      </c>
      <c r="J67" s="317">
        <v>4502952746</v>
      </c>
    </row>
    <row r="68" spans="1:10">
      <c r="A68" s="498" t="s">
        <v>75</v>
      </c>
      <c r="B68" s="714" t="s">
        <v>890</v>
      </c>
      <c r="C68" s="491">
        <v>0</v>
      </c>
      <c r="D68" s="942">
        <v>0</v>
      </c>
      <c r="E68" s="492">
        <v>0</v>
      </c>
      <c r="F68" s="846">
        <v>0</v>
      </c>
      <c r="G68" s="495">
        <v>720</v>
      </c>
      <c r="H68" s="315">
        <v>720</v>
      </c>
      <c r="I68" s="324" t="s">
        <v>586</v>
      </c>
      <c r="J68" s="317">
        <v>4502914369</v>
      </c>
    </row>
    <row r="69" spans="1:10" ht="10.5" thickBot="1">
      <c r="A69" s="499" t="s">
        <v>76</v>
      </c>
      <c r="B69" s="715" t="s">
        <v>891</v>
      </c>
      <c r="C69" s="493">
        <v>0</v>
      </c>
      <c r="D69" s="943">
        <v>0</v>
      </c>
      <c r="E69" s="494">
        <v>0</v>
      </c>
      <c r="F69" s="844">
        <v>0</v>
      </c>
      <c r="G69" s="496">
        <v>0</v>
      </c>
      <c r="H69" s="311">
        <v>660</v>
      </c>
      <c r="I69" s="323" t="s">
        <v>586</v>
      </c>
      <c r="J69" s="313">
        <v>4502914369</v>
      </c>
    </row>
    <row r="70" spans="1:10" ht="10.5" thickBot="1">
      <c r="C70" s="342">
        <f t="shared" ref="C70:G70" si="12">SUM(C64:C69)</f>
        <v>1984000</v>
      </c>
      <c r="D70" s="342">
        <f t="shared" si="12"/>
        <v>1984000</v>
      </c>
      <c r="E70" s="342">
        <f t="shared" si="12"/>
        <v>1984000</v>
      </c>
      <c r="F70" s="342">
        <f t="shared" si="12"/>
        <v>1984000</v>
      </c>
      <c r="G70" s="342">
        <f t="shared" si="12"/>
        <v>1979600</v>
      </c>
      <c r="H70" s="342">
        <f>SUM(H64:H69)</f>
        <v>2007973.3900000001</v>
      </c>
    </row>
    <row r="71" spans="1:10">
      <c r="G71" s="298">
        <f>G70-$F70</f>
        <v>-4400</v>
      </c>
      <c r="H71" s="298">
        <f>H70-$F70</f>
        <v>23973.39000000013</v>
      </c>
    </row>
    <row r="72" spans="1:10" ht="10.5" thickBot="1"/>
    <row r="73" spans="1:10">
      <c r="A73" s="286" t="s">
        <v>77</v>
      </c>
      <c r="B73" s="717" t="s">
        <v>735</v>
      </c>
      <c r="C73" s="331">
        <v>114240</v>
      </c>
      <c r="D73" s="941">
        <v>114240</v>
      </c>
      <c r="E73" s="941">
        <v>64240.000000000007</v>
      </c>
      <c r="F73" s="843">
        <v>64240.000000000007</v>
      </c>
      <c r="G73" s="485">
        <v>64240.000000000007</v>
      </c>
      <c r="H73" s="500">
        <v>64240.000000000007</v>
      </c>
      <c r="I73" s="321"/>
      <c r="J73" s="309"/>
    </row>
    <row r="74" spans="1:10" ht="10.5" thickBot="1">
      <c r="A74" s="499" t="s">
        <v>79</v>
      </c>
      <c r="B74" s="719" t="s">
        <v>892</v>
      </c>
      <c r="C74" s="333">
        <v>0</v>
      </c>
      <c r="D74" s="943">
        <v>0</v>
      </c>
      <c r="E74" s="943">
        <v>50000.000000000015</v>
      </c>
      <c r="F74" s="844">
        <v>50000.000322580658</v>
      </c>
      <c r="G74" s="333">
        <v>50000.000322580658</v>
      </c>
      <c r="H74" s="311">
        <v>50000.000322580658</v>
      </c>
      <c r="I74" s="323" t="s">
        <v>589</v>
      </c>
      <c r="J74" s="313">
        <v>4502943626</v>
      </c>
    </row>
    <row r="75" spans="1:10" ht="10.5" thickBot="1">
      <c r="C75" s="314">
        <f>SUM(C73:C74)</f>
        <v>114240</v>
      </c>
      <c r="D75" s="314">
        <f t="shared" ref="D75:G75" si="13">SUM(D73:D74)</f>
        <v>114240</v>
      </c>
      <c r="E75" s="314">
        <f t="shared" si="13"/>
        <v>114240.00000000003</v>
      </c>
      <c r="F75" s="314">
        <f t="shared" si="13"/>
        <v>114240.00032258066</v>
      </c>
      <c r="G75" s="314">
        <f t="shared" si="13"/>
        <v>114240.00032258066</v>
      </c>
      <c r="H75" s="314">
        <f t="shared" ref="H75" si="14">SUM(H73:H74)</f>
        <v>114240.00032258066</v>
      </c>
    </row>
    <row r="76" spans="1:10">
      <c r="G76" s="298">
        <f>G75-$F75</f>
        <v>0</v>
      </c>
      <c r="H76" s="298">
        <f>H75-$F75</f>
        <v>0</v>
      </c>
    </row>
    <row r="77" spans="1:10" ht="10.5" thickBot="1"/>
    <row r="78" spans="1:10">
      <c r="A78" s="286" t="s">
        <v>80</v>
      </c>
      <c r="B78" s="717" t="s">
        <v>168</v>
      </c>
      <c r="C78" s="331">
        <v>219130</v>
      </c>
      <c r="D78" s="941">
        <v>219130</v>
      </c>
      <c r="E78" s="941">
        <v>169130</v>
      </c>
      <c r="F78" s="843">
        <v>169130</v>
      </c>
      <c r="G78" s="485">
        <v>169130</v>
      </c>
      <c r="H78" s="500">
        <v>169130</v>
      </c>
      <c r="I78" s="321"/>
      <c r="J78" s="309"/>
    </row>
    <row r="79" spans="1:10" ht="10.5" thickBot="1">
      <c r="A79" s="499" t="s">
        <v>81</v>
      </c>
      <c r="B79" s="329" t="s">
        <v>920</v>
      </c>
      <c r="C79" s="333">
        <v>0</v>
      </c>
      <c r="D79" s="943">
        <v>0</v>
      </c>
      <c r="E79" s="943">
        <v>50000</v>
      </c>
      <c r="F79" s="844">
        <v>50000</v>
      </c>
      <c r="G79" s="333">
        <v>50000</v>
      </c>
      <c r="H79" s="311">
        <v>53942.94</v>
      </c>
      <c r="I79" s="323" t="s">
        <v>590</v>
      </c>
      <c r="J79" s="313">
        <v>4502138477</v>
      </c>
    </row>
    <row r="80" spans="1:10" ht="10.5" thickBot="1">
      <c r="C80" s="342">
        <f t="shared" ref="C80:H80" si="15">SUM(C78:C79)</f>
        <v>219130</v>
      </c>
      <c r="D80" s="342">
        <f t="shared" si="15"/>
        <v>219130</v>
      </c>
      <c r="E80" s="342">
        <f t="shared" si="15"/>
        <v>219130</v>
      </c>
      <c r="F80" s="342">
        <f t="shared" si="15"/>
        <v>219130</v>
      </c>
      <c r="G80" s="342">
        <f t="shared" si="15"/>
        <v>219130</v>
      </c>
      <c r="H80" s="342">
        <f t="shared" si="15"/>
        <v>223072.94</v>
      </c>
    </row>
    <row r="81" spans="1:10">
      <c r="G81" s="298">
        <f>G80-$F80</f>
        <v>0</v>
      </c>
      <c r="H81" s="298">
        <f>H80-$F80</f>
        <v>3942.9400000000023</v>
      </c>
    </row>
    <row r="82" spans="1:10" ht="10.5" thickBot="1"/>
    <row r="83" spans="1:10" ht="10.5" thickBot="1">
      <c r="A83" s="290" t="s">
        <v>82</v>
      </c>
      <c r="B83" s="503" t="s">
        <v>169</v>
      </c>
      <c r="C83" s="337">
        <v>108800</v>
      </c>
      <c r="D83" s="944">
        <v>108800</v>
      </c>
      <c r="E83" s="944">
        <v>108800</v>
      </c>
      <c r="F83" s="845">
        <v>108800</v>
      </c>
      <c r="G83" s="481">
        <v>109800</v>
      </c>
      <c r="H83" s="330">
        <v>108800</v>
      </c>
      <c r="I83" s="326"/>
      <c r="J83" s="327"/>
    </row>
    <row r="84" spans="1:10" ht="10.5" thickBot="1">
      <c r="C84" s="342">
        <f t="shared" ref="C84:H84" si="16">SUM(C83:C83)</f>
        <v>108800</v>
      </c>
      <c r="D84" s="342">
        <f t="shared" si="16"/>
        <v>108800</v>
      </c>
      <c r="E84" s="342">
        <f t="shared" si="16"/>
        <v>108800</v>
      </c>
      <c r="F84" s="342">
        <f t="shared" si="16"/>
        <v>108800</v>
      </c>
      <c r="G84" s="342">
        <f t="shared" si="16"/>
        <v>109800</v>
      </c>
      <c r="H84" s="342">
        <f t="shared" si="16"/>
        <v>108800</v>
      </c>
    </row>
    <row r="85" spans="1:10">
      <c r="G85" s="298">
        <f>G84-$F84</f>
        <v>1000</v>
      </c>
      <c r="H85" s="298">
        <f>H84-$F84</f>
        <v>0</v>
      </c>
    </row>
    <row r="86" spans="1:10" ht="10.5" thickBot="1"/>
    <row r="87" spans="1:10" ht="10.5" thickBot="1">
      <c r="A87" s="290" t="s">
        <v>85</v>
      </c>
      <c r="B87" s="504" t="s">
        <v>170</v>
      </c>
      <c r="C87" s="337">
        <v>157760</v>
      </c>
      <c r="D87" s="944">
        <v>157760</v>
      </c>
      <c r="E87" s="944">
        <v>157760</v>
      </c>
      <c r="F87" s="845">
        <v>157760</v>
      </c>
      <c r="G87" s="330">
        <v>157760</v>
      </c>
      <c r="H87" s="330">
        <v>157760</v>
      </c>
      <c r="I87" s="326"/>
      <c r="J87" s="327"/>
    </row>
    <row r="88" spans="1:10" ht="10.5" thickBot="1">
      <c r="C88" s="342">
        <f t="shared" ref="C88:H88" si="17">SUM(C87:C87)</f>
        <v>157760</v>
      </c>
      <c r="D88" s="342">
        <f t="shared" si="17"/>
        <v>157760</v>
      </c>
      <c r="E88" s="342">
        <f t="shared" si="17"/>
        <v>157760</v>
      </c>
      <c r="F88" s="342">
        <f t="shared" si="17"/>
        <v>157760</v>
      </c>
      <c r="G88" s="342">
        <f t="shared" si="17"/>
        <v>157760</v>
      </c>
      <c r="H88" s="342">
        <f t="shared" si="17"/>
        <v>157760</v>
      </c>
    </row>
    <row r="89" spans="1:10">
      <c r="G89" s="298">
        <f>G88-$F88</f>
        <v>0</v>
      </c>
      <c r="H89" s="298">
        <f>H88-$F88</f>
        <v>0</v>
      </c>
    </row>
    <row r="90" spans="1:10" ht="10.5" thickBot="1"/>
    <row r="91" spans="1:10" ht="10.5" thickBot="1">
      <c r="A91" s="290" t="s">
        <v>86</v>
      </c>
      <c r="B91" s="503" t="s">
        <v>171</v>
      </c>
      <c r="C91" s="337">
        <v>179520</v>
      </c>
      <c r="D91" s="944">
        <v>179520</v>
      </c>
      <c r="E91" s="944">
        <v>179520</v>
      </c>
      <c r="F91" s="845">
        <v>179520</v>
      </c>
      <c r="G91" s="330">
        <v>179520</v>
      </c>
      <c r="H91" s="330">
        <v>179520</v>
      </c>
      <c r="I91" s="326"/>
      <c r="J91" s="327"/>
    </row>
    <row r="92" spans="1:10" ht="10.5" thickBot="1">
      <c r="C92" s="342">
        <f t="shared" ref="C92:H92" si="18">SUM(C91:C91)</f>
        <v>179520</v>
      </c>
      <c r="D92" s="342">
        <f t="shared" si="18"/>
        <v>179520</v>
      </c>
      <c r="E92" s="342">
        <f t="shared" si="18"/>
        <v>179520</v>
      </c>
      <c r="F92" s="342">
        <f t="shared" si="18"/>
        <v>179520</v>
      </c>
      <c r="G92" s="342">
        <f t="shared" si="18"/>
        <v>179520</v>
      </c>
      <c r="H92" s="342">
        <f t="shared" si="18"/>
        <v>179520</v>
      </c>
    </row>
    <row r="93" spans="1:10">
      <c r="G93" s="298">
        <f>G92-$F92</f>
        <v>0</v>
      </c>
      <c r="H93" s="298">
        <f>H92-$F92</f>
        <v>0</v>
      </c>
    </row>
    <row r="94" spans="1:10" ht="10.5" thickBot="1"/>
    <row r="95" spans="1:10">
      <c r="A95" s="286" t="s">
        <v>87</v>
      </c>
      <c r="B95" s="717" t="s">
        <v>172</v>
      </c>
      <c r="C95" s="331">
        <v>174080</v>
      </c>
      <c r="D95" s="941">
        <v>174080</v>
      </c>
      <c r="E95" s="941">
        <v>84080</v>
      </c>
      <c r="F95" s="843">
        <v>84080</v>
      </c>
      <c r="G95" s="500">
        <v>84080</v>
      </c>
      <c r="H95" s="500">
        <v>84080</v>
      </c>
      <c r="I95" s="321"/>
      <c r="J95" s="309"/>
    </row>
    <row r="96" spans="1:10" ht="10.5" thickBot="1">
      <c r="A96" s="499" t="s">
        <v>88</v>
      </c>
      <c r="B96" s="719" t="s">
        <v>919</v>
      </c>
      <c r="C96" s="333">
        <v>0</v>
      </c>
      <c r="D96" s="943">
        <v>0</v>
      </c>
      <c r="E96" s="943">
        <v>90000.000000000058</v>
      </c>
      <c r="F96" s="844">
        <v>89999.999999997992</v>
      </c>
      <c r="G96" s="311">
        <v>89999.999999997977</v>
      </c>
      <c r="H96" s="311">
        <v>90000.003448275922</v>
      </c>
      <c r="I96" s="323" t="s">
        <v>592</v>
      </c>
      <c r="J96" s="477"/>
    </row>
    <row r="97" spans="1:10" ht="10.5" thickBot="1">
      <c r="C97" s="342">
        <f t="shared" ref="C97:H97" si="19">SUM(C95:C96)</f>
        <v>174080</v>
      </c>
      <c r="D97" s="342">
        <f t="shared" si="19"/>
        <v>174080</v>
      </c>
      <c r="E97" s="342">
        <f t="shared" si="19"/>
        <v>174080.00000000006</v>
      </c>
      <c r="F97" s="342">
        <f t="shared" si="19"/>
        <v>174079.99999999799</v>
      </c>
      <c r="G97" s="342">
        <f t="shared" si="19"/>
        <v>174079.99999999796</v>
      </c>
      <c r="H97" s="342">
        <f t="shared" si="19"/>
        <v>174080.00344827591</v>
      </c>
    </row>
    <row r="98" spans="1:10">
      <c r="G98" s="298">
        <f>G97-$F97</f>
        <v>0</v>
      </c>
      <c r="H98" s="298">
        <f>H97-$F97</f>
        <v>3.4482779155950993E-3</v>
      </c>
    </row>
    <row r="99" spans="1:10" ht="10.5" thickBot="1"/>
    <row r="100" spans="1:10">
      <c r="A100" s="286" t="s">
        <v>89</v>
      </c>
      <c r="B100" s="698" t="s">
        <v>174</v>
      </c>
      <c r="C100" s="490">
        <v>282880</v>
      </c>
      <c r="D100" s="497">
        <v>282880</v>
      </c>
      <c r="E100" s="692">
        <v>104680</v>
      </c>
      <c r="F100" s="843">
        <v>74680</v>
      </c>
      <c r="G100" s="485">
        <v>74680</v>
      </c>
      <c r="H100" s="485">
        <v>74680</v>
      </c>
      <c r="I100" s="308"/>
      <c r="J100" s="309"/>
    </row>
    <row r="101" spans="1:10">
      <c r="A101" s="498" t="s">
        <v>90</v>
      </c>
      <c r="B101" s="714" t="s">
        <v>918</v>
      </c>
      <c r="C101" s="491">
        <v>0</v>
      </c>
      <c r="D101" s="495">
        <v>0</v>
      </c>
      <c r="E101" s="492">
        <v>178200</v>
      </c>
      <c r="F101" s="846">
        <v>178200</v>
      </c>
      <c r="G101" s="332">
        <v>178200</v>
      </c>
      <c r="H101" s="332">
        <v>178200</v>
      </c>
      <c r="I101" s="316" t="s">
        <v>593</v>
      </c>
      <c r="J101" s="317">
        <v>4502976093</v>
      </c>
    </row>
    <row r="102" spans="1:10" ht="10.5" thickBot="1">
      <c r="A102" s="699" t="s">
        <v>720</v>
      </c>
      <c r="B102" s="715" t="s">
        <v>917</v>
      </c>
      <c r="C102" s="493">
        <v>0</v>
      </c>
      <c r="D102" s="496">
        <v>0</v>
      </c>
      <c r="E102" s="494">
        <v>0</v>
      </c>
      <c r="F102" s="844">
        <v>30000</v>
      </c>
      <c r="G102" s="333">
        <v>30000</v>
      </c>
      <c r="H102" s="333">
        <v>30000</v>
      </c>
      <c r="I102" s="312" t="s">
        <v>719</v>
      </c>
      <c r="J102" s="313">
        <v>4502983951</v>
      </c>
    </row>
    <row r="103" spans="1:10" ht="10.5" thickBot="1">
      <c r="C103" s="342">
        <f>SUM(C100:C101)</f>
        <v>282880</v>
      </c>
      <c r="D103" s="342">
        <f t="shared" ref="D103:E103" si="20">SUM(D100:D101)</f>
        <v>282880</v>
      </c>
      <c r="E103" s="342">
        <f t="shared" si="20"/>
        <v>282880</v>
      </c>
      <c r="F103" s="342">
        <f>SUM(F100:F102)</f>
        <v>282880</v>
      </c>
      <c r="G103" s="342">
        <f>SUM(G100:G102)</f>
        <v>282880</v>
      </c>
      <c r="H103" s="342">
        <f>SUM(H100:H102)</f>
        <v>282880</v>
      </c>
    </row>
    <row r="104" spans="1:10">
      <c r="G104" s="298">
        <f>G103-$F103</f>
        <v>0</v>
      </c>
      <c r="H104" s="298">
        <f>H103-$F103</f>
        <v>0</v>
      </c>
    </row>
    <row r="105" spans="1:10" ht="10.5" thickBot="1"/>
    <row r="106" spans="1:10">
      <c r="A106" s="286" t="s">
        <v>91</v>
      </c>
      <c r="B106" s="343" t="s">
        <v>175</v>
      </c>
      <c r="C106" s="331">
        <v>84320</v>
      </c>
      <c r="D106" s="941">
        <v>84320</v>
      </c>
      <c r="E106" s="941">
        <v>26702.22</v>
      </c>
      <c r="F106" s="843">
        <v>26702.22</v>
      </c>
      <c r="G106" s="500">
        <v>26702.22</v>
      </c>
      <c r="H106" s="500">
        <v>26702.22</v>
      </c>
      <c r="I106" s="321"/>
      <c r="J106" s="309"/>
    </row>
    <row r="107" spans="1:10">
      <c r="A107" s="498" t="s">
        <v>164</v>
      </c>
      <c r="B107" s="718" t="s">
        <v>915</v>
      </c>
      <c r="C107" s="332">
        <v>0</v>
      </c>
      <c r="D107" s="942">
        <v>0</v>
      </c>
      <c r="E107" s="942">
        <v>6277.78</v>
      </c>
      <c r="F107" s="846">
        <v>6277.78</v>
      </c>
      <c r="G107" s="315">
        <v>6277.78</v>
      </c>
      <c r="H107" s="315">
        <v>6277.78</v>
      </c>
      <c r="I107" s="324" t="s">
        <v>594</v>
      </c>
      <c r="J107" s="317">
        <v>4502940616</v>
      </c>
    </row>
    <row r="108" spans="1:10">
      <c r="A108" s="498" t="s">
        <v>165</v>
      </c>
      <c r="B108" s="718" t="s">
        <v>914</v>
      </c>
      <c r="C108" s="332">
        <v>0</v>
      </c>
      <c r="D108" s="942">
        <v>0</v>
      </c>
      <c r="E108" s="942">
        <v>1340</v>
      </c>
      <c r="F108" s="846">
        <v>1340</v>
      </c>
      <c r="G108" s="315">
        <v>1340</v>
      </c>
      <c r="H108" s="315">
        <v>1340</v>
      </c>
      <c r="I108" s="324" t="s">
        <v>595</v>
      </c>
      <c r="J108" s="317">
        <v>4502955423</v>
      </c>
    </row>
    <row r="109" spans="1:10" ht="10.5" thickBot="1">
      <c r="A109" s="499" t="s">
        <v>166</v>
      </c>
      <c r="B109" s="719" t="s">
        <v>916</v>
      </c>
      <c r="C109" s="333">
        <v>0</v>
      </c>
      <c r="D109" s="943">
        <v>0</v>
      </c>
      <c r="E109" s="943">
        <v>50000.000000000036</v>
      </c>
      <c r="F109" s="844">
        <v>50000.000000000036</v>
      </c>
      <c r="G109" s="311">
        <v>50000.000000000036</v>
      </c>
      <c r="H109" s="311">
        <v>50000.000000000029</v>
      </c>
      <c r="I109" s="323" t="s">
        <v>596</v>
      </c>
      <c r="J109" s="313">
        <v>4502960536</v>
      </c>
    </row>
    <row r="110" spans="1:10" ht="10.5" thickBot="1">
      <c r="C110" s="314">
        <f>SUM(C106:C109)</f>
        <v>84320</v>
      </c>
      <c r="D110" s="314">
        <f t="shared" ref="D110:G110" si="21">SUM(D106:D109)</f>
        <v>84320</v>
      </c>
      <c r="E110" s="314">
        <f t="shared" si="21"/>
        <v>84320.000000000029</v>
      </c>
      <c r="F110" s="314">
        <f t="shared" si="21"/>
        <v>84320.000000000029</v>
      </c>
      <c r="G110" s="314">
        <f t="shared" si="21"/>
        <v>84320.000000000029</v>
      </c>
      <c r="H110" s="314">
        <f t="shared" ref="H110" si="22">SUM(H106:H109)</f>
        <v>84320.000000000029</v>
      </c>
    </row>
    <row r="111" spans="1:10">
      <c r="G111" s="298">
        <f>G110-$F110</f>
        <v>0</v>
      </c>
      <c r="H111" s="298">
        <f>H110-$F110</f>
        <v>0</v>
      </c>
    </row>
    <row r="112" spans="1:10" ht="10.5" thickBot="1"/>
    <row r="113" spans="1:10" ht="10.5" thickBot="1">
      <c r="A113" s="290" t="s">
        <v>92</v>
      </c>
      <c r="B113" s="503" t="s">
        <v>176</v>
      </c>
      <c r="C113" s="337">
        <v>0</v>
      </c>
      <c r="D113" s="945">
        <v>0</v>
      </c>
      <c r="E113" s="945">
        <v>0</v>
      </c>
      <c r="F113" s="845">
        <v>0</v>
      </c>
      <c r="G113" s="480">
        <v>0</v>
      </c>
      <c r="H113" s="480">
        <v>0</v>
      </c>
      <c r="I113" s="326"/>
      <c r="J113" s="327"/>
    </row>
    <row r="114" spans="1:10" ht="10.5" thickBot="1">
      <c r="C114" s="342">
        <f t="shared" ref="C114:H114" si="23">SUM(C113:C113)</f>
        <v>0</v>
      </c>
      <c r="D114" s="342">
        <f t="shared" si="23"/>
        <v>0</v>
      </c>
      <c r="E114" s="342">
        <f t="shared" si="23"/>
        <v>0</v>
      </c>
      <c r="F114" s="342">
        <f t="shared" si="23"/>
        <v>0</v>
      </c>
      <c r="G114" s="342">
        <f t="shared" si="23"/>
        <v>0</v>
      </c>
      <c r="H114" s="342">
        <f t="shared" si="23"/>
        <v>0</v>
      </c>
    </row>
    <row r="115" spans="1:10">
      <c r="G115" s="298">
        <f>G114-$F114</f>
        <v>0</v>
      </c>
      <c r="H115" s="298">
        <f>H114-$F114</f>
        <v>0</v>
      </c>
    </row>
    <row r="116" spans="1:10" ht="10.5" thickBot="1"/>
    <row r="117" spans="1:10" ht="10.5" thickBot="1">
      <c r="A117" s="289" t="s">
        <v>93</v>
      </c>
      <c r="B117" s="344" t="s">
        <v>177</v>
      </c>
      <c r="C117" s="337">
        <v>500480</v>
      </c>
      <c r="D117" s="944">
        <v>500480</v>
      </c>
      <c r="E117" s="944">
        <v>500480</v>
      </c>
      <c r="F117" s="845">
        <v>500480</v>
      </c>
      <c r="G117" s="330">
        <v>500480</v>
      </c>
      <c r="H117" s="330">
        <v>500480</v>
      </c>
      <c r="I117" s="326"/>
      <c r="J117" s="327"/>
    </row>
    <row r="118" spans="1:10" ht="10.5" thickBot="1">
      <c r="C118" s="314">
        <f>C117</f>
        <v>500480</v>
      </c>
      <c r="D118" s="342">
        <f t="shared" ref="D118:G118" si="24">D117</f>
        <v>500480</v>
      </c>
      <c r="E118" s="342">
        <f t="shared" si="24"/>
        <v>500480</v>
      </c>
      <c r="F118" s="342">
        <f t="shared" si="24"/>
        <v>500480</v>
      </c>
      <c r="G118" s="342">
        <f t="shared" si="24"/>
        <v>500480</v>
      </c>
      <c r="H118" s="342">
        <f t="shared" ref="H118" si="25">H117</f>
        <v>500480</v>
      </c>
    </row>
    <row r="119" spans="1:10">
      <c r="G119" s="298">
        <f>G118-$F118</f>
        <v>0</v>
      </c>
      <c r="H119" s="298">
        <f>H118-$F118</f>
        <v>0</v>
      </c>
    </row>
    <row r="120" spans="1:10" ht="10.5" thickBot="1"/>
    <row r="121" spans="1:10">
      <c r="A121" s="286" t="s">
        <v>94</v>
      </c>
      <c r="B121" s="717" t="s">
        <v>178</v>
      </c>
      <c r="C121" s="331">
        <v>43520</v>
      </c>
      <c r="D121" s="941">
        <v>43520</v>
      </c>
      <c r="E121" s="941">
        <v>29190</v>
      </c>
      <c r="F121" s="843">
        <v>29190</v>
      </c>
      <c r="G121" s="500">
        <v>29190</v>
      </c>
      <c r="H121" s="500">
        <v>29190</v>
      </c>
      <c r="I121" s="321"/>
      <c r="J121" s="309"/>
    </row>
    <row r="122" spans="1:10">
      <c r="A122" s="498" t="s">
        <v>95</v>
      </c>
      <c r="B122" s="328" t="s">
        <v>912</v>
      </c>
      <c r="C122" s="332">
        <v>0</v>
      </c>
      <c r="D122" s="942">
        <v>0</v>
      </c>
      <c r="E122" s="942">
        <v>11980</v>
      </c>
      <c r="F122" s="846">
        <v>11980</v>
      </c>
      <c r="G122" s="315">
        <v>11980</v>
      </c>
      <c r="H122" s="315">
        <v>11980</v>
      </c>
      <c r="I122" s="324" t="s">
        <v>597</v>
      </c>
      <c r="J122" s="317">
        <v>4502971588</v>
      </c>
    </row>
    <row r="123" spans="1:10" ht="10.5" thickBot="1">
      <c r="A123" s="499" t="s">
        <v>167</v>
      </c>
      <c r="B123" s="329" t="s">
        <v>913</v>
      </c>
      <c r="C123" s="333">
        <v>0</v>
      </c>
      <c r="D123" s="943">
        <v>0</v>
      </c>
      <c r="E123" s="943">
        <v>2350</v>
      </c>
      <c r="F123" s="844">
        <v>2350</v>
      </c>
      <c r="G123" s="311">
        <v>2350</v>
      </c>
      <c r="H123" s="311">
        <v>2350</v>
      </c>
      <c r="I123" s="323" t="s">
        <v>598</v>
      </c>
      <c r="J123" s="477"/>
    </row>
    <row r="124" spans="1:10" ht="10.5" thickBot="1">
      <c r="C124" s="342">
        <f t="shared" ref="C124:H124" si="26">SUM(C121:C123)</f>
        <v>43520</v>
      </c>
      <c r="D124" s="342">
        <f t="shared" si="26"/>
        <v>43520</v>
      </c>
      <c r="E124" s="342">
        <f t="shared" si="26"/>
        <v>43520</v>
      </c>
      <c r="F124" s="342">
        <f t="shared" si="26"/>
        <v>43520</v>
      </c>
      <c r="G124" s="342">
        <f t="shared" si="26"/>
        <v>43520</v>
      </c>
      <c r="H124" s="342">
        <f t="shared" si="26"/>
        <v>43520</v>
      </c>
    </row>
    <row r="125" spans="1:10">
      <c r="G125" s="298">
        <f>G124-$F124</f>
        <v>0</v>
      </c>
      <c r="H125" s="298">
        <f>H124-$F124</f>
        <v>0</v>
      </c>
    </row>
    <row r="126" spans="1:10" ht="10.5" thickBot="1"/>
    <row r="127" spans="1:10" ht="10.5" thickBot="1">
      <c r="A127" s="290" t="s">
        <v>96</v>
      </c>
      <c r="B127" s="346" t="s">
        <v>179</v>
      </c>
      <c r="C127" s="337">
        <v>38080</v>
      </c>
      <c r="D127" s="944">
        <v>38080</v>
      </c>
      <c r="E127" s="944">
        <v>38080</v>
      </c>
      <c r="F127" s="845">
        <v>38080</v>
      </c>
      <c r="G127" s="330">
        <v>38080</v>
      </c>
      <c r="H127" s="330">
        <v>38080</v>
      </c>
      <c r="I127" s="326"/>
      <c r="J127" s="327"/>
    </row>
    <row r="128" spans="1:10" ht="10.5" thickBot="1">
      <c r="C128" s="342">
        <f t="shared" ref="C128:H128" si="27">SUM(C127:C127)</f>
        <v>38080</v>
      </c>
      <c r="D128" s="342">
        <f t="shared" si="27"/>
        <v>38080</v>
      </c>
      <c r="E128" s="342">
        <f t="shared" si="27"/>
        <v>38080</v>
      </c>
      <c r="F128" s="342">
        <f t="shared" si="27"/>
        <v>38080</v>
      </c>
      <c r="G128" s="342">
        <f t="shared" si="27"/>
        <v>38080</v>
      </c>
      <c r="H128" s="342">
        <f t="shared" si="27"/>
        <v>38080</v>
      </c>
    </row>
    <row r="129" spans="1:10">
      <c r="G129" s="298">
        <f>G128-$F128</f>
        <v>0</v>
      </c>
      <c r="H129" s="298">
        <f>H128-$F128</f>
        <v>0</v>
      </c>
    </row>
    <row r="130" spans="1:10" ht="10.5" thickBot="1"/>
    <row r="131" spans="1:10" ht="10.5" thickBot="1">
      <c r="A131" s="290" t="s">
        <v>97</v>
      </c>
      <c r="B131" s="346" t="s">
        <v>911</v>
      </c>
      <c r="C131" s="337">
        <v>25000</v>
      </c>
      <c r="D131" s="945">
        <v>25000</v>
      </c>
      <c r="E131" s="945">
        <v>25000</v>
      </c>
      <c r="F131" s="845">
        <v>25000</v>
      </c>
      <c r="G131" s="480">
        <v>25000</v>
      </c>
      <c r="H131" s="480">
        <v>25000</v>
      </c>
      <c r="I131" s="326" t="s">
        <v>598</v>
      </c>
      <c r="J131" s="703"/>
    </row>
    <row r="132" spans="1:10" ht="10.5" thickBot="1">
      <c r="C132" s="342">
        <f t="shared" ref="C132:H132" si="28">SUM(C131:C131)</f>
        <v>25000</v>
      </c>
      <c r="D132" s="342">
        <f t="shared" si="28"/>
        <v>25000</v>
      </c>
      <c r="E132" s="342">
        <f t="shared" si="28"/>
        <v>25000</v>
      </c>
      <c r="F132" s="342">
        <f t="shared" si="28"/>
        <v>25000</v>
      </c>
      <c r="G132" s="342">
        <f t="shared" si="28"/>
        <v>25000</v>
      </c>
      <c r="H132" s="342">
        <f t="shared" si="28"/>
        <v>25000</v>
      </c>
    </row>
    <row r="133" spans="1:10">
      <c r="G133" s="298">
        <f>G132-$F132</f>
        <v>0</v>
      </c>
      <c r="H133" s="298">
        <f>H132-$F132</f>
        <v>0</v>
      </c>
    </row>
    <row r="134" spans="1:10" ht="10.5" thickBot="1">
      <c r="C134" s="318"/>
    </row>
    <row r="135" spans="1:10" ht="10.5" thickBot="1">
      <c r="A135" s="290" t="s">
        <v>98</v>
      </c>
      <c r="B135" s="346" t="s">
        <v>910</v>
      </c>
      <c r="C135" s="337">
        <v>50000</v>
      </c>
      <c r="D135" s="945">
        <v>50000</v>
      </c>
      <c r="E135" s="945">
        <v>50000</v>
      </c>
      <c r="F135" s="845">
        <v>50000</v>
      </c>
      <c r="G135" s="480">
        <v>50000</v>
      </c>
      <c r="H135" s="480">
        <v>50000</v>
      </c>
      <c r="I135" s="326" t="s">
        <v>173</v>
      </c>
      <c r="J135" s="327">
        <v>4502943059</v>
      </c>
    </row>
    <row r="136" spans="1:10" ht="10.5" thickBot="1">
      <c r="C136" s="342">
        <f t="shared" ref="C136:H136" si="29">SUM(C135:C135)</f>
        <v>50000</v>
      </c>
      <c r="D136" s="342">
        <f t="shared" si="29"/>
        <v>50000</v>
      </c>
      <c r="E136" s="342">
        <f t="shared" si="29"/>
        <v>50000</v>
      </c>
      <c r="F136" s="342">
        <f t="shared" si="29"/>
        <v>50000</v>
      </c>
      <c r="G136" s="342">
        <f t="shared" si="29"/>
        <v>50000</v>
      </c>
      <c r="H136" s="342">
        <f t="shared" si="29"/>
        <v>50000</v>
      </c>
    </row>
    <row r="137" spans="1:10">
      <c r="G137" s="298">
        <f>G136-$F136</f>
        <v>0</v>
      </c>
      <c r="H137" s="298">
        <f>H136-$F136</f>
        <v>0</v>
      </c>
    </row>
    <row r="138" spans="1:10" ht="10.5" thickBot="1">
      <c r="C138" s="318"/>
    </row>
    <row r="139" spans="1:10">
      <c r="A139" s="286" t="s">
        <v>99</v>
      </c>
      <c r="B139" s="345" t="s">
        <v>736</v>
      </c>
      <c r="C139" s="490">
        <v>158511</v>
      </c>
      <c r="D139" s="840">
        <v>158511</v>
      </c>
      <c r="E139" s="692">
        <v>99824.36</v>
      </c>
      <c r="F139" s="924">
        <v>113239</v>
      </c>
      <c r="G139" s="500">
        <v>99824.36</v>
      </c>
      <c r="H139" s="497">
        <v>95414.36</v>
      </c>
      <c r="I139" s="308"/>
      <c r="J139" s="309"/>
    </row>
    <row r="140" spans="1:10">
      <c r="A140" s="498" t="s">
        <v>100</v>
      </c>
      <c r="B140" s="718" t="s">
        <v>907</v>
      </c>
      <c r="C140" s="491">
        <v>0</v>
      </c>
      <c r="D140" s="691">
        <v>0</v>
      </c>
      <c r="E140" s="492">
        <v>45272</v>
      </c>
      <c r="F140" s="929">
        <v>45272</v>
      </c>
      <c r="G140" s="315">
        <v>45272</v>
      </c>
      <c r="H140" s="495">
        <v>45272</v>
      </c>
      <c r="I140" s="316" t="s">
        <v>173</v>
      </c>
      <c r="J140" s="317">
        <v>4502943059</v>
      </c>
    </row>
    <row r="141" spans="1:10">
      <c r="A141" s="498" t="s">
        <v>591</v>
      </c>
      <c r="B141" s="718" t="s">
        <v>908</v>
      </c>
      <c r="C141" s="491">
        <v>0</v>
      </c>
      <c r="D141" s="691">
        <v>0</v>
      </c>
      <c r="E141" s="492">
        <v>13414.64</v>
      </c>
      <c r="F141" s="929">
        <v>13414.64</v>
      </c>
      <c r="G141" s="315">
        <v>13414.64</v>
      </c>
      <c r="H141" s="495">
        <v>13414.64</v>
      </c>
      <c r="I141" s="316" t="s">
        <v>599</v>
      </c>
      <c r="J141" s="713"/>
    </row>
    <row r="142" spans="1:10" ht="10.5" thickBot="1">
      <c r="A142" s="699" t="s">
        <v>883</v>
      </c>
      <c r="B142" s="719" t="s">
        <v>909</v>
      </c>
      <c r="C142" s="493">
        <v>0</v>
      </c>
      <c r="D142" s="693">
        <v>0</v>
      </c>
      <c r="E142" s="494">
        <v>0</v>
      </c>
      <c r="F142" s="925">
        <v>0</v>
      </c>
      <c r="G142" s="311">
        <v>0</v>
      </c>
      <c r="H142" s="496">
        <v>4410</v>
      </c>
      <c r="I142" s="312" t="s">
        <v>173</v>
      </c>
      <c r="J142" s="313">
        <v>4502943059</v>
      </c>
    </row>
    <row r="143" spans="1:10" ht="10.5" thickBot="1">
      <c r="C143" s="342">
        <f t="shared" ref="C143:G143" si="30">SUM(C139:C142)</f>
        <v>158511</v>
      </c>
      <c r="D143" s="342">
        <f t="shared" si="30"/>
        <v>158511</v>
      </c>
      <c r="E143" s="342">
        <f t="shared" si="30"/>
        <v>158511</v>
      </c>
      <c r="F143" s="342">
        <f t="shared" si="30"/>
        <v>171925.64</v>
      </c>
      <c r="G143" s="342">
        <f t="shared" si="30"/>
        <v>158511</v>
      </c>
      <c r="H143" s="342">
        <f>SUM(H139:H142)</f>
        <v>158511</v>
      </c>
    </row>
    <row r="144" spans="1:10">
      <c r="G144" s="298">
        <f>G143-$F143</f>
        <v>-13414.640000000014</v>
      </c>
      <c r="H144" s="298">
        <f>H143-$F143</f>
        <v>-13414.640000000014</v>
      </c>
    </row>
    <row r="145" spans="1:10" ht="10.5" thickBot="1"/>
    <row r="146" spans="1:10" ht="10.5" thickBot="1">
      <c r="A146" s="290" t="s">
        <v>101</v>
      </c>
      <c r="B146" s="346" t="s">
        <v>906</v>
      </c>
      <c r="C146" s="337">
        <v>50000</v>
      </c>
      <c r="D146" s="945">
        <v>50000</v>
      </c>
      <c r="E146" s="945">
        <v>50000</v>
      </c>
      <c r="F146" s="845">
        <v>50000</v>
      </c>
      <c r="G146" s="480">
        <v>50000</v>
      </c>
      <c r="H146" s="480">
        <v>50000</v>
      </c>
      <c r="I146" s="326" t="s">
        <v>600</v>
      </c>
      <c r="J146" s="327">
        <v>4502939080</v>
      </c>
    </row>
    <row r="147" spans="1:10" ht="10.5" thickBot="1">
      <c r="C147" s="342">
        <f t="shared" ref="C147:H147" si="31">SUM(C146:C146)</f>
        <v>50000</v>
      </c>
      <c r="D147" s="342">
        <f t="shared" si="31"/>
        <v>50000</v>
      </c>
      <c r="E147" s="342">
        <f t="shared" si="31"/>
        <v>50000</v>
      </c>
      <c r="F147" s="342">
        <f t="shared" si="31"/>
        <v>50000</v>
      </c>
      <c r="G147" s="342">
        <f t="shared" si="31"/>
        <v>50000</v>
      </c>
      <c r="H147" s="342">
        <f t="shared" si="31"/>
        <v>50000</v>
      </c>
    </row>
    <row r="148" spans="1:10">
      <c r="G148" s="298">
        <f>G147-$F147</f>
        <v>0</v>
      </c>
      <c r="H148" s="298">
        <f>H147-$F147</f>
        <v>0</v>
      </c>
    </row>
    <row r="149" spans="1:10" ht="10.5" thickBot="1"/>
    <row r="150" spans="1:10" ht="10.5" thickBot="1">
      <c r="A150" s="290" t="s">
        <v>102</v>
      </c>
      <c r="B150" s="346" t="s">
        <v>905</v>
      </c>
      <c r="C150" s="337">
        <v>34000</v>
      </c>
      <c r="D150" s="945">
        <v>34000</v>
      </c>
      <c r="E150" s="945">
        <v>34000</v>
      </c>
      <c r="F150" s="845">
        <v>34000</v>
      </c>
      <c r="G150" s="480">
        <v>34000</v>
      </c>
      <c r="H150" s="480">
        <v>34000</v>
      </c>
      <c r="I150" s="326" t="s">
        <v>580</v>
      </c>
      <c r="J150" s="327">
        <v>4502934293</v>
      </c>
    </row>
    <row r="151" spans="1:10" ht="10.5" thickBot="1">
      <c r="C151" s="314">
        <f>C150</f>
        <v>34000</v>
      </c>
      <c r="D151" s="314">
        <f t="shared" ref="D151:G151" si="32">D150</f>
        <v>34000</v>
      </c>
      <c r="E151" s="314">
        <f t="shared" si="32"/>
        <v>34000</v>
      </c>
      <c r="F151" s="314">
        <f t="shared" si="32"/>
        <v>34000</v>
      </c>
      <c r="G151" s="314">
        <f t="shared" si="32"/>
        <v>34000</v>
      </c>
      <c r="H151" s="314">
        <f t="shared" ref="H151" si="33">H150</f>
        <v>34000</v>
      </c>
    </row>
    <row r="152" spans="1:10">
      <c r="G152" s="298">
        <f>G151-$F151</f>
        <v>0</v>
      </c>
      <c r="H152" s="298">
        <f>H151-$F151</f>
        <v>0</v>
      </c>
    </row>
    <row r="153" spans="1:10" ht="10.5" thickBot="1"/>
    <row r="154" spans="1:10" ht="10.5" thickBot="1">
      <c r="A154" s="290" t="s">
        <v>103</v>
      </c>
      <c r="B154" s="346" t="s">
        <v>180</v>
      </c>
      <c r="C154" s="337">
        <v>12500</v>
      </c>
      <c r="D154" s="944">
        <v>12500</v>
      </c>
      <c r="E154" s="944">
        <v>12500</v>
      </c>
      <c r="F154" s="845">
        <v>12500</v>
      </c>
      <c r="G154" s="330">
        <v>12500</v>
      </c>
      <c r="H154" s="330">
        <v>12500</v>
      </c>
      <c r="I154" s="326"/>
      <c r="J154" s="327"/>
    </row>
    <row r="155" spans="1:10" ht="10.5" thickBot="1">
      <c r="C155" s="314">
        <f>C154</f>
        <v>12500</v>
      </c>
      <c r="D155" s="314">
        <f t="shared" ref="D155:G155" si="34">D154</f>
        <v>12500</v>
      </c>
      <c r="E155" s="314">
        <f t="shared" si="34"/>
        <v>12500</v>
      </c>
      <c r="F155" s="314">
        <f t="shared" si="34"/>
        <v>12500</v>
      </c>
      <c r="G155" s="314">
        <f t="shared" si="34"/>
        <v>12500</v>
      </c>
      <c r="H155" s="314">
        <f t="shared" ref="H155" si="35">H154</f>
        <v>12500</v>
      </c>
    </row>
    <row r="156" spans="1:10">
      <c r="G156" s="298">
        <f>G155-$F155</f>
        <v>0</v>
      </c>
      <c r="H156" s="298">
        <f>H155-$F155</f>
        <v>0</v>
      </c>
    </row>
    <row r="157" spans="1:10" ht="10.5" thickBot="1"/>
    <row r="158" spans="1:10" ht="10.5" thickBot="1">
      <c r="A158" s="283" t="s">
        <v>181</v>
      </c>
      <c r="B158" s="303" t="s">
        <v>182</v>
      </c>
      <c r="C158" s="304">
        <f>C162+C169+C174+C178+C183+C189+C194+C198+C202+C206+C211+C219+C215</f>
        <v>3767010</v>
      </c>
      <c r="D158" s="837">
        <f t="shared" ref="D158" si="36">D162+D169+D174+D178+D183+D189+D194+D198+D202+D206+D211+D219+D215</f>
        <v>3767010</v>
      </c>
      <c r="E158" s="837">
        <f>E162+E169+E174+E178+E183+E189+E194+E198+E202+E206+E211+E219+E215</f>
        <v>3767010.0010000002</v>
      </c>
      <c r="F158" s="304">
        <f>F162+F169+F174+F178+F183+F189+F194+F198+F202+F206+F211+F219+F215</f>
        <v>3765083.3448631861</v>
      </c>
      <c r="G158" s="837">
        <f>G162+G169+G174+G178+G183+G189+G194+G198+G202+G206+G211+G219+G215</f>
        <v>3767009.9065774721</v>
      </c>
      <c r="H158" s="837">
        <f>H162+H169+H174+H178+H183+H189+H194+H198+H202+H206+H211+H219+H215</f>
        <v>3767011.9925774722</v>
      </c>
      <c r="I158" s="305"/>
      <c r="J158" s="306"/>
    </row>
    <row r="159" spans="1:10">
      <c r="G159" s="298">
        <f>G158-$F158</f>
        <v>1926.5617142859846</v>
      </c>
      <c r="H159" s="298">
        <f>H158-$F158</f>
        <v>1928.6477142861113</v>
      </c>
    </row>
    <row r="160" spans="1:10" ht="10.5" thickBot="1"/>
    <row r="161" spans="1:10" ht="10.5" thickBot="1">
      <c r="A161" s="290" t="s">
        <v>105</v>
      </c>
      <c r="B161" s="503" t="s">
        <v>183</v>
      </c>
      <c r="C161" s="337">
        <v>1569780</v>
      </c>
      <c r="D161" s="944">
        <v>1569780</v>
      </c>
      <c r="E161" s="944">
        <v>1569780</v>
      </c>
      <c r="F161" s="845">
        <v>1569779.9974982003</v>
      </c>
      <c r="G161" s="330">
        <v>1569779.9974982003</v>
      </c>
      <c r="H161" s="330">
        <v>1569780.9974982</v>
      </c>
      <c r="I161" s="326"/>
      <c r="J161" s="327"/>
    </row>
    <row r="162" spans="1:10" ht="10.5" thickBot="1">
      <c r="C162" s="349">
        <f t="shared" ref="C162:H162" si="37">SUM(C161:C161)</f>
        <v>1569780</v>
      </c>
      <c r="D162" s="342">
        <f t="shared" si="37"/>
        <v>1569780</v>
      </c>
      <c r="E162" s="342">
        <f t="shared" si="37"/>
        <v>1569780</v>
      </c>
      <c r="F162" s="349">
        <f t="shared" si="37"/>
        <v>1569779.9974982003</v>
      </c>
      <c r="G162" s="342">
        <f t="shared" si="37"/>
        <v>1569779.9974982003</v>
      </c>
      <c r="H162" s="342">
        <f t="shared" si="37"/>
        <v>1569780.9974982</v>
      </c>
    </row>
    <row r="163" spans="1:10">
      <c r="G163" s="298">
        <f>G162-$F162</f>
        <v>0</v>
      </c>
      <c r="H163" s="298">
        <f>H162-$F162</f>
        <v>0.99999999976716936</v>
      </c>
    </row>
    <row r="164" spans="1:10" ht="10.5" thickBot="1"/>
    <row r="165" spans="1:10">
      <c r="A165" s="286" t="s">
        <v>106</v>
      </c>
      <c r="B165" s="520" t="s">
        <v>186</v>
      </c>
      <c r="C165" s="490">
        <v>190400</v>
      </c>
      <c r="D165" s="840">
        <v>190400</v>
      </c>
      <c r="E165" s="840">
        <v>181900</v>
      </c>
      <c r="F165" s="956">
        <v>151900</v>
      </c>
      <c r="G165" s="500">
        <v>151900</v>
      </c>
      <c r="H165" s="500">
        <v>123953.75</v>
      </c>
      <c r="I165" s="308"/>
      <c r="J165" s="309"/>
    </row>
    <row r="166" spans="1:10">
      <c r="A166" s="498" t="s">
        <v>107</v>
      </c>
      <c r="B166" s="701" t="s">
        <v>903</v>
      </c>
      <c r="C166" s="491">
        <v>0</v>
      </c>
      <c r="D166" s="691">
        <v>0</v>
      </c>
      <c r="E166" s="691">
        <v>8500.0000000000055</v>
      </c>
      <c r="F166" s="957">
        <v>8500.0031034482799</v>
      </c>
      <c r="G166" s="315">
        <v>8500.0031034482799</v>
      </c>
      <c r="H166" s="315">
        <v>8500.0031034482799</v>
      </c>
      <c r="I166" s="316" t="s">
        <v>601</v>
      </c>
      <c r="J166" s="317">
        <v>4502960520</v>
      </c>
    </row>
    <row r="167" spans="1:10">
      <c r="A167" s="498" t="s">
        <v>108</v>
      </c>
      <c r="B167" s="701" t="s">
        <v>902</v>
      </c>
      <c r="C167" s="491">
        <v>0</v>
      </c>
      <c r="D167" s="691">
        <v>0</v>
      </c>
      <c r="E167" s="691">
        <v>0</v>
      </c>
      <c r="F167" s="957">
        <v>30000</v>
      </c>
      <c r="G167" s="315">
        <v>30000.000000000004</v>
      </c>
      <c r="H167" s="315">
        <v>30000.000000000004</v>
      </c>
      <c r="I167" s="316" t="s">
        <v>721</v>
      </c>
      <c r="J167" s="317">
        <v>4502983881</v>
      </c>
    </row>
    <row r="168" spans="1:10" ht="10.5" thickBot="1">
      <c r="A168" s="699" t="s">
        <v>184</v>
      </c>
      <c r="B168" s="702" t="s">
        <v>904</v>
      </c>
      <c r="C168" s="493">
        <v>0</v>
      </c>
      <c r="D168" s="693">
        <v>0</v>
      </c>
      <c r="E168" s="693">
        <v>0</v>
      </c>
      <c r="F168" s="958">
        <v>0</v>
      </c>
      <c r="G168" s="311">
        <v>0</v>
      </c>
      <c r="H168" s="311">
        <v>27946.25</v>
      </c>
      <c r="I168" s="312" t="s">
        <v>893</v>
      </c>
      <c r="J168" s="477"/>
    </row>
    <row r="169" spans="1:10" ht="10.5" thickBot="1">
      <c r="C169" s="342">
        <f t="shared" ref="C169:G169" si="38">SUM(C165:C168)</f>
        <v>190400</v>
      </c>
      <c r="D169" s="342">
        <f t="shared" si="38"/>
        <v>190400</v>
      </c>
      <c r="E169" s="342">
        <f t="shared" si="38"/>
        <v>190400</v>
      </c>
      <c r="F169" s="342">
        <f t="shared" si="38"/>
        <v>190400.00310344828</v>
      </c>
      <c r="G169" s="342">
        <f t="shared" si="38"/>
        <v>190400.00310344828</v>
      </c>
      <c r="H169" s="342">
        <f>SUM(H165:H168)</f>
        <v>190400.00310344828</v>
      </c>
    </row>
    <row r="170" spans="1:10">
      <c r="G170" s="298">
        <f>G169-$F169</f>
        <v>0</v>
      </c>
      <c r="H170" s="298">
        <f>H169-$F169</f>
        <v>0</v>
      </c>
    </row>
    <row r="171" spans="1:10" ht="10.5" thickBot="1">
      <c r="D171" s="299"/>
      <c r="E171" s="299"/>
      <c r="F171" s="299"/>
      <c r="G171" s="299"/>
      <c r="H171" s="299"/>
    </row>
    <row r="172" spans="1:10">
      <c r="A172" s="286" t="s">
        <v>109</v>
      </c>
      <c r="B172" s="343" t="s">
        <v>190</v>
      </c>
      <c r="C172" s="331">
        <v>272000</v>
      </c>
      <c r="D172" s="941">
        <v>272000</v>
      </c>
      <c r="E172" s="941">
        <v>205120</v>
      </c>
      <c r="F172" s="843">
        <v>205120</v>
      </c>
      <c r="G172" s="500">
        <v>205120</v>
      </c>
      <c r="H172" s="500">
        <v>205120</v>
      </c>
      <c r="I172" s="321"/>
      <c r="J172" s="309"/>
    </row>
    <row r="173" spans="1:10" ht="10.5" thickBot="1">
      <c r="A173" s="499" t="s">
        <v>110</v>
      </c>
      <c r="B173" s="719" t="s">
        <v>901</v>
      </c>
      <c r="C173" s="333">
        <v>0</v>
      </c>
      <c r="D173" s="943">
        <v>0</v>
      </c>
      <c r="E173" s="943">
        <v>66880</v>
      </c>
      <c r="F173" s="844">
        <v>66880</v>
      </c>
      <c r="G173" s="311">
        <v>66880</v>
      </c>
      <c r="H173" s="311">
        <v>66880</v>
      </c>
      <c r="I173" s="323" t="s">
        <v>602</v>
      </c>
      <c r="J173" s="477"/>
    </row>
    <row r="174" spans="1:10" ht="10.5" thickBot="1">
      <c r="C174" s="349">
        <f t="shared" ref="C174:H174" si="39">SUM(C172:C173)</f>
        <v>272000</v>
      </c>
      <c r="D174" s="342">
        <f t="shared" si="39"/>
        <v>272000</v>
      </c>
      <c r="E174" s="342">
        <f t="shared" si="39"/>
        <v>272000</v>
      </c>
      <c r="F174" s="349">
        <f t="shared" si="39"/>
        <v>272000</v>
      </c>
      <c r="G174" s="342">
        <f t="shared" si="39"/>
        <v>272000</v>
      </c>
      <c r="H174" s="342">
        <f t="shared" si="39"/>
        <v>272000</v>
      </c>
    </row>
    <row r="175" spans="1:10">
      <c r="G175" s="298">
        <f>G174-$F174</f>
        <v>0</v>
      </c>
      <c r="H175" s="298">
        <f>H174-$F174</f>
        <v>0</v>
      </c>
    </row>
    <row r="176" spans="1:10" ht="10.5" thickBot="1"/>
    <row r="177" spans="1:10" ht="10.5" thickBot="1">
      <c r="A177" s="290" t="s">
        <v>111</v>
      </c>
      <c r="B177" s="503" t="s">
        <v>195</v>
      </c>
      <c r="C177" s="337">
        <v>108800</v>
      </c>
      <c r="D177" s="944">
        <v>108800</v>
      </c>
      <c r="E177" s="944">
        <v>108800</v>
      </c>
      <c r="F177" s="845">
        <v>108800</v>
      </c>
      <c r="G177" s="330">
        <v>108800</v>
      </c>
      <c r="H177" s="330">
        <v>108801</v>
      </c>
      <c r="I177" s="326"/>
      <c r="J177" s="327"/>
    </row>
    <row r="178" spans="1:10" ht="10.5" thickBot="1">
      <c r="C178" s="349">
        <f t="shared" ref="C178:H178" si="40">C177</f>
        <v>108800</v>
      </c>
      <c r="D178" s="342">
        <f t="shared" si="40"/>
        <v>108800</v>
      </c>
      <c r="E178" s="342">
        <f t="shared" si="40"/>
        <v>108800</v>
      </c>
      <c r="F178" s="342">
        <f t="shared" si="40"/>
        <v>108800</v>
      </c>
      <c r="G178" s="342">
        <f t="shared" si="40"/>
        <v>108800</v>
      </c>
      <c r="H178" s="342">
        <f t="shared" si="40"/>
        <v>108801</v>
      </c>
    </row>
    <row r="179" spans="1:10">
      <c r="G179" s="298">
        <f>G178-$F178</f>
        <v>0</v>
      </c>
      <c r="H179" s="298">
        <f>H178-$F178</f>
        <v>1</v>
      </c>
    </row>
    <row r="180" spans="1:10" ht="10.5" thickBot="1"/>
    <row r="181" spans="1:10">
      <c r="A181" s="286" t="s">
        <v>112</v>
      </c>
      <c r="B181" s="343" t="s">
        <v>722</v>
      </c>
      <c r="C181" s="490">
        <v>326400</v>
      </c>
      <c r="D181" s="838">
        <v>326400</v>
      </c>
      <c r="E181" s="838">
        <v>35680</v>
      </c>
      <c r="F181" s="843">
        <v>35680</v>
      </c>
      <c r="G181" s="485">
        <v>35680</v>
      </c>
      <c r="H181" s="485">
        <v>35680</v>
      </c>
      <c r="I181" s="308"/>
      <c r="J181" s="309"/>
    </row>
    <row r="182" spans="1:10" ht="10.5" thickBot="1">
      <c r="A182" s="499" t="s">
        <v>605</v>
      </c>
      <c r="B182" s="720" t="s">
        <v>897</v>
      </c>
      <c r="C182" s="493">
        <v>0</v>
      </c>
      <c r="D182" s="839">
        <v>0</v>
      </c>
      <c r="E182" s="839">
        <v>290719.99999999988</v>
      </c>
      <c r="F182" s="844">
        <v>290719.99999999953</v>
      </c>
      <c r="G182" s="333">
        <v>290720.00571428501</v>
      </c>
      <c r="H182" s="333">
        <v>290719.99571428524</v>
      </c>
      <c r="I182" s="312" t="s">
        <v>606</v>
      </c>
      <c r="J182" s="313">
        <v>4502980901</v>
      </c>
    </row>
    <row r="183" spans="1:10" ht="10.5" thickBot="1">
      <c r="C183" s="334">
        <f>SUM(C181:C182)</f>
        <v>326400</v>
      </c>
      <c r="D183" s="314">
        <f t="shared" ref="D183:G183" si="41">SUM(D181:D182)</f>
        <v>326400</v>
      </c>
      <c r="E183" s="314">
        <f t="shared" si="41"/>
        <v>326399.99999999988</v>
      </c>
      <c r="F183" s="334">
        <f t="shared" si="41"/>
        <v>326399.99999999953</v>
      </c>
      <c r="G183" s="314">
        <f t="shared" si="41"/>
        <v>326400.00571428501</v>
      </c>
      <c r="H183" s="314">
        <f t="shared" ref="H183" si="42">SUM(H181:H182)</f>
        <v>326399.99571428524</v>
      </c>
    </row>
    <row r="184" spans="1:10">
      <c r="G184" s="298">
        <f>G183-$F183</f>
        <v>5.7142854784615338E-3</v>
      </c>
      <c r="H184" s="298">
        <f>H183-$F183</f>
        <v>-4.2857142980210483E-3</v>
      </c>
    </row>
    <row r="185" spans="1:10" ht="10.5" thickBot="1"/>
    <row r="186" spans="1:10">
      <c r="A186" s="286" t="s">
        <v>113</v>
      </c>
      <c r="B186" s="721" t="s">
        <v>737</v>
      </c>
      <c r="C186" s="331">
        <v>585600</v>
      </c>
      <c r="D186" s="941">
        <v>585600</v>
      </c>
      <c r="E186" s="941">
        <v>21903.19</v>
      </c>
      <c r="F186" s="956">
        <v>21903.19</v>
      </c>
      <c r="G186" s="497">
        <v>21903.19</v>
      </c>
      <c r="H186" s="500">
        <v>16755.289999999997</v>
      </c>
      <c r="I186" s="321"/>
      <c r="J186" s="309"/>
    </row>
    <row r="187" spans="1:10">
      <c r="A187" s="498" t="s">
        <v>191</v>
      </c>
      <c r="B187" s="718" t="s">
        <v>896</v>
      </c>
      <c r="C187" s="491">
        <v>0</v>
      </c>
      <c r="D187" s="691">
        <v>0</v>
      </c>
      <c r="E187" s="691">
        <v>563696.81100000034</v>
      </c>
      <c r="F187" s="957">
        <v>561770.15730000031</v>
      </c>
      <c r="G187" s="495">
        <v>563696.70730000036</v>
      </c>
      <c r="H187" s="315">
        <v>563696.70730000036</v>
      </c>
      <c r="I187" s="324" t="s">
        <v>607</v>
      </c>
      <c r="J187" s="317">
        <v>4502939860</v>
      </c>
    </row>
    <row r="188" spans="1:10" ht="10.5" thickBot="1">
      <c r="A188" s="699" t="s">
        <v>894</v>
      </c>
      <c r="B188" s="719" t="s">
        <v>895</v>
      </c>
      <c r="C188" s="493">
        <v>0</v>
      </c>
      <c r="D188" s="693">
        <v>0</v>
      </c>
      <c r="E188" s="693">
        <v>0</v>
      </c>
      <c r="F188" s="958">
        <v>0</v>
      </c>
      <c r="G188" s="496">
        <v>0</v>
      </c>
      <c r="H188" s="311">
        <v>5148</v>
      </c>
      <c r="I188" s="323" t="s">
        <v>607</v>
      </c>
      <c r="J188" s="313">
        <v>4503103862</v>
      </c>
    </row>
    <row r="189" spans="1:10" ht="10.5" thickBot="1">
      <c r="C189" s="342">
        <f t="shared" ref="C189:G189" si="43">SUM(C186:C188)</f>
        <v>585600</v>
      </c>
      <c r="D189" s="342">
        <f t="shared" si="43"/>
        <v>585600</v>
      </c>
      <c r="E189" s="342">
        <f t="shared" si="43"/>
        <v>585600.00100000028</v>
      </c>
      <c r="F189" s="342">
        <f t="shared" si="43"/>
        <v>583673.34730000026</v>
      </c>
      <c r="G189" s="342">
        <f t="shared" si="43"/>
        <v>585599.8973000003</v>
      </c>
      <c r="H189" s="342">
        <f>SUM(H186:H188)</f>
        <v>585599.9973000004</v>
      </c>
    </row>
    <row r="190" spans="1:10">
      <c r="G190" s="298">
        <f>G189-$F189</f>
        <v>1926.5500000000466</v>
      </c>
      <c r="H190" s="298">
        <f>H189-$F189</f>
        <v>1926.6500000001397</v>
      </c>
    </row>
    <row r="191" spans="1:10" ht="10.5" thickBot="1"/>
    <row r="192" spans="1:10">
      <c r="A192" s="286" t="s">
        <v>114</v>
      </c>
      <c r="B192" s="320" t="s">
        <v>603</v>
      </c>
      <c r="C192" s="331">
        <v>44030</v>
      </c>
      <c r="D192" s="941">
        <v>44030</v>
      </c>
      <c r="E192" s="941">
        <v>17564</v>
      </c>
      <c r="F192" s="843">
        <v>17564</v>
      </c>
      <c r="G192" s="500">
        <v>17564</v>
      </c>
      <c r="H192" s="500">
        <v>17564</v>
      </c>
      <c r="I192" s="321"/>
      <c r="J192" s="309"/>
    </row>
    <row r="193" spans="1:10" ht="10.5" thickBot="1">
      <c r="A193" s="499" t="s">
        <v>192</v>
      </c>
      <c r="B193" s="329" t="s">
        <v>898</v>
      </c>
      <c r="C193" s="333">
        <v>0</v>
      </c>
      <c r="D193" s="946">
        <v>0</v>
      </c>
      <c r="E193" s="946">
        <v>26466.000000000011</v>
      </c>
      <c r="F193" s="844">
        <v>26465.998461538489</v>
      </c>
      <c r="G193" s="697">
        <v>26466.004461538494</v>
      </c>
      <c r="H193" s="697">
        <v>26466.000461538493</v>
      </c>
      <c r="I193" s="323" t="s">
        <v>608</v>
      </c>
      <c r="J193" s="477"/>
    </row>
    <row r="194" spans="1:10" ht="10.5" thickBot="1">
      <c r="C194" s="349">
        <f t="shared" ref="C194:H194" si="44">SUM(C192:C193)</f>
        <v>44030</v>
      </c>
      <c r="D194" s="342">
        <f t="shared" si="44"/>
        <v>44030</v>
      </c>
      <c r="E194" s="342">
        <f t="shared" si="44"/>
        <v>44030.000000000015</v>
      </c>
      <c r="F194" s="342">
        <f t="shared" si="44"/>
        <v>44029.998461538489</v>
      </c>
      <c r="G194" s="342">
        <f t="shared" si="44"/>
        <v>44030.004461538498</v>
      </c>
      <c r="H194" s="342">
        <f t="shared" si="44"/>
        <v>44030.000461538497</v>
      </c>
    </row>
    <row r="195" spans="1:10">
      <c r="G195" s="298">
        <f>G194-$F194</f>
        <v>6.0000000084983185E-3</v>
      </c>
      <c r="H195" s="298">
        <f>H194-$F194</f>
        <v>2.0000000076834112E-3</v>
      </c>
    </row>
    <row r="196" spans="1:10" ht="10.5" thickBot="1"/>
    <row r="197" spans="1:10" ht="10.5" thickBot="1">
      <c r="A197" s="290" t="s">
        <v>115</v>
      </c>
      <c r="B197" s="338" t="s">
        <v>811</v>
      </c>
      <c r="C197" s="337">
        <v>350000</v>
      </c>
      <c r="D197" s="945">
        <v>350000</v>
      </c>
      <c r="E197" s="945">
        <v>350000</v>
      </c>
      <c r="F197" s="845">
        <v>349999.99849999987</v>
      </c>
      <c r="G197" s="480">
        <v>349999.99849999987</v>
      </c>
      <c r="H197" s="480">
        <v>349999.99849999987</v>
      </c>
      <c r="I197" s="326" t="s">
        <v>609</v>
      </c>
      <c r="J197" s="327">
        <v>4502939075</v>
      </c>
    </row>
    <row r="198" spans="1:10" ht="10.5" thickBot="1">
      <c r="C198" s="349">
        <f t="shared" ref="C198:H198" si="45">SUM(C197:C197)</f>
        <v>350000</v>
      </c>
      <c r="D198" s="342">
        <f t="shared" si="45"/>
        <v>350000</v>
      </c>
      <c r="E198" s="342">
        <f t="shared" si="45"/>
        <v>350000</v>
      </c>
      <c r="F198" s="342">
        <f t="shared" si="45"/>
        <v>349999.99849999987</v>
      </c>
      <c r="G198" s="342">
        <f t="shared" si="45"/>
        <v>349999.99849999987</v>
      </c>
      <c r="H198" s="342">
        <f t="shared" si="45"/>
        <v>349999.99849999987</v>
      </c>
    </row>
    <row r="199" spans="1:10">
      <c r="G199" s="298">
        <f>G198-$F198</f>
        <v>0</v>
      </c>
      <c r="H199" s="298">
        <f>H198-$F198</f>
        <v>0</v>
      </c>
    </row>
    <row r="200" spans="1:10" ht="10.5" thickBot="1"/>
    <row r="201" spans="1:10" ht="10.5" thickBot="1">
      <c r="A201" s="290" t="s">
        <v>116</v>
      </c>
      <c r="B201" s="338" t="s">
        <v>899</v>
      </c>
      <c r="C201" s="337">
        <v>50000</v>
      </c>
      <c r="D201" s="945">
        <v>50000</v>
      </c>
      <c r="E201" s="945">
        <v>50000</v>
      </c>
      <c r="F201" s="845">
        <v>50000</v>
      </c>
      <c r="G201" s="480">
        <v>50000</v>
      </c>
      <c r="H201" s="480">
        <v>50000</v>
      </c>
      <c r="I201" s="326" t="s">
        <v>317</v>
      </c>
      <c r="J201" s="327">
        <v>4502968920</v>
      </c>
    </row>
    <row r="202" spans="1:10" ht="10.5" thickBot="1">
      <c r="C202" s="349">
        <f t="shared" ref="C202:H202" si="46">SUM(C201:C201)</f>
        <v>50000</v>
      </c>
      <c r="D202" s="342">
        <f t="shared" si="46"/>
        <v>50000</v>
      </c>
      <c r="E202" s="342">
        <f t="shared" si="46"/>
        <v>50000</v>
      </c>
      <c r="F202" s="342">
        <f t="shared" si="46"/>
        <v>50000</v>
      </c>
      <c r="G202" s="342">
        <f t="shared" si="46"/>
        <v>50000</v>
      </c>
      <c r="H202" s="342">
        <f t="shared" si="46"/>
        <v>50000</v>
      </c>
    </row>
    <row r="203" spans="1:10">
      <c r="G203" s="298">
        <f>G202-$F202</f>
        <v>0</v>
      </c>
      <c r="H203" s="298">
        <f>H202-$F202</f>
        <v>0</v>
      </c>
    </row>
    <row r="204" spans="1:10" ht="10.5" thickBot="1"/>
    <row r="205" spans="1:10" ht="10.5" thickBot="1">
      <c r="A205" s="290" t="s">
        <v>117</v>
      </c>
      <c r="B205" s="338" t="s">
        <v>900</v>
      </c>
      <c r="C205" s="337">
        <v>50000</v>
      </c>
      <c r="D205" s="945">
        <v>50000</v>
      </c>
      <c r="E205" s="945">
        <v>50000</v>
      </c>
      <c r="F205" s="845">
        <v>50000</v>
      </c>
      <c r="G205" s="480">
        <v>50000</v>
      </c>
      <c r="H205" s="480">
        <v>50000</v>
      </c>
      <c r="I205" s="326" t="s">
        <v>580</v>
      </c>
      <c r="J205" s="327">
        <v>4502934293</v>
      </c>
    </row>
    <row r="206" spans="1:10" ht="10.5" thickBot="1">
      <c r="C206" s="349">
        <f t="shared" ref="C206:H206" si="47">SUM(C205:C205)</f>
        <v>50000</v>
      </c>
      <c r="D206" s="342">
        <f t="shared" si="47"/>
        <v>50000</v>
      </c>
      <c r="E206" s="342">
        <f t="shared" si="47"/>
        <v>50000</v>
      </c>
      <c r="F206" s="342">
        <f t="shared" si="47"/>
        <v>50000</v>
      </c>
      <c r="G206" s="342">
        <f t="shared" si="47"/>
        <v>50000</v>
      </c>
      <c r="H206" s="342">
        <f t="shared" si="47"/>
        <v>50000</v>
      </c>
    </row>
    <row r="207" spans="1:10">
      <c r="G207" s="298">
        <f>G206-$F206</f>
        <v>0</v>
      </c>
      <c r="H207" s="298">
        <f>H206-$F206</f>
        <v>0</v>
      </c>
    </row>
    <row r="208" spans="1:10" ht="10.5" thickBot="1"/>
    <row r="209" spans="1:10">
      <c r="A209" s="286" t="s">
        <v>193</v>
      </c>
      <c r="B209" s="960" t="s">
        <v>196</v>
      </c>
      <c r="C209" s="490">
        <v>120000</v>
      </c>
      <c r="D209" s="920">
        <v>120000</v>
      </c>
      <c r="E209" s="920">
        <v>120000</v>
      </c>
      <c r="F209" s="956">
        <v>120000</v>
      </c>
      <c r="G209" s="350">
        <v>120000</v>
      </c>
      <c r="H209" s="350">
        <v>103000</v>
      </c>
      <c r="I209" s="308"/>
      <c r="J209" s="309"/>
    </row>
    <row r="210" spans="1:10" ht="10.5" thickBot="1">
      <c r="A210" s="711" t="s">
        <v>923</v>
      </c>
      <c r="B210" s="702" t="s">
        <v>924</v>
      </c>
      <c r="C210" s="493">
        <v>0</v>
      </c>
      <c r="D210" s="921">
        <v>0</v>
      </c>
      <c r="E210" s="921">
        <v>0</v>
      </c>
      <c r="F210" s="958">
        <v>0</v>
      </c>
      <c r="G210" s="710">
        <v>0</v>
      </c>
      <c r="H210" s="311">
        <v>17000</v>
      </c>
      <c r="I210" s="312" t="s">
        <v>922</v>
      </c>
      <c r="J210" s="313">
        <v>4503138430</v>
      </c>
    </row>
    <row r="211" spans="1:10" ht="10.5" thickBot="1">
      <c r="C211" s="342">
        <f t="shared" ref="C211:G211" si="48">SUM(C209:C210)</f>
        <v>120000</v>
      </c>
      <c r="D211" s="342">
        <f t="shared" si="48"/>
        <v>120000</v>
      </c>
      <c r="E211" s="342">
        <f t="shared" si="48"/>
        <v>120000</v>
      </c>
      <c r="F211" s="342">
        <f t="shared" si="48"/>
        <v>120000</v>
      </c>
      <c r="G211" s="342">
        <f t="shared" si="48"/>
        <v>120000</v>
      </c>
      <c r="H211" s="342">
        <f>SUM(H209:H210)</f>
        <v>120000</v>
      </c>
      <c r="I211" s="291"/>
      <c r="J211" s="291"/>
    </row>
    <row r="212" spans="1:10">
      <c r="G212" s="298">
        <f>G211-$F211</f>
        <v>0</v>
      </c>
      <c r="H212" s="298">
        <f>H211-$F211</f>
        <v>0</v>
      </c>
      <c r="I212" s="291"/>
      <c r="J212" s="291"/>
    </row>
    <row r="213" spans="1:10" ht="10.5" thickBot="1">
      <c r="I213" s="959"/>
      <c r="J213" s="959"/>
    </row>
    <row r="214" spans="1:10" ht="10.5" thickBot="1">
      <c r="A214" s="290" t="s">
        <v>194</v>
      </c>
      <c r="B214" s="338" t="s">
        <v>196</v>
      </c>
      <c r="C214" s="337">
        <v>100000</v>
      </c>
      <c r="D214" s="944">
        <v>100000</v>
      </c>
      <c r="E214" s="944">
        <v>100000</v>
      </c>
      <c r="F214" s="845">
        <v>100000</v>
      </c>
      <c r="G214" s="330">
        <v>100000</v>
      </c>
      <c r="H214" s="330">
        <v>100000</v>
      </c>
      <c r="I214" s="326"/>
      <c r="J214" s="327"/>
    </row>
    <row r="215" spans="1:10" ht="10.5" thickBot="1">
      <c r="C215" s="334">
        <f>C214</f>
        <v>100000</v>
      </c>
      <c r="D215" s="342">
        <f t="shared" ref="D215:G215" si="49">D214</f>
        <v>100000</v>
      </c>
      <c r="E215" s="342">
        <f t="shared" si="49"/>
        <v>100000</v>
      </c>
      <c r="F215" s="314">
        <f t="shared" si="49"/>
        <v>100000</v>
      </c>
      <c r="G215" s="342">
        <f t="shared" si="49"/>
        <v>100000</v>
      </c>
      <c r="H215" s="342">
        <f t="shared" ref="H215" si="50">H214</f>
        <v>100000</v>
      </c>
      <c r="I215" s="293"/>
      <c r="J215" s="293"/>
    </row>
    <row r="216" spans="1:10">
      <c r="G216" s="298">
        <f>G215-$F215</f>
        <v>0</v>
      </c>
      <c r="H216" s="298">
        <f>H215-$F215</f>
        <v>0</v>
      </c>
      <c r="I216" s="293"/>
      <c r="J216" s="293"/>
    </row>
    <row r="217" spans="1:10" ht="10.5" thickBot="1">
      <c r="I217" s="293"/>
      <c r="J217" s="293"/>
    </row>
    <row r="218" spans="1:10" ht="10.5" thickBot="1">
      <c r="A218" s="290" t="s">
        <v>604</v>
      </c>
      <c r="B218" s="338" t="s">
        <v>197</v>
      </c>
      <c r="C218" s="337">
        <v>0</v>
      </c>
      <c r="D218" s="945">
        <v>0</v>
      </c>
      <c r="E218" s="945">
        <v>0</v>
      </c>
      <c r="F218" s="845">
        <v>0</v>
      </c>
      <c r="G218" s="480">
        <v>0</v>
      </c>
      <c r="H218" s="480">
        <v>0</v>
      </c>
      <c r="I218" s="326"/>
      <c r="J218" s="327"/>
    </row>
    <row r="219" spans="1:10" ht="10.5" thickBot="1">
      <c r="C219" s="334">
        <f>C218</f>
        <v>0</v>
      </c>
      <c r="D219" s="342">
        <f t="shared" ref="D219:G219" si="51">D218</f>
        <v>0</v>
      </c>
      <c r="E219" s="342">
        <f t="shared" si="51"/>
        <v>0</v>
      </c>
      <c r="F219" s="314">
        <f t="shared" si="51"/>
        <v>0</v>
      </c>
      <c r="G219" s="342">
        <f t="shared" si="51"/>
        <v>0</v>
      </c>
      <c r="H219" s="342">
        <f t="shared" ref="H219" si="52">H218</f>
        <v>0</v>
      </c>
    </row>
    <row r="220" spans="1:10">
      <c r="G220" s="298">
        <f>G219-$F219</f>
        <v>0</v>
      </c>
      <c r="H220" s="298">
        <f>H219-$F219</f>
        <v>0</v>
      </c>
    </row>
    <row r="221" spans="1:10" ht="10.5" thickBot="1"/>
    <row r="222" spans="1:10" ht="10.5" thickBot="1">
      <c r="A222" s="283" t="s">
        <v>198</v>
      </c>
      <c r="B222" s="303" t="s">
        <v>610</v>
      </c>
      <c r="C222" s="304">
        <f t="shared" ref="C222:H222" si="53">C227+C240+C246+C250+C259+C263+C267</f>
        <v>2278160</v>
      </c>
      <c r="D222" s="304">
        <f t="shared" si="53"/>
        <v>2278160</v>
      </c>
      <c r="E222" s="304">
        <f t="shared" si="53"/>
        <v>2278159.9932666663</v>
      </c>
      <c r="F222" s="304">
        <f t="shared" si="53"/>
        <v>2278160.0033333334</v>
      </c>
      <c r="G222" s="304">
        <f t="shared" si="53"/>
        <v>2278160.0003333334</v>
      </c>
      <c r="H222" s="304">
        <f t="shared" si="53"/>
        <v>2278160.0003333334</v>
      </c>
      <c r="I222" s="305"/>
      <c r="J222" s="306"/>
    </row>
    <row r="223" spans="1:10">
      <c r="G223" s="298">
        <f>G222-$F222</f>
        <v>-3.0000000260770321E-3</v>
      </c>
      <c r="H223" s="298">
        <f>H222-$F222</f>
        <v>-3.0000000260770321E-3</v>
      </c>
    </row>
    <row r="224" spans="1:10" ht="10.5" thickBot="1"/>
    <row r="225" spans="1:10">
      <c r="A225" s="286" t="s">
        <v>118</v>
      </c>
      <c r="B225" s="335" t="s">
        <v>723</v>
      </c>
      <c r="C225" s="331">
        <v>200000</v>
      </c>
      <c r="D225" s="947">
        <v>200000</v>
      </c>
      <c r="E225" s="947">
        <v>0</v>
      </c>
      <c r="F225" s="843">
        <v>0</v>
      </c>
      <c r="G225" s="478">
        <v>0</v>
      </c>
      <c r="H225" s="478">
        <v>0</v>
      </c>
      <c r="I225" s="321"/>
      <c r="J225" s="309"/>
    </row>
    <row r="226" spans="1:10" ht="10.5" thickBot="1">
      <c r="A226" s="287" t="s">
        <v>120</v>
      </c>
      <c r="B226" s="700" t="s">
        <v>724</v>
      </c>
      <c r="C226" s="333">
        <v>0</v>
      </c>
      <c r="D226" s="943">
        <v>0</v>
      </c>
      <c r="E226" s="943">
        <v>200000</v>
      </c>
      <c r="F226" s="844">
        <v>200000</v>
      </c>
      <c r="G226" s="311">
        <v>200000</v>
      </c>
      <c r="H226" s="311">
        <v>200000</v>
      </c>
      <c r="I226" s="323" t="s">
        <v>578</v>
      </c>
      <c r="J226" s="313">
        <v>4502902128</v>
      </c>
    </row>
    <row r="227" spans="1:10" ht="10.5" thickBot="1">
      <c r="C227" s="349">
        <f t="shared" ref="C227:H227" si="54">SUM(C225:C226)</f>
        <v>200000</v>
      </c>
      <c r="D227" s="342">
        <f t="shared" si="54"/>
        <v>200000</v>
      </c>
      <c r="E227" s="342">
        <f t="shared" si="54"/>
        <v>200000</v>
      </c>
      <c r="F227" s="342">
        <f t="shared" si="54"/>
        <v>200000</v>
      </c>
      <c r="G227" s="342">
        <f t="shared" si="54"/>
        <v>200000</v>
      </c>
      <c r="H227" s="342">
        <f t="shared" si="54"/>
        <v>200000</v>
      </c>
    </row>
    <row r="228" spans="1:10">
      <c r="G228" s="298">
        <f>G227-$F227</f>
        <v>0</v>
      </c>
      <c r="H228" s="298">
        <f>H227-$F227</f>
        <v>0</v>
      </c>
    </row>
    <row r="230" spans="1:10" ht="10.5" thickBot="1">
      <c r="A230" s="293"/>
      <c r="B230" s="293"/>
      <c r="C230" s="293"/>
      <c r="D230" s="293"/>
      <c r="E230" s="293"/>
      <c r="F230" s="293"/>
      <c r="G230" s="293"/>
      <c r="H230" s="293"/>
      <c r="I230" s="293"/>
      <c r="J230" s="293"/>
    </row>
    <row r="231" spans="1:10">
      <c r="A231" s="509" t="s">
        <v>200</v>
      </c>
      <c r="B231" s="335" t="s">
        <v>614</v>
      </c>
      <c r="C231" s="331">
        <v>250000</v>
      </c>
      <c r="D231" s="947">
        <v>250000</v>
      </c>
      <c r="E231" s="947">
        <v>0</v>
      </c>
      <c r="F231" s="963">
        <v>0</v>
      </c>
      <c r="G231" s="838">
        <v>92289.73</v>
      </c>
      <c r="H231" s="500">
        <v>92289.73</v>
      </c>
      <c r="I231" s="321"/>
      <c r="J231" s="309"/>
    </row>
    <row r="232" spans="1:10">
      <c r="A232" s="288" t="s">
        <v>612</v>
      </c>
      <c r="B232" s="506" t="s">
        <v>925</v>
      </c>
      <c r="C232" s="507">
        <v>0</v>
      </c>
      <c r="D232" s="948">
        <v>0</v>
      </c>
      <c r="E232" s="948">
        <v>134645</v>
      </c>
      <c r="F232" s="964">
        <v>134645</v>
      </c>
      <c r="G232" s="961">
        <v>42355.267</v>
      </c>
      <c r="H232" s="712">
        <v>42355.267</v>
      </c>
      <c r="I232" s="508" t="s">
        <v>291</v>
      </c>
      <c r="J232" s="479">
        <v>4502939064</v>
      </c>
    </row>
    <row r="233" spans="1:10" ht="10.5" thickBot="1">
      <c r="A233" s="847" t="s">
        <v>613</v>
      </c>
      <c r="B233" s="848" t="s">
        <v>926</v>
      </c>
      <c r="C233" s="841">
        <v>0</v>
      </c>
      <c r="D233" s="949">
        <v>0</v>
      </c>
      <c r="E233" s="949">
        <v>115354.99666666672</v>
      </c>
      <c r="F233" s="965">
        <v>115355.0033333333</v>
      </c>
      <c r="G233" s="962">
        <v>115355.0033333333</v>
      </c>
      <c r="H233" s="849">
        <v>115355.0033333333</v>
      </c>
      <c r="I233" s="850" t="s">
        <v>580</v>
      </c>
      <c r="J233" s="851">
        <v>4502934293</v>
      </c>
    </row>
    <row r="234" spans="1:10" ht="20.25">
      <c r="A234" s="286" t="s">
        <v>199</v>
      </c>
      <c r="B234" s="505" t="s">
        <v>813</v>
      </c>
      <c r="C234" s="331">
        <v>1040000</v>
      </c>
      <c r="D234" s="941">
        <v>1040000</v>
      </c>
      <c r="E234" s="941">
        <v>168000</v>
      </c>
      <c r="F234" s="963">
        <v>168000</v>
      </c>
      <c r="G234" s="497">
        <v>151000</v>
      </c>
      <c r="H234" s="500">
        <v>151000</v>
      </c>
      <c r="I234" s="308"/>
      <c r="J234" s="309"/>
    </row>
    <row r="235" spans="1:10">
      <c r="A235" s="288" t="s">
        <v>201</v>
      </c>
      <c r="B235" s="328" t="s">
        <v>930</v>
      </c>
      <c r="C235" s="332">
        <v>0</v>
      </c>
      <c r="D235" s="942">
        <v>0</v>
      </c>
      <c r="E235" s="942">
        <v>680000</v>
      </c>
      <c r="F235" s="966">
        <v>647500</v>
      </c>
      <c r="G235" s="495">
        <v>647500</v>
      </c>
      <c r="H235" s="315">
        <v>647500</v>
      </c>
      <c r="I235" s="316" t="s">
        <v>615</v>
      </c>
      <c r="J235" s="317">
        <v>4502939085</v>
      </c>
    </row>
    <row r="236" spans="1:10">
      <c r="A236" s="288" t="s">
        <v>812</v>
      </c>
      <c r="B236" s="718" t="s">
        <v>927</v>
      </c>
      <c r="C236" s="332">
        <v>0</v>
      </c>
      <c r="D236" s="942">
        <v>0</v>
      </c>
      <c r="E236" s="942">
        <v>57000</v>
      </c>
      <c r="F236" s="966">
        <v>89500</v>
      </c>
      <c r="G236" s="495">
        <v>89500</v>
      </c>
      <c r="H236" s="315">
        <v>89500</v>
      </c>
      <c r="I236" s="316" t="s">
        <v>615</v>
      </c>
      <c r="J236" s="317">
        <v>4502939085</v>
      </c>
    </row>
    <row r="237" spans="1:10">
      <c r="A237" s="288" t="s">
        <v>203</v>
      </c>
      <c r="B237" s="718" t="s">
        <v>928</v>
      </c>
      <c r="C237" s="332">
        <v>0</v>
      </c>
      <c r="D237" s="942">
        <v>0</v>
      </c>
      <c r="E237" s="942">
        <v>135000</v>
      </c>
      <c r="F237" s="966">
        <v>135000</v>
      </c>
      <c r="G237" s="495">
        <v>135000</v>
      </c>
      <c r="H237" s="315">
        <v>135000</v>
      </c>
      <c r="I237" s="316" t="s">
        <v>615</v>
      </c>
      <c r="J237" s="317">
        <v>4502939085</v>
      </c>
    </row>
    <row r="238" spans="1:10">
      <c r="A238" s="288" t="s">
        <v>426</v>
      </c>
      <c r="B238" s="852" t="s">
        <v>929</v>
      </c>
      <c r="C238" s="332">
        <v>0</v>
      </c>
      <c r="D238" s="942">
        <v>0</v>
      </c>
      <c r="E238" s="942">
        <v>0</v>
      </c>
      <c r="F238" s="966">
        <v>0</v>
      </c>
      <c r="G238" s="495">
        <v>17000</v>
      </c>
      <c r="H238" s="315">
        <v>17000</v>
      </c>
      <c r="I238" s="316" t="s">
        <v>615</v>
      </c>
      <c r="J238" s="317">
        <v>4502939085</v>
      </c>
    </row>
    <row r="239" spans="1:10" ht="10.5" thickBot="1">
      <c r="A239" s="287" t="s">
        <v>203</v>
      </c>
      <c r="B239" s="322" t="s">
        <v>814</v>
      </c>
      <c r="C239" s="333"/>
      <c r="D239" s="943"/>
      <c r="E239" s="943"/>
      <c r="F239" s="967"/>
      <c r="G239" s="496">
        <v>0</v>
      </c>
      <c r="H239" s="311">
        <v>0</v>
      </c>
      <c r="I239" s="312"/>
      <c r="J239" s="313"/>
    </row>
    <row r="240" spans="1:10" ht="10.5" thickBot="1">
      <c r="C240" s="349">
        <f t="shared" ref="C240:H240" si="55">SUM(C231:C238)</f>
        <v>1290000</v>
      </c>
      <c r="D240" s="342">
        <f t="shared" si="55"/>
        <v>1290000</v>
      </c>
      <c r="E240" s="342">
        <f t="shared" si="55"/>
        <v>1289999.9966666666</v>
      </c>
      <c r="F240" s="342">
        <f t="shared" si="55"/>
        <v>1290000.0033333334</v>
      </c>
      <c r="G240" s="342">
        <f t="shared" si="55"/>
        <v>1290000.0003333334</v>
      </c>
      <c r="H240" s="342">
        <f t="shared" si="55"/>
        <v>1290000.0003333334</v>
      </c>
    </row>
    <row r="241" spans="1:10">
      <c r="G241" s="298">
        <f>G240-$F240</f>
        <v>-3.0000000260770321E-3</v>
      </c>
      <c r="H241" s="298">
        <f>H240-$F240</f>
        <v>-3.0000000260770321E-3</v>
      </c>
    </row>
    <row r="242" spans="1:10" ht="10.5" thickBot="1"/>
    <row r="243" spans="1:10">
      <c r="A243" s="286" t="s">
        <v>204</v>
      </c>
      <c r="B243" s="335" t="s">
        <v>616</v>
      </c>
      <c r="C243" s="331">
        <v>300000</v>
      </c>
      <c r="D243" s="947">
        <v>300000</v>
      </c>
      <c r="E243" s="947">
        <v>0</v>
      </c>
      <c r="F243" s="843">
        <v>0</v>
      </c>
      <c r="G243" s="478">
        <v>0</v>
      </c>
      <c r="H243" s="478">
        <v>0</v>
      </c>
      <c r="I243" s="321"/>
      <c r="J243" s="309"/>
    </row>
    <row r="244" spans="1:10">
      <c r="A244" s="348" t="s">
        <v>205</v>
      </c>
      <c r="B244" s="722" t="s">
        <v>937</v>
      </c>
      <c r="C244" s="332">
        <v>0</v>
      </c>
      <c r="D244" s="942">
        <v>0</v>
      </c>
      <c r="E244" s="942">
        <v>269000</v>
      </c>
      <c r="F244" s="846">
        <v>269000</v>
      </c>
      <c r="G244" s="315">
        <v>269000</v>
      </c>
      <c r="H244" s="315">
        <v>269000</v>
      </c>
      <c r="I244" s="324" t="s">
        <v>578</v>
      </c>
      <c r="J244" s="317">
        <v>4502902128</v>
      </c>
    </row>
    <row r="245" spans="1:10" ht="10.5" thickBot="1">
      <c r="A245" s="347" t="s">
        <v>206</v>
      </c>
      <c r="B245" s="325" t="s">
        <v>926</v>
      </c>
      <c r="C245" s="333">
        <v>0</v>
      </c>
      <c r="D245" s="943">
        <v>0</v>
      </c>
      <c r="E245" s="943">
        <v>31000</v>
      </c>
      <c r="F245" s="844">
        <v>31000</v>
      </c>
      <c r="G245" s="311">
        <v>31000</v>
      </c>
      <c r="H245" s="311">
        <v>31000</v>
      </c>
      <c r="I245" s="323" t="s">
        <v>580</v>
      </c>
      <c r="J245" s="313">
        <v>4502934293</v>
      </c>
    </row>
    <row r="246" spans="1:10" ht="10.5" thickBot="1">
      <c r="C246" s="334">
        <f t="shared" ref="C246:H246" si="56">SUM(C243:C245)</f>
        <v>300000</v>
      </c>
      <c r="D246" s="342">
        <f t="shared" si="56"/>
        <v>300000</v>
      </c>
      <c r="E246" s="342">
        <f t="shared" si="56"/>
        <v>300000</v>
      </c>
      <c r="F246" s="314">
        <f t="shared" si="56"/>
        <v>300000</v>
      </c>
      <c r="G246" s="342">
        <f t="shared" si="56"/>
        <v>300000</v>
      </c>
      <c r="H246" s="342">
        <f t="shared" si="56"/>
        <v>300000</v>
      </c>
    </row>
    <row r="247" spans="1:10">
      <c r="G247" s="298">
        <f>G246-$F246</f>
        <v>0</v>
      </c>
      <c r="H247" s="298">
        <f>H246-$F246</f>
        <v>0</v>
      </c>
    </row>
    <row r="248" spans="1:10" ht="10.5" thickBot="1"/>
    <row r="249" spans="1:10" ht="10.5" thickBot="1">
      <c r="A249" s="290" t="s">
        <v>208</v>
      </c>
      <c r="B249" s="338" t="s">
        <v>207</v>
      </c>
      <c r="C249" s="337">
        <v>100000</v>
      </c>
      <c r="D249" s="944">
        <v>100000</v>
      </c>
      <c r="E249" s="944">
        <v>100000</v>
      </c>
      <c r="F249" s="845">
        <v>100000</v>
      </c>
      <c r="G249" s="330">
        <v>100000</v>
      </c>
      <c r="H249" s="330">
        <v>100000</v>
      </c>
      <c r="I249" s="326"/>
      <c r="J249" s="327"/>
    </row>
    <row r="250" spans="1:10" ht="10.5" thickBot="1">
      <c r="C250" s="349">
        <f t="shared" ref="C250:H250" si="57">SUM(C249:C249)</f>
        <v>100000</v>
      </c>
      <c r="D250" s="342">
        <f t="shared" si="57"/>
        <v>100000</v>
      </c>
      <c r="E250" s="342">
        <f t="shared" si="57"/>
        <v>100000</v>
      </c>
      <c r="F250" s="342">
        <f t="shared" si="57"/>
        <v>100000</v>
      </c>
      <c r="G250" s="342">
        <f t="shared" si="57"/>
        <v>100000</v>
      </c>
      <c r="H250" s="342">
        <f t="shared" si="57"/>
        <v>100000</v>
      </c>
    </row>
    <row r="251" spans="1:10">
      <c r="G251" s="298">
        <f>G250-$F250</f>
        <v>0</v>
      </c>
      <c r="H251" s="298">
        <f>H250-$F250</f>
        <v>0</v>
      </c>
    </row>
    <row r="252" spans="1:10" ht="10.5" thickBot="1"/>
    <row r="253" spans="1:10">
      <c r="A253" s="286" t="s">
        <v>215</v>
      </c>
      <c r="B253" s="335" t="s">
        <v>738</v>
      </c>
      <c r="C253" s="490">
        <v>340000</v>
      </c>
      <c r="D253" s="840">
        <v>340000</v>
      </c>
      <c r="E253" s="692">
        <v>242559.99659999995</v>
      </c>
      <c r="F253" s="968">
        <v>217302.41999999998</v>
      </c>
      <c r="G253" s="500">
        <v>198852.41999999998</v>
      </c>
      <c r="H253" s="500">
        <v>197552.41999999998</v>
      </c>
      <c r="I253" s="308"/>
      <c r="J253" s="309"/>
    </row>
    <row r="254" spans="1:10">
      <c r="A254" s="348" t="s">
        <v>611</v>
      </c>
      <c r="B254" s="328" t="s">
        <v>934</v>
      </c>
      <c r="C254" s="491">
        <v>0</v>
      </c>
      <c r="D254" s="691">
        <v>0</v>
      </c>
      <c r="E254" s="492">
        <v>97440</v>
      </c>
      <c r="F254" s="969">
        <v>97440</v>
      </c>
      <c r="G254" s="315">
        <v>97440</v>
      </c>
      <c r="H254" s="315">
        <v>97440</v>
      </c>
      <c r="I254" s="316" t="s">
        <v>617</v>
      </c>
      <c r="J254" s="317"/>
    </row>
    <row r="255" spans="1:10">
      <c r="A255" s="348" t="s">
        <v>725</v>
      </c>
      <c r="B255" s="328" t="s">
        <v>935</v>
      </c>
      <c r="C255" s="491">
        <v>0</v>
      </c>
      <c r="D255" s="691">
        <v>0</v>
      </c>
      <c r="E255" s="492">
        <v>0</v>
      </c>
      <c r="F255" s="969">
        <v>25257.58</v>
      </c>
      <c r="G255" s="315">
        <v>25257.58</v>
      </c>
      <c r="H255" s="315">
        <v>25257.58</v>
      </c>
      <c r="I255" s="316" t="s">
        <v>580</v>
      </c>
      <c r="J255" s="317">
        <v>4502934293</v>
      </c>
    </row>
    <row r="256" spans="1:10">
      <c r="A256" s="348" t="s">
        <v>817</v>
      </c>
      <c r="B256" s="328" t="s">
        <v>936</v>
      </c>
      <c r="C256" s="491">
        <v>0</v>
      </c>
      <c r="D256" s="691">
        <v>0</v>
      </c>
      <c r="E256" s="492">
        <v>0</v>
      </c>
      <c r="F256" s="969">
        <v>0</v>
      </c>
      <c r="G256" s="315">
        <v>17530</v>
      </c>
      <c r="H256" s="315">
        <v>17530</v>
      </c>
      <c r="I256" s="316" t="s">
        <v>815</v>
      </c>
      <c r="J256" s="713"/>
    </row>
    <row r="257" spans="1:10">
      <c r="A257" s="348" t="s">
        <v>818</v>
      </c>
      <c r="B257" s="328" t="s">
        <v>933</v>
      </c>
      <c r="C257" s="491">
        <v>0</v>
      </c>
      <c r="D257" s="691">
        <v>0</v>
      </c>
      <c r="E257" s="492">
        <v>0</v>
      </c>
      <c r="F257" s="969">
        <v>0</v>
      </c>
      <c r="G257" s="315">
        <v>920</v>
      </c>
      <c r="H257" s="315">
        <v>920</v>
      </c>
      <c r="I257" s="316" t="s">
        <v>816</v>
      </c>
      <c r="J257" s="317">
        <v>4503121343</v>
      </c>
    </row>
    <row r="258" spans="1:10" ht="10.5" thickBot="1">
      <c r="A258" s="704" t="s">
        <v>931</v>
      </c>
      <c r="B258" s="329" t="s">
        <v>932</v>
      </c>
      <c r="C258" s="493">
        <v>0</v>
      </c>
      <c r="D258" s="693">
        <v>0</v>
      </c>
      <c r="E258" s="494">
        <v>0</v>
      </c>
      <c r="F258" s="970">
        <v>0</v>
      </c>
      <c r="G258" s="311">
        <v>0</v>
      </c>
      <c r="H258" s="311">
        <v>1300</v>
      </c>
      <c r="I258" s="312" t="s">
        <v>816</v>
      </c>
      <c r="J258" s="313">
        <v>4503121343</v>
      </c>
    </row>
    <row r="259" spans="1:10" ht="10.5" thickBot="1">
      <c r="C259" s="342">
        <f t="shared" ref="C259:G259" si="58">SUM(C253:C258)</f>
        <v>340000</v>
      </c>
      <c r="D259" s="342">
        <f t="shared" si="58"/>
        <v>340000</v>
      </c>
      <c r="E259" s="342">
        <f t="shared" si="58"/>
        <v>339999.99659999995</v>
      </c>
      <c r="F259" s="342">
        <f t="shared" si="58"/>
        <v>340000</v>
      </c>
      <c r="G259" s="342">
        <f t="shared" si="58"/>
        <v>340000</v>
      </c>
      <c r="H259" s="342">
        <f>SUM(H253:H258)</f>
        <v>340000</v>
      </c>
    </row>
    <row r="260" spans="1:10">
      <c r="G260" s="298">
        <f>G259-$F259</f>
        <v>0</v>
      </c>
      <c r="H260" s="298">
        <f>H259-$F259</f>
        <v>0</v>
      </c>
    </row>
    <row r="261" spans="1:10" ht="10.5" thickBot="1"/>
    <row r="262" spans="1:10" ht="10.5" thickBot="1">
      <c r="A262" s="290" t="s">
        <v>216</v>
      </c>
      <c r="B262" s="338" t="s">
        <v>219</v>
      </c>
      <c r="C262" s="337">
        <v>8000</v>
      </c>
      <c r="D262" s="944">
        <v>8000</v>
      </c>
      <c r="E262" s="944">
        <v>8000</v>
      </c>
      <c r="F262" s="845">
        <v>8000</v>
      </c>
      <c r="G262" s="330">
        <v>8000</v>
      </c>
      <c r="H262" s="330">
        <v>8000</v>
      </c>
      <c r="I262" s="326"/>
      <c r="J262" s="327"/>
    </row>
    <row r="263" spans="1:10" ht="10.5" thickBot="1">
      <c r="C263" s="349">
        <f t="shared" ref="C263:H263" si="59">SUM(C262:C262)</f>
        <v>8000</v>
      </c>
      <c r="D263" s="342">
        <f t="shared" si="59"/>
        <v>8000</v>
      </c>
      <c r="E263" s="342">
        <f t="shared" si="59"/>
        <v>8000</v>
      </c>
      <c r="F263" s="342">
        <f t="shared" si="59"/>
        <v>8000</v>
      </c>
      <c r="G263" s="342">
        <f t="shared" si="59"/>
        <v>8000</v>
      </c>
      <c r="H263" s="342">
        <f t="shared" si="59"/>
        <v>8000</v>
      </c>
    </row>
    <row r="264" spans="1:10">
      <c r="G264" s="298">
        <f>G263-$F263</f>
        <v>0</v>
      </c>
      <c r="H264" s="298">
        <f>H263-$F263</f>
        <v>0</v>
      </c>
    </row>
    <row r="265" spans="1:10" ht="10.5" thickBot="1"/>
    <row r="266" spans="1:10" ht="10.5" thickBot="1">
      <c r="A266" s="290" t="s">
        <v>435</v>
      </c>
      <c r="B266" s="338" t="s">
        <v>218</v>
      </c>
      <c r="C266" s="337">
        <v>40160</v>
      </c>
      <c r="D266" s="944">
        <v>40160</v>
      </c>
      <c r="E266" s="944">
        <v>40160</v>
      </c>
      <c r="F266" s="845">
        <v>40160</v>
      </c>
      <c r="G266" s="330">
        <v>40160</v>
      </c>
      <c r="H266" s="330">
        <v>40160</v>
      </c>
      <c r="I266" s="326"/>
      <c r="J266" s="327"/>
    </row>
    <row r="267" spans="1:10" ht="10.5" thickBot="1">
      <c r="C267" s="334">
        <f t="shared" ref="C267:H267" si="60">C266</f>
        <v>40160</v>
      </c>
      <c r="D267" s="342">
        <f t="shared" si="60"/>
        <v>40160</v>
      </c>
      <c r="E267" s="342">
        <f t="shared" si="60"/>
        <v>40160</v>
      </c>
      <c r="F267" s="314">
        <f t="shared" si="60"/>
        <v>40160</v>
      </c>
      <c r="G267" s="342">
        <f t="shared" si="60"/>
        <v>40160</v>
      </c>
      <c r="H267" s="342">
        <f t="shared" si="60"/>
        <v>40160</v>
      </c>
    </row>
    <row r="268" spans="1:10">
      <c r="G268" s="298">
        <f>G267-$F267</f>
        <v>0</v>
      </c>
      <c r="H268" s="298">
        <f>H267-$F267</f>
        <v>0</v>
      </c>
    </row>
    <row r="269" spans="1:10" ht="10.5" thickBot="1"/>
    <row r="270" spans="1:10" ht="10.5" thickBot="1">
      <c r="A270" s="283" t="s">
        <v>220</v>
      </c>
      <c r="B270" s="303" t="s">
        <v>221</v>
      </c>
      <c r="C270" s="304">
        <f>C274+C280+C286+C290+C295+C302</f>
        <v>1600208</v>
      </c>
      <c r="D270" s="837">
        <f t="shared" ref="D270" si="61">D274+D280+D286+D290+D295+D302</f>
        <v>1600208</v>
      </c>
      <c r="E270" s="837">
        <f>E274+E280+E286+E290+E295+E302</f>
        <v>1600208.0010311997</v>
      </c>
      <c r="F270" s="304">
        <f>F274+F280+F286+F290+F295+F302</f>
        <v>1600207.9931003996</v>
      </c>
      <c r="G270" s="304">
        <f>G274+G280+G286+G290+G295+G302</f>
        <v>1600207.9931003996</v>
      </c>
      <c r="H270" s="304">
        <f>H274+H280+H286+H290+H295+H302</f>
        <v>1600207.9931003996</v>
      </c>
      <c r="I270" s="305"/>
      <c r="J270" s="306"/>
    </row>
    <row r="271" spans="1:10">
      <c r="G271" s="298">
        <f>G270-$F270</f>
        <v>0</v>
      </c>
      <c r="H271" s="298">
        <f>H270-$F270</f>
        <v>0</v>
      </c>
    </row>
    <row r="272" spans="1:10" ht="10.5" thickBot="1"/>
    <row r="273" spans="1:10" ht="10.5" thickBot="1">
      <c r="A273" s="290" t="s">
        <v>121</v>
      </c>
      <c r="B273" s="336" t="s">
        <v>223</v>
      </c>
      <c r="C273" s="337">
        <v>50000</v>
      </c>
      <c r="D273" s="944">
        <v>50000</v>
      </c>
      <c r="E273" s="944">
        <v>50000</v>
      </c>
      <c r="F273" s="845">
        <v>50000</v>
      </c>
      <c r="G273" s="330">
        <v>50000</v>
      </c>
      <c r="H273" s="330">
        <v>50000</v>
      </c>
      <c r="I273" s="326"/>
      <c r="J273" s="327"/>
    </row>
    <row r="274" spans="1:10" ht="10.5" thickBot="1">
      <c r="C274" s="334">
        <f>C273</f>
        <v>50000</v>
      </c>
      <c r="D274" s="342">
        <f t="shared" ref="D274:G274" si="62">D273</f>
        <v>50000</v>
      </c>
      <c r="E274" s="342">
        <f t="shared" si="62"/>
        <v>50000</v>
      </c>
      <c r="F274" s="314">
        <f t="shared" si="62"/>
        <v>50000</v>
      </c>
      <c r="G274" s="342">
        <f t="shared" si="62"/>
        <v>50000</v>
      </c>
      <c r="H274" s="342">
        <f t="shared" ref="H274" si="63">H273</f>
        <v>50000</v>
      </c>
    </row>
    <row r="275" spans="1:10">
      <c r="G275" s="298">
        <f>G274-$F274</f>
        <v>0</v>
      </c>
      <c r="H275" s="298">
        <f>H274-$F274</f>
        <v>0</v>
      </c>
    </row>
    <row r="276" spans="1:10" ht="10.5" thickBot="1"/>
    <row r="277" spans="1:10">
      <c r="A277" s="286" t="s">
        <v>126</v>
      </c>
      <c r="B277" s="320" t="s">
        <v>618</v>
      </c>
      <c r="C277" s="331">
        <v>20000</v>
      </c>
      <c r="D277" s="941">
        <v>20000</v>
      </c>
      <c r="E277" s="941">
        <v>1920.34</v>
      </c>
      <c r="F277" s="843">
        <v>1583.75</v>
      </c>
      <c r="G277" s="500">
        <v>1583.75</v>
      </c>
      <c r="H277" s="500">
        <v>1583.75</v>
      </c>
      <c r="I277" s="321"/>
      <c r="J277" s="309"/>
    </row>
    <row r="278" spans="1:10">
      <c r="A278" s="510" t="s">
        <v>127</v>
      </c>
      <c r="B278" s="723" t="s">
        <v>938</v>
      </c>
      <c r="C278" s="332">
        <v>0</v>
      </c>
      <c r="D278" s="942">
        <v>0</v>
      </c>
      <c r="E278" s="942">
        <v>16616.25</v>
      </c>
      <c r="F278" s="846">
        <v>16616.25</v>
      </c>
      <c r="G278" s="315">
        <v>16616.25</v>
      </c>
      <c r="H278" s="315">
        <v>16616.25</v>
      </c>
      <c r="I278" s="324" t="s">
        <v>619</v>
      </c>
      <c r="J278" s="317">
        <v>4502957582</v>
      </c>
    </row>
    <row r="279" spans="1:10" ht="10.5" thickBot="1">
      <c r="A279" s="511" t="s">
        <v>128</v>
      </c>
      <c r="B279" s="720" t="s">
        <v>939</v>
      </c>
      <c r="C279" s="333">
        <v>0</v>
      </c>
      <c r="D279" s="943">
        <v>0</v>
      </c>
      <c r="E279" s="943">
        <v>1463.41</v>
      </c>
      <c r="F279" s="844">
        <v>1800</v>
      </c>
      <c r="G279" s="311">
        <v>1800</v>
      </c>
      <c r="H279" s="311">
        <v>1800</v>
      </c>
      <c r="I279" s="323" t="s">
        <v>620</v>
      </c>
      <c r="J279" s="313">
        <v>4502971778</v>
      </c>
    </row>
    <row r="280" spans="1:10" ht="10.5" thickBot="1">
      <c r="C280" s="349">
        <f>SUM(C277:C279)</f>
        <v>20000</v>
      </c>
      <c r="D280" s="342">
        <f t="shared" ref="D280:G280" si="64">SUM(D277:D279)</f>
        <v>20000</v>
      </c>
      <c r="E280" s="342">
        <f t="shared" si="64"/>
        <v>20000</v>
      </c>
      <c r="F280" s="314">
        <f t="shared" si="64"/>
        <v>20000</v>
      </c>
      <c r="G280" s="342">
        <f t="shared" si="64"/>
        <v>20000</v>
      </c>
      <c r="H280" s="342">
        <f t="shared" ref="H280" si="65">SUM(H277:H279)</f>
        <v>20000</v>
      </c>
    </row>
    <row r="281" spans="1:10">
      <c r="G281" s="298">
        <f>G280-$F280</f>
        <v>0</v>
      </c>
      <c r="H281" s="298">
        <f>H280-$F280</f>
        <v>0</v>
      </c>
    </row>
    <row r="282" spans="1:10" ht="10.5" thickBot="1"/>
    <row r="283" spans="1:10">
      <c r="A283" s="286" t="s">
        <v>134</v>
      </c>
      <c r="B283" s="721" t="s">
        <v>621</v>
      </c>
      <c r="C283" s="490">
        <v>20000</v>
      </c>
      <c r="D283" s="497">
        <v>20000</v>
      </c>
      <c r="E283" s="692">
        <v>6720</v>
      </c>
      <c r="F283" s="843">
        <v>4720</v>
      </c>
      <c r="G283" s="485">
        <v>4720</v>
      </c>
      <c r="H283" s="485">
        <v>4720</v>
      </c>
      <c r="I283" s="308"/>
      <c r="J283" s="309"/>
    </row>
    <row r="284" spans="1:10">
      <c r="A284" s="510" t="s">
        <v>135</v>
      </c>
      <c r="B284" s="723" t="s">
        <v>940</v>
      </c>
      <c r="C284" s="491">
        <v>0</v>
      </c>
      <c r="D284" s="495">
        <v>0</v>
      </c>
      <c r="E284" s="492">
        <v>13280</v>
      </c>
      <c r="F284" s="846">
        <v>13280</v>
      </c>
      <c r="G284" s="332">
        <v>13280</v>
      </c>
      <c r="H284" s="332">
        <v>13280</v>
      </c>
      <c r="I284" s="316" t="s">
        <v>622</v>
      </c>
      <c r="J284" s="317">
        <v>4502956394</v>
      </c>
    </row>
    <row r="285" spans="1:10" ht="10.5" thickBot="1">
      <c r="A285" s="511" t="s">
        <v>726</v>
      </c>
      <c r="B285" s="720" t="s">
        <v>739</v>
      </c>
      <c r="C285" s="493">
        <v>0</v>
      </c>
      <c r="D285" s="496">
        <v>0</v>
      </c>
      <c r="E285" s="494">
        <v>0</v>
      </c>
      <c r="F285" s="844">
        <v>2000</v>
      </c>
      <c r="G285" s="333">
        <v>2000</v>
      </c>
      <c r="H285" s="333">
        <v>2000</v>
      </c>
      <c r="I285" s="312" t="s">
        <v>727</v>
      </c>
      <c r="J285" s="313">
        <v>4502992375</v>
      </c>
    </row>
    <row r="286" spans="1:10" ht="10.5" thickBot="1">
      <c r="C286" s="342">
        <f t="shared" ref="C286:E286" si="66">SUM(C283:C285)</f>
        <v>20000</v>
      </c>
      <c r="D286" s="342">
        <f t="shared" si="66"/>
        <v>20000</v>
      </c>
      <c r="E286" s="342">
        <f t="shared" si="66"/>
        <v>20000</v>
      </c>
      <c r="F286" s="342">
        <f>SUM(F283:F285)</f>
        <v>20000</v>
      </c>
      <c r="G286" s="342">
        <f>SUM(G283:G285)</f>
        <v>20000</v>
      </c>
      <c r="H286" s="342">
        <f>SUM(H283:H285)</f>
        <v>20000</v>
      </c>
    </row>
    <row r="287" spans="1:10">
      <c r="G287" s="298">
        <f>G286-$F286</f>
        <v>0</v>
      </c>
      <c r="H287" s="298">
        <f>H286-$F286</f>
        <v>0</v>
      </c>
    </row>
    <row r="288" spans="1:10" ht="10.5" thickBot="1"/>
    <row r="289" spans="1:10" ht="10.5" thickBot="1">
      <c r="A289" s="290" t="s">
        <v>136</v>
      </c>
      <c r="B289" s="336" t="s">
        <v>224</v>
      </c>
      <c r="C289" s="337">
        <v>20000</v>
      </c>
      <c r="D289" s="944">
        <v>20000</v>
      </c>
      <c r="E289" s="944">
        <v>20000</v>
      </c>
      <c r="F289" s="845">
        <v>20000</v>
      </c>
      <c r="G289" s="330">
        <v>20000</v>
      </c>
      <c r="H289" s="330">
        <v>20000</v>
      </c>
      <c r="I289" s="326"/>
      <c r="J289" s="327"/>
    </row>
    <row r="290" spans="1:10" ht="10.5" thickBot="1">
      <c r="C290" s="349">
        <f t="shared" ref="C290:H290" si="67">SUM(C289:C289)</f>
        <v>20000</v>
      </c>
      <c r="D290" s="342">
        <f t="shared" si="67"/>
        <v>20000</v>
      </c>
      <c r="E290" s="342">
        <f t="shared" si="67"/>
        <v>20000</v>
      </c>
      <c r="F290" s="342">
        <f t="shared" si="67"/>
        <v>20000</v>
      </c>
      <c r="G290" s="342">
        <f t="shared" si="67"/>
        <v>20000</v>
      </c>
      <c r="H290" s="342">
        <f t="shared" si="67"/>
        <v>20000</v>
      </c>
    </row>
    <row r="291" spans="1:10">
      <c r="G291" s="298">
        <f>G290-$F290</f>
        <v>0</v>
      </c>
      <c r="H291" s="298">
        <f>H290-$F290</f>
        <v>0</v>
      </c>
    </row>
    <row r="292" spans="1:10" ht="10.5" thickBot="1"/>
    <row r="293" spans="1:10">
      <c r="A293" s="286" t="s">
        <v>222</v>
      </c>
      <c r="B293" s="320" t="s">
        <v>623</v>
      </c>
      <c r="C293" s="331">
        <v>160208</v>
      </c>
      <c r="D293" s="950">
        <v>160208</v>
      </c>
      <c r="E293" s="922">
        <v>160208</v>
      </c>
      <c r="F293" s="843">
        <v>130208</v>
      </c>
      <c r="G293" s="832">
        <v>130208</v>
      </c>
      <c r="H293" s="832">
        <v>130208</v>
      </c>
      <c r="I293" s="308"/>
      <c r="J293" s="309"/>
    </row>
    <row r="294" spans="1:10" ht="10.5" thickBot="1">
      <c r="A294" s="511" t="s">
        <v>728</v>
      </c>
      <c r="B294" s="720" t="s">
        <v>941</v>
      </c>
      <c r="C294" s="333">
        <v>0</v>
      </c>
      <c r="D294" s="943">
        <v>0</v>
      </c>
      <c r="E294" s="494">
        <v>0</v>
      </c>
      <c r="F294" s="844">
        <v>30000</v>
      </c>
      <c r="G294" s="333">
        <v>30000</v>
      </c>
      <c r="H294" s="333">
        <v>30000</v>
      </c>
      <c r="I294" s="312" t="s">
        <v>729</v>
      </c>
      <c r="J294" s="477"/>
    </row>
    <row r="295" spans="1:10" ht="10.5" thickBot="1">
      <c r="C295" s="349">
        <f>C293</f>
        <v>160208</v>
      </c>
      <c r="D295" s="342">
        <f t="shared" ref="D295:E295" si="68">D293</f>
        <v>160208</v>
      </c>
      <c r="E295" s="342">
        <f t="shared" si="68"/>
        <v>160208</v>
      </c>
      <c r="F295" s="342">
        <f>SUM(F293:F294)</f>
        <v>160208</v>
      </c>
      <c r="G295" s="342">
        <f>SUM(G293:G294)</f>
        <v>160208</v>
      </c>
      <c r="H295" s="342">
        <f>SUM(H293:H294)</f>
        <v>160208</v>
      </c>
    </row>
    <row r="296" spans="1:10">
      <c r="G296" s="298">
        <f>G295-$F295</f>
        <v>0</v>
      </c>
      <c r="H296" s="298">
        <f>H295-$F295</f>
        <v>0</v>
      </c>
    </row>
    <row r="297" spans="1:10" ht="10.5" thickBot="1"/>
    <row r="298" spans="1:10">
      <c r="A298" s="286" t="s">
        <v>546</v>
      </c>
      <c r="B298" s="307" t="s">
        <v>225</v>
      </c>
      <c r="C298" s="512">
        <v>50000</v>
      </c>
      <c r="D298" s="833">
        <v>50000</v>
      </c>
      <c r="E298" s="950">
        <v>50000</v>
      </c>
      <c r="F298" s="843">
        <v>50000</v>
      </c>
      <c r="G298" s="350">
        <v>50000</v>
      </c>
      <c r="H298" s="350">
        <v>50000</v>
      </c>
      <c r="I298" s="321"/>
      <c r="J298" s="309"/>
    </row>
    <row r="299" spans="1:10">
      <c r="A299" s="510" t="s">
        <v>624</v>
      </c>
      <c r="B299" s="513" t="s">
        <v>627</v>
      </c>
      <c r="C299" s="501">
        <v>1280000</v>
      </c>
      <c r="D299" s="834">
        <v>1280000</v>
      </c>
      <c r="E299" s="951">
        <v>557000.01</v>
      </c>
      <c r="F299" s="846">
        <v>557000</v>
      </c>
      <c r="G299" s="514">
        <v>557000</v>
      </c>
      <c r="H299" s="514">
        <v>557000</v>
      </c>
      <c r="I299" s="324"/>
      <c r="J299" s="317"/>
    </row>
    <row r="300" spans="1:10">
      <c r="A300" s="510" t="s">
        <v>625</v>
      </c>
      <c r="B300" s="724" t="s">
        <v>942</v>
      </c>
      <c r="C300" s="501">
        <v>0</v>
      </c>
      <c r="D300" s="495">
        <v>0</v>
      </c>
      <c r="E300" s="942">
        <v>361499.99551559991</v>
      </c>
      <c r="F300" s="846">
        <v>361499.99655019987</v>
      </c>
      <c r="G300" s="315">
        <v>361499.99655019987</v>
      </c>
      <c r="H300" s="315">
        <v>361499.99655019987</v>
      </c>
      <c r="I300" s="324" t="s">
        <v>628</v>
      </c>
      <c r="J300" s="317">
        <v>4502948806</v>
      </c>
    </row>
    <row r="301" spans="1:10" ht="10.5" thickBot="1">
      <c r="A301" s="511" t="s">
        <v>626</v>
      </c>
      <c r="B301" s="725" t="s">
        <v>943</v>
      </c>
      <c r="C301" s="502">
        <v>0</v>
      </c>
      <c r="D301" s="496">
        <v>0</v>
      </c>
      <c r="E301" s="943">
        <v>361499.99551559991</v>
      </c>
      <c r="F301" s="844">
        <v>361499.99655019987</v>
      </c>
      <c r="G301" s="311">
        <v>361499.99655019987</v>
      </c>
      <c r="H301" s="311">
        <v>361499.99655019987</v>
      </c>
      <c r="I301" s="323" t="s">
        <v>629</v>
      </c>
      <c r="J301" s="313">
        <v>4502948820</v>
      </c>
    </row>
    <row r="302" spans="1:10" ht="10.5" thickBot="1">
      <c r="C302" s="349">
        <f>SUM(C298:C301)</f>
        <v>1330000</v>
      </c>
      <c r="D302" s="342">
        <f t="shared" ref="D302:G302" si="69">SUM(D298:D301)</f>
        <v>1330000</v>
      </c>
      <c r="E302" s="342">
        <f t="shared" si="69"/>
        <v>1330000.0010311997</v>
      </c>
      <c r="F302" s="314">
        <f t="shared" si="69"/>
        <v>1329999.9931003996</v>
      </c>
      <c r="G302" s="342">
        <f t="shared" si="69"/>
        <v>1329999.9931003996</v>
      </c>
      <c r="H302" s="342">
        <f t="shared" ref="H302" si="70">SUM(H298:H301)</f>
        <v>1329999.9931003996</v>
      </c>
    </row>
    <row r="303" spans="1:10">
      <c r="G303" s="298">
        <f>G302-$F302</f>
        <v>0</v>
      </c>
      <c r="H303" s="298">
        <f>H302-$F302</f>
        <v>0</v>
      </c>
    </row>
    <row r="304" spans="1:10" ht="10.5" thickBot="1"/>
    <row r="305" spans="1:10" ht="10.5" thickBot="1">
      <c r="A305" s="283" t="s">
        <v>226</v>
      </c>
      <c r="B305" s="303" t="s">
        <v>227</v>
      </c>
      <c r="C305" s="304">
        <f>C309+C315+C319+C323+C327+C331+C335+C340+C344+C348+C352</f>
        <v>-2931684.8500000006</v>
      </c>
      <c r="D305" s="304">
        <f t="shared" ref="D305" si="71">D309+D315+D319+D323+D327+D331+D335+D340+D344+D348+D352</f>
        <v>-2931684.8500000006</v>
      </c>
      <c r="E305" s="304">
        <f>E309+E315+E319+E323+E327+E331+E335+E340+E344+E348+E352</f>
        <v>-2936425.7054620702</v>
      </c>
      <c r="F305" s="304">
        <f>F309+F315+F319+F323+F327+F331+F335+F340+F344+F348+F352</f>
        <v>-2963982.267437933</v>
      </c>
      <c r="G305" s="304">
        <f>G309+G315+G319+G323+G327+G331+G335+G340+G344+G348+G352</f>
        <v>-2953982.2673295513</v>
      </c>
      <c r="H305" s="304">
        <f>H309+H315+H319+H323+H327+H331+H335+H340+H344+H348+H352</f>
        <v>-2953982.2625295538</v>
      </c>
      <c r="I305" s="305"/>
      <c r="J305" s="306"/>
    </row>
    <row r="306" spans="1:10">
      <c r="G306" s="298">
        <f>G305-$F305</f>
        <v>10000.000108381733</v>
      </c>
      <c r="H306" s="298">
        <f>H305-$F305</f>
        <v>10000.004908379167</v>
      </c>
    </row>
    <row r="307" spans="1:10" ht="10.5" thickBot="1"/>
    <row r="308" spans="1:10" ht="10.5" thickBot="1">
      <c r="A308" s="290" t="s">
        <v>138</v>
      </c>
      <c r="B308" s="339" t="s">
        <v>235</v>
      </c>
      <c r="C308" s="337">
        <v>0</v>
      </c>
      <c r="D308" s="945">
        <v>0</v>
      </c>
      <c r="E308" s="945">
        <v>0</v>
      </c>
      <c r="F308" s="845">
        <v>0</v>
      </c>
      <c r="G308" s="480">
        <v>0</v>
      </c>
      <c r="H308" s="480">
        <v>0</v>
      </c>
      <c r="I308" s="326"/>
      <c r="J308" s="327"/>
    </row>
    <row r="309" spans="1:10" ht="10.5" thickBot="1">
      <c r="C309" s="334">
        <f>C308</f>
        <v>0</v>
      </c>
      <c r="D309" s="342">
        <f t="shared" ref="D309:G309" si="72">D308</f>
        <v>0</v>
      </c>
      <c r="E309" s="342">
        <f t="shared" si="72"/>
        <v>0</v>
      </c>
      <c r="F309" s="314">
        <f t="shared" si="72"/>
        <v>0</v>
      </c>
      <c r="G309" s="342">
        <f t="shared" si="72"/>
        <v>0</v>
      </c>
      <c r="H309" s="342">
        <f t="shared" ref="H309" si="73">H308</f>
        <v>0</v>
      </c>
    </row>
    <row r="310" spans="1:10">
      <c r="G310" s="298">
        <f>G309-$F309</f>
        <v>0</v>
      </c>
      <c r="H310" s="298">
        <f>H309-$F309</f>
        <v>0</v>
      </c>
    </row>
    <row r="311" spans="1:10" ht="10.5" thickBot="1"/>
    <row r="312" spans="1:10">
      <c r="A312" s="286" t="s">
        <v>140</v>
      </c>
      <c r="B312" s="515" t="s">
        <v>236</v>
      </c>
      <c r="C312" s="490">
        <v>822999.19</v>
      </c>
      <c r="D312" s="497">
        <v>822999.19</v>
      </c>
      <c r="E312" s="692">
        <v>589999.18689655198</v>
      </c>
      <c r="F312" s="843">
        <v>256178.04413793111</v>
      </c>
      <c r="G312" s="485">
        <v>256178.04413793111</v>
      </c>
      <c r="H312" s="485">
        <v>256178.04413793111</v>
      </c>
      <c r="I312" s="308"/>
      <c r="J312" s="517"/>
    </row>
    <row r="313" spans="1:10">
      <c r="A313" s="510" t="s">
        <v>631</v>
      </c>
      <c r="B313" s="705" t="s">
        <v>630</v>
      </c>
      <c r="C313" s="491">
        <v>0</v>
      </c>
      <c r="D313" s="952">
        <v>0</v>
      </c>
      <c r="E313" s="953">
        <v>232999.99724137943</v>
      </c>
      <c r="F313" s="846">
        <v>343821.13999999996</v>
      </c>
      <c r="G313" s="835">
        <v>343821.13999999996</v>
      </c>
      <c r="H313" s="835">
        <v>343821.13999999996</v>
      </c>
      <c r="I313" s="706" t="s">
        <v>732</v>
      </c>
      <c r="J313" s="707"/>
    </row>
    <row r="314" spans="1:10" ht="10.5" thickBot="1">
      <c r="A314" s="511" t="s">
        <v>731</v>
      </c>
      <c r="B314" s="516" t="s">
        <v>730</v>
      </c>
      <c r="C314" s="493">
        <v>0</v>
      </c>
      <c r="D314" s="496">
        <v>0</v>
      </c>
      <c r="E314" s="494">
        <v>0</v>
      </c>
      <c r="F314" s="844">
        <v>223000.00172413804</v>
      </c>
      <c r="G314" s="333">
        <v>232999.99896551733</v>
      </c>
      <c r="H314" s="333">
        <v>232999.99896551733</v>
      </c>
      <c r="I314" s="312" t="s">
        <v>632</v>
      </c>
      <c r="J314" s="313">
        <v>4502944036</v>
      </c>
    </row>
    <row r="315" spans="1:10" ht="10.5" thickBot="1">
      <c r="C315" s="342">
        <f t="shared" ref="C315:E315" si="74">SUM(C312:C314)</f>
        <v>822999.19</v>
      </c>
      <c r="D315" s="342">
        <f t="shared" si="74"/>
        <v>822999.19</v>
      </c>
      <c r="E315" s="342">
        <f t="shared" si="74"/>
        <v>822999.18413793144</v>
      </c>
      <c r="F315" s="342">
        <f>SUM(F312:F314)</f>
        <v>822999.18586206913</v>
      </c>
      <c r="G315" s="342">
        <f>SUM(G312:G314)</f>
        <v>832999.18310344848</v>
      </c>
      <c r="H315" s="342">
        <f>SUM(H312:H314)</f>
        <v>832999.18310344848</v>
      </c>
      <c r="J315" s="298"/>
    </row>
    <row r="316" spans="1:10">
      <c r="G316" s="298">
        <f>G315-$F315</f>
        <v>9999.9972413793439</v>
      </c>
      <c r="H316" s="298">
        <f>H315-$F315</f>
        <v>9999.9972413793439</v>
      </c>
      <c r="J316" s="298"/>
    </row>
    <row r="317" spans="1:10" ht="10.5" thickBot="1">
      <c r="J317" s="298"/>
    </row>
    <row r="318" spans="1:10" ht="10.5" thickBot="1">
      <c r="A318" s="290" t="s">
        <v>141</v>
      </c>
      <c r="B318" s="339" t="s">
        <v>237</v>
      </c>
      <c r="C318" s="337">
        <v>329199.67</v>
      </c>
      <c r="D318" s="944">
        <v>329199.67</v>
      </c>
      <c r="E318" s="944">
        <v>324460.07000000018</v>
      </c>
      <c r="F318" s="845">
        <v>329199.67</v>
      </c>
      <c r="G318" s="330">
        <v>329199.67</v>
      </c>
      <c r="H318" s="330">
        <v>329199.67</v>
      </c>
      <c r="I318" s="326"/>
      <c r="J318" s="340"/>
    </row>
    <row r="319" spans="1:10" ht="10.5" thickBot="1">
      <c r="C319" s="334">
        <f>C318</f>
        <v>329199.67</v>
      </c>
      <c r="D319" s="342">
        <f t="shared" ref="D319:G319" si="75">D318</f>
        <v>329199.67</v>
      </c>
      <c r="E319" s="342">
        <f t="shared" si="75"/>
        <v>324460.07000000018</v>
      </c>
      <c r="F319" s="314">
        <f t="shared" si="75"/>
        <v>329199.67</v>
      </c>
      <c r="G319" s="342">
        <f t="shared" si="75"/>
        <v>329199.67</v>
      </c>
      <c r="H319" s="342">
        <f t="shared" ref="H319" si="76">H318</f>
        <v>329199.67</v>
      </c>
      <c r="J319" s="298"/>
    </row>
    <row r="320" spans="1:10">
      <c r="G320" s="298">
        <f>G319-$F319</f>
        <v>0</v>
      </c>
      <c r="H320" s="298">
        <f>H319-$F319</f>
        <v>0</v>
      </c>
      <c r="J320" s="298"/>
    </row>
    <row r="321" spans="1:10" ht="10.5" thickBot="1">
      <c r="J321" s="298"/>
    </row>
    <row r="322" spans="1:10" ht="10.5" thickBot="1">
      <c r="A322" s="290" t="s">
        <v>142</v>
      </c>
      <c r="B322" s="339" t="s">
        <v>238</v>
      </c>
      <c r="C322" s="337">
        <v>0</v>
      </c>
      <c r="D322" s="945">
        <v>0</v>
      </c>
      <c r="E322" s="945">
        <v>0</v>
      </c>
      <c r="F322" s="845">
        <v>0</v>
      </c>
      <c r="G322" s="480">
        <v>0</v>
      </c>
      <c r="H322" s="480">
        <v>0</v>
      </c>
      <c r="I322" s="326"/>
      <c r="J322" s="340"/>
    </row>
    <row r="323" spans="1:10" ht="10.5" thickBot="1">
      <c r="C323" s="334">
        <f>C322</f>
        <v>0</v>
      </c>
      <c r="D323" s="342">
        <f t="shared" ref="D323:G323" si="77">D322</f>
        <v>0</v>
      </c>
      <c r="E323" s="342">
        <f t="shared" si="77"/>
        <v>0</v>
      </c>
      <c r="F323" s="314">
        <f t="shared" si="77"/>
        <v>0</v>
      </c>
      <c r="G323" s="342">
        <f t="shared" si="77"/>
        <v>0</v>
      </c>
      <c r="H323" s="342">
        <f t="shared" ref="H323" si="78">H322</f>
        <v>0</v>
      </c>
      <c r="J323" s="298"/>
    </row>
    <row r="324" spans="1:10">
      <c r="G324" s="298">
        <f>G323-$F323</f>
        <v>0</v>
      </c>
      <c r="H324" s="298">
        <f>H323-$F323</f>
        <v>0</v>
      </c>
      <c r="J324" s="298"/>
    </row>
    <row r="325" spans="1:10" ht="10.5" thickBot="1">
      <c r="J325" s="298"/>
    </row>
    <row r="326" spans="1:10" ht="10.5" thickBot="1">
      <c r="A326" s="290" t="s">
        <v>228</v>
      </c>
      <c r="B326" s="339" t="s">
        <v>239</v>
      </c>
      <c r="C326" s="337">
        <v>2371941.5</v>
      </c>
      <c r="D326" s="944">
        <v>2371941.5</v>
      </c>
      <c r="E326" s="944">
        <v>2371940.2503999993</v>
      </c>
      <c r="F326" s="845">
        <v>2371941.5010999995</v>
      </c>
      <c r="G326" s="330">
        <v>2371941.5039669992</v>
      </c>
      <c r="H326" s="330">
        <v>2371941.5039669992</v>
      </c>
      <c r="I326" s="326"/>
      <c r="J326" s="340"/>
    </row>
    <row r="327" spans="1:10" ht="10.5" thickBot="1">
      <c r="C327" s="334">
        <f>C326</f>
        <v>2371941.5</v>
      </c>
      <c r="D327" s="342">
        <f t="shared" ref="D327:G327" si="79">D326</f>
        <v>2371941.5</v>
      </c>
      <c r="E327" s="342">
        <f t="shared" si="79"/>
        <v>2371940.2503999993</v>
      </c>
      <c r="F327" s="314">
        <f t="shared" si="79"/>
        <v>2371941.5010999995</v>
      </c>
      <c r="G327" s="342">
        <f t="shared" si="79"/>
        <v>2371941.5039669992</v>
      </c>
      <c r="H327" s="342">
        <f t="shared" ref="H327" si="80">H326</f>
        <v>2371941.5039669992</v>
      </c>
      <c r="J327" s="298"/>
    </row>
    <row r="328" spans="1:10">
      <c r="G328" s="298">
        <f>G327-$F327</f>
        <v>2.8669997118413448E-3</v>
      </c>
      <c r="H328" s="298">
        <f>H327-$F327</f>
        <v>2.8669997118413448E-3</v>
      </c>
      <c r="J328" s="298"/>
    </row>
    <row r="329" spans="1:10" ht="10.5" thickBot="1">
      <c r="J329" s="298"/>
    </row>
    <row r="330" spans="1:10" ht="10.5" thickBot="1">
      <c r="A330" s="290" t="s">
        <v>229</v>
      </c>
      <c r="B330" s="339" t="s">
        <v>240</v>
      </c>
      <c r="C330" s="337">
        <v>2155415.11</v>
      </c>
      <c r="D330" s="944">
        <v>2155415.11</v>
      </c>
      <c r="E330" s="944">
        <v>2155415.11</v>
      </c>
      <c r="F330" s="845">
        <v>2155415.105599999</v>
      </c>
      <c r="G330" s="330">
        <v>2155415.105599999</v>
      </c>
      <c r="H330" s="330">
        <v>2155415.1103999992</v>
      </c>
      <c r="I330" s="326"/>
      <c r="J330" s="340"/>
    </row>
    <row r="331" spans="1:10" ht="10.5" thickBot="1">
      <c r="C331" s="334">
        <f>C330</f>
        <v>2155415.11</v>
      </c>
      <c r="D331" s="342">
        <f t="shared" ref="D331:G331" si="81">D330</f>
        <v>2155415.11</v>
      </c>
      <c r="E331" s="342">
        <f t="shared" si="81"/>
        <v>2155415.11</v>
      </c>
      <c r="F331" s="314">
        <f t="shared" si="81"/>
        <v>2155415.105599999</v>
      </c>
      <c r="G331" s="342">
        <f t="shared" si="81"/>
        <v>2155415.105599999</v>
      </c>
      <c r="H331" s="342">
        <f t="shared" ref="H331" si="82">H330</f>
        <v>2155415.1103999992</v>
      </c>
      <c r="J331" s="298"/>
    </row>
    <row r="332" spans="1:10">
      <c r="G332" s="298">
        <f>G331-$F331</f>
        <v>0</v>
      </c>
      <c r="H332" s="298">
        <f>H331-$F331</f>
        <v>4.8000002279877663E-3</v>
      </c>
      <c r="J332" s="298"/>
    </row>
    <row r="333" spans="1:10" ht="10.5" thickBot="1">
      <c r="J333" s="298"/>
    </row>
    <row r="334" spans="1:10" ht="10.5" thickBot="1">
      <c r="A334" s="290" t="s">
        <v>230</v>
      </c>
      <c r="B334" s="339" t="s">
        <v>241</v>
      </c>
      <c r="C334" s="337">
        <v>1721141.67</v>
      </c>
      <c r="D334" s="944">
        <v>1721141.67</v>
      </c>
      <c r="E334" s="944">
        <v>1721141.67</v>
      </c>
      <c r="F334" s="845">
        <v>1721141.67</v>
      </c>
      <c r="G334" s="330">
        <v>1721141.67</v>
      </c>
      <c r="H334" s="330">
        <v>1721141.67</v>
      </c>
      <c r="I334" s="326"/>
      <c r="J334" s="340"/>
    </row>
    <row r="335" spans="1:10" ht="10.5" thickBot="1">
      <c r="C335" s="334">
        <f>C334</f>
        <v>1721141.67</v>
      </c>
      <c r="D335" s="342">
        <f t="shared" ref="D335:G335" si="83">D334</f>
        <v>1721141.67</v>
      </c>
      <c r="E335" s="342">
        <f t="shared" si="83"/>
        <v>1721141.67</v>
      </c>
      <c r="F335" s="314">
        <f t="shared" si="83"/>
        <v>1721141.67</v>
      </c>
      <c r="G335" s="342">
        <f t="shared" si="83"/>
        <v>1721141.67</v>
      </c>
      <c r="H335" s="342">
        <f t="shared" ref="H335" si="84">H334</f>
        <v>1721141.67</v>
      </c>
      <c r="J335" s="298"/>
    </row>
    <row r="336" spans="1:10">
      <c r="G336" s="298">
        <f>G335-$F335</f>
        <v>0</v>
      </c>
      <c r="H336" s="298">
        <f>H335-$F335</f>
        <v>0</v>
      </c>
      <c r="J336" s="298"/>
    </row>
    <row r="337" spans="1:10" ht="10.5" thickBot="1"/>
    <row r="338" spans="1:10">
      <c r="A338" s="286" t="s">
        <v>231</v>
      </c>
      <c r="B338" s="708" t="s">
        <v>242</v>
      </c>
      <c r="C338" s="490">
        <v>-10332381.99</v>
      </c>
      <c r="D338" s="833">
        <v>-10332381.99</v>
      </c>
      <c r="E338" s="950">
        <v>-10332381.99</v>
      </c>
      <c r="F338" s="843">
        <v>-10332381.99</v>
      </c>
      <c r="G338" s="350">
        <v>-10332381.989999998</v>
      </c>
      <c r="H338" s="350">
        <v>-10332381.99</v>
      </c>
      <c r="I338" s="321"/>
      <c r="J338" s="309"/>
    </row>
    <row r="339" spans="1:10" ht="10.5" thickBot="1">
      <c r="A339" s="711"/>
      <c r="B339" s="709" t="s">
        <v>242</v>
      </c>
      <c r="C339" s="493">
        <v>0</v>
      </c>
      <c r="D339" s="836">
        <v>0</v>
      </c>
      <c r="E339" s="954">
        <v>0</v>
      </c>
      <c r="F339" s="844">
        <v>-32297.41</v>
      </c>
      <c r="G339" s="710">
        <v>-32297.41</v>
      </c>
      <c r="H339" s="710">
        <v>-32297.41</v>
      </c>
      <c r="I339" s="323"/>
      <c r="J339" s="313"/>
    </row>
    <row r="340" spans="1:10" ht="10.5" thickBot="1">
      <c r="C340" s="342">
        <f t="shared" ref="C340:E340" si="85">SUM(C338:C339)</f>
        <v>-10332381.99</v>
      </c>
      <c r="D340" s="342">
        <f t="shared" si="85"/>
        <v>-10332381.99</v>
      </c>
      <c r="E340" s="342">
        <f t="shared" si="85"/>
        <v>-10332381.99</v>
      </c>
      <c r="F340" s="342">
        <f>SUM(F338:F339)</f>
        <v>-10364679.4</v>
      </c>
      <c r="G340" s="342">
        <f>SUM(G338:G339)</f>
        <v>-10364679.399999999</v>
      </c>
      <c r="H340" s="342">
        <f>SUM(H338:H339)</f>
        <v>-10364679.4</v>
      </c>
    </row>
    <row r="341" spans="1:10">
      <c r="G341" s="298">
        <f>G340-$F340</f>
        <v>0</v>
      </c>
      <c r="H341" s="298">
        <f>H340-$F340</f>
        <v>0</v>
      </c>
    </row>
    <row r="342" spans="1:10" ht="10.5" thickBot="1"/>
    <row r="343" spans="1:10" ht="10.5" thickBot="1">
      <c r="A343" s="290" t="s">
        <v>232</v>
      </c>
      <c r="B343" s="341" t="s">
        <v>243</v>
      </c>
      <c r="C343" s="337">
        <v>0</v>
      </c>
      <c r="D343" s="945">
        <v>0</v>
      </c>
      <c r="E343" s="945">
        <v>0</v>
      </c>
      <c r="F343" s="845">
        <v>0</v>
      </c>
      <c r="G343" s="480"/>
      <c r="H343" s="480"/>
      <c r="I343" s="326"/>
      <c r="J343" s="327"/>
    </row>
    <row r="344" spans="1:10" ht="10.5" thickBot="1">
      <c r="C344" s="334">
        <f>C343</f>
        <v>0</v>
      </c>
      <c r="D344" s="342">
        <f t="shared" ref="D344:G344" si="86">D343</f>
        <v>0</v>
      </c>
      <c r="E344" s="342">
        <f t="shared" si="86"/>
        <v>0</v>
      </c>
      <c r="F344" s="314">
        <f t="shared" si="86"/>
        <v>0</v>
      </c>
      <c r="G344" s="342">
        <f t="shared" si="86"/>
        <v>0</v>
      </c>
      <c r="H344" s="342">
        <f t="shared" ref="H344" si="87">H343</f>
        <v>0</v>
      </c>
    </row>
    <row r="345" spans="1:10">
      <c r="G345" s="298">
        <f>G344-$F344</f>
        <v>0</v>
      </c>
      <c r="H345" s="298">
        <f>H344-$F344</f>
        <v>0</v>
      </c>
    </row>
    <row r="346" spans="1:10" ht="10.5" thickBot="1"/>
    <row r="347" spans="1:10" ht="10.5" thickBot="1">
      <c r="A347" s="290" t="s">
        <v>233</v>
      </c>
      <c r="B347" s="341" t="s">
        <v>244</v>
      </c>
      <c r="C347" s="337">
        <v>0</v>
      </c>
      <c r="D347" s="945">
        <v>0</v>
      </c>
      <c r="E347" s="945">
        <v>0</v>
      </c>
      <c r="F347" s="845">
        <v>0</v>
      </c>
      <c r="G347" s="480"/>
      <c r="H347" s="480"/>
      <c r="I347" s="326"/>
      <c r="J347" s="327"/>
    </row>
    <row r="348" spans="1:10" ht="10.5" thickBot="1">
      <c r="C348" s="334">
        <f>C347</f>
        <v>0</v>
      </c>
      <c r="D348" s="342">
        <f t="shared" ref="D348:G348" si="88">D347</f>
        <v>0</v>
      </c>
      <c r="E348" s="342">
        <f t="shared" si="88"/>
        <v>0</v>
      </c>
      <c r="F348" s="314">
        <f t="shared" si="88"/>
        <v>0</v>
      </c>
      <c r="G348" s="342">
        <f t="shared" si="88"/>
        <v>0</v>
      </c>
      <c r="H348" s="342">
        <f t="shared" ref="H348" si="89">H347</f>
        <v>0</v>
      </c>
    </row>
    <row r="349" spans="1:10">
      <c r="G349" s="298">
        <f>G348-$F348</f>
        <v>0</v>
      </c>
      <c r="H349" s="298">
        <f>H348-$F348</f>
        <v>0</v>
      </c>
    </row>
    <row r="350" spans="1:10" ht="10.5" thickBot="1"/>
    <row r="351" spans="1:10" ht="10.5" thickBot="1">
      <c r="A351" s="290" t="s">
        <v>234</v>
      </c>
      <c r="B351" s="341" t="s">
        <v>245</v>
      </c>
      <c r="C351" s="337">
        <v>0</v>
      </c>
      <c r="D351" s="945">
        <v>0</v>
      </c>
      <c r="E351" s="945">
        <v>0</v>
      </c>
      <c r="F351" s="845">
        <v>0</v>
      </c>
      <c r="G351" s="480"/>
      <c r="H351" s="480"/>
      <c r="I351" s="326"/>
      <c r="J351" s="327"/>
    </row>
    <row r="352" spans="1:10" ht="10.5" thickBot="1">
      <c r="C352" s="334">
        <f>C351</f>
        <v>0</v>
      </c>
      <c r="D352" s="342">
        <f t="shared" ref="D352:G352" si="90">D351</f>
        <v>0</v>
      </c>
      <c r="E352" s="342">
        <f t="shared" si="90"/>
        <v>0</v>
      </c>
      <c r="F352" s="314">
        <f t="shared" si="90"/>
        <v>0</v>
      </c>
      <c r="G352" s="342">
        <f t="shared" si="90"/>
        <v>0</v>
      </c>
      <c r="H352" s="342">
        <f t="shared" ref="H352" si="91">H351</f>
        <v>0</v>
      </c>
    </row>
    <row r="353" spans="7:8">
      <c r="G353" s="298">
        <f>G352-$F352</f>
        <v>0</v>
      </c>
      <c r="H353" s="298">
        <f>H352-$F352</f>
        <v>0</v>
      </c>
    </row>
  </sheetData>
  <phoneticPr fontId="51" type="noConversion"/>
  <conditionalFormatting sqref="D24:F24">
    <cfRule type="cellIs" dxfId="241" priority="61" operator="lessThan">
      <formula>0</formula>
    </cfRule>
    <cfRule type="cellIs" dxfId="240" priority="62" operator="greaterThan">
      <formula>0</formula>
    </cfRule>
  </conditionalFormatting>
  <conditionalFormatting sqref="D39:F39">
    <cfRule type="cellIs" dxfId="239" priority="59" operator="lessThan">
      <formula>0</formula>
    </cfRule>
    <cfRule type="cellIs" dxfId="238" priority="60" operator="greaterThan">
      <formula>0</formula>
    </cfRule>
  </conditionalFormatting>
  <conditionalFormatting sqref="D46:F46">
    <cfRule type="cellIs" dxfId="237" priority="57" operator="lessThan">
      <formula>0</formula>
    </cfRule>
    <cfRule type="cellIs" dxfId="236" priority="58" operator="greaterThan">
      <formula>0</formula>
    </cfRule>
  </conditionalFormatting>
  <conditionalFormatting sqref="D50:F50">
    <cfRule type="cellIs" dxfId="235" priority="55" operator="lessThan">
      <formula>0</formula>
    </cfRule>
    <cfRule type="cellIs" dxfId="234" priority="56" operator="greaterThan">
      <formula>0</formula>
    </cfRule>
  </conditionalFormatting>
  <conditionalFormatting sqref="D59:F59">
    <cfRule type="cellIs" dxfId="233" priority="53" operator="lessThan">
      <formula>0</formula>
    </cfRule>
    <cfRule type="cellIs" dxfId="232" priority="54" operator="greaterThan">
      <formula>0</formula>
    </cfRule>
  </conditionalFormatting>
  <conditionalFormatting sqref="D137:F137 D138:H138">
    <cfRule type="cellIs" dxfId="231" priority="51" operator="lessThan">
      <formula>0</formula>
    </cfRule>
    <cfRule type="cellIs" dxfId="230" priority="52" operator="greaterThan">
      <formula>0</formula>
    </cfRule>
  </conditionalFormatting>
  <conditionalFormatting sqref="D62:H63">
    <cfRule type="cellIs" dxfId="229" priority="39" operator="lessThan">
      <formula>0</formula>
    </cfRule>
    <cfRule type="cellIs" dxfId="228" priority="40" operator="greaterThan">
      <formula>0</formula>
    </cfRule>
  </conditionalFormatting>
  <conditionalFormatting sqref="D71:H71">
    <cfRule type="cellIs" dxfId="227" priority="37" operator="lessThan">
      <formula>0</formula>
    </cfRule>
    <cfRule type="cellIs" dxfId="226" priority="38" operator="greaterThan">
      <formula>0</formula>
    </cfRule>
  </conditionalFormatting>
  <conditionalFormatting sqref="D76:H76">
    <cfRule type="cellIs" dxfId="225" priority="35" operator="lessThan">
      <formula>0</formula>
    </cfRule>
    <cfRule type="cellIs" dxfId="224" priority="36" operator="greaterThan">
      <formula>0</formula>
    </cfRule>
  </conditionalFormatting>
  <conditionalFormatting sqref="D81:H81">
    <cfRule type="cellIs" dxfId="223" priority="33" operator="lessThan">
      <formula>0</formula>
    </cfRule>
    <cfRule type="cellIs" dxfId="222" priority="34" operator="greaterThan">
      <formula>0</formula>
    </cfRule>
  </conditionalFormatting>
  <conditionalFormatting sqref="D85:H85">
    <cfRule type="cellIs" dxfId="221" priority="31" operator="lessThan">
      <formula>0</formula>
    </cfRule>
    <cfRule type="cellIs" dxfId="220" priority="32" operator="greaterThan">
      <formula>0</formula>
    </cfRule>
  </conditionalFormatting>
  <conditionalFormatting sqref="D89:H89">
    <cfRule type="cellIs" dxfId="219" priority="29" operator="lessThan">
      <formula>0</formula>
    </cfRule>
    <cfRule type="cellIs" dxfId="218" priority="30" operator="greaterThan">
      <formula>0</formula>
    </cfRule>
  </conditionalFormatting>
  <conditionalFormatting sqref="D93:H93">
    <cfRule type="cellIs" dxfId="217" priority="27" operator="lessThan">
      <formula>0</formula>
    </cfRule>
    <cfRule type="cellIs" dxfId="216" priority="28" operator="greaterThan">
      <formula>0</formula>
    </cfRule>
  </conditionalFormatting>
  <conditionalFormatting sqref="D98:H98">
    <cfRule type="cellIs" dxfId="215" priority="25" operator="lessThan">
      <formula>0</formula>
    </cfRule>
    <cfRule type="cellIs" dxfId="214" priority="26" operator="greaterThan">
      <formula>0</formula>
    </cfRule>
  </conditionalFormatting>
  <conditionalFormatting sqref="D104:H104">
    <cfRule type="cellIs" dxfId="213" priority="23" operator="lessThan">
      <formula>0</formula>
    </cfRule>
    <cfRule type="cellIs" dxfId="212" priority="24" operator="greaterThan">
      <formula>0</formula>
    </cfRule>
  </conditionalFormatting>
  <conditionalFormatting sqref="D111:H111">
    <cfRule type="cellIs" dxfId="211" priority="21" operator="lessThan">
      <formula>0</formula>
    </cfRule>
    <cfRule type="cellIs" dxfId="210" priority="22" operator="greaterThan">
      <formula>0</formula>
    </cfRule>
  </conditionalFormatting>
  <conditionalFormatting sqref="D115:H115">
    <cfRule type="cellIs" dxfId="209" priority="19" operator="lessThan">
      <formula>0</formula>
    </cfRule>
    <cfRule type="cellIs" dxfId="208" priority="20" operator="greaterThan">
      <formula>0</formula>
    </cfRule>
  </conditionalFormatting>
  <conditionalFormatting sqref="D119:H119">
    <cfRule type="cellIs" dxfId="207" priority="17" operator="lessThan">
      <formula>0</formula>
    </cfRule>
    <cfRule type="cellIs" dxfId="206" priority="18" operator="greaterThan">
      <formula>0</formula>
    </cfRule>
  </conditionalFormatting>
  <conditionalFormatting sqref="D125:H125">
    <cfRule type="cellIs" dxfId="205" priority="15" operator="lessThan">
      <formula>0</formula>
    </cfRule>
    <cfRule type="cellIs" dxfId="204" priority="16" operator="greaterThan">
      <formula>0</formula>
    </cfRule>
  </conditionalFormatting>
  <conditionalFormatting sqref="D129:H129">
    <cfRule type="cellIs" dxfId="203" priority="13" operator="lessThan">
      <formula>0</formula>
    </cfRule>
    <cfRule type="cellIs" dxfId="202" priority="14" operator="greaterThan">
      <formula>0</formula>
    </cfRule>
  </conditionalFormatting>
  <conditionalFormatting sqref="D133:H134">
    <cfRule type="cellIs" dxfId="201" priority="11" operator="lessThan">
      <formula>0</formula>
    </cfRule>
    <cfRule type="cellIs" dxfId="200" priority="12" operator="greaterThan">
      <formula>0</formula>
    </cfRule>
  </conditionalFormatting>
  <conditionalFormatting sqref="D144:H144">
    <cfRule type="cellIs" dxfId="199" priority="7" operator="lessThan">
      <formula>0</formula>
    </cfRule>
    <cfRule type="cellIs" dxfId="198" priority="8" operator="greaterThan">
      <formula>0</formula>
    </cfRule>
  </conditionalFormatting>
  <conditionalFormatting sqref="D148:H148">
    <cfRule type="cellIs" dxfId="197" priority="5" operator="lessThan">
      <formula>0</formula>
    </cfRule>
    <cfRule type="cellIs" dxfId="196" priority="6" operator="greaterThan">
      <formula>0</formula>
    </cfRule>
  </conditionalFormatting>
  <conditionalFormatting sqref="D152:H152">
    <cfRule type="cellIs" dxfId="195" priority="3" operator="lessThan">
      <formula>0</formula>
    </cfRule>
    <cfRule type="cellIs" dxfId="194" priority="4" operator="greaterThan">
      <formula>0</formula>
    </cfRule>
  </conditionalFormatting>
  <conditionalFormatting sqref="D159:H160">
    <cfRule type="cellIs" dxfId="193" priority="1" operator="lessThan">
      <formula>0</formula>
    </cfRule>
    <cfRule type="cellIs" dxfId="192" priority="2" operator="greaterThan">
      <formula>0</formula>
    </cfRule>
  </conditionalFormatting>
  <conditionalFormatting sqref="G4:H4 D11:H12 D16:H16 D19:H20 D156:H156 D163:H163 D170:H170 D175:H175 D179:H179 D184:H184 D190:H190 D195:H195 D199:H199 D203:H203 D207:H207 D212:H212 D216:H217 D220:H220 D223:H224 D228:H228 D241:H241 D247:H247 D251:H251 D260:H260 D264:H264 D268:H268 D271:H272 D275:H275 D281:H281 D287:H287 D291:H291 D296:H297 D303:H303 D306:H307 D310:H310 D316:H316 D320:H320 D324:H324 D328:H328 D332:H332 D336:H336 D341:H341 D345:H345 D349:H349 D353:H353">
    <cfRule type="cellIs" dxfId="191" priority="219" operator="lessThan">
      <formula>0</formula>
    </cfRule>
    <cfRule type="cellIs" dxfId="190" priority="220" operator="greaterThan">
      <formula>0</formula>
    </cfRule>
  </conditionalFormatting>
  <conditionalFormatting sqref="G24:H24">
    <cfRule type="cellIs" dxfId="189" priority="49" operator="lessThan">
      <formula>0</formula>
    </cfRule>
    <cfRule type="cellIs" dxfId="188" priority="50" operator="greaterThan">
      <formula>0</formula>
    </cfRule>
  </conditionalFormatting>
  <conditionalFormatting sqref="G39:H39">
    <cfRule type="cellIs" dxfId="187" priority="47" operator="lessThan">
      <formula>0</formula>
    </cfRule>
    <cfRule type="cellIs" dxfId="186" priority="48" operator="greaterThan">
      <formula>0</formula>
    </cfRule>
  </conditionalFormatting>
  <conditionalFormatting sqref="G46:H46">
    <cfRule type="cellIs" dxfId="185" priority="45" operator="lessThan">
      <formula>0</formula>
    </cfRule>
    <cfRule type="cellIs" dxfId="184" priority="46" operator="greaterThan">
      <formula>0</formula>
    </cfRule>
  </conditionalFormatting>
  <conditionalFormatting sqref="G50:H50">
    <cfRule type="cellIs" dxfId="183" priority="43" operator="lessThan">
      <formula>0</formula>
    </cfRule>
    <cfRule type="cellIs" dxfId="182" priority="44" operator="greaterThan">
      <formula>0</formula>
    </cfRule>
  </conditionalFormatting>
  <conditionalFormatting sqref="G59:H59">
    <cfRule type="cellIs" dxfId="181" priority="41" operator="lessThan">
      <formula>0</formula>
    </cfRule>
    <cfRule type="cellIs" dxfId="180" priority="42" operator="greaterThan">
      <formula>0</formula>
    </cfRule>
  </conditionalFormatting>
  <conditionalFormatting sqref="G137:H137">
    <cfRule type="cellIs" dxfId="179" priority="9" operator="lessThan">
      <formula>0</formula>
    </cfRule>
    <cfRule type="cellIs" dxfId="178" priority="10" operator="greaterThan">
      <formula>0</formula>
    </cfRule>
  </conditionalFormatting>
  <pageMargins left="0.31496062992125984" right="0.31496062992125984" top="0.15748031496062992" bottom="0.35433070866141736" header="0.11811023622047245" footer="0.11811023622047245"/>
  <pageSetup paperSize="9" scale="86" fitToHeight="0" orientation="landscape" r:id="rId1"/>
  <headerFooter>
    <oddFooter>&amp;LGorlice B51 - Feb 26&amp;CIndirect costs&amp;R&amp;P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5CD8-33A9-43A3-8E95-F9B287EABDCB}">
  <sheetPr>
    <tabColor rgb="FFFFC000"/>
    <pageSetUpPr fitToPage="1"/>
  </sheetPr>
  <dimension ref="A1:M67"/>
  <sheetViews>
    <sheetView topLeftCell="B1" zoomScale="85" zoomScaleNormal="85" workbookViewId="0">
      <selection activeCell="O10" sqref="O10"/>
    </sheetView>
  </sheetViews>
  <sheetFormatPr defaultRowHeight="14.25"/>
  <cols>
    <col min="1" max="1" width="6.796875" customWidth="1"/>
    <col min="2" max="2" width="60.796875" style="96" customWidth="1"/>
    <col min="3" max="5" width="14.796875" customWidth="1"/>
    <col min="6" max="6" width="17.19921875" customWidth="1"/>
    <col min="7" max="11" width="14.796875" customWidth="1"/>
    <col min="12" max="12" width="35.86328125" style="101" customWidth="1"/>
    <col min="13" max="13" width="14.19921875" style="101" customWidth="1"/>
    <col min="14" max="14" width="12.6640625" bestFit="1" customWidth="1"/>
  </cols>
  <sheetData>
    <row r="1" spans="1:13" ht="22.05" customHeight="1">
      <c r="C1" s="971"/>
      <c r="D1" s="971"/>
      <c r="E1" s="971"/>
      <c r="F1" s="971"/>
      <c r="G1" s="971"/>
      <c r="H1" s="971"/>
      <c r="I1" s="971"/>
      <c r="J1" s="971"/>
      <c r="K1" s="971"/>
    </row>
    <row r="2" spans="1:13" ht="22.05" customHeight="1" thickBot="1">
      <c r="C2" s="3" t="s">
        <v>146</v>
      </c>
      <c r="D2" s="3" t="s">
        <v>249</v>
      </c>
      <c r="E2" s="3" t="s">
        <v>820</v>
      </c>
      <c r="F2" s="736" t="s">
        <v>821</v>
      </c>
      <c r="G2" s="3" t="s">
        <v>742</v>
      </c>
      <c r="H2" s="3" t="s">
        <v>824</v>
      </c>
      <c r="I2" s="3" t="s">
        <v>755</v>
      </c>
      <c r="J2" s="3" t="s">
        <v>26</v>
      </c>
      <c r="K2" s="3" t="s">
        <v>147</v>
      </c>
    </row>
    <row r="3" spans="1:13" ht="22.05" hidden="1" customHeight="1" thickBot="1">
      <c r="C3" s="246">
        <f>C4+C30</f>
        <v>45590000</v>
      </c>
      <c r="D3" s="246">
        <f t="shared" ref="D3:E3" si="0">D4+D30</f>
        <v>45589999.999399997</v>
      </c>
      <c r="E3" s="246">
        <f t="shared" si="0"/>
        <v>45989999.999399997</v>
      </c>
      <c r="F3" s="246"/>
      <c r="G3" s="246"/>
      <c r="H3" s="246"/>
      <c r="I3" s="3"/>
      <c r="J3" s="3"/>
      <c r="K3" s="246">
        <f>K4+K30</f>
        <v>45590000.012630343</v>
      </c>
      <c r="M3" s="246">
        <f>SUM(M6:M9)</f>
        <v>45590000.012630343</v>
      </c>
    </row>
    <row r="4" spans="1:13" ht="24" customHeight="1" thickBot="1">
      <c r="A4" s="187">
        <v>1</v>
      </c>
      <c r="B4" s="818" t="s">
        <v>1</v>
      </c>
      <c r="C4" s="216">
        <f>C13+C27</f>
        <v>27170000</v>
      </c>
      <c r="D4" s="216">
        <f t="shared" ref="D4:E4" si="1">D13+D27</f>
        <v>27169999.999399997</v>
      </c>
      <c r="E4" s="216">
        <f t="shared" si="1"/>
        <v>27169999.999399997</v>
      </c>
      <c r="F4" s="735">
        <f>F13+F27</f>
        <v>27169999.999399997</v>
      </c>
      <c r="G4" s="216">
        <f>G13+G27</f>
        <v>27170000.004606724</v>
      </c>
      <c r="H4" s="216">
        <f>H13+H27</f>
        <v>27170000.004545454</v>
      </c>
      <c r="I4" s="234">
        <f>I13+I27+I33+I38+I42+I46</f>
        <v>0</v>
      </c>
      <c r="J4" s="256">
        <f>J13+J27+J33+J38+J42+J46</f>
        <v>0</v>
      </c>
      <c r="K4" s="216">
        <f>K13+K27</f>
        <v>27170000.004545454</v>
      </c>
      <c r="L4" s="104"/>
      <c r="M4" s="61"/>
    </row>
    <row r="5" spans="1:13" ht="14.65" thickBot="1">
      <c r="A5" s="22"/>
      <c r="B5" s="98"/>
      <c r="C5" s="22"/>
      <c r="D5" s="22"/>
      <c r="E5" s="22"/>
      <c r="F5" s="22"/>
      <c r="G5" s="186">
        <f>G4-$F$4</f>
        <v>5.2067264914512634E-3</v>
      </c>
      <c r="H5" s="186">
        <f>H4-$F$4</f>
        <v>5.1454566419124603E-3</v>
      </c>
      <c r="I5" s="24"/>
      <c r="J5" s="24"/>
      <c r="K5" s="186">
        <f>K4-$F$4</f>
        <v>5.1454566419124603E-3</v>
      </c>
    </row>
    <row r="6" spans="1:13">
      <c r="A6" s="22"/>
      <c r="B6" s="98"/>
      <c r="C6" s="22"/>
      <c r="D6" s="184"/>
      <c r="E6" s="184"/>
      <c r="F6" s="184"/>
      <c r="G6" s="184"/>
      <c r="H6" s="184"/>
      <c r="I6" s="24"/>
      <c r="J6" s="22"/>
      <c r="K6" s="22"/>
      <c r="L6" s="282" t="s">
        <v>17</v>
      </c>
      <c r="M6" s="58">
        <f>H12+H17+H37+H26+H18+H20+H22+H24</f>
        <v>24886974.004545454</v>
      </c>
    </row>
    <row r="7" spans="1:13" ht="14.65" thickBot="1">
      <c r="A7" s="22"/>
      <c r="B7" s="98"/>
      <c r="C7" s="22"/>
      <c r="D7" s="184"/>
      <c r="E7" s="184"/>
      <c r="F7" s="184"/>
      <c r="G7" s="184"/>
      <c r="H7" s="184"/>
      <c r="I7" s="24"/>
      <c r="J7" s="22"/>
      <c r="K7" s="22"/>
      <c r="L7" s="282" t="s">
        <v>659</v>
      </c>
      <c r="M7" s="58">
        <f>H65+H16+H21+H25+H36</f>
        <v>17372026</v>
      </c>
    </row>
    <row r="8" spans="1:13" ht="14.65" thickBot="1">
      <c r="A8" s="22"/>
      <c r="B8" s="98"/>
      <c r="D8" s="27" t="s">
        <v>14</v>
      </c>
      <c r="E8" s="217">
        <f>D14+D34</f>
        <v>0</v>
      </c>
      <c r="F8" s="28">
        <f>E14+E34</f>
        <v>0</v>
      </c>
      <c r="G8" s="28">
        <f t="shared" ref="G8" si="2">F14+F34</f>
        <v>0</v>
      </c>
      <c r="H8" s="28">
        <f>G14+G34</f>
        <v>-3.3339988440275192E-3</v>
      </c>
      <c r="I8" s="24"/>
      <c r="J8" s="27" t="s">
        <v>14</v>
      </c>
      <c r="K8" s="217"/>
      <c r="L8" s="25" t="s">
        <v>15</v>
      </c>
      <c r="M8" s="29">
        <f>H19+H23+H32+H41+H45+H49+H53+H57+H61</f>
        <v>3331000.0080848937</v>
      </c>
    </row>
    <row r="9" spans="1:13" ht="14.65" thickBot="1">
      <c r="A9" s="22"/>
      <c r="D9" s="27" t="s">
        <v>16</v>
      </c>
      <c r="E9" s="218">
        <f>D47</f>
        <v>0</v>
      </c>
      <c r="F9" s="30">
        <f>E47</f>
        <v>0</v>
      </c>
      <c r="G9" s="30">
        <f t="shared" ref="G9:H9" si="3">F47</f>
        <v>0</v>
      </c>
      <c r="H9" s="30">
        <f t="shared" si="3"/>
        <v>0</v>
      </c>
      <c r="I9" s="24"/>
      <c r="J9" s="27" t="s">
        <v>16</v>
      </c>
      <c r="K9" s="218"/>
      <c r="L9" s="25" t="s">
        <v>0</v>
      </c>
      <c r="M9" s="239">
        <f>J4</f>
        <v>0</v>
      </c>
    </row>
    <row r="10" spans="1:13">
      <c r="A10" s="22"/>
      <c r="B10" s="98"/>
      <c r="C10" s="22"/>
      <c r="D10" s="22"/>
      <c r="E10" s="22"/>
      <c r="F10" s="22"/>
      <c r="G10" s="22"/>
      <c r="H10" s="22"/>
      <c r="I10" s="24"/>
      <c r="J10" s="24"/>
      <c r="K10" s="24"/>
      <c r="L10" s="25" t="s">
        <v>757</v>
      </c>
      <c r="M10" s="26">
        <f>H16+H21+H25+H36</f>
        <v>372026</v>
      </c>
    </row>
    <row r="11" spans="1:13" ht="14.65" thickBot="1">
      <c r="A11" s="22"/>
      <c r="B11" s="98"/>
      <c r="C11" s="22"/>
      <c r="D11" s="22"/>
      <c r="E11" s="22"/>
      <c r="F11" s="22"/>
      <c r="G11" s="22"/>
      <c r="H11" s="22"/>
      <c r="I11" s="24"/>
      <c r="J11" s="24"/>
      <c r="K11" s="24"/>
    </row>
    <row r="12" spans="1:13" ht="14.65" thickBot="1">
      <c r="A12" s="668" t="s">
        <v>18</v>
      </c>
      <c r="B12" s="669" t="s">
        <v>19</v>
      </c>
      <c r="C12" s="231">
        <v>9890000</v>
      </c>
      <c r="D12" s="135">
        <v>9890000</v>
      </c>
      <c r="E12" s="135">
        <v>9890000</v>
      </c>
      <c r="F12" s="743">
        <v>9890000</v>
      </c>
      <c r="G12" s="733">
        <v>9890000.0033339988</v>
      </c>
      <c r="H12" s="231">
        <v>9890000</v>
      </c>
      <c r="I12" s="50"/>
      <c r="J12" s="51"/>
      <c r="K12" s="52">
        <f>SUM(H12:J12)</f>
        <v>9890000</v>
      </c>
      <c r="L12" s="53" t="s">
        <v>20</v>
      </c>
      <c r="M12" s="241"/>
    </row>
    <row r="13" spans="1:13" ht="14.65" thickBot="1">
      <c r="A13" s="22"/>
      <c r="B13" s="98"/>
      <c r="C13" s="192">
        <f>SUM(C12:C12)</f>
        <v>9890000</v>
      </c>
      <c r="D13" s="192">
        <f t="shared" ref="D13:H13" si="4">SUM(D12:D12)</f>
        <v>9890000</v>
      </c>
      <c r="E13" s="192">
        <f t="shared" si="4"/>
        <v>9890000</v>
      </c>
      <c r="F13" s="638">
        <f t="shared" si="4"/>
        <v>9890000</v>
      </c>
      <c r="G13" s="638">
        <f t="shared" si="4"/>
        <v>9890000.0033339988</v>
      </c>
      <c r="H13" s="638">
        <f t="shared" si="4"/>
        <v>9890000</v>
      </c>
      <c r="I13" s="192">
        <f>SUM(I12:I12)</f>
        <v>0</v>
      </c>
      <c r="J13" s="192">
        <f>SUM(J12:J12)</f>
        <v>0</v>
      </c>
      <c r="K13" s="192">
        <f>SUM(K12:K12)</f>
        <v>9890000</v>
      </c>
      <c r="L13" s="238"/>
      <c r="M13" s="238"/>
    </row>
    <row r="14" spans="1:13">
      <c r="A14" s="22"/>
      <c r="B14" s="98"/>
      <c r="C14" s="22"/>
      <c r="D14" s="48"/>
      <c r="E14" s="48"/>
      <c r="F14" s="48"/>
      <c r="G14" s="48">
        <f>$F13-G13</f>
        <v>-3.3339988440275192E-3</v>
      </c>
      <c r="H14" s="48">
        <f>$F13-H13</f>
        <v>0</v>
      </c>
      <c r="I14" s="95"/>
      <c r="J14" s="22"/>
      <c r="K14" s="48">
        <f>$F13-K13</f>
        <v>0</v>
      </c>
      <c r="L14" s="238"/>
      <c r="M14" s="238"/>
    </row>
    <row r="15" spans="1:13" ht="14.65" thickBot="1">
      <c r="A15" s="22"/>
      <c r="B15" s="98"/>
      <c r="C15" s="22"/>
      <c r="D15" s="22"/>
      <c r="E15" s="22"/>
      <c r="F15" s="22"/>
      <c r="G15" s="22"/>
      <c r="H15" s="22"/>
      <c r="I15" s="22"/>
      <c r="J15" s="22"/>
      <c r="K15" s="22"/>
      <c r="L15" s="238"/>
      <c r="M15" s="238"/>
    </row>
    <row r="16" spans="1:13">
      <c r="A16" s="235" t="s">
        <v>21</v>
      </c>
      <c r="B16" s="273" t="s">
        <v>252</v>
      </c>
      <c r="C16" s="33">
        <v>12200000</v>
      </c>
      <c r="D16" s="726">
        <v>100000</v>
      </c>
      <c r="E16" s="726">
        <v>100000</v>
      </c>
      <c r="F16" s="763">
        <v>100000</v>
      </c>
      <c r="G16" s="631">
        <v>100000</v>
      </c>
      <c r="H16" s="631">
        <v>100000</v>
      </c>
      <c r="I16" s="236"/>
      <c r="J16" s="34"/>
      <c r="K16" s="35">
        <f>SUM(H16:J16)</f>
        <v>100000</v>
      </c>
      <c r="L16" s="36"/>
      <c r="M16" s="240"/>
    </row>
    <row r="17" spans="1:13">
      <c r="A17" s="358" t="s">
        <v>250</v>
      </c>
      <c r="B17" s="819" t="s">
        <v>700</v>
      </c>
      <c r="C17" s="156">
        <v>0</v>
      </c>
      <c r="D17" s="115">
        <v>12100000</v>
      </c>
      <c r="E17" s="115">
        <v>12100000</v>
      </c>
      <c r="F17" s="764">
        <v>12100000</v>
      </c>
      <c r="G17" s="365">
        <v>12100000</v>
      </c>
      <c r="H17" s="365">
        <v>12100000</v>
      </c>
      <c r="I17" s="177"/>
      <c r="J17" s="38"/>
      <c r="K17" s="39">
        <f t="shared" ref="K17:K26" si="5">SUM(H17:J17)</f>
        <v>12100000</v>
      </c>
      <c r="L17" s="40" t="s">
        <v>253</v>
      </c>
      <c r="M17" s="130">
        <v>4502938068</v>
      </c>
    </row>
    <row r="18" spans="1:13">
      <c r="A18" s="358" t="s">
        <v>251</v>
      </c>
      <c r="B18" s="819" t="s">
        <v>699</v>
      </c>
      <c r="C18" s="156">
        <v>500000</v>
      </c>
      <c r="D18" s="128">
        <v>499999.99999999988</v>
      </c>
      <c r="E18" s="128">
        <v>499999.99999999988</v>
      </c>
      <c r="F18" s="764">
        <v>500000</v>
      </c>
      <c r="G18" s="365">
        <v>499999.99727272702</v>
      </c>
      <c r="H18" s="365">
        <v>500000.00454545429</v>
      </c>
      <c r="I18" s="177"/>
      <c r="J18" s="38"/>
      <c r="K18" s="39">
        <f t="shared" si="5"/>
        <v>500000.00454545429</v>
      </c>
      <c r="L18" s="40" t="s">
        <v>694</v>
      </c>
      <c r="M18" s="243" t="s">
        <v>743</v>
      </c>
    </row>
    <row r="19" spans="1:13">
      <c r="A19" s="358" t="s">
        <v>254</v>
      </c>
      <c r="B19" s="819" t="s">
        <v>260</v>
      </c>
      <c r="C19" s="156">
        <v>260000</v>
      </c>
      <c r="D19" s="128">
        <v>260000</v>
      </c>
      <c r="E19" s="128">
        <v>260000</v>
      </c>
      <c r="F19" s="764">
        <v>260000</v>
      </c>
      <c r="G19" s="632">
        <v>260000</v>
      </c>
      <c r="H19" s="632">
        <v>260000</v>
      </c>
      <c r="I19" s="177"/>
      <c r="J19" s="38"/>
      <c r="K19" s="39">
        <f t="shared" si="5"/>
        <v>260000</v>
      </c>
      <c r="L19" s="40"/>
      <c r="M19" s="130"/>
    </row>
    <row r="20" spans="1:13">
      <c r="A20" s="358" t="s">
        <v>255</v>
      </c>
      <c r="B20" s="819" t="s">
        <v>261</v>
      </c>
      <c r="C20" s="156">
        <v>1580000</v>
      </c>
      <c r="D20" s="128">
        <v>1580000.0000000009</v>
      </c>
      <c r="E20" s="128">
        <v>1580000.0000000009</v>
      </c>
      <c r="F20" s="764">
        <v>1580000.0000000009</v>
      </c>
      <c r="G20" s="365">
        <v>1580000</v>
      </c>
      <c r="H20" s="365">
        <v>1580000</v>
      </c>
      <c r="I20" s="177"/>
      <c r="J20" s="38"/>
      <c r="K20" s="39">
        <f t="shared" si="5"/>
        <v>1580000</v>
      </c>
      <c r="L20" s="40" t="s">
        <v>280</v>
      </c>
      <c r="M20" s="243" t="s">
        <v>743</v>
      </c>
    </row>
    <row r="21" spans="1:13">
      <c r="A21" s="358" t="s">
        <v>256</v>
      </c>
      <c r="B21" s="819" t="s">
        <v>262</v>
      </c>
      <c r="C21" s="156">
        <v>440000</v>
      </c>
      <c r="D21" s="127">
        <v>50000</v>
      </c>
      <c r="E21" s="127">
        <v>50000</v>
      </c>
      <c r="F21" s="764">
        <v>50000</v>
      </c>
      <c r="G21" s="229">
        <v>50000</v>
      </c>
      <c r="H21" s="229">
        <v>50000</v>
      </c>
      <c r="I21" s="177"/>
      <c r="J21" s="38"/>
      <c r="K21" s="39">
        <f t="shared" si="5"/>
        <v>50000</v>
      </c>
      <c r="L21" s="40"/>
      <c r="M21" s="130"/>
    </row>
    <row r="22" spans="1:13">
      <c r="A22" s="359" t="s">
        <v>257</v>
      </c>
      <c r="B22" s="819" t="s">
        <v>262</v>
      </c>
      <c r="C22" s="156">
        <v>0</v>
      </c>
      <c r="D22" s="115">
        <v>389999.99939999986</v>
      </c>
      <c r="E22" s="115">
        <v>389999.99939999986</v>
      </c>
      <c r="F22" s="764">
        <v>389999.99939999986</v>
      </c>
      <c r="G22" s="365">
        <v>390000.00399999984</v>
      </c>
      <c r="H22" s="365">
        <v>390000</v>
      </c>
      <c r="I22" s="177"/>
      <c r="J22" s="38"/>
      <c r="K22" s="39">
        <f t="shared" si="5"/>
        <v>390000</v>
      </c>
      <c r="L22" s="40" t="s">
        <v>265</v>
      </c>
      <c r="M22" s="243" t="s">
        <v>743</v>
      </c>
    </row>
    <row r="23" spans="1:13">
      <c r="A23" s="358" t="s">
        <v>258</v>
      </c>
      <c r="B23" s="819" t="s">
        <v>263</v>
      </c>
      <c r="C23" s="156">
        <v>2000000</v>
      </c>
      <c r="D23" s="128">
        <v>1999999.9999999991</v>
      </c>
      <c r="E23" s="128">
        <v>1999999.9999999991</v>
      </c>
      <c r="F23" s="764">
        <v>1999999.9999999991</v>
      </c>
      <c r="G23" s="632">
        <v>1999999.9999999991</v>
      </c>
      <c r="H23" s="632">
        <v>1900999.9999999991</v>
      </c>
      <c r="I23" s="177"/>
      <c r="J23" s="38"/>
      <c r="K23" s="39">
        <f t="shared" si="5"/>
        <v>1900999.9999999991</v>
      </c>
      <c r="L23" s="40"/>
      <c r="M23" s="130"/>
    </row>
    <row r="24" spans="1:13">
      <c r="A24" s="874" t="s">
        <v>826</v>
      </c>
      <c r="B24" s="819" t="s">
        <v>825</v>
      </c>
      <c r="C24" s="156">
        <v>0</v>
      </c>
      <c r="D24" s="128">
        <v>0</v>
      </c>
      <c r="E24" s="128">
        <v>0</v>
      </c>
      <c r="F24" s="764">
        <v>0</v>
      </c>
      <c r="G24" s="632">
        <v>0</v>
      </c>
      <c r="H24" s="365">
        <v>99000</v>
      </c>
      <c r="I24" s="177"/>
      <c r="J24" s="38"/>
      <c r="K24" s="39">
        <f t="shared" si="5"/>
        <v>99000</v>
      </c>
      <c r="L24" s="40" t="s">
        <v>694</v>
      </c>
      <c r="M24" s="130">
        <v>4502993588</v>
      </c>
    </row>
    <row r="25" spans="1:13" ht="50.65">
      <c r="A25" s="358" t="s">
        <v>259</v>
      </c>
      <c r="B25" s="819" t="s">
        <v>264</v>
      </c>
      <c r="C25" s="156">
        <v>300000</v>
      </c>
      <c r="D25" s="128">
        <v>299999.99999999988</v>
      </c>
      <c r="E25" s="128">
        <v>187000</v>
      </c>
      <c r="F25" s="764">
        <v>187000</v>
      </c>
      <c r="G25" s="229">
        <v>187000</v>
      </c>
      <c r="H25" s="229">
        <v>187000</v>
      </c>
      <c r="I25" s="177"/>
      <c r="J25" s="38"/>
      <c r="K25" s="39">
        <f t="shared" si="5"/>
        <v>187000</v>
      </c>
      <c r="L25" s="40"/>
      <c r="M25" s="130"/>
    </row>
    <row r="26" spans="1:13" ht="20.65" thickBot="1">
      <c r="A26" s="366" t="s">
        <v>281</v>
      </c>
      <c r="B26" s="820" t="s">
        <v>793</v>
      </c>
      <c r="C26" s="149">
        <v>0</v>
      </c>
      <c r="D26" s="654">
        <v>0</v>
      </c>
      <c r="E26" s="654">
        <v>112999.99999999997</v>
      </c>
      <c r="F26" s="765">
        <v>112999.99999999997</v>
      </c>
      <c r="G26" s="42">
        <v>113000</v>
      </c>
      <c r="H26" s="42">
        <v>113000</v>
      </c>
      <c r="I26" s="179"/>
      <c r="J26" s="43"/>
      <c r="K26" s="44">
        <f t="shared" si="5"/>
        <v>113000</v>
      </c>
      <c r="L26" s="45" t="s">
        <v>283</v>
      </c>
      <c r="M26" s="129">
        <v>4502966963</v>
      </c>
    </row>
    <row r="27" spans="1:13" ht="14.65" thickBot="1">
      <c r="A27" s="22"/>
      <c r="B27" s="98"/>
      <c r="C27" s="192">
        <f>SUM(C16:C26)</f>
        <v>17280000</v>
      </c>
      <c r="D27" s="192">
        <f t="shared" ref="D27:G27" si="6">SUM(D16:D26)</f>
        <v>17279999.999399997</v>
      </c>
      <c r="E27" s="192">
        <f t="shared" si="6"/>
        <v>17279999.999399997</v>
      </c>
      <c r="F27" s="192">
        <f t="shared" si="6"/>
        <v>17279999.999399997</v>
      </c>
      <c r="G27" s="192">
        <f t="shared" si="6"/>
        <v>17280000.001272727</v>
      </c>
      <c r="H27" s="192">
        <f>SUM(H16:H26)</f>
        <v>17280000.004545454</v>
      </c>
      <c r="I27" s="192">
        <f>SUM(I16:I26)</f>
        <v>0</v>
      </c>
      <c r="J27" s="192">
        <f t="shared" ref="J27" si="7">SUM(J16:J26)</f>
        <v>0</v>
      </c>
      <c r="K27" s="192">
        <f>SUM(K16:K26)</f>
        <v>17280000.004545454</v>
      </c>
      <c r="L27" s="238"/>
      <c r="M27" s="238"/>
    </row>
    <row r="28" spans="1:13">
      <c r="A28" s="22"/>
      <c r="B28" s="98"/>
      <c r="C28" s="22"/>
      <c r="D28" s="48"/>
      <c r="E28" s="48"/>
      <c r="F28" s="48"/>
      <c r="G28" s="48">
        <f>$F27-G27</f>
        <v>-1.8727295100688934E-3</v>
      </c>
      <c r="H28" s="48">
        <f>$F27-H27</f>
        <v>-5.1454566419124603E-3</v>
      </c>
      <c r="I28" s="95"/>
      <c r="J28" s="22"/>
      <c r="K28" s="48">
        <f>$F27-K27</f>
        <v>-5.1454566419124603E-3</v>
      </c>
      <c r="L28" s="238"/>
      <c r="M28" s="238"/>
    </row>
    <row r="29" spans="1:13" ht="14.65" thickBot="1">
      <c r="A29" s="22"/>
      <c r="B29" s="98"/>
      <c r="C29" s="22"/>
      <c r="D29" s="48"/>
      <c r="E29" s="48"/>
      <c r="F29" s="48"/>
      <c r="G29" s="48"/>
      <c r="H29" s="48"/>
      <c r="I29" s="22"/>
      <c r="J29" s="22"/>
      <c r="K29" s="48"/>
      <c r="L29" s="238"/>
      <c r="M29" s="238"/>
    </row>
    <row r="30" spans="1:13" ht="14.65" thickBot="1">
      <c r="A30" s="357"/>
      <c r="B30" s="821" t="s">
        <v>8</v>
      </c>
      <c r="C30" s="189">
        <f>C33+C38+C42+C46+C50+C54+C58+C62+C66</f>
        <v>18420000</v>
      </c>
      <c r="D30" s="189">
        <f>D33+D38+D42+D46+D50+D54+D58+D62+D66</f>
        <v>18420000</v>
      </c>
      <c r="E30" s="189">
        <f t="shared" ref="E30" si="8">E33+E38+E42+E46+E50+E54+E58+E62+E66</f>
        <v>18820000</v>
      </c>
      <c r="F30" s="744">
        <f>F33+F38+F42+F46+F50+F54+F58+F62+F66</f>
        <v>18420000</v>
      </c>
      <c r="G30" s="189">
        <f>G33+G38+G42+G46+G50+G54+G58+G62+G66</f>
        <v>18420000.007595383</v>
      </c>
      <c r="H30" s="189">
        <f>H33+H38+H42+H46+H50+H54+H58+H62+H66</f>
        <v>18420000.008084893</v>
      </c>
      <c r="I30" s="355"/>
      <c r="J30" s="355"/>
      <c r="K30" s="189">
        <f>K33+K38+K42+K46+K50+K54+K58+K62+K66</f>
        <v>18420000.008084893</v>
      </c>
      <c r="L30" s="355"/>
      <c r="M30" s="356"/>
    </row>
    <row r="31" spans="1:13" ht="14.65" thickBot="1">
      <c r="A31" s="22"/>
      <c r="B31" s="98"/>
      <c r="C31" s="22"/>
      <c r="D31" s="22"/>
      <c r="E31" s="22"/>
      <c r="F31" s="22"/>
      <c r="G31" s="22"/>
      <c r="H31" s="22"/>
      <c r="I31" s="22"/>
      <c r="J31" s="22"/>
      <c r="K31" s="22"/>
      <c r="L31" s="238"/>
      <c r="M31" s="238"/>
    </row>
    <row r="32" spans="1:13" ht="14.65" thickBot="1">
      <c r="A32" s="668" t="s">
        <v>22</v>
      </c>
      <c r="B32" s="669" t="s">
        <v>278</v>
      </c>
      <c r="C32" s="49">
        <v>100000</v>
      </c>
      <c r="D32" s="133">
        <v>100000</v>
      </c>
      <c r="E32" s="133">
        <v>100000</v>
      </c>
      <c r="F32" s="743">
        <v>99999.999999999985</v>
      </c>
      <c r="G32" s="230">
        <v>99999.999999999985</v>
      </c>
      <c r="H32" s="230">
        <v>100000</v>
      </c>
      <c r="I32" s="50"/>
      <c r="J32" s="51"/>
      <c r="K32" s="52">
        <f>SUM(H32:J32)</f>
        <v>100000</v>
      </c>
      <c r="L32" s="53"/>
      <c r="M32" s="241"/>
    </row>
    <row r="33" spans="1:13" ht="14.65" thickBot="1">
      <c r="A33" s="22"/>
      <c r="B33" s="98"/>
      <c r="C33" s="192">
        <f t="shared" ref="C33:K33" si="9">SUM(C32:C32)</f>
        <v>100000</v>
      </c>
      <c r="D33" s="192">
        <f t="shared" si="9"/>
        <v>100000</v>
      </c>
      <c r="E33" s="192">
        <f t="shared" si="9"/>
        <v>100000</v>
      </c>
      <c r="F33" s="192">
        <f t="shared" si="9"/>
        <v>99999.999999999985</v>
      </c>
      <c r="G33" s="192">
        <f t="shared" si="9"/>
        <v>99999.999999999985</v>
      </c>
      <c r="H33" s="192">
        <f t="shared" si="9"/>
        <v>100000</v>
      </c>
      <c r="I33" s="192">
        <f t="shared" si="9"/>
        <v>0</v>
      </c>
      <c r="J33" s="192">
        <f t="shared" si="9"/>
        <v>0</v>
      </c>
      <c r="K33" s="192">
        <f t="shared" si="9"/>
        <v>100000</v>
      </c>
      <c r="L33" s="238"/>
      <c r="M33" s="238"/>
    </row>
    <row r="34" spans="1:13">
      <c r="A34" s="22"/>
      <c r="B34" s="98"/>
      <c r="C34" s="22"/>
      <c r="D34" s="48"/>
      <c r="E34" s="48"/>
      <c r="F34" s="48"/>
      <c r="G34" s="48">
        <f>$F33-G33</f>
        <v>0</v>
      </c>
      <c r="H34" s="48">
        <f>$F33-H33</f>
        <v>0</v>
      </c>
      <c r="I34" s="95"/>
      <c r="J34" s="22"/>
      <c r="K34" s="48">
        <f>$F33-K33</f>
        <v>0</v>
      </c>
      <c r="L34" s="238"/>
      <c r="M34" s="238"/>
    </row>
    <row r="35" spans="1:13" ht="14.65" thickBot="1">
      <c r="A35" s="22"/>
      <c r="B35" s="98"/>
      <c r="C35" s="22"/>
      <c r="D35" s="22"/>
      <c r="E35" s="22"/>
      <c r="F35" s="22"/>
      <c r="G35" s="22"/>
      <c r="H35" s="22"/>
      <c r="I35" s="24"/>
      <c r="J35" s="24"/>
      <c r="K35" s="24"/>
      <c r="L35" s="238"/>
      <c r="M35" s="238"/>
    </row>
    <row r="36" spans="1:13">
      <c r="A36" s="649" t="s">
        <v>23</v>
      </c>
      <c r="B36" s="670" t="s">
        <v>277</v>
      </c>
      <c r="C36" s="650">
        <v>250000</v>
      </c>
      <c r="D36" s="642">
        <v>250000</v>
      </c>
      <c r="E36" s="642">
        <v>250000</v>
      </c>
      <c r="F36" s="738">
        <v>35026</v>
      </c>
      <c r="G36" s="734">
        <v>35026</v>
      </c>
      <c r="H36" s="631">
        <v>35026</v>
      </c>
      <c r="I36" s="652"/>
      <c r="J36" s="643"/>
      <c r="K36" s="35">
        <f t="shared" ref="K36:K37" si="10">SUM(H36:J36)</f>
        <v>35026</v>
      </c>
      <c r="L36" s="36"/>
      <c r="M36" s="644"/>
    </row>
    <row r="37" spans="1:13" ht="14.65" thickBot="1">
      <c r="A37" s="875" t="s">
        <v>695</v>
      </c>
      <c r="B37" s="671" t="s">
        <v>277</v>
      </c>
      <c r="C37" s="651"/>
      <c r="D37" s="655"/>
      <c r="E37" s="655"/>
      <c r="F37" s="740">
        <v>214974</v>
      </c>
      <c r="G37" s="200">
        <v>214974</v>
      </c>
      <c r="H37" s="42">
        <v>214974</v>
      </c>
      <c r="I37" s="653"/>
      <c r="J37" s="647"/>
      <c r="K37" s="44">
        <f t="shared" si="10"/>
        <v>214974</v>
      </c>
      <c r="L37" s="45" t="s">
        <v>696</v>
      </c>
      <c r="M37" s="648">
        <v>4503027816</v>
      </c>
    </row>
    <row r="38" spans="1:13" ht="14.65" thickBot="1">
      <c r="A38" s="22"/>
      <c r="B38" s="98"/>
      <c r="C38" s="192">
        <f t="shared" ref="C38:K38" si="11">SUM(C36:C37)</f>
        <v>250000</v>
      </c>
      <c r="D38" s="192">
        <f t="shared" si="11"/>
        <v>250000</v>
      </c>
      <c r="E38" s="192">
        <f t="shared" si="11"/>
        <v>250000</v>
      </c>
      <c r="F38" s="192">
        <f t="shared" si="11"/>
        <v>250000</v>
      </c>
      <c r="G38" s="192">
        <f t="shared" si="11"/>
        <v>250000</v>
      </c>
      <c r="H38" s="192">
        <f t="shared" si="11"/>
        <v>250000</v>
      </c>
      <c r="I38" s="192">
        <f t="shared" si="11"/>
        <v>0</v>
      </c>
      <c r="J38" s="192">
        <f t="shared" si="11"/>
        <v>0</v>
      </c>
      <c r="K38" s="192">
        <f t="shared" si="11"/>
        <v>250000</v>
      </c>
      <c r="L38" s="238"/>
      <c r="M38" s="238"/>
    </row>
    <row r="39" spans="1:13">
      <c r="A39" s="22"/>
      <c r="B39" s="98"/>
      <c r="C39" s="22"/>
      <c r="D39" s="48"/>
      <c r="E39" s="48"/>
      <c r="F39" s="48"/>
      <c r="G39" s="48">
        <f>$F38-G38</f>
        <v>0</v>
      </c>
      <c r="H39" s="48">
        <f>$F38-H38</f>
        <v>0</v>
      </c>
      <c r="I39" s="95"/>
      <c r="J39" s="22"/>
      <c r="K39" s="48">
        <f>$F38-K38</f>
        <v>0</v>
      </c>
      <c r="L39" s="238"/>
      <c r="M39" s="238"/>
    </row>
    <row r="40" spans="1:13" ht="14.65" thickBot="1">
      <c r="A40" s="22"/>
      <c r="B40" s="98"/>
      <c r="C40" s="22"/>
      <c r="D40" s="22"/>
      <c r="E40" s="22"/>
      <c r="F40" s="22"/>
      <c r="G40" s="22"/>
      <c r="H40" s="22"/>
      <c r="I40" s="24"/>
      <c r="J40" s="24"/>
      <c r="K40" s="24"/>
      <c r="L40" s="238"/>
      <c r="M40" s="238"/>
    </row>
    <row r="41" spans="1:13" ht="14.65" thickBot="1">
      <c r="A41" s="668" t="s">
        <v>24</v>
      </c>
      <c r="B41" s="669" t="s">
        <v>276</v>
      </c>
      <c r="C41" s="49">
        <v>100000</v>
      </c>
      <c r="D41" s="133">
        <v>100000</v>
      </c>
      <c r="E41" s="133">
        <v>100000</v>
      </c>
      <c r="F41" s="854">
        <v>100000</v>
      </c>
      <c r="G41" s="230">
        <v>100000</v>
      </c>
      <c r="H41" s="230">
        <v>100000</v>
      </c>
      <c r="I41" s="56"/>
      <c r="J41" s="57"/>
      <c r="K41" s="52">
        <f>SUM(H41:J41)</f>
        <v>100000</v>
      </c>
      <c r="L41" s="53"/>
      <c r="M41" s="360"/>
    </row>
    <row r="42" spans="1:13" ht="14.65" thickBot="1">
      <c r="A42" s="22"/>
      <c r="B42" s="98"/>
      <c r="C42" s="192">
        <f t="shared" ref="C42:K42" si="12">SUM(C41:C41)</f>
        <v>100000</v>
      </c>
      <c r="D42" s="192">
        <f t="shared" si="12"/>
        <v>100000</v>
      </c>
      <c r="E42" s="192">
        <f t="shared" si="12"/>
        <v>100000</v>
      </c>
      <c r="F42" s="192">
        <f t="shared" si="12"/>
        <v>100000</v>
      </c>
      <c r="G42" s="192">
        <f t="shared" si="12"/>
        <v>100000</v>
      </c>
      <c r="H42" s="192">
        <f t="shared" si="12"/>
        <v>100000</v>
      </c>
      <c r="I42" s="192">
        <f t="shared" si="12"/>
        <v>0</v>
      </c>
      <c r="J42" s="192">
        <f t="shared" si="12"/>
        <v>0</v>
      </c>
      <c r="K42" s="192">
        <f t="shared" si="12"/>
        <v>100000</v>
      </c>
      <c r="L42" s="238"/>
      <c r="M42" s="238"/>
    </row>
    <row r="43" spans="1:13">
      <c r="A43" s="22"/>
      <c r="B43" s="98"/>
      <c r="C43" s="22"/>
      <c r="D43" s="48"/>
      <c r="E43" s="48"/>
      <c r="F43" s="48"/>
      <c r="G43" s="48">
        <f>$F42-G42</f>
        <v>0</v>
      </c>
      <c r="H43" s="48">
        <f>$F42-H42</f>
        <v>0</v>
      </c>
      <c r="I43" s="95"/>
      <c r="J43" s="22"/>
      <c r="K43" s="48">
        <f>$F42-K42</f>
        <v>0</v>
      </c>
      <c r="L43" s="238"/>
      <c r="M43" s="238"/>
    </row>
    <row r="44" spans="1:13" ht="14.65" thickBot="1">
      <c r="A44" s="22"/>
      <c r="B44" s="98"/>
      <c r="C44" s="22"/>
      <c r="D44" s="22"/>
      <c r="E44" s="22"/>
      <c r="F44" s="22"/>
      <c r="G44" s="22"/>
      <c r="H44" s="22"/>
      <c r="I44" s="24"/>
      <c r="J44" s="24"/>
      <c r="K44" s="24"/>
      <c r="L44" s="238"/>
      <c r="M44" s="238"/>
    </row>
    <row r="45" spans="1:13" ht="14.65" thickBot="1">
      <c r="A45" s="361" t="s">
        <v>25</v>
      </c>
      <c r="B45" s="669" t="s">
        <v>143</v>
      </c>
      <c r="C45" s="49">
        <v>120000</v>
      </c>
      <c r="D45" s="133">
        <v>120000</v>
      </c>
      <c r="E45" s="133">
        <v>120000</v>
      </c>
      <c r="F45" s="854">
        <v>120000</v>
      </c>
      <c r="G45" s="230">
        <v>120000</v>
      </c>
      <c r="H45" s="230">
        <v>120000</v>
      </c>
      <c r="I45" s="362"/>
      <c r="J45" s="51"/>
      <c r="K45" s="52">
        <f>SUM(H45:J45)</f>
        <v>120000</v>
      </c>
      <c r="L45" s="363"/>
      <c r="M45" s="241"/>
    </row>
    <row r="46" spans="1:13" ht="14.65" thickBot="1">
      <c r="A46" s="22"/>
      <c r="B46" s="98"/>
      <c r="C46" s="192">
        <f t="shared" ref="C46:K46" si="13">SUM(C45:C45)</f>
        <v>120000</v>
      </c>
      <c r="D46" s="192">
        <f t="shared" si="13"/>
        <v>120000</v>
      </c>
      <c r="E46" s="192">
        <f t="shared" si="13"/>
        <v>120000</v>
      </c>
      <c r="F46" s="192">
        <f t="shared" si="13"/>
        <v>120000</v>
      </c>
      <c r="G46" s="192">
        <f t="shared" si="13"/>
        <v>120000</v>
      </c>
      <c r="H46" s="192">
        <f t="shared" si="13"/>
        <v>120000</v>
      </c>
      <c r="I46" s="192">
        <f t="shared" si="13"/>
        <v>0</v>
      </c>
      <c r="J46" s="192">
        <f t="shared" si="13"/>
        <v>0</v>
      </c>
      <c r="K46" s="192">
        <f t="shared" si="13"/>
        <v>120000</v>
      </c>
      <c r="L46" s="238"/>
      <c r="M46" s="238"/>
    </row>
    <row r="47" spans="1:13">
      <c r="A47" s="22"/>
      <c r="B47" s="98"/>
      <c r="C47" s="22"/>
      <c r="D47" s="48"/>
      <c r="E47" s="48"/>
      <c r="F47" s="48"/>
      <c r="G47" s="48">
        <f>$F46-G46</f>
        <v>0</v>
      </c>
      <c r="H47" s="48">
        <f>$F46-H46</f>
        <v>0</v>
      </c>
      <c r="I47" s="95"/>
      <c r="J47" s="22"/>
      <c r="K47" s="48">
        <f>$F46-K46</f>
        <v>0</v>
      </c>
      <c r="L47" s="238"/>
      <c r="M47" s="238"/>
    </row>
    <row r="48" spans="1:13" ht="14.65" thickBot="1"/>
    <row r="49" spans="1:13" ht="14.65" thickBot="1">
      <c r="A49" s="361" t="s">
        <v>266</v>
      </c>
      <c r="B49" s="669" t="s">
        <v>267</v>
      </c>
      <c r="C49" s="49">
        <v>100000</v>
      </c>
      <c r="D49" s="133">
        <v>100000</v>
      </c>
      <c r="E49" s="133">
        <v>100000</v>
      </c>
      <c r="F49" s="854">
        <v>100000</v>
      </c>
      <c r="G49" s="230">
        <v>100000.00461538461</v>
      </c>
      <c r="H49" s="230">
        <v>100000.0069230769</v>
      </c>
      <c r="I49" s="362"/>
      <c r="J49" s="51"/>
      <c r="K49" s="52">
        <f>SUM(H49:J49)</f>
        <v>100000.0069230769</v>
      </c>
      <c r="L49" s="363"/>
      <c r="M49" s="241"/>
    </row>
    <row r="50" spans="1:13" ht="14.65" thickBot="1">
      <c r="A50" s="22"/>
      <c r="B50" s="98"/>
      <c r="C50" s="192">
        <f t="shared" ref="C50:K50" si="14">SUM(C49:C49)</f>
        <v>100000</v>
      </c>
      <c r="D50" s="192">
        <f t="shared" si="14"/>
        <v>100000</v>
      </c>
      <c r="E50" s="192">
        <f t="shared" si="14"/>
        <v>100000</v>
      </c>
      <c r="F50" s="192">
        <f t="shared" si="14"/>
        <v>100000</v>
      </c>
      <c r="G50" s="192">
        <f t="shared" si="14"/>
        <v>100000.00461538461</v>
      </c>
      <c r="H50" s="192">
        <f t="shared" si="14"/>
        <v>100000.0069230769</v>
      </c>
      <c r="I50" s="192">
        <f t="shared" si="14"/>
        <v>0</v>
      </c>
      <c r="J50" s="192">
        <f t="shared" si="14"/>
        <v>0</v>
      </c>
      <c r="K50" s="192">
        <f t="shared" si="14"/>
        <v>100000.0069230769</v>
      </c>
      <c r="L50" s="238"/>
      <c r="M50" s="238"/>
    </row>
    <row r="51" spans="1:13">
      <c r="A51" s="22"/>
      <c r="B51" s="98"/>
      <c r="C51" s="22"/>
      <c r="D51" s="48"/>
      <c r="E51" s="48"/>
      <c r="F51" s="48"/>
      <c r="G51" s="48">
        <f>$F50-G50</f>
        <v>-4.615384605131112E-3</v>
      </c>
      <c r="H51" s="48">
        <f>$F50-H50</f>
        <v>-6.9230769004207104E-3</v>
      </c>
      <c r="I51" s="95"/>
      <c r="J51" s="22"/>
      <c r="K51" s="48">
        <f>$F50-K50</f>
        <v>-6.9230769004207104E-3</v>
      </c>
      <c r="L51" s="238"/>
      <c r="M51" s="238"/>
    </row>
    <row r="52" spans="1:13" ht="14.65" thickBot="1"/>
    <row r="53" spans="1:13" ht="14.65" thickBot="1">
      <c r="A53" s="361" t="s">
        <v>268</v>
      </c>
      <c r="B53" s="669" t="s">
        <v>275</v>
      </c>
      <c r="C53" s="49">
        <v>350000</v>
      </c>
      <c r="D53" s="133">
        <v>350000</v>
      </c>
      <c r="E53" s="133">
        <v>350000</v>
      </c>
      <c r="F53" s="854">
        <v>350000</v>
      </c>
      <c r="G53" s="230">
        <v>350000</v>
      </c>
      <c r="H53" s="230">
        <v>349999.99818181817</v>
      </c>
      <c r="I53" s="362"/>
      <c r="J53" s="51"/>
      <c r="K53" s="52">
        <f>SUM(H53:J53)</f>
        <v>349999.99818181817</v>
      </c>
      <c r="L53" s="363"/>
      <c r="M53" s="241"/>
    </row>
    <row r="54" spans="1:13" ht="14.65" thickBot="1">
      <c r="A54" s="22"/>
      <c r="B54" s="98"/>
      <c r="C54" s="192">
        <f t="shared" ref="C54:K54" si="15">SUM(C53:C53)</f>
        <v>350000</v>
      </c>
      <c r="D54" s="192">
        <f t="shared" si="15"/>
        <v>350000</v>
      </c>
      <c r="E54" s="192">
        <f t="shared" si="15"/>
        <v>350000</v>
      </c>
      <c r="F54" s="192">
        <f t="shared" si="15"/>
        <v>350000</v>
      </c>
      <c r="G54" s="192">
        <f t="shared" si="15"/>
        <v>350000</v>
      </c>
      <c r="H54" s="192">
        <f t="shared" si="15"/>
        <v>349999.99818181817</v>
      </c>
      <c r="I54" s="192">
        <f t="shared" si="15"/>
        <v>0</v>
      </c>
      <c r="J54" s="192">
        <f t="shared" si="15"/>
        <v>0</v>
      </c>
      <c r="K54" s="192">
        <f t="shared" si="15"/>
        <v>349999.99818181817</v>
      </c>
      <c r="L54" s="238"/>
      <c r="M54" s="238"/>
    </row>
    <row r="55" spans="1:13">
      <c r="A55" s="22"/>
      <c r="B55" s="98"/>
      <c r="C55" s="22"/>
      <c r="D55" s="48"/>
      <c r="E55" s="48"/>
      <c r="F55" s="48"/>
      <c r="G55" s="48">
        <f>$F54-G54</f>
        <v>0</v>
      </c>
      <c r="H55" s="48">
        <f>$F54-H54</f>
        <v>1.818181830458343E-3</v>
      </c>
      <c r="I55" s="95"/>
      <c r="J55" s="22"/>
      <c r="K55" s="48">
        <f>$F54-K54</f>
        <v>1.818181830458343E-3</v>
      </c>
      <c r="L55" s="238"/>
      <c r="M55" s="238"/>
    </row>
    <row r="56" spans="1:13" ht="14.65" thickBot="1"/>
    <row r="57" spans="1:13" ht="14.65" thickBot="1">
      <c r="A57" s="361" t="s">
        <v>269</v>
      </c>
      <c r="B57" s="669" t="s">
        <v>274</v>
      </c>
      <c r="C57" s="49">
        <v>250000</v>
      </c>
      <c r="D57" s="133">
        <v>250000</v>
      </c>
      <c r="E57" s="133">
        <v>250000</v>
      </c>
      <c r="F57" s="854">
        <v>250000</v>
      </c>
      <c r="G57" s="230">
        <v>250000.00297999996</v>
      </c>
      <c r="H57" s="230">
        <v>250000.00297999996</v>
      </c>
      <c r="I57" s="362"/>
      <c r="J57" s="51"/>
      <c r="K57" s="52">
        <f>SUM(H57:J57)</f>
        <v>250000.00297999996</v>
      </c>
      <c r="L57" s="363"/>
      <c r="M57" s="241"/>
    </row>
    <row r="58" spans="1:13" ht="14.65" thickBot="1">
      <c r="A58" s="22"/>
      <c r="B58" s="98"/>
      <c r="C58" s="192">
        <f t="shared" ref="C58:K58" si="16">SUM(C57:C57)</f>
        <v>250000</v>
      </c>
      <c r="D58" s="192">
        <f t="shared" si="16"/>
        <v>250000</v>
      </c>
      <c r="E58" s="192">
        <f t="shared" si="16"/>
        <v>250000</v>
      </c>
      <c r="F58" s="192">
        <f t="shared" si="16"/>
        <v>250000</v>
      </c>
      <c r="G58" s="192">
        <f t="shared" si="16"/>
        <v>250000.00297999996</v>
      </c>
      <c r="H58" s="192">
        <f t="shared" si="16"/>
        <v>250000.00297999996</v>
      </c>
      <c r="I58" s="192">
        <f t="shared" si="16"/>
        <v>0</v>
      </c>
      <c r="J58" s="192">
        <f t="shared" si="16"/>
        <v>0</v>
      </c>
      <c r="K58" s="192">
        <f t="shared" si="16"/>
        <v>250000.00297999996</v>
      </c>
      <c r="L58" s="238"/>
      <c r="M58" s="238"/>
    </row>
    <row r="59" spans="1:13">
      <c r="A59" s="22"/>
      <c r="B59" s="98"/>
      <c r="C59" s="22"/>
      <c r="D59" s="48"/>
      <c r="E59" s="48"/>
      <c r="F59" s="48"/>
      <c r="G59" s="48">
        <f>$F58-G58</f>
        <v>-2.9799999610986561E-3</v>
      </c>
      <c r="H59" s="48">
        <f t="shared" ref="H59" si="17">$F58-H58</f>
        <v>-2.9799999610986561E-3</v>
      </c>
      <c r="I59" s="48"/>
      <c r="J59" s="22"/>
      <c r="K59" s="48">
        <f>$F58-K58</f>
        <v>-2.9799999610986561E-3</v>
      </c>
      <c r="L59" s="238"/>
      <c r="M59" s="238"/>
    </row>
    <row r="60" spans="1:13" ht="14.65" thickBot="1"/>
    <row r="61" spans="1:13" ht="14.65" thickBot="1">
      <c r="A61" s="361" t="s">
        <v>270</v>
      </c>
      <c r="B61" s="669" t="s">
        <v>273</v>
      </c>
      <c r="C61" s="49">
        <v>150000</v>
      </c>
      <c r="D61" s="133">
        <v>150000</v>
      </c>
      <c r="E61" s="133">
        <v>150000</v>
      </c>
      <c r="F61" s="854">
        <v>150000</v>
      </c>
      <c r="G61" s="230">
        <v>149999.99999999997</v>
      </c>
      <c r="H61" s="230">
        <v>149999.99999999997</v>
      </c>
      <c r="I61" s="362"/>
      <c r="J61" s="51"/>
      <c r="K61" s="52">
        <f>SUM(H61:J61)</f>
        <v>149999.99999999997</v>
      </c>
      <c r="L61" s="363"/>
      <c r="M61" s="241"/>
    </row>
    <row r="62" spans="1:13" ht="14.65" thickBot="1">
      <c r="A62" s="22"/>
      <c r="B62" s="98"/>
      <c r="C62" s="192">
        <f t="shared" ref="C62:K62" si="18">SUM(C61:C61)</f>
        <v>150000</v>
      </c>
      <c r="D62" s="192">
        <f t="shared" si="18"/>
        <v>150000</v>
      </c>
      <c r="E62" s="192">
        <f t="shared" si="18"/>
        <v>150000</v>
      </c>
      <c r="F62" s="192">
        <f t="shared" si="18"/>
        <v>150000</v>
      </c>
      <c r="G62" s="192">
        <f t="shared" si="18"/>
        <v>149999.99999999997</v>
      </c>
      <c r="H62" s="192">
        <f t="shared" si="18"/>
        <v>149999.99999999997</v>
      </c>
      <c r="I62" s="192">
        <f t="shared" si="18"/>
        <v>0</v>
      </c>
      <c r="J62" s="192">
        <f t="shared" si="18"/>
        <v>0</v>
      </c>
      <c r="K62" s="192">
        <f t="shared" si="18"/>
        <v>149999.99999999997</v>
      </c>
      <c r="L62" s="238"/>
      <c r="M62" s="238"/>
    </row>
    <row r="63" spans="1:13">
      <c r="A63" s="22"/>
      <c r="B63" s="98"/>
      <c r="C63" s="22"/>
      <c r="D63" s="48"/>
      <c r="E63" s="48"/>
      <c r="F63" s="48"/>
      <c r="G63" s="48">
        <f>$F62-G62</f>
        <v>0</v>
      </c>
      <c r="H63" s="48">
        <f>$F62-H62</f>
        <v>0</v>
      </c>
      <c r="I63" s="95"/>
      <c r="J63" s="22"/>
      <c r="K63" s="48">
        <f>$F62-K62</f>
        <v>0</v>
      </c>
      <c r="L63" s="238"/>
      <c r="M63" s="238"/>
    </row>
    <row r="64" spans="1:13" ht="14.65" thickBot="1"/>
    <row r="65" spans="1:13" ht="14.65" thickBot="1">
      <c r="A65" s="361" t="s">
        <v>271</v>
      </c>
      <c r="B65" s="669" t="s">
        <v>792</v>
      </c>
      <c r="C65" s="49">
        <v>17000000</v>
      </c>
      <c r="D65" s="364">
        <v>17000000</v>
      </c>
      <c r="E65" s="364">
        <v>17400000</v>
      </c>
      <c r="F65" s="854">
        <v>17000000</v>
      </c>
      <c r="G65" s="49">
        <v>17000000</v>
      </c>
      <c r="H65" s="49">
        <v>17000000</v>
      </c>
      <c r="I65" s="362"/>
      <c r="J65" s="51"/>
      <c r="K65" s="52">
        <f>SUM(H65:J65)</f>
        <v>17000000</v>
      </c>
      <c r="L65" s="363" t="s">
        <v>279</v>
      </c>
      <c r="M65" s="241">
        <v>4502946461</v>
      </c>
    </row>
    <row r="66" spans="1:13" ht="14.65" thickBot="1">
      <c r="A66" s="22"/>
      <c r="B66" s="98"/>
      <c r="C66" s="192">
        <f t="shared" ref="C66:K66" si="19">SUM(C65:C65)</f>
        <v>17000000</v>
      </c>
      <c r="D66" s="192">
        <f t="shared" si="19"/>
        <v>17000000</v>
      </c>
      <c r="E66" s="192">
        <f t="shared" si="19"/>
        <v>17400000</v>
      </c>
      <c r="F66" s="192">
        <f t="shared" si="19"/>
        <v>17000000</v>
      </c>
      <c r="G66" s="192">
        <f t="shared" si="19"/>
        <v>17000000</v>
      </c>
      <c r="H66" s="192">
        <f t="shared" si="19"/>
        <v>17000000</v>
      </c>
      <c r="I66" s="192">
        <f t="shared" si="19"/>
        <v>0</v>
      </c>
      <c r="J66" s="192">
        <f t="shared" si="19"/>
        <v>0</v>
      </c>
      <c r="K66" s="192">
        <f t="shared" si="19"/>
        <v>17000000</v>
      </c>
      <c r="L66" s="238"/>
      <c r="M66" s="238"/>
    </row>
    <row r="67" spans="1:13">
      <c r="A67" s="22"/>
      <c r="B67" s="98"/>
      <c r="C67" s="22"/>
      <c r="D67" s="48"/>
      <c r="E67" s="48"/>
      <c r="F67" s="48"/>
      <c r="G67" s="48">
        <f>$F66-G66</f>
        <v>0</v>
      </c>
      <c r="H67" s="48">
        <f>$F66-H66</f>
        <v>0</v>
      </c>
      <c r="I67" s="95"/>
      <c r="J67" s="22"/>
      <c r="K67" s="48">
        <f>$F66-K66</f>
        <v>0</v>
      </c>
      <c r="L67" s="238"/>
      <c r="M67" s="238"/>
    </row>
  </sheetData>
  <mergeCells count="1">
    <mergeCell ref="C1:K1"/>
  </mergeCells>
  <phoneticPr fontId="51" type="noConversion"/>
  <conditionalFormatting sqref="D14:H14">
    <cfRule type="cellIs" dxfId="177" priority="3" operator="lessThan">
      <formula>0</formula>
    </cfRule>
    <cfRule type="cellIs" dxfId="176" priority="4" operator="greaterThan">
      <formula>0</formula>
    </cfRule>
  </conditionalFormatting>
  <conditionalFormatting sqref="D28:H29">
    <cfRule type="cellIs" dxfId="175" priority="7" operator="lessThan">
      <formula>0</formula>
    </cfRule>
    <cfRule type="cellIs" dxfId="174" priority="8" operator="greaterThan">
      <formula>0</formula>
    </cfRule>
  </conditionalFormatting>
  <conditionalFormatting sqref="D34:H34">
    <cfRule type="cellIs" dxfId="173" priority="11" operator="lessThan">
      <formula>0</formula>
    </cfRule>
    <cfRule type="cellIs" dxfId="172" priority="12" operator="greaterThan">
      <formula>0</formula>
    </cfRule>
  </conditionalFormatting>
  <conditionalFormatting sqref="D39:H39">
    <cfRule type="cellIs" dxfId="171" priority="15" operator="lessThan">
      <formula>0</formula>
    </cfRule>
    <cfRule type="cellIs" dxfId="170" priority="16" operator="greaterThan">
      <formula>0</formula>
    </cfRule>
  </conditionalFormatting>
  <conditionalFormatting sqref="D43:H43">
    <cfRule type="cellIs" dxfId="169" priority="19" operator="lessThan">
      <formula>0</formula>
    </cfRule>
    <cfRule type="cellIs" dxfId="168" priority="20" operator="greaterThan">
      <formula>0</formula>
    </cfRule>
  </conditionalFormatting>
  <conditionalFormatting sqref="D47:H47">
    <cfRule type="cellIs" dxfId="167" priority="23" operator="lessThan">
      <formula>0</formula>
    </cfRule>
    <cfRule type="cellIs" dxfId="166" priority="24" operator="greaterThan">
      <formula>0</formula>
    </cfRule>
  </conditionalFormatting>
  <conditionalFormatting sqref="D51:H51">
    <cfRule type="cellIs" dxfId="165" priority="27" operator="lessThan">
      <formula>0</formula>
    </cfRule>
    <cfRule type="cellIs" dxfId="164" priority="28" operator="greaterThan">
      <formula>0</formula>
    </cfRule>
  </conditionalFormatting>
  <conditionalFormatting sqref="D55:H55">
    <cfRule type="cellIs" dxfId="163" priority="31" operator="lessThan">
      <formula>0</formula>
    </cfRule>
    <cfRule type="cellIs" dxfId="162" priority="32" operator="greaterThan">
      <formula>0</formula>
    </cfRule>
  </conditionalFormatting>
  <conditionalFormatting sqref="D63:H63">
    <cfRule type="cellIs" dxfId="161" priority="39" operator="lessThan">
      <formula>0</formula>
    </cfRule>
    <cfRule type="cellIs" dxfId="160" priority="40" operator="greaterThan">
      <formula>0</formula>
    </cfRule>
  </conditionalFormatting>
  <conditionalFormatting sqref="D67:H67">
    <cfRule type="cellIs" dxfId="159" priority="111" operator="lessThan">
      <formula>0</formula>
    </cfRule>
    <cfRule type="cellIs" dxfId="158" priority="112" operator="greaterThan">
      <formula>0</formula>
    </cfRule>
  </conditionalFormatting>
  <conditionalFormatting sqref="D59:I59">
    <cfRule type="cellIs" dxfId="157" priority="35" operator="lessThan">
      <formula>0</formula>
    </cfRule>
    <cfRule type="cellIs" dxfId="156" priority="36" operator="greaterThan">
      <formula>0</formula>
    </cfRule>
  </conditionalFormatting>
  <conditionalFormatting sqref="K14">
    <cfRule type="cellIs" dxfId="155" priority="1" operator="lessThan">
      <formula>0</formula>
    </cfRule>
    <cfRule type="cellIs" dxfId="154" priority="2" operator="greaterThan">
      <formula>0</formula>
    </cfRule>
  </conditionalFormatting>
  <conditionalFormatting sqref="K28:K29">
    <cfRule type="cellIs" dxfId="153" priority="5" operator="lessThan">
      <formula>0</formula>
    </cfRule>
    <cfRule type="cellIs" dxfId="152" priority="6" operator="greaterThan">
      <formula>0</formula>
    </cfRule>
  </conditionalFormatting>
  <conditionalFormatting sqref="K34">
    <cfRule type="cellIs" dxfId="151" priority="9" operator="lessThan">
      <formula>0</formula>
    </cfRule>
    <cfRule type="cellIs" dxfId="150" priority="10" operator="greaterThan">
      <formula>0</formula>
    </cfRule>
  </conditionalFormatting>
  <conditionalFormatting sqref="K39">
    <cfRule type="cellIs" dxfId="149" priority="13" operator="lessThan">
      <formula>0</formula>
    </cfRule>
    <cfRule type="cellIs" dxfId="148" priority="14" operator="greaterThan">
      <formula>0</formula>
    </cfRule>
  </conditionalFormatting>
  <conditionalFormatting sqref="K43">
    <cfRule type="cellIs" dxfId="147" priority="17" operator="lessThan">
      <formula>0</formula>
    </cfRule>
    <cfRule type="cellIs" dxfId="146" priority="18" operator="greaterThan">
      <formula>0</formula>
    </cfRule>
  </conditionalFormatting>
  <conditionalFormatting sqref="K47">
    <cfRule type="cellIs" dxfId="145" priority="21" operator="lessThan">
      <formula>0</formula>
    </cfRule>
    <cfRule type="cellIs" dxfId="144" priority="22" operator="greaterThan">
      <formula>0</formula>
    </cfRule>
  </conditionalFormatting>
  <conditionalFormatting sqref="K51">
    <cfRule type="cellIs" dxfId="143" priority="25" operator="lessThan">
      <formula>0</formula>
    </cfRule>
    <cfRule type="cellIs" dxfId="142" priority="26" operator="greaterThan">
      <formula>0</formula>
    </cfRule>
  </conditionalFormatting>
  <conditionalFormatting sqref="K55">
    <cfRule type="cellIs" dxfId="141" priority="29" operator="lessThan">
      <formula>0</formula>
    </cfRule>
    <cfRule type="cellIs" dxfId="140" priority="30" operator="greaterThan">
      <formula>0</formula>
    </cfRule>
  </conditionalFormatting>
  <conditionalFormatting sqref="K59">
    <cfRule type="cellIs" dxfId="139" priority="33" operator="lessThan">
      <formula>0</formula>
    </cfRule>
    <cfRule type="cellIs" dxfId="138" priority="34" operator="greaterThan">
      <formula>0</formula>
    </cfRule>
  </conditionalFormatting>
  <conditionalFormatting sqref="K63">
    <cfRule type="cellIs" dxfId="137" priority="37" operator="lessThan">
      <formula>0</formula>
    </cfRule>
    <cfRule type="cellIs" dxfId="136" priority="38" operator="greaterThan">
      <formula>0</formula>
    </cfRule>
  </conditionalFormatting>
  <conditionalFormatting sqref="K67">
    <cfRule type="cellIs" dxfId="135" priority="41" operator="lessThan">
      <formula>0</formula>
    </cfRule>
    <cfRule type="cellIs" dxfId="134" priority="42" operator="greaterThan">
      <formula>0</formula>
    </cfRule>
  </conditionalFormatting>
  <pageMargins left="0.11811023622047245" right="0.11811023622047245" top="0.15748031496062992" bottom="0.35433070866141736" header="0.11811023622047245" footer="0.11811023622047245"/>
  <pageSetup paperSize="9" scale="66" fitToHeight="0" orientation="landscape" r:id="rId1"/>
  <headerFooter>
    <oddFooter>&amp;LGorlice B51 - Feb 26&amp;C&amp;A&amp;R&amp;P</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EAE48-95BA-40C6-A47D-2642590632D0}">
  <sheetPr>
    <tabColor rgb="FFFFC000"/>
    <pageSetUpPr fitToPage="1"/>
  </sheetPr>
  <dimension ref="A1:N164"/>
  <sheetViews>
    <sheetView topLeftCell="A40" zoomScale="80" zoomScaleNormal="80" workbookViewId="0">
      <selection activeCell="H42" sqref="H42:H43"/>
    </sheetView>
  </sheetViews>
  <sheetFormatPr defaultRowHeight="14.25"/>
  <cols>
    <col min="1" max="1" width="10.53125" bestFit="1" customWidth="1"/>
    <col min="2" max="2" width="53.53125" style="96" customWidth="1"/>
    <col min="3" max="11" width="14.796875" customWidth="1"/>
    <col min="12" max="12" width="47.1328125" bestFit="1" customWidth="1"/>
    <col min="13" max="13" width="14.46484375" bestFit="1" customWidth="1"/>
    <col min="14" max="14" width="13.19921875" bestFit="1" customWidth="1"/>
  </cols>
  <sheetData>
    <row r="1" spans="1:14" ht="22.05" customHeight="1">
      <c r="C1" s="971"/>
      <c r="D1" s="971"/>
      <c r="E1" s="971"/>
      <c r="F1" s="971"/>
      <c r="G1" s="971"/>
      <c r="H1" s="971"/>
      <c r="I1" s="971"/>
      <c r="J1" s="971"/>
      <c r="K1" s="971"/>
    </row>
    <row r="2" spans="1:14" ht="22.05" customHeight="1" thickBot="1">
      <c r="C2" s="3" t="s">
        <v>146</v>
      </c>
      <c r="D2" s="3" t="s">
        <v>249</v>
      </c>
      <c r="E2" s="3" t="s">
        <v>820</v>
      </c>
      <c r="F2" s="736" t="s">
        <v>821</v>
      </c>
      <c r="G2" s="3" t="s">
        <v>742</v>
      </c>
      <c r="H2" s="3" t="s">
        <v>824</v>
      </c>
      <c r="I2" s="3" t="s">
        <v>755</v>
      </c>
      <c r="J2" s="3" t="s">
        <v>26</v>
      </c>
      <c r="K2" s="3" t="s">
        <v>147</v>
      </c>
      <c r="M2" s="259">
        <f>SUM(M5:M8)</f>
        <v>108109767.00995263</v>
      </c>
    </row>
    <row r="3" spans="1:14" ht="24" customHeight="1" thickBot="1">
      <c r="A3" s="59">
        <v>2</v>
      </c>
      <c r="B3" s="97" t="s">
        <v>6</v>
      </c>
      <c r="C3" s="226">
        <f>C16+C23+C29+C38+C64+C76+C80+C97+C107+C111+C133+C139+C143+C152+C156+C162</f>
        <v>112409767</v>
      </c>
      <c r="D3" s="226">
        <f t="shared" ref="D3:J3" si="0">D16+D23+D29+D38+D64+D76+D80+D97+D107+D111+D133+D139+D143+D152+D156+D162</f>
        <v>112409766.99199998</v>
      </c>
      <c r="E3" s="226">
        <f>E16+E23+E29+E38+E64+E76+E80+E97+E107+E111+E133+E139+E143+E152+E156+E162</f>
        <v>112409766.99192519</v>
      </c>
      <c r="F3" s="226">
        <f>F16+F23+F29+F38+F64+F76+F80+F97+F107+F111+F133+F139+F143+F152+F156+F162</f>
        <v>108109767.00444661</v>
      </c>
      <c r="G3" s="226">
        <f>G16+G23+G29+G38+G64+G76+G80+G97+G107+G111+G133+G139+G143+G152+G156+G162</f>
        <v>108109767.00781876</v>
      </c>
      <c r="H3" s="226">
        <f>H16+H23+H29+H38+H64+H76+H80+H97+H107+H111+H133+H139+H143+H152+H156+H162</f>
        <v>108109767.00995262</v>
      </c>
      <c r="I3" s="777">
        <f t="shared" si="0"/>
        <v>0</v>
      </c>
      <c r="J3" s="401">
        <f t="shared" si="0"/>
        <v>0</v>
      </c>
      <c r="K3" s="100">
        <f>K16+K23+K29+K38+K64+K76+K80+K97+K107+K111+K133+K139+K143+K152+K156+K162</f>
        <v>108109767.00995262</v>
      </c>
      <c r="L3" s="60"/>
      <c r="M3" s="61"/>
    </row>
    <row r="4" spans="1:14" ht="14.65" thickBot="1">
      <c r="A4" s="22"/>
      <c r="B4" s="98"/>
      <c r="C4" s="22"/>
      <c r="D4" s="22"/>
      <c r="E4" s="22"/>
      <c r="F4" s="22"/>
      <c r="G4" s="186">
        <f>G3-$F$3</f>
        <v>3.3721476793289185E-3</v>
      </c>
      <c r="H4" s="186">
        <f>H3-$F$3</f>
        <v>5.5060088634490967E-3</v>
      </c>
      <c r="I4" s="22"/>
      <c r="J4" s="22"/>
      <c r="K4" s="186">
        <f>K3-$F$3</f>
        <v>5.5060088634490967E-3</v>
      </c>
    </row>
    <row r="5" spans="1:14">
      <c r="A5" s="22"/>
      <c r="C5" s="22"/>
      <c r="D5" s="22"/>
      <c r="E5" s="22"/>
      <c r="F5" s="22"/>
      <c r="G5" s="22"/>
      <c r="H5" s="22"/>
      <c r="I5" s="22"/>
      <c r="J5" s="22"/>
      <c r="L5" s="282" t="s">
        <v>17</v>
      </c>
      <c r="M5" s="58">
        <f>H13+H14+H15+H20+H21+H27+H28+H34+H35+H36+H37+H44+H45+H47+H49+H50+H54+H57+H59+H60+H61+H70+H72+H75+H121++H123+H150+H149+H69</f>
        <v>53496524.158552624</v>
      </c>
      <c r="N5" s="259">
        <f>G15+G20+G21+G22+G27+G34+G35+G36+G44+G47+G49+G50+G54+G57+G59+G60+G61+G69+G70+G72+G75+G121+G123+G149+G150</f>
        <v>53701520.156418771</v>
      </c>
    </row>
    <row r="6" spans="1:14" ht="14.65" thickBot="1">
      <c r="A6" s="22"/>
      <c r="C6" s="22"/>
      <c r="D6" s="22"/>
      <c r="E6" s="22"/>
      <c r="F6" s="22"/>
      <c r="G6" s="22"/>
      <c r="H6" s="22"/>
      <c r="I6" s="22"/>
      <c r="J6" s="22"/>
      <c r="L6" s="282" t="s">
        <v>759</v>
      </c>
      <c r="M6" s="58">
        <f>H12+H33+H42+H43+H46+H48+H53+H56+H68+H71+H74+H120+H122+H148+H22</f>
        <v>16378806.852000002</v>
      </c>
    </row>
    <row r="7" spans="1:14" ht="14.65" thickBot="1">
      <c r="A7" s="22"/>
      <c r="B7" s="98"/>
      <c r="D7" s="27" t="s">
        <v>14</v>
      </c>
      <c r="E7" s="227"/>
      <c r="F7" s="219"/>
      <c r="G7" s="219"/>
      <c r="H7" s="219"/>
      <c r="I7" s="22"/>
      <c r="J7" s="27" t="s">
        <v>14</v>
      </c>
      <c r="K7" s="219"/>
      <c r="L7" s="25" t="s">
        <v>15</v>
      </c>
      <c r="M7" s="29">
        <f>H26+H32+H62+H63+H55+H73+H79+H84+H85+H86+H87+H88+H89+H90+H91+H92+H93+H94+H95+H96+H102+H101+H103+H104+H105+H106+H110+H115+H116+H117+H118+H119+H124+H125+H126+H127+H128+H129+H130+H131+H132+H137+H138+H142+G1445+H151+H155+H160+H161+H147</f>
        <v>38234435.999399997</v>
      </c>
    </row>
    <row r="8" spans="1:14" ht="14.65" thickBot="1">
      <c r="A8" s="22"/>
      <c r="B8" s="98"/>
      <c r="D8" s="27" t="s">
        <v>16</v>
      </c>
      <c r="E8" s="228"/>
      <c r="F8" s="207"/>
      <c r="G8" s="207"/>
      <c r="H8" s="207"/>
      <c r="I8" s="22"/>
      <c r="J8" s="27" t="s">
        <v>16</v>
      </c>
      <c r="K8" s="207"/>
      <c r="L8" s="31" t="s">
        <v>0</v>
      </c>
      <c r="M8" s="32">
        <f>SUM(I3:J3)</f>
        <v>0</v>
      </c>
    </row>
    <row r="9" spans="1:14">
      <c r="A9" s="22"/>
      <c r="B9" s="98"/>
      <c r="C9" s="98"/>
      <c r="D9" s="98"/>
      <c r="E9" s="98"/>
      <c r="F9" s="98"/>
      <c r="G9" s="98"/>
      <c r="H9" s="98"/>
      <c r="I9" s="98"/>
      <c r="J9" s="98"/>
      <c r="K9" s="98"/>
      <c r="L9" s="25" t="s">
        <v>757</v>
      </c>
      <c r="M9" s="26">
        <f>H42+H43+H46+H53+H120+H12+H33+H48+H56+H122+H68+H71+H74+H148+H22</f>
        <v>16378806.852000002</v>
      </c>
    </row>
    <row r="10" spans="1:14" ht="14.65" thickBot="1">
      <c r="A10" s="22"/>
      <c r="B10" s="98"/>
      <c r="C10" s="22"/>
      <c r="D10" s="22"/>
      <c r="E10" s="22"/>
      <c r="F10" s="22"/>
      <c r="G10" s="22"/>
      <c r="H10" s="22"/>
      <c r="I10" s="95"/>
      <c r="J10" s="22"/>
      <c r="K10" s="22"/>
    </row>
    <row r="11" spans="1:14">
      <c r="A11" s="373" t="s">
        <v>28</v>
      </c>
      <c r="B11" s="665" t="s">
        <v>284</v>
      </c>
      <c r="C11" s="641">
        <v>4613087</v>
      </c>
      <c r="D11" s="666">
        <v>0</v>
      </c>
      <c r="E11" s="666">
        <v>0</v>
      </c>
      <c r="F11" s="741">
        <v>0</v>
      </c>
      <c r="G11" s="206">
        <v>0</v>
      </c>
      <c r="H11" s="188">
        <v>0</v>
      </c>
      <c r="I11" s="242"/>
      <c r="J11" s="65"/>
      <c r="K11" s="66">
        <f>SUM(H11:J11)</f>
        <v>0</v>
      </c>
      <c r="L11" s="867"/>
      <c r="M11" s="67"/>
    </row>
    <row r="12" spans="1:14">
      <c r="A12" s="374" t="s">
        <v>29</v>
      </c>
      <c r="B12" s="663" t="s">
        <v>5</v>
      </c>
      <c r="C12" s="639">
        <v>0</v>
      </c>
      <c r="D12" s="664">
        <v>1113087</v>
      </c>
      <c r="E12" s="664">
        <v>313087</v>
      </c>
      <c r="F12" s="762">
        <v>229887</v>
      </c>
      <c r="G12" s="201">
        <v>229887</v>
      </c>
      <c r="H12" s="861">
        <v>229887</v>
      </c>
      <c r="I12" s="195"/>
      <c r="J12" s="69"/>
      <c r="K12" s="70">
        <f t="shared" ref="K12:K15" si="1">SUM(H12:J12)</f>
        <v>229887</v>
      </c>
      <c r="L12" s="868"/>
      <c r="M12" s="370"/>
    </row>
    <row r="13" spans="1:14">
      <c r="A13" s="374" t="s">
        <v>30</v>
      </c>
      <c r="B13" s="663" t="s">
        <v>285</v>
      </c>
      <c r="C13" s="639">
        <v>0</v>
      </c>
      <c r="D13" s="662">
        <v>3500000</v>
      </c>
      <c r="E13" s="662">
        <v>3176000</v>
      </c>
      <c r="F13" s="762">
        <v>0</v>
      </c>
      <c r="G13" s="675">
        <v>0</v>
      </c>
      <c r="H13" s="862">
        <v>0</v>
      </c>
      <c r="I13" s="195"/>
      <c r="J13" s="69"/>
      <c r="K13" s="870">
        <f t="shared" si="1"/>
        <v>0</v>
      </c>
      <c r="L13" s="869" t="s">
        <v>287</v>
      </c>
      <c r="M13" s="370"/>
    </row>
    <row r="14" spans="1:14">
      <c r="A14" s="374" t="s">
        <v>155</v>
      </c>
      <c r="B14" s="663" t="s">
        <v>286</v>
      </c>
      <c r="C14" s="639">
        <v>0</v>
      </c>
      <c r="D14" s="662">
        <v>0</v>
      </c>
      <c r="E14" s="662">
        <v>1124000</v>
      </c>
      <c r="F14" s="762">
        <v>0</v>
      </c>
      <c r="G14" s="675">
        <v>0</v>
      </c>
      <c r="H14" s="862">
        <v>0</v>
      </c>
      <c r="I14" s="195"/>
      <c r="J14" s="69"/>
      <c r="K14" s="870">
        <f t="shared" si="1"/>
        <v>0</v>
      </c>
      <c r="L14" s="869" t="s">
        <v>287</v>
      </c>
      <c r="M14" s="370"/>
    </row>
    <row r="15" spans="1:14" ht="14.65" thickBot="1">
      <c r="A15" s="375" t="s">
        <v>698</v>
      </c>
      <c r="B15" s="667" t="s">
        <v>791</v>
      </c>
      <c r="C15" s="645">
        <v>0</v>
      </c>
      <c r="D15" s="655">
        <v>0</v>
      </c>
      <c r="E15" s="655">
        <v>0</v>
      </c>
      <c r="F15" s="742">
        <v>83200</v>
      </c>
      <c r="G15" s="676">
        <v>83200</v>
      </c>
      <c r="H15" s="863">
        <v>83200</v>
      </c>
      <c r="I15" s="196"/>
      <c r="J15" s="72"/>
      <c r="K15" s="73">
        <f t="shared" si="1"/>
        <v>83200</v>
      </c>
      <c r="L15" s="74" t="s">
        <v>697</v>
      </c>
      <c r="M15" s="190"/>
    </row>
    <row r="16" spans="1:14" ht="14.65" thickBot="1">
      <c r="A16" s="63"/>
      <c r="B16" s="98"/>
      <c r="C16" s="192">
        <f t="shared" ref="C16:K16" si="2">SUM(C11:C15)</f>
        <v>4613087</v>
      </c>
      <c r="D16" s="192">
        <f t="shared" si="2"/>
        <v>4613087</v>
      </c>
      <c r="E16" s="192">
        <f t="shared" si="2"/>
        <v>4613087</v>
      </c>
      <c r="F16" s="192">
        <f t="shared" si="2"/>
        <v>313087</v>
      </c>
      <c r="G16" s="192">
        <f t="shared" si="2"/>
        <v>313087</v>
      </c>
      <c r="H16" s="192">
        <f t="shared" ref="H16" si="3">SUM(H11:H15)</f>
        <v>313087</v>
      </c>
      <c r="I16" s="192">
        <f t="shared" si="2"/>
        <v>0</v>
      </c>
      <c r="J16" s="192">
        <f t="shared" si="2"/>
        <v>0</v>
      </c>
      <c r="K16" s="192">
        <f t="shared" si="2"/>
        <v>313087</v>
      </c>
      <c r="L16" s="63"/>
      <c r="M16" s="63"/>
    </row>
    <row r="17" spans="1:13">
      <c r="A17" s="22"/>
      <c r="C17" s="22"/>
      <c r="D17" s="22"/>
      <c r="E17" s="22"/>
      <c r="F17" s="22"/>
      <c r="G17" s="48">
        <f>$F16-G16</f>
        <v>0</v>
      </c>
      <c r="H17" s="48">
        <f>$F16-H16</f>
        <v>0</v>
      </c>
      <c r="I17" s="48"/>
      <c r="J17" s="63"/>
      <c r="K17" s="48">
        <f>$F16-K16</f>
        <v>0</v>
      </c>
      <c r="L17" s="22"/>
      <c r="M17" s="22"/>
    </row>
    <row r="18" spans="1:13" ht="14.65" thickBot="1">
      <c r="A18" s="22"/>
      <c r="B18" s="98"/>
      <c r="C18" s="22"/>
      <c r="D18" s="22"/>
      <c r="E18" s="22"/>
      <c r="F18" s="22"/>
      <c r="G18" s="22"/>
      <c r="H18" s="22"/>
      <c r="I18" s="22"/>
      <c r="J18" s="22"/>
      <c r="K18" s="22"/>
      <c r="L18" s="22"/>
      <c r="M18" s="22"/>
    </row>
    <row r="19" spans="1:13">
      <c r="A19" s="373" t="s">
        <v>31</v>
      </c>
      <c r="B19" s="368" t="s">
        <v>289</v>
      </c>
      <c r="C19" s="148">
        <v>0</v>
      </c>
      <c r="D19" s="109">
        <v>0</v>
      </c>
      <c r="E19" s="109">
        <v>0</v>
      </c>
      <c r="F19" s="741">
        <v>0</v>
      </c>
      <c r="G19" s="225">
        <v>0</v>
      </c>
      <c r="H19" s="225">
        <v>0</v>
      </c>
      <c r="I19" s="242"/>
      <c r="J19" s="65"/>
      <c r="K19" s="66">
        <f>SUM(H19:J19)</f>
        <v>0</v>
      </c>
      <c r="L19" s="372"/>
      <c r="M19" s="67"/>
    </row>
    <row r="20" spans="1:13">
      <c r="A20" s="374" t="s">
        <v>32</v>
      </c>
      <c r="B20" s="319" t="s">
        <v>790</v>
      </c>
      <c r="C20" s="156">
        <v>176673</v>
      </c>
      <c r="D20" s="115">
        <v>176673</v>
      </c>
      <c r="E20" s="115">
        <v>176673</v>
      </c>
      <c r="F20" s="762">
        <v>176673</v>
      </c>
      <c r="G20" s="365">
        <v>176673</v>
      </c>
      <c r="H20" s="365">
        <v>176673</v>
      </c>
      <c r="I20" s="195"/>
      <c r="J20" s="69"/>
      <c r="K20" s="70">
        <f t="shared" ref="K20:K22" si="4">SUM(H20:J20)</f>
        <v>176673</v>
      </c>
      <c r="L20" s="222" t="s">
        <v>291</v>
      </c>
      <c r="M20" s="41">
        <v>4502939064</v>
      </c>
    </row>
    <row r="21" spans="1:13">
      <c r="A21" s="374" t="s">
        <v>159</v>
      </c>
      <c r="B21" s="369" t="s">
        <v>789</v>
      </c>
      <c r="C21" s="156">
        <v>2196542</v>
      </c>
      <c r="D21" s="115">
        <v>2196542</v>
      </c>
      <c r="E21" s="115">
        <v>2196542</v>
      </c>
      <c r="F21" s="762">
        <v>2196542</v>
      </c>
      <c r="G21" s="365">
        <v>2196542</v>
      </c>
      <c r="H21" s="365">
        <v>2196542</v>
      </c>
      <c r="I21" s="195"/>
      <c r="J21" s="69"/>
      <c r="K21" s="70">
        <f t="shared" si="4"/>
        <v>2196542</v>
      </c>
      <c r="L21" s="222" t="s">
        <v>291</v>
      </c>
      <c r="M21" s="41">
        <v>4502939064</v>
      </c>
    </row>
    <row r="22" spans="1:13" ht="14.65" thickBot="1">
      <c r="A22" s="375" t="s">
        <v>160</v>
      </c>
      <c r="B22" s="371" t="s">
        <v>788</v>
      </c>
      <c r="C22" s="149">
        <v>313419</v>
      </c>
      <c r="D22" s="654">
        <v>313419</v>
      </c>
      <c r="E22" s="654">
        <v>313419</v>
      </c>
      <c r="F22" s="742">
        <v>313419</v>
      </c>
      <c r="G22" s="42">
        <v>313419</v>
      </c>
      <c r="H22" s="873">
        <v>313419</v>
      </c>
      <c r="I22" s="196"/>
      <c r="J22" s="72"/>
      <c r="K22" s="73">
        <f t="shared" si="4"/>
        <v>313419</v>
      </c>
      <c r="L22" s="223"/>
      <c r="M22" s="46"/>
    </row>
    <row r="23" spans="1:13" ht="14.65" thickBot="1">
      <c r="A23" s="63"/>
      <c r="B23" s="99"/>
      <c r="C23" s="192">
        <f>SUM(C19:C22)</f>
        <v>2686634</v>
      </c>
      <c r="D23" s="192">
        <f t="shared" ref="D23:K23" si="5">SUM(D19:D22)</f>
        <v>2686634</v>
      </c>
      <c r="E23" s="192">
        <f t="shared" si="5"/>
        <v>2686634</v>
      </c>
      <c r="F23" s="192">
        <f t="shared" si="5"/>
        <v>2686634</v>
      </c>
      <c r="G23" s="192">
        <f t="shared" si="5"/>
        <v>2686634</v>
      </c>
      <c r="H23" s="192">
        <f t="shared" ref="H23" si="6">SUM(H19:H22)</f>
        <v>2686634</v>
      </c>
      <c r="I23" s="192">
        <f t="shared" si="5"/>
        <v>0</v>
      </c>
      <c r="J23" s="192">
        <f t="shared" si="5"/>
        <v>0</v>
      </c>
      <c r="K23" s="192">
        <f t="shared" si="5"/>
        <v>2686634</v>
      </c>
      <c r="L23" s="63"/>
      <c r="M23" s="63"/>
    </row>
    <row r="24" spans="1:13">
      <c r="A24" s="22"/>
      <c r="B24" s="98"/>
      <c r="C24" s="22"/>
      <c r="D24" s="22"/>
      <c r="F24" s="22"/>
      <c r="G24" s="48">
        <f>$F23-G23</f>
        <v>0</v>
      </c>
      <c r="H24" s="48">
        <f>$F23-H23</f>
        <v>0</v>
      </c>
      <c r="I24" s="48"/>
      <c r="J24" s="63"/>
      <c r="K24" s="48">
        <f>$F23-K23</f>
        <v>0</v>
      </c>
      <c r="L24" s="22"/>
      <c r="M24" s="22"/>
    </row>
    <row r="25" spans="1:13" ht="14.65" thickBot="1">
      <c r="A25" s="22"/>
      <c r="B25" s="98"/>
      <c r="C25" s="22"/>
      <c r="D25" s="22"/>
      <c r="E25" s="22"/>
      <c r="F25" s="22"/>
      <c r="G25" s="22"/>
      <c r="H25" s="22"/>
      <c r="I25" s="22"/>
      <c r="J25" s="22"/>
      <c r="K25" s="22"/>
      <c r="L25" s="22"/>
      <c r="M25" s="22"/>
    </row>
    <row r="26" spans="1:13">
      <c r="A26" s="373" t="s">
        <v>33</v>
      </c>
      <c r="B26" s="383" t="s">
        <v>292</v>
      </c>
      <c r="C26" s="148">
        <v>437599</v>
      </c>
      <c r="D26" s="642">
        <v>437599</v>
      </c>
      <c r="E26" s="642">
        <v>437598.99714285712</v>
      </c>
      <c r="F26" s="763">
        <v>437598.99714285712</v>
      </c>
      <c r="G26" s="672">
        <v>367599</v>
      </c>
      <c r="H26" s="864">
        <v>332599</v>
      </c>
      <c r="I26" s="242"/>
      <c r="J26" s="65"/>
      <c r="K26" s="66">
        <f>SUM(H26:J26)</f>
        <v>332599</v>
      </c>
      <c r="L26" s="76"/>
      <c r="M26" s="67"/>
    </row>
    <row r="27" spans="1:13">
      <c r="A27" s="756" t="s">
        <v>34</v>
      </c>
      <c r="B27" s="877" t="s">
        <v>785</v>
      </c>
      <c r="C27" s="156">
        <v>0</v>
      </c>
      <c r="D27" s="640">
        <v>0</v>
      </c>
      <c r="E27" s="640">
        <v>0</v>
      </c>
      <c r="F27" s="764">
        <v>0</v>
      </c>
      <c r="G27" s="199">
        <v>70000</v>
      </c>
      <c r="H27" s="865">
        <v>70000</v>
      </c>
      <c r="I27" s="195"/>
      <c r="J27" s="69"/>
      <c r="K27" s="70">
        <f t="shared" ref="K27:K28" si="7">SUM(H27:J27)</f>
        <v>70000</v>
      </c>
      <c r="L27" s="222" t="s">
        <v>744</v>
      </c>
      <c r="M27" s="41">
        <v>4503066286</v>
      </c>
    </row>
    <row r="28" spans="1:13" ht="14.65" thickBot="1">
      <c r="A28" s="881" t="s">
        <v>34</v>
      </c>
      <c r="B28" s="876" t="s">
        <v>827</v>
      </c>
      <c r="C28" s="149">
        <v>0</v>
      </c>
      <c r="D28" s="646">
        <v>0</v>
      </c>
      <c r="E28" s="646">
        <v>0</v>
      </c>
      <c r="F28" s="765">
        <v>0</v>
      </c>
      <c r="G28" s="200">
        <v>0</v>
      </c>
      <c r="H28" s="880">
        <v>35000</v>
      </c>
      <c r="I28" s="196"/>
      <c r="J28" s="72"/>
      <c r="K28" s="388">
        <f t="shared" si="7"/>
        <v>35000</v>
      </c>
      <c r="L28" s="878" t="s">
        <v>744</v>
      </c>
      <c r="M28" s="879">
        <v>4503066286</v>
      </c>
    </row>
    <row r="29" spans="1:13" ht="14.65" thickBot="1">
      <c r="A29" s="63"/>
      <c r="B29" s="99"/>
      <c r="C29" s="192">
        <f t="shared" ref="C29:J29" si="8">SUM(C26:C28)</f>
        <v>437599</v>
      </c>
      <c r="D29" s="192">
        <f t="shared" si="8"/>
        <v>437599</v>
      </c>
      <c r="E29" s="192">
        <f t="shared" si="8"/>
        <v>437598.99714285712</v>
      </c>
      <c r="F29" s="192">
        <f t="shared" si="8"/>
        <v>437598.99714285712</v>
      </c>
      <c r="G29" s="192">
        <f t="shared" si="8"/>
        <v>437599</v>
      </c>
      <c r="H29" s="47">
        <f t="shared" si="8"/>
        <v>437599</v>
      </c>
      <c r="I29" s="192">
        <f t="shared" si="8"/>
        <v>0</v>
      </c>
      <c r="J29" s="192">
        <f t="shared" si="8"/>
        <v>0</v>
      </c>
      <c r="K29" s="47">
        <f>SUM(K26:K28)</f>
        <v>437599</v>
      </c>
      <c r="L29" s="63"/>
      <c r="M29" s="63"/>
    </row>
    <row r="30" spans="1:13">
      <c r="A30" s="22"/>
      <c r="B30" s="98"/>
      <c r="C30" s="22"/>
      <c r="D30" s="22"/>
      <c r="E30" s="22"/>
      <c r="F30" s="22"/>
      <c r="G30" s="48">
        <f>$F29-G29</f>
        <v>-2.8571428847499192E-3</v>
      </c>
      <c r="H30" s="48">
        <f>$F29-H29</f>
        <v>-2.8571428847499192E-3</v>
      </c>
      <c r="I30" s="48"/>
      <c r="J30" s="63"/>
      <c r="K30" s="48">
        <f>$F29-K29</f>
        <v>-2.8571428847499192E-3</v>
      </c>
      <c r="L30" s="22"/>
      <c r="M30" s="22"/>
    </row>
    <row r="31" spans="1:13" ht="14.65" thickBot="1">
      <c r="A31" s="22"/>
      <c r="B31" s="98"/>
      <c r="C31" s="22"/>
      <c r="D31" s="22"/>
      <c r="E31" s="22"/>
      <c r="F31" s="22"/>
      <c r="G31" s="22"/>
      <c r="H31" s="22"/>
      <c r="I31" s="22"/>
      <c r="J31" s="22"/>
      <c r="K31" s="22"/>
      <c r="L31" s="22"/>
      <c r="M31" s="22"/>
    </row>
    <row r="32" spans="1:13">
      <c r="A32" s="373" t="s">
        <v>36</v>
      </c>
      <c r="B32" s="368" t="s">
        <v>119</v>
      </c>
      <c r="C32" s="650">
        <v>1138973</v>
      </c>
      <c r="D32" s="642">
        <v>1138973</v>
      </c>
      <c r="E32" s="642">
        <v>1138973</v>
      </c>
      <c r="F32" s="741">
        <v>403973</v>
      </c>
      <c r="G32" s="672">
        <v>345021</v>
      </c>
      <c r="H32" s="864">
        <v>298038</v>
      </c>
      <c r="I32" s="386"/>
      <c r="J32" s="78"/>
      <c r="K32" s="66">
        <f>SUM(H32:J32)</f>
        <v>298038</v>
      </c>
      <c r="L32" s="674"/>
      <c r="M32" s="381"/>
    </row>
    <row r="33" spans="1:13">
      <c r="A33" s="759" t="s">
        <v>701</v>
      </c>
      <c r="B33" s="760"/>
      <c r="C33" s="745">
        <v>0</v>
      </c>
      <c r="D33" s="640">
        <v>0</v>
      </c>
      <c r="E33" s="640">
        <v>0</v>
      </c>
      <c r="F33" s="762">
        <v>1953.86</v>
      </c>
      <c r="G33" s="201">
        <v>1953.85</v>
      </c>
      <c r="H33" s="861">
        <v>1953.85</v>
      </c>
      <c r="I33" s="871"/>
      <c r="J33" s="79"/>
      <c r="K33" s="70">
        <f t="shared" ref="K33:K37" si="9">SUM(H33:J33)</f>
        <v>1953.85</v>
      </c>
      <c r="L33" s="222"/>
      <c r="M33" s="761"/>
    </row>
    <row r="34" spans="1:13">
      <c r="A34" s="759" t="s">
        <v>701</v>
      </c>
      <c r="B34" s="394" t="s">
        <v>786</v>
      </c>
      <c r="C34" s="745">
        <v>0</v>
      </c>
      <c r="D34" s="640">
        <v>0</v>
      </c>
      <c r="E34" s="640">
        <v>0</v>
      </c>
      <c r="F34" s="739">
        <v>733046.15000000014</v>
      </c>
      <c r="G34" s="199">
        <v>733046.15000000014</v>
      </c>
      <c r="H34" s="865">
        <v>733046.15000000014</v>
      </c>
      <c r="I34" s="871"/>
      <c r="J34" s="79"/>
      <c r="K34" s="70">
        <f t="shared" si="9"/>
        <v>733046.15000000014</v>
      </c>
      <c r="L34" s="222" t="s">
        <v>702</v>
      </c>
      <c r="M34" s="761">
        <v>4502997466</v>
      </c>
    </row>
    <row r="35" spans="1:13">
      <c r="A35" s="759" t="s">
        <v>745</v>
      </c>
      <c r="B35" s="394" t="s">
        <v>787</v>
      </c>
      <c r="C35" s="745">
        <v>0</v>
      </c>
      <c r="D35" s="640">
        <v>0</v>
      </c>
      <c r="E35" s="640">
        <v>0</v>
      </c>
      <c r="F35" s="739">
        <v>0</v>
      </c>
      <c r="G35" s="199">
        <v>31352</v>
      </c>
      <c r="H35" s="865">
        <v>31352</v>
      </c>
      <c r="I35" s="871"/>
      <c r="J35" s="79"/>
      <c r="K35" s="70">
        <f t="shared" si="9"/>
        <v>31352</v>
      </c>
      <c r="L35" s="222" t="s">
        <v>747</v>
      </c>
      <c r="M35" s="761">
        <v>4503071267</v>
      </c>
    </row>
    <row r="36" spans="1:13">
      <c r="A36" s="759" t="s">
        <v>746</v>
      </c>
      <c r="B36" s="394" t="s">
        <v>784</v>
      </c>
      <c r="C36" s="745">
        <v>0</v>
      </c>
      <c r="D36" s="640">
        <v>0</v>
      </c>
      <c r="E36" s="640">
        <v>0</v>
      </c>
      <c r="F36" s="739">
        <v>0</v>
      </c>
      <c r="G36" s="199">
        <v>27600</v>
      </c>
      <c r="H36" s="865">
        <v>27600</v>
      </c>
      <c r="I36" s="871"/>
      <c r="J36" s="79"/>
      <c r="K36" s="70">
        <f t="shared" si="9"/>
        <v>27600</v>
      </c>
      <c r="L36" s="222" t="s">
        <v>580</v>
      </c>
      <c r="M36" s="761">
        <v>4502934293</v>
      </c>
    </row>
    <row r="37" spans="1:13" ht="14.65" thickBot="1">
      <c r="A37" s="746" t="s">
        <v>829</v>
      </c>
      <c r="B37" s="397" t="s">
        <v>828</v>
      </c>
      <c r="C37" s="651">
        <v>0</v>
      </c>
      <c r="D37" s="646">
        <v>0</v>
      </c>
      <c r="E37" s="646">
        <v>0</v>
      </c>
      <c r="F37" s="740">
        <v>0</v>
      </c>
      <c r="G37" s="200">
        <v>0</v>
      </c>
      <c r="H37" s="525">
        <v>46983</v>
      </c>
      <c r="I37" s="872"/>
      <c r="J37" s="673"/>
      <c r="K37" s="73">
        <f t="shared" si="9"/>
        <v>46983</v>
      </c>
      <c r="L37" s="223" t="s">
        <v>747</v>
      </c>
      <c r="M37" s="767">
        <v>4503071267</v>
      </c>
    </row>
    <row r="38" spans="1:13" ht="14.65" thickBot="1">
      <c r="A38" s="63"/>
      <c r="B38" s="99"/>
      <c r="C38" s="192">
        <f t="shared" ref="C38:G38" si="10">SUM(C32:C37)</f>
        <v>1138973</v>
      </c>
      <c r="D38" s="192">
        <f t="shared" si="10"/>
        <v>1138973</v>
      </c>
      <c r="E38" s="192">
        <f t="shared" si="10"/>
        <v>1138973</v>
      </c>
      <c r="F38" s="192">
        <f t="shared" si="10"/>
        <v>1138973.0100000002</v>
      </c>
      <c r="G38" s="192">
        <f t="shared" si="10"/>
        <v>1138973</v>
      </c>
      <c r="H38" s="192">
        <f>SUM(H32:H37)</f>
        <v>1138973</v>
      </c>
      <c r="I38" s="192">
        <f t="shared" ref="I38:K38" si="11">SUM(I32:I37)</f>
        <v>0</v>
      </c>
      <c r="J38" s="192">
        <f t="shared" si="11"/>
        <v>0</v>
      </c>
      <c r="K38" s="192">
        <f t="shared" si="11"/>
        <v>1138973</v>
      </c>
      <c r="L38" s="63"/>
      <c r="M38" s="63"/>
    </row>
    <row r="39" spans="1:13">
      <c r="A39" s="22"/>
      <c r="B39" s="98"/>
      <c r="C39" s="22"/>
      <c r="D39" s="22"/>
      <c r="E39" s="22"/>
      <c r="F39" s="22"/>
      <c r="G39" s="48">
        <f>$F38-G38</f>
        <v>1.0000000242143869E-2</v>
      </c>
      <c r="H39" s="48">
        <f>$F38-H38</f>
        <v>1.0000000242143869E-2</v>
      </c>
      <c r="I39" s="48"/>
      <c r="J39" s="63"/>
      <c r="K39" s="48">
        <f>$F38-K38</f>
        <v>1.0000000242143869E-2</v>
      </c>
      <c r="L39" s="22"/>
      <c r="M39" s="22"/>
    </row>
    <row r="40" spans="1:13" ht="14.65" thickBot="1">
      <c r="A40" s="22"/>
      <c r="B40" s="98"/>
      <c r="C40" s="22"/>
      <c r="D40" s="22"/>
      <c r="E40" s="22"/>
      <c r="F40" s="22"/>
      <c r="G40" s="22"/>
      <c r="H40" s="22"/>
      <c r="I40" s="22"/>
      <c r="J40" s="22"/>
      <c r="K40" s="22"/>
      <c r="L40" s="22"/>
      <c r="M40" s="22"/>
    </row>
    <row r="41" spans="1:13">
      <c r="A41" s="373" t="s">
        <v>37</v>
      </c>
      <c r="B41" s="383" t="s">
        <v>307</v>
      </c>
      <c r="C41" s="148">
        <v>0</v>
      </c>
      <c r="D41" s="109">
        <v>0</v>
      </c>
      <c r="E41" s="109">
        <v>0</v>
      </c>
      <c r="F41" s="741">
        <v>0</v>
      </c>
      <c r="G41" s="225">
        <v>0</v>
      </c>
      <c r="H41" s="225">
        <v>0</v>
      </c>
      <c r="I41" s="386"/>
      <c r="J41" s="78"/>
      <c r="K41" s="66">
        <f>SUM(H41:J41)</f>
        <v>0</v>
      </c>
      <c r="L41" s="76"/>
      <c r="M41" s="381"/>
    </row>
    <row r="42" spans="1:13">
      <c r="A42" s="374" t="s">
        <v>38</v>
      </c>
      <c r="B42" s="367" t="s">
        <v>308</v>
      </c>
      <c r="C42" s="54">
        <v>16024473</v>
      </c>
      <c r="D42" s="127">
        <v>14169473.149999999</v>
      </c>
      <c r="E42" s="127">
        <v>10617413.295882352</v>
      </c>
      <c r="F42" s="762">
        <v>5117413.3000000007</v>
      </c>
      <c r="G42" s="229">
        <v>5117413.3000000007</v>
      </c>
      <c r="H42" s="229">
        <v>5117413.3000000007</v>
      </c>
      <c r="I42" s="195"/>
      <c r="J42" s="69"/>
      <c r="K42" s="70">
        <f t="shared" ref="K42:K63" si="12">SUM(H42:J42)</f>
        <v>5117413.3000000007</v>
      </c>
      <c r="L42" s="77"/>
      <c r="M42" s="41"/>
    </row>
    <row r="43" spans="1:13">
      <c r="A43" s="747" t="s">
        <v>293</v>
      </c>
      <c r="B43" s="367" t="s">
        <v>309</v>
      </c>
      <c r="C43" s="156">
        <v>0</v>
      </c>
      <c r="D43" s="127">
        <v>33680.699999999997</v>
      </c>
      <c r="E43" s="127">
        <v>33680.699999999997</v>
      </c>
      <c r="F43" s="762">
        <v>33680.699999999997</v>
      </c>
      <c r="G43" s="229">
        <v>33680.699999999997</v>
      </c>
      <c r="H43" s="229">
        <v>7240.6999999999971</v>
      </c>
      <c r="I43" s="195"/>
      <c r="J43" s="69"/>
      <c r="K43" s="70">
        <f t="shared" si="12"/>
        <v>7240.6999999999971</v>
      </c>
      <c r="L43" s="77"/>
      <c r="M43" s="41"/>
    </row>
    <row r="44" spans="1:13">
      <c r="A44" s="748" t="s">
        <v>294</v>
      </c>
      <c r="B44" s="367" t="s">
        <v>782</v>
      </c>
      <c r="C44" s="156">
        <v>0</v>
      </c>
      <c r="D44" s="115">
        <v>1821319.0000000002</v>
      </c>
      <c r="E44" s="115">
        <v>1821319.0000000002</v>
      </c>
      <c r="F44" s="762">
        <v>1821319.0000000002</v>
      </c>
      <c r="G44" s="365">
        <v>1821319.001428572</v>
      </c>
      <c r="H44" s="365">
        <v>1821319.001428572</v>
      </c>
      <c r="I44" s="195"/>
      <c r="J44" s="69"/>
      <c r="K44" s="70">
        <f t="shared" si="12"/>
        <v>1821319.001428572</v>
      </c>
      <c r="L44" s="77" t="s">
        <v>316</v>
      </c>
      <c r="M44" s="41">
        <v>4502938804</v>
      </c>
    </row>
    <row r="45" spans="1:13">
      <c r="A45" s="748" t="s">
        <v>295</v>
      </c>
      <c r="B45" s="367" t="s">
        <v>830</v>
      </c>
      <c r="C45" s="156">
        <v>0</v>
      </c>
      <c r="D45" s="115">
        <v>0</v>
      </c>
      <c r="E45" s="115">
        <v>0</v>
      </c>
      <c r="F45" s="762">
        <v>0</v>
      </c>
      <c r="G45" s="365">
        <v>0</v>
      </c>
      <c r="H45" s="365">
        <v>26440</v>
      </c>
      <c r="I45" s="195"/>
      <c r="J45" s="69"/>
      <c r="K45" s="70">
        <f t="shared" si="12"/>
        <v>26440</v>
      </c>
      <c r="L45" s="77" t="s">
        <v>580</v>
      </c>
      <c r="M45" s="41">
        <v>4502934293</v>
      </c>
    </row>
    <row r="46" spans="1:13">
      <c r="A46" s="748" t="s">
        <v>295</v>
      </c>
      <c r="B46" s="367" t="s">
        <v>641</v>
      </c>
      <c r="C46" s="156">
        <v>0</v>
      </c>
      <c r="D46" s="115">
        <v>0</v>
      </c>
      <c r="E46" s="115">
        <v>500</v>
      </c>
      <c r="F46" s="762">
        <v>500</v>
      </c>
      <c r="G46" s="229">
        <v>500</v>
      </c>
      <c r="H46" s="229">
        <v>500</v>
      </c>
      <c r="I46" s="195"/>
      <c r="J46" s="69"/>
      <c r="K46" s="70">
        <f t="shared" si="12"/>
        <v>500</v>
      </c>
      <c r="L46" s="77"/>
      <c r="M46" s="41"/>
    </row>
    <row r="47" spans="1:13">
      <c r="A47" s="748" t="s">
        <v>295</v>
      </c>
      <c r="B47" s="367" t="s">
        <v>831</v>
      </c>
      <c r="C47" s="156">
        <v>0</v>
      </c>
      <c r="D47" s="115">
        <v>0</v>
      </c>
      <c r="E47" s="115">
        <v>131560</v>
      </c>
      <c r="F47" s="762">
        <v>131560</v>
      </c>
      <c r="G47" s="365">
        <v>131560.00222222228</v>
      </c>
      <c r="H47" s="365">
        <v>131559.9970370371</v>
      </c>
      <c r="I47" s="195"/>
      <c r="J47" s="69"/>
      <c r="K47" s="70">
        <f t="shared" si="12"/>
        <v>131559.9970370371</v>
      </c>
      <c r="L47" s="77" t="s">
        <v>317</v>
      </c>
      <c r="M47" s="41">
        <v>4502968920</v>
      </c>
    </row>
    <row r="48" spans="1:13">
      <c r="A48" s="748" t="s">
        <v>703</v>
      </c>
      <c r="B48" s="367" t="s">
        <v>705</v>
      </c>
      <c r="C48" s="156">
        <v>0</v>
      </c>
      <c r="D48" s="115">
        <v>0</v>
      </c>
      <c r="E48" s="115">
        <v>0</v>
      </c>
      <c r="F48" s="762">
        <v>223042</v>
      </c>
      <c r="G48" s="229">
        <v>223042</v>
      </c>
      <c r="H48" s="229">
        <v>223042</v>
      </c>
      <c r="I48" s="195"/>
      <c r="J48" s="69"/>
      <c r="K48" s="70">
        <f t="shared" si="12"/>
        <v>223042</v>
      </c>
      <c r="L48" s="77"/>
      <c r="M48" s="41"/>
    </row>
    <row r="49" spans="1:13">
      <c r="A49" s="748" t="s">
        <v>704</v>
      </c>
      <c r="B49" s="367"/>
      <c r="C49" s="156">
        <v>0</v>
      </c>
      <c r="D49" s="115">
        <v>0</v>
      </c>
      <c r="E49" s="115">
        <v>0</v>
      </c>
      <c r="F49" s="762">
        <v>5276957.9999999991</v>
      </c>
      <c r="G49" s="365">
        <v>5276957.9999999991</v>
      </c>
      <c r="H49" s="365">
        <v>5276957.9999999991</v>
      </c>
      <c r="I49" s="195"/>
      <c r="J49" s="69"/>
      <c r="K49" s="70">
        <f t="shared" si="12"/>
        <v>5276957.9999999991</v>
      </c>
      <c r="L49" s="77" t="s">
        <v>702</v>
      </c>
      <c r="M49" s="243"/>
    </row>
    <row r="50" spans="1:13">
      <c r="A50" s="747" t="s">
        <v>296</v>
      </c>
      <c r="B50" s="367" t="s">
        <v>778</v>
      </c>
      <c r="C50" s="156">
        <v>0</v>
      </c>
      <c r="D50" s="115">
        <v>0</v>
      </c>
      <c r="E50" s="115">
        <v>3419999.9999999991</v>
      </c>
      <c r="F50" s="762">
        <v>3419999.9994117632</v>
      </c>
      <c r="G50" s="365">
        <v>3419999.9988235277</v>
      </c>
      <c r="H50" s="365">
        <v>3419999.9988235277</v>
      </c>
      <c r="I50" s="195"/>
      <c r="J50" s="69"/>
      <c r="K50" s="70">
        <f t="shared" si="12"/>
        <v>3419999.9988235277</v>
      </c>
      <c r="L50" s="768" t="s">
        <v>749</v>
      </c>
      <c r="M50" s="41">
        <v>4502986603</v>
      </c>
    </row>
    <row r="51" spans="1:13">
      <c r="A51" s="747" t="s">
        <v>297</v>
      </c>
      <c r="B51" s="367" t="s">
        <v>311</v>
      </c>
      <c r="C51" s="156">
        <v>0</v>
      </c>
      <c r="D51" s="115">
        <v>0</v>
      </c>
      <c r="E51" s="115">
        <v>0</v>
      </c>
      <c r="F51" s="762">
        <v>0</v>
      </c>
      <c r="G51" s="365">
        <v>0</v>
      </c>
      <c r="H51" s="365">
        <v>0</v>
      </c>
      <c r="I51" s="195"/>
      <c r="J51" s="69"/>
      <c r="K51" s="70">
        <f t="shared" si="12"/>
        <v>0</v>
      </c>
      <c r="L51" s="77"/>
      <c r="M51" s="41"/>
    </row>
    <row r="52" spans="1:13" ht="20.25">
      <c r="A52" s="374" t="s">
        <v>298</v>
      </c>
      <c r="B52" s="367" t="s">
        <v>312</v>
      </c>
      <c r="C52" s="156">
        <v>0</v>
      </c>
      <c r="D52" s="115">
        <v>0</v>
      </c>
      <c r="E52" s="115">
        <v>0</v>
      </c>
      <c r="F52" s="762">
        <v>0</v>
      </c>
      <c r="G52" s="365">
        <v>0</v>
      </c>
      <c r="H52" s="365">
        <v>0</v>
      </c>
      <c r="I52" s="195"/>
      <c r="J52" s="69"/>
      <c r="K52" s="70">
        <f t="shared" si="12"/>
        <v>0</v>
      </c>
      <c r="L52" s="77"/>
      <c r="M52" s="41"/>
    </row>
    <row r="53" spans="1:13" s="380" customFormat="1" ht="20.25">
      <c r="A53" s="747" t="s">
        <v>299</v>
      </c>
      <c r="B53" s="367" t="s">
        <v>313</v>
      </c>
      <c r="C53" s="156">
        <v>18708794</v>
      </c>
      <c r="D53" s="127">
        <v>8794</v>
      </c>
      <c r="E53" s="127">
        <v>8794</v>
      </c>
      <c r="F53" s="762">
        <v>0</v>
      </c>
      <c r="G53" s="229">
        <v>0</v>
      </c>
      <c r="H53" s="229">
        <v>0</v>
      </c>
      <c r="I53" s="387"/>
      <c r="J53" s="379"/>
      <c r="K53" s="70">
        <f t="shared" si="12"/>
        <v>0</v>
      </c>
      <c r="L53" s="385"/>
      <c r="M53" s="382"/>
    </row>
    <row r="54" spans="1:13" s="380" customFormat="1" ht="20.25">
      <c r="A54" s="748" t="s">
        <v>300</v>
      </c>
      <c r="B54" s="367" t="s">
        <v>779</v>
      </c>
      <c r="C54" s="156">
        <v>0</v>
      </c>
      <c r="D54" s="115">
        <v>18699999.999999996</v>
      </c>
      <c r="E54" s="115">
        <v>18699999.999999996</v>
      </c>
      <c r="F54" s="762">
        <v>18708794</v>
      </c>
      <c r="G54" s="365">
        <v>18708794.000000004</v>
      </c>
      <c r="H54" s="365">
        <v>18708794.000000004</v>
      </c>
      <c r="I54" s="195"/>
      <c r="J54" s="553"/>
      <c r="K54" s="70">
        <f t="shared" si="12"/>
        <v>18708794.000000004</v>
      </c>
      <c r="L54" s="80" t="s">
        <v>319</v>
      </c>
      <c r="M54" s="243"/>
    </row>
    <row r="55" spans="1:13" s="380" customFormat="1" ht="20.25">
      <c r="A55" s="747" t="s">
        <v>301</v>
      </c>
      <c r="B55" s="367" t="s">
        <v>748</v>
      </c>
      <c r="C55" s="156">
        <v>3426648</v>
      </c>
      <c r="D55" s="128">
        <v>1794248</v>
      </c>
      <c r="E55" s="128">
        <v>1794248</v>
      </c>
      <c r="F55" s="762">
        <v>990112</v>
      </c>
      <c r="G55" s="632">
        <v>990112</v>
      </c>
      <c r="H55" s="632">
        <v>990112</v>
      </c>
      <c r="I55" s="387"/>
      <c r="J55" s="379"/>
      <c r="K55" s="70">
        <f t="shared" si="12"/>
        <v>990112</v>
      </c>
      <c r="L55" s="385"/>
      <c r="M55" s="382"/>
    </row>
    <row r="56" spans="1:13" s="380" customFormat="1">
      <c r="A56" s="748" t="s">
        <v>706</v>
      </c>
      <c r="B56" s="367" t="s">
        <v>705</v>
      </c>
      <c r="C56" s="156">
        <v>0</v>
      </c>
      <c r="D56" s="115">
        <v>0</v>
      </c>
      <c r="E56" s="115">
        <v>0</v>
      </c>
      <c r="F56" s="762">
        <v>41927</v>
      </c>
      <c r="G56" s="229">
        <v>41927</v>
      </c>
      <c r="H56" s="229">
        <v>41927</v>
      </c>
      <c r="I56" s="387"/>
      <c r="J56" s="379"/>
      <c r="K56" s="70">
        <f t="shared" si="12"/>
        <v>41927</v>
      </c>
      <c r="L56" s="385"/>
      <c r="M56" s="382"/>
    </row>
    <row r="57" spans="1:13" s="380" customFormat="1">
      <c r="A57" s="748" t="s">
        <v>707</v>
      </c>
      <c r="B57" s="367" t="s">
        <v>783</v>
      </c>
      <c r="C57" s="156">
        <v>0</v>
      </c>
      <c r="D57" s="115">
        <v>0</v>
      </c>
      <c r="E57" s="115">
        <v>0</v>
      </c>
      <c r="F57" s="762">
        <v>708073</v>
      </c>
      <c r="G57" s="365">
        <v>708073</v>
      </c>
      <c r="H57" s="365">
        <v>708073</v>
      </c>
      <c r="I57" s="387"/>
      <c r="J57" s="379"/>
      <c r="K57" s="70">
        <f t="shared" si="12"/>
        <v>708073</v>
      </c>
      <c r="L57" s="77" t="s">
        <v>702</v>
      </c>
      <c r="M57" s="243"/>
    </row>
    <row r="58" spans="1:13" s="380" customFormat="1">
      <c r="A58" s="747" t="s">
        <v>302</v>
      </c>
      <c r="B58" s="367" t="s">
        <v>309</v>
      </c>
      <c r="C58" s="156">
        <v>0</v>
      </c>
      <c r="D58" s="127">
        <v>29639.15</v>
      </c>
      <c r="E58" s="127">
        <v>0</v>
      </c>
      <c r="F58" s="762">
        <v>0</v>
      </c>
      <c r="G58" s="365">
        <v>0</v>
      </c>
      <c r="H58" s="365">
        <v>0</v>
      </c>
      <c r="I58" s="387"/>
      <c r="J58" s="379"/>
      <c r="K58" s="70">
        <f t="shared" si="12"/>
        <v>0</v>
      </c>
      <c r="L58" s="385"/>
      <c r="M58" s="382"/>
    </row>
    <row r="59" spans="1:13" s="380" customFormat="1">
      <c r="A59" s="748" t="s">
        <v>303</v>
      </c>
      <c r="B59" s="367" t="s">
        <v>782</v>
      </c>
      <c r="C59" s="156">
        <v>0</v>
      </c>
      <c r="D59" s="115">
        <v>1602760.9990000001</v>
      </c>
      <c r="E59" s="115">
        <v>1602760.9990000001</v>
      </c>
      <c r="F59" s="762">
        <v>1602760.9990000001</v>
      </c>
      <c r="G59" s="365">
        <v>1602761.0020000001</v>
      </c>
      <c r="H59" s="365">
        <v>1602761.0020000001</v>
      </c>
      <c r="I59" s="387"/>
      <c r="J59" s="379"/>
      <c r="K59" s="70">
        <f t="shared" si="12"/>
        <v>1602761.0020000001</v>
      </c>
      <c r="L59" s="77" t="s">
        <v>316</v>
      </c>
      <c r="M59" s="41">
        <v>4502938804</v>
      </c>
    </row>
    <row r="60" spans="1:13">
      <c r="A60" s="747" t="s">
        <v>304</v>
      </c>
      <c r="B60" s="367" t="s">
        <v>778</v>
      </c>
      <c r="C60" s="156">
        <v>0</v>
      </c>
      <c r="D60" s="115">
        <v>0</v>
      </c>
      <c r="E60" s="115">
        <v>29639</v>
      </c>
      <c r="F60" s="762">
        <v>29639</v>
      </c>
      <c r="G60" s="365">
        <v>29639</v>
      </c>
      <c r="H60" s="365">
        <v>29639</v>
      </c>
      <c r="I60" s="195"/>
      <c r="J60" s="69"/>
      <c r="K60" s="70">
        <f t="shared" si="12"/>
        <v>29639</v>
      </c>
      <c r="L60" s="768" t="s">
        <v>749</v>
      </c>
      <c r="M60" s="41">
        <v>4502986603</v>
      </c>
    </row>
    <row r="61" spans="1:13">
      <c r="A61" s="747" t="s">
        <v>708</v>
      </c>
      <c r="B61" s="367" t="s">
        <v>781</v>
      </c>
      <c r="C61" s="156">
        <v>0</v>
      </c>
      <c r="D61" s="115">
        <v>0</v>
      </c>
      <c r="E61" s="115">
        <v>0</v>
      </c>
      <c r="F61" s="762">
        <v>54136</v>
      </c>
      <c r="G61" s="365">
        <v>54136</v>
      </c>
      <c r="H61" s="365">
        <v>54136</v>
      </c>
      <c r="I61" s="195"/>
      <c r="J61" s="69"/>
      <c r="K61" s="70">
        <f t="shared" si="12"/>
        <v>54136</v>
      </c>
      <c r="L61" s="768" t="s">
        <v>749</v>
      </c>
      <c r="M61" s="41"/>
    </row>
    <row r="62" spans="1:13">
      <c r="A62" s="747" t="s">
        <v>305</v>
      </c>
      <c r="B62" s="367" t="s">
        <v>314</v>
      </c>
      <c r="C62" s="156">
        <v>386500</v>
      </c>
      <c r="D62" s="128">
        <v>386500</v>
      </c>
      <c r="E62" s="128">
        <v>386500</v>
      </c>
      <c r="F62" s="762">
        <v>386500</v>
      </c>
      <c r="G62" s="632">
        <v>386500</v>
      </c>
      <c r="H62" s="632">
        <v>386500</v>
      </c>
      <c r="I62" s="195"/>
      <c r="J62" s="69"/>
      <c r="K62" s="70">
        <f t="shared" si="12"/>
        <v>386500</v>
      </c>
      <c r="L62" s="77"/>
      <c r="M62" s="41"/>
    </row>
    <row r="63" spans="1:13" ht="14.65" thickBot="1">
      <c r="A63" s="749" t="s">
        <v>306</v>
      </c>
      <c r="B63" s="384" t="s">
        <v>315</v>
      </c>
      <c r="C63" s="149">
        <v>718448</v>
      </c>
      <c r="D63" s="524">
        <v>718448</v>
      </c>
      <c r="E63" s="524">
        <v>718448</v>
      </c>
      <c r="F63" s="742">
        <v>718448</v>
      </c>
      <c r="G63" s="224">
        <v>718448</v>
      </c>
      <c r="H63" s="224">
        <v>718448</v>
      </c>
      <c r="I63" s="196"/>
      <c r="J63" s="72"/>
      <c r="K63" s="73">
        <f t="shared" si="12"/>
        <v>718448</v>
      </c>
      <c r="L63" s="74"/>
      <c r="M63" s="46"/>
    </row>
    <row r="64" spans="1:13" ht="14.65" thickBot="1">
      <c r="A64" s="63"/>
      <c r="B64" s="99"/>
      <c r="C64" s="192">
        <f t="shared" ref="C64:J64" si="13">SUM(C41:C63)</f>
        <v>39264863</v>
      </c>
      <c r="D64" s="192">
        <f t="shared" si="13"/>
        <v>39264862.998999991</v>
      </c>
      <c r="E64" s="192">
        <f t="shared" si="13"/>
        <v>39264862.994882345</v>
      </c>
      <c r="F64" s="192">
        <f t="shared" si="13"/>
        <v>39264862.99841176</v>
      </c>
      <c r="G64" s="192">
        <f t="shared" si="13"/>
        <v>39264863.00447432</v>
      </c>
      <c r="H64" s="192">
        <f t="shared" ref="H64" si="14">SUM(H41:H63)</f>
        <v>39264862.999289133</v>
      </c>
      <c r="I64" s="192">
        <f t="shared" si="13"/>
        <v>0</v>
      </c>
      <c r="J64" s="192">
        <f t="shared" si="13"/>
        <v>0</v>
      </c>
      <c r="K64" s="192">
        <f>SUM(K41:K63)</f>
        <v>39264862.999289133</v>
      </c>
      <c r="L64" s="63"/>
      <c r="M64" s="63"/>
    </row>
    <row r="65" spans="1:13">
      <c r="A65" s="22"/>
      <c r="B65" s="98"/>
      <c r="C65" s="22"/>
      <c r="D65" s="22"/>
      <c r="E65" s="22"/>
      <c r="F65" s="22"/>
      <c r="G65" s="48">
        <f>$F64-G64</f>
        <v>-6.0625597834587097E-3</v>
      </c>
      <c r="H65" s="48">
        <f>$F64-H64</f>
        <v>-8.7737292051315308E-4</v>
      </c>
      <c r="I65" s="48"/>
      <c r="J65" s="63"/>
      <c r="K65" s="48">
        <f>$F64-K64</f>
        <v>-8.7737292051315308E-4</v>
      </c>
      <c r="L65" s="22"/>
      <c r="M65" s="22"/>
    </row>
    <row r="66" spans="1:13" ht="14.65" thickBot="1">
      <c r="A66" s="22"/>
      <c r="B66" s="98"/>
      <c r="C66" s="22"/>
      <c r="D66" s="22"/>
      <c r="E66" s="22"/>
      <c r="F66" s="22"/>
      <c r="G66" s="22"/>
      <c r="H66" s="22"/>
      <c r="I66" s="22"/>
      <c r="J66" s="22"/>
      <c r="K66" s="22"/>
      <c r="L66" s="22"/>
      <c r="M66" s="22"/>
    </row>
    <row r="67" spans="1:13">
      <c r="A67" s="373" t="s">
        <v>39</v>
      </c>
      <c r="B67" s="383" t="s">
        <v>322</v>
      </c>
      <c r="C67" s="409">
        <v>0</v>
      </c>
      <c r="D67" s="666">
        <v>0</v>
      </c>
      <c r="E67" s="666">
        <v>0</v>
      </c>
      <c r="F67" s="741">
        <v>0</v>
      </c>
      <c r="G67" s="206">
        <v>0</v>
      </c>
      <c r="H67" s="188">
        <v>0</v>
      </c>
      <c r="I67" s="386"/>
      <c r="J67" s="65"/>
      <c r="K67" s="66">
        <f>SUM(H67:J67)</f>
        <v>0</v>
      </c>
      <c r="L67" s="674"/>
      <c r="M67" s="381"/>
    </row>
    <row r="68" spans="1:13">
      <c r="A68" s="374" t="s">
        <v>40</v>
      </c>
      <c r="B68" s="771" t="s">
        <v>323</v>
      </c>
      <c r="C68" s="410">
        <v>23700876</v>
      </c>
      <c r="D68" s="640">
        <v>23700875.999999989</v>
      </c>
      <c r="E68" s="640">
        <v>23700875.999999989</v>
      </c>
      <c r="F68" s="762">
        <v>21982669.999991998</v>
      </c>
      <c r="G68" s="201">
        <v>7982670</v>
      </c>
      <c r="H68" s="861">
        <v>7982670</v>
      </c>
      <c r="I68" s="871"/>
      <c r="J68" s="79"/>
      <c r="K68" s="70">
        <f t="shared" ref="K68:K75" si="15">SUM(H68:J68)</f>
        <v>7982670</v>
      </c>
      <c r="L68" s="773"/>
      <c r="M68" s="761"/>
    </row>
    <row r="69" spans="1:13" ht="20.25">
      <c r="A69" s="374" t="s">
        <v>709</v>
      </c>
      <c r="B69" s="771" t="s">
        <v>780</v>
      </c>
      <c r="C69" s="410">
        <v>0</v>
      </c>
      <c r="D69" s="640">
        <v>0</v>
      </c>
      <c r="E69" s="640">
        <v>0</v>
      </c>
      <c r="F69" s="762">
        <v>443000.00000000012</v>
      </c>
      <c r="G69" s="199">
        <v>443000.00000000012</v>
      </c>
      <c r="H69" s="865">
        <v>443000.00761904777</v>
      </c>
      <c r="I69" s="871"/>
      <c r="J69" s="79"/>
      <c r="K69" s="70">
        <f t="shared" si="15"/>
        <v>443000.00761904777</v>
      </c>
      <c r="L69" s="773" t="s">
        <v>753</v>
      </c>
      <c r="M69" s="769"/>
    </row>
    <row r="70" spans="1:13" ht="22.25" customHeight="1">
      <c r="A70" s="374" t="s">
        <v>710</v>
      </c>
      <c r="B70" s="771" t="s">
        <v>779</v>
      </c>
      <c r="C70" s="410">
        <v>0</v>
      </c>
      <c r="D70" s="640">
        <v>0</v>
      </c>
      <c r="E70" s="640">
        <v>0</v>
      </c>
      <c r="F70" s="762">
        <v>1275205.9999999998</v>
      </c>
      <c r="G70" s="199">
        <v>1275206.0044444455</v>
      </c>
      <c r="H70" s="865">
        <v>1275206.0044444459</v>
      </c>
      <c r="I70" s="871"/>
      <c r="J70" s="79"/>
      <c r="K70" s="70">
        <f t="shared" si="15"/>
        <v>1275206.0044444459</v>
      </c>
      <c r="L70" s="773" t="s">
        <v>319</v>
      </c>
      <c r="M70" s="769"/>
    </row>
    <row r="71" spans="1:13" ht="22.25" customHeight="1">
      <c r="A71" s="374" t="s">
        <v>751</v>
      </c>
      <c r="B71" s="771" t="s">
        <v>750</v>
      </c>
      <c r="C71" s="410">
        <v>0</v>
      </c>
      <c r="D71" s="640">
        <v>0</v>
      </c>
      <c r="E71" s="640">
        <v>0</v>
      </c>
      <c r="F71" s="762">
        <v>0</v>
      </c>
      <c r="G71" s="201">
        <v>953352</v>
      </c>
      <c r="H71" s="861">
        <v>953352</v>
      </c>
      <c r="I71" s="871"/>
      <c r="J71" s="79"/>
      <c r="K71" s="70">
        <f t="shared" si="15"/>
        <v>953352</v>
      </c>
      <c r="L71" s="773"/>
      <c r="M71" s="761"/>
    </row>
    <row r="72" spans="1:13" ht="22.25" customHeight="1">
      <c r="A72" s="374" t="s">
        <v>751</v>
      </c>
      <c r="B72" s="771" t="s">
        <v>323</v>
      </c>
      <c r="C72" s="410">
        <v>0</v>
      </c>
      <c r="D72" s="640">
        <v>0</v>
      </c>
      <c r="E72" s="640">
        <v>0</v>
      </c>
      <c r="F72" s="762">
        <v>0</v>
      </c>
      <c r="G72" s="199">
        <v>13046648</v>
      </c>
      <c r="H72" s="865">
        <v>13046647.999699999</v>
      </c>
      <c r="I72" s="871"/>
      <c r="J72" s="79"/>
      <c r="K72" s="70">
        <f t="shared" si="15"/>
        <v>13046647.999699999</v>
      </c>
      <c r="L72" s="773" t="s">
        <v>754</v>
      </c>
      <c r="M72" s="769"/>
    </row>
    <row r="73" spans="1:13" ht="20.25">
      <c r="A73" s="374" t="s">
        <v>320</v>
      </c>
      <c r="B73" s="771" t="s">
        <v>324</v>
      </c>
      <c r="C73" s="410">
        <v>470146</v>
      </c>
      <c r="D73" s="640">
        <v>470146</v>
      </c>
      <c r="E73" s="640">
        <v>470146</v>
      </c>
      <c r="F73" s="762">
        <v>470146</v>
      </c>
      <c r="G73" s="193">
        <v>470146</v>
      </c>
      <c r="H73" s="866">
        <v>470146</v>
      </c>
      <c r="I73" s="871"/>
      <c r="J73" s="79"/>
      <c r="K73" s="70">
        <f t="shared" si="15"/>
        <v>470146</v>
      </c>
      <c r="L73" s="774"/>
      <c r="M73" s="770"/>
    </row>
    <row r="74" spans="1:13">
      <c r="A74" s="374" t="s">
        <v>321</v>
      </c>
      <c r="B74" s="771" t="s">
        <v>325</v>
      </c>
      <c r="C74" s="410">
        <v>425469</v>
      </c>
      <c r="D74" s="640">
        <v>425469</v>
      </c>
      <c r="E74" s="640">
        <v>425469</v>
      </c>
      <c r="F74" s="762">
        <v>425469</v>
      </c>
      <c r="G74" s="201">
        <v>44669</v>
      </c>
      <c r="H74" s="861">
        <v>44669</v>
      </c>
      <c r="I74" s="195"/>
      <c r="J74" s="69"/>
      <c r="K74" s="70">
        <f t="shared" si="15"/>
        <v>44669</v>
      </c>
      <c r="L74" s="167"/>
      <c r="M74" s="130"/>
    </row>
    <row r="75" spans="1:13" ht="14.65" thickBot="1">
      <c r="A75" s="375" t="s">
        <v>752</v>
      </c>
      <c r="B75" s="772"/>
      <c r="C75" s="411">
        <v>0</v>
      </c>
      <c r="D75" s="646">
        <v>0</v>
      </c>
      <c r="E75" s="646">
        <v>0</v>
      </c>
      <c r="F75" s="742">
        <v>0</v>
      </c>
      <c r="G75" s="200">
        <v>380800</v>
      </c>
      <c r="H75" s="525">
        <v>380800</v>
      </c>
      <c r="I75" s="196"/>
      <c r="J75" s="72"/>
      <c r="K75" s="73">
        <f t="shared" si="15"/>
        <v>380800</v>
      </c>
      <c r="L75" s="174" t="s">
        <v>754</v>
      </c>
      <c r="M75" s="775"/>
    </row>
    <row r="76" spans="1:13" ht="14.65" thickBot="1">
      <c r="A76" s="63"/>
      <c r="B76" s="99"/>
      <c r="C76" s="192">
        <f>SUM(C67:C75)</f>
        <v>24596491</v>
      </c>
      <c r="D76" s="192">
        <f t="shared" ref="D76:K76" si="16">SUM(D67:D75)</f>
        <v>24596490.999999989</v>
      </c>
      <c r="E76" s="192">
        <f t="shared" si="16"/>
        <v>24596490.999999989</v>
      </c>
      <c r="F76" s="192">
        <f t="shared" si="16"/>
        <v>24596490.999991998</v>
      </c>
      <c r="G76" s="192">
        <f t="shared" si="16"/>
        <v>24596491.004444446</v>
      </c>
      <c r="H76" s="192">
        <f t="shared" ref="H76" si="17">SUM(H67:H75)</f>
        <v>24596491.011763491</v>
      </c>
      <c r="I76" s="192">
        <f t="shared" si="16"/>
        <v>0</v>
      </c>
      <c r="J76" s="192">
        <f t="shared" si="16"/>
        <v>0</v>
      </c>
      <c r="K76" s="192">
        <f t="shared" si="16"/>
        <v>24596491.011763491</v>
      </c>
      <c r="L76" s="63"/>
      <c r="M76" s="63"/>
    </row>
    <row r="77" spans="1:13">
      <c r="A77" s="22"/>
      <c r="B77" s="98"/>
      <c r="C77" s="22"/>
      <c r="D77" s="22"/>
      <c r="E77" s="22"/>
      <c r="F77" s="22"/>
      <c r="G77" s="48">
        <f>$F76-G76</f>
        <v>-4.4524483382701874E-3</v>
      </c>
      <c r="H77" s="48">
        <f>$F76-H76</f>
        <v>-1.1771492660045624E-2</v>
      </c>
      <c r="I77" s="48"/>
      <c r="J77" s="63"/>
      <c r="K77" s="48">
        <f>$F76-K76</f>
        <v>-1.1771492660045624E-2</v>
      </c>
      <c r="L77" s="22"/>
      <c r="M77" s="22"/>
    </row>
    <row r="78" spans="1:13" ht="14.65" thickBot="1">
      <c r="A78" s="22"/>
      <c r="B78" s="98"/>
      <c r="C78" s="22"/>
      <c r="D78" s="22"/>
      <c r="E78" s="22"/>
      <c r="F78" s="22"/>
      <c r="G78" s="22"/>
      <c r="H78" s="22"/>
      <c r="I78" s="22"/>
      <c r="J78" s="22"/>
      <c r="K78" s="22"/>
      <c r="L78" s="22"/>
      <c r="M78" s="22"/>
    </row>
    <row r="79" spans="1:13" ht="14.65" thickBot="1">
      <c r="A79" s="753" t="s">
        <v>41</v>
      </c>
      <c r="B79" s="396" t="s">
        <v>326</v>
      </c>
      <c r="C79" s="49">
        <v>687451</v>
      </c>
      <c r="D79" s="133">
        <v>687451</v>
      </c>
      <c r="E79" s="133">
        <v>687451</v>
      </c>
      <c r="F79" s="776">
        <v>687451</v>
      </c>
      <c r="G79" s="230">
        <v>687451</v>
      </c>
      <c r="H79" s="230">
        <v>687451</v>
      </c>
      <c r="I79" s="376"/>
      <c r="J79" s="91"/>
      <c r="K79" s="92">
        <f>SUM(H79:J79)</f>
        <v>687451</v>
      </c>
      <c r="L79" s="377"/>
      <c r="M79" s="378"/>
    </row>
    <row r="80" spans="1:13" ht="14.65" thickBot="1">
      <c r="A80" s="63"/>
      <c r="B80" s="99"/>
      <c r="C80" s="192">
        <f>SUM(C79:C79)</f>
        <v>687451</v>
      </c>
      <c r="D80" s="192">
        <f t="shared" ref="D80:K80" si="18">SUM(D79:D79)</f>
        <v>687451</v>
      </c>
      <c r="E80" s="192">
        <f t="shared" si="18"/>
        <v>687451</v>
      </c>
      <c r="F80" s="192">
        <f t="shared" si="18"/>
        <v>687451</v>
      </c>
      <c r="G80" s="192">
        <f t="shared" si="18"/>
        <v>687451</v>
      </c>
      <c r="H80" s="192">
        <f t="shared" ref="H80" si="19">SUM(H79:H79)</f>
        <v>687451</v>
      </c>
      <c r="I80" s="192">
        <f t="shared" si="18"/>
        <v>0</v>
      </c>
      <c r="J80" s="192">
        <f t="shared" si="18"/>
        <v>0</v>
      </c>
      <c r="K80" s="192">
        <f t="shared" si="18"/>
        <v>687451</v>
      </c>
      <c r="L80" s="63"/>
      <c r="M80" s="63"/>
    </row>
    <row r="81" spans="1:13">
      <c r="A81" s="22"/>
      <c r="B81" s="98"/>
      <c r="C81" s="22"/>
      <c r="D81" s="22"/>
      <c r="E81" s="22"/>
      <c r="F81" s="22"/>
      <c r="G81" s="48">
        <f>$F80-G80</f>
        <v>0</v>
      </c>
      <c r="H81" s="48">
        <f>$F80-H80</f>
        <v>0</v>
      </c>
      <c r="I81" s="48"/>
      <c r="J81" s="63"/>
      <c r="K81" s="48">
        <f>$F80-K80</f>
        <v>0</v>
      </c>
      <c r="L81" s="22"/>
      <c r="M81" s="22"/>
    </row>
    <row r="82" spans="1:13" ht="14.65" thickBot="1">
      <c r="A82" s="22"/>
      <c r="B82" s="98"/>
      <c r="C82" s="22"/>
      <c r="D82" s="22"/>
      <c r="E82" s="22"/>
      <c r="F82" s="22"/>
      <c r="G82" s="22"/>
      <c r="H82" s="22"/>
      <c r="I82" s="22"/>
      <c r="J82" s="22"/>
      <c r="K82" s="22"/>
      <c r="L82" s="22"/>
      <c r="M82" s="22"/>
    </row>
    <row r="83" spans="1:13">
      <c r="A83" s="750" t="s">
        <v>42</v>
      </c>
      <c r="B83" s="368" t="s">
        <v>327</v>
      </c>
      <c r="C83" s="33">
        <v>0</v>
      </c>
      <c r="D83" s="109">
        <v>0</v>
      </c>
      <c r="E83" s="109">
        <v>0</v>
      </c>
      <c r="F83" s="741">
        <v>0</v>
      </c>
      <c r="G83" s="225">
        <v>0</v>
      </c>
      <c r="H83" s="225">
        <v>0</v>
      </c>
      <c r="I83" s="64"/>
      <c r="J83" s="65"/>
      <c r="K83" s="66">
        <f>SUM(H83:J83)</f>
        <v>0</v>
      </c>
      <c r="L83" s="86"/>
      <c r="M83" s="87"/>
    </row>
    <row r="84" spans="1:13">
      <c r="A84" s="751" t="s">
        <v>43</v>
      </c>
      <c r="B84" s="369" t="s">
        <v>328</v>
      </c>
      <c r="C84" s="54">
        <v>82476.000000000015</v>
      </c>
      <c r="D84" s="128">
        <v>82476.000000000015</v>
      </c>
      <c r="E84" s="128">
        <v>82476</v>
      </c>
      <c r="F84" s="762">
        <v>82476</v>
      </c>
      <c r="G84" s="632">
        <v>82476</v>
      </c>
      <c r="H84" s="632">
        <v>82476</v>
      </c>
      <c r="I84" s="88"/>
      <c r="J84" s="69"/>
      <c r="K84" s="70">
        <f t="shared" ref="K84:K96" si="20">SUM(H84:J84)</f>
        <v>82476</v>
      </c>
      <c r="L84" s="89"/>
      <c r="M84" s="81"/>
    </row>
    <row r="85" spans="1:13">
      <c r="A85" s="751" t="s">
        <v>44</v>
      </c>
      <c r="B85" s="369" t="s">
        <v>329</v>
      </c>
      <c r="C85" s="54">
        <v>120923</v>
      </c>
      <c r="D85" s="128">
        <v>120923</v>
      </c>
      <c r="E85" s="128">
        <v>120922.99979999999</v>
      </c>
      <c r="F85" s="762">
        <v>120922.99979999999</v>
      </c>
      <c r="G85" s="632">
        <v>120922.99979999999</v>
      </c>
      <c r="H85" s="632">
        <v>120922.99979999999</v>
      </c>
      <c r="I85" s="88"/>
      <c r="J85" s="69"/>
      <c r="K85" s="70">
        <f t="shared" si="20"/>
        <v>120922.99979999999</v>
      </c>
      <c r="L85" s="89"/>
      <c r="M85" s="82"/>
    </row>
    <row r="86" spans="1:13">
      <c r="A86" s="751" t="s">
        <v>45</v>
      </c>
      <c r="B86" s="369" t="s">
        <v>330</v>
      </c>
      <c r="C86" s="54">
        <v>296487</v>
      </c>
      <c r="D86" s="128">
        <v>296487</v>
      </c>
      <c r="E86" s="128">
        <v>296487</v>
      </c>
      <c r="F86" s="762">
        <v>296487</v>
      </c>
      <c r="G86" s="632">
        <v>296487</v>
      </c>
      <c r="H86" s="632">
        <v>296487</v>
      </c>
      <c r="I86" s="68"/>
      <c r="J86" s="69"/>
      <c r="K86" s="70">
        <f t="shared" si="20"/>
        <v>296487</v>
      </c>
      <c r="L86" s="89"/>
      <c r="M86" s="81"/>
    </row>
    <row r="87" spans="1:13">
      <c r="A87" s="751" t="s">
        <v>46</v>
      </c>
      <c r="B87" s="369" t="s">
        <v>331</v>
      </c>
      <c r="C87" s="54">
        <v>122038</v>
      </c>
      <c r="D87" s="128">
        <v>122038</v>
      </c>
      <c r="E87" s="128">
        <v>122038</v>
      </c>
      <c r="F87" s="762">
        <v>122038</v>
      </c>
      <c r="G87" s="632">
        <v>122038</v>
      </c>
      <c r="H87" s="632">
        <v>122038</v>
      </c>
      <c r="I87" s="68"/>
      <c r="J87" s="69"/>
      <c r="K87" s="70">
        <f t="shared" si="20"/>
        <v>122038</v>
      </c>
      <c r="L87" s="89"/>
      <c r="M87" s="81"/>
    </row>
    <row r="88" spans="1:13">
      <c r="A88" s="751" t="s">
        <v>47</v>
      </c>
      <c r="B88" s="369" t="s">
        <v>332</v>
      </c>
      <c r="C88" s="54">
        <v>366599</v>
      </c>
      <c r="D88" s="128">
        <v>366599</v>
      </c>
      <c r="E88" s="128">
        <v>366598.9999</v>
      </c>
      <c r="F88" s="762">
        <v>366598.9999</v>
      </c>
      <c r="G88" s="632">
        <v>366598.9999</v>
      </c>
      <c r="H88" s="632">
        <v>366598.9999</v>
      </c>
      <c r="I88" s="68"/>
      <c r="J88" s="69"/>
      <c r="K88" s="70">
        <f t="shared" si="20"/>
        <v>366598.9999</v>
      </c>
      <c r="L88" s="89"/>
      <c r="M88" s="81"/>
    </row>
    <row r="89" spans="1:13">
      <c r="A89" s="751" t="s">
        <v>48</v>
      </c>
      <c r="B89" s="369" t="s">
        <v>333</v>
      </c>
      <c r="C89" s="54">
        <v>1172887</v>
      </c>
      <c r="D89" s="128">
        <v>1172887</v>
      </c>
      <c r="E89" s="128">
        <v>1172887.0019999999</v>
      </c>
      <c r="F89" s="762">
        <v>1172887.0019999999</v>
      </c>
      <c r="G89" s="632">
        <v>1172887.0019999999</v>
      </c>
      <c r="H89" s="632">
        <v>1172887.0019999999</v>
      </c>
      <c r="I89" s="68"/>
      <c r="J89" s="69"/>
      <c r="K89" s="70">
        <f t="shared" si="20"/>
        <v>1172887.0019999999</v>
      </c>
      <c r="L89" s="89"/>
      <c r="M89" s="81"/>
    </row>
    <row r="90" spans="1:13">
      <c r="A90" s="751" t="s">
        <v>49</v>
      </c>
      <c r="B90" s="369" t="s">
        <v>334</v>
      </c>
      <c r="C90" s="54">
        <v>5792280</v>
      </c>
      <c r="D90" s="128">
        <v>5792280</v>
      </c>
      <c r="E90" s="128">
        <v>5792280</v>
      </c>
      <c r="F90" s="762">
        <v>5792280</v>
      </c>
      <c r="G90" s="632">
        <v>5792280</v>
      </c>
      <c r="H90" s="632">
        <v>5792280</v>
      </c>
      <c r="I90" s="68"/>
      <c r="J90" s="69"/>
      <c r="K90" s="70">
        <f t="shared" si="20"/>
        <v>5792280</v>
      </c>
      <c r="L90" s="89"/>
      <c r="M90" s="81"/>
    </row>
    <row r="91" spans="1:13">
      <c r="A91" s="751" t="s">
        <v>341</v>
      </c>
      <c r="B91" s="369" t="s">
        <v>335</v>
      </c>
      <c r="C91" s="54">
        <v>241171</v>
      </c>
      <c r="D91" s="128">
        <v>241171</v>
      </c>
      <c r="E91" s="128">
        <v>241171.00020000001</v>
      </c>
      <c r="F91" s="762">
        <v>241171.00020000001</v>
      </c>
      <c r="G91" s="632">
        <v>241171.00020000001</v>
      </c>
      <c r="H91" s="632">
        <v>241171.00020000001</v>
      </c>
      <c r="I91" s="88"/>
      <c r="J91" s="69"/>
      <c r="K91" s="70">
        <f t="shared" si="20"/>
        <v>241171.00020000001</v>
      </c>
      <c r="L91" s="89"/>
      <c r="M91" s="81"/>
    </row>
    <row r="92" spans="1:13">
      <c r="A92" s="751" t="s">
        <v>342</v>
      </c>
      <c r="B92" s="369" t="s">
        <v>336</v>
      </c>
      <c r="C92" s="54">
        <v>419580</v>
      </c>
      <c r="D92" s="128">
        <v>419580</v>
      </c>
      <c r="E92" s="128">
        <v>419580</v>
      </c>
      <c r="F92" s="762">
        <v>419580</v>
      </c>
      <c r="G92" s="632">
        <v>419580</v>
      </c>
      <c r="H92" s="632">
        <v>419580</v>
      </c>
      <c r="I92" s="68"/>
      <c r="J92" s="69"/>
      <c r="K92" s="70">
        <f t="shared" si="20"/>
        <v>419580</v>
      </c>
      <c r="L92" s="89"/>
      <c r="M92" s="81"/>
    </row>
    <row r="93" spans="1:13">
      <c r="A93" s="751" t="s">
        <v>343</v>
      </c>
      <c r="B93" s="369" t="s">
        <v>337</v>
      </c>
      <c r="C93" s="54">
        <v>308662</v>
      </c>
      <c r="D93" s="128">
        <v>308662</v>
      </c>
      <c r="E93" s="128">
        <v>308662.00020000001</v>
      </c>
      <c r="F93" s="762">
        <v>308662.00020000001</v>
      </c>
      <c r="G93" s="632">
        <v>308662.00020000001</v>
      </c>
      <c r="H93" s="632">
        <v>308662.00020000001</v>
      </c>
      <c r="I93" s="68"/>
      <c r="J93" s="69"/>
      <c r="K93" s="70">
        <f t="shared" si="20"/>
        <v>308662.00020000001</v>
      </c>
      <c r="L93" s="89"/>
      <c r="M93" s="81"/>
    </row>
    <row r="94" spans="1:13">
      <c r="A94" s="751" t="s">
        <v>344</v>
      </c>
      <c r="B94" s="369" t="s">
        <v>338</v>
      </c>
      <c r="C94" s="54">
        <v>77076</v>
      </c>
      <c r="D94" s="128">
        <v>77076</v>
      </c>
      <c r="E94" s="128">
        <v>77076</v>
      </c>
      <c r="F94" s="762">
        <v>77076</v>
      </c>
      <c r="G94" s="632">
        <v>77076</v>
      </c>
      <c r="H94" s="632">
        <v>77076</v>
      </c>
      <c r="I94" s="68"/>
      <c r="J94" s="69"/>
      <c r="K94" s="70">
        <f t="shared" si="20"/>
        <v>77076</v>
      </c>
      <c r="L94" s="89"/>
      <c r="M94" s="81"/>
    </row>
    <row r="95" spans="1:13">
      <c r="A95" s="751" t="s">
        <v>345</v>
      </c>
      <c r="B95" s="369" t="s">
        <v>339</v>
      </c>
      <c r="C95" s="54">
        <v>150018</v>
      </c>
      <c r="D95" s="128">
        <v>150018</v>
      </c>
      <c r="E95" s="128">
        <v>150018.00030000001</v>
      </c>
      <c r="F95" s="762">
        <v>150018.00030000001</v>
      </c>
      <c r="G95" s="632">
        <v>150018.00030000001</v>
      </c>
      <c r="H95" s="632">
        <v>150018.00030000001</v>
      </c>
      <c r="I95" s="68"/>
      <c r="J95" s="69"/>
      <c r="K95" s="70">
        <f t="shared" si="20"/>
        <v>150018.00030000001</v>
      </c>
      <c r="L95" s="89"/>
      <c r="M95" s="82"/>
    </row>
    <row r="96" spans="1:13" ht="14.65" thickBot="1">
      <c r="A96" s="752" t="s">
        <v>346</v>
      </c>
      <c r="B96" s="371" t="s">
        <v>340</v>
      </c>
      <c r="C96" s="55">
        <v>107601</v>
      </c>
      <c r="D96" s="524">
        <v>107601</v>
      </c>
      <c r="E96" s="524">
        <v>107601</v>
      </c>
      <c r="F96" s="742">
        <v>107601</v>
      </c>
      <c r="G96" s="224">
        <v>107601</v>
      </c>
      <c r="H96" s="224">
        <v>107601</v>
      </c>
      <c r="I96" s="71"/>
      <c r="J96" s="72"/>
      <c r="K96" s="73">
        <f t="shared" si="20"/>
        <v>107601</v>
      </c>
      <c r="L96" s="84"/>
      <c r="M96" s="75"/>
    </row>
    <row r="97" spans="1:13" ht="14.65" thickBot="1">
      <c r="A97" s="63"/>
      <c r="B97" s="99"/>
      <c r="C97" s="192">
        <f>SUM(C83:C96)</f>
        <v>9257798</v>
      </c>
      <c r="D97" s="192">
        <f t="shared" ref="D97:K97" si="21">SUM(D83:D96)</f>
        <v>9257798</v>
      </c>
      <c r="E97" s="192">
        <f t="shared" si="21"/>
        <v>9257798.0023999978</v>
      </c>
      <c r="F97" s="192">
        <f t="shared" si="21"/>
        <v>9257798.0023999978</v>
      </c>
      <c r="G97" s="192">
        <f t="shared" si="21"/>
        <v>9257798.0023999978</v>
      </c>
      <c r="H97" s="192">
        <f t="shared" ref="H97" si="22">SUM(H83:H96)</f>
        <v>9257798.0023999978</v>
      </c>
      <c r="I97" s="192">
        <f t="shared" si="21"/>
        <v>0</v>
      </c>
      <c r="J97" s="192">
        <f t="shared" si="21"/>
        <v>0</v>
      </c>
      <c r="K97" s="192">
        <f t="shared" si="21"/>
        <v>9257798.0023999978</v>
      </c>
      <c r="L97" s="63"/>
      <c r="M97" s="63"/>
    </row>
    <row r="98" spans="1:13">
      <c r="A98" s="22"/>
      <c r="B98" s="98"/>
      <c r="C98" s="22"/>
      <c r="D98" s="22"/>
      <c r="E98" s="22"/>
      <c r="F98" s="22"/>
      <c r="G98" s="48">
        <f>$F97-G97</f>
        <v>0</v>
      </c>
      <c r="H98" s="48">
        <f>$F97-H97</f>
        <v>0</v>
      </c>
      <c r="I98" s="48"/>
      <c r="J98" s="63"/>
      <c r="K98" s="48">
        <f>$F97-K97</f>
        <v>0</v>
      </c>
      <c r="L98" s="22"/>
      <c r="M98" s="22"/>
    </row>
    <row r="99" spans="1:13" ht="14.65" thickBot="1">
      <c r="A99" s="22"/>
      <c r="B99" s="98"/>
      <c r="C99" s="22"/>
      <c r="D99" s="22"/>
      <c r="E99" s="22"/>
      <c r="F99" s="22"/>
      <c r="G99" s="22"/>
      <c r="H99" s="22"/>
      <c r="I99" s="22"/>
      <c r="J99" s="22"/>
      <c r="K99" s="22"/>
      <c r="L99" s="22"/>
      <c r="M99" s="22"/>
    </row>
    <row r="100" spans="1:13">
      <c r="A100" s="750" t="s">
        <v>50</v>
      </c>
      <c r="B100" s="368" t="s">
        <v>347</v>
      </c>
      <c r="C100" s="33">
        <v>0</v>
      </c>
      <c r="D100" s="109">
        <v>0</v>
      </c>
      <c r="E100" s="109">
        <v>0</v>
      </c>
      <c r="F100" s="741">
        <v>0</v>
      </c>
      <c r="G100" s="225">
        <v>0</v>
      </c>
      <c r="H100" s="225">
        <v>0</v>
      </c>
      <c r="I100" s="64"/>
      <c r="J100" s="65"/>
      <c r="K100" s="66">
        <f>SUM(H100:J100)</f>
        <v>0</v>
      </c>
      <c r="L100" s="86"/>
      <c r="M100" s="87"/>
    </row>
    <row r="101" spans="1:13">
      <c r="A101" s="751" t="s">
        <v>51</v>
      </c>
      <c r="B101" s="398" t="s">
        <v>348</v>
      </c>
      <c r="C101" s="54">
        <v>1169929</v>
      </c>
      <c r="D101" s="128">
        <v>1169929.0019999999</v>
      </c>
      <c r="E101" s="128">
        <v>1169929.0019999999</v>
      </c>
      <c r="F101" s="762">
        <v>1169929.0019999999</v>
      </c>
      <c r="G101" s="632">
        <v>1169929.0019999999</v>
      </c>
      <c r="H101" s="632">
        <v>1169929.0019999999</v>
      </c>
      <c r="I101" s="68"/>
      <c r="J101" s="69"/>
      <c r="K101" s="70">
        <f t="shared" ref="K101:K106" si="23">SUM(H101:J101)</f>
        <v>1169929.0019999999</v>
      </c>
      <c r="L101" s="89"/>
      <c r="M101" s="81"/>
    </row>
    <row r="102" spans="1:13">
      <c r="A102" s="751" t="s">
        <v>52</v>
      </c>
      <c r="B102" s="369" t="s">
        <v>349</v>
      </c>
      <c r="C102" s="54">
        <v>433042</v>
      </c>
      <c r="D102" s="128">
        <v>433042.00020000001</v>
      </c>
      <c r="E102" s="128">
        <v>433042.00020000001</v>
      </c>
      <c r="F102" s="762">
        <v>433042.00020000001</v>
      </c>
      <c r="G102" s="632">
        <v>433042.00020000001</v>
      </c>
      <c r="H102" s="632">
        <v>433042.00020000001</v>
      </c>
      <c r="I102" s="68"/>
      <c r="J102" s="69"/>
      <c r="K102" s="70">
        <f t="shared" si="23"/>
        <v>433042.00020000001</v>
      </c>
      <c r="L102" s="89"/>
      <c r="M102" s="81"/>
    </row>
    <row r="103" spans="1:13">
      <c r="A103" s="751" t="s">
        <v>53</v>
      </c>
      <c r="B103" s="369" t="s">
        <v>350</v>
      </c>
      <c r="C103" s="54">
        <v>164459</v>
      </c>
      <c r="D103" s="128">
        <v>164458.99979999999</v>
      </c>
      <c r="E103" s="128">
        <v>164458.99979999999</v>
      </c>
      <c r="F103" s="762">
        <v>164458.99979999999</v>
      </c>
      <c r="G103" s="632">
        <v>164458.99979999999</v>
      </c>
      <c r="H103" s="632">
        <v>164458.99979999999</v>
      </c>
      <c r="I103" s="68"/>
      <c r="J103" s="69"/>
      <c r="K103" s="70">
        <f t="shared" si="23"/>
        <v>164458.99979999999</v>
      </c>
      <c r="L103" s="89"/>
      <c r="M103" s="81"/>
    </row>
    <row r="104" spans="1:13">
      <c r="A104" s="751" t="s">
        <v>54</v>
      </c>
      <c r="B104" s="369" t="s">
        <v>351</v>
      </c>
      <c r="C104" s="54">
        <v>366536</v>
      </c>
      <c r="D104" s="128">
        <v>366535.99979999999</v>
      </c>
      <c r="E104" s="128">
        <v>366535.99979999999</v>
      </c>
      <c r="F104" s="762">
        <v>366535.99979999999</v>
      </c>
      <c r="G104" s="632">
        <v>366535.99979999999</v>
      </c>
      <c r="H104" s="632">
        <v>366535.99979999999</v>
      </c>
      <c r="I104" s="68"/>
      <c r="J104" s="69"/>
      <c r="K104" s="70">
        <f t="shared" si="23"/>
        <v>366535.99979999999</v>
      </c>
      <c r="L104" s="89"/>
      <c r="M104" s="82"/>
    </row>
    <row r="105" spans="1:13">
      <c r="A105" s="751" t="s">
        <v>55</v>
      </c>
      <c r="B105" s="369" t="s">
        <v>352</v>
      </c>
      <c r="C105" s="54">
        <v>205428</v>
      </c>
      <c r="D105" s="128">
        <v>205428</v>
      </c>
      <c r="E105" s="128">
        <v>205428</v>
      </c>
      <c r="F105" s="762">
        <v>205428</v>
      </c>
      <c r="G105" s="632">
        <v>205428</v>
      </c>
      <c r="H105" s="632">
        <v>205428</v>
      </c>
      <c r="I105" s="68"/>
      <c r="J105" s="69"/>
      <c r="K105" s="70">
        <f t="shared" si="23"/>
        <v>205428</v>
      </c>
      <c r="L105" s="89"/>
      <c r="M105" s="81"/>
    </row>
    <row r="106" spans="1:13" ht="14.65" thickBot="1">
      <c r="A106" s="752" t="s">
        <v>56</v>
      </c>
      <c r="B106" s="371" t="s">
        <v>353</v>
      </c>
      <c r="C106" s="55">
        <v>327191</v>
      </c>
      <c r="D106" s="524">
        <v>327190.99979999999</v>
      </c>
      <c r="E106" s="524">
        <v>327190.99979999999</v>
      </c>
      <c r="F106" s="742">
        <v>327190.99979999999</v>
      </c>
      <c r="G106" s="224">
        <v>327190.99979999999</v>
      </c>
      <c r="H106" s="224">
        <v>327190.99979999999</v>
      </c>
      <c r="I106" s="71"/>
      <c r="J106" s="72"/>
      <c r="K106" s="73">
        <f t="shared" si="23"/>
        <v>327190.99979999999</v>
      </c>
      <c r="L106" s="84"/>
      <c r="M106" s="75"/>
    </row>
    <row r="107" spans="1:13" ht="14.65" thickBot="1">
      <c r="A107" s="63"/>
      <c r="B107" s="99"/>
      <c r="C107" s="192">
        <f>SUM(C100:C106)</f>
        <v>2666585</v>
      </c>
      <c r="D107" s="192">
        <f t="shared" ref="D107:K107" si="24">SUM(D100:D106)</f>
        <v>2666585.0015999996</v>
      </c>
      <c r="E107" s="192">
        <f t="shared" si="24"/>
        <v>2666585.0015999996</v>
      </c>
      <c r="F107" s="192">
        <f t="shared" si="24"/>
        <v>2666585.0015999996</v>
      </c>
      <c r="G107" s="192">
        <f t="shared" si="24"/>
        <v>2666585.0015999996</v>
      </c>
      <c r="H107" s="192">
        <f t="shared" si="24"/>
        <v>2666585.0015999996</v>
      </c>
      <c r="I107" s="192">
        <f t="shared" si="24"/>
        <v>0</v>
      </c>
      <c r="J107" s="192">
        <f t="shared" si="24"/>
        <v>0</v>
      </c>
      <c r="K107" s="192">
        <f t="shared" si="24"/>
        <v>2666585.0015999996</v>
      </c>
      <c r="L107" s="63"/>
      <c r="M107" s="63"/>
    </row>
    <row r="108" spans="1:13">
      <c r="A108" s="22"/>
      <c r="B108" s="98"/>
      <c r="C108" s="22"/>
      <c r="D108" s="22"/>
      <c r="E108" s="22"/>
      <c r="F108" s="22"/>
      <c r="G108" s="48">
        <f>$F107-G107</f>
        <v>0</v>
      </c>
      <c r="H108" s="48">
        <f>$F107-H107</f>
        <v>0</v>
      </c>
      <c r="I108" s="48"/>
      <c r="J108" s="63"/>
      <c r="K108" s="48">
        <f>$F107-K107</f>
        <v>0</v>
      </c>
      <c r="L108" s="22"/>
      <c r="M108" s="22"/>
    </row>
    <row r="109" spans="1:13" ht="14.65" thickBot="1">
      <c r="A109" s="22"/>
      <c r="B109" s="98"/>
      <c r="C109" s="22"/>
      <c r="D109" s="22"/>
      <c r="E109" s="22"/>
      <c r="F109" s="22"/>
      <c r="G109" s="22"/>
      <c r="H109" s="22"/>
      <c r="I109" s="22"/>
      <c r="J109" s="22"/>
      <c r="K109" s="22"/>
      <c r="L109" s="22"/>
      <c r="M109" s="22"/>
    </row>
    <row r="110" spans="1:13" ht="14.65" thickBot="1">
      <c r="A110" s="753" t="s">
        <v>57</v>
      </c>
      <c r="B110" s="396" t="s">
        <v>354</v>
      </c>
      <c r="C110" s="49">
        <v>7198646</v>
      </c>
      <c r="D110" s="133">
        <v>7198646</v>
      </c>
      <c r="E110" s="133">
        <v>7198646.0020000003</v>
      </c>
      <c r="F110" s="776">
        <v>7198646.0020000003</v>
      </c>
      <c r="G110" s="230">
        <v>7198646.0020000003</v>
      </c>
      <c r="H110" s="230">
        <v>7198646.0020000003</v>
      </c>
      <c r="I110" s="90"/>
      <c r="J110" s="91"/>
      <c r="K110" s="92">
        <f>SUM(H110:J110)</f>
        <v>7198646.0020000003</v>
      </c>
      <c r="L110" s="93"/>
      <c r="M110" s="94"/>
    </row>
    <row r="111" spans="1:13" ht="14.65" thickBot="1">
      <c r="A111" s="63"/>
      <c r="B111" s="99"/>
      <c r="C111" s="192">
        <f>SUM(C110:C110)</f>
        <v>7198646</v>
      </c>
      <c r="D111" s="192">
        <f t="shared" ref="D111:K111" si="25">SUM(D110:D110)</f>
        <v>7198646</v>
      </c>
      <c r="E111" s="192">
        <f t="shared" si="25"/>
        <v>7198646.0020000003</v>
      </c>
      <c r="F111" s="192">
        <f t="shared" si="25"/>
        <v>7198646.0020000003</v>
      </c>
      <c r="G111" s="192">
        <f t="shared" si="25"/>
        <v>7198646.0020000003</v>
      </c>
      <c r="H111" s="192">
        <f t="shared" ref="H111" si="26">SUM(H110:H110)</f>
        <v>7198646.0020000003</v>
      </c>
      <c r="I111" s="192">
        <f t="shared" si="25"/>
        <v>0</v>
      </c>
      <c r="J111" s="192">
        <f t="shared" si="25"/>
        <v>0</v>
      </c>
      <c r="K111" s="192">
        <f t="shared" si="25"/>
        <v>7198646.0020000003</v>
      </c>
      <c r="L111" s="63"/>
      <c r="M111" s="63"/>
    </row>
    <row r="112" spans="1:13">
      <c r="A112" s="22"/>
      <c r="B112" s="98"/>
      <c r="C112" s="22"/>
      <c r="D112" s="22"/>
      <c r="E112" s="22"/>
      <c r="F112" s="22"/>
      <c r="G112" s="48">
        <f>$F111-G111</f>
        <v>0</v>
      </c>
      <c r="H112" s="48">
        <f>$F111-H111</f>
        <v>0</v>
      </c>
      <c r="I112" s="48"/>
      <c r="J112" s="63"/>
      <c r="K112" s="48">
        <f>$F111-K111</f>
        <v>0</v>
      </c>
      <c r="L112" s="22"/>
      <c r="M112" s="22"/>
    </row>
    <row r="113" spans="1:13" ht="14.65" thickBot="1">
      <c r="A113" s="22"/>
      <c r="B113" s="98"/>
      <c r="C113" s="22"/>
      <c r="D113" s="22"/>
      <c r="E113" s="22"/>
      <c r="F113" s="22"/>
      <c r="G113" s="22"/>
      <c r="H113" s="22"/>
      <c r="I113" s="22"/>
      <c r="J113" s="22"/>
      <c r="K113" s="22"/>
      <c r="L113" s="22"/>
      <c r="M113" s="22"/>
    </row>
    <row r="114" spans="1:13">
      <c r="A114" s="373" t="s">
        <v>58</v>
      </c>
      <c r="B114" s="383" t="s">
        <v>368</v>
      </c>
      <c r="C114" s="148">
        <v>0</v>
      </c>
      <c r="D114" s="109">
        <v>0</v>
      </c>
      <c r="E114" s="109">
        <v>0</v>
      </c>
      <c r="F114" s="741">
        <v>0</v>
      </c>
      <c r="G114" s="225">
        <v>0</v>
      </c>
      <c r="H114" s="225">
        <v>0</v>
      </c>
      <c r="I114" s="242"/>
      <c r="J114" s="65"/>
      <c r="K114" s="66">
        <f>SUM(H114:J114)</f>
        <v>0</v>
      </c>
      <c r="L114" s="86"/>
      <c r="M114" s="37"/>
    </row>
    <row r="115" spans="1:13">
      <c r="A115" s="374" t="s">
        <v>59</v>
      </c>
      <c r="B115" s="367" t="s">
        <v>369</v>
      </c>
      <c r="C115" s="156">
        <v>669443</v>
      </c>
      <c r="D115" s="128">
        <v>669442.99800000002</v>
      </c>
      <c r="E115" s="128">
        <v>669442.99800000002</v>
      </c>
      <c r="F115" s="762">
        <v>669442.99800000002</v>
      </c>
      <c r="G115" s="632">
        <v>669442.99800000002</v>
      </c>
      <c r="H115" s="632">
        <v>669442.99800000002</v>
      </c>
      <c r="I115" s="195"/>
      <c r="J115" s="69"/>
      <c r="K115" s="70">
        <f t="shared" ref="K115:K132" si="27">SUM(H115:J115)</f>
        <v>669442.99800000002</v>
      </c>
      <c r="L115" s="89"/>
      <c r="M115" s="41"/>
    </row>
    <row r="116" spans="1:13">
      <c r="A116" s="374" t="s">
        <v>60</v>
      </c>
      <c r="B116" s="367" t="s">
        <v>370</v>
      </c>
      <c r="C116" s="156">
        <v>631074</v>
      </c>
      <c r="D116" s="128">
        <v>631074</v>
      </c>
      <c r="E116" s="128">
        <v>631074</v>
      </c>
      <c r="F116" s="762">
        <v>631074</v>
      </c>
      <c r="G116" s="632">
        <v>631074</v>
      </c>
      <c r="H116" s="632">
        <v>631074</v>
      </c>
      <c r="I116" s="195"/>
      <c r="J116" s="69"/>
      <c r="K116" s="70">
        <f t="shared" si="27"/>
        <v>631074</v>
      </c>
      <c r="L116" s="89"/>
      <c r="M116" s="130"/>
    </row>
    <row r="117" spans="1:13">
      <c r="A117" s="374" t="s">
        <v>355</v>
      </c>
      <c r="B117" s="367" t="s">
        <v>371</v>
      </c>
      <c r="C117" s="156">
        <v>498448</v>
      </c>
      <c r="D117" s="128">
        <v>498448.00020000001</v>
      </c>
      <c r="E117" s="128">
        <v>498448.00020000001</v>
      </c>
      <c r="F117" s="762">
        <v>498448.00020000001</v>
      </c>
      <c r="G117" s="632">
        <v>498448.00020000001</v>
      </c>
      <c r="H117" s="632">
        <v>498448.00020000001</v>
      </c>
      <c r="I117" s="195"/>
      <c r="J117" s="69"/>
      <c r="K117" s="70">
        <f t="shared" si="27"/>
        <v>498448.00020000001</v>
      </c>
      <c r="L117" s="89"/>
      <c r="M117" s="41"/>
    </row>
    <row r="118" spans="1:13">
      <c r="A118" s="374" t="s">
        <v>356</v>
      </c>
      <c r="B118" s="367" t="s">
        <v>372</v>
      </c>
      <c r="C118" s="156">
        <v>621908</v>
      </c>
      <c r="D118" s="128">
        <v>621907.99800000002</v>
      </c>
      <c r="E118" s="128">
        <v>621907.99800000002</v>
      </c>
      <c r="F118" s="762">
        <v>621907.99800000002</v>
      </c>
      <c r="G118" s="632">
        <v>621907.99800000002</v>
      </c>
      <c r="H118" s="632">
        <v>621907.99800000002</v>
      </c>
      <c r="I118" s="195"/>
      <c r="J118" s="69"/>
      <c r="K118" s="70">
        <f t="shared" si="27"/>
        <v>621907.99800000002</v>
      </c>
      <c r="L118" s="89"/>
      <c r="M118" s="41"/>
    </row>
    <row r="119" spans="1:13">
      <c r="A119" s="374" t="s">
        <v>357</v>
      </c>
      <c r="B119" s="367" t="s">
        <v>373</v>
      </c>
      <c r="C119" s="156">
        <v>4432229</v>
      </c>
      <c r="D119" s="128">
        <v>4432228.9969999995</v>
      </c>
      <c r="E119" s="128">
        <v>3381867.997</v>
      </c>
      <c r="F119" s="762">
        <v>1631867.997</v>
      </c>
      <c r="G119" s="632">
        <v>1631867.997</v>
      </c>
      <c r="H119" s="632">
        <v>1631867.997</v>
      </c>
      <c r="I119" s="195"/>
      <c r="J119" s="69"/>
      <c r="K119" s="70">
        <f t="shared" si="27"/>
        <v>1631867.997</v>
      </c>
      <c r="L119" s="89"/>
      <c r="M119" s="41"/>
    </row>
    <row r="120" spans="1:13">
      <c r="A120" s="747" t="s">
        <v>358</v>
      </c>
      <c r="B120" s="367" t="s">
        <v>642</v>
      </c>
      <c r="C120" s="156">
        <v>0</v>
      </c>
      <c r="D120" s="115">
        <v>0</v>
      </c>
      <c r="E120" s="115">
        <v>9891</v>
      </c>
      <c r="F120" s="762">
        <v>0</v>
      </c>
      <c r="G120" s="229">
        <v>0</v>
      </c>
      <c r="H120" s="229">
        <v>0</v>
      </c>
      <c r="I120" s="195"/>
      <c r="J120" s="69"/>
      <c r="K120" s="70">
        <f t="shared" si="27"/>
        <v>0</v>
      </c>
      <c r="L120" s="89"/>
      <c r="M120" s="41"/>
    </row>
    <row r="121" spans="1:13">
      <c r="A121" s="747" t="s">
        <v>358</v>
      </c>
      <c r="B121" s="367" t="s">
        <v>778</v>
      </c>
      <c r="C121" s="156">
        <v>0</v>
      </c>
      <c r="D121" s="115">
        <v>0</v>
      </c>
      <c r="E121" s="115">
        <v>1040470.0024999999</v>
      </c>
      <c r="F121" s="762">
        <v>1050360.9975000001</v>
      </c>
      <c r="G121" s="365">
        <v>1050360.9975000001</v>
      </c>
      <c r="H121" s="365">
        <v>1050360.9975000001</v>
      </c>
      <c r="I121" s="195"/>
      <c r="J121" s="69"/>
      <c r="K121" s="70">
        <f t="shared" si="27"/>
        <v>1050360.9975000001</v>
      </c>
      <c r="L121" s="817" t="s">
        <v>749</v>
      </c>
      <c r="M121" s="41">
        <v>4502986603</v>
      </c>
    </row>
    <row r="122" spans="1:13">
      <c r="A122" s="748" t="s">
        <v>711</v>
      </c>
      <c r="B122" s="367" t="s">
        <v>705</v>
      </c>
      <c r="C122" s="156">
        <v>0</v>
      </c>
      <c r="D122" s="115">
        <v>0</v>
      </c>
      <c r="E122" s="115">
        <v>0</v>
      </c>
      <c r="F122" s="762">
        <v>14607</v>
      </c>
      <c r="G122" s="229">
        <v>14607</v>
      </c>
      <c r="H122" s="229">
        <v>14607</v>
      </c>
      <c r="I122" s="195"/>
      <c r="J122" s="69"/>
      <c r="K122" s="70">
        <f t="shared" si="27"/>
        <v>14607</v>
      </c>
      <c r="L122" s="89"/>
      <c r="M122" s="41"/>
    </row>
    <row r="123" spans="1:13">
      <c r="A123" s="748" t="s">
        <v>711</v>
      </c>
      <c r="B123" s="367" t="s">
        <v>777</v>
      </c>
      <c r="C123" s="156">
        <v>0</v>
      </c>
      <c r="D123" s="115">
        <v>0</v>
      </c>
      <c r="E123" s="115">
        <v>0</v>
      </c>
      <c r="F123" s="762">
        <v>1735393</v>
      </c>
      <c r="G123" s="365">
        <v>1735393</v>
      </c>
      <c r="H123" s="365">
        <v>1735393</v>
      </c>
      <c r="I123" s="195"/>
      <c r="J123" s="69"/>
      <c r="K123" s="70">
        <f t="shared" si="27"/>
        <v>1735393</v>
      </c>
      <c r="L123" s="89" t="s">
        <v>702</v>
      </c>
      <c r="M123" s="181"/>
    </row>
    <row r="124" spans="1:13">
      <c r="A124" s="374" t="s">
        <v>359</v>
      </c>
      <c r="B124" s="367" t="s">
        <v>374</v>
      </c>
      <c r="C124" s="156">
        <v>133705</v>
      </c>
      <c r="D124" s="128">
        <v>133705.00020000001</v>
      </c>
      <c r="E124" s="128">
        <v>133705.00020000001</v>
      </c>
      <c r="F124" s="762">
        <v>133705.00020000001</v>
      </c>
      <c r="G124" s="632">
        <v>133705.00020000001</v>
      </c>
      <c r="H124" s="632">
        <v>133705.00020000001</v>
      </c>
      <c r="I124" s="195"/>
      <c r="J124" s="69"/>
      <c r="K124" s="70">
        <f t="shared" si="27"/>
        <v>133705.00020000001</v>
      </c>
      <c r="L124" s="89"/>
      <c r="M124" s="41"/>
    </row>
    <row r="125" spans="1:13">
      <c r="A125" s="374" t="s">
        <v>360</v>
      </c>
      <c r="B125" s="367" t="s">
        <v>375</v>
      </c>
      <c r="C125" s="156">
        <v>655175</v>
      </c>
      <c r="D125" s="128">
        <v>655174.99800000002</v>
      </c>
      <c r="E125" s="128">
        <v>655174.99800000002</v>
      </c>
      <c r="F125" s="762">
        <v>655174.99800000002</v>
      </c>
      <c r="G125" s="632">
        <v>655174.99800000002</v>
      </c>
      <c r="H125" s="632">
        <v>655174.99800000002</v>
      </c>
      <c r="I125" s="195"/>
      <c r="J125" s="69"/>
      <c r="K125" s="70">
        <f t="shared" si="27"/>
        <v>655174.99800000002</v>
      </c>
      <c r="L125" s="89"/>
      <c r="M125" s="41"/>
    </row>
    <row r="126" spans="1:13">
      <c r="A126" s="374" t="s">
        <v>361</v>
      </c>
      <c r="B126" s="367" t="s">
        <v>376</v>
      </c>
      <c r="C126" s="156">
        <v>220670</v>
      </c>
      <c r="D126" s="128">
        <v>220669.99979999999</v>
      </c>
      <c r="E126" s="128">
        <v>220669.99979999999</v>
      </c>
      <c r="F126" s="762">
        <v>220669.99979999999</v>
      </c>
      <c r="G126" s="632">
        <v>220669.99979999999</v>
      </c>
      <c r="H126" s="632">
        <v>220669.99979999999</v>
      </c>
      <c r="I126" s="195"/>
      <c r="J126" s="69"/>
      <c r="K126" s="70">
        <f t="shared" si="27"/>
        <v>220669.99979999999</v>
      </c>
      <c r="L126" s="89"/>
      <c r="M126" s="41"/>
    </row>
    <row r="127" spans="1:13">
      <c r="A127" s="374" t="s">
        <v>362</v>
      </c>
      <c r="B127" s="367" t="s">
        <v>377</v>
      </c>
      <c r="C127" s="156">
        <v>65014</v>
      </c>
      <c r="D127" s="128">
        <v>65014.000200000002</v>
      </c>
      <c r="E127" s="128">
        <v>65014.000200000002</v>
      </c>
      <c r="F127" s="762">
        <v>65014.000200000002</v>
      </c>
      <c r="G127" s="632">
        <v>65014.000200000002</v>
      </c>
      <c r="H127" s="632">
        <v>65014.000200000002</v>
      </c>
      <c r="I127" s="195"/>
      <c r="J127" s="69"/>
      <c r="K127" s="70">
        <f t="shared" si="27"/>
        <v>65014.000200000002</v>
      </c>
      <c r="L127" s="89"/>
      <c r="M127" s="41"/>
    </row>
    <row r="128" spans="1:13">
      <c r="A128" s="374" t="s">
        <v>363</v>
      </c>
      <c r="B128" s="367" t="s">
        <v>378</v>
      </c>
      <c r="C128" s="156">
        <v>39027</v>
      </c>
      <c r="D128" s="128">
        <v>39027</v>
      </c>
      <c r="E128" s="128">
        <v>39027</v>
      </c>
      <c r="F128" s="762">
        <v>39027</v>
      </c>
      <c r="G128" s="632">
        <v>39027</v>
      </c>
      <c r="H128" s="632">
        <v>39027</v>
      </c>
      <c r="I128" s="195"/>
      <c r="J128" s="69"/>
      <c r="K128" s="70">
        <f t="shared" si="27"/>
        <v>39027</v>
      </c>
      <c r="L128" s="89"/>
      <c r="M128" s="41"/>
    </row>
    <row r="129" spans="1:13">
      <c r="A129" s="374" t="s">
        <v>364</v>
      </c>
      <c r="B129" s="367" t="s">
        <v>379</v>
      </c>
      <c r="C129" s="156">
        <v>75045</v>
      </c>
      <c r="D129" s="128">
        <v>75045</v>
      </c>
      <c r="E129" s="128">
        <v>75045</v>
      </c>
      <c r="F129" s="762">
        <v>75045</v>
      </c>
      <c r="G129" s="632">
        <v>75045</v>
      </c>
      <c r="H129" s="632">
        <v>75045</v>
      </c>
      <c r="I129" s="195"/>
      <c r="J129" s="69"/>
      <c r="K129" s="70">
        <f t="shared" si="27"/>
        <v>75045</v>
      </c>
      <c r="L129" s="89"/>
      <c r="M129" s="41"/>
    </row>
    <row r="130" spans="1:13">
      <c r="A130" s="374" t="s">
        <v>365</v>
      </c>
      <c r="B130" s="367" t="s">
        <v>380</v>
      </c>
      <c r="C130" s="156">
        <v>1241085</v>
      </c>
      <c r="D130" s="128">
        <v>1241085</v>
      </c>
      <c r="E130" s="128">
        <v>1241085</v>
      </c>
      <c r="F130" s="762">
        <v>1241085</v>
      </c>
      <c r="G130" s="632">
        <v>1241085</v>
      </c>
      <c r="H130" s="632">
        <v>1241085</v>
      </c>
      <c r="I130" s="195"/>
      <c r="J130" s="69"/>
      <c r="K130" s="70">
        <f t="shared" si="27"/>
        <v>1241085</v>
      </c>
      <c r="L130" s="89"/>
      <c r="M130" s="41"/>
    </row>
    <row r="131" spans="1:13">
      <c r="A131" s="374" t="s">
        <v>366</v>
      </c>
      <c r="B131" s="367" t="s">
        <v>381</v>
      </c>
      <c r="C131" s="156">
        <v>87498</v>
      </c>
      <c r="D131" s="128">
        <v>87498</v>
      </c>
      <c r="E131" s="128">
        <v>87498</v>
      </c>
      <c r="F131" s="762">
        <v>87498</v>
      </c>
      <c r="G131" s="632">
        <v>87498</v>
      </c>
      <c r="H131" s="632">
        <v>87498</v>
      </c>
      <c r="I131" s="195"/>
      <c r="J131" s="69"/>
      <c r="K131" s="70">
        <f t="shared" si="27"/>
        <v>87498</v>
      </c>
      <c r="L131" s="89"/>
      <c r="M131" s="41"/>
    </row>
    <row r="132" spans="1:13" ht="14.65" thickBot="1">
      <c r="A132" s="375" t="s">
        <v>367</v>
      </c>
      <c r="B132" s="384" t="s">
        <v>382</v>
      </c>
      <c r="C132" s="393">
        <v>186490</v>
      </c>
      <c r="D132" s="682">
        <v>186490</v>
      </c>
      <c r="E132" s="682">
        <v>186490</v>
      </c>
      <c r="F132" s="742">
        <v>186490</v>
      </c>
      <c r="G132" s="412">
        <v>186490</v>
      </c>
      <c r="H132" s="412">
        <v>186490</v>
      </c>
      <c r="I132" s="391"/>
      <c r="J132" s="392"/>
      <c r="K132" s="191">
        <f t="shared" si="27"/>
        <v>186490</v>
      </c>
      <c r="L132" s="389"/>
      <c r="M132" s="390"/>
    </row>
    <row r="133" spans="1:13" ht="14.65" thickBot="1">
      <c r="A133" s="63"/>
      <c r="B133" s="99"/>
      <c r="C133" s="47">
        <f>SUM(C114:C132)</f>
        <v>9556811</v>
      </c>
      <c r="D133" s="47">
        <f t="shared" ref="D133:K133" si="28">SUM(D114:D132)</f>
        <v>9556810.9913999997</v>
      </c>
      <c r="E133" s="47">
        <f t="shared" si="28"/>
        <v>9556810.9938999992</v>
      </c>
      <c r="F133" s="47">
        <f t="shared" si="28"/>
        <v>9556810.9889000002</v>
      </c>
      <c r="G133" s="47">
        <f t="shared" si="28"/>
        <v>9556810.9889000002</v>
      </c>
      <c r="H133" s="47">
        <f t="shared" ref="H133" si="29">SUM(H114:H132)</f>
        <v>9556810.9889000002</v>
      </c>
      <c r="I133" s="47">
        <f t="shared" si="28"/>
        <v>0</v>
      </c>
      <c r="J133" s="47">
        <f t="shared" si="28"/>
        <v>0</v>
      </c>
      <c r="K133" s="47">
        <f t="shared" si="28"/>
        <v>9556810.9889000002</v>
      </c>
      <c r="L133" s="63"/>
      <c r="M133" s="63"/>
    </row>
    <row r="134" spans="1:13">
      <c r="A134" s="22"/>
      <c r="B134" s="98"/>
      <c r="C134" s="22"/>
      <c r="D134" s="22"/>
      <c r="E134" s="22"/>
      <c r="F134" s="22"/>
      <c r="G134" s="48">
        <f>$F133-G133</f>
        <v>0</v>
      </c>
      <c r="H134" s="48">
        <f>$F133-H133</f>
        <v>0</v>
      </c>
      <c r="I134" s="48"/>
      <c r="J134" s="63"/>
      <c r="K134" s="48">
        <f>$F133-K133</f>
        <v>0</v>
      </c>
      <c r="L134" s="22"/>
      <c r="M134" s="22"/>
    </row>
    <row r="135" spans="1:13" ht="14.65" thickBot="1">
      <c r="A135" s="22"/>
      <c r="B135" s="98"/>
      <c r="C135" s="22"/>
      <c r="D135" s="22"/>
      <c r="E135" s="22"/>
      <c r="F135" s="22"/>
      <c r="G135" s="22"/>
      <c r="H135" s="22"/>
      <c r="I135" s="22"/>
      <c r="J135" s="22"/>
      <c r="K135" s="22"/>
      <c r="L135" s="22"/>
      <c r="M135" s="22"/>
    </row>
    <row r="136" spans="1:13">
      <c r="A136" s="750" t="s">
        <v>61</v>
      </c>
      <c r="B136" s="368" t="s">
        <v>383</v>
      </c>
      <c r="C136" s="33">
        <v>0</v>
      </c>
      <c r="D136" s="109">
        <v>0</v>
      </c>
      <c r="E136" s="109">
        <v>0</v>
      </c>
      <c r="F136" s="741">
        <v>0</v>
      </c>
      <c r="G136" s="225">
        <v>0</v>
      </c>
      <c r="H136" s="225">
        <v>0</v>
      </c>
      <c r="I136" s="64"/>
      <c r="J136" s="65"/>
      <c r="K136" s="66">
        <f>SUM(H136:J136)</f>
        <v>0</v>
      </c>
      <c r="L136" s="86"/>
      <c r="M136" s="87"/>
    </row>
    <row r="137" spans="1:13">
      <c r="A137" s="754" t="s">
        <v>62</v>
      </c>
      <c r="B137" s="394" t="s">
        <v>775</v>
      </c>
      <c r="C137" s="54">
        <v>415350</v>
      </c>
      <c r="D137" s="128">
        <v>415350</v>
      </c>
      <c r="E137" s="128">
        <v>415350</v>
      </c>
      <c r="F137" s="762">
        <v>415350</v>
      </c>
      <c r="G137" s="632">
        <v>415350</v>
      </c>
      <c r="H137" s="632">
        <v>415350</v>
      </c>
      <c r="I137" s="68"/>
      <c r="J137" s="69"/>
      <c r="K137" s="70">
        <f t="shared" ref="K137:K138" si="30">SUM(H137:J137)</f>
        <v>415350</v>
      </c>
      <c r="L137" s="89"/>
      <c r="M137" s="81"/>
    </row>
    <row r="138" spans="1:13" ht="14.65" thickBot="1">
      <c r="A138" s="755" t="s">
        <v>63</v>
      </c>
      <c r="B138" s="397" t="s">
        <v>776</v>
      </c>
      <c r="C138" s="55">
        <v>98644</v>
      </c>
      <c r="D138" s="524">
        <v>98644</v>
      </c>
      <c r="E138" s="524">
        <v>98644</v>
      </c>
      <c r="F138" s="742">
        <v>98644</v>
      </c>
      <c r="G138" s="224">
        <v>98644</v>
      </c>
      <c r="H138" s="224">
        <v>98644</v>
      </c>
      <c r="I138" s="71"/>
      <c r="J138" s="72"/>
      <c r="K138" s="73">
        <f t="shared" si="30"/>
        <v>98644</v>
      </c>
      <c r="L138" s="84"/>
      <c r="M138" s="75"/>
    </row>
    <row r="139" spans="1:13" ht="14.65" thickBot="1">
      <c r="A139" s="63"/>
      <c r="B139" s="99"/>
      <c r="C139" s="47">
        <f>SUM(C136:C138)</f>
        <v>513994</v>
      </c>
      <c r="D139" s="47">
        <f t="shared" ref="D139:K139" si="31">SUM(D136:D138)</f>
        <v>513994</v>
      </c>
      <c r="E139" s="47">
        <f t="shared" si="31"/>
        <v>513994</v>
      </c>
      <c r="F139" s="47">
        <f t="shared" si="31"/>
        <v>513994</v>
      </c>
      <c r="G139" s="47">
        <f t="shared" si="31"/>
        <v>513994</v>
      </c>
      <c r="H139" s="47">
        <f t="shared" ref="H139" si="32">SUM(H136:H138)</f>
        <v>513994</v>
      </c>
      <c r="I139" s="47">
        <f t="shared" si="31"/>
        <v>0</v>
      </c>
      <c r="J139" s="47">
        <f t="shared" si="31"/>
        <v>0</v>
      </c>
      <c r="K139" s="47">
        <f t="shared" si="31"/>
        <v>513994</v>
      </c>
      <c r="L139" s="63"/>
      <c r="M139" s="63"/>
    </row>
    <row r="140" spans="1:13">
      <c r="A140" s="22"/>
      <c r="B140" s="98"/>
      <c r="C140" s="22"/>
      <c r="D140" s="22"/>
      <c r="E140" s="22"/>
      <c r="F140" s="22"/>
      <c r="G140" s="48">
        <f>$F139-G139</f>
        <v>0</v>
      </c>
      <c r="H140" s="48">
        <f>$F139-H139</f>
        <v>0</v>
      </c>
      <c r="I140" s="48"/>
      <c r="J140" s="63"/>
      <c r="K140" s="48">
        <f>$F139-K139</f>
        <v>0</v>
      </c>
      <c r="L140" s="22"/>
      <c r="M140" s="22"/>
    </row>
    <row r="141" spans="1:13" ht="14.65" thickBot="1">
      <c r="A141" s="22"/>
      <c r="B141" s="98"/>
      <c r="C141" s="22"/>
      <c r="D141" s="22"/>
      <c r="E141" s="22"/>
      <c r="F141" s="22"/>
      <c r="G141" s="22"/>
      <c r="H141" s="22"/>
      <c r="I141" s="22"/>
      <c r="J141" s="22"/>
      <c r="K141" s="22"/>
      <c r="L141" s="22"/>
      <c r="M141" s="22"/>
    </row>
    <row r="142" spans="1:13" ht="14.65" thickBot="1">
      <c r="A142" s="753" t="s">
        <v>64</v>
      </c>
      <c r="B142" s="396" t="s">
        <v>384</v>
      </c>
      <c r="C142" s="49">
        <v>551900</v>
      </c>
      <c r="D142" s="133">
        <v>551900</v>
      </c>
      <c r="E142" s="133">
        <v>551900</v>
      </c>
      <c r="F142" s="743">
        <v>551900</v>
      </c>
      <c r="G142" s="230">
        <v>551900</v>
      </c>
      <c r="H142" s="230">
        <v>551900</v>
      </c>
      <c r="I142" s="90"/>
      <c r="J142" s="91"/>
      <c r="K142" s="92">
        <f>SUM(H142:J142)</f>
        <v>551900</v>
      </c>
      <c r="L142" s="93"/>
      <c r="M142" s="94"/>
    </row>
    <row r="143" spans="1:13" ht="14.65" thickBot="1">
      <c r="A143" s="63"/>
      <c r="B143" s="99"/>
      <c r="C143" s="192">
        <f>SUM(C142:C142)</f>
        <v>551900</v>
      </c>
      <c r="D143" s="192">
        <f t="shared" ref="D143:K143" si="33">SUM(D142:D142)</f>
        <v>551900</v>
      </c>
      <c r="E143" s="192">
        <f t="shared" si="33"/>
        <v>551900</v>
      </c>
      <c r="F143" s="192">
        <f t="shared" si="33"/>
        <v>551900</v>
      </c>
      <c r="G143" s="192">
        <f t="shared" si="33"/>
        <v>551900</v>
      </c>
      <c r="H143" s="192">
        <f t="shared" ref="H143" si="34">SUM(H142:H142)</f>
        <v>551900</v>
      </c>
      <c r="I143" s="192">
        <f t="shared" si="33"/>
        <v>0</v>
      </c>
      <c r="J143" s="192">
        <f t="shared" si="33"/>
        <v>0</v>
      </c>
      <c r="K143" s="192">
        <f t="shared" si="33"/>
        <v>551900</v>
      </c>
      <c r="L143" s="63"/>
      <c r="M143" s="63"/>
    </row>
    <row r="144" spans="1:13">
      <c r="A144" s="22"/>
      <c r="B144" s="98"/>
      <c r="C144" s="22"/>
      <c r="D144" s="22"/>
      <c r="E144" s="22"/>
      <c r="F144" s="22"/>
      <c r="G144" s="48">
        <f>$F143-G143</f>
        <v>0</v>
      </c>
      <c r="H144" s="48">
        <f>$F143-H143</f>
        <v>0</v>
      </c>
      <c r="I144" s="48"/>
      <c r="J144" s="63"/>
      <c r="K144" s="48">
        <f>$F143-K143</f>
        <v>0</v>
      </c>
      <c r="L144" s="22"/>
      <c r="M144" s="22"/>
    </row>
    <row r="145" spans="1:13" ht="14.65" thickBot="1">
      <c r="A145" s="22"/>
      <c r="B145" s="98"/>
      <c r="C145" s="22"/>
      <c r="D145" s="22"/>
      <c r="E145" s="22"/>
      <c r="F145" s="22"/>
      <c r="G145" s="22"/>
      <c r="H145" s="22"/>
      <c r="I145" s="22"/>
      <c r="J145" s="22"/>
      <c r="K145" s="22"/>
      <c r="L145" s="22"/>
      <c r="M145" s="22"/>
    </row>
    <row r="146" spans="1:13">
      <c r="A146" s="373" t="s">
        <v>65</v>
      </c>
      <c r="B146" s="368" t="s">
        <v>385</v>
      </c>
      <c r="C146" s="148">
        <v>0</v>
      </c>
      <c r="D146" s="109">
        <v>0</v>
      </c>
      <c r="E146" s="109">
        <v>0</v>
      </c>
      <c r="F146" s="763">
        <v>0</v>
      </c>
      <c r="G146" s="225">
        <v>0</v>
      </c>
      <c r="H146" s="225">
        <v>0</v>
      </c>
      <c r="I146" s="242"/>
      <c r="J146" s="65"/>
      <c r="K146" s="66">
        <f>SUM(H146:J146)</f>
        <v>0</v>
      </c>
      <c r="L146" s="205"/>
      <c r="M146" s="37"/>
    </row>
    <row r="147" spans="1:13">
      <c r="A147" s="756" t="s">
        <v>66</v>
      </c>
      <c r="B147" s="394" t="s">
        <v>387</v>
      </c>
      <c r="C147" s="156">
        <v>4457840</v>
      </c>
      <c r="D147" s="128">
        <v>4457840</v>
      </c>
      <c r="E147" s="128">
        <v>4457840</v>
      </c>
      <c r="F147" s="764">
        <v>4457840.0019999994</v>
      </c>
      <c r="G147" s="632">
        <v>4457840.0019999994</v>
      </c>
      <c r="H147" s="632">
        <v>4457840.0019999994</v>
      </c>
      <c r="I147" s="195"/>
      <c r="J147" s="69"/>
      <c r="K147" s="70">
        <f t="shared" ref="K147:K151" si="35">SUM(H147:J147)</f>
        <v>4457840.0019999994</v>
      </c>
      <c r="L147" s="197"/>
      <c r="M147" s="41"/>
    </row>
    <row r="148" spans="1:13">
      <c r="A148" s="756" t="s">
        <v>390</v>
      </c>
      <c r="B148" s="394" t="s">
        <v>388</v>
      </c>
      <c r="C148" s="156">
        <v>1833166</v>
      </c>
      <c r="D148" s="128">
        <v>1833166</v>
      </c>
      <c r="E148" s="128">
        <v>1833166</v>
      </c>
      <c r="F148" s="764">
        <v>1698766.0019999999</v>
      </c>
      <c r="G148" s="229">
        <v>1448126.0019999999</v>
      </c>
      <c r="H148" s="229">
        <v>1448126.0019999999</v>
      </c>
      <c r="I148" s="195"/>
      <c r="J148" s="69"/>
      <c r="K148" s="70">
        <f t="shared" si="35"/>
        <v>1448126.0019999999</v>
      </c>
      <c r="L148" s="197"/>
      <c r="M148" s="41"/>
    </row>
    <row r="149" spans="1:13">
      <c r="A149" s="757" t="s">
        <v>712</v>
      </c>
      <c r="B149" s="677" t="s">
        <v>774</v>
      </c>
      <c r="C149" s="393">
        <v>0</v>
      </c>
      <c r="D149" s="682">
        <v>0</v>
      </c>
      <c r="E149" s="682">
        <v>0</v>
      </c>
      <c r="F149" s="766">
        <v>134400</v>
      </c>
      <c r="G149" s="408">
        <v>134400</v>
      </c>
      <c r="H149" s="408">
        <v>134400</v>
      </c>
      <c r="I149" s="678"/>
      <c r="J149" s="212"/>
      <c r="K149" s="70">
        <f t="shared" si="35"/>
        <v>134400</v>
      </c>
      <c r="L149" s="679" t="s">
        <v>713</v>
      </c>
      <c r="M149" s="680">
        <v>4503012737</v>
      </c>
    </row>
    <row r="150" spans="1:13">
      <c r="A150" s="757" t="s">
        <v>712</v>
      </c>
      <c r="B150" s="677" t="s">
        <v>773</v>
      </c>
      <c r="C150" s="393">
        <v>0</v>
      </c>
      <c r="D150" s="682">
        <v>0</v>
      </c>
      <c r="E150" s="682">
        <v>0</v>
      </c>
      <c r="F150" s="766">
        <v>0</v>
      </c>
      <c r="G150" s="408">
        <v>250640</v>
      </c>
      <c r="H150" s="408">
        <v>250640</v>
      </c>
      <c r="I150" s="678"/>
      <c r="J150" s="212"/>
      <c r="K150" s="70">
        <f t="shared" si="35"/>
        <v>250640</v>
      </c>
      <c r="L150" s="679" t="s">
        <v>291</v>
      </c>
      <c r="M150" s="680">
        <v>4502939064</v>
      </c>
    </row>
    <row r="151" spans="1:13" ht="14.65" thickBot="1">
      <c r="A151" s="758" t="s">
        <v>391</v>
      </c>
      <c r="B151" s="395" t="s">
        <v>389</v>
      </c>
      <c r="C151" s="149">
        <v>1112965</v>
      </c>
      <c r="D151" s="524">
        <v>1112965</v>
      </c>
      <c r="E151" s="524">
        <v>1112965</v>
      </c>
      <c r="F151" s="765">
        <v>1112965</v>
      </c>
      <c r="G151" s="224">
        <v>1112965</v>
      </c>
      <c r="H151" s="224">
        <v>1112965</v>
      </c>
      <c r="I151" s="196"/>
      <c r="J151" s="72"/>
      <c r="K151" s="73">
        <f t="shared" si="35"/>
        <v>1112965</v>
      </c>
      <c r="L151" s="198"/>
      <c r="M151" s="46"/>
    </row>
    <row r="152" spans="1:13" ht="14.65" thickBot="1">
      <c r="A152" s="63"/>
      <c r="B152" s="99"/>
      <c r="C152" s="192">
        <f>SUM(C146:C151)</f>
        <v>7403971</v>
      </c>
      <c r="D152" s="192">
        <f t="shared" ref="D152:K152" si="36">SUM(D146:D151)</f>
        <v>7403971</v>
      </c>
      <c r="E152" s="192">
        <f t="shared" si="36"/>
        <v>7403971</v>
      </c>
      <c r="F152" s="192">
        <f t="shared" si="36"/>
        <v>7403971.0039999988</v>
      </c>
      <c r="G152" s="192">
        <f t="shared" si="36"/>
        <v>7403971.0039999988</v>
      </c>
      <c r="H152" s="192">
        <f t="shared" ref="H152" si="37">SUM(H146:H151)</f>
        <v>7403971.0039999988</v>
      </c>
      <c r="I152" s="192">
        <f t="shared" si="36"/>
        <v>0</v>
      </c>
      <c r="J152" s="192">
        <f t="shared" si="36"/>
        <v>0</v>
      </c>
      <c r="K152" s="192">
        <f t="shared" si="36"/>
        <v>7403971.0039999988</v>
      </c>
      <c r="L152" s="63"/>
      <c r="M152" s="63"/>
    </row>
    <row r="153" spans="1:13">
      <c r="A153" s="22"/>
      <c r="B153" s="98"/>
      <c r="C153" s="22"/>
      <c r="D153" s="22"/>
      <c r="E153" s="22"/>
      <c r="F153" s="22"/>
      <c r="G153" s="48">
        <f>$F152-G152</f>
        <v>0</v>
      </c>
      <c r="H153" s="48">
        <f>$F152-H152</f>
        <v>0</v>
      </c>
      <c r="I153" s="48"/>
      <c r="J153" s="63"/>
      <c r="K153" s="48">
        <f>$F152-K152</f>
        <v>0</v>
      </c>
      <c r="L153" s="22"/>
      <c r="M153" s="22"/>
    </row>
    <row r="154" spans="1:13" ht="14.65" thickBot="1">
      <c r="A154" s="22"/>
      <c r="B154" s="98"/>
      <c r="C154" s="22"/>
      <c r="D154" s="22"/>
      <c r="E154" s="22"/>
      <c r="F154" s="22"/>
      <c r="G154" s="22"/>
      <c r="H154" s="22"/>
      <c r="I154" s="22"/>
      <c r="J154" s="22"/>
      <c r="K154" s="22"/>
      <c r="L154" s="22"/>
      <c r="M154" s="22"/>
    </row>
    <row r="155" spans="1:13" ht="14.65" thickBot="1">
      <c r="A155" s="753" t="s">
        <v>67</v>
      </c>
      <c r="B155" s="396" t="s">
        <v>386</v>
      </c>
      <c r="C155" s="49">
        <v>1097187</v>
      </c>
      <c r="D155" s="133">
        <v>1097187</v>
      </c>
      <c r="E155" s="133">
        <v>1097187</v>
      </c>
      <c r="F155" s="743">
        <v>1097187</v>
      </c>
      <c r="G155" s="230">
        <v>1097187</v>
      </c>
      <c r="H155" s="230">
        <v>1097187</v>
      </c>
      <c r="I155" s="90"/>
      <c r="J155" s="91"/>
      <c r="K155" s="92">
        <f>SUM(H155:J155)</f>
        <v>1097187</v>
      </c>
      <c r="L155" s="399"/>
      <c r="M155" s="400"/>
    </row>
    <row r="156" spans="1:13" ht="14.65" thickBot="1">
      <c r="A156" s="63"/>
      <c r="B156" s="99"/>
      <c r="C156" s="192">
        <f>SUM(C155:C155)</f>
        <v>1097187</v>
      </c>
      <c r="D156" s="192">
        <f t="shared" ref="D156:K156" si="38">SUM(D155:D155)</f>
        <v>1097187</v>
      </c>
      <c r="E156" s="192">
        <f t="shared" si="38"/>
        <v>1097187</v>
      </c>
      <c r="F156" s="192">
        <f t="shared" si="38"/>
        <v>1097187</v>
      </c>
      <c r="G156" s="192">
        <f t="shared" si="38"/>
        <v>1097187</v>
      </c>
      <c r="H156" s="192">
        <f t="shared" ref="H156" si="39">SUM(H155:H155)</f>
        <v>1097187</v>
      </c>
      <c r="I156" s="192">
        <f t="shared" si="38"/>
        <v>0</v>
      </c>
      <c r="J156" s="192">
        <f t="shared" si="38"/>
        <v>0</v>
      </c>
      <c r="K156" s="192">
        <f t="shared" si="38"/>
        <v>1097187</v>
      </c>
      <c r="L156" s="63"/>
      <c r="M156" s="63"/>
    </row>
    <row r="157" spans="1:13">
      <c r="A157" s="22"/>
      <c r="B157" s="98"/>
      <c r="C157" s="22"/>
      <c r="D157" s="22"/>
      <c r="E157" s="22"/>
      <c r="F157" s="22"/>
      <c r="G157" s="48">
        <f>$F156-G156</f>
        <v>0</v>
      </c>
      <c r="H157" s="48">
        <f>$F156-H156</f>
        <v>0</v>
      </c>
      <c r="I157" s="48"/>
      <c r="J157" s="63"/>
      <c r="K157" s="48">
        <f>$F156-K156</f>
        <v>0</v>
      </c>
      <c r="L157" s="22"/>
      <c r="M157" s="22"/>
    </row>
    <row r="158" spans="1:13" ht="14.65" thickBot="1">
      <c r="A158" s="22"/>
      <c r="B158" s="98"/>
      <c r="C158" s="22"/>
      <c r="D158" s="22"/>
      <c r="E158" s="22"/>
      <c r="F158" s="22"/>
      <c r="G158" s="22"/>
      <c r="H158" s="22"/>
      <c r="I158" s="22"/>
      <c r="J158" s="22"/>
      <c r="K158" s="22"/>
      <c r="L158" s="22"/>
      <c r="M158" s="22"/>
    </row>
    <row r="159" spans="1:13">
      <c r="A159" s="750" t="s">
        <v>68</v>
      </c>
      <c r="B159" s="368" t="s">
        <v>246</v>
      </c>
      <c r="C159" s="33">
        <v>0</v>
      </c>
      <c r="D159" s="109">
        <v>0</v>
      </c>
      <c r="E159" s="109">
        <v>0</v>
      </c>
      <c r="F159" s="763">
        <v>0</v>
      </c>
      <c r="G159" s="225">
        <v>0</v>
      </c>
      <c r="H159" s="225">
        <v>0</v>
      </c>
      <c r="I159" s="64"/>
      <c r="J159" s="65"/>
      <c r="K159" s="66">
        <f>SUM(H159:J159)</f>
        <v>0</v>
      </c>
      <c r="L159" s="86"/>
      <c r="M159" s="87"/>
    </row>
    <row r="160" spans="1:13">
      <c r="A160" s="751" t="s">
        <v>69</v>
      </c>
      <c r="B160" s="319" t="s">
        <v>392</v>
      </c>
      <c r="C160" s="54">
        <v>321395</v>
      </c>
      <c r="D160" s="128">
        <v>321395</v>
      </c>
      <c r="E160" s="128">
        <v>321395</v>
      </c>
      <c r="F160" s="764">
        <v>321395</v>
      </c>
      <c r="G160" s="632">
        <v>321395</v>
      </c>
      <c r="H160" s="632">
        <v>321395</v>
      </c>
      <c r="I160" s="68"/>
      <c r="J160" s="69"/>
      <c r="K160" s="70">
        <f t="shared" ref="K160:K161" si="40">SUM(H160:J160)</f>
        <v>321395</v>
      </c>
      <c r="L160" s="89"/>
      <c r="M160" s="81"/>
    </row>
    <row r="161" spans="1:13" ht="14.65" thickBot="1">
      <c r="A161" s="752" t="s">
        <v>70</v>
      </c>
      <c r="B161" s="371" t="s">
        <v>393</v>
      </c>
      <c r="C161" s="55">
        <v>416382</v>
      </c>
      <c r="D161" s="524">
        <v>416382</v>
      </c>
      <c r="E161" s="524">
        <v>416382</v>
      </c>
      <c r="F161" s="765">
        <v>416382</v>
      </c>
      <c r="G161" s="224">
        <v>416382</v>
      </c>
      <c r="H161" s="224">
        <v>416382</v>
      </c>
      <c r="I161" s="71"/>
      <c r="J161" s="72"/>
      <c r="K161" s="73">
        <f t="shared" si="40"/>
        <v>416382</v>
      </c>
      <c r="L161" s="84"/>
      <c r="M161" s="75"/>
    </row>
    <row r="162" spans="1:13" ht="14.65" thickBot="1">
      <c r="A162" s="63"/>
      <c r="B162" s="99"/>
      <c r="C162" s="47">
        <f>SUM(C159:C161)</f>
        <v>737777</v>
      </c>
      <c r="D162" s="47">
        <f t="shared" ref="D162:K162" si="41">SUM(D159:D161)</f>
        <v>737777</v>
      </c>
      <c r="E162" s="47">
        <f t="shared" si="41"/>
        <v>737777</v>
      </c>
      <c r="F162" s="47">
        <f t="shared" si="41"/>
        <v>737777</v>
      </c>
      <c r="G162" s="47">
        <f t="shared" si="41"/>
        <v>737777</v>
      </c>
      <c r="H162" s="47">
        <f t="shared" ref="H162" si="42">SUM(H159:H161)</f>
        <v>737777</v>
      </c>
      <c r="I162" s="47">
        <f t="shared" si="41"/>
        <v>0</v>
      </c>
      <c r="J162" s="47">
        <f t="shared" si="41"/>
        <v>0</v>
      </c>
      <c r="K162" s="47">
        <f t="shared" si="41"/>
        <v>737777</v>
      </c>
      <c r="L162" s="63"/>
      <c r="M162" s="63"/>
    </row>
    <row r="163" spans="1:13">
      <c r="A163" s="22"/>
      <c r="B163" s="98"/>
      <c r="C163" s="22"/>
      <c r="D163" s="22"/>
      <c r="E163" s="22"/>
      <c r="F163" s="22"/>
      <c r="G163" s="48">
        <f>$F162-G162</f>
        <v>0</v>
      </c>
      <c r="H163" s="48">
        <f>$F162-H162</f>
        <v>0</v>
      </c>
      <c r="I163" s="48"/>
      <c r="J163" s="63"/>
      <c r="K163" s="48">
        <f>$F162-K162</f>
        <v>0</v>
      </c>
      <c r="L163" s="22"/>
      <c r="M163" s="22"/>
    </row>
    <row r="164" spans="1:13">
      <c r="A164" s="22"/>
      <c r="B164" s="98"/>
      <c r="C164" s="22"/>
      <c r="D164" s="22"/>
      <c r="E164" s="22"/>
      <c r="F164" s="22"/>
      <c r="G164" s="22"/>
      <c r="H164" s="22"/>
      <c r="J164" s="22"/>
      <c r="K164" s="22"/>
      <c r="L164" s="22"/>
      <c r="M164" s="22"/>
    </row>
  </sheetData>
  <autoFilter ref="A11:M163" xr:uid="{952EAE48-95BA-40C6-A47D-2642590632D0}"/>
  <mergeCells count="1">
    <mergeCell ref="C1:K1"/>
  </mergeCells>
  <phoneticPr fontId="51" type="noConversion"/>
  <conditionalFormatting sqref="G17:H17 G24:H24 G30:H30 G39:H39 G65:H65 G77:H77 G81:H81 G98:H98 G108:H108 G112:H112 G134:H134 G140:H140 G144:H144 G153:H153 G157:H157 G163:H163">
    <cfRule type="cellIs" dxfId="133" priority="263" operator="greaterThan">
      <formula>0</formula>
    </cfRule>
    <cfRule type="cellIs" dxfId="132" priority="264" operator="lessThan">
      <formula>0</formula>
    </cfRule>
  </conditionalFormatting>
  <conditionalFormatting sqref="J17:K17">
    <cfRule type="cellIs" dxfId="131" priority="61" operator="greaterThan">
      <formula>0</formula>
    </cfRule>
    <cfRule type="cellIs" dxfId="130" priority="62" operator="lessThan">
      <formula>0</formula>
    </cfRule>
  </conditionalFormatting>
  <conditionalFormatting sqref="J24:K24">
    <cfRule type="cellIs" dxfId="129" priority="57" operator="greaterThan">
      <formula>0</formula>
    </cfRule>
    <cfRule type="cellIs" dxfId="128" priority="58" operator="lessThan">
      <formula>0</formula>
    </cfRule>
  </conditionalFormatting>
  <conditionalFormatting sqref="J30:K30">
    <cfRule type="cellIs" dxfId="127" priority="53" operator="greaterThan">
      <formula>0</formula>
    </cfRule>
    <cfRule type="cellIs" dxfId="126" priority="54" operator="lessThan">
      <formula>0</formula>
    </cfRule>
  </conditionalFormatting>
  <conditionalFormatting sqref="J39:K39">
    <cfRule type="cellIs" dxfId="125" priority="49" operator="greaterThan">
      <formula>0</formula>
    </cfRule>
    <cfRule type="cellIs" dxfId="124" priority="50" operator="lessThan">
      <formula>0</formula>
    </cfRule>
  </conditionalFormatting>
  <conditionalFormatting sqref="J65:K65">
    <cfRule type="cellIs" dxfId="123" priority="45" operator="greaterThan">
      <formula>0</formula>
    </cfRule>
    <cfRule type="cellIs" dxfId="122" priority="46" operator="lessThan">
      <formula>0</formula>
    </cfRule>
  </conditionalFormatting>
  <conditionalFormatting sqref="J77:K77">
    <cfRule type="cellIs" dxfId="121" priority="41" operator="greaterThan">
      <formula>0</formula>
    </cfRule>
    <cfRule type="cellIs" dxfId="120" priority="42" operator="lessThan">
      <formula>0</formula>
    </cfRule>
  </conditionalFormatting>
  <conditionalFormatting sqref="J81:K81">
    <cfRule type="cellIs" dxfId="119" priority="37" operator="greaterThan">
      <formula>0</formula>
    </cfRule>
    <cfRule type="cellIs" dxfId="118" priority="38" operator="lessThan">
      <formula>0</formula>
    </cfRule>
  </conditionalFormatting>
  <conditionalFormatting sqref="J98:K98">
    <cfRule type="cellIs" dxfId="117" priority="33" operator="greaterThan">
      <formula>0</formula>
    </cfRule>
    <cfRule type="cellIs" dxfId="116" priority="34" operator="lessThan">
      <formula>0</formula>
    </cfRule>
  </conditionalFormatting>
  <conditionalFormatting sqref="J108:K108">
    <cfRule type="cellIs" dxfId="115" priority="29" operator="greaterThan">
      <formula>0</formula>
    </cfRule>
    <cfRule type="cellIs" dxfId="114" priority="30" operator="lessThan">
      <formula>0</formula>
    </cfRule>
  </conditionalFormatting>
  <conditionalFormatting sqref="J112:K112">
    <cfRule type="cellIs" dxfId="113" priority="25" operator="greaterThan">
      <formula>0</formula>
    </cfRule>
    <cfRule type="cellIs" dxfId="112" priority="26" operator="lessThan">
      <formula>0</formula>
    </cfRule>
  </conditionalFormatting>
  <conditionalFormatting sqref="J134:K134">
    <cfRule type="cellIs" dxfId="111" priority="17" operator="greaterThan">
      <formula>0</formula>
    </cfRule>
    <cfRule type="cellIs" dxfId="110" priority="18" operator="lessThan">
      <formula>0</formula>
    </cfRule>
  </conditionalFormatting>
  <conditionalFormatting sqref="J140:K140">
    <cfRule type="cellIs" dxfId="109" priority="21" operator="greaterThan">
      <formula>0</formula>
    </cfRule>
    <cfRule type="cellIs" dxfId="108" priority="22" operator="lessThan">
      <formula>0</formula>
    </cfRule>
  </conditionalFormatting>
  <conditionalFormatting sqref="J144:K144">
    <cfRule type="cellIs" dxfId="107" priority="13" operator="greaterThan">
      <formula>0</formula>
    </cfRule>
    <cfRule type="cellIs" dxfId="106" priority="14" operator="lessThan">
      <formula>0</formula>
    </cfRule>
  </conditionalFormatting>
  <conditionalFormatting sqref="J153:K153">
    <cfRule type="cellIs" dxfId="105" priority="9" operator="greaterThan">
      <formula>0</formula>
    </cfRule>
    <cfRule type="cellIs" dxfId="104" priority="10" operator="lessThan">
      <formula>0</formula>
    </cfRule>
  </conditionalFormatting>
  <conditionalFormatting sqref="J157:K157">
    <cfRule type="cellIs" dxfId="103" priority="5" operator="greaterThan">
      <formula>0</formula>
    </cfRule>
    <cfRule type="cellIs" dxfId="102" priority="6" operator="lessThan">
      <formula>0</formula>
    </cfRule>
  </conditionalFormatting>
  <conditionalFormatting sqref="J163:K163">
    <cfRule type="cellIs" dxfId="101" priority="1" operator="greaterThan">
      <formula>0</formula>
    </cfRule>
    <cfRule type="cellIs" dxfId="100" priority="2" operator="lessThan">
      <formula>0</formula>
    </cfRule>
  </conditionalFormatting>
  <pageMargins left="0.11811023622047245" right="0.11811023622047245" top="0.15748031496062992" bottom="0.35433070866141736" header="0.11811023622047245" footer="0.11811023622047245"/>
  <pageSetup paperSize="9" scale="65" fitToHeight="0" orientation="landscape" r:id="rId1"/>
  <headerFooter>
    <oddFooter>&amp;LGorlice B51 - Feb 26&amp;C&amp;A&amp;R&amp;P</oddFooter>
  </headerFooter>
  <rowBreaks count="3" manualBreakCount="3">
    <brk id="39" max="16383" man="1"/>
    <brk id="99" max="16383" man="1"/>
    <brk id="14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684A-1DD3-4A1D-B105-01A8EA555688}">
  <sheetPr>
    <tabColor rgb="FFFFC000"/>
    <pageSetUpPr fitToPage="1"/>
  </sheetPr>
  <dimension ref="A1:M36"/>
  <sheetViews>
    <sheetView zoomScale="80" zoomScaleNormal="80" workbookViewId="0">
      <selection activeCell="L39" sqref="L39"/>
    </sheetView>
  </sheetViews>
  <sheetFormatPr defaultRowHeight="14.25"/>
  <cols>
    <col min="1" max="1" width="6.796875" customWidth="1"/>
    <col min="2" max="2" width="60.796875" style="96" customWidth="1"/>
    <col min="3" max="11" width="14.796875" customWidth="1"/>
    <col min="12" max="12" width="35.796875" customWidth="1"/>
    <col min="13" max="13" width="13.6640625" bestFit="1" customWidth="1"/>
    <col min="14" max="14" width="12.6640625" bestFit="1" customWidth="1"/>
  </cols>
  <sheetData>
    <row r="1" spans="1:13" ht="22.05" customHeight="1">
      <c r="C1" s="971"/>
      <c r="D1" s="971"/>
      <c r="E1" s="971"/>
      <c r="F1" s="971"/>
      <c r="G1" s="971"/>
      <c r="H1" s="971"/>
      <c r="I1" s="971"/>
      <c r="J1" s="971"/>
      <c r="K1" s="971"/>
    </row>
    <row r="2" spans="1:13" ht="22.05" customHeight="1" thickBot="1">
      <c r="C2" s="3" t="s">
        <v>146</v>
      </c>
      <c r="D2" s="3" t="s">
        <v>249</v>
      </c>
      <c r="E2" s="3" t="s">
        <v>820</v>
      </c>
      <c r="F2" s="736" t="s">
        <v>821</v>
      </c>
      <c r="G2" s="3" t="s">
        <v>742</v>
      </c>
      <c r="H2" s="3" t="s">
        <v>824</v>
      </c>
      <c r="I2" s="3" t="s">
        <v>755</v>
      </c>
      <c r="J2" s="3" t="s">
        <v>26</v>
      </c>
      <c r="K2" s="3" t="s">
        <v>147</v>
      </c>
      <c r="M2" s="259">
        <f>SUM(M5:M8)</f>
        <v>58345340</v>
      </c>
    </row>
    <row r="3" spans="1:13" ht="24" customHeight="1" thickBot="1">
      <c r="A3" s="59">
        <v>3</v>
      </c>
      <c r="B3" s="102" t="s">
        <v>7</v>
      </c>
      <c r="C3" s="103">
        <f>C18+C23+C27+C35</f>
        <v>58345340</v>
      </c>
      <c r="D3" s="139">
        <f>D18+D23+D27+D35</f>
        <v>58345339.999300003</v>
      </c>
      <c r="E3" s="232">
        <f t="shared" ref="E3:K3" si="0">E18+E23+E27+E35</f>
        <v>58345340.000000007</v>
      </c>
      <c r="F3" s="856">
        <f t="shared" si="0"/>
        <v>58345340</v>
      </c>
      <c r="G3" s="232">
        <f>G18+G23+G27+G35</f>
        <v>58345340</v>
      </c>
      <c r="H3" s="232">
        <f>H18+H23+H27+H35</f>
        <v>58345340</v>
      </c>
      <c r="I3" s="252">
        <f t="shared" si="0"/>
        <v>0</v>
      </c>
      <c r="J3" s="92">
        <f t="shared" si="0"/>
        <v>0</v>
      </c>
      <c r="K3" s="232">
        <f t="shared" si="0"/>
        <v>58345340</v>
      </c>
      <c r="L3" s="104"/>
      <c r="M3" s="61"/>
    </row>
    <row r="4" spans="1:13" ht="14.65" thickBot="1">
      <c r="A4" s="22"/>
      <c r="B4" s="98"/>
      <c r="C4" s="22"/>
      <c r="D4" s="22"/>
      <c r="E4" s="22"/>
      <c r="F4" s="22"/>
      <c r="G4" s="62">
        <f>$F$3-G3</f>
        <v>0</v>
      </c>
      <c r="H4" s="62">
        <f>$F$3-H3</f>
        <v>0</v>
      </c>
      <c r="I4" s="95"/>
      <c r="J4" s="95"/>
      <c r="K4" s="62">
        <f>$F$3-K3</f>
        <v>0</v>
      </c>
    </row>
    <row r="5" spans="1:13">
      <c r="A5" s="22"/>
      <c r="B5" s="98"/>
      <c r="C5" s="105"/>
      <c r="D5" s="105"/>
      <c r="E5" s="105"/>
      <c r="F5" s="105"/>
      <c r="G5" s="105"/>
      <c r="H5" s="105"/>
      <c r="I5" s="105"/>
      <c r="J5" s="105"/>
      <c r="K5" s="105"/>
      <c r="L5" s="282" t="s">
        <v>17</v>
      </c>
      <c r="M5" s="58">
        <f>H13+H22+H32</f>
        <v>36070000</v>
      </c>
    </row>
    <row r="6" spans="1:13" ht="14.65" thickBot="1">
      <c r="A6" s="22"/>
      <c r="B6" s="98"/>
      <c r="C6" s="105"/>
      <c r="D6" s="105"/>
      <c r="E6" s="105"/>
      <c r="F6" s="105"/>
      <c r="G6" s="105"/>
      <c r="H6" s="105"/>
      <c r="I6" s="105"/>
      <c r="J6" s="105"/>
      <c r="K6" s="105"/>
      <c r="L6" s="282" t="s">
        <v>832</v>
      </c>
      <c r="M6" s="58">
        <f>H12+H31</f>
        <v>2016200</v>
      </c>
    </row>
    <row r="7" spans="1:13" ht="14.65" thickBot="1">
      <c r="A7" s="22"/>
      <c r="B7" s="98"/>
      <c r="D7" s="27" t="s">
        <v>14</v>
      </c>
      <c r="E7" s="219"/>
      <c r="F7" s="219"/>
      <c r="G7" s="219"/>
      <c r="H7" s="219"/>
      <c r="I7" s="95"/>
      <c r="J7" s="27"/>
      <c r="K7" s="219"/>
      <c r="L7" s="25" t="s">
        <v>15</v>
      </c>
      <c r="M7" s="29">
        <f>H15+H14+H16+H17+H26+H33+H34</f>
        <v>20259140</v>
      </c>
    </row>
    <row r="8" spans="1:13" ht="14.65" thickBot="1">
      <c r="A8" s="22"/>
      <c r="B8" s="98"/>
      <c r="D8" s="27" t="s">
        <v>16</v>
      </c>
      <c r="E8" s="207"/>
      <c r="F8" s="207"/>
      <c r="G8" s="207"/>
      <c r="H8" s="207"/>
      <c r="I8" s="95"/>
      <c r="J8" s="27"/>
      <c r="K8" s="207"/>
      <c r="L8" s="31" t="s">
        <v>0</v>
      </c>
      <c r="M8" s="32">
        <f>SUM(I3:J3)</f>
        <v>0</v>
      </c>
    </row>
    <row r="9" spans="1:13">
      <c r="A9" s="22"/>
      <c r="B9" s="98"/>
      <c r="C9" s="22"/>
      <c r="D9" s="22"/>
      <c r="E9" s="22"/>
      <c r="F9" s="22"/>
      <c r="G9" s="22"/>
      <c r="H9" s="22"/>
      <c r="I9" s="22"/>
      <c r="J9" s="22"/>
      <c r="K9" s="22"/>
      <c r="L9" s="282" t="s">
        <v>757</v>
      </c>
      <c r="M9" s="26">
        <f>H12+H31</f>
        <v>2016200</v>
      </c>
    </row>
    <row r="10" spans="1:13" ht="14.65" thickBot="1">
      <c r="A10" s="22"/>
      <c r="B10" s="98"/>
      <c r="C10" s="22"/>
      <c r="D10" s="22"/>
      <c r="E10" s="22"/>
      <c r="F10" s="22"/>
      <c r="G10" s="22"/>
      <c r="H10" s="22"/>
      <c r="I10" s="22"/>
      <c r="J10" s="22"/>
      <c r="K10" s="22"/>
    </row>
    <row r="11" spans="1:13">
      <c r="A11" s="106" t="s">
        <v>71</v>
      </c>
      <c r="B11" s="107" t="s">
        <v>394</v>
      </c>
      <c r="C11" s="409">
        <v>0</v>
      </c>
      <c r="D11" s="109">
        <v>0</v>
      </c>
      <c r="E11" s="109">
        <v>0</v>
      </c>
      <c r="F11" s="738">
        <v>0</v>
      </c>
      <c r="G11" s="206">
        <v>0</v>
      </c>
      <c r="H11" s="225">
        <v>0</v>
      </c>
      <c r="I11" s="110"/>
      <c r="J11" s="65"/>
      <c r="K11" s="66">
        <f>SUM(H11:J11)</f>
        <v>0</v>
      </c>
      <c r="L11" s="572"/>
      <c r="M11" s="782"/>
    </row>
    <row r="12" spans="1:13">
      <c r="A12" s="112" t="s">
        <v>72</v>
      </c>
      <c r="B12" s="113" t="s">
        <v>397</v>
      </c>
      <c r="C12" s="410">
        <v>29982000</v>
      </c>
      <c r="D12" s="115">
        <v>29982000</v>
      </c>
      <c r="E12" s="115">
        <v>1700000</v>
      </c>
      <c r="F12" s="739">
        <v>1700000</v>
      </c>
      <c r="G12" s="201">
        <v>1700000</v>
      </c>
      <c r="H12" s="229">
        <v>1700000</v>
      </c>
      <c r="I12" s="116"/>
      <c r="J12" s="69"/>
      <c r="K12" s="70">
        <f t="shared" ref="K12:K17" si="1">SUM(H12:J12)</f>
        <v>1700000</v>
      </c>
      <c r="L12" s="80"/>
      <c r="M12" s="130"/>
    </row>
    <row r="13" spans="1:13">
      <c r="A13" s="402" t="s">
        <v>402</v>
      </c>
      <c r="B13" s="113" t="s">
        <v>397</v>
      </c>
      <c r="C13" s="410">
        <v>0</v>
      </c>
      <c r="D13" s="115">
        <v>0</v>
      </c>
      <c r="E13" s="115">
        <v>28282000.000000007</v>
      </c>
      <c r="F13" s="739">
        <v>28282000</v>
      </c>
      <c r="G13" s="199">
        <v>28282000</v>
      </c>
      <c r="H13" s="365">
        <v>28282000</v>
      </c>
      <c r="I13" s="116"/>
      <c r="J13" s="69"/>
      <c r="K13" s="70">
        <f t="shared" si="1"/>
        <v>28282000</v>
      </c>
      <c r="L13" s="80" t="s">
        <v>280</v>
      </c>
      <c r="M13" s="243" t="s">
        <v>687</v>
      </c>
    </row>
    <row r="14" spans="1:13">
      <c r="A14" s="112" t="s">
        <v>73</v>
      </c>
      <c r="B14" s="113" t="s">
        <v>398</v>
      </c>
      <c r="C14" s="410">
        <v>742140</v>
      </c>
      <c r="D14" s="128">
        <v>742140</v>
      </c>
      <c r="E14" s="128">
        <v>742140</v>
      </c>
      <c r="F14" s="739">
        <v>742140</v>
      </c>
      <c r="G14" s="193">
        <v>742140</v>
      </c>
      <c r="H14" s="632">
        <v>742140</v>
      </c>
      <c r="I14" s="116"/>
      <c r="J14" s="69"/>
      <c r="K14" s="70">
        <f t="shared" si="1"/>
        <v>742140</v>
      </c>
      <c r="L14" s="80"/>
      <c r="M14" s="130"/>
    </row>
    <row r="15" spans="1:13">
      <c r="A15" s="112" t="s">
        <v>74</v>
      </c>
      <c r="B15" s="113" t="s">
        <v>399</v>
      </c>
      <c r="C15" s="410">
        <v>140000</v>
      </c>
      <c r="D15" s="128">
        <v>140000</v>
      </c>
      <c r="E15" s="128">
        <v>140000</v>
      </c>
      <c r="F15" s="739">
        <v>140000</v>
      </c>
      <c r="G15" s="193">
        <v>140000</v>
      </c>
      <c r="H15" s="632">
        <v>140000</v>
      </c>
      <c r="I15" s="117"/>
      <c r="J15" s="69"/>
      <c r="K15" s="70">
        <f t="shared" si="1"/>
        <v>140000</v>
      </c>
      <c r="L15" s="80"/>
      <c r="M15" s="130"/>
    </row>
    <row r="16" spans="1:13">
      <c r="A16" s="112" t="s">
        <v>75</v>
      </c>
      <c r="B16" s="113" t="s">
        <v>400</v>
      </c>
      <c r="C16" s="410">
        <v>980000</v>
      </c>
      <c r="D16" s="128">
        <v>980000</v>
      </c>
      <c r="E16" s="128">
        <v>980000</v>
      </c>
      <c r="F16" s="739">
        <v>980000</v>
      </c>
      <c r="G16" s="193">
        <v>980000</v>
      </c>
      <c r="H16" s="632">
        <v>980000</v>
      </c>
      <c r="I16" s="116"/>
      <c r="J16" s="69"/>
      <c r="K16" s="70">
        <f t="shared" si="1"/>
        <v>980000</v>
      </c>
      <c r="L16" s="80"/>
      <c r="M16" s="130"/>
    </row>
    <row r="17" spans="1:13" ht="14.65" thickBot="1">
      <c r="A17" s="118" t="s">
        <v>76</v>
      </c>
      <c r="B17" s="119" t="s">
        <v>401</v>
      </c>
      <c r="C17" s="411">
        <v>175000</v>
      </c>
      <c r="D17" s="524">
        <v>175000</v>
      </c>
      <c r="E17" s="524">
        <v>175000</v>
      </c>
      <c r="F17" s="740">
        <v>175000</v>
      </c>
      <c r="G17" s="194">
        <v>175000</v>
      </c>
      <c r="H17" s="224">
        <v>175000</v>
      </c>
      <c r="I17" s="121"/>
      <c r="J17" s="72"/>
      <c r="K17" s="73">
        <f t="shared" si="1"/>
        <v>175000</v>
      </c>
      <c r="L17" s="83"/>
      <c r="M17" s="129"/>
    </row>
    <row r="18" spans="1:13" ht="14.65" thickBot="1">
      <c r="A18" s="22"/>
      <c r="B18" s="98"/>
      <c r="C18" s="192">
        <f>SUM(C11:C17)</f>
        <v>32019140</v>
      </c>
      <c r="D18" s="192">
        <f>SUM(D11:D17)</f>
        <v>32019140</v>
      </c>
      <c r="E18" s="192">
        <f t="shared" ref="E18:J18" si="2">SUM(E11:E17)</f>
        <v>32019140.000000007</v>
      </c>
      <c r="F18" s="192">
        <f t="shared" si="2"/>
        <v>32019140</v>
      </c>
      <c r="G18" s="192">
        <f t="shared" si="2"/>
        <v>32019140</v>
      </c>
      <c r="H18" s="192">
        <f t="shared" ref="H18" si="3">SUM(H11:H17)</f>
        <v>32019140</v>
      </c>
      <c r="I18" s="192">
        <f t="shared" si="2"/>
        <v>0</v>
      </c>
      <c r="J18" s="192">
        <f t="shared" si="2"/>
        <v>0</v>
      </c>
      <c r="K18" s="192">
        <f>SUM(K11:K17)</f>
        <v>32019140</v>
      </c>
      <c r="L18" s="22"/>
      <c r="M18" s="781"/>
    </row>
    <row r="19" spans="1:13">
      <c r="A19" s="22"/>
      <c r="B19" s="98"/>
      <c r="C19" s="122"/>
      <c r="D19" s="122"/>
      <c r="E19" s="122"/>
      <c r="F19" s="122"/>
      <c r="G19" s="122">
        <f>$F18-G18</f>
        <v>0</v>
      </c>
      <c r="H19" s="122">
        <f>$F18-H18</f>
        <v>0</v>
      </c>
      <c r="J19" s="48"/>
      <c r="K19" s="122">
        <f>$F18-K18</f>
        <v>0</v>
      </c>
      <c r="L19" s="22"/>
      <c r="M19" s="781"/>
    </row>
    <row r="20" spans="1:13" ht="14.65" thickBot="1">
      <c r="A20" s="22"/>
      <c r="B20" s="98"/>
      <c r="C20" s="22"/>
      <c r="D20" s="48"/>
      <c r="E20" s="48"/>
      <c r="F20" s="48"/>
      <c r="G20" s="48"/>
      <c r="H20" s="48"/>
      <c r="I20" s="95"/>
      <c r="J20" s="22"/>
      <c r="K20" s="22"/>
      <c r="L20" s="22"/>
      <c r="M20" s="781"/>
    </row>
    <row r="21" spans="1:13">
      <c r="A21" s="106" t="s">
        <v>77</v>
      </c>
      <c r="B21" s="107" t="s">
        <v>395</v>
      </c>
      <c r="C21" s="188">
        <v>2579200</v>
      </c>
      <c r="D21" s="109">
        <v>0</v>
      </c>
      <c r="E21" s="109">
        <v>0</v>
      </c>
      <c r="F21" s="738">
        <v>0</v>
      </c>
      <c r="G21" s="225">
        <v>0</v>
      </c>
      <c r="H21" s="225">
        <v>0</v>
      </c>
      <c r="I21" s="110"/>
      <c r="J21" s="65"/>
      <c r="K21" s="66">
        <f t="shared" ref="K21:K22" si="4">SUM(H21:J21)</f>
        <v>0</v>
      </c>
      <c r="L21" s="573"/>
      <c r="M21" s="782"/>
    </row>
    <row r="22" spans="1:13" ht="14.65" thickBot="1">
      <c r="A22" s="118" t="s">
        <v>79</v>
      </c>
      <c r="B22" s="119" t="s">
        <v>395</v>
      </c>
      <c r="C22" s="525">
        <v>0</v>
      </c>
      <c r="D22" s="654">
        <v>2579200</v>
      </c>
      <c r="E22" s="654">
        <v>2579200</v>
      </c>
      <c r="F22" s="740">
        <v>2579200</v>
      </c>
      <c r="G22" s="42">
        <v>2579200</v>
      </c>
      <c r="H22" s="42">
        <v>2579200</v>
      </c>
      <c r="I22" s="121"/>
      <c r="J22" s="72"/>
      <c r="K22" s="73">
        <f t="shared" si="4"/>
        <v>2579200</v>
      </c>
      <c r="L22" s="574" t="s">
        <v>280</v>
      </c>
      <c r="M22" s="775" t="s">
        <v>687</v>
      </c>
    </row>
    <row r="23" spans="1:13" ht="14.65" thickBot="1">
      <c r="A23" s="125"/>
      <c r="B23" s="126"/>
      <c r="C23" s="192">
        <f>SUM(C21:C22)</f>
        <v>2579200</v>
      </c>
      <c r="D23" s="192">
        <f t="shared" ref="D23:K23" si="5">SUM(D21:D22)</f>
        <v>2579200</v>
      </c>
      <c r="E23" s="192">
        <f t="shared" si="5"/>
        <v>2579200</v>
      </c>
      <c r="F23" s="192">
        <f t="shared" si="5"/>
        <v>2579200</v>
      </c>
      <c r="G23" s="192">
        <f t="shared" si="5"/>
        <v>2579200</v>
      </c>
      <c r="H23" s="192">
        <f t="shared" ref="H23" si="6">SUM(H21:H22)</f>
        <v>2579200</v>
      </c>
      <c r="I23" s="192">
        <f t="shared" si="5"/>
        <v>0</v>
      </c>
      <c r="J23" s="192">
        <f t="shared" si="5"/>
        <v>0</v>
      </c>
      <c r="K23" s="192">
        <f t="shared" si="5"/>
        <v>2579200</v>
      </c>
      <c r="L23" s="22"/>
      <c r="M23" s="781"/>
    </row>
    <row r="24" spans="1:13">
      <c r="A24" s="125"/>
      <c r="B24" s="126"/>
      <c r="C24" s="122"/>
      <c r="D24" s="122"/>
      <c r="E24" s="122"/>
      <c r="F24" s="122"/>
      <c r="G24" s="122">
        <f>$F23-G23</f>
        <v>0</v>
      </c>
      <c r="H24" s="122">
        <f>$F23-H23</f>
        <v>0</v>
      </c>
      <c r="J24" s="48"/>
      <c r="K24" s="122">
        <f>$F23-K23</f>
        <v>0</v>
      </c>
      <c r="L24" s="22"/>
      <c r="M24" s="781"/>
    </row>
    <row r="25" spans="1:13" ht="14.65" thickBot="1">
      <c r="A25" s="22"/>
      <c r="B25" s="98"/>
      <c r="C25" s="22"/>
      <c r="D25" s="22"/>
      <c r="E25" s="22"/>
      <c r="F25" s="22"/>
      <c r="G25" s="22"/>
      <c r="H25" s="22"/>
      <c r="I25" s="22"/>
      <c r="J25" s="22"/>
      <c r="K25" s="22"/>
      <c r="L25" s="22"/>
      <c r="M25" s="781"/>
    </row>
    <row r="26" spans="1:13" ht="14.65" thickBot="1">
      <c r="A26" s="131" t="s">
        <v>80</v>
      </c>
      <c r="B26" s="403" t="s">
        <v>396</v>
      </c>
      <c r="C26" s="132">
        <v>13510000</v>
      </c>
      <c r="D26" s="527">
        <v>13510000</v>
      </c>
      <c r="E26" s="527">
        <v>13510000.000000002</v>
      </c>
      <c r="F26" s="737">
        <v>13509999.999999998</v>
      </c>
      <c r="G26" s="230">
        <v>13509999.999999998</v>
      </c>
      <c r="H26" s="230">
        <v>13509999.999999998</v>
      </c>
      <c r="I26" s="134"/>
      <c r="J26" s="91"/>
      <c r="K26" s="92">
        <f>SUM(H26:J26)</f>
        <v>13509999.999999998</v>
      </c>
      <c r="L26" s="575"/>
      <c r="M26" s="783"/>
    </row>
    <row r="27" spans="1:13" ht="14.65" thickBot="1">
      <c r="A27" s="125"/>
      <c r="B27" s="126"/>
      <c r="C27" s="192">
        <f>SUM(C26:C26)</f>
        <v>13510000</v>
      </c>
      <c r="D27" s="192">
        <f t="shared" ref="D27:K27" si="7">SUM(D26:D26)</f>
        <v>13510000</v>
      </c>
      <c r="E27" s="192">
        <f t="shared" si="7"/>
        <v>13510000.000000002</v>
      </c>
      <c r="F27" s="192">
        <f t="shared" si="7"/>
        <v>13509999.999999998</v>
      </c>
      <c r="G27" s="192">
        <f t="shared" si="7"/>
        <v>13509999.999999998</v>
      </c>
      <c r="H27" s="192">
        <f t="shared" ref="H27" si="8">SUM(H26:H26)</f>
        <v>13509999.999999998</v>
      </c>
      <c r="I27" s="192">
        <f t="shared" si="7"/>
        <v>0</v>
      </c>
      <c r="J27" s="192">
        <f t="shared" si="7"/>
        <v>0</v>
      </c>
      <c r="K27" s="192">
        <f t="shared" si="7"/>
        <v>13509999.999999998</v>
      </c>
      <c r="L27" s="22"/>
      <c r="M27" s="781"/>
    </row>
    <row r="28" spans="1:13">
      <c r="A28" s="125"/>
      <c r="B28" s="126"/>
      <c r="C28" s="122"/>
      <c r="D28" s="122"/>
      <c r="E28" s="122"/>
      <c r="F28" s="122"/>
      <c r="G28" s="122">
        <f>$F27-G27</f>
        <v>0</v>
      </c>
      <c r="H28" s="122">
        <f>$F27-H27</f>
        <v>0</v>
      </c>
      <c r="J28" s="48"/>
      <c r="K28" s="122">
        <f>$F27-K27</f>
        <v>0</v>
      </c>
      <c r="L28" s="22"/>
      <c r="M28" s="781"/>
    </row>
    <row r="29" spans="1:13" ht="14.65" thickBot="1">
      <c r="A29" s="22"/>
      <c r="B29" s="98"/>
      <c r="C29" s="22"/>
      <c r="D29" s="22"/>
      <c r="E29" s="22"/>
      <c r="F29" s="22"/>
      <c r="G29" s="22"/>
      <c r="H29" s="22"/>
      <c r="I29" s="22"/>
      <c r="J29" s="22"/>
      <c r="K29" s="22"/>
      <c r="L29" s="22"/>
      <c r="M29" s="781"/>
    </row>
    <row r="30" spans="1:13">
      <c r="A30" s="106" t="s">
        <v>80</v>
      </c>
      <c r="B30" s="107" t="s">
        <v>403</v>
      </c>
      <c r="C30" s="108">
        <v>0</v>
      </c>
      <c r="D30" s="109">
        <v>0</v>
      </c>
      <c r="E30" s="109">
        <v>0</v>
      </c>
      <c r="F30" s="738">
        <v>0</v>
      </c>
      <c r="G30" s="225">
        <v>0</v>
      </c>
      <c r="H30" s="225">
        <v>0</v>
      </c>
      <c r="I30" s="110"/>
      <c r="J30" s="65"/>
      <c r="K30" s="66">
        <f t="shared" ref="K30:K34" si="9">SUM(H30:J30)</f>
        <v>0</v>
      </c>
      <c r="L30" s="573"/>
      <c r="M30" s="782"/>
    </row>
    <row r="31" spans="1:13">
      <c r="A31" s="112" t="s">
        <v>83</v>
      </c>
      <c r="B31" s="113" t="s">
        <v>404</v>
      </c>
      <c r="C31" s="114">
        <v>5525000</v>
      </c>
      <c r="D31" s="127">
        <v>686199.99930000002</v>
      </c>
      <c r="E31" s="127">
        <v>316200</v>
      </c>
      <c r="F31" s="739">
        <v>316200</v>
      </c>
      <c r="G31" s="229">
        <v>316200</v>
      </c>
      <c r="H31" s="229">
        <v>316200</v>
      </c>
      <c r="I31" s="116"/>
      <c r="J31" s="69"/>
      <c r="K31" s="70">
        <f t="shared" si="9"/>
        <v>316200</v>
      </c>
      <c r="L31" s="576"/>
      <c r="M31" s="784"/>
    </row>
    <row r="32" spans="1:13" ht="18" customHeight="1">
      <c r="A32" s="407" t="s">
        <v>84</v>
      </c>
      <c r="B32" s="405" t="s">
        <v>404</v>
      </c>
      <c r="C32" s="211">
        <v>0</v>
      </c>
      <c r="D32" s="681">
        <v>4838800.0000000009</v>
      </c>
      <c r="E32" s="681">
        <v>5208800</v>
      </c>
      <c r="F32" s="787">
        <v>5208800</v>
      </c>
      <c r="G32" s="408">
        <v>5208800</v>
      </c>
      <c r="H32" s="408">
        <v>5208800</v>
      </c>
      <c r="I32" s="406"/>
      <c r="J32" s="212"/>
      <c r="K32" s="388">
        <f t="shared" si="9"/>
        <v>5208800</v>
      </c>
      <c r="L32" s="577" t="s">
        <v>280</v>
      </c>
      <c r="M32" s="785" t="s">
        <v>687</v>
      </c>
    </row>
    <row r="33" spans="1:13">
      <c r="A33" s="404" t="s">
        <v>407</v>
      </c>
      <c r="B33" s="405" t="s">
        <v>405</v>
      </c>
      <c r="C33" s="211">
        <v>2752000</v>
      </c>
      <c r="D33" s="682">
        <v>2752000</v>
      </c>
      <c r="E33" s="682">
        <v>2752000</v>
      </c>
      <c r="F33" s="787">
        <v>2752000</v>
      </c>
      <c r="G33" s="412">
        <v>2752000</v>
      </c>
      <c r="H33" s="412">
        <v>2752000</v>
      </c>
      <c r="I33" s="406"/>
      <c r="J33" s="212"/>
      <c r="K33" s="388">
        <f t="shared" si="9"/>
        <v>2752000</v>
      </c>
      <c r="L33" s="577"/>
      <c r="M33" s="786"/>
    </row>
    <row r="34" spans="1:13" ht="14.65" thickBot="1">
      <c r="A34" s="118" t="s">
        <v>408</v>
      </c>
      <c r="B34" s="119" t="s">
        <v>406</v>
      </c>
      <c r="C34" s="120">
        <v>1960000</v>
      </c>
      <c r="D34" s="524">
        <v>1960000</v>
      </c>
      <c r="E34" s="524">
        <v>1960000</v>
      </c>
      <c r="F34" s="740">
        <v>1960000</v>
      </c>
      <c r="G34" s="224">
        <v>1960000</v>
      </c>
      <c r="H34" s="224">
        <v>1960000</v>
      </c>
      <c r="I34" s="123"/>
      <c r="J34" s="72"/>
      <c r="K34" s="73">
        <f t="shared" si="9"/>
        <v>1960000</v>
      </c>
      <c r="L34" s="124"/>
      <c r="M34" s="85"/>
    </row>
    <row r="35" spans="1:13" ht="14.65" thickBot="1">
      <c r="A35" s="125"/>
      <c r="B35" s="126"/>
      <c r="C35" s="47">
        <f>SUM(C30:C34)</f>
        <v>10237000</v>
      </c>
      <c r="D35" s="47">
        <f t="shared" ref="D35:K35" si="10">SUM(D30:D34)</f>
        <v>10236999.999300001</v>
      </c>
      <c r="E35" s="47">
        <f t="shared" si="10"/>
        <v>10237000</v>
      </c>
      <c r="F35" s="47">
        <f t="shared" si="10"/>
        <v>10237000</v>
      </c>
      <c r="G35" s="47">
        <f t="shared" si="10"/>
        <v>10237000</v>
      </c>
      <c r="H35" s="47">
        <f t="shared" ref="H35" si="11">SUM(H30:H34)</f>
        <v>10237000</v>
      </c>
      <c r="I35" s="47">
        <f t="shared" si="10"/>
        <v>0</v>
      </c>
      <c r="J35" s="47">
        <f t="shared" si="10"/>
        <v>0</v>
      </c>
      <c r="K35" s="47">
        <f t="shared" si="10"/>
        <v>10237000</v>
      </c>
      <c r="L35" s="22"/>
      <c r="M35" s="22"/>
    </row>
    <row r="36" spans="1:13">
      <c r="A36" s="125"/>
      <c r="B36" s="126"/>
      <c r="C36" s="122"/>
      <c r="D36" s="122"/>
      <c r="E36" s="122"/>
      <c r="F36" s="122"/>
      <c r="G36" s="122">
        <f>$F35-G35</f>
        <v>0</v>
      </c>
      <c r="H36" s="122">
        <f>$F35-H35</f>
        <v>0</v>
      </c>
      <c r="J36" s="48"/>
      <c r="K36" s="122">
        <f>$F35-K35</f>
        <v>0</v>
      </c>
      <c r="L36" s="22"/>
      <c r="M36" s="22"/>
    </row>
  </sheetData>
  <mergeCells count="1">
    <mergeCell ref="C1:K1"/>
  </mergeCells>
  <phoneticPr fontId="51" type="noConversion"/>
  <conditionalFormatting sqref="D19:H19">
    <cfRule type="cellIs" dxfId="99" priority="41" operator="lessThan">
      <formula>0</formula>
    </cfRule>
    <cfRule type="cellIs" dxfId="98" priority="42" operator="greaterThan">
      <formula>0</formula>
    </cfRule>
  </conditionalFormatting>
  <conditionalFormatting sqref="D24:H24">
    <cfRule type="cellIs" dxfId="97" priority="11" operator="lessThan">
      <formula>0</formula>
    </cfRule>
    <cfRule type="cellIs" dxfId="96" priority="12" operator="greaterThan">
      <formula>0</formula>
    </cfRule>
  </conditionalFormatting>
  <conditionalFormatting sqref="D28:H28">
    <cfRule type="cellIs" dxfId="95" priority="7" operator="lessThan">
      <formula>0</formula>
    </cfRule>
    <cfRule type="cellIs" dxfId="94" priority="8" operator="greaterThan">
      <formula>0</formula>
    </cfRule>
  </conditionalFormatting>
  <conditionalFormatting sqref="D36:H36">
    <cfRule type="cellIs" dxfId="93" priority="3" operator="lessThan">
      <formula>0</formula>
    </cfRule>
    <cfRule type="cellIs" dxfId="92" priority="4" operator="greaterThan">
      <formula>0</formula>
    </cfRule>
  </conditionalFormatting>
  <conditionalFormatting sqref="K19">
    <cfRule type="cellIs" dxfId="91" priority="13" operator="lessThan">
      <formula>0</formula>
    </cfRule>
    <cfRule type="cellIs" dxfId="90" priority="14" operator="greaterThan">
      <formula>0</formula>
    </cfRule>
  </conditionalFormatting>
  <conditionalFormatting sqref="K24">
    <cfRule type="cellIs" dxfId="89" priority="9" operator="lessThan">
      <formula>0</formula>
    </cfRule>
    <cfRule type="cellIs" dxfId="88" priority="10" operator="greaterThan">
      <formula>0</formula>
    </cfRule>
  </conditionalFormatting>
  <conditionalFormatting sqref="K28">
    <cfRule type="cellIs" dxfId="87" priority="5" operator="lessThan">
      <formula>0</formula>
    </cfRule>
    <cfRule type="cellIs" dxfId="86" priority="6" operator="greaterThan">
      <formula>0</formula>
    </cfRule>
  </conditionalFormatting>
  <conditionalFormatting sqref="K36">
    <cfRule type="cellIs" dxfId="85" priority="1" operator="lessThan">
      <formula>0</formula>
    </cfRule>
    <cfRule type="cellIs" dxfId="84" priority="2" operator="greaterThan">
      <formula>0</formula>
    </cfRule>
  </conditionalFormatting>
  <pageMargins left="0.11811023622047245" right="0.11811023622047245" top="0.15748031496062992" bottom="0.35433070866141736" header="0.11811023622047245" footer="0.11811023622047245"/>
  <pageSetup paperSize="9" scale="66" fitToHeight="0" orientation="landscape" r:id="rId1"/>
  <headerFooter>
    <oddFooter>&amp;LGorlice B51 - Feb 26&amp;C&amp;A&amp;R&amp;P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BED7-D469-499F-9D1C-26D9ED290839}">
  <sheetPr>
    <tabColor rgb="FFFFC000"/>
    <pageSetUpPr fitToPage="1"/>
  </sheetPr>
  <dimension ref="A1:M42"/>
  <sheetViews>
    <sheetView topLeftCell="B1" zoomScale="80" zoomScaleNormal="80" workbookViewId="0">
      <selection activeCell="G2" sqref="G2:H2"/>
    </sheetView>
  </sheetViews>
  <sheetFormatPr defaultRowHeight="14.25"/>
  <cols>
    <col min="1" max="1" width="6.796875" customWidth="1"/>
    <col min="2" max="2" width="60.796875" style="96" customWidth="1"/>
    <col min="3" max="5" width="14.796875" customWidth="1"/>
    <col min="6" max="6" width="18" bestFit="1" customWidth="1"/>
    <col min="7" max="11" width="14.796875" customWidth="1"/>
    <col min="12" max="12" width="35.796875" customWidth="1"/>
    <col min="13" max="13" width="12.796875" customWidth="1"/>
    <col min="14" max="14" width="12.6640625" bestFit="1" customWidth="1"/>
  </cols>
  <sheetData>
    <row r="1" spans="1:13" ht="22.05" customHeight="1">
      <c r="C1" s="971"/>
      <c r="D1" s="971"/>
      <c r="E1" s="971"/>
      <c r="F1" s="971"/>
      <c r="G1" s="971"/>
      <c r="H1" s="971"/>
      <c r="I1" s="971"/>
      <c r="J1" s="971"/>
      <c r="K1" s="971"/>
    </row>
    <row r="2" spans="1:13" ht="22.05" customHeight="1" thickBot="1">
      <c r="C2" s="3" t="s">
        <v>833</v>
      </c>
      <c r="D2" s="3" t="s">
        <v>834</v>
      </c>
      <c r="E2" s="3" t="s">
        <v>835</v>
      </c>
      <c r="F2" s="736" t="s">
        <v>836</v>
      </c>
      <c r="G2" s="3" t="s">
        <v>742</v>
      </c>
      <c r="H2" s="3" t="s">
        <v>824</v>
      </c>
      <c r="I2" s="3" t="s">
        <v>755</v>
      </c>
      <c r="J2" s="3" t="s">
        <v>26</v>
      </c>
      <c r="K2" s="3" t="s">
        <v>147</v>
      </c>
      <c r="M2" s="259">
        <f>SUM(M6:M9)</f>
        <v>21293319.001499999</v>
      </c>
    </row>
    <row r="3" spans="1:13" ht="24" customHeight="1" thickBot="1">
      <c r="A3" s="59">
        <v>4</v>
      </c>
      <c r="B3" s="102" t="s">
        <v>837</v>
      </c>
      <c r="C3" s="139">
        <f>C13+C27+C40</f>
        <v>21293319</v>
      </c>
      <c r="D3" s="139">
        <f t="shared" ref="D3:K3" si="0">D13+D27+D40</f>
        <v>21293319</v>
      </c>
      <c r="E3" s="139">
        <f t="shared" si="0"/>
        <v>21293319.001499996</v>
      </c>
      <c r="F3" s="857">
        <f t="shared" si="0"/>
        <v>21293319.001499996</v>
      </c>
      <c r="G3" s="139">
        <f>H13+H27+H40</f>
        <v>21293319.001499996</v>
      </c>
      <c r="H3" s="139">
        <f t="shared" ref="H3" si="1">H13+H27+H40</f>
        <v>21293319.001499996</v>
      </c>
      <c r="I3" s="252">
        <f t="shared" si="0"/>
        <v>0</v>
      </c>
      <c r="J3" s="685">
        <f t="shared" si="0"/>
        <v>0</v>
      </c>
      <c r="K3" s="139">
        <f t="shared" si="0"/>
        <v>21293319.001499996</v>
      </c>
      <c r="L3" s="60"/>
      <c r="M3" s="61"/>
    </row>
    <row r="4" spans="1:13" ht="14.65" thickBot="1">
      <c r="A4" s="22"/>
      <c r="B4" s="98"/>
      <c r="C4" s="22"/>
      <c r="D4" s="22"/>
      <c r="E4" s="22"/>
      <c r="F4" s="22"/>
      <c r="G4" s="62">
        <f>$F$3-H3</f>
        <v>0</v>
      </c>
      <c r="H4" s="62">
        <f>$F$3-H3</f>
        <v>0</v>
      </c>
      <c r="I4" s="63"/>
      <c r="J4" s="63"/>
      <c r="K4" s="62">
        <f>$F$3-K3</f>
        <v>0</v>
      </c>
      <c r="L4" s="22"/>
      <c r="M4" s="22"/>
    </row>
    <row r="5" spans="1:13">
      <c r="A5" s="22"/>
      <c r="B5" s="98"/>
      <c r="C5" s="22"/>
      <c r="D5" s="95"/>
      <c r="E5" s="95"/>
      <c r="F5" s="95"/>
      <c r="G5" s="95"/>
      <c r="H5" s="95"/>
      <c r="I5" s="63"/>
      <c r="J5" s="63"/>
      <c r="K5" s="63"/>
    </row>
    <row r="6" spans="1:13" ht="14.65" thickBot="1">
      <c r="A6" s="22"/>
      <c r="B6" s="98"/>
      <c r="C6" s="22"/>
      <c r="D6" s="95"/>
      <c r="E6" s="95"/>
      <c r="F6" s="95"/>
      <c r="G6" s="95"/>
      <c r="H6" s="95"/>
      <c r="I6" s="63"/>
      <c r="J6" s="63"/>
      <c r="K6" s="63"/>
      <c r="L6" s="282" t="s">
        <v>17</v>
      </c>
      <c r="M6" s="58">
        <v>0</v>
      </c>
    </row>
    <row r="7" spans="1:13" ht="14.65" thickBot="1">
      <c r="A7" s="22"/>
      <c r="B7" s="98"/>
      <c r="D7" s="27" t="s">
        <v>838</v>
      </c>
      <c r="E7" s="233"/>
      <c r="F7" s="217"/>
      <c r="G7" s="217"/>
      <c r="H7" s="217"/>
      <c r="I7" s="63"/>
      <c r="J7" s="27" t="s">
        <v>838</v>
      </c>
      <c r="K7" s="217"/>
      <c r="L7" s="282" t="s">
        <v>839</v>
      </c>
      <c r="M7" s="58">
        <f>0</f>
        <v>0</v>
      </c>
    </row>
    <row r="8" spans="1:13" ht="14.65" thickBot="1">
      <c r="A8" s="22"/>
      <c r="B8" s="98"/>
      <c r="D8" s="27" t="s">
        <v>16</v>
      </c>
      <c r="E8" s="218"/>
      <c r="F8" s="218"/>
      <c r="G8" s="218"/>
      <c r="H8" s="218"/>
      <c r="I8" s="63"/>
      <c r="J8" s="27" t="s">
        <v>16</v>
      </c>
      <c r="K8" s="218"/>
      <c r="L8" s="25" t="s">
        <v>15</v>
      </c>
      <c r="M8" s="29">
        <f>H12+H17+H18+H19+H20+H21+H22+H23+H24+H25+H26+H31+H32+H33+H34+H35+H36+H37+H38+H39</f>
        <v>21293319.001499999</v>
      </c>
    </row>
    <row r="9" spans="1:13" ht="14.65" thickBot="1">
      <c r="A9" s="22"/>
      <c r="B9" s="98"/>
      <c r="D9" s="22"/>
      <c r="E9" s="22"/>
      <c r="F9" s="22"/>
      <c r="H9" s="62"/>
      <c r="I9" s="63"/>
      <c r="J9" s="63"/>
      <c r="K9" s="23">
        <f>K7+K8</f>
        <v>0</v>
      </c>
      <c r="L9" s="31" t="s">
        <v>0</v>
      </c>
      <c r="M9" s="32">
        <v>0</v>
      </c>
    </row>
    <row r="10" spans="1:13">
      <c r="A10" s="22"/>
      <c r="B10" s="98"/>
      <c r="C10" s="22"/>
      <c r="D10" s="22"/>
      <c r="E10" s="22"/>
      <c r="F10" s="22"/>
      <c r="G10" s="22"/>
      <c r="H10" s="22"/>
      <c r="I10" s="63"/>
      <c r="J10" s="63"/>
      <c r="K10" s="63"/>
      <c r="L10" s="25" t="s">
        <v>757</v>
      </c>
      <c r="M10" s="26">
        <v>0</v>
      </c>
    </row>
    <row r="11" spans="1:13" ht="14.65" thickBot="1">
      <c r="A11" s="22"/>
      <c r="B11" s="98"/>
      <c r="C11" s="22"/>
      <c r="D11" s="22"/>
      <c r="E11" s="22"/>
      <c r="F11" s="22"/>
      <c r="G11" s="22"/>
      <c r="H11" s="22"/>
      <c r="I11" s="63"/>
      <c r="J11" s="63"/>
      <c r="K11" s="63"/>
    </row>
    <row r="12" spans="1:13" ht="14.65" thickBot="1">
      <c r="A12" s="214" t="s">
        <v>105</v>
      </c>
      <c r="B12" s="413" t="s">
        <v>104</v>
      </c>
      <c r="C12" s="143">
        <v>1009700</v>
      </c>
      <c r="D12" s="527">
        <v>1009700</v>
      </c>
      <c r="E12" s="689">
        <v>1009700</v>
      </c>
      <c r="F12" s="737">
        <v>1009700</v>
      </c>
      <c r="G12" s="208">
        <v>1009700</v>
      </c>
      <c r="H12" s="230">
        <v>1009700</v>
      </c>
      <c r="I12" s="683"/>
      <c r="J12" s="51"/>
      <c r="K12" s="52">
        <f>SUM(H12:J12)</f>
        <v>1009700</v>
      </c>
      <c r="L12" s="414"/>
      <c r="M12" s="415"/>
    </row>
    <row r="13" spans="1:13" ht="14.65" thickBot="1">
      <c r="A13" s="22"/>
      <c r="B13" s="98"/>
      <c r="C13" s="192">
        <f t="shared" ref="C13:K13" si="2">SUM(C12:C12)</f>
        <v>1009700</v>
      </c>
      <c r="D13" s="192">
        <f t="shared" si="2"/>
        <v>1009700</v>
      </c>
      <c r="E13" s="192">
        <f t="shared" si="2"/>
        <v>1009700</v>
      </c>
      <c r="F13" s="192">
        <f t="shared" si="2"/>
        <v>1009700</v>
      </c>
      <c r="G13" s="192">
        <f>SUM(H12:H12)</f>
        <v>1009700</v>
      </c>
      <c r="H13" s="192">
        <f t="shared" ref="H13" si="3">SUM(H12:H12)</f>
        <v>1009700</v>
      </c>
      <c r="I13" s="192">
        <f t="shared" si="2"/>
        <v>0</v>
      </c>
      <c r="J13" s="192">
        <f t="shared" si="2"/>
        <v>0</v>
      </c>
      <c r="K13" s="192">
        <f t="shared" si="2"/>
        <v>1009700</v>
      </c>
      <c r="L13" s="63"/>
      <c r="M13" s="63"/>
    </row>
    <row r="14" spans="1:13">
      <c r="A14" s="22"/>
      <c r="B14" s="98"/>
      <c r="C14" s="63"/>
      <c r="D14" s="63"/>
      <c r="E14" s="63"/>
      <c r="F14" s="63"/>
      <c r="G14" s="122">
        <f>$F13-H13</f>
        <v>0</v>
      </c>
      <c r="H14" s="122">
        <f>$F13-H13</f>
        <v>0</v>
      </c>
      <c r="I14" s="63"/>
      <c r="J14" s="63"/>
      <c r="K14" s="122">
        <f>$F13-K13</f>
        <v>0</v>
      </c>
      <c r="L14" s="63"/>
      <c r="M14" s="63"/>
    </row>
    <row r="15" spans="1:13" ht="14.65" thickBot="1">
      <c r="A15" s="22"/>
      <c r="B15" s="98"/>
      <c r="C15" s="22"/>
      <c r="D15" s="22"/>
      <c r="E15" s="22"/>
      <c r="F15" s="22"/>
      <c r="G15" s="22"/>
      <c r="H15" s="22"/>
      <c r="I15" s="63"/>
      <c r="J15" s="63"/>
      <c r="K15" s="63"/>
      <c r="L15" s="22"/>
      <c r="M15" s="22"/>
    </row>
    <row r="16" spans="1:13">
      <c r="A16" s="213" t="s">
        <v>106</v>
      </c>
      <c r="B16" s="526" t="s">
        <v>840</v>
      </c>
      <c r="C16" s="148">
        <v>0</v>
      </c>
      <c r="D16" s="109">
        <v>0</v>
      </c>
      <c r="E16" s="109">
        <v>0</v>
      </c>
      <c r="F16" s="738">
        <v>0</v>
      </c>
      <c r="G16" s="206">
        <v>0</v>
      </c>
      <c r="H16" s="225">
        <v>0</v>
      </c>
      <c r="I16" s="262"/>
      <c r="J16" s="65"/>
      <c r="K16" s="66">
        <f t="shared" ref="K16:K26" si="4">SUM(H16:J16)</f>
        <v>0</v>
      </c>
      <c r="L16" s="263"/>
      <c r="M16" s="264"/>
    </row>
    <row r="17" spans="1:13">
      <c r="A17" s="137" t="s">
        <v>107</v>
      </c>
      <c r="B17" s="253" t="s">
        <v>416</v>
      </c>
      <c r="C17" s="202">
        <v>2211870</v>
      </c>
      <c r="D17" s="684">
        <v>2211870</v>
      </c>
      <c r="E17" s="684">
        <v>2211870</v>
      </c>
      <c r="F17" s="739">
        <v>2211870</v>
      </c>
      <c r="G17" s="193">
        <v>2211870</v>
      </c>
      <c r="H17" s="632">
        <v>2211870</v>
      </c>
      <c r="I17" s="209"/>
      <c r="J17" s="69"/>
      <c r="K17" s="70">
        <f t="shared" si="4"/>
        <v>2211870</v>
      </c>
      <c r="L17" s="265"/>
      <c r="M17" s="268"/>
    </row>
    <row r="18" spans="1:13">
      <c r="A18" s="137" t="s">
        <v>108</v>
      </c>
      <c r="B18" s="253" t="s">
        <v>841</v>
      </c>
      <c r="C18" s="156">
        <v>275700</v>
      </c>
      <c r="D18" s="128">
        <v>275700</v>
      </c>
      <c r="E18" s="128">
        <v>275700</v>
      </c>
      <c r="F18" s="739">
        <v>275700</v>
      </c>
      <c r="G18" s="193">
        <v>275700</v>
      </c>
      <c r="H18" s="632">
        <v>275700</v>
      </c>
      <c r="I18" s="209"/>
      <c r="J18" s="69"/>
      <c r="K18" s="70">
        <f t="shared" si="4"/>
        <v>275700</v>
      </c>
      <c r="L18" s="266"/>
      <c r="M18" s="268"/>
    </row>
    <row r="19" spans="1:13">
      <c r="A19" s="137" t="s">
        <v>184</v>
      </c>
      <c r="B19" s="253" t="s">
        <v>842</v>
      </c>
      <c r="C19" s="156">
        <v>715920</v>
      </c>
      <c r="D19" s="128">
        <v>715920</v>
      </c>
      <c r="E19" s="128">
        <v>715920</v>
      </c>
      <c r="F19" s="739">
        <v>715920</v>
      </c>
      <c r="G19" s="193">
        <v>715920</v>
      </c>
      <c r="H19" s="632">
        <v>715920</v>
      </c>
      <c r="I19" s="209"/>
      <c r="J19" s="69"/>
      <c r="K19" s="70">
        <f t="shared" si="4"/>
        <v>715920</v>
      </c>
      <c r="L19" s="266"/>
      <c r="M19" s="268"/>
    </row>
    <row r="20" spans="1:13">
      <c r="A20" s="137" t="s">
        <v>185</v>
      </c>
      <c r="B20" s="253" t="s">
        <v>843</v>
      </c>
      <c r="C20" s="156">
        <v>821016</v>
      </c>
      <c r="D20" s="128">
        <v>821016</v>
      </c>
      <c r="E20" s="128">
        <v>821016</v>
      </c>
      <c r="F20" s="739">
        <v>821016</v>
      </c>
      <c r="G20" s="193">
        <v>821016</v>
      </c>
      <c r="H20" s="632">
        <v>821016</v>
      </c>
      <c r="I20" s="209"/>
      <c r="J20" s="69"/>
      <c r="K20" s="70">
        <f t="shared" si="4"/>
        <v>821016</v>
      </c>
      <c r="L20" s="266"/>
      <c r="M20" s="268"/>
    </row>
    <row r="21" spans="1:13">
      <c r="A21" s="137" t="s">
        <v>410</v>
      </c>
      <c r="B21" s="253" t="s">
        <v>844</v>
      </c>
      <c r="C21" s="156">
        <v>240990</v>
      </c>
      <c r="D21" s="128">
        <v>240990</v>
      </c>
      <c r="E21" s="128">
        <v>240990</v>
      </c>
      <c r="F21" s="739">
        <v>240990</v>
      </c>
      <c r="G21" s="193">
        <v>240990</v>
      </c>
      <c r="H21" s="632">
        <v>240990</v>
      </c>
      <c r="I21" s="209"/>
      <c r="J21" s="69"/>
      <c r="K21" s="70">
        <f t="shared" si="4"/>
        <v>240990</v>
      </c>
      <c r="L21" s="266"/>
      <c r="M21" s="268"/>
    </row>
    <row r="22" spans="1:13">
      <c r="A22" s="137" t="s">
        <v>411</v>
      </c>
      <c r="B22" s="253" t="s">
        <v>845</v>
      </c>
      <c r="C22" s="156">
        <v>45500</v>
      </c>
      <c r="D22" s="128">
        <v>45500</v>
      </c>
      <c r="E22" s="128">
        <v>45500</v>
      </c>
      <c r="F22" s="739">
        <v>45500</v>
      </c>
      <c r="G22" s="193">
        <v>45500</v>
      </c>
      <c r="H22" s="632">
        <v>45500</v>
      </c>
      <c r="I22" s="209"/>
      <c r="J22" s="69"/>
      <c r="K22" s="70">
        <f t="shared" si="4"/>
        <v>45500</v>
      </c>
      <c r="L22" s="266"/>
      <c r="M22" s="268"/>
    </row>
    <row r="23" spans="1:13">
      <c r="A23" s="137" t="s">
        <v>412</v>
      </c>
      <c r="B23" s="253" t="s">
        <v>843</v>
      </c>
      <c r="C23" s="156">
        <v>542750</v>
      </c>
      <c r="D23" s="128">
        <v>542750</v>
      </c>
      <c r="E23" s="128">
        <v>542750.00010000006</v>
      </c>
      <c r="F23" s="739">
        <v>542750.00010000006</v>
      </c>
      <c r="G23" s="193">
        <v>542750.00010000006</v>
      </c>
      <c r="H23" s="632">
        <v>542750.00010000006</v>
      </c>
      <c r="I23" s="209"/>
      <c r="J23" s="69"/>
      <c r="K23" s="70">
        <f t="shared" si="4"/>
        <v>542750.00010000006</v>
      </c>
      <c r="L23" s="266"/>
      <c r="M23" s="268"/>
    </row>
    <row r="24" spans="1:13" ht="20.25">
      <c r="A24" s="137" t="s">
        <v>413</v>
      </c>
      <c r="B24" s="253" t="s">
        <v>417</v>
      </c>
      <c r="C24" s="156">
        <v>1925350</v>
      </c>
      <c r="D24" s="128">
        <v>1925350</v>
      </c>
      <c r="E24" s="128">
        <v>1925350</v>
      </c>
      <c r="F24" s="739">
        <v>1925350</v>
      </c>
      <c r="G24" s="193">
        <v>1925350</v>
      </c>
      <c r="H24" s="632">
        <v>1925350</v>
      </c>
      <c r="I24" s="209"/>
      <c r="J24" s="69"/>
      <c r="K24" s="70">
        <f t="shared" si="4"/>
        <v>1925350</v>
      </c>
      <c r="L24" s="266"/>
      <c r="M24" s="268"/>
    </row>
    <row r="25" spans="1:13">
      <c r="A25" s="137" t="s">
        <v>414</v>
      </c>
      <c r="B25" s="253" t="s">
        <v>846</v>
      </c>
      <c r="C25" s="156">
        <v>285000</v>
      </c>
      <c r="D25" s="128">
        <v>285000</v>
      </c>
      <c r="E25" s="128">
        <v>284999.9999</v>
      </c>
      <c r="F25" s="739">
        <v>284999.9999</v>
      </c>
      <c r="G25" s="193">
        <v>284999.9999</v>
      </c>
      <c r="H25" s="632">
        <v>284999.9999</v>
      </c>
      <c r="I25" s="209"/>
      <c r="J25" s="69"/>
      <c r="K25" s="70">
        <f t="shared" si="4"/>
        <v>284999.9999</v>
      </c>
      <c r="L25" s="266"/>
      <c r="M25" s="268"/>
    </row>
    <row r="26" spans="1:13" ht="14.65" thickBot="1">
      <c r="A26" s="138" t="s">
        <v>415</v>
      </c>
      <c r="B26" s="255" t="s">
        <v>847</v>
      </c>
      <c r="C26" s="149">
        <v>1178293</v>
      </c>
      <c r="D26" s="524">
        <v>1178293</v>
      </c>
      <c r="E26" s="524">
        <v>1178292.997</v>
      </c>
      <c r="F26" s="740">
        <v>1178292.997</v>
      </c>
      <c r="G26" s="194">
        <v>1178292.997</v>
      </c>
      <c r="H26" s="224">
        <v>1178292.997</v>
      </c>
      <c r="I26" s="215"/>
      <c r="J26" s="72"/>
      <c r="K26" s="73">
        <f t="shared" si="4"/>
        <v>1178292.997</v>
      </c>
      <c r="L26" s="267"/>
      <c r="M26" s="269"/>
    </row>
    <row r="27" spans="1:13" ht="14.65" thickBot="1">
      <c r="A27" s="22"/>
      <c r="B27" s="98"/>
      <c r="C27" s="192">
        <f>SUM(C16:C26)</f>
        <v>8242389</v>
      </c>
      <c r="D27" s="192">
        <f t="shared" ref="D27:K27" si="5">SUM(D16:D26)</f>
        <v>8242389</v>
      </c>
      <c r="E27" s="192">
        <f t="shared" si="5"/>
        <v>8242388.9969999995</v>
      </c>
      <c r="F27" s="192">
        <f t="shared" si="5"/>
        <v>8242388.9969999995</v>
      </c>
      <c r="G27" s="192">
        <f>SUM(H16:H26)</f>
        <v>8242388.9969999995</v>
      </c>
      <c r="H27" s="192">
        <f t="shared" ref="H27" si="6">SUM(H16:H26)</f>
        <v>8242388.9969999995</v>
      </c>
      <c r="I27" s="192">
        <f t="shared" si="5"/>
        <v>0</v>
      </c>
      <c r="J27" s="192">
        <f t="shared" si="5"/>
        <v>0</v>
      </c>
      <c r="K27" s="192">
        <f t="shared" si="5"/>
        <v>8242388.9969999995</v>
      </c>
      <c r="L27" s="63"/>
      <c r="M27" s="63"/>
    </row>
    <row r="28" spans="1:13">
      <c r="A28" s="22"/>
      <c r="B28" s="98"/>
      <c r="C28" s="63"/>
      <c r="D28" s="63"/>
      <c r="E28" s="63"/>
      <c r="F28" s="63"/>
      <c r="G28" s="122">
        <f>$F27-H27</f>
        <v>0</v>
      </c>
      <c r="H28" s="122">
        <f>$F27-H27</f>
        <v>0</v>
      </c>
      <c r="I28" s="63"/>
      <c r="J28" s="63"/>
      <c r="K28" s="122">
        <f>$F27-K27</f>
        <v>0</v>
      </c>
      <c r="L28" s="63"/>
      <c r="M28" s="63"/>
    </row>
    <row r="29" spans="1:13" ht="14.65" thickBot="1">
      <c r="A29" s="22"/>
      <c r="B29" s="98"/>
      <c r="C29" s="22"/>
      <c r="D29" s="22"/>
      <c r="E29" s="22"/>
      <c r="F29" s="22"/>
      <c r="G29" s="22"/>
      <c r="H29" s="22"/>
      <c r="I29" s="63"/>
      <c r="J29" s="63"/>
      <c r="K29" s="63"/>
      <c r="L29" s="22"/>
      <c r="M29" s="22"/>
    </row>
    <row r="30" spans="1:13">
      <c r="A30" s="213" t="s">
        <v>109</v>
      </c>
      <c r="B30" s="270" t="s">
        <v>409</v>
      </c>
      <c r="C30" s="148">
        <v>0</v>
      </c>
      <c r="D30" s="109">
        <v>0</v>
      </c>
      <c r="E30" s="109">
        <v>0</v>
      </c>
      <c r="F30" s="738">
        <v>0</v>
      </c>
      <c r="G30" s="225">
        <v>0</v>
      </c>
      <c r="H30" s="225">
        <v>0</v>
      </c>
      <c r="I30" s="272"/>
      <c r="J30" s="65"/>
      <c r="K30" s="66">
        <f t="shared" ref="K30:K39" si="7">SUM(H30:J30)</f>
        <v>0</v>
      </c>
      <c r="L30" s="271"/>
      <c r="M30" s="142"/>
    </row>
    <row r="31" spans="1:13">
      <c r="A31" s="416" t="s">
        <v>110</v>
      </c>
      <c r="B31" s="254" t="s">
        <v>423</v>
      </c>
      <c r="C31" s="156">
        <v>1500000</v>
      </c>
      <c r="D31" s="128">
        <v>1500000</v>
      </c>
      <c r="E31" s="128">
        <v>1500000</v>
      </c>
      <c r="F31" s="739">
        <v>1500000</v>
      </c>
      <c r="G31" s="632">
        <v>1500000</v>
      </c>
      <c r="H31" s="632">
        <v>1500000</v>
      </c>
      <c r="I31" s="209"/>
      <c r="J31" s="69"/>
      <c r="K31" s="70">
        <f t="shared" si="7"/>
        <v>1500000</v>
      </c>
      <c r="L31" s="261"/>
      <c r="M31" s="141"/>
    </row>
    <row r="32" spans="1:13">
      <c r="A32" s="416" t="s">
        <v>187</v>
      </c>
      <c r="B32" s="254" t="s">
        <v>848</v>
      </c>
      <c r="C32" s="156">
        <v>3107033</v>
      </c>
      <c r="D32" s="128">
        <v>3107033</v>
      </c>
      <c r="E32" s="128">
        <v>3107032.9989999998</v>
      </c>
      <c r="F32" s="739">
        <v>3107032.9989999998</v>
      </c>
      <c r="G32" s="632">
        <v>3107032.9989999998</v>
      </c>
      <c r="H32" s="632">
        <v>3107032.9989999998</v>
      </c>
      <c r="I32" s="209"/>
      <c r="J32" s="69"/>
      <c r="K32" s="70">
        <f t="shared" si="7"/>
        <v>3107032.9989999998</v>
      </c>
      <c r="L32" s="261"/>
      <c r="M32" s="141"/>
    </row>
    <row r="33" spans="1:13">
      <c r="A33" s="416" t="s">
        <v>188</v>
      </c>
      <c r="B33" s="254" t="s">
        <v>849</v>
      </c>
      <c r="C33" s="156">
        <v>1548256</v>
      </c>
      <c r="D33" s="128">
        <v>1548256</v>
      </c>
      <c r="E33" s="128">
        <v>1548256.0019999999</v>
      </c>
      <c r="F33" s="739">
        <v>1548256.0019999999</v>
      </c>
      <c r="G33" s="632">
        <v>1548256.0019999999</v>
      </c>
      <c r="H33" s="632">
        <v>1548256.0019999999</v>
      </c>
      <c r="I33" s="209"/>
      <c r="J33" s="69"/>
      <c r="K33" s="70">
        <f t="shared" si="7"/>
        <v>1548256.0019999999</v>
      </c>
      <c r="L33" s="261"/>
      <c r="M33" s="141"/>
    </row>
    <row r="34" spans="1:13" ht="20.25">
      <c r="A34" s="416" t="s">
        <v>189</v>
      </c>
      <c r="B34" s="254" t="s">
        <v>850</v>
      </c>
      <c r="C34" s="156">
        <v>1053444</v>
      </c>
      <c r="D34" s="128">
        <v>1053444</v>
      </c>
      <c r="E34" s="128">
        <v>1053444</v>
      </c>
      <c r="F34" s="739">
        <v>1053444</v>
      </c>
      <c r="G34" s="632">
        <v>1053444</v>
      </c>
      <c r="H34" s="632">
        <v>1053444</v>
      </c>
      <c r="I34" s="209"/>
      <c r="J34" s="69"/>
      <c r="K34" s="70">
        <f t="shared" si="7"/>
        <v>1053444</v>
      </c>
      <c r="L34" s="261"/>
      <c r="M34" s="141"/>
    </row>
    <row r="35" spans="1:13">
      <c r="A35" s="416" t="s">
        <v>418</v>
      </c>
      <c r="B35" s="254" t="s">
        <v>851</v>
      </c>
      <c r="C35" s="156">
        <v>637613</v>
      </c>
      <c r="D35" s="128">
        <v>637613</v>
      </c>
      <c r="E35" s="128">
        <v>637613</v>
      </c>
      <c r="F35" s="739">
        <v>637613</v>
      </c>
      <c r="G35" s="632">
        <v>637613</v>
      </c>
      <c r="H35" s="632">
        <v>637613</v>
      </c>
      <c r="I35" s="209"/>
      <c r="J35" s="69"/>
      <c r="K35" s="70">
        <f t="shared" si="7"/>
        <v>637613</v>
      </c>
      <c r="L35" s="261"/>
      <c r="M35" s="141"/>
    </row>
    <row r="36" spans="1:13">
      <c r="A36" s="416" t="s">
        <v>419</v>
      </c>
      <c r="B36" s="254" t="s">
        <v>852</v>
      </c>
      <c r="C36" s="156">
        <v>10000</v>
      </c>
      <c r="D36" s="128">
        <v>10000</v>
      </c>
      <c r="E36" s="128">
        <v>10000</v>
      </c>
      <c r="F36" s="739">
        <v>10000</v>
      </c>
      <c r="G36" s="632">
        <v>10000</v>
      </c>
      <c r="H36" s="632">
        <v>10000</v>
      </c>
      <c r="I36" s="209"/>
      <c r="J36" s="69"/>
      <c r="K36" s="70">
        <f t="shared" si="7"/>
        <v>10000</v>
      </c>
      <c r="L36" s="261"/>
      <c r="M36" s="141"/>
    </row>
    <row r="37" spans="1:13">
      <c r="A37" s="416" t="s">
        <v>420</v>
      </c>
      <c r="B37" s="254" t="s">
        <v>853</v>
      </c>
      <c r="C37" s="156">
        <v>624272</v>
      </c>
      <c r="D37" s="128">
        <v>624272</v>
      </c>
      <c r="E37" s="128">
        <v>624272.00040000002</v>
      </c>
      <c r="F37" s="739">
        <v>624272.00040000002</v>
      </c>
      <c r="G37" s="632">
        <v>624272.00040000002</v>
      </c>
      <c r="H37" s="632">
        <v>624272.00040000002</v>
      </c>
      <c r="I37" s="209"/>
      <c r="J37" s="69"/>
      <c r="K37" s="70">
        <f t="shared" si="7"/>
        <v>624272.00040000002</v>
      </c>
      <c r="L37" s="261"/>
      <c r="M37" s="141"/>
    </row>
    <row r="38" spans="1:13">
      <c r="A38" s="416" t="s">
        <v>421</v>
      </c>
      <c r="B38" s="254" t="s">
        <v>854</v>
      </c>
      <c r="C38" s="156">
        <v>200969</v>
      </c>
      <c r="D38" s="128">
        <v>200969</v>
      </c>
      <c r="E38" s="128">
        <v>200969.00009999998</v>
      </c>
      <c r="F38" s="739">
        <v>200969.00009999998</v>
      </c>
      <c r="G38" s="632">
        <v>200969.00009999998</v>
      </c>
      <c r="H38" s="632">
        <v>200969.00009999998</v>
      </c>
      <c r="I38" s="209"/>
      <c r="J38" s="69"/>
      <c r="K38" s="70">
        <f t="shared" si="7"/>
        <v>200969.00009999998</v>
      </c>
      <c r="L38" s="261"/>
      <c r="M38" s="141"/>
    </row>
    <row r="39" spans="1:13" ht="14.65" thickBot="1">
      <c r="A39" s="138" t="s">
        <v>422</v>
      </c>
      <c r="B39" s="255" t="s">
        <v>855</v>
      </c>
      <c r="C39" s="149">
        <v>3359643</v>
      </c>
      <c r="D39" s="524">
        <v>3359643</v>
      </c>
      <c r="E39" s="524">
        <v>3359643.0029999996</v>
      </c>
      <c r="F39" s="740">
        <v>3359643.0029999996</v>
      </c>
      <c r="G39" s="224">
        <v>3359643.0029999996</v>
      </c>
      <c r="H39" s="224">
        <v>3359643.0029999996</v>
      </c>
      <c r="I39" s="210"/>
      <c r="J39" s="72"/>
      <c r="K39" s="73">
        <f t="shared" si="7"/>
        <v>3359643.0029999996</v>
      </c>
      <c r="L39" s="417"/>
      <c r="M39" s="260"/>
    </row>
    <row r="40" spans="1:13" ht="14.65" thickBot="1">
      <c r="A40" s="22"/>
      <c r="B40" s="98"/>
      <c r="C40" s="192">
        <f>SUM(C30:C39)</f>
        <v>12041230</v>
      </c>
      <c r="D40" s="192">
        <f t="shared" ref="D40:K40" si="8">SUM(D30:D39)</f>
        <v>12041230</v>
      </c>
      <c r="E40" s="192">
        <f t="shared" si="8"/>
        <v>12041230.004499998</v>
      </c>
      <c r="F40" s="192">
        <f t="shared" si="8"/>
        <v>12041230.004499998</v>
      </c>
      <c r="G40" s="192">
        <f>SUM(H30:H39)</f>
        <v>12041230.004499998</v>
      </c>
      <c r="H40" s="192">
        <f t="shared" ref="H40" si="9">SUM(H30:H39)</f>
        <v>12041230.004499998</v>
      </c>
      <c r="I40" s="192">
        <f t="shared" si="8"/>
        <v>0</v>
      </c>
      <c r="J40" s="192">
        <f t="shared" si="8"/>
        <v>0</v>
      </c>
      <c r="K40" s="192">
        <f t="shared" si="8"/>
        <v>12041230.004499998</v>
      </c>
      <c r="L40" s="63"/>
      <c r="M40" s="63"/>
    </row>
    <row r="41" spans="1:13">
      <c r="A41" s="22"/>
      <c r="B41" s="98"/>
      <c r="C41" s="63"/>
      <c r="D41" s="63"/>
      <c r="E41" s="63"/>
      <c r="F41" s="63"/>
      <c r="G41" s="122">
        <f>$F40-H40</f>
        <v>0</v>
      </c>
      <c r="H41" s="122">
        <f>$F40-H40</f>
        <v>0</v>
      </c>
      <c r="I41" s="63"/>
      <c r="J41" s="63"/>
      <c r="K41" s="122">
        <f>$F40-K40</f>
        <v>0</v>
      </c>
      <c r="L41" s="63"/>
      <c r="M41" s="63"/>
    </row>
    <row r="42" spans="1:13">
      <c r="A42" s="22"/>
      <c r="B42" s="98"/>
      <c r="C42" s="22"/>
      <c r="D42" s="22"/>
      <c r="E42" s="22"/>
      <c r="F42" s="22"/>
      <c r="G42" s="22"/>
      <c r="H42" s="22"/>
      <c r="I42" s="63"/>
      <c r="J42" s="63"/>
      <c r="K42" s="63"/>
      <c r="L42" s="22"/>
      <c r="M42" s="22"/>
    </row>
  </sheetData>
  <mergeCells count="1">
    <mergeCell ref="C1:K1"/>
  </mergeCells>
  <phoneticPr fontId="51" type="noConversion"/>
  <conditionalFormatting sqref="G14:H14">
    <cfRule type="cellIs" dxfId="83" priority="117" operator="lessThan">
      <formula>0</formula>
    </cfRule>
    <cfRule type="cellIs" dxfId="82" priority="118" operator="greaterThan">
      <formula>0</formula>
    </cfRule>
  </conditionalFormatting>
  <conditionalFormatting sqref="G28:H28">
    <cfRule type="cellIs" dxfId="81" priority="7" operator="lessThan">
      <formula>0</formula>
    </cfRule>
    <cfRule type="cellIs" dxfId="80" priority="8" operator="greaterThan">
      <formula>0</formula>
    </cfRule>
  </conditionalFormatting>
  <conditionalFormatting sqref="G41:H41">
    <cfRule type="cellIs" dxfId="79" priority="3" operator="lessThan">
      <formula>0</formula>
    </cfRule>
    <cfRule type="cellIs" dxfId="78" priority="4" operator="greaterThan">
      <formula>0</formula>
    </cfRule>
  </conditionalFormatting>
  <conditionalFormatting sqref="K14">
    <cfRule type="cellIs" dxfId="77" priority="9" operator="lessThan">
      <formula>0</formula>
    </cfRule>
    <cfRule type="cellIs" dxfId="76" priority="10" operator="greaterThan">
      <formula>0</formula>
    </cfRule>
  </conditionalFormatting>
  <conditionalFormatting sqref="K28">
    <cfRule type="cellIs" dxfId="75" priority="5" operator="lessThan">
      <formula>0</formula>
    </cfRule>
    <cfRule type="cellIs" dxfId="74" priority="6" operator="greaterThan">
      <formula>0</formula>
    </cfRule>
  </conditionalFormatting>
  <conditionalFormatting sqref="K41">
    <cfRule type="cellIs" dxfId="73" priority="1" operator="lessThan">
      <formula>0</formula>
    </cfRule>
    <cfRule type="cellIs" dxfId="72" priority="2" operator="greaterThan">
      <formula>0</formula>
    </cfRule>
  </conditionalFormatting>
  <pageMargins left="0.11811023622047245" right="0.11811023622047245" top="0.15748031496062992" bottom="0.35433070866141736" header="0.11811023622047245" footer="0.11811023622047245"/>
  <pageSetup paperSize="9" scale="66" fitToHeight="0" orientation="landscape" r:id="rId1"/>
  <headerFooter>
    <oddFooter>&amp;LGorlice B51 - Feb 26&amp;C&amp;A&amp;R&amp;P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CEAEB-2722-4A3A-A70D-7395297ECAB3}">
  <sheetPr>
    <tabColor rgb="FFFFC000"/>
    <pageSetUpPr fitToPage="1"/>
  </sheetPr>
  <dimension ref="A1:M244"/>
  <sheetViews>
    <sheetView topLeftCell="B1" zoomScaleNormal="100" workbookViewId="0">
      <selection activeCell="I100" sqref="I100"/>
    </sheetView>
  </sheetViews>
  <sheetFormatPr defaultRowHeight="14.25"/>
  <cols>
    <col min="1" max="1" width="8.53125" customWidth="1"/>
    <col min="2" max="2" width="60.796875" style="96" customWidth="1"/>
    <col min="3" max="11" width="14.796875" customWidth="1"/>
    <col min="12" max="12" width="35.796875" customWidth="1"/>
    <col min="13" max="14" width="13.796875" bestFit="1" customWidth="1"/>
  </cols>
  <sheetData>
    <row r="1" spans="1:13" ht="22.05" customHeight="1">
      <c r="C1" s="971"/>
      <c r="D1" s="971"/>
      <c r="E1" s="971"/>
      <c r="F1" s="971"/>
      <c r="G1" s="971"/>
      <c r="H1" s="971"/>
      <c r="I1" s="971"/>
      <c r="J1" s="971"/>
      <c r="K1" s="971"/>
    </row>
    <row r="2" spans="1:13" ht="22.05" customHeight="1" thickBot="1">
      <c r="C2" s="3" t="s">
        <v>146</v>
      </c>
      <c r="D2" s="3" t="s">
        <v>249</v>
      </c>
      <c r="E2" s="3" t="s">
        <v>820</v>
      </c>
      <c r="F2" s="736" t="s">
        <v>821</v>
      </c>
      <c r="G2" s="3" t="s">
        <v>742</v>
      </c>
      <c r="H2" s="3" t="s">
        <v>824</v>
      </c>
      <c r="I2" s="3" t="s">
        <v>755</v>
      </c>
      <c r="J2" s="3" t="s">
        <v>26</v>
      </c>
      <c r="K2" s="3" t="s">
        <v>147</v>
      </c>
      <c r="M2" s="259">
        <f>SUM(M5:M8)</f>
        <v>258666646.00164568</v>
      </c>
    </row>
    <row r="3" spans="1:13" ht="24" customHeight="1" thickBot="1">
      <c r="A3" s="144">
        <v>5</v>
      </c>
      <c r="B3" s="145" t="s">
        <v>424</v>
      </c>
      <c r="C3" s="139">
        <f t="shared" ref="C3:G3" si="0">C13+C19+C31+C46+C50+C54+C62+C69+C73+C99+C104+C108+C122+C131</f>
        <v>258666646</v>
      </c>
      <c r="D3" s="232">
        <f t="shared" si="0"/>
        <v>258666645.99767777</v>
      </c>
      <c r="E3" s="232">
        <f t="shared" si="0"/>
        <v>258666645.99747777</v>
      </c>
      <c r="F3" s="856">
        <f t="shared" si="0"/>
        <v>258666645.99915144</v>
      </c>
      <c r="G3" s="232">
        <f t="shared" si="0"/>
        <v>258666645.99708247</v>
      </c>
      <c r="H3" s="232">
        <f>H13+H19+H31+H46+H50+H54+H62+H69+H73+H99+H104+H108+H122+H131</f>
        <v>258666646.00164568</v>
      </c>
      <c r="I3" s="234">
        <f t="shared" ref="I3:J3" si="1">I13+I19+I31+I46+I50+I54+I62+I69+I73+I99+I104+I108+I122+I131</f>
        <v>0</v>
      </c>
      <c r="J3" s="256">
        <f t="shared" si="1"/>
        <v>0</v>
      </c>
      <c r="K3" s="257">
        <f>K13+K19+K31+K46+K50+K54+K62+K69+K73+K99+K104+K108+K122+K131</f>
        <v>258666646.00164568</v>
      </c>
      <c r="L3" s="104"/>
      <c r="M3" s="146"/>
    </row>
    <row r="4" spans="1:13" ht="14.65" thickBot="1">
      <c r="A4" s="22"/>
      <c r="B4" s="98"/>
      <c r="C4" s="22"/>
      <c r="D4" s="22"/>
      <c r="E4" s="22"/>
      <c r="F4" s="22"/>
      <c r="G4" s="147">
        <f>$E$3-G3</f>
        <v>3.9529800415039063E-4</v>
      </c>
      <c r="H4" s="147">
        <f>$E$3-H3</f>
        <v>-4.1679143905639648E-3</v>
      </c>
      <c r="I4" s="22"/>
      <c r="J4" s="22"/>
      <c r="K4" s="147">
        <f>$E$3-K3</f>
        <v>-4.1679143905639648E-3</v>
      </c>
    </row>
    <row r="5" spans="1:13">
      <c r="A5" s="22"/>
      <c r="B5" s="98"/>
      <c r="C5" s="22"/>
      <c r="D5" s="22"/>
      <c r="E5" s="22"/>
      <c r="F5" s="22"/>
      <c r="G5" s="22"/>
      <c r="H5" s="22"/>
      <c r="I5" s="22"/>
      <c r="J5" s="22"/>
      <c r="K5" s="22"/>
      <c r="L5" s="282" t="s">
        <v>17</v>
      </c>
      <c r="M5" s="58">
        <f>H23+H59+H36+H41+H80+H103+H127+H17+H24+H25+H38+H39+H40+H53+H67+H78+H83+H89</f>
        <v>153053763.05594572</v>
      </c>
    </row>
    <row r="6" spans="1:13" ht="14.65" thickBot="1">
      <c r="A6" s="22"/>
      <c r="B6" s="98"/>
      <c r="C6" s="22"/>
      <c r="D6" s="22"/>
      <c r="E6" s="22"/>
      <c r="F6" s="22"/>
      <c r="G6" s="22"/>
      <c r="H6" s="22"/>
      <c r="I6" s="22"/>
      <c r="J6" s="22"/>
      <c r="K6" s="22"/>
      <c r="L6" s="282" t="s">
        <v>759</v>
      </c>
      <c r="M6" s="58">
        <f>H35+H79+H102+H126+H37+H66+H77+H82</f>
        <v>6615897.9500000002</v>
      </c>
    </row>
    <row r="7" spans="1:13" ht="14.65" thickBot="1">
      <c r="A7" s="22"/>
      <c r="B7" s="98"/>
      <c r="C7" s="27" t="s">
        <v>14</v>
      </c>
      <c r="D7" s="221">
        <v>0</v>
      </c>
      <c r="E7" s="220">
        <v>0</v>
      </c>
      <c r="F7" s="220">
        <v>0</v>
      </c>
      <c r="G7" s="220">
        <v>0</v>
      </c>
      <c r="H7" s="220">
        <v>0</v>
      </c>
      <c r="I7" s="22"/>
      <c r="J7" s="27" t="s">
        <v>14</v>
      </c>
      <c r="K7" s="220">
        <v>0</v>
      </c>
      <c r="L7" s="25" t="s">
        <v>15</v>
      </c>
      <c r="M7" s="29">
        <f>H12+H18+H26+H27+H28+H29+H30+H42+H43+H44+H45+H49+H58+H60+H61+H68+H72+H81+H84+H85+H86+H87+H90+H91+H92+H94+H95+H96+H97+H98+H107+H112+H114+H113+H115+H116+H117+H118+H119+H120+H121+H128+H129+H130</f>
        <v>98996984.995699972</v>
      </c>
    </row>
    <row r="8" spans="1:13" ht="14.65" thickBot="1">
      <c r="A8" s="22"/>
      <c r="B8" s="98"/>
      <c r="C8" s="27" t="s">
        <v>16</v>
      </c>
      <c r="D8" s="579">
        <v>0</v>
      </c>
      <c r="E8" s="220">
        <v>0</v>
      </c>
      <c r="F8" s="220">
        <v>0</v>
      </c>
      <c r="G8" s="220">
        <v>0</v>
      </c>
      <c r="H8" s="220">
        <v>0</v>
      </c>
      <c r="I8" s="22"/>
      <c r="J8" s="27" t="s">
        <v>16</v>
      </c>
      <c r="K8" s="220">
        <v>0</v>
      </c>
      <c r="L8" s="31" t="s">
        <v>0</v>
      </c>
      <c r="M8" s="32">
        <v>0</v>
      </c>
    </row>
    <row r="9" spans="1:13">
      <c r="A9" s="22"/>
      <c r="B9" s="98"/>
      <c r="C9" s="22"/>
      <c r="D9" s="22"/>
      <c r="E9" s="22"/>
      <c r="F9" s="22"/>
      <c r="G9" s="22"/>
      <c r="H9" s="22"/>
      <c r="I9" s="22"/>
      <c r="J9" s="22"/>
      <c r="K9" s="22"/>
      <c r="L9" s="25" t="s">
        <v>757</v>
      </c>
      <c r="M9" s="26">
        <f>H126+H102+H82+H79+H77+H37+H35+H66</f>
        <v>6615897.9500000002</v>
      </c>
    </row>
    <row r="10" spans="1:13" ht="14.65" thickBot="1">
      <c r="A10" s="22"/>
      <c r="B10" s="98"/>
      <c r="C10" s="22"/>
      <c r="D10" s="22"/>
      <c r="E10" s="22"/>
      <c r="F10" s="22"/>
      <c r="G10" s="22"/>
      <c r="H10" s="22"/>
      <c r="I10" s="22"/>
      <c r="J10" s="22"/>
      <c r="K10" s="22"/>
    </row>
    <row r="11" spans="1:13">
      <c r="A11" s="136" t="s">
        <v>118</v>
      </c>
      <c r="B11" s="273" t="s">
        <v>541</v>
      </c>
      <c r="C11" s="409">
        <v>0</v>
      </c>
      <c r="D11" s="109">
        <v>0</v>
      </c>
      <c r="E11" s="109">
        <v>0</v>
      </c>
      <c r="F11" s="738">
        <v>0</v>
      </c>
      <c r="G11" s="225">
        <v>0</v>
      </c>
      <c r="H11" s="225">
        <v>0</v>
      </c>
      <c r="I11" s="274"/>
      <c r="J11" s="65"/>
      <c r="K11" s="66">
        <f>SUM(H11:J11)</f>
        <v>0</v>
      </c>
      <c r="L11" s="36"/>
      <c r="M11" s="37"/>
    </row>
    <row r="12" spans="1:13" ht="14.65" thickBot="1">
      <c r="A12" s="446" t="s">
        <v>120</v>
      </c>
      <c r="B12" s="422" t="s">
        <v>542</v>
      </c>
      <c r="C12" s="411">
        <v>185000</v>
      </c>
      <c r="D12" s="524">
        <v>185000</v>
      </c>
      <c r="E12" s="524">
        <v>185000</v>
      </c>
      <c r="F12" s="740">
        <v>185000</v>
      </c>
      <c r="G12" s="224">
        <v>185000</v>
      </c>
      <c r="H12" s="224">
        <v>185000</v>
      </c>
      <c r="I12" s="275"/>
      <c r="J12" s="72"/>
      <c r="K12" s="73">
        <f>SUM(H12:J12)</f>
        <v>185000</v>
      </c>
      <c r="L12" s="45"/>
      <c r="M12" s="46"/>
    </row>
    <row r="13" spans="1:13" ht="14.65" thickBot="1">
      <c r="A13" s="22"/>
      <c r="B13" s="98"/>
      <c r="C13" s="192">
        <f t="shared" ref="C13:K13" si="2">SUM(C11:C12)</f>
        <v>185000</v>
      </c>
      <c r="D13" s="192">
        <f t="shared" si="2"/>
        <v>185000</v>
      </c>
      <c r="E13" s="192">
        <f t="shared" si="2"/>
        <v>185000</v>
      </c>
      <c r="F13" s="192">
        <f t="shared" si="2"/>
        <v>185000</v>
      </c>
      <c r="G13" s="192">
        <f t="shared" si="2"/>
        <v>185000</v>
      </c>
      <c r="H13" s="192">
        <f>SUM(H11:H12)</f>
        <v>185000</v>
      </c>
      <c r="I13" s="192">
        <f t="shared" si="2"/>
        <v>0</v>
      </c>
      <c r="J13" s="192">
        <f t="shared" si="2"/>
        <v>0</v>
      </c>
      <c r="K13" s="192">
        <f t="shared" si="2"/>
        <v>185000</v>
      </c>
      <c r="L13" s="63"/>
      <c r="M13" s="63"/>
    </row>
    <row r="14" spans="1:13">
      <c r="A14" s="22"/>
      <c r="B14" s="98"/>
      <c r="C14" s="22"/>
      <c r="D14" s="22"/>
      <c r="E14" s="22"/>
      <c r="F14" s="22"/>
      <c r="G14" s="48">
        <f>$F13-G13</f>
        <v>0</v>
      </c>
      <c r="H14" s="48">
        <f>$F13-H13</f>
        <v>0</v>
      </c>
      <c r="I14" s="22"/>
      <c r="J14" s="22"/>
      <c r="K14" s="48">
        <f>$F13-K13</f>
        <v>0</v>
      </c>
      <c r="L14" s="63"/>
      <c r="M14" s="63"/>
    </row>
    <row r="15" spans="1:13" ht="14.65" thickBot="1">
      <c r="L15" s="554"/>
      <c r="M15" s="554"/>
    </row>
    <row r="16" spans="1:13">
      <c r="A16" s="136" t="s">
        <v>199</v>
      </c>
      <c r="B16" s="273" t="s">
        <v>539</v>
      </c>
      <c r="C16" s="409">
        <v>0</v>
      </c>
      <c r="D16" s="109">
        <v>0</v>
      </c>
      <c r="E16" s="109">
        <v>0</v>
      </c>
      <c r="F16" s="738">
        <v>0</v>
      </c>
      <c r="G16" s="225">
        <v>0</v>
      </c>
      <c r="H16" s="225">
        <v>0</v>
      </c>
      <c r="I16" s="274"/>
      <c r="J16" s="65"/>
      <c r="K16" s="66">
        <f t="shared" ref="K16:K18" si="3">SUM(H16:J16)</f>
        <v>0</v>
      </c>
      <c r="L16" s="36"/>
      <c r="M16" s="37"/>
    </row>
    <row r="17" spans="1:13">
      <c r="A17" s="416" t="s">
        <v>201</v>
      </c>
      <c r="B17" s="421" t="s">
        <v>772</v>
      </c>
      <c r="C17" s="445">
        <v>9072785</v>
      </c>
      <c r="D17" s="686">
        <v>9072785</v>
      </c>
      <c r="E17" s="686">
        <v>9072785</v>
      </c>
      <c r="F17" s="780">
        <v>9072785</v>
      </c>
      <c r="G17" s="807">
        <v>9072785</v>
      </c>
      <c r="H17" s="807">
        <v>9072785</v>
      </c>
      <c r="I17" s="418"/>
      <c r="J17" s="203"/>
      <c r="K17" s="204">
        <f t="shared" si="3"/>
        <v>9072785</v>
      </c>
      <c r="L17" s="419" t="s">
        <v>760</v>
      </c>
      <c r="M17" s="420">
        <v>4503036767</v>
      </c>
    </row>
    <row r="18" spans="1:13" ht="14.65" thickBot="1">
      <c r="A18" s="446" t="s">
        <v>202</v>
      </c>
      <c r="B18" s="422" t="s">
        <v>540</v>
      </c>
      <c r="C18" s="411">
        <v>81600</v>
      </c>
      <c r="D18" s="524">
        <v>81600</v>
      </c>
      <c r="E18" s="524">
        <v>81600</v>
      </c>
      <c r="F18" s="740">
        <v>81600</v>
      </c>
      <c r="G18" s="224">
        <v>81600</v>
      </c>
      <c r="H18" s="224">
        <v>81600</v>
      </c>
      <c r="I18" s="275"/>
      <c r="J18" s="72"/>
      <c r="K18" s="73">
        <f t="shared" si="3"/>
        <v>81600</v>
      </c>
      <c r="L18" s="45"/>
      <c r="M18" s="46"/>
    </row>
    <row r="19" spans="1:13" ht="14.65" thickBot="1">
      <c r="A19" s="22"/>
      <c r="B19" s="98"/>
      <c r="C19" s="192">
        <f t="shared" ref="C19:K19" si="4">SUM(C16:C18)</f>
        <v>9154385</v>
      </c>
      <c r="D19" s="192">
        <f t="shared" si="4"/>
        <v>9154385</v>
      </c>
      <c r="E19" s="192">
        <f t="shared" si="4"/>
        <v>9154385</v>
      </c>
      <c r="F19" s="192">
        <f t="shared" si="4"/>
        <v>9154385</v>
      </c>
      <c r="G19" s="192">
        <f t="shared" si="4"/>
        <v>9154385</v>
      </c>
      <c r="H19" s="192">
        <f>SUM(H16:H18)</f>
        <v>9154385</v>
      </c>
      <c r="I19" s="192">
        <f t="shared" si="4"/>
        <v>0</v>
      </c>
      <c r="J19" s="192">
        <f t="shared" si="4"/>
        <v>0</v>
      </c>
      <c r="K19" s="192">
        <f t="shared" si="4"/>
        <v>9154385</v>
      </c>
      <c r="L19" s="63"/>
      <c r="M19" s="63"/>
    </row>
    <row r="20" spans="1:13">
      <c r="A20" s="22"/>
      <c r="B20" s="98"/>
      <c r="C20" s="22"/>
      <c r="D20" s="22"/>
      <c r="E20" s="22"/>
      <c r="F20" s="22"/>
      <c r="G20" s="48">
        <f>$F19-G19</f>
        <v>0</v>
      </c>
      <c r="H20" s="48">
        <f>$F19-H19</f>
        <v>0</v>
      </c>
      <c r="I20" s="22"/>
      <c r="J20" s="22"/>
      <c r="K20" s="48">
        <f>$F19-K19</f>
        <v>0</v>
      </c>
      <c r="L20" s="63"/>
      <c r="M20" s="63"/>
    </row>
    <row r="21" spans="1:13" ht="14.65" thickBot="1">
      <c r="L21" s="554"/>
      <c r="M21" s="554"/>
    </row>
    <row r="22" spans="1:13">
      <c r="A22" s="423" t="s">
        <v>204</v>
      </c>
      <c r="B22" s="822" t="s">
        <v>530</v>
      </c>
      <c r="C22" s="425">
        <v>0</v>
      </c>
      <c r="D22" s="439">
        <v>0</v>
      </c>
      <c r="E22" s="439">
        <v>0</v>
      </c>
      <c r="F22" s="808">
        <v>0</v>
      </c>
      <c r="G22" s="633">
        <v>0</v>
      </c>
      <c r="H22" s="633">
        <v>0</v>
      </c>
      <c r="I22" s="427"/>
      <c r="J22" s="428"/>
      <c r="K22" s="442">
        <f t="shared" ref="K22:K30" si="5">SUM(H22:J22)</f>
        <v>0</v>
      </c>
      <c r="L22" s="802"/>
      <c r="M22" s="794"/>
    </row>
    <row r="23" spans="1:13" ht="21.75">
      <c r="A23" s="447" t="s">
        <v>205</v>
      </c>
      <c r="B23" s="823" t="s">
        <v>531</v>
      </c>
      <c r="C23" s="429">
        <v>33755000</v>
      </c>
      <c r="D23" s="440">
        <v>33754999.997777782</v>
      </c>
      <c r="E23" s="440">
        <v>33754999.997777782</v>
      </c>
      <c r="F23" s="809">
        <v>33755000.004444458</v>
      </c>
      <c r="G23" s="531">
        <v>33755000.004444458</v>
      </c>
      <c r="H23" s="531">
        <v>33755000.00111112</v>
      </c>
      <c r="I23" s="431"/>
      <c r="J23" s="432"/>
      <c r="K23" s="443">
        <f t="shared" si="5"/>
        <v>33755000.00111112</v>
      </c>
      <c r="L23" s="887" t="s">
        <v>543</v>
      </c>
      <c r="M23" s="41"/>
    </row>
    <row r="24" spans="1:13">
      <c r="A24" s="914" t="s">
        <v>206</v>
      </c>
      <c r="B24" s="823" t="s">
        <v>532</v>
      </c>
      <c r="C24" s="429">
        <v>595000</v>
      </c>
      <c r="D24" s="528">
        <v>595000</v>
      </c>
      <c r="E24" s="528">
        <v>595000</v>
      </c>
      <c r="F24" s="809">
        <v>595000</v>
      </c>
      <c r="G24" s="634">
        <v>595000</v>
      </c>
      <c r="H24" s="531">
        <v>595000</v>
      </c>
      <c r="I24" s="431"/>
      <c r="J24" s="432"/>
      <c r="K24" s="443">
        <f t="shared" si="5"/>
        <v>595000</v>
      </c>
      <c r="L24" s="885" t="s">
        <v>856</v>
      </c>
      <c r="M24" s="886">
        <v>4503139940</v>
      </c>
    </row>
    <row r="25" spans="1:13">
      <c r="A25" s="914" t="s">
        <v>425</v>
      </c>
      <c r="B25" s="823" t="s">
        <v>533</v>
      </c>
      <c r="C25" s="429">
        <v>1281400</v>
      </c>
      <c r="D25" s="528">
        <v>1281400</v>
      </c>
      <c r="E25" s="528">
        <v>1281400</v>
      </c>
      <c r="F25" s="809">
        <v>1281400</v>
      </c>
      <c r="G25" s="634">
        <v>1281400</v>
      </c>
      <c r="H25" s="531">
        <v>1281400</v>
      </c>
      <c r="I25" s="431"/>
      <c r="J25" s="432"/>
      <c r="K25" s="443">
        <f t="shared" si="5"/>
        <v>1281400</v>
      </c>
      <c r="L25" s="419" t="s">
        <v>857</v>
      </c>
      <c r="M25" s="420">
        <v>4503139820</v>
      </c>
    </row>
    <row r="26" spans="1:13" ht="21.75">
      <c r="A26" s="447" t="s">
        <v>426</v>
      </c>
      <c r="B26" s="823" t="s">
        <v>534</v>
      </c>
      <c r="C26" s="429">
        <v>2502500</v>
      </c>
      <c r="D26" s="528">
        <v>2502500</v>
      </c>
      <c r="E26" s="528">
        <v>2502500</v>
      </c>
      <c r="F26" s="809">
        <v>2502500</v>
      </c>
      <c r="G26" s="634">
        <v>2502500</v>
      </c>
      <c r="H26" s="634">
        <v>2502500</v>
      </c>
      <c r="I26" s="431"/>
      <c r="J26" s="432"/>
      <c r="K26" s="443">
        <f t="shared" si="5"/>
        <v>2502500</v>
      </c>
      <c r="L26" s="688"/>
      <c r="M26" s="796"/>
    </row>
    <row r="27" spans="1:13">
      <c r="A27" s="447" t="s">
        <v>427</v>
      </c>
      <c r="B27" s="823" t="s">
        <v>535</v>
      </c>
      <c r="C27" s="429">
        <v>100000</v>
      </c>
      <c r="D27" s="528">
        <v>99999.999899999995</v>
      </c>
      <c r="E27" s="528">
        <v>99999.999899999995</v>
      </c>
      <c r="F27" s="809">
        <v>99999.999899999995</v>
      </c>
      <c r="G27" s="634">
        <v>99999.999899999995</v>
      </c>
      <c r="H27" s="634">
        <v>99999.999899999995</v>
      </c>
      <c r="I27" s="431"/>
      <c r="J27" s="432"/>
      <c r="K27" s="443">
        <f t="shared" si="5"/>
        <v>99999.999899999995</v>
      </c>
      <c r="L27" s="688"/>
      <c r="M27" s="796"/>
    </row>
    <row r="28" spans="1:13">
      <c r="A28" s="447" t="s">
        <v>428</v>
      </c>
      <c r="B28" s="823" t="s">
        <v>536</v>
      </c>
      <c r="C28" s="429">
        <v>220000</v>
      </c>
      <c r="D28" s="528">
        <v>220000</v>
      </c>
      <c r="E28" s="528">
        <v>220000</v>
      </c>
      <c r="F28" s="809">
        <v>220000</v>
      </c>
      <c r="G28" s="634">
        <v>220000</v>
      </c>
      <c r="H28" s="634">
        <v>220000</v>
      </c>
      <c r="I28" s="431"/>
      <c r="J28" s="432"/>
      <c r="K28" s="443">
        <f t="shared" si="5"/>
        <v>220000</v>
      </c>
      <c r="L28" s="688"/>
      <c r="M28" s="796"/>
    </row>
    <row r="29" spans="1:13">
      <c r="A29" s="447" t="s">
        <v>429</v>
      </c>
      <c r="B29" s="823" t="s">
        <v>537</v>
      </c>
      <c r="C29" s="429">
        <v>40000</v>
      </c>
      <c r="D29" s="528">
        <v>40000</v>
      </c>
      <c r="E29" s="528">
        <v>40000</v>
      </c>
      <c r="F29" s="809">
        <v>40000</v>
      </c>
      <c r="G29" s="634">
        <v>40000</v>
      </c>
      <c r="H29" s="634">
        <v>40000</v>
      </c>
      <c r="I29" s="431"/>
      <c r="J29" s="432"/>
      <c r="K29" s="443">
        <f t="shared" si="5"/>
        <v>40000</v>
      </c>
      <c r="L29" s="688"/>
      <c r="M29" s="796"/>
    </row>
    <row r="30" spans="1:13" ht="14.65" thickBot="1">
      <c r="A30" s="448" t="s">
        <v>430</v>
      </c>
      <c r="B30" s="824" t="s">
        <v>538</v>
      </c>
      <c r="C30" s="433">
        <v>51600</v>
      </c>
      <c r="D30" s="530">
        <v>51600</v>
      </c>
      <c r="E30" s="530">
        <v>51600</v>
      </c>
      <c r="F30" s="810">
        <v>51600</v>
      </c>
      <c r="G30" s="635">
        <v>51600</v>
      </c>
      <c r="H30" s="635">
        <v>51600</v>
      </c>
      <c r="I30" s="434"/>
      <c r="J30" s="435"/>
      <c r="K30" s="444">
        <f t="shared" si="5"/>
        <v>51600</v>
      </c>
      <c r="L30" s="803"/>
      <c r="M30" s="390"/>
    </row>
    <row r="31" spans="1:13" ht="14.65" thickBot="1">
      <c r="A31" s="22"/>
      <c r="B31" s="98"/>
      <c r="C31" s="47">
        <f>SUM(C22:C30)</f>
        <v>38545500</v>
      </c>
      <c r="D31" s="47">
        <f t="shared" ref="D31:K31" si="6">SUM(D22:D30)</f>
        <v>38545499.997677781</v>
      </c>
      <c r="E31" s="47">
        <f t="shared" si="6"/>
        <v>38545499.997677781</v>
      </c>
      <c r="F31" s="47">
        <f t="shared" si="6"/>
        <v>38545500.004344456</v>
      </c>
      <c r="G31" s="47">
        <f t="shared" si="6"/>
        <v>38545500.004344456</v>
      </c>
      <c r="H31" s="47">
        <f>SUM(H22:H30)</f>
        <v>38545500.001011118</v>
      </c>
      <c r="I31" s="47">
        <f t="shared" si="6"/>
        <v>0</v>
      </c>
      <c r="J31" s="47">
        <f t="shared" si="6"/>
        <v>0</v>
      </c>
      <c r="K31" s="47">
        <f t="shared" si="6"/>
        <v>38545500.001011118</v>
      </c>
      <c r="L31" s="63"/>
      <c r="M31" s="63"/>
    </row>
    <row r="32" spans="1:13">
      <c r="A32" s="22"/>
      <c r="B32" s="98"/>
      <c r="C32" s="22"/>
      <c r="D32" s="22"/>
      <c r="E32" s="22"/>
      <c r="F32" s="22"/>
      <c r="G32" s="48">
        <f>$F31-G31</f>
        <v>0</v>
      </c>
      <c r="H32" s="48">
        <f>$F31-H31</f>
        <v>3.3333376049995422E-3</v>
      </c>
      <c r="I32" s="22"/>
      <c r="J32" s="22"/>
      <c r="K32" s="48">
        <f>$F31-K31</f>
        <v>3.3333376049995422E-3</v>
      </c>
      <c r="L32" s="63"/>
      <c r="M32" s="63"/>
    </row>
    <row r="33" spans="1:13" ht="14.65" thickBot="1">
      <c r="A33" s="22"/>
      <c r="B33" s="98"/>
      <c r="C33" s="95"/>
      <c r="D33" s="95"/>
      <c r="E33" s="95"/>
      <c r="F33" s="95"/>
      <c r="G33" s="95"/>
      <c r="H33" s="95"/>
      <c r="I33" s="95"/>
      <c r="J33" s="95"/>
      <c r="K33" s="95"/>
      <c r="L33" s="63"/>
      <c r="M33" s="63"/>
    </row>
    <row r="34" spans="1:13">
      <c r="A34" s="423" t="s">
        <v>208</v>
      </c>
      <c r="B34" s="825" t="s">
        <v>78</v>
      </c>
      <c r="C34" s="425">
        <v>0</v>
      </c>
      <c r="D34" s="789">
        <v>0</v>
      </c>
      <c r="E34" s="789">
        <v>0</v>
      </c>
      <c r="F34" s="811">
        <v>0</v>
      </c>
      <c r="G34" s="891">
        <v>0</v>
      </c>
      <c r="H34" s="426">
        <v>0</v>
      </c>
      <c r="I34" s="427"/>
      <c r="J34" s="428"/>
      <c r="K34" s="442">
        <f>SUM(H34:J34)</f>
        <v>0</v>
      </c>
      <c r="L34" s="793"/>
      <c r="M34" s="794"/>
    </row>
    <row r="35" spans="1:13">
      <c r="A35" s="447" t="s">
        <v>209</v>
      </c>
      <c r="B35" s="826" t="s">
        <v>525</v>
      </c>
      <c r="C35" s="888">
        <v>54332011</v>
      </c>
      <c r="D35" s="889">
        <v>54332011</v>
      </c>
      <c r="E35" s="889">
        <v>54332011</v>
      </c>
      <c r="F35" s="812">
        <v>54332011</v>
      </c>
      <c r="G35" s="892">
        <v>8342011</v>
      </c>
      <c r="H35" s="882">
        <v>4948411</v>
      </c>
      <c r="I35" s="431"/>
      <c r="J35" s="432"/>
      <c r="K35" s="443">
        <f t="shared" ref="K35:K45" si="7">SUM(H35:J35)</f>
        <v>4948411</v>
      </c>
      <c r="L35" s="795"/>
      <c r="M35" s="796"/>
    </row>
    <row r="36" spans="1:13">
      <c r="A36" s="447" t="s">
        <v>761</v>
      </c>
      <c r="B36" s="826" t="s">
        <v>771</v>
      </c>
      <c r="C36" s="429">
        <v>0</v>
      </c>
      <c r="D36" s="890">
        <v>0</v>
      </c>
      <c r="E36" s="890">
        <v>0</v>
      </c>
      <c r="F36" s="812">
        <v>0</v>
      </c>
      <c r="G36" s="893">
        <v>45990000</v>
      </c>
      <c r="H36" s="430">
        <v>45990000</v>
      </c>
      <c r="I36" s="431"/>
      <c r="J36" s="432"/>
      <c r="K36" s="443">
        <f t="shared" si="7"/>
        <v>45990000</v>
      </c>
      <c r="L36" s="795" t="s">
        <v>762</v>
      </c>
      <c r="M36" s="796">
        <v>4503036513</v>
      </c>
    </row>
    <row r="37" spans="1:13">
      <c r="A37" s="447" t="s">
        <v>863</v>
      </c>
      <c r="B37" s="826" t="s">
        <v>523</v>
      </c>
      <c r="C37" s="429">
        <v>0</v>
      </c>
      <c r="D37" s="890">
        <v>0</v>
      </c>
      <c r="E37" s="890">
        <v>0</v>
      </c>
      <c r="F37" s="812">
        <v>0</v>
      </c>
      <c r="G37" s="893">
        <v>0</v>
      </c>
      <c r="H37" s="882">
        <v>17900</v>
      </c>
      <c r="I37" s="431"/>
      <c r="J37" s="432"/>
      <c r="K37" s="443">
        <f t="shared" si="7"/>
        <v>17900</v>
      </c>
      <c r="L37" s="795"/>
      <c r="M37" s="796"/>
    </row>
    <row r="38" spans="1:13">
      <c r="A38" s="914" t="s">
        <v>863</v>
      </c>
      <c r="B38" s="826" t="s">
        <v>859</v>
      </c>
      <c r="C38" s="429">
        <v>0</v>
      </c>
      <c r="D38" s="890">
        <v>0</v>
      </c>
      <c r="E38" s="890">
        <v>0</v>
      </c>
      <c r="F38" s="812">
        <v>0</v>
      </c>
      <c r="G38" s="893">
        <v>0</v>
      </c>
      <c r="H38" s="430">
        <v>492100</v>
      </c>
      <c r="I38" s="431"/>
      <c r="J38" s="432"/>
      <c r="K38" s="443">
        <f t="shared" si="7"/>
        <v>492100</v>
      </c>
      <c r="L38" s="795" t="s">
        <v>858</v>
      </c>
      <c r="M38" s="796"/>
    </row>
    <row r="39" spans="1:13">
      <c r="A39" s="914" t="s">
        <v>864</v>
      </c>
      <c r="B39" s="826" t="s">
        <v>860</v>
      </c>
      <c r="C39" s="429">
        <v>0</v>
      </c>
      <c r="D39" s="890">
        <v>0</v>
      </c>
      <c r="E39" s="890">
        <v>0</v>
      </c>
      <c r="F39" s="812">
        <v>0</v>
      </c>
      <c r="G39" s="893">
        <v>0</v>
      </c>
      <c r="H39" s="430">
        <v>1118600.0000000002</v>
      </c>
      <c r="I39" s="431"/>
      <c r="J39" s="432"/>
      <c r="K39" s="443">
        <f t="shared" si="7"/>
        <v>1118600.0000000002</v>
      </c>
      <c r="L39" s="795" t="s">
        <v>857</v>
      </c>
      <c r="M39" s="796">
        <v>4503139820</v>
      </c>
    </row>
    <row r="40" spans="1:13">
      <c r="A40" s="914" t="s">
        <v>865</v>
      </c>
      <c r="B40" s="826" t="s">
        <v>861</v>
      </c>
      <c r="C40" s="429">
        <v>0</v>
      </c>
      <c r="D40" s="890">
        <v>0</v>
      </c>
      <c r="E40" s="890">
        <v>0</v>
      </c>
      <c r="F40" s="812">
        <v>0</v>
      </c>
      <c r="G40" s="893">
        <v>0</v>
      </c>
      <c r="H40" s="430">
        <v>1765000</v>
      </c>
      <c r="I40" s="431"/>
      <c r="J40" s="432"/>
      <c r="K40" s="443">
        <f t="shared" si="7"/>
        <v>1765000</v>
      </c>
      <c r="L40" s="795" t="s">
        <v>856</v>
      </c>
      <c r="M40" s="796">
        <v>4503139940</v>
      </c>
    </row>
    <row r="41" spans="1:13">
      <c r="A41" s="447" t="s">
        <v>210</v>
      </c>
      <c r="B41" s="826" t="s">
        <v>862</v>
      </c>
      <c r="C41" s="429">
        <v>6374147</v>
      </c>
      <c r="D41" s="788">
        <v>6374147</v>
      </c>
      <c r="E41" s="788">
        <v>6374147</v>
      </c>
      <c r="F41" s="812">
        <v>6374147</v>
      </c>
      <c r="G41" s="893">
        <v>6374147</v>
      </c>
      <c r="H41" s="430">
        <v>6374146.9999999991</v>
      </c>
      <c r="I41" s="431"/>
      <c r="J41" s="432"/>
      <c r="K41" s="443">
        <f t="shared" si="7"/>
        <v>6374146.9999999991</v>
      </c>
      <c r="L41" s="795" t="s">
        <v>754</v>
      </c>
      <c r="M41" s="806"/>
    </row>
    <row r="42" spans="1:13">
      <c r="A42" s="447" t="s">
        <v>211</v>
      </c>
      <c r="B42" s="826" t="s">
        <v>526</v>
      </c>
      <c r="C42" s="429">
        <v>4260000</v>
      </c>
      <c r="D42" s="788">
        <v>4260000</v>
      </c>
      <c r="E42" s="788">
        <v>4260000</v>
      </c>
      <c r="F42" s="812">
        <v>4260000</v>
      </c>
      <c r="G42" s="894">
        <v>4260000</v>
      </c>
      <c r="H42" s="451">
        <v>4260000</v>
      </c>
      <c r="I42" s="431"/>
      <c r="J42" s="432"/>
      <c r="K42" s="443">
        <f t="shared" si="7"/>
        <v>4260000</v>
      </c>
      <c r="L42" s="795"/>
      <c r="M42" s="796"/>
    </row>
    <row r="43" spans="1:13">
      <c r="A43" s="447" t="s">
        <v>212</v>
      </c>
      <c r="B43" s="826" t="s">
        <v>527</v>
      </c>
      <c r="C43" s="429">
        <v>1010500</v>
      </c>
      <c r="D43" s="788">
        <v>1010500</v>
      </c>
      <c r="E43" s="788">
        <v>1010500</v>
      </c>
      <c r="F43" s="812">
        <v>1010500</v>
      </c>
      <c r="G43" s="894">
        <v>1010500</v>
      </c>
      <c r="H43" s="451">
        <v>1010500</v>
      </c>
      <c r="I43" s="431"/>
      <c r="J43" s="432"/>
      <c r="K43" s="443">
        <f t="shared" si="7"/>
        <v>1010500</v>
      </c>
      <c r="L43" s="795"/>
      <c r="M43" s="796"/>
    </row>
    <row r="44" spans="1:13">
      <c r="A44" s="447" t="s">
        <v>213</v>
      </c>
      <c r="B44" s="826" t="s">
        <v>528</v>
      </c>
      <c r="C44" s="429">
        <v>223600</v>
      </c>
      <c r="D44" s="788">
        <v>223600</v>
      </c>
      <c r="E44" s="788">
        <v>223600</v>
      </c>
      <c r="F44" s="812">
        <v>223600</v>
      </c>
      <c r="G44" s="894">
        <v>223600</v>
      </c>
      <c r="H44" s="451">
        <v>223600</v>
      </c>
      <c r="I44" s="431"/>
      <c r="J44" s="432"/>
      <c r="K44" s="443">
        <f t="shared" si="7"/>
        <v>223600</v>
      </c>
      <c r="L44" s="795"/>
      <c r="M44" s="796"/>
    </row>
    <row r="45" spans="1:13" ht="14.65" thickBot="1">
      <c r="A45" s="448" t="s">
        <v>214</v>
      </c>
      <c r="B45" s="827" t="s">
        <v>529</v>
      </c>
      <c r="C45" s="433">
        <v>129000</v>
      </c>
      <c r="D45" s="790">
        <v>129000</v>
      </c>
      <c r="E45" s="790">
        <v>129000</v>
      </c>
      <c r="F45" s="813">
        <v>129000</v>
      </c>
      <c r="G45" s="895">
        <v>129000</v>
      </c>
      <c r="H45" s="452">
        <v>129000</v>
      </c>
      <c r="I45" s="434"/>
      <c r="J45" s="435"/>
      <c r="K45" s="444">
        <f t="shared" si="7"/>
        <v>129000</v>
      </c>
      <c r="L45" s="797"/>
      <c r="M45" s="390"/>
    </row>
    <row r="46" spans="1:13" ht="14.65" thickBot="1">
      <c r="A46" s="22"/>
      <c r="B46" s="98"/>
      <c r="C46" s="192">
        <f>SUM(C34:C45)</f>
        <v>66329258</v>
      </c>
      <c r="D46" s="192">
        <f t="shared" ref="D46:K46" si="8">SUM(D34:D45)</f>
        <v>66329258</v>
      </c>
      <c r="E46" s="192">
        <f t="shared" si="8"/>
        <v>66329258</v>
      </c>
      <c r="F46" s="192">
        <f t="shared" si="8"/>
        <v>66329258</v>
      </c>
      <c r="G46" s="192">
        <f t="shared" si="8"/>
        <v>66329258</v>
      </c>
      <c r="H46" s="192">
        <f>SUM(H34:H45)</f>
        <v>66329258</v>
      </c>
      <c r="I46" s="192">
        <f t="shared" si="8"/>
        <v>0</v>
      </c>
      <c r="J46" s="192">
        <f t="shared" si="8"/>
        <v>0</v>
      </c>
      <c r="K46" s="192">
        <f t="shared" si="8"/>
        <v>66329258</v>
      </c>
      <c r="L46" s="63"/>
      <c r="M46" s="63"/>
    </row>
    <row r="47" spans="1:13">
      <c r="A47" s="22"/>
      <c r="B47" s="98"/>
      <c r="C47" s="22"/>
      <c r="D47" s="22"/>
      <c r="E47" s="22"/>
      <c r="F47" s="22"/>
      <c r="G47" s="48">
        <f>$F46-G46</f>
        <v>0</v>
      </c>
      <c r="H47" s="48">
        <f>$F46-H46</f>
        <v>0</v>
      </c>
      <c r="I47" s="22"/>
      <c r="J47" s="22"/>
      <c r="K47" s="48">
        <f>$F46-K46</f>
        <v>0</v>
      </c>
      <c r="L47" s="63"/>
      <c r="M47" s="63"/>
    </row>
    <row r="48" spans="1:13" ht="14.65" thickBot="1">
      <c r="A48" s="22"/>
      <c r="B48" s="98"/>
      <c r="C48" s="95"/>
      <c r="D48" s="95"/>
      <c r="E48" s="95"/>
      <c r="F48" s="95"/>
      <c r="G48" s="95"/>
      <c r="H48" s="95"/>
      <c r="I48" s="95"/>
      <c r="J48" s="95"/>
      <c r="K48" s="95"/>
      <c r="L48" s="63"/>
      <c r="M48" s="63"/>
    </row>
    <row r="49" spans="1:13" ht="14.65" thickBot="1">
      <c r="A49" s="424" t="s">
        <v>215</v>
      </c>
      <c r="B49" s="828" t="s">
        <v>524</v>
      </c>
      <c r="C49" s="436">
        <v>3993000</v>
      </c>
      <c r="D49" s="529">
        <v>3993000</v>
      </c>
      <c r="E49" s="529">
        <v>3993000</v>
      </c>
      <c r="F49" s="814">
        <v>3993000</v>
      </c>
      <c r="G49" s="636">
        <v>3993000</v>
      </c>
      <c r="H49" s="636">
        <v>3993000</v>
      </c>
      <c r="I49" s="437"/>
      <c r="J49" s="438"/>
      <c r="K49" s="441">
        <f>SUM(H49:J49)</f>
        <v>3993000</v>
      </c>
      <c r="L49" s="804"/>
      <c r="M49" s="805"/>
    </row>
    <row r="50" spans="1:13" ht="14.65" thickBot="1">
      <c r="A50" s="22"/>
      <c r="B50" s="98"/>
      <c r="C50" s="47">
        <f>C49</f>
        <v>3993000</v>
      </c>
      <c r="D50" s="47">
        <f t="shared" ref="D50:K50" si="9">D49</f>
        <v>3993000</v>
      </c>
      <c r="E50" s="47">
        <f t="shared" si="9"/>
        <v>3993000</v>
      </c>
      <c r="F50" s="47">
        <f t="shared" si="9"/>
        <v>3993000</v>
      </c>
      <c r="G50" s="47">
        <f t="shared" si="9"/>
        <v>3993000</v>
      </c>
      <c r="H50" s="47">
        <f>H49</f>
        <v>3993000</v>
      </c>
      <c r="I50" s="47">
        <f t="shared" si="9"/>
        <v>0</v>
      </c>
      <c r="J50" s="47">
        <f t="shared" si="9"/>
        <v>0</v>
      </c>
      <c r="K50" s="47">
        <f t="shared" si="9"/>
        <v>3993000</v>
      </c>
      <c r="L50" s="63"/>
      <c r="M50" s="63"/>
    </row>
    <row r="51" spans="1:13">
      <c r="A51" s="22"/>
      <c r="B51" s="98"/>
      <c r="C51" s="22"/>
      <c r="D51" s="22"/>
      <c r="E51" s="22"/>
      <c r="F51" s="22"/>
      <c r="G51" s="48">
        <f>$F50-G50</f>
        <v>0</v>
      </c>
      <c r="H51" s="48">
        <f>$F50-H50</f>
        <v>0</v>
      </c>
      <c r="I51" s="22"/>
      <c r="J51" s="22"/>
      <c r="K51" s="48">
        <f>$F50-K50</f>
        <v>0</v>
      </c>
      <c r="L51" s="63"/>
      <c r="M51" s="63"/>
    </row>
    <row r="52" spans="1:13" ht="14.65" thickBot="1">
      <c r="A52" s="22"/>
      <c r="B52" s="98"/>
      <c r="C52" s="95"/>
      <c r="D52" s="95"/>
      <c r="E52" s="95"/>
      <c r="F52" s="95"/>
      <c r="G52" s="95"/>
      <c r="H52" s="95"/>
      <c r="I52" s="95"/>
      <c r="J52" s="95"/>
      <c r="K52" s="95"/>
      <c r="L52" s="63"/>
      <c r="M52" s="63"/>
    </row>
    <row r="53" spans="1:13" ht="14.65" thickBot="1">
      <c r="A53" s="424" t="s">
        <v>216</v>
      </c>
      <c r="B53" s="828" t="s">
        <v>523</v>
      </c>
      <c r="C53" s="436">
        <v>1062800</v>
      </c>
      <c r="D53" s="529">
        <v>1062800</v>
      </c>
      <c r="E53" s="529">
        <v>1062800</v>
      </c>
      <c r="F53" s="814">
        <v>1062800</v>
      </c>
      <c r="G53" s="636">
        <v>1062800</v>
      </c>
      <c r="H53" s="896">
        <v>1062799.9999999998</v>
      </c>
      <c r="I53" s="437"/>
      <c r="J53" s="438"/>
      <c r="K53" s="441">
        <f>SUM(H53:J53)</f>
        <v>1062799.9999999998</v>
      </c>
      <c r="L53" s="804" t="s">
        <v>858</v>
      </c>
      <c r="M53" s="805"/>
    </row>
    <row r="54" spans="1:13" ht="14.65" thickBot="1">
      <c r="A54" s="22"/>
      <c r="B54" s="98"/>
      <c r="C54" s="47">
        <f>C53</f>
        <v>1062800</v>
      </c>
      <c r="D54" s="47">
        <f t="shared" ref="D54:K54" si="10">D53</f>
        <v>1062800</v>
      </c>
      <c r="E54" s="47">
        <f t="shared" si="10"/>
        <v>1062800</v>
      </c>
      <c r="F54" s="47">
        <f t="shared" si="10"/>
        <v>1062800</v>
      </c>
      <c r="G54" s="47">
        <f t="shared" si="10"/>
        <v>1062800</v>
      </c>
      <c r="H54" s="47">
        <f>H53</f>
        <v>1062799.9999999998</v>
      </c>
      <c r="I54" s="47">
        <f t="shared" si="10"/>
        <v>0</v>
      </c>
      <c r="J54" s="47">
        <f t="shared" si="10"/>
        <v>0</v>
      </c>
      <c r="K54" s="47">
        <f t="shared" si="10"/>
        <v>1062799.9999999998</v>
      </c>
      <c r="L54" s="63"/>
      <c r="M54" s="63"/>
    </row>
    <row r="55" spans="1:13">
      <c r="A55" s="22"/>
      <c r="B55" s="98"/>
      <c r="C55" s="22"/>
      <c r="D55" s="22"/>
      <c r="E55" s="22"/>
      <c r="F55" s="22"/>
      <c r="G55" s="48">
        <f>$F54-G54</f>
        <v>0</v>
      </c>
      <c r="H55" s="48">
        <f>$F54-H54</f>
        <v>0</v>
      </c>
      <c r="I55" s="22"/>
      <c r="J55" s="22"/>
      <c r="K55" s="48">
        <f>$F54-K54</f>
        <v>0</v>
      </c>
      <c r="L55" s="63"/>
      <c r="M55" s="63"/>
    </row>
    <row r="56" spans="1:13" ht="14.65" thickBot="1">
      <c r="A56" s="22"/>
      <c r="B56" s="98"/>
      <c r="C56" s="95"/>
      <c r="D56" s="95"/>
      <c r="E56" s="95"/>
      <c r="F56" s="95"/>
      <c r="G56" s="95"/>
      <c r="H56" s="95"/>
      <c r="I56" s="95"/>
      <c r="J56" s="95"/>
      <c r="K56" s="95"/>
      <c r="L56" s="63"/>
      <c r="M56" s="63"/>
    </row>
    <row r="57" spans="1:13">
      <c r="A57" s="423" t="s">
        <v>217</v>
      </c>
      <c r="B57" s="822" t="s">
        <v>518</v>
      </c>
      <c r="C57" s="425">
        <v>0</v>
      </c>
      <c r="D57" s="439">
        <v>0</v>
      </c>
      <c r="E57" s="439">
        <v>0</v>
      </c>
      <c r="F57" s="808">
        <v>0</v>
      </c>
      <c r="G57" s="426">
        <v>0</v>
      </c>
      <c r="H57" s="730">
        <v>0</v>
      </c>
      <c r="I57" s="427"/>
      <c r="J57" s="428"/>
      <c r="K57" s="442">
        <f>SUM(H57:J57)</f>
        <v>0</v>
      </c>
      <c r="L57" s="802"/>
      <c r="M57" s="794"/>
    </row>
    <row r="58" spans="1:13">
      <c r="A58" s="447" t="s">
        <v>431</v>
      </c>
      <c r="B58" s="823" t="s">
        <v>519</v>
      </c>
      <c r="C58" s="429">
        <v>1090000</v>
      </c>
      <c r="D58" s="528">
        <v>1090000</v>
      </c>
      <c r="E58" s="528">
        <v>1090000</v>
      </c>
      <c r="F58" s="809">
        <v>1089999.9990000001</v>
      </c>
      <c r="G58" s="451">
        <v>1089999.9990000001</v>
      </c>
      <c r="H58" s="731">
        <v>1089999.9990000001</v>
      </c>
      <c r="I58" s="431"/>
      <c r="J58" s="432"/>
      <c r="K58" s="443">
        <f t="shared" ref="K58:K61" si="11">SUM(H58:J58)</f>
        <v>1089999.9990000001</v>
      </c>
      <c r="L58" s="688"/>
      <c r="M58" s="796"/>
    </row>
    <row r="59" spans="1:13" ht="21.75">
      <c r="A59" s="447" t="s">
        <v>432</v>
      </c>
      <c r="B59" s="823" t="s">
        <v>520</v>
      </c>
      <c r="C59" s="429">
        <v>33755000</v>
      </c>
      <c r="D59" s="440">
        <v>33755000</v>
      </c>
      <c r="E59" s="440">
        <v>33755000</v>
      </c>
      <c r="F59" s="809">
        <v>33755000.000006996</v>
      </c>
      <c r="G59" s="430">
        <v>33755000.000006996</v>
      </c>
      <c r="H59" s="791">
        <v>33755000.000006996</v>
      </c>
      <c r="I59" s="431"/>
      <c r="J59" s="432"/>
      <c r="K59" s="443">
        <f t="shared" si="11"/>
        <v>33755000.000006996</v>
      </c>
      <c r="L59" s="688" t="s">
        <v>543</v>
      </c>
      <c r="M59" s="796"/>
    </row>
    <row r="60" spans="1:13">
      <c r="A60" s="447" t="s">
        <v>433</v>
      </c>
      <c r="B60" s="823" t="s">
        <v>521</v>
      </c>
      <c r="C60" s="429">
        <v>400000</v>
      </c>
      <c r="D60" s="528">
        <v>400000</v>
      </c>
      <c r="E60" s="528">
        <v>400000</v>
      </c>
      <c r="F60" s="809">
        <v>400000</v>
      </c>
      <c r="G60" s="451">
        <v>400000</v>
      </c>
      <c r="H60" s="731">
        <v>400000</v>
      </c>
      <c r="I60" s="431"/>
      <c r="J60" s="432"/>
      <c r="K60" s="443">
        <f t="shared" si="11"/>
        <v>400000</v>
      </c>
      <c r="L60" s="688"/>
      <c r="M60" s="796"/>
    </row>
    <row r="61" spans="1:13" ht="14.65" thickBot="1">
      <c r="A61" s="448" t="s">
        <v>434</v>
      </c>
      <c r="B61" s="824" t="s">
        <v>522</v>
      </c>
      <c r="C61" s="433">
        <v>2000000</v>
      </c>
      <c r="D61" s="530">
        <v>2000000</v>
      </c>
      <c r="E61" s="530">
        <v>2000000</v>
      </c>
      <c r="F61" s="810">
        <v>2000000</v>
      </c>
      <c r="G61" s="452">
        <v>2000000</v>
      </c>
      <c r="H61" s="732">
        <v>2000000</v>
      </c>
      <c r="I61" s="434"/>
      <c r="J61" s="435"/>
      <c r="K61" s="444">
        <f t="shared" si="11"/>
        <v>2000000</v>
      </c>
      <c r="L61" s="803"/>
      <c r="M61" s="390"/>
    </row>
    <row r="62" spans="1:13" ht="14.65" thickBot="1">
      <c r="A62" s="22"/>
      <c r="B62" s="98"/>
      <c r="C62" s="47">
        <f>SUM(C57:C61)</f>
        <v>37245000</v>
      </c>
      <c r="D62" s="47">
        <f t="shared" ref="D62:K62" si="12">SUM(D57:D61)</f>
        <v>37245000</v>
      </c>
      <c r="E62" s="47">
        <f t="shared" si="12"/>
        <v>37245000</v>
      </c>
      <c r="F62" s="47">
        <f t="shared" si="12"/>
        <v>37244999.999006994</v>
      </c>
      <c r="G62" s="47">
        <f t="shared" si="12"/>
        <v>37244999.999006994</v>
      </c>
      <c r="H62" s="47">
        <f>SUM(H57:H61)</f>
        <v>37244999.999006994</v>
      </c>
      <c r="I62" s="47">
        <f t="shared" si="12"/>
        <v>0</v>
      </c>
      <c r="J62" s="47">
        <f t="shared" si="12"/>
        <v>0</v>
      </c>
      <c r="K62" s="47">
        <f t="shared" si="12"/>
        <v>37244999.999006994</v>
      </c>
      <c r="L62" s="63"/>
      <c r="M62" s="63"/>
    </row>
    <row r="63" spans="1:13">
      <c r="A63" s="22"/>
      <c r="B63" s="98"/>
      <c r="C63" s="22"/>
      <c r="D63" s="22"/>
      <c r="E63" s="22"/>
      <c r="F63" s="22"/>
      <c r="G63" s="48">
        <f>$F62-G62</f>
        <v>0</v>
      </c>
      <c r="H63" s="48">
        <f>$F62-H62</f>
        <v>0</v>
      </c>
      <c r="I63" s="22"/>
      <c r="J63" s="22"/>
      <c r="K63" s="48">
        <f>$F62-K62</f>
        <v>0</v>
      </c>
      <c r="L63" s="63"/>
      <c r="M63" s="63"/>
    </row>
    <row r="64" spans="1:13" ht="14.65" thickBot="1">
      <c r="A64" s="22"/>
      <c r="B64" s="98"/>
      <c r="C64" s="95"/>
      <c r="D64" s="95"/>
      <c r="E64" s="95"/>
      <c r="F64" s="95"/>
      <c r="G64" s="95"/>
      <c r="H64" s="95"/>
      <c r="I64" s="95"/>
      <c r="J64" s="95"/>
      <c r="K64" s="95"/>
      <c r="L64" s="63"/>
      <c r="M64" s="63"/>
    </row>
    <row r="65" spans="1:13">
      <c r="A65" s="423" t="s">
        <v>435</v>
      </c>
      <c r="B65" s="822" t="s">
        <v>515</v>
      </c>
      <c r="C65" s="425">
        <v>0</v>
      </c>
      <c r="D65" s="439">
        <v>0</v>
      </c>
      <c r="E65" s="439">
        <v>0</v>
      </c>
      <c r="F65" s="808">
        <v>0</v>
      </c>
      <c r="G65" s="426">
        <v>0</v>
      </c>
      <c r="H65" s="730">
        <v>0</v>
      </c>
      <c r="I65" s="427"/>
      <c r="J65" s="428"/>
      <c r="K65" s="442">
        <f>SUM(H65:J65)</f>
        <v>0</v>
      </c>
      <c r="L65" s="802"/>
      <c r="M65" s="794"/>
    </row>
    <row r="66" spans="1:13">
      <c r="A66" s="447" t="s">
        <v>436</v>
      </c>
      <c r="B66" s="823" t="s">
        <v>516</v>
      </c>
      <c r="C66" s="429">
        <v>1567228</v>
      </c>
      <c r="D66" s="528">
        <v>1567228</v>
      </c>
      <c r="E66" s="528">
        <v>1567227.9998999999</v>
      </c>
      <c r="F66" s="809">
        <v>1567227.9998999999</v>
      </c>
      <c r="G66" s="451">
        <v>1567227.9998999999</v>
      </c>
      <c r="H66" s="792">
        <v>118828</v>
      </c>
      <c r="I66" s="431"/>
      <c r="J66" s="432"/>
      <c r="K66" s="443">
        <f t="shared" ref="K66:K68" si="13">SUM(H66:J66)</f>
        <v>118828</v>
      </c>
      <c r="L66" s="688"/>
      <c r="M66" s="796"/>
    </row>
    <row r="67" spans="1:13">
      <c r="A67" s="914" t="s">
        <v>436</v>
      </c>
      <c r="B67" s="897" t="s">
        <v>866</v>
      </c>
      <c r="C67" s="888">
        <v>0</v>
      </c>
      <c r="D67" s="898">
        <v>0</v>
      </c>
      <c r="E67" s="898">
        <v>0</v>
      </c>
      <c r="F67" s="899">
        <v>0</v>
      </c>
      <c r="G67" s="900">
        <v>0</v>
      </c>
      <c r="H67" s="906">
        <v>1448400</v>
      </c>
      <c r="I67" s="901"/>
      <c r="J67" s="902"/>
      <c r="K67" s="903">
        <f t="shared" si="13"/>
        <v>1448400</v>
      </c>
      <c r="L67" s="904" t="s">
        <v>867</v>
      </c>
      <c r="M67" s="905">
        <v>4503106362</v>
      </c>
    </row>
    <row r="68" spans="1:13" ht="14.65" thickBot="1">
      <c r="A68" s="448" t="s">
        <v>437</v>
      </c>
      <c r="B68" s="824" t="s">
        <v>517</v>
      </c>
      <c r="C68" s="433">
        <v>2347800</v>
      </c>
      <c r="D68" s="530">
        <v>2347800</v>
      </c>
      <c r="E68" s="530">
        <v>2347800</v>
      </c>
      <c r="F68" s="810">
        <v>2347800</v>
      </c>
      <c r="G68" s="452">
        <v>2347800</v>
      </c>
      <c r="H68" s="732">
        <v>2347800</v>
      </c>
      <c r="I68" s="434"/>
      <c r="J68" s="435"/>
      <c r="K68" s="444">
        <f t="shared" si="13"/>
        <v>2347800</v>
      </c>
      <c r="L68" s="803"/>
      <c r="M68" s="390"/>
    </row>
    <row r="69" spans="1:13" ht="14.65" thickBot="1">
      <c r="A69" s="22"/>
      <c r="B69" s="98"/>
      <c r="C69" s="47">
        <f>SUM(C65:C68)</f>
        <v>3915028</v>
      </c>
      <c r="D69" s="47">
        <f t="shared" ref="D69:K69" si="14">SUM(D65:D68)</f>
        <v>3915028</v>
      </c>
      <c r="E69" s="47">
        <f t="shared" si="14"/>
        <v>3915027.9999000002</v>
      </c>
      <c r="F69" s="47">
        <f t="shared" si="14"/>
        <v>3915027.9999000002</v>
      </c>
      <c r="G69" s="47">
        <f t="shared" si="14"/>
        <v>3915027.9999000002</v>
      </c>
      <c r="H69" s="47">
        <f>SUM(H65:H68)</f>
        <v>3915028</v>
      </c>
      <c r="I69" s="47">
        <f t="shared" si="14"/>
        <v>0</v>
      </c>
      <c r="J69" s="47">
        <f t="shared" si="14"/>
        <v>0</v>
      </c>
      <c r="K69" s="47">
        <f t="shared" si="14"/>
        <v>3915028</v>
      </c>
      <c r="L69" s="63"/>
      <c r="M69" s="63"/>
    </row>
    <row r="70" spans="1:13">
      <c r="A70" s="22"/>
      <c r="B70" s="98"/>
      <c r="C70" s="22"/>
      <c r="D70" s="22"/>
      <c r="E70" s="22"/>
      <c r="F70" s="22"/>
      <c r="G70" s="48">
        <f>$F69-G69</f>
        <v>0</v>
      </c>
      <c r="H70" s="48">
        <f>$F69-H69</f>
        <v>-9.999983012676239E-5</v>
      </c>
      <c r="I70" s="22"/>
      <c r="J70" s="22"/>
      <c r="K70" s="48">
        <f>$F69-K69</f>
        <v>-9.999983012676239E-5</v>
      </c>
      <c r="L70" s="63"/>
      <c r="M70" s="63"/>
    </row>
    <row r="71" spans="1:13" ht="14.65" thickBot="1">
      <c r="A71" s="22"/>
      <c r="B71" s="98"/>
      <c r="C71" s="95"/>
      <c r="D71" s="95"/>
      <c r="E71" s="95"/>
      <c r="F71" s="95"/>
      <c r="G71" s="95"/>
      <c r="H71" s="95"/>
      <c r="I71" s="95"/>
      <c r="J71" s="95"/>
      <c r="K71" s="95"/>
      <c r="L71" s="63"/>
      <c r="M71" s="63"/>
    </row>
    <row r="72" spans="1:13" ht="14.65" thickBot="1">
      <c r="A72" s="424" t="s">
        <v>438</v>
      </c>
      <c r="B72" s="828" t="s">
        <v>514</v>
      </c>
      <c r="C72" s="436">
        <v>8271000</v>
      </c>
      <c r="D72" s="529">
        <v>8271000</v>
      </c>
      <c r="E72" s="529">
        <v>8271000</v>
      </c>
      <c r="F72" s="814">
        <v>8271000</v>
      </c>
      <c r="G72" s="636">
        <v>8271000</v>
      </c>
      <c r="H72" s="636">
        <v>8271000</v>
      </c>
      <c r="I72" s="437"/>
      <c r="J72" s="438"/>
      <c r="K72" s="441">
        <f>SUM(H72:J72)</f>
        <v>8271000</v>
      </c>
      <c r="L72" s="804"/>
      <c r="M72" s="805"/>
    </row>
    <row r="73" spans="1:13" ht="14.65" thickBot="1">
      <c r="A73" s="22"/>
      <c r="B73" s="98"/>
      <c r="C73" s="47">
        <f>C72</f>
        <v>8271000</v>
      </c>
      <c r="D73" s="47">
        <f t="shared" ref="D73:K73" si="15">D72</f>
        <v>8271000</v>
      </c>
      <c r="E73" s="47">
        <f t="shared" si="15"/>
        <v>8271000</v>
      </c>
      <c r="F73" s="47">
        <f t="shared" si="15"/>
        <v>8271000</v>
      </c>
      <c r="G73" s="47">
        <f t="shared" si="15"/>
        <v>8271000</v>
      </c>
      <c r="H73" s="47">
        <f>H72</f>
        <v>8271000</v>
      </c>
      <c r="I73" s="47">
        <f t="shared" si="15"/>
        <v>0</v>
      </c>
      <c r="J73" s="47">
        <f t="shared" si="15"/>
        <v>0</v>
      </c>
      <c r="K73" s="47">
        <f t="shared" si="15"/>
        <v>8271000</v>
      </c>
      <c r="L73" s="63"/>
      <c r="M73" s="63"/>
    </row>
    <row r="74" spans="1:13">
      <c r="A74" s="22"/>
      <c r="B74" s="98"/>
      <c r="C74" s="22"/>
      <c r="D74" s="22"/>
      <c r="E74" s="22"/>
      <c r="F74" s="22"/>
      <c r="G74" s="48">
        <f>$F73-G73</f>
        <v>0</v>
      </c>
      <c r="H74" s="48">
        <f>$F73-H73</f>
        <v>0</v>
      </c>
      <c r="I74" s="22"/>
      <c r="J74" s="22"/>
      <c r="K74" s="48">
        <f>$F73-K73</f>
        <v>0</v>
      </c>
      <c r="L74" s="63"/>
      <c r="M74" s="63"/>
    </row>
    <row r="75" spans="1:13" ht="14.65" thickBot="1">
      <c r="A75" s="22"/>
      <c r="B75" s="98"/>
      <c r="C75" s="95"/>
      <c r="D75" s="95"/>
      <c r="E75" s="95"/>
      <c r="F75" s="95"/>
      <c r="G75" s="95"/>
      <c r="H75" s="95"/>
      <c r="I75" s="95"/>
      <c r="J75" s="95"/>
      <c r="K75" s="95"/>
      <c r="L75" s="63"/>
      <c r="M75" s="63"/>
    </row>
    <row r="76" spans="1:13">
      <c r="A76" s="423" t="s">
        <v>439</v>
      </c>
      <c r="B76" s="822" t="s">
        <v>501</v>
      </c>
      <c r="C76" s="425">
        <v>0</v>
      </c>
      <c r="D76" s="439">
        <v>0</v>
      </c>
      <c r="E76" s="439">
        <v>0</v>
      </c>
      <c r="F76" s="808">
        <v>0</v>
      </c>
      <c r="G76" s="633">
        <v>0</v>
      </c>
      <c r="H76" s="633">
        <v>0</v>
      </c>
      <c r="I76" s="427"/>
      <c r="J76" s="428"/>
      <c r="K76" s="442">
        <f t="shared" ref="K76:K98" si="16">SUM(H76:J76)</f>
        <v>0</v>
      </c>
      <c r="L76" s="802"/>
      <c r="M76" s="794"/>
    </row>
    <row r="77" spans="1:13" ht="21.75">
      <c r="A77" s="447" t="s">
        <v>440</v>
      </c>
      <c r="B77" s="823" t="s">
        <v>502</v>
      </c>
      <c r="C77" s="429">
        <v>13374290</v>
      </c>
      <c r="D77" s="528">
        <v>13374290</v>
      </c>
      <c r="E77" s="528">
        <v>13374290</v>
      </c>
      <c r="F77" s="809">
        <v>13374290</v>
      </c>
      <c r="G77" s="634">
        <v>13374290</v>
      </c>
      <c r="H77" s="912">
        <v>394396</v>
      </c>
      <c r="I77" s="907"/>
      <c r="J77" s="908"/>
      <c r="K77" s="909">
        <f t="shared" si="16"/>
        <v>394396</v>
      </c>
      <c r="L77" s="910"/>
      <c r="M77" s="911"/>
    </row>
    <row r="78" spans="1:13" ht="21.75">
      <c r="A78" s="914" t="s">
        <v>872</v>
      </c>
      <c r="B78" s="823" t="s">
        <v>870</v>
      </c>
      <c r="C78" s="429">
        <v>0</v>
      </c>
      <c r="D78" s="528">
        <v>0</v>
      </c>
      <c r="E78" s="528">
        <v>0</v>
      </c>
      <c r="F78" s="809">
        <v>0</v>
      </c>
      <c r="G78" s="634">
        <v>0</v>
      </c>
      <c r="H78" s="913">
        <v>12979894</v>
      </c>
      <c r="I78" s="907"/>
      <c r="J78" s="908"/>
      <c r="K78" s="909">
        <f t="shared" si="16"/>
        <v>12979894</v>
      </c>
      <c r="L78" s="910" t="s">
        <v>868</v>
      </c>
      <c r="M78" s="911">
        <v>4503120533</v>
      </c>
    </row>
    <row r="79" spans="1:13">
      <c r="A79" s="447" t="s">
        <v>441</v>
      </c>
      <c r="B79" s="823" t="s">
        <v>503</v>
      </c>
      <c r="C79" s="429">
        <v>300000</v>
      </c>
      <c r="D79" s="528">
        <v>300000</v>
      </c>
      <c r="E79" s="528">
        <v>300000</v>
      </c>
      <c r="F79" s="809">
        <v>300000</v>
      </c>
      <c r="G79" s="637">
        <v>222785</v>
      </c>
      <c r="H79" s="637">
        <v>222785</v>
      </c>
      <c r="I79" s="431"/>
      <c r="J79" s="432"/>
      <c r="K79" s="443">
        <f t="shared" si="16"/>
        <v>222785</v>
      </c>
      <c r="L79" s="688"/>
      <c r="M79" s="796"/>
    </row>
    <row r="80" spans="1:13">
      <c r="A80" s="447" t="s">
        <v>441</v>
      </c>
      <c r="B80" s="823" t="s">
        <v>770</v>
      </c>
      <c r="C80" s="429">
        <v>0</v>
      </c>
      <c r="D80" s="528">
        <v>0</v>
      </c>
      <c r="E80" s="528">
        <v>0</v>
      </c>
      <c r="F80" s="809">
        <v>0</v>
      </c>
      <c r="G80" s="531">
        <v>77215</v>
      </c>
      <c r="H80" s="531">
        <v>77215</v>
      </c>
      <c r="I80" s="431"/>
      <c r="J80" s="432"/>
      <c r="K80" s="443">
        <f t="shared" si="16"/>
        <v>77215</v>
      </c>
      <c r="L80" s="688" t="s">
        <v>760</v>
      </c>
      <c r="M80" s="796">
        <v>4503036767</v>
      </c>
    </row>
    <row r="81" spans="1:13">
      <c r="A81" s="447" t="s">
        <v>442</v>
      </c>
      <c r="B81" s="823" t="s">
        <v>504</v>
      </c>
      <c r="C81" s="429">
        <v>9000000</v>
      </c>
      <c r="D81" s="528">
        <v>9000000</v>
      </c>
      <c r="E81" s="528">
        <v>9000000.0020000003</v>
      </c>
      <c r="F81" s="809">
        <v>9000000.0020000003</v>
      </c>
      <c r="G81" s="634">
        <v>9000000.0020000003</v>
      </c>
      <c r="H81" s="634">
        <v>9000000.0020000003</v>
      </c>
      <c r="I81" s="431"/>
      <c r="J81" s="432"/>
      <c r="K81" s="443">
        <f t="shared" si="16"/>
        <v>9000000.0020000003</v>
      </c>
      <c r="L81" s="688"/>
      <c r="M81" s="796"/>
    </row>
    <row r="82" spans="1:13">
      <c r="A82" s="447" t="s">
        <v>443</v>
      </c>
      <c r="B82" s="823" t="s">
        <v>505</v>
      </c>
      <c r="C82" s="429">
        <v>1000000</v>
      </c>
      <c r="D82" s="528">
        <v>1000000</v>
      </c>
      <c r="E82" s="528">
        <v>999999.99900000019</v>
      </c>
      <c r="F82" s="809">
        <v>999999.99900000019</v>
      </c>
      <c r="G82" s="634">
        <v>999999.99900000019</v>
      </c>
      <c r="H82" s="637">
        <v>267260</v>
      </c>
      <c r="I82" s="431"/>
      <c r="J82" s="432"/>
      <c r="K82" s="443">
        <f>SUM(H82:J82)</f>
        <v>267260</v>
      </c>
      <c r="L82" s="688"/>
      <c r="M82" s="796"/>
    </row>
    <row r="83" spans="1:13">
      <c r="A83" s="914" t="s">
        <v>871</v>
      </c>
      <c r="B83" s="823" t="s">
        <v>873</v>
      </c>
      <c r="C83" s="429">
        <v>0</v>
      </c>
      <c r="D83" s="528">
        <v>0</v>
      </c>
      <c r="E83" s="528">
        <v>0</v>
      </c>
      <c r="F83" s="809">
        <v>0</v>
      </c>
      <c r="G83" s="634">
        <v>0</v>
      </c>
      <c r="H83" s="531">
        <v>732740</v>
      </c>
      <c r="I83" s="431"/>
      <c r="J83" s="432"/>
      <c r="K83" s="443">
        <f t="shared" ref="K83:K95" si="17">SUM(H83:J83)</f>
        <v>732740</v>
      </c>
      <c r="L83" s="688" t="s">
        <v>869</v>
      </c>
      <c r="M83" s="796">
        <v>4503121635</v>
      </c>
    </row>
    <row r="84" spans="1:13">
      <c r="A84" s="447" t="s">
        <v>444</v>
      </c>
      <c r="B84" s="823" t="s">
        <v>506</v>
      </c>
      <c r="C84" s="429">
        <v>18664194</v>
      </c>
      <c r="D84" s="528">
        <v>18664194</v>
      </c>
      <c r="E84" s="528">
        <v>18664194</v>
      </c>
      <c r="F84" s="809">
        <v>18664194</v>
      </c>
      <c r="G84" s="634">
        <v>18664194</v>
      </c>
      <c r="H84" s="634">
        <v>18664194</v>
      </c>
      <c r="I84" s="431"/>
      <c r="J84" s="432"/>
      <c r="K84" s="443">
        <f t="shared" si="17"/>
        <v>18664194</v>
      </c>
      <c r="L84" s="688"/>
      <c r="M84" s="796"/>
    </row>
    <row r="85" spans="1:13">
      <c r="A85" s="447" t="s">
        <v>445</v>
      </c>
      <c r="B85" s="823" t="s">
        <v>507</v>
      </c>
      <c r="C85" s="429">
        <v>550000</v>
      </c>
      <c r="D85" s="528">
        <v>550000</v>
      </c>
      <c r="E85" s="528">
        <v>550000</v>
      </c>
      <c r="F85" s="809">
        <v>550000</v>
      </c>
      <c r="G85" s="634">
        <v>550000</v>
      </c>
      <c r="H85" s="634">
        <v>550000</v>
      </c>
      <c r="I85" s="431"/>
      <c r="J85" s="432"/>
      <c r="K85" s="443">
        <f t="shared" si="17"/>
        <v>550000</v>
      </c>
      <c r="L85" s="688"/>
      <c r="M85" s="796"/>
    </row>
    <row r="86" spans="1:13">
      <c r="A86" s="447" t="s">
        <v>446</v>
      </c>
      <c r="B86" s="823" t="s">
        <v>508</v>
      </c>
      <c r="C86" s="429">
        <v>2000000</v>
      </c>
      <c r="D86" s="528">
        <v>2000000</v>
      </c>
      <c r="E86" s="528">
        <v>2000000.0020000001</v>
      </c>
      <c r="F86" s="809">
        <v>2000000.0020000001</v>
      </c>
      <c r="G86" s="634">
        <v>2000000.0020000001</v>
      </c>
      <c r="H86" s="634">
        <v>2000000.0020000001</v>
      </c>
      <c r="I86" s="431"/>
      <c r="J86" s="432"/>
      <c r="K86" s="443">
        <f t="shared" si="17"/>
        <v>2000000.0020000001</v>
      </c>
      <c r="L86" s="688"/>
      <c r="M86" s="796"/>
    </row>
    <row r="87" spans="1:13">
      <c r="A87" s="447" t="s">
        <v>447</v>
      </c>
      <c r="B87" s="823" t="s">
        <v>509</v>
      </c>
      <c r="C87" s="429">
        <v>1000000</v>
      </c>
      <c r="D87" s="528">
        <v>1000000</v>
      </c>
      <c r="E87" s="528">
        <v>999999.99900000019</v>
      </c>
      <c r="F87" s="809">
        <v>999999.99900000019</v>
      </c>
      <c r="G87" s="634">
        <v>999999.99900000019</v>
      </c>
      <c r="H87" s="634">
        <v>999999.99900000019</v>
      </c>
      <c r="I87" s="431"/>
      <c r="J87" s="432"/>
      <c r="K87" s="443">
        <f t="shared" si="17"/>
        <v>999999.99900000019</v>
      </c>
      <c r="L87" s="688"/>
      <c r="M87" s="796"/>
    </row>
    <row r="88" spans="1:13">
      <c r="A88" s="447" t="s">
        <v>448</v>
      </c>
      <c r="B88" s="823" t="s">
        <v>510</v>
      </c>
      <c r="C88" s="429">
        <v>350000</v>
      </c>
      <c r="D88" s="528">
        <v>350000</v>
      </c>
      <c r="E88" s="528">
        <v>350000.0001</v>
      </c>
      <c r="F88" s="809">
        <v>350000.0001</v>
      </c>
      <c r="G88" s="634">
        <v>350000.0001</v>
      </c>
      <c r="H88" s="531">
        <v>0</v>
      </c>
      <c r="I88" s="431"/>
      <c r="J88" s="432"/>
      <c r="K88" s="443">
        <f t="shared" si="17"/>
        <v>0</v>
      </c>
      <c r="L88" s="688"/>
      <c r="M88" s="796"/>
    </row>
    <row r="89" spans="1:13">
      <c r="A89" s="914" t="s">
        <v>874</v>
      </c>
      <c r="B89" s="823" t="s">
        <v>873</v>
      </c>
      <c r="C89" s="429">
        <v>0</v>
      </c>
      <c r="D89" s="528">
        <v>0</v>
      </c>
      <c r="E89" s="528">
        <v>0</v>
      </c>
      <c r="F89" s="809">
        <v>0</v>
      </c>
      <c r="G89" s="634">
        <v>0</v>
      </c>
      <c r="H89" s="531">
        <v>350000</v>
      </c>
      <c r="I89" s="431"/>
      <c r="J89" s="432"/>
      <c r="K89" s="443">
        <f t="shared" si="17"/>
        <v>350000</v>
      </c>
      <c r="L89" s="688" t="s">
        <v>869</v>
      </c>
      <c r="M89" s="796">
        <v>4503121635</v>
      </c>
    </row>
    <row r="90" spans="1:13">
      <c r="A90" s="447" t="s">
        <v>449</v>
      </c>
      <c r="B90" s="823" t="s">
        <v>511</v>
      </c>
      <c r="C90" s="429">
        <v>200000</v>
      </c>
      <c r="D90" s="528">
        <v>200000</v>
      </c>
      <c r="E90" s="528">
        <v>199999.99979999996</v>
      </c>
      <c r="F90" s="809">
        <v>199999.99979999996</v>
      </c>
      <c r="G90" s="634">
        <v>199999.99979999996</v>
      </c>
      <c r="H90" s="634">
        <v>199999.99979999996</v>
      </c>
      <c r="I90" s="431"/>
      <c r="J90" s="432"/>
      <c r="K90" s="443">
        <f t="shared" si="17"/>
        <v>199999.99979999996</v>
      </c>
      <c r="L90" s="688"/>
      <c r="M90" s="796"/>
    </row>
    <row r="91" spans="1:13">
      <c r="A91" s="447" t="s">
        <v>450</v>
      </c>
      <c r="B91" s="823" t="s">
        <v>512</v>
      </c>
      <c r="C91" s="429">
        <v>3242866</v>
      </c>
      <c r="D91" s="528">
        <v>3242866</v>
      </c>
      <c r="E91" s="528">
        <v>3242866.0000000005</v>
      </c>
      <c r="F91" s="809">
        <v>3242866.0000000005</v>
      </c>
      <c r="G91" s="634">
        <v>3242866</v>
      </c>
      <c r="H91" s="634">
        <v>3242866.0000000005</v>
      </c>
      <c r="I91" s="431"/>
      <c r="J91" s="432"/>
      <c r="K91" s="443">
        <f t="shared" si="17"/>
        <v>3242866.0000000005</v>
      </c>
      <c r="L91" s="688"/>
      <c r="M91" s="796"/>
    </row>
    <row r="92" spans="1:13" ht="21.75">
      <c r="A92" s="447" t="s">
        <v>451</v>
      </c>
      <c r="B92" s="823" t="s">
        <v>513</v>
      </c>
      <c r="C92" s="429">
        <v>5517325</v>
      </c>
      <c r="D92" s="528">
        <v>5517325</v>
      </c>
      <c r="E92" s="528">
        <v>5517325</v>
      </c>
      <c r="F92" s="809">
        <v>5517325</v>
      </c>
      <c r="G92" s="634">
        <v>5517325</v>
      </c>
      <c r="H92" s="634">
        <v>5517325</v>
      </c>
      <c r="I92" s="431"/>
      <c r="J92" s="432"/>
      <c r="K92" s="443">
        <f t="shared" si="17"/>
        <v>5517325</v>
      </c>
      <c r="L92" s="688"/>
      <c r="M92" s="796"/>
    </row>
    <row r="93" spans="1:13">
      <c r="A93" s="447" t="s">
        <v>452</v>
      </c>
      <c r="B93" s="823" t="s">
        <v>495</v>
      </c>
      <c r="C93" s="429">
        <v>0</v>
      </c>
      <c r="D93" s="440">
        <v>0</v>
      </c>
      <c r="E93" s="440">
        <v>0</v>
      </c>
      <c r="F93" s="809">
        <v>0</v>
      </c>
      <c r="G93" s="531">
        <v>0</v>
      </c>
      <c r="H93" s="531">
        <v>0</v>
      </c>
      <c r="I93" s="431"/>
      <c r="J93" s="432"/>
      <c r="K93" s="443">
        <f t="shared" si="17"/>
        <v>0</v>
      </c>
      <c r="L93" s="688"/>
      <c r="M93" s="796"/>
    </row>
    <row r="94" spans="1:13">
      <c r="A94" s="449" t="s">
        <v>453</v>
      </c>
      <c r="B94" s="823" t="s">
        <v>496</v>
      </c>
      <c r="C94" s="429">
        <v>2200000</v>
      </c>
      <c r="D94" s="528">
        <v>2200000</v>
      </c>
      <c r="E94" s="528">
        <v>2200000</v>
      </c>
      <c r="F94" s="809">
        <v>2200000</v>
      </c>
      <c r="G94" s="634">
        <v>2200000</v>
      </c>
      <c r="H94" s="634">
        <v>2200000</v>
      </c>
      <c r="I94" s="431"/>
      <c r="J94" s="432"/>
      <c r="K94" s="443">
        <f t="shared" si="17"/>
        <v>2200000</v>
      </c>
      <c r="L94" s="688"/>
      <c r="M94" s="796"/>
    </row>
    <row r="95" spans="1:13">
      <c r="A95" s="449" t="s">
        <v>454</v>
      </c>
      <c r="B95" s="823" t="s">
        <v>497</v>
      </c>
      <c r="C95" s="429">
        <v>1000000</v>
      </c>
      <c r="D95" s="528">
        <v>1000000</v>
      </c>
      <c r="E95" s="528">
        <v>1000000</v>
      </c>
      <c r="F95" s="809">
        <v>1000000</v>
      </c>
      <c r="G95" s="634">
        <v>1000000</v>
      </c>
      <c r="H95" s="634">
        <v>1000000</v>
      </c>
      <c r="I95" s="431"/>
      <c r="J95" s="432"/>
      <c r="K95" s="443">
        <f t="shared" si="17"/>
        <v>1000000</v>
      </c>
      <c r="L95" s="688"/>
      <c r="M95" s="796"/>
    </row>
    <row r="96" spans="1:13">
      <c r="A96" s="449" t="s">
        <v>455</v>
      </c>
      <c r="B96" s="823" t="s">
        <v>498</v>
      </c>
      <c r="C96" s="429">
        <v>200000</v>
      </c>
      <c r="D96" s="528">
        <v>200000</v>
      </c>
      <c r="E96" s="528">
        <v>200000</v>
      </c>
      <c r="F96" s="809">
        <v>200000</v>
      </c>
      <c r="G96" s="634">
        <v>200000</v>
      </c>
      <c r="H96" s="634">
        <v>200000</v>
      </c>
      <c r="I96" s="431"/>
      <c r="J96" s="432"/>
      <c r="K96" s="443">
        <f t="shared" si="16"/>
        <v>200000</v>
      </c>
      <c r="L96" s="688"/>
      <c r="M96" s="796"/>
    </row>
    <row r="97" spans="1:13">
      <c r="A97" s="449" t="s">
        <v>456</v>
      </c>
      <c r="B97" s="823" t="s">
        <v>499</v>
      </c>
      <c r="C97" s="429">
        <v>400000</v>
      </c>
      <c r="D97" s="528">
        <v>400000</v>
      </c>
      <c r="E97" s="528">
        <v>400000</v>
      </c>
      <c r="F97" s="809">
        <v>400000</v>
      </c>
      <c r="G97" s="634">
        <v>400000</v>
      </c>
      <c r="H97" s="634">
        <v>400000</v>
      </c>
      <c r="I97" s="431"/>
      <c r="J97" s="432"/>
      <c r="K97" s="443">
        <f t="shared" si="16"/>
        <v>400000</v>
      </c>
      <c r="L97" s="688"/>
      <c r="M97" s="796"/>
    </row>
    <row r="98" spans="1:13" ht="14.65" thickBot="1">
      <c r="A98" s="450" t="s">
        <v>457</v>
      </c>
      <c r="B98" s="824" t="s">
        <v>500</v>
      </c>
      <c r="C98" s="433">
        <v>700000</v>
      </c>
      <c r="D98" s="530">
        <v>700000</v>
      </c>
      <c r="E98" s="530">
        <v>700000</v>
      </c>
      <c r="F98" s="810">
        <v>700000</v>
      </c>
      <c r="G98" s="635">
        <v>700000</v>
      </c>
      <c r="H98" s="635">
        <v>700000</v>
      </c>
      <c r="I98" s="434"/>
      <c r="J98" s="435"/>
      <c r="K98" s="444">
        <f t="shared" si="16"/>
        <v>700000</v>
      </c>
      <c r="L98" s="803"/>
      <c r="M98" s="390"/>
    </row>
    <row r="99" spans="1:13" ht="14.65" thickBot="1">
      <c r="A99" s="22"/>
      <c r="B99" s="98"/>
      <c r="C99" s="47">
        <f>SUM(C76:C98)</f>
        <v>59698675</v>
      </c>
      <c r="D99" s="47">
        <f t="shared" ref="D99:K99" si="18">SUM(D76:D98)</f>
        <v>59698675</v>
      </c>
      <c r="E99" s="47">
        <f t="shared" si="18"/>
        <v>59698675.001899995</v>
      </c>
      <c r="F99" s="47">
        <f t="shared" si="18"/>
        <v>59698675.001899995</v>
      </c>
      <c r="G99" s="47">
        <f t="shared" si="18"/>
        <v>59698675.001899995</v>
      </c>
      <c r="H99" s="47">
        <f>SUM(H76:H98)</f>
        <v>59698675.002799995</v>
      </c>
      <c r="I99" s="47">
        <f t="shared" si="18"/>
        <v>0</v>
      </c>
      <c r="J99" s="47">
        <f t="shared" si="18"/>
        <v>0</v>
      </c>
      <c r="K99" s="47">
        <f t="shared" si="18"/>
        <v>59698675.002799995</v>
      </c>
      <c r="L99" s="63"/>
      <c r="M99" s="63"/>
    </row>
    <row r="100" spans="1:13">
      <c r="A100" s="22"/>
      <c r="B100" s="98"/>
      <c r="C100" s="22"/>
      <c r="D100" s="22"/>
      <c r="E100" s="22"/>
      <c r="F100" s="22"/>
      <c r="G100" s="48">
        <f>$F99-G99</f>
        <v>0</v>
      </c>
      <c r="H100" s="48">
        <f>$F99-H99</f>
        <v>-9.0000033378601074E-4</v>
      </c>
      <c r="I100" s="22"/>
      <c r="J100" s="22"/>
      <c r="K100" s="48">
        <f>$F99-K99</f>
        <v>-9.0000033378601074E-4</v>
      </c>
      <c r="L100" s="63"/>
      <c r="M100" s="63"/>
    </row>
    <row r="101" spans="1:13" ht="14.65" thickBot="1">
      <c r="A101" s="22"/>
      <c r="B101" s="98"/>
      <c r="C101" s="95"/>
      <c r="D101" s="95"/>
      <c r="E101" s="95"/>
      <c r="F101" s="95"/>
      <c r="G101" s="95"/>
      <c r="H101" s="95"/>
      <c r="I101" s="95"/>
      <c r="J101" s="95"/>
      <c r="K101" s="95"/>
      <c r="L101" s="63"/>
      <c r="M101" s="63"/>
    </row>
    <row r="102" spans="1:13">
      <c r="A102" s="423" t="s">
        <v>458</v>
      </c>
      <c r="B102" s="825" t="s">
        <v>494</v>
      </c>
      <c r="C102" s="425">
        <v>1850000</v>
      </c>
      <c r="D102" s="798">
        <v>1850000</v>
      </c>
      <c r="E102" s="798">
        <v>1850000</v>
      </c>
      <c r="F102" s="811">
        <v>1850000</v>
      </c>
      <c r="G102" s="801">
        <v>346317.95</v>
      </c>
      <c r="H102" s="883">
        <v>346317.95</v>
      </c>
      <c r="I102" s="427"/>
      <c r="J102" s="428"/>
      <c r="K102" s="442">
        <f t="shared" ref="K102:K103" si="19">SUM(H102:J102)</f>
        <v>346317.95</v>
      </c>
      <c r="L102" s="793"/>
      <c r="M102" s="794"/>
    </row>
    <row r="103" spans="1:13" ht="14.65" thickBot="1">
      <c r="A103" s="799" t="s">
        <v>763</v>
      </c>
      <c r="B103" s="827" t="s">
        <v>769</v>
      </c>
      <c r="C103" s="433">
        <v>0</v>
      </c>
      <c r="D103" s="790">
        <v>0</v>
      </c>
      <c r="E103" s="790">
        <v>0</v>
      </c>
      <c r="F103" s="813">
        <v>0</v>
      </c>
      <c r="G103" s="800">
        <v>1503682.05</v>
      </c>
      <c r="H103" s="884">
        <v>1503682.05</v>
      </c>
      <c r="I103" s="434"/>
      <c r="J103" s="435"/>
      <c r="K103" s="444">
        <f t="shared" si="19"/>
        <v>1503682.05</v>
      </c>
      <c r="L103" s="797" t="s">
        <v>764</v>
      </c>
      <c r="M103" s="390">
        <v>4503064698</v>
      </c>
    </row>
    <row r="104" spans="1:13" ht="14.65" thickBot="1">
      <c r="A104" s="22"/>
      <c r="B104" s="98"/>
      <c r="C104" s="192">
        <f>SUM(C102:C103)</f>
        <v>1850000</v>
      </c>
      <c r="D104" s="192">
        <f t="shared" ref="D104:K104" si="20">SUM(D102:D103)</f>
        <v>1850000</v>
      </c>
      <c r="E104" s="192">
        <f t="shared" si="20"/>
        <v>1850000</v>
      </c>
      <c r="F104" s="192">
        <f t="shared" si="20"/>
        <v>1850000</v>
      </c>
      <c r="G104" s="192">
        <f t="shared" si="20"/>
        <v>1850000</v>
      </c>
      <c r="H104" s="192">
        <f>SUM(H102:H103)</f>
        <v>1850000</v>
      </c>
      <c r="I104" s="192">
        <f t="shared" si="20"/>
        <v>0</v>
      </c>
      <c r="J104" s="192">
        <f t="shared" si="20"/>
        <v>0</v>
      </c>
      <c r="K104" s="192">
        <f t="shared" si="20"/>
        <v>1850000</v>
      </c>
      <c r="L104" s="63"/>
      <c r="M104" s="63"/>
    </row>
    <row r="105" spans="1:13">
      <c r="A105" s="22"/>
      <c r="B105" s="98"/>
      <c r="C105" s="22"/>
      <c r="D105" s="22"/>
      <c r="E105" s="22"/>
      <c r="F105" s="22"/>
      <c r="G105" s="48">
        <f>$F104-G104</f>
        <v>0</v>
      </c>
      <c r="H105" s="48">
        <f>$F104-H104</f>
        <v>0</v>
      </c>
      <c r="I105" s="22"/>
      <c r="J105" s="22"/>
      <c r="K105" s="48">
        <f>$F104-K104</f>
        <v>0</v>
      </c>
      <c r="L105" s="63"/>
      <c r="M105" s="63"/>
    </row>
    <row r="106" spans="1:13" ht="14.65" thickBot="1">
      <c r="A106" s="22"/>
      <c r="B106" s="98"/>
      <c r="C106" s="95"/>
      <c r="D106" s="95"/>
      <c r="E106" s="95"/>
      <c r="F106" s="95"/>
      <c r="G106" s="95"/>
      <c r="H106" s="95"/>
      <c r="I106" s="95"/>
      <c r="J106" s="95"/>
      <c r="K106" s="95"/>
      <c r="L106" s="63"/>
      <c r="M106" s="63"/>
    </row>
    <row r="107" spans="1:13" ht="14.65" thickBot="1">
      <c r="A107" s="424" t="s">
        <v>459</v>
      </c>
      <c r="B107" s="828" t="s">
        <v>493</v>
      </c>
      <c r="C107" s="436">
        <v>11000000</v>
      </c>
      <c r="D107" s="529">
        <v>11000000</v>
      </c>
      <c r="E107" s="529">
        <v>11000000</v>
      </c>
      <c r="F107" s="814">
        <v>10999999.998000003</v>
      </c>
      <c r="G107" s="636">
        <v>10999999.998000003</v>
      </c>
      <c r="H107" s="636">
        <v>10999999.998000003</v>
      </c>
      <c r="I107" s="437"/>
      <c r="J107" s="438"/>
      <c r="K107" s="441">
        <f>SUM(H107:J107)</f>
        <v>10999999.998000003</v>
      </c>
      <c r="L107" s="804"/>
      <c r="M107" s="805"/>
    </row>
    <row r="108" spans="1:13" ht="14.65" thickBot="1">
      <c r="A108" s="22"/>
      <c r="B108" s="98"/>
      <c r="C108" s="47">
        <f>C107</f>
        <v>11000000</v>
      </c>
      <c r="D108" s="47">
        <f t="shared" ref="D108:K108" si="21">D107</f>
        <v>11000000</v>
      </c>
      <c r="E108" s="47">
        <f t="shared" si="21"/>
        <v>11000000</v>
      </c>
      <c r="F108" s="47">
        <f t="shared" si="21"/>
        <v>10999999.998000003</v>
      </c>
      <c r="G108" s="47">
        <f t="shared" si="21"/>
        <v>10999999.998000003</v>
      </c>
      <c r="H108" s="47">
        <f>H107</f>
        <v>10999999.998000003</v>
      </c>
      <c r="I108" s="47">
        <f t="shared" si="21"/>
        <v>0</v>
      </c>
      <c r="J108" s="47">
        <f t="shared" si="21"/>
        <v>0</v>
      </c>
      <c r="K108" s="47">
        <f t="shared" si="21"/>
        <v>10999999.998000003</v>
      </c>
      <c r="L108" s="63"/>
      <c r="M108" s="63"/>
    </row>
    <row r="109" spans="1:13">
      <c r="A109" s="22"/>
      <c r="B109" s="98"/>
      <c r="C109" s="22"/>
      <c r="D109" s="22"/>
      <c r="E109" s="22"/>
      <c r="F109" s="22"/>
      <c r="G109" s="48">
        <f>$F108-G108</f>
        <v>0</v>
      </c>
      <c r="H109" s="48">
        <f>$F108-H108</f>
        <v>0</v>
      </c>
      <c r="I109" s="22"/>
      <c r="J109" s="22"/>
      <c r="K109" s="48">
        <f>$F108-K108</f>
        <v>0</v>
      </c>
      <c r="L109" s="63"/>
      <c r="M109" s="63"/>
    </row>
    <row r="110" spans="1:13" ht="14.65" thickBot="1">
      <c r="A110" s="22"/>
      <c r="B110" s="98"/>
      <c r="C110" s="95"/>
      <c r="D110" s="95"/>
      <c r="E110" s="95"/>
      <c r="F110" s="95"/>
      <c r="G110" s="95"/>
      <c r="H110" s="95"/>
      <c r="I110" s="95"/>
      <c r="J110" s="95"/>
      <c r="K110" s="95"/>
      <c r="L110" s="63"/>
      <c r="M110" s="63"/>
    </row>
    <row r="111" spans="1:13">
      <c r="A111" s="423" t="s">
        <v>460</v>
      </c>
      <c r="B111" s="822" t="s">
        <v>482</v>
      </c>
      <c r="C111" s="425">
        <v>0</v>
      </c>
      <c r="D111" s="439">
        <v>0</v>
      </c>
      <c r="E111" s="439">
        <v>0</v>
      </c>
      <c r="F111" s="808">
        <v>0</v>
      </c>
      <c r="G111" s="633">
        <v>0</v>
      </c>
      <c r="H111" s="633">
        <v>0</v>
      </c>
      <c r="I111" s="427"/>
      <c r="J111" s="428"/>
      <c r="K111" s="442">
        <f t="shared" ref="K111:K121" si="22">SUM(H111:J111)</f>
        <v>0</v>
      </c>
      <c r="L111" s="802"/>
      <c r="M111" s="794"/>
    </row>
    <row r="112" spans="1:13">
      <c r="A112" s="447" t="s">
        <v>461</v>
      </c>
      <c r="B112" s="823" t="s">
        <v>483</v>
      </c>
      <c r="C112" s="429">
        <v>1500000</v>
      </c>
      <c r="D112" s="528">
        <v>1500000</v>
      </c>
      <c r="E112" s="528">
        <v>1500000</v>
      </c>
      <c r="F112" s="809">
        <v>1500000</v>
      </c>
      <c r="G112" s="634">
        <v>1500000</v>
      </c>
      <c r="H112" s="634">
        <v>1500000</v>
      </c>
      <c r="I112" s="431"/>
      <c r="J112" s="432"/>
      <c r="K112" s="443">
        <f t="shared" si="22"/>
        <v>1500000</v>
      </c>
      <c r="L112" s="688"/>
      <c r="M112" s="796"/>
    </row>
    <row r="113" spans="1:13">
      <c r="A113" s="447" t="s">
        <v>462</v>
      </c>
      <c r="B113" s="823" t="s">
        <v>484</v>
      </c>
      <c r="C113" s="429">
        <v>200000</v>
      </c>
      <c r="D113" s="528">
        <v>200000</v>
      </c>
      <c r="E113" s="528">
        <v>200000</v>
      </c>
      <c r="F113" s="809">
        <v>200000.00019999995</v>
      </c>
      <c r="G113" s="634">
        <v>200000.00019999995</v>
      </c>
      <c r="H113" s="634">
        <v>200000.00019999995</v>
      </c>
      <c r="I113" s="431"/>
      <c r="J113" s="432"/>
      <c r="K113" s="443">
        <f t="shared" si="22"/>
        <v>200000.00019999995</v>
      </c>
      <c r="L113" s="688"/>
      <c r="M113" s="796"/>
    </row>
    <row r="114" spans="1:13">
      <c r="A114" s="447" t="s">
        <v>463</v>
      </c>
      <c r="B114" s="823" t="s">
        <v>485</v>
      </c>
      <c r="C114" s="429">
        <v>200000</v>
      </c>
      <c r="D114" s="528">
        <v>200000</v>
      </c>
      <c r="E114" s="528">
        <v>200000</v>
      </c>
      <c r="F114" s="809">
        <v>200000.00019999995</v>
      </c>
      <c r="G114" s="634">
        <v>200000.00019999995</v>
      </c>
      <c r="H114" s="634">
        <v>200000.00019999995</v>
      </c>
      <c r="I114" s="431"/>
      <c r="J114" s="432"/>
      <c r="K114" s="443">
        <f t="shared" si="22"/>
        <v>200000.00019999995</v>
      </c>
      <c r="L114" s="688"/>
      <c r="M114" s="796"/>
    </row>
    <row r="115" spans="1:13">
      <c r="A115" s="447" t="s">
        <v>464</v>
      </c>
      <c r="B115" s="823" t="s">
        <v>486</v>
      </c>
      <c r="C115" s="429">
        <v>3337500</v>
      </c>
      <c r="D115" s="528">
        <v>3337500</v>
      </c>
      <c r="E115" s="528">
        <v>3337500</v>
      </c>
      <c r="F115" s="809">
        <v>3337500</v>
      </c>
      <c r="G115" s="634">
        <v>3337500</v>
      </c>
      <c r="H115" s="634">
        <v>3337500</v>
      </c>
      <c r="I115" s="431"/>
      <c r="J115" s="432"/>
      <c r="K115" s="443">
        <f t="shared" si="22"/>
        <v>3337500</v>
      </c>
      <c r="L115" s="688"/>
      <c r="M115" s="796"/>
    </row>
    <row r="116" spans="1:13">
      <c r="A116" s="447" t="s">
        <v>465</v>
      </c>
      <c r="B116" s="823" t="s">
        <v>487</v>
      </c>
      <c r="C116" s="429">
        <v>2600000</v>
      </c>
      <c r="D116" s="528">
        <v>2600000</v>
      </c>
      <c r="E116" s="528">
        <v>2600000</v>
      </c>
      <c r="F116" s="809">
        <v>2600000</v>
      </c>
      <c r="G116" s="634">
        <v>2600000</v>
      </c>
      <c r="H116" s="634">
        <v>2600000</v>
      </c>
      <c r="I116" s="431"/>
      <c r="J116" s="432"/>
      <c r="K116" s="443">
        <f t="shared" si="22"/>
        <v>2600000</v>
      </c>
      <c r="L116" s="688"/>
      <c r="M116" s="796"/>
    </row>
    <row r="117" spans="1:13">
      <c r="A117" s="447" t="s">
        <v>466</v>
      </c>
      <c r="B117" s="823" t="s">
        <v>488</v>
      </c>
      <c r="C117" s="429">
        <v>350000</v>
      </c>
      <c r="D117" s="528">
        <v>350000</v>
      </c>
      <c r="E117" s="528">
        <v>350000</v>
      </c>
      <c r="F117" s="809">
        <v>349999.99979999999</v>
      </c>
      <c r="G117" s="634">
        <v>349999.99979999999</v>
      </c>
      <c r="H117" s="634">
        <v>349999.99979999999</v>
      </c>
      <c r="I117" s="431"/>
      <c r="J117" s="432"/>
      <c r="K117" s="443">
        <f t="shared" si="22"/>
        <v>349999.99979999999</v>
      </c>
      <c r="L117" s="688"/>
      <c r="M117" s="796"/>
    </row>
    <row r="118" spans="1:13">
      <c r="A118" s="447" t="s">
        <v>467</v>
      </c>
      <c r="B118" s="823" t="s">
        <v>489</v>
      </c>
      <c r="C118" s="429">
        <v>3010000</v>
      </c>
      <c r="D118" s="528">
        <v>3010000</v>
      </c>
      <c r="E118" s="528">
        <v>3010000</v>
      </c>
      <c r="F118" s="809">
        <v>3010000</v>
      </c>
      <c r="G118" s="634">
        <v>3010000</v>
      </c>
      <c r="H118" s="634">
        <v>3010000</v>
      </c>
      <c r="I118" s="431"/>
      <c r="J118" s="432"/>
      <c r="K118" s="443">
        <f t="shared" si="22"/>
        <v>3010000</v>
      </c>
      <c r="L118" s="688"/>
      <c r="M118" s="796"/>
    </row>
    <row r="119" spans="1:13">
      <c r="A119" s="447" t="s">
        <v>468</v>
      </c>
      <c r="B119" s="823" t="s">
        <v>490</v>
      </c>
      <c r="C119" s="429">
        <v>838500</v>
      </c>
      <c r="D119" s="528">
        <v>838500</v>
      </c>
      <c r="E119" s="528">
        <v>838500</v>
      </c>
      <c r="F119" s="809">
        <v>838500</v>
      </c>
      <c r="G119" s="634">
        <v>838500</v>
      </c>
      <c r="H119" s="634">
        <v>838500</v>
      </c>
      <c r="I119" s="431"/>
      <c r="J119" s="432"/>
      <c r="K119" s="443">
        <f t="shared" si="22"/>
        <v>838500</v>
      </c>
      <c r="L119" s="688"/>
      <c r="M119" s="796"/>
    </row>
    <row r="120" spans="1:13">
      <c r="A120" s="447" t="s">
        <v>469</v>
      </c>
      <c r="B120" s="823" t="s">
        <v>491</v>
      </c>
      <c r="C120" s="429">
        <v>731000</v>
      </c>
      <c r="D120" s="528">
        <v>731000</v>
      </c>
      <c r="E120" s="528">
        <v>731000</v>
      </c>
      <c r="F120" s="809">
        <v>730999.99979999999</v>
      </c>
      <c r="G120" s="634">
        <v>730999.99979999999</v>
      </c>
      <c r="H120" s="634">
        <v>730999.99979999999</v>
      </c>
      <c r="I120" s="431"/>
      <c r="J120" s="432"/>
      <c r="K120" s="443">
        <f t="shared" si="22"/>
        <v>730999.99979999999</v>
      </c>
      <c r="L120" s="688"/>
      <c r="M120" s="796"/>
    </row>
    <row r="121" spans="1:13" ht="14.65" thickBot="1">
      <c r="A121" s="448" t="s">
        <v>470</v>
      </c>
      <c r="B121" s="824" t="s">
        <v>492</v>
      </c>
      <c r="C121" s="433">
        <v>800000</v>
      </c>
      <c r="D121" s="530">
        <v>800000</v>
      </c>
      <c r="E121" s="530">
        <v>800000</v>
      </c>
      <c r="F121" s="810">
        <v>799999.99800000002</v>
      </c>
      <c r="G121" s="635">
        <v>799999.99800000002</v>
      </c>
      <c r="H121" s="635">
        <v>799999.99800000002</v>
      </c>
      <c r="I121" s="434"/>
      <c r="J121" s="435"/>
      <c r="K121" s="444">
        <f t="shared" si="22"/>
        <v>799999.99800000002</v>
      </c>
      <c r="L121" s="803"/>
      <c r="M121" s="390"/>
    </row>
    <row r="122" spans="1:13" ht="14.65" thickBot="1">
      <c r="A122" s="22"/>
      <c r="B122" s="98"/>
      <c r="C122" s="47">
        <f>SUM(C111:C121)</f>
        <v>13567000</v>
      </c>
      <c r="D122" s="47">
        <f t="shared" ref="D122:K122" si="23">SUM(D111:D121)</f>
        <v>13567000</v>
      </c>
      <c r="E122" s="47">
        <f t="shared" si="23"/>
        <v>13567000</v>
      </c>
      <c r="F122" s="47">
        <f t="shared" si="23"/>
        <v>13566999.998</v>
      </c>
      <c r="G122" s="47">
        <f t="shared" si="23"/>
        <v>13566999.998</v>
      </c>
      <c r="H122" s="47">
        <f>SUM(H111:H121)</f>
        <v>13566999.998</v>
      </c>
      <c r="I122" s="47">
        <f t="shared" si="23"/>
        <v>0</v>
      </c>
      <c r="J122" s="47">
        <f t="shared" si="23"/>
        <v>0</v>
      </c>
      <c r="K122" s="47">
        <f t="shared" si="23"/>
        <v>13566999.998</v>
      </c>
      <c r="L122" s="63"/>
      <c r="M122" s="63"/>
    </row>
    <row r="123" spans="1:13">
      <c r="A123" s="22"/>
      <c r="B123" s="98"/>
      <c r="C123" s="22"/>
      <c r="D123" s="22"/>
      <c r="E123" s="22"/>
      <c r="F123" s="22"/>
      <c r="G123" s="48">
        <f>$F122-G122</f>
        <v>0</v>
      </c>
      <c r="H123" s="48">
        <f>$F122-H122</f>
        <v>0</v>
      </c>
      <c r="I123" s="22"/>
      <c r="J123" s="22"/>
      <c r="K123" s="48">
        <f>$F122-K122</f>
        <v>0</v>
      </c>
      <c r="L123" s="63"/>
      <c r="M123" s="63"/>
    </row>
    <row r="124" spans="1:13" ht="14.65" thickBot="1">
      <c r="A124" s="22"/>
      <c r="B124" s="98"/>
      <c r="C124" s="95"/>
      <c r="D124" s="95"/>
      <c r="E124" s="95"/>
      <c r="F124" s="95"/>
      <c r="G124" s="95"/>
      <c r="H124" s="95"/>
      <c r="I124" s="95"/>
      <c r="J124" s="95"/>
      <c r="K124" s="95"/>
      <c r="L124" s="63"/>
      <c r="M124" s="63"/>
    </row>
    <row r="125" spans="1:13">
      <c r="A125" s="423" t="s">
        <v>471</v>
      </c>
      <c r="B125" s="822" t="s">
        <v>477</v>
      </c>
      <c r="C125" s="425">
        <v>0</v>
      </c>
      <c r="D125" s="439">
        <v>0</v>
      </c>
      <c r="E125" s="439">
        <v>0</v>
      </c>
      <c r="F125" s="808">
        <v>0</v>
      </c>
      <c r="G125" s="633">
        <v>0</v>
      </c>
      <c r="H125" s="633">
        <v>0</v>
      </c>
      <c r="I125" s="427"/>
      <c r="J125" s="428"/>
      <c r="K125" s="442">
        <f t="shared" ref="K125:K130" si="24">SUM(H125:J125)</f>
        <v>0</v>
      </c>
      <c r="L125" s="802"/>
      <c r="M125" s="794"/>
    </row>
    <row r="126" spans="1:13">
      <c r="A126" s="447" t="s">
        <v>472</v>
      </c>
      <c r="B126" s="823" t="s">
        <v>478</v>
      </c>
      <c r="C126" s="531">
        <v>1000000</v>
      </c>
      <c r="D126" s="687">
        <v>300000</v>
      </c>
      <c r="E126" s="687">
        <v>300000</v>
      </c>
      <c r="F126" s="809">
        <v>300000</v>
      </c>
      <c r="G126" s="637">
        <v>300000</v>
      </c>
      <c r="H126" s="637">
        <v>300000</v>
      </c>
      <c r="I126" s="431"/>
      <c r="J126" s="432"/>
      <c r="K126" s="443">
        <f t="shared" si="24"/>
        <v>300000</v>
      </c>
      <c r="L126" s="688"/>
      <c r="M126" s="796"/>
    </row>
    <row r="127" spans="1:13">
      <c r="A127" s="449" t="s">
        <v>473</v>
      </c>
      <c r="B127" s="823" t="s">
        <v>768</v>
      </c>
      <c r="C127" s="531">
        <v>0</v>
      </c>
      <c r="D127" s="440">
        <v>700000.00000000035</v>
      </c>
      <c r="E127" s="440">
        <v>700000.00000000035</v>
      </c>
      <c r="F127" s="809">
        <v>700000.00000000047</v>
      </c>
      <c r="G127" s="531">
        <v>699999.997931035</v>
      </c>
      <c r="H127" s="531">
        <v>700000.00482758682</v>
      </c>
      <c r="I127" s="431"/>
      <c r="J127" s="432"/>
      <c r="K127" s="443">
        <f t="shared" si="24"/>
        <v>700000.00482758682</v>
      </c>
      <c r="L127" s="688" t="s">
        <v>544</v>
      </c>
      <c r="M127" s="806" t="s">
        <v>743</v>
      </c>
    </row>
    <row r="128" spans="1:13">
      <c r="A128" s="447" t="s">
        <v>474</v>
      </c>
      <c r="B128" s="823" t="s">
        <v>479</v>
      </c>
      <c r="C128" s="429">
        <v>1500000</v>
      </c>
      <c r="D128" s="528">
        <v>1500000</v>
      </c>
      <c r="E128" s="528">
        <v>1499999.9979999999</v>
      </c>
      <c r="F128" s="809">
        <v>1499999.9979999999</v>
      </c>
      <c r="G128" s="634">
        <v>1499999.9979999999</v>
      </c>
      <c r="H128" s="634">
        <v>1499999.9979999999</v>
      </c>
      <c r="I128" s="431"/>
      <c r="J128" s="432"/>
      <c r="K128" s="443">
        <f t="shared" si="24"/>
        <v>1499999.9979999999</v>
      </c>
      <c r="L128" s="688"/>
      <c r="M128" s="796"/>
    </row>
    <row r="129" spans="1:13">
      <c r="A129" s="447" t="s">
        <v>475</v>
      </c>
      <c r="B129" s="823" t="s">
        <v>480</v>
      </c>
      <c r="C129" s="429">
        <v>1000000</v>
      </c>
      <c r="D129" s="528">
        <v>1000000</v>
      </c>
      <c r="E129" s="528">
        <v>1000000</v>
      </c>
      <c r="F129" s="809">
        <v>1000000</v>
      </c>
      <c r="G129" s="634">
        <v>1000000</v>
      </c>
      <c r="H129" s="634">
        <v>1000000</v>
      </c>
      <c r="I129" s="431"/>
      <c r="J129" s="432"/>
      <c r="K129" s="443">
        <f t="shared" si="24"/>
        <v>1000000</v>
      </c>
      <c r="L129" s="688"/>
      <c r="M129" s="796"/>
    </row>
    <row r="130" spans="1:13" ht="14.65" thickBot="1">
      <c r="A130" s="448" t="s">
        <v>476</v>
      </c>
      <c r="B130" s="824" t="s">
        <v>481</v>
      </c>
      <c r="C130" s="433">
        <v>350000</v>
      </c>
      <c r="D130" s="530">
        <v>350000</v>
      </c>
      <c r="E130" s="530">
        <v>350000</v>
      </c>
      <c r="F130" s="810">
        <v>350000</v>
      </c>
      <c r="G130" s="635">
        <v>350000</v>
      </c>
      <c r="H130" s="635">
        <v>350000</v>
      </c>
      <c r="I130" s="434"/>
      <c r="J130" s="435"/>
      <c r="K130" s="444">
        <f t="shared" si="24"/>
        <v>350000</v>
      </c>
      <c r="L130" s="803"/>
      <c r="M130" s="390"/>
    </row>
    <row r="131" spans="1:13" ht="14.65" thickBot="1">
      <c r="A131" s="22"/>
      <c r="B131" s="98"/>
      <c r="C131" s="47">
        <f>SUM(C125:C130)</f>
        <v>3850000</v>
      </c>
      <c r="D131" s="47">
        <f t="shared" ref="D131:K131" si="25">SUM(D125:D130)</f>
        <v>3850000.0000000005</v>
      </c>
      <c r="E131" s="47">
        <f t="shared" si="25"/>
        <v>3849999.9980000001</v>
      </c>
      <c r="F131" s="47">
        <f t="shared" si="25"/>
        <v>3849999.9980000006</v>
      </c>
      <c r="G131" s="47">
        <f t="shared" si="25"/>
        <v>3849999.9959310349</v>
      </c>
      <c r="H131" s="47">
        <f>SUM(H125:H130)</f>
        <v>3850000.0028275866</v>
      </c>
      <c r="I131" s="47">
        <f t="shared" si="25"/>
        <v>0</v>
      </c>
      <c r="J131" s="47">
        <f t="shared" si="25"/>
        <v>0</v>
      </c>
      <c r="K131" s="47">
        <f t="shared" si="25"/>
        <v>3850000.0028275866</v>
      </c>
      <c r="L131" s="63"/>
      <c r="M131" s="63"/>
    </row>
    <row r="132" spans="1:13">
      <c r="C132" s="22"/>
      <c r="D132" s="22"/>
      <c r="E132" s="22"/>
      <c r="F132" s="22"/>
      <c r="G132" s="48">
        <f>$F131-G131</f>
        <v>2.0689656957983971E-3</v>
      </c>
      <c r="H132" s="48">
        <f>$F131-H131</f>
        <v>-4.8275860026478767E-3</v>
      </c>
      <c r="I132" s="22"/>
      <c r="J132" s="22"/>
      <c r="K132" s="48">
        <f>$F131-K131</f>
        <v>-4.8275860026478767E-3</v>
      </c>
      <c r="L132" s="554"/>
      <c r="M132" s="554"/>
    </row>
    <row r="133" spans="1:13">
      <c r="L133" s="554"/>
      <c r="M133" s="554"/>
    </row>
    <row r="134" spans="1:13">
      <c r="L134" s="554"/>
      <c r="M134" s="554"/>
    </row>
    <row r="135" spans="1:13">
      <c r="L135" s="554"/>
      <c r="M135" s="554"/>
    </row>
    <row r="136" spans="1:13">
      <c r="L136" s="554"/>
      <c r="M136" s="554"/>
    </row>
    <row r="137" spans="1:13">
      <c r="L137" s="554"/>
      <c r="M137" s="554"/>
    </row>
    <row r="138" spans="1:13">
      <c r="L138" s="554"/>
      <c r="M138" s="554"/>
    </row>
    <row r="139" spans="1:13">
      <c r="L139" s="554"/>
      <c r="M139" s="554"/>
    </row>
    <row r="140" spans="1:13">
      <c r="L140" s="554"/>
      <c r="M140" s="554"/>
    </row>
    <row r="141" spans="1:13">
      <c r="L141" s="554"/>
      <c r="M141" s="554"/>
    </row>
    <row r="142" spans="1:13">
      <c r="L142" s="554"/>
      <c r="M142" s="554"/>
    </row>
    <row r="143" spans="1:13">
      <c r="L143" s="554"/>
      <c r="M143" s="554"/>
    </row>
    <row r="144" spans="1:13">
      <c r="L144" s="554"/>
      <c r="M144" s="554"/>
    </row>
    <row r="145" spans="12:13">
      <c r="L145" s="554"/>
      <c r="M145" s="554"/>
    </row>
    <row r="146" spans="12:13">
      <c r="L146" s="554"/>
      <c r="M146" s="554"/>
    </row>
    <row r="147" spans="12:13">
      <c r="L147" s="554"/>
      <c r="M147" s="554"/>
    </row>
    <row r="148" spans="12:13">
      <c r="L148" s="554"/>
      <c r="M148" s="554"/>
    </row>
    <row r="149" spans="12:13">
      <c r="L149" s="554"/>
      <c r="M149" s="554"/>
    </row>
    <row r="150" spans="12:13">
      <c r="L150" s="554"/>
      <c r="M150" s="554"/>
    </row>
    <row r="151" spans="12:13">
      <c r="L151" s="554"/>
      <c r="M151" s="554"/>
    </row>
    <row r="152" spans="12:13">
      <c r="L152" s="554"/>
      <c r="M152" s="554"/>
    </row>
    <row r="153" spans="12:13">
      <c r="L153" s="554"/>
      <c r="M153" s="554"/>
    </row>
    <row r="154" spans="12:13">
      <c r="L154" s="554"/>
      <c r="M154" s="554"/>
    </row>
    <row r="155" spans="12:13">
      <c r="L155" s="554"/>
      <c r="M155" s="554"/>
    </row>
    <row r="156" spans="12:13">
      <c r="L156" s="554"/>
      <c r="M156" s="554"/>
    </row>
    <row r="157" spans="12:13">
      <c r="L157" s="554"/>
      <c r="M157" s="554"/>
    </row>
    <row r="158" spans="12:13">
      <c r="L158" s="554"/>
      <c r="M158" s="554"/>
    </row>
    <row r="159" spans="12:13">
      <c r="L159" s="554"/>
      <c r="M159" s="554"/>
    </row>
    <row r="160" spans="12:13">
      <c r="L160" s="554"/>
      <c r="M160" s="554"/>
    </row>
    <row r="161" spans="12:13">
      <c r="L161" s="554"/>
      <c r="M161" s="554"/>
    </row>
    <row r="162" spans="12:13">
      <c r="L162" s="554"/>
      <c r="M162" s="554"/>
    </row>
    <row r="163" spans="12:13">
      <c r="L163" s="554"/>
      <c r="M163" s="554"/>
    </row>
    <row r="164" spans="12:13">
      <c r="L164" s="554"/>
      <c r="M164" s="554"/>
    </row>
    <row r="165" spans="12:13">
      <c r="L165" s="554"/>
      <c r="M165" s="554"/>
    </row>
    <row r="166" spans="12:13">
      <c r="L166" s="554"/>
      <c r="M166" s="554"/>
    </row>
    <row r="167" spans="12:13">
      <c r="L167" s="554"/>
      <c r="M167" s="554"/>
    </row>
    <row r="168" spans="12:13">
      <c r="L168" s="554"/>
      <c r="M168" s="554"/>
    </row>
    <row r="169" spans="12:13">
      <c r="L169" s="554"/>
      <c r="M169" s="554"/>
    </row>
    <row r="170" spans="12:13">
      <c r="L170" s="554"/>
      <c r="M170" s="554"/>
    </row>
    <row r="171" spans="12:13">
      <c r="L171" s="554"/>
      <c r="M171" s="554"/>
    </row>
    <row r="172" spans="12:13">
      <c r="L172" s="554"/>
      <c r="M172" s="554"/>
    </row>
    <row r="173" spans="12:13">
      <c r="L173" s="554"/>
      <c r="M173" s="554"/>
    </row>
    <row r="174" spans="12:13">
      <c r="L174" s="554"/>
      <c r="M174" s="554"/>
    </row>
    <row r="175" spans="12:13">
      <c r="L175" s="554"/>
      <c r="M175" s="554"/>
    </row>
    <row r="176" spans="12:13">
      <c r="L176" s="554"/>
      <c r="M176" s="554"/>
    </row>
    <row r="177" spans="12:13">
      <c r="L177" s="554"/>
      <c r="M177" s="554"/>
    </row>
    <row r="178" spans="12:13">
      <c r="L178" s="554"/>
      <c r="M178" s="554"/>
    </row>
    <row r="179" spans="12:13">
      <c r="L179" s="554"/>
      <c r="M179" s="554"/>
    </row>
    <row r="180" spans="12:13">
      <c r="L180" s="554"/>
      <c r="M180" s="554"/>
    </row>
    <row r="181" spans="12:13">
      <c r="L181" s="554"/>
      <c r="M181" s="554"/>
    </row>
    <row r="182" spans="12:13">
      <c r="L182" s="554"/>
      <c r="M182" s="554"/>
    </row>
    <row r="183" spans="12:13">
      <c r="L183" s="554"/>
      <c r="M183" s="554"/>
    </row>
    <row r="184" spans="12:13">
      <c r="L184" s="554"/>
      <c r="M184" s="554"/>
    </row>
    <row r="185" spans="12:13">
      <c r="L185" s="554"/>
      <c r="M185" s="554"/>
    </row>
    <row r="186" spans="12:13">
      <c r="L186" s="554"/>
      <c r="M186" s="554"/>
    </row>
    <row r="187" spans="12:13">
      <c r="L187" s="554"/>
      <c r="M187" s="554"/>
    </row>
    <row r="188" spans="12:13">
      <c r="L188" s="554"/>
      <c r="M188" s="554"/>
    </row>
    <row r="189" spans="12:13">
      <c r="L189" s="554"/>
      <c r="M189" s="554"/>
    </row>
    <row r="190" spans="12:13">
      <c r="L190" s="554"/>
      <c r="M190" s="554"/>
    </row>
    <row r="191" spans="12:13">
      <c r="L191" s="554"/>
      <c r="M191" s="554"/>
    </row>
    <row r="192" spans="12:13">
      <c r="L192" s="554"/>
      <c r="M192" s="554"/>
    </row>
    <row r="193" spans="12:13">
      <c r="L193" s="554"/>
      <c r="M193" s="554"/>
    </row>
    <row r="194" spans="12:13">
      <c r="L194" s="554"/>
      <c r="M194" s="554"/>
    </row>
    <row r="195" spans="12:13">
      <c r="L195" s="554"/>
      <c r="M195" s="554"/>
    </row>
    <row r="196" spans="12:13">
      <c r="L196" s="554"/>
      <c r="M196" s="554"/>
    </row>
    <row r="197" spans="12:13">
      <c r="L197" s="554"/>
      <c r="M197" s="554"/>
    </row>
    <row r="198" spans="12:13">
      <c r="L198" s="554"/>
      <c r="M198" s="554"/>
    </row>
    <row r="199" spans="12:13">
      <c r="L199" s="554"/>
      <c r="M199" s="554"/>
    </row>
    <row r="200" spans="12:13">
      <c r="L200" s="554"/>
      <c r="M200" s="554"/>
    </row>
    <row r="201" spans="12:13">
      <c r="L201" s="554"/>
      <c r="M201" s="554"/>
    </row>
    <row r="202" spans="12:13">
      <c r="L202" s="554"/>
      <c r="M202" s="554"/>
    </row>
    <row r="203" spans="12:13">
      <c r="L203" s="554"/>
      <c r="M203" s="554"/>
    </row>
    <row r="204" spans="12:13">
      <c r="L204" s="554"/>
      <c r="M204" s="554"/>
    </row>
    <row r="205" spans="12:13">
      <c r="L205" s="554"/>
      <c r="M205" s="554"/>
    </row>
    <row r="206" spans="12:13">
      <c r="L206" s="554"/>
      <c r="M206" s="554"/>
    </row>
    <row r="207" spans="12:13">
      <c r="L207" s="554"/>
      <c r="M207" s="554"/>
    </row>
    <row r="208" spans="12:13">
      <c r="L208" s="554"/>
      <c r="M208" s="554"/>
    </row>
    <row r="209" spans="12:13">
      <c r="L209" s="554"/>
      <c r="M209" s="554"/>
    </row>
    <row r="210" spans="12:13">
      <c r="L210" s="554"/>
      <c r="M210" s="554"/>
    </row>
    <row r="211" spans="12:13">
      <c r="L211" s="554"/>
      <c r="M211" s="554"/>
    </row>
    <row r="212" spans="12:13">
      <c r="L212" s="554"/>
      <c r="M212" s="554"/>
    </row>
    <row r="213" spans="12:13">
      <c r="L213" s="554"/>
      <c r="M213" s="554"/>
    </row>
    <row r="214" spans="12:13">
      <c r="L214" s="554"/>
      <c r="M214" s="554"/>
    </row>
    <row r="215" spans="12:13">
      <c r="L215" s="554"/>
      <c r="M215" s="554"/>
    </row>
    <row r="216" spans="12:13">
      <c r="L216" s="554"/>
      <c r="M216" s="554"/>
    </row>
    <row r="217" spans="12:13">
      <c r="L217" s="554"/>
      <c r="M217" s="554"/>
    </row>
    <row r="218" spans="12:13">
      <c r="L218" s="554"/>
      <c r="M218" s="554"/>
    </row>
    <row r="219" spans="12:13">
      <c r="L219" s="554"/>
      <c r="M219" s="554"/>
    </row>
    <row r="220" spans="12:13">
      <c r="L220" s="554"/>
      <c r="M220" s="554"/>
    </row>
    <row r="221" spans="12:13">
      <c r="L221" s="554"/>
      <c r="M221" s="554"/>
    </row>
    <row r="222" spans="12:13">
      <c r="L222" s="554"/>
      <c r="M222" s="554"/>
    </row>
    <row r="223" spans="12:13">
      <c r="L223" s="554"/>
      <c r="M223" s="554"/>
    </row>
    <row r="224" spans="12:13">
      <c r="L224" s="554"/>
      <c r="M224" s="554"/>
    </row>
    <row r="225" spans="12:13">
      <c r="L225" s="554"/>
      <c r="M225" s="554"/>
    </row>
    <row r="226" spans="12:13">
      <c r="L226" s="554"/>
      <c r="M226" s="554"/>
    </row>
    <row r="227" spans="12:13">
      <c r="L227" s="554"/>
      <c r="M227" s="554"/>
    </row>
    <row r="228" spans="12:13">
      <c r="L228" s="554"/>
      <c r="M228" s="554"/>
    </row>
    <row r="229" spans="12:13">
      <c r="L229" s="554"/>
      <c r="M229" s="554"/>
    </row>
    <row r="230" spans="12:13">
      <c r="L230" s="554"/>
      <c r="M230" s="554"/>
    </row>
    <row r="231" spans="12:13">
      <c r="L231" s="554"/>
      <c r="M231" s="554"/>
    </row>
    <row r="232" spans="12:13">
      <c r="L232" s="554"/>
      <c r="M232" s="554"/>
    </row>
    <row r="233" spans="12:13">
      <c r="L233" s="554"/>
      <c r="M233" s="554"/>
    </row>
    <row r="234" spans="12:13">
      <c r="L234" s="554"/>
      <c r="M234" s="554"/>
    </row>
    <row r="235" spans="12:13">
      <c r="L235" s="554"/>
      <c r="M235" s="554"/>
    </row>
    <row r="236" spans="12:13">
      <c r="L236" s="554"/>
      <c r="M236" s="554"/>
    </row>
    <row r="237" spans="12:13">
      <c r="L237" s="554"/>
      <c r="M237" s="554"/>
    </row>
    <row r="238" spans="12:13">
      <c r="L238" s="554"/>
      <c r="M238" s="554"/>
    </row>
    <row r="239" spans="12:13">
      <c r="L239" s="554"/>
      <c r="M239" s="554"/>
    </row>
    <row r="240" spans="12:13">
      <c r="L240" s="554"/>
      <c r="M240" s="554"/>
    </row>
    <row r="241" spans="12:13">
      <c r="L241" s="554"/>
      <c r="M241" s="554"/>
    </row>
    <row r="242" spans="12:13">
      <c r="L242" s="554"/>
      <c r="M242" s="554"/>
    </row>
    <row r="243" spans="12:13">
      <c r="L243" s="554"/>
      <c r="M243" s="554"/>
    </row>
    <row r="244" spans="12:13">
      <c r="L244" s="554"/>
      <c r="M244" s="554"/>
    </row>
  </sheetData>
  <mergeCells count="1">
    <mergeCell ref="C1:K1"/>
  </mergeCells>
  <phoneticPr fontId="51" type="noConversion"/>
  <conditionalFormatting sqref="G14:H14">
    <cfRule type="cellIs" dxfId="71" priority="109" operator="lessThan">
      <formula>0</formula>
    </cfRule>
    <cfRule type="cellIs" dxfId="70" priority="110" operator="greaterThan">
      <formula>0</formula>
    </cfRule>
  </conditionalFormatting>
  <conditionalFormatting sqref="G20:H20">
    <cfRule type="cellIs" dxfId="69" priority="51" operator="lessThan">
      <formula>0</formula>
    </cfRule>
    <cfRule type="cellIs" dxfId="68" priority="52" operator="greaterThan">
      <formula>0</formula>
    </cfRule>
  </conditionalFormatting>
  <conditionalFormatting sqref="G32:H32">
    <cfRule type="cellIs" dxfId="67" priority="47" operator="lessThan">
      <formula>0</formula>
    </cfRule>
    <cfRule type="cellIs" dxfId="66" priority="48" operator="greaterThan">
      <formula>0</formula>
    </cfRule>
  </conditionalFormatting>
  <conditionalFormatting sqref="G47:H47">
    <cfRule type="cellIs" dxfId="65" priority="43" operator="lessThan">
      <formula>0</formula>
    </cfRule>
    <cfRule type="cellIs" dxfId="64" priority="44" operator="greaterThan">
      <formula>0</formula>
    </cfRule>
  </conditionalFormatting>
  <conditionalFormatting sqref="G51:H51">
    <cfRule type="cellIs" dxfId="63" priority="39" operator="lessThan">
      <formula>0</formula>
    </cfRule>
    <cfRule type="cellIs" dxfId="62" priority="40" operator="greaterThan">
      <formula>0</formula>
    </cfRule>
  </conditionalFormatting>
  <conditionalFormatting sqref="G55:H55">
    <cfRule type="cellIs" dxfId="61" priority="35" operator="lessThan">
      <formula>0</formula>
    </cfRule>
    <cfRule type="cellIs" dxfId="60" priority="36" operator="greaterThan">
      <formula>0</formula>
    </cfRule>
  </conditionalFormatting>
  <conditionalFormatting sqref="G63:H63">
    <cfRule type="cellIs" dxfId="59" priority="31" operator="lessThan">
      <formula>0</formula>
    </cfRule>
    <cfRule type="cellIs" dxfId="58" priority="32" operator="greaterThan">
      <formula>0</formula>
    </cfRule>
  </conditionalFormatting>
  <conditionalFormatting sqref="G70:H70">
    <cfRule type="cellIs" dxfId="57" priority="27" operator="lessThan">
      <formula>0</formula>
    </cfRule>
    <cfRule type="cellIs" dxfId="56" priority="28" operator="greaterThan">
      <formula>0</formula>
    </cfRule>
  </conditionalFormatting>
  <conditionalFormatting sqref="G74:H74">
    <cfRule type="cellIs" dxfId="55" priority="23" operator="lessThan">
      <formula>0</formula>
    </cfRule>
    <cfRule type="cellIs" dxfId="54" priority="24" operator="greaterThan">
      <formula>0</formula>
    </cfRule>
  </conditionalFormatting>
  <conditionalFormatting sqref="G100:H100">
    <cfRule type="cellIs" dxfId="53" priority="19" operator="lessThan">
      <formula>0</formula>
    </cfRule>
    <cfRule type="cellIs" dxfId="52" priority="20" operator="greaterThan">
      <formula>0</formula>
    </cfRule>
  </conditionalFormatting>
  <conditionalFormatting sqref="G105:H105">
    <cfRule type="cellIs" dxfId="51" priority="15" operator="lessThan">
      <formula>0</formula>
    </cfRule>
    <cfRule type="cellIs" dxfId="50" priority="16" operator="greaterThan">
      <formula>0</formula>
    </cfRule>
  </conditionalFormatting>
  <conditionalFormatting sqref="G109:H109">
    <cfRule type="cellIs" dxfId="49" priority="11" operator="lessThan">
      <formula>0</formula>
    </cfRule>
    <cfRule type="cellIs" dxfId="48" priority="12" operator="greaterThan">
      <formula>0</formula>
    </cfRule>
  </conditionalFormatting>
  <conditionalFormatting sqref="G123:H123">
    <cfRule type="cellIs" dxfId="47" priority="7" operator="lessThan">
      <formula>0</formula>
    </cfRule>
    <cfRule type="cellIs" dxfId="46" priority="8" operator="greaterThan">
      <formula>0</formula>
    </cfRule>
  </conditionalFormatting>
  <conditionalFormatting sqref="G132:H132">
    <cfRule type="cellIs" dxfId="45" priority="3" operator="lessThan">
      <formula>0</formula>
    </cfRule>
    <cfRule type="cellIs" dxfId="44" priority="4" operator="greaterThan">
      <formula>0</formula>
    </cfRule>
  </conditionalFormatting>
  <conditionalFormatting sqref="K14">
    <cfRule type="cellIs" dxfId="43" priority="53" operator="lessThan">
      <formula>0</formula>
    </cfRule>
    <cfRule type="cellIs" dxfId="42" priority="54" operator="greaterThan">
      <formula>0</formula>
    </cfRule>
  </conditionalFormatting>
  <conditionalFormatting sqref="K20">
    <cfRule type="cellIs" dxfId="41" priority="49" operator="lessThan">
      <formula>0</formula>
    </cfRule>
    <cfRule type="cellIs" dxfId="40" priority="50" operator="greaterThan">
      <formula>0</formula>
    </cfRule>
  </conditionalFormatting>
  <conditionalFormatting sqref="K32">
    <cfRule type="cellIs" dxfId="39" priority="45" operator="lessThan">
      <formula>0</formula>
    </cfRule>
    <cfRule type="cellIs" dxfId="38" priority="46" operator="greaterThan">
      <formula>0</formula>
    </cfRule>
  </conditionalFormatting>
  <conditionalFormatting sqref="K47">
    <cfRule type="cellIs" dxfId="37" priority="41" operator="lessThan">
      <formula>0</formula>
    </cfRule>
    <cfRule type="cellIs" dxfId="36" priority="42" operator="greaterThan">
      <formula>0</formula>
    </cfRule>
  </conditionalFormatting>
  <conditionalFormatting sqref="K51">
    <cfRule type="cellIs" dxfId="35" priority="37" operator="lessThan">
      <formula>0</formula>
    </cfRule>
    <cfRule type="cellIs" dxfId="34" priority="38" operator="greaterThan">
      <formula>0</formula>
    </cfRule>
  </conditionalFormatting>
  <conditionalFormatting sqref="K55">
    <cfRule type="cellIs" dxfId="33" priority="33" operator="lessThan">
      <formula>0</formula>
    </cfRule>
    <cfRule type="cellIs" dxfId="32" priority="34" operator="greaterThan">
      <formula>0</formula>
    </cfRule>
  </conditionalFormatting>
  <conditionalFormatting sqref="K63">
    <cfRule type="cellIs" dxfId="31" priority="29" operator="lessThan">
      <formula>0</formula>
    </cfRule>
    <cfRule type="cellIs" dxfId="30" priority="30" operator="greaterThan">
      <formula>0</formula>
    </cfRule>
  </conditionalFormatting>
  <conditionalFormatting sqref="K70">
    <cfRule type="cellIs" dxfId="29" priority="25" operator="lessThan">
      <formula>0</formula>
    </cfRule>
    <cfRule type="cellIs" dxfId="28" priority="26" operator="greaterThan">
      <formula>0</formula>
    </cfRule>
  </conditionalFormatting>
  <conditionalFormatting sqref="K74">
    <cfRule type="cellIs" dxfId="27" priority="21" operator="lessThan">
      <formula>0</formula>
    </cfRule>
    <cfRule type="cellIs" dxfId="26" priority="22" operator="greaterThan">
      <formula>0</formula>
    </cfRule>
  </conditionalFormatting>
  <conditionalFormatting sqref="K100">
    <cfRule type="cellIs" dxfId="25" priority="17" operator="lessThan">
      <formula>0</formula>
    </cfRule>
    <cfRule type="cellIs" dxfId="24" priority="18" operator="greaterThan">
      <formula>0</formula>
    </cfRule>
  </conditionalFormatting>
  <conditionalFormatting sqref="K105">
    <cfRule type="cellIs" dxfId="23" priority="13" operator="lessThan">
      <formula>0</formula>
    </cfRule>
    <cfRule type="cellIs" dxfId="22" priority="14" operator="greaterThan">
      <formula>0</formula>
    </cfRule>
  </conditionalFormatting>
  <conditionalFormatting sqref="K109">
    <cfRule type="cellIs" dxfId="21" priority="9" operator="lessThan">
      <formula>0</formula>
    </cfRule>
    <cfRule type="cellIs" dxfId="20" priority="10" operator="greaterThan">
      <formula>0</formula>
    </cfRule>
  </conditionalFormatting>
  <conditionalFormatting sqref="K123">
    <cfRule type="cellIs" dxfId="19" priority="5" operator="lessThan">
      <formula>0</formula>
    </cfRule>
    <cfRule type="cellIs" dxfId="18" priority="6" operator="greaterThan">
      <formula>0</formula>
    </cfRule>
  </conditionalFormatting>
  <conditionalFormatting sqref="K132">
    <cfRule type="cellIs" dxfId="17" priority="1" operator="lessThan">
      <formula>0</formula>
    </cfRule>
    <cfRule type="cellIs" dxfId="16" priority="2" operator="greaterThan">
      <formula>0</formula>
    </cfRule>
  </conditionalFormatting>
  <pageMargins left="0.11811023622047245" right="0.11811023622047245" top="0.15748031496062992" bottom="0.35433070866141736" header="0.11811023622047245" footer="0.11811023622047245"/>
  <pageSetup paperSize="9" scale="66" fitToHeight="0" orientation="landscape" r:id="rId1"/>
  <headerFooter>
    <oddFooter>&amp;LGorlice B51 - Feb 26&amp;C&amp;A&amp;R&amp;P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B6D73-B58E-4A31-B9BC-7EBF596A8AB7}">
  <sheetPr>
    <tabColor rgb="FFFFC000"/>
    <pageSetUpPr fitToPage="1"/>
  </sheetPr>
  <dimension ref="A1:M45"/>
  <sheetViews>
    <sheetView zoomScaleNormal="100" workbookViewId="0">
      <selection activeCell="H2" sqref="H2"/>
    </sheetView>
  </sheetViews>
  <sheetFormatPr defaultRowHeight="14.25"/>
  <cols>
    <col min="1" max="1" width="6.796875" customWidth="1"/>
    <col min="2" max="2" width="60.796875" style="96" customWidth="1"/>
    <col min="3" max="11" width="14.796875" customWidth="1"/>
    <col min="12" max="12" width="35.796875" customWidth="1"/>
    <col min="13" max="13" width="12.796875" customWidth="1"/>
    <col min="14" max="14" width="11.6640625" bestFit="1" customWidth="1"/>
  </cols>
  <sheetData>
    <row r="1" spans="1:13" ht="22.05" customHeight="1">
      <c r="C1" s="971"/>
      <c r="D1" s="971"/>
      <c r="E1" s="971"/>
      <c r="F1" s="971"/>
      <c r="G1" s="971"/>
      <c r="H1" s="971"/>
      <c r="I1" s="971"/>
      <c r="J1" s="971"/>
      <c r="K1" s="971"/>
    </row>
    <row r="2" spans="1:13" ht="22.05" customHeight="1" thickBot="1">
      <c r="C2" s="3" t="s">
        <v>146</v>
      </c>
      <c r="D2" s="3" t="s">
        <v>249</v>
      </c>
      <c r="E2" s="3" t="s">
        <v>820</v>
      </c>
      <c r="F2" s="736" t="s">
        <v>821</v>
      </c>
      <c r="G2" s="3" t="s">
        <v>742</v>
      </c>
      <c r="H2" s="3" t="s">
        <v>824</v>
      </c>
      <c r="I2" s="3" t="s">
        <v>27</v>
      </c>
      <c r="J2" s="3" t="s">
        <v>26</v>
      </c>
      <c r="K2" s="3" t="s">
        <v>147</v>
      </c>
      <c r="M2" s="259">
        <f>SUM(M5:M8)</f>
        <v>8499999.9971000012</v>
      </c>
    </row>
    <row r="3" spans="1:13" ht="24" customHeight="1" thickBot="1">
      <c r="A3" s="144">
        <v>6</v>
      </c>
      <c r="B3" s="145" t="s">
        <v>545</v>
      </c>
      <c r="C3" s="139">
        <f>C16+C27+C31+C36+C40+C44</f>
        <v>8500000</v>
      </c>
      <c r="D3" s="232">
        <f t="shared" ref="D3:K3" si="0">D16+D27+D31+D36+D40+D44</f>
        <v>8500000</v>
      </c>
      <c r="E3" s="232">
        <f>E16+E27+E31+E36+E40+E44</f>
        <v>8499999.998399999</v>
      </c>
      <c r="F3" s="856">
        <f>F16+F27+F31+F36+F40+F44</f>
        <v>8499999.9970999993</v>
      </c>
      <c r="G3" s="244">
        <f>G16+G27+G31+G36+G40+G44</f>
        <v>8499999.9970999993</v>
      </c>
      <c r="H3" s="244">
        <f>H16+H27+H31+H36+H40+H44</f>
        <v>8499999.9970999993</v>
      </c>
      <c r="I3" s="234">
        <f t="shared" si="0"/>
        <v>0</v>
      </c>
      <c r="J3" s="256">
        <f t="shared" si="0"/>
        <v>0</v>
      </c>
      <c r="K3" s="257">
        <f t="shared" si="0"/>
        <v>8499999.9970999993</v>
      </c>
      <c r="L3" s="104"/>
      <c r="M3" s="146"/>
    </row>
    <row r="4" spans="1:13" ht="14.65" thickBot="1">
      <c r="A4" s="22"/>
      <c r="B4" s="98"/>
      <c r="C4" s="22"/>
      <c r="D4" s="22"/>
      <c r="E4" s="22"/>
      <c r="F4" s="22"/>
      <c r="G4" s="22"/>
      <c r="H4" s="23">
        <f>$F$3-H3</f>
        <v>0</v>
      </c>
      <c r="I4" s="22"/>
      <c r="J4" s="22"/>
      <c r="K4" s="23">
        <f>$F$3-K3</f>
        <v>0</v>
      </c>
    </row>
    <row r="5" spans="1:13">
      <c r="A5" s="22"/>
      <c r="B5" s="98"/>
      <c r="C5" s="22"/>
      <c r="D5" s="22"/>
      <c r="E5" s="22"/>
      <c r="F5" s="22"/>
      <c r="G5" s="22"/>
      <c r="H5" s="22"/>
      <c r="I5" s="22"/>
      <c r="J5" s="22"/>
      <c r="K5" s="22"/>
      <c r="L5" s="282" t="s">
        <v>17</v>
      </c>
      <c r="M5" s="58">
        <f>H35</f>
        <v>100000</v>
      </c>
    </row>
    <row r="6" spans="1:13" ht="14.65" thickBot="1">
      <c r="A6" s="22"/>
      <c r="B6" s="98"/>
      <c r="C6" s="22"/>
      <c r="D6" s="22"/>
      <c r="E6" s="22"/>
      <c r="F6" s="22"/>
      <c r="G6" s="22"/>
      <c r="H6" s="22"/>
      <c r="I6" s="22"/>
      <c r="J6" s="22"/>
      <c r="K6" s="22"/>
      <c r="L6" s="282" t="s">
        <v>759</v>
      </c>
      <c r="M6" s="58">
        <f>H34</f>
        <v>399999.99840000004</v>
      </c>
    </row>
    <row r="7" spans="1:13" ht="14.65" thickBot="1">
      <c r="A7" s="22"/>
      <c r="B7" s="98"/>
      <c r="D7" s="27" t="s">
        <v>14</v>
      </c>
      <c r="E7" s="221"/>
      <c r="F7" s="220"/>
      <c r="G7" s="220"/>
      <c r="H7" s="220"/>
      <c r="I7" s="22"/>
      <c r="J7" s="27" t="s">
        <v>14</v>
      </c>
      <c r="K7" s="220"/>
      <c r="L7" s="25" t="s">
        <v>15</v>
      </c>
      <c r="M7" s="29">
        <f>H12+H13+H14+H15+H20+H21+H22+H23+H24+H26+H25+H30+H39+H43</f>
        <v>7999999.9987000003</v>
      </c>
    </row>
    <row r="8" spans="1:13" ht="14.65" thickBot="1">
      <c r="A8" s="22"/>
      <c r="B8" s="98"/>
      <c r="D8" s="27" t="s">
        <v>16</v>
      </c>
      <c r="E8" s="453"/>
      <c r="F8" s="245"/>
      <c r="G8" s="245"/>
      <c r="H8" s="245"/>
      <c r="I8" s="22"/>
      <c r="J8" s="27" t="s">
        <v>16</v>
      </c>
      <c r="K8" s="218"/>
      <c r="L8" s="31" t="s">
        <v>0</v>
      </c>
      <c r="M8" s="32">
        <f>J3</f>
        <v>0</v>
      </c>
    </row>
    <row r="9" spans="1:13">
      <c r="A9" s="22"/>
      <c r="B9" s="98"/>
      <c r="C9" s="22"/>
      <c r="D9" s="22"/>
      <c r="E9" s="22"/>
      <c r="F9" s="22"/>
      <c r="G9" s="22"/>
      <c r="H9" s="22"/>
      <c r="I9" s="22"/>
      <c r="J9" s="22"/>
      <c r="K9" s="22"/>
      <c r="L9" s="25" t="s">
        <v>757</v>
      </c>
      <c r="M9" s="26">
        <f>H34</f>
        <v>399999.99840000004</v>
      </c>
    </row>
    <row r="10" spans="1:13" ht="14.65" thickBot="1">
      <c r="A10" s="22"/>
      <c r="B10" s="98"/>
      <c r="C10" s="22"/>
      <c r="D10" s="22"/>
      <c r="E10" s="22"/>
      <c r="F10" s="22"/>
      <c r="G10" s="22"/>
      <c r="H10" s="22"/>
      <c r="I10" s="22"/>
      <c r="J10" s="22"/>
      <c r="K10" s="22"/>
    </row>
    <row r="11" spans="1:13">
      <c r="A11" s="150" t="s">
        <v>121</v>
      </c>
      <c r="B11" s="151" t="s">
        <v>547</v>
      </c>
      <c r="C11" s="148">
        <v>0</v>
      </c>
      <c r="D11" s="666">
        <v>0</v>
      </c>
      <c r="E11" s="666">
        <v>0</v>
      </c>
      <c r="F11" s="763">
        <v>0</v>
      </c>
      <c r="G11" s="206">
        <v>0</v>
      </c>
      <c r="H11" s="188">
        <v>0</v>
      </c>
      <c r="I11" s="460"/>
      <c r="J11" s="152"/>
      <c r="K11" s="66">
        <f>SUM(H11:J11)</f>
        <v>0</v>
      </c>
      <c r="L11" s="153"/>
      <c r="M11" s="154"/>
    </row>
    <row r="12" spans="1:13">
      <c r="A12" s="155" t="s">
        <v>122</v>
      </c>
      <c r="B12" s="457" t="s">
        <v>548</v>
      </c>
      <c r="C12" s="156">
        <v>5000000</v>
      </c>
      <c r="D12" s="640">
        <v>5000000</v>
      </c>
      <c r="E12" s="640">
        <v>5000000</v>
      </c>
      <c r="F12" s="764">
        <v>5000000</v>
      </c>
      <c r="G12" s="193">
        <v>5000000</v>
      </c>
      <c r="H12" s="866">
        <v>5000000</v>
      </c>
      <c r="I12" s="916"/>
      <c r="J12" s="157"/>
      <c r="K12" s="70">
        <f t="shared" ref="K12:K15" si="1">SUM(H12:J12)</f>
        <v>5000000</v>
      </c>
      <c r="L12" s="158"/>
      <c r="M12" s="159"/>
    </row>
    <row r="13" spans="1:13">
      <c r="A13" s="155" t="s">
        <v>123</v>
      </c>
      <c r="B13" s="457" t="s">
        <v>549</v>
      </c>
      <c r="C13" s="156">
        <v>200000</v>
      </c>
      <c r="D13" s="640">
        <v>200000</v>
      </c>
      <c r="E13" s="640">
        <v>200000</v>
      </c>
      <c r="F13" s="764">
        <v>200000.0001</v>
      </c>
      <c r="G13" s="193">
        <v>200000.0001</v>
      </c>
      <c r="H13" s="866">
        <v>200000.0001</v>
      </c>
      <c r="I13" s="916"/>
      <c r="J13" s="157"/>
      <c r="K13" s="70">
        <f t="shared" si="1"/>
        <v>200000.0001</v>
      </c>
      <c r="L13" s="158"/>
      <c r="M13" s="159"/>
    </row>
    <row r="14" spans="1:13">
      <c r="A14" s="155" t="s">
        <v>124</v>
      </c>
      <c r="B14" s="457" t="s">
        <v>550</v>
      </c>
      <c r="C14" s="156">
        <v>550000</v>
      </c>
      <c r="D14" s="640">
        <v>550000</v>
      </c>
      <c r="E14" s="640">
        <v>550000</v>
      </c>
      <c r="F14" s="764">
        <v>549999.99900000007</v>
      </c>
      <c r="G14" s="193">
        <v>549999.99900000007</v>
      </c>
      <c r="H14" s="866">
        <v>549999.99900000007</v>
      </c>
      <c r="I14" s="916"/>
      <c r="J14" s="157"/>
      <c r="K14" s="70">
        <f t="shared" si="1"/>
        <v>549999.99900000007</v>
      </c>
      <c r="L14" s="158"/>
      <c r="M14" s="159"/>
    </row>
    <row r="15" spans="1:13" ht="14.65" thickBot="1">
      <c r="A15" s="161" t="s">
        <v>125</v>
      </c>
      <c r="B15" s="458" t="s">
        <v>551</v>
      </c>
      <c r="C15" s="149">
        <v>50000</v>
      </c>
      <c r="D15" s="646">
        <v>50000</v>
      </c>
      <c r="E15" s="646">
        <v>50000</v>
      </c>
      <c r="F15" s="765">
        <v>50000</v>
      </c>
      <c r="G15" s="194">
        <v>50000</v>
      </c>
      <c r="H15" s="915">
        <v>50000</v>
      </c>
      <c r="I15" s="461"/>
      <c r="J15" s="162"/>
      <c r="K15" s="73">
        <f t="shared" si="1"/>
        <v>50000</v>
      </c>
      <c r="L15" s="454"/>
      <c r="M15" s="455"/>
    </row>
    <row r="16" spans="1:13" ht="14.65" thickBot="1">
      <c r="A16" s="22"/>
      <c r="B16" s="98"/>
      <c r="C16" s="192">
        <f t="shared" ref="C16:J16" si="2">SUM(C11:C15)</f>
        <v>5800000</v>
      </c>
      <c r="D16" s="192">
        <f t="shared" si="2"/>
        <v>5800000</v>
      </c>
      <c r="E16" s="192">
        <f t="shared" si="2"/>
        <v>5800000</v>
      </c>
      <c r="F16" s="192">
        <f t="shared" si="2"/>
        <v>5799999.9990999997</v>
      </c>
      <c r="G16" s="192">
        <f t="shared" si="2"/>
        <v>5799999.9990999997</v>
      </c>
      <c r="H16" s="192">
        <f t="shared" si="2"/>
        <v>5799999.9990999997</v>
      </c>
      <c r="I16" s="192">
        <f t="shared" si="2"/>
        <v>0</v>
      </c>
      <c r="J16" s="192">
        <f t="shared" si="2"/>
        <v>0</v>
      </c>
      <c r="K16" s="192">
        <f>SUM(K11:K15)</f>
        <v>5799999.9990999997</v>
      </c>
      <c r="L16" s="22"/>
      <c r="M16" s="22"/>
    </row>
    <row r="17" spans="1:13">
      <c r="A17" s="22"/>
      <c r="B17" s="98"/>
      <c r="C17" s="22"/>
      <c r="D17" s="22"/>
      <c r="E17" s="22"/>
      <c r="F17" s="48"/>
      <c r="G17" s="48">
        <f>$F16-G16</f>
        <v>0</v>
      </c>
      <c r="H17" s="48">
        <f>$F16-H16</f>
        <v>0</v>
      </c>
      <c r="I17" s="22"/>
      <c r="J17" s="22"/>
      <c r="K17" s="48">
        <f>$F16-K16</f>
        <v>0</v>
      </c>
      <c r="L17" s="22"/>
      <c r="M17" s="22"/>
    </row>
    <row r="18" spans="1:13" ht="14.65" thickBot="1">
      <c r="A18" s="22"/>
      <c r="B18" s="98"/>
      <c r="C18" s="22"/>
      <c r="D18" s="22"/>
      <c r="E18" s="22"/>
      <c r="F18" s="22"/>
      <c r="G18" s="22"/>
      <c r="H18" s="22"/>
      <c r="I18" s="22"/>
      <c r="J18" s="22"/>
      <c r="K18" s="22"/>
      <c r="L18" s="22"/>
      <c r="M18" s="22"/>
    </row>
    <row r="19" spans="1:13">
      <c r="A19" s="163" t="s">
        <v>126</v>
      </c>
      <c r="B19" s="151" t="s">
        <v>552</v>
      </c>
      <c r="C19" s="148">
        <v>0</v>
      </c>
      <c r="D19" s="666">
        <v>0</v>
      </c>
      <c r="E19" s="666">
        <v>0</v>
      </c>
      <c r="F19" s="763">
        <v>0</v>
      </c>
      <c r="G19" s="206">
        <v>0</v>
      </c>
      <c r="H19" s="188">
        <v>0</v>
      </c>
      <c r="I19" s="460"/>
      <c r="J19" s="152"/>
      <c r="K19" s="66">
        <f t="shared" ref="K19:K26" si="3">SUM(H19:J19)</f>
        <v>0</v>
      </c>
      <c r="L19" s="164"/>
      <c r="M19" s="165"/>
    </row>
    <row r="20" spans="1:13">
      <c r="A20" s="166" t="s">
        <v>127</v>
      </c>
      <c r="B20" s="829" t="s">
        <v>553</v>
      </c>
      <c r="C20" s="156">
        <v>500000</v>
      </c>
      <c r="D20" s="640">
        <v>500000</v>
      </c>
      <c r="E20" s="640">
        <v>500000</v>
      </c>
      <c r="F20" s="764">
        <v>500000</v>
      </c>
      <c r="G20" s="193">
        <v>500000</v>
      </c>
      <c r="H20" s="866">
        <v>500000</v>
      </c>
      <c r="I20" s="916"/>
      <c r="J20" s="160"/>
      <c r="K20" s="70">
        <f t="shared" si="3"/>
        <v>500000</v>
      </c>
      <c r="L20" s="158"/>
      <c r="M20" s="159"/>
    </row>
    <row r="21" spans="1:13">
      <c r="A21" s="155" t="s">
        <v>128</v>
      </c>
      <c r="B21" s="173" t="s">
        <v>554</v>
      </c>
      <c r="C21" s="156">
        <v>50000</v>
      </c>
      <c r="D21" s="640">
        <v>50000</v>
      </c>
      <c r="E21" s="640">
        <v>50000</v>
      </c>
      <c r="F21" s="764">
        <v>50000</v>
      </c>
      <c r="G21" s="193">
        <v>50000</v>
      </c>
      <c r="H21" s="866">
        <v>50000</v>
      </c>
      <c r="I21" s="916"/>
      <c r="J21" s="160"/>
      <c r="K21" s="70">
        <f t="shared" si="3"/>
        <v>50000</v>
      </c>
      <c r="L21" s="158"/>
      <c r="M21" s="159"/>
    </row>
    <row r="22" spans="1:13">
      <c r="A22" s="155" t="s">
        <v>129</v>
      </c>
      <c r="B22" s="173" t="s">
        <v>555</v>
      </c>
      <c r="C22" s="156">
        <v>150000</v>
      </c>
      <c r="D22" s="640">
        <v>150000</v>
      </c>
      <c r="E22" s="640">
        <v>150000</v>
      </c>
      <c r="F22" s="764">
        <v>150000</v>
      </c>
      <c r="G22" s="193">
        <v>150000</v>
      </c>
      <c r="H22" s="866">
        <v>150000</v>
      </c>
      <c r="I22" s="916"/>
      <c r="J22" s="160"/>
      <c r="K22" s="70">
        <f t="shared" si="3"/>
        <v>150000</v>
      </c>
      <c r="L22" s="158"/>
      <c r="M22" s="159"/>
    </row>
    <row r="23" spans="1:13">
      <c r="A23" s="155" t="s">
        <v>130</v>
      </c>
      <c r="B23" s="457" t="s">
        <v>556</v>
      </c>
      <c r="C23" s="156">
        <v>50000</v>
      </c>
      <c r="D23" s="640">
        <v>50000</v>
      </c>
      <c r="E23" s="640">
        <v>50000</v>
      </c>
      <c r="F23" s="764">
        <v>50000</v>
      </c>
      <c r="G23" s="193">
        <v>50000</v>
      </c>
      <c r="H23" s="866">
        <v>50000</v>
      </c>
      <c r="I23" s="917"/>
      <c r="J23" s="168"/>
      <c r="K23" s="70">
        <f t="shared" si="3"/>
        <v>50000</v>
      </c>
      <c r="L23" s="169"/>
      <c r="M23" s="170"/>
    </row>
    <row r="24" spans="1:13">
      <c r="A24" s="155" t="s">
        <v>131</v>
      </c>
      <c r="B24" s="457" t="s">
        <v>557</v>
      </c>
      <c r="C24" s="156">
        <v>350000</v>
      </c>
      <c r="D24" s="640">
        <v>350000</v>
      </c>
      <c r="E24" s="640">
        <v>350000</v>
      </c>
      <c r="F24" s="764">
        <v>350000</v>
      </c>
      <c r="G24" s="193">
        <v>350000</v>
      </c>
      <c r="H24" s="866">
        <v>350000</v>
      </c>
      <c r="I24" s="916"/>
      <c r="J24" s="168"/>
      <c r="K24" s="70">
        <f t="shared" si="3"/>
        <v>350000</v>
      </c>
      <c r="L24" s="158"/>
      <c r="M24" s="171"/>
    </row>
    <row r="25" spans="1:13">
      <c r="A25" s="155" t="s">
        <v>132</v>
      </c>
      <c r="B25" s="457" t="s">
        <v>558</v>
      </c>
      <c r="C25" s="156">
        <v>200000</v>
      </c>
      <c r="D25" s="640">
        <v>200000</v>
      </c>
      <c r="E25" s="640">
        <v>200000</v>
      </c>
      <c r="F25" s="764">
        <v>200000</v>
      </c>
      <c r="G25" s="193">
        <v>200000</v>
      </c>
      <c r="H25" s="866">
        <v>200000</v>
      </c>
      <c r="I25" s="916"/>
      <c r="J25" s="160"/>
      <c r="K25" s="70">
        <f t="shared" si="3"/>
        <v>200000</v>
      </c>
      <c r="L25" s="158"/>
      <c r="M25" s="159"/>
    </row>
    <row r="26" spans="1:13" ht="14.65" thickBot="1">
      <c r="A26" s="161" t="s">
        <v>133</v>
      </c>
      <c r="B26" s="458" t="s">
        <v>559</v>
      </c>
      <c r="C26" s="149">
        <v>150000</v>
      </c>
      <c r="D26" s="646">
        <v>150000</v>
      </c>
      <c r="E26" s="646">
        <v>150000</v>
      </c>
      <c r="F26" s="765">
        <v>150000</v>
      </c>
      <c r="G26" s="194">
        <v>150000</v>
      </c>
      <c r="H26" s="915">
        <v>150000</v>
      </c>
      <c r="I26" s="461"/>
      <c r="J26" s="162"/>
      <c r="K26" s="73">
        <f t="shared" si="3"/>
        <v>150000</v>
      </c>
      <c r="L26" s="454"/>
      <c r="M26" s="456"/>
    </row>
    <row r="27" spans="1:13" ht="14.65" thickBot="1">
      <c r="A27" s="22"/>
      <c r="B27" s="98"/>
      <c r="C27" s="192">
        <f t="shared" ref="C27:K27" si="4">SUM(C19:C26)</f>
        <v>1450000</v>
      </c>
      <c r="D27" s="192">
        <f t="shared" si="4"/>
        <v>1450000</v>
      </c>
      <c r="E27" s="192">
        <f t="shared" si="4"/>
        <v>1450000</v>
      </c>
      <c r="F27" s="192">
        <f t="shared" si="4"/>
        <v>1450000</v>
      </c>
      <c r="G27" s="192">
        <f t="shared" si="4"/>
        <v>1450000</v>
      </c>
      <c r="H27" s="192">
        <f t="shared" si="4"/>
        <v>1450000</v>
      </c>
      <c r="I27" s="192">
        <f t="shared" si="4"/>
        <v>0</v>
      </c>
      <c r="J27" s="192">
        <f t="shared" si="4"/>
        <v>0</v>
      </c>
      <c r="K27" s="192">
        <f t="shared" si="4"/>
        <v>1450000</v>
      </c>
      <c r="L27" s="22"/>
      <c r="M27" s="22"/>
    </row>
    <row r="28" spans="1:13">
      <c r="A28" s="22"/>
      <c r="B28" s="98"/>
      <c r="C28" s="22"/>
      <c r="D28" s="22"/>
      <c r="E28" s="22"/>
      <c r="F28" s="48"/>
      <c r="G28" s="48">
        <f>$F27-G27</f>
        <v>0</v>
      </c>
      <c r="H28" s="48">
        <f>$F27-H27</f>
        <v>0</v>
      </c>
      <c r="I28" s="22"/>
      <c r="J28" s="22"/>
      <c r="K28" s="48">
        <f>$F27-K27</f>
        <v>0</v>
      </c>
      <c r="L28" s="22"/>
      <c r="M28" s="22"/>
    </row>
    <row r="29" spans="1:13" ht="14.65" thickBot="1">
      <c r="A29" s="22"/>
      <c r="B29" s="98"/>
      <c r="C29" s="22"/>
      <c r="D29" s="22"/>
      <c r="E29" s="22"/>
      <c r="F29" s="22"/>
      <c r="G29" s="22"/>
      <c r="H29" s="22"/>
      <c r="I29" s="22"/>
      <c r="J29" s="22"/>
      <c r="K29" s="22"/>
      <c r="L29" s="22"/>
      <c r="M29" s="22"/>
    </row>
    <row r="30" spans="1:13" ht="14.65" thickBot="1">
      <c r="A30" s="182" t="s">
        <v>134</v>
      </c>
      <c r="B30" s="276" t="s">
        <v>560</v>
      </c>
      <c r="C30" s="277">
        <v>500000</v>
      </c>
      <c r="D30" s="689">
        <v>500000</v>
      </c>
      <c r="E30" s="689">
        <v>500000</v>
      </c>
      <c r="F30" s="743">
        <v>499999.99979999999</v>
      </c>
      <c r="G30" s="208">
        <v>499999.99979999999</v>
      </c>
      <c r="H30" s="527">
        <v>499999.99979999999</v>
      </c>
      <c r="I30" s="918"/>
      <c r="J30" s="278"/>
      <c r="K30" s="92">
        <f>SUM(H30:J30)</f>
        <v>499999.99979999999</v>
      </c>
      <c r="L30" s="279"/>
      <c r="M30" s="183"/>
    </row>
    <row r="31" spans="1:13" ht="14.65" thickBot="1">
      <c r="A31" s="22"/>
      <c r="B31" s="98"/>
      <c r="C31" s="192">
        <f t="shared" ref="C31:K31" si="5">SUM(C30:C30)</f>
        <v>500000</v>
      </c>
      <c r="D31" s="192">
        <f t="shared" si="5"/>
        <v>500000</v>
      </c>
      <c r="E31" s="192">
        <f t="shared" si="5"/>
        <v>500000</v>
      </c>
      <c r="F31" s="192">
        <f t="shared" si="5"/>
        <v>499999.99979999999</v>
      </c>
      <c r="G31" s="192">
        <f t="shared" si="5"/>
        <v>499999.99979999999</v>
      </c>
      <c r="H31" s="192">
        <f t="shared" si="5"/>
        <v>499999.99979999999</v>
      </c>
      <c r="I31" s="192">
        <f t="shared" si="5"/>
        <v>0</v>
      </c>
      <c r="J31" s="192">
        <f t="shared" si="5"/>
        <v>0</v>
      </c>
      <c r="K31" s="192">
        <f t="shared" si="5"/>
        <v>499999.99979999999</v>
      </c>
      <c r="L31" s="22"/>
      <c r="M31" s="22"/>
    </row>
    <row r="32" spans="1:13">
      <c r="A32" s="22"/>
      <c r="B32" s="98"/>
      <c r="C32" s="22"/>
      <c r="D32" s="22"/>
      <c r="E32" s="22"/>
      <c r="F32" s="48"/>
      <c r="G32" s="48">
        <f>$F31-G31</f>
        <v>0</v>
      </c>
      <c r="H32" s="48">
        <f>$F31-H31</f>
        <v>0</v>
      </c>
      <c r="I32" s="22"/>
      <c r="J32" s="22"/>
      <c r="K32" s="48">
        <f>$F31-K31</f>
        <v>0</v>
      </c>
      <c r="L32" s="22"/>
      <c r="M32" s="22"/>
    </row>
    <row r="33" spans="1:13" ht="14.65" thickBot="1">
      <c r="A33" s="22"/>
      <c r="B33" s="98"/>
      <c r="C33" s="22"/>
      <c r="D33" s="22"/>
      <c r="E33" s="22"/>
      <c r="F33" s="22"/>
      <c r="G33" s="22"/>
      <c r="H33" s="22"/>
      <c r="I33" s="22"/>
      <c r="J33" s="22"/>
      <c r="K33" s="22"/>
      <c r="L33" s="22"/>
      <c r="M33" s="22"/>
    </row>
    <row r="34" spans="1:13">
      <c r="A34" s="106" t="s">
        <v>136</v>
      </c>
      <c r="B34" s="459" t="s">
        <v>561</v>
      </c>
      <c r="C34" s="148">
        <v>500000</v>
      </c>
      <c r="D34" s="642">
        <v>500000</v>
      </c>
      <c r="E34" s="642">
        <v>399999.99840000004</v>
      </c>
      <c r="F34" s="763">
        <v>399999.99840000004</v>
      </c>
      <c r="G34" s="631">
        <v>399999.99840000004</v>
      </c>
      <c r="H34" s="631">
        <v>399999.99840000004</v>
      </c>
      <c r="I34" s="460"/>
      <c r="J34" s="152"/>
      <c r="K34" s="66">
        <f t="shared" ref="K34:K35" si="6">SUM(H34:J34)</f>
        <v>399999.99840000004</v>
      </c>
      <c r="L34" s="111"/>
      <c r="M34" s="172"/>
    </row>
    <row r="35" spans="1:13" ht="14.65" thickBot="1">
      <c r="A35" s="463" t="s">
        <v>137</v>
      </c>
      <c r="B35" s="816" t="s">
        <v>643</v>
      </c>
      <c r="C35" s="149">
        <v>0</v>
      </c>
      <c r="D35" s="655">
        <v>0</v>
      </c>
      <c r="E35" s="655">
        <v>100000</v>
      </c>
      <c r="F35" s="765">
        <v>100000</v>
      </c>
      <c r="G35" s="42">
        <v>100000</v>
      </c>
      <c r="H35" s="42">
        <v>100000</v>
      </c>
      <c r="I35" s="461"/>
      <c r="J35" s="162"/>
      <c r="K35" s="73">
        <f t="shared" si="6"/>
        <v>100000</v>
      </c>
      <c r="L35" s="462" t="s">
        <v>280</v>
      </c>
      <c r="M35" s="578" t="s">
        <v>687</v>
      </c>
    </row>
    <row r="36" spans="1:13" ht="14.65" thickBot="1">
      <c r="A36" s="22"/>
      <c r="B36" s="98"/>
      <c r="C36" s="192">
        <f t="shared" ref="C36:J36" si="7">SUM(C34:C35)</f>
        <v>500000</v>
      </c>
      <c r="D36" s="192">
        <f t="shared" si="7"/>
        <v>500000</v>
      </c>
      <c r="E36" s="192">
        <f t="shared" si="7"/>
        <v>499999.99840000004</v>
      </c>
      <c r="F36" s="192">
        <f t="shared" si="7"/>
        <v>499999.99840000004</v>
      </c>
      <c r="G36" s="192">
        <f t="shared" si="7"/>
        <v>499999.99840000004</v>
      </c>
      <c r="H36" s="192">
        <f t="shared" si="7"/>
        <v>499999.99840000004</v>
      </c>
      <c r="I36" s="192">
        <f t="shared" si="7"/>
        <v>0</v>
      </c>
      <c r="J36" s="192">
        <f t="shared" si="7"/>
        <v>0</v>
      </c>
      <c r="K36" s="192">
        <f>SUM(K34:K35)</f>
        <v>499999.99840000004</v>
      </c>
      <c r="L36" s="22"/>
      <c r="M36" s="22"/>
    </row>
    <row r="37" spans="1:13">
      <c r="A37" s="22"/>
      <c r="B37" s="98"/>
      <c r="C37" s="22"/>
      <c r="D37" s="22"/>
      <c r="E37" s="22"/>
      <c r="F37" s="48"/>
      <c r="G37" s="48">
        <f>$F36-G36</f>
        <v>0</v>
      </c>
      <c r="H37" s="48">
        <f>$F36-H36</f>
        <v>0</v>
      </c>
      <c r="I37" s="22"/>
      <c r="J37" s="22"/>
      <c r="K37" s="48">
        <f>$F36-K36</f>
        <v>0</v>
      </c>
      <c r="L37" s="22"/>
      <c r="M37" s="22"/>
    </row>
    <row r="38" spans="1:13" ht="14.65" thickBot="1"/>
    <row r="39" spans="1:13" ht="14.65" thickBot="1">
      <c r="A39" s="182" t="s">
        <v>222</v>
      </c>
      <c r="B39" s="276" t="s">
        <v>562</v>
      </c>
      <c r="C39" s="277">
        <v>150000</v>
      </c>
      <c r="D39" s="689">
        <v>150000</v>
      </c>
      <c r="E39" s="689">
        <v>150000</v>
      </c>
      <c r="F39" s="743">
        <v>149999.99979999999</v>
      </c>
      <c r="G39" s="208">
        <v>149999.99979999999</v>
      </c>
      <c r="H39" s="527">
        <v>149999.99979999999</v>
      </c>
      <c r="I39" s="918"/>
      <c r="J39" s="278"/>
      <c r="K39" s="92">
        <f>SUM(H39:J39)</f>
        <v>149999.99979999999</v>
      </c>
      <c r="L39" s="279"/>
      <c r="M39" s="185"/>
    </row>
    <row r="40" spans="1:13" ht="14.65" thickBot="1">
      <c r="C40" s="47">
        <f>SUM(C39)</f>
        <v>150000</v>
      </c>
      <c r="D40" s="47">
        <f t="shared" ref="D40" si="8">SUM(D39)</f>
        <v>150000</v>
      </c>
      <c r="E40" s="47">
        <f>SUM(E39)</f>
        <v>150000</v>
      </c>
      <c r="F40" s="47">
        <f>SUM(F39)</f>
        <v>149999.99979999999</v>
      </c>
      <c r="G40" s="47">
        <f>SUM(G39)</f>
        <v>149999.99979999999</v>
      </c>
      <c r="H40" s="47">
        <f>SUM(H39)</f>
        <v>149999.99979999999</v>
      </c>
      <c r="I40" s="815">
        <f t="shared" ref="I40" si="9">SUM(I39)</f>
        <v>0</v>
      </c>
      <c r="J40" s="47">
        <f t="shared" ref="J40" si="10">SUM(J39)</f>
        <v>0</v>
      </c>
      <c r="K40" s="47">
        <f t="shared" ref="K40" si="11">SUM(K39)</f>
        <v>149999.99979999999</v>
      </c>
    </row>
    <row r="41" spans="1:13">
      <c r="C41" s="22"/>
      <c r="D41" s="22"/>
      <c r="E41" s="22"/>
      <c r="F41" s="48"/>
      <c r="G41" s="48">
        <f>$F40-G40</f>
        <v>0</v>
      </c>
      <c r="H41" s="48">
        <f>$F40-H40</f>
        <v>0</v>
      </c>
      <c r="I41" s="22"/>
      <c r="J41" s="22"/>
      <c r="K41" s="48">
        <f>$F40-K40</f>
        <v>0</v>
      </c>
    </row>
    <row r="42" spans="1:13" ht="14.65" thickBot="1"/>
    <row r="43" spans="1:13" ht="14.65" thickBot="1">
      <c r="A43" s="182" t="s">
        <v>546</v>
      </c>
      <c r="B43" s="276" t="s">
        <v>563</v>
      </c>
      <c r="C43" s="277">
        <v>100000</v>
      </c>
      <c r="D43" s="689">
        <v>100000</v>
      </c>
      <c r="E43" s="689">
        <v>100000</v>
      </c>
      <c r="F43" s="743">
        <v>100000</v>
      </c>
      <c r="G43" s="208">
        <v>100000</v>
      </c>
      <c r="H43" s="527">
        <v>100000</v>
      </c>
      <c r="I43" s="918"/>
      <c r="J43" s="278"/>
      <c r="K43" s="92">
        <f>SUM(H43:J43)</f>
        <v>100000</v>
      </c>
      <c r="L43" s="279"/>
      <c r="M43" s="185"/>
    </row>
    <row r="44" spans="1:13" ht="14.65" thickBot="1">
      <c r="C44" s="47">
        <f>SUM(C43)</f>
        <v>100000</v>
      </c>
      <c r="D44" s="47">
        <f t="shared" ref="D44:K44" si="12">SUM(D43)</f>
        <v>100000</v>
      </c>
      <c r="E44" s="47">
        <f t="shared" si="12"/>
        <v>100000</v>
      </c>
      <c r="F44" s="47">
        <f t="shared" si="12"/>
        <v>100000</v>
      </c>
      <c r="G44" s="47">
        <f t="shared" si="12"/>
        <v>100000</v>
      </c>
      <c r="H44" s="47">
        <f t="shared" si="12"/>
        <v>100000</v>
      </c>
      <c r="I44" s="47">
        <f t="shared" si="12"/>
        <v>0</v>
      </c>
      <c r="J44" s="47">
        <f t="shared" si="12"/>
        <v>0</v>
      </c>
      <c r="K44" s="47">
        <f t="shared" si="12"/>
        <v>100000</v>
      </c>
    </row>
    <row r="45" spans="1:13">
      <c r="C45" s="22"/>
      <c r="D45" s="22"/>
      <c r="E45" s="22"/>
      <c r="F45" s="48"/>
      <c r="G45" s="48">
        <f>$F44-G44</f>
        <v>0</v>
      </c>
      <c r="H45" s="48">
        <f>$F44-H44</f>
        <v>0</v>
      </c>
      <c r="I45" s="22"/>
      <c r="J45" s="22"/>
      <c r="K45" s="48">
        <f>$F44-K44</f>
        <v>0</v>
      </c>
    </row>
  </sheetData>
  <mergeCells count="1">
    <mergeCell ref="C1:K1"/>
  </mergeCells>
  <phoneticPr fontId="51" type="noConversion"/>
  <conditionalFormatting sqref="F17:H17 F28:H28 F32:H32 F37:H37 F41:H41">
    <cfRule type="cellIs" dxfId="15" priority="47" operator="lessThan">
      <formula>0</formula>
    </cfRule>
    <cfRule type="cellIs" dxfId="14" priority="48" operator="greaterThan">
      <formula>0</formula>
    </cfRule>
  </conditionalFormatting>
  <conditionalFormatting sqref="F45:H45">
    <cfRule type="cellIs" dxfId="13" priority="3" operator="lessThan">
      <formula>0</formula>
    </cfRule>
    <cfRule type="cellIs" dxfId="12" priority="4" operator="greaterThan">
      <formula>0</formula>
    </cfRule>
  </conditionalFormatting>
  <conditionalFormatting sqref="K17">
    <cfRule type="cellIs" dxfId="11" priority="13" operator="lessThan">
      <formula>0</formula>
    </cfRule>
    <cfRule type="cellIs" dxfId="10" priority="14" operator="greaterThan">
      <formula>0</formula>
    </cfRule>
  </conditionalFormatting>
  <conditionalFormatting sqref="K28">
    <cfRule type="cellIs" dxfId="9" priority="11" operator="lessThan">
      <formula>0</formula>
    </cfRule>
    <cfRule type="cellIs" dxfId="8" priority="12" operator="greaterThan">
      <formula>0</formula>
    </cfRule>
  </conditionalFormatting>
  <conditionalFormatting sqref="K32">
    <cfRule type="cellIs" dxfId="7" priority="9" operator="lessThan">
      <formula>0</formula>
    </cfRule>
    <cfRule type="cellIs" dxfId="6" priority="10" operator="greaterThan">
      <formula>0</formula>
    </cfRule>
  </conditionalFormatting>
  <conditionalFormatting sqref="K37">
    <cfRule type="cellIs" dxfId="5" priority="7" operator="lessThan">
      <formula>0</formula>
    </cfRule>
    <cfRule type="cellIs" dxfId="4" priority="8" operator="greaterThan">
      <formula>0</formula>
    </cfRule>
  </conditionalFormatting>
  <conditionalFormatting sqref="K41">
    <cfRule type="cellIs" dxfId="3" priority="5" operator="lessThan">
      <formula>0</formula>
    </cfRule>
    <cfRule type="cellIs" dxfId="2" priority="6" operator="greaterThan">
      <formula>0</formula>
    </cfRule>
  </conditionalFormatting>
  <conditionalFormatting sqref="K45">
    <cfRule type="cellIs" dxfId="1" priority="1" operator="lessThan">
      <formula>0</formula>
    </cfRule>
    <cfRule type="cellIs" dxfId="0" priority="2" operator="greaterThan">
      <formula>0</formula>
    </cfRule>
  </conditionalFormatting>
  <pageMargins left="0.11811023622047245" right="0.11811023622047245" top="0.15748031496062992" bottom="0.35433070866141736" header="0.11811023622047245" footer="0.11811023622047245"/>
  <pageSetup paperSize="9" scale="66" fitToHeight="0" orientation="landscape" r:id="rId1"/>
  <headerFooter>
    <oddFooter>&amp;LGorlice B51 - Feb 26&amp;C&amp;A&amp;R&amp;P</oddFooter>
  </headerFooter>
  <rowBreaks count="1" manualBreakCount="1">
    <brk id="1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A5FCB-D229-4B5A-9DB5-3ECF1B88D391}">
  <sheetPr>
    <tabColor rgb="FFFFC000"/>
    <pageSetUpPr fitToPage="1"/>
  </sheetPr>
  <dimension ref="A1:M20"/>
  <sheetViews>
    <sheetView zoomScale="80" zoomScaleNormal="80" workbookViewId="0">
      <selection activeCell="F22" sqref="F22"/>
    </sheetView>
  </sheetViews>
  <sheetFormatPr defaultRowHeight="14.25"/>
  <cols>
    <col min="1" max="1" width="6.796875" customWidth="1"/>
    <col min="2" max="2" width="60.796875" style="96" customWidth="1"/>
    <col min="3" max="5" width="14.796875" customWidth="1"/>
    <col min="6" max="6" width="17.1328125" customWidth="1"/>
    <col min="7" max="11" width="14.796875" customWidth="1"/>
    <col min="12" max="12" width="35.796875" customWidth="1"/>
    <col min="13" max="13" width="12.796875" customWidth="1"/>
    <col min="14" max="14" width="10.53125" bestFit="1" customWidth="1"/>
  </cols>
  <sheetData>
    <row r="1" spans="1:13" ht="22.05" customHeight="1">
      <c r="C1" s="971"/>
      <c r="D1" s="971"/>
      <c r="E1" s="971"/>
      <c r="F1" s="971"/>
      <c r="G1" s="971"/>
      <c r="H1" s="971"/>
      <c r="I1" s="971"/>
      <c r="J1" s="971"/>
      <c r="K1" s="971"/>
    </row>
    <row r="2" spans="1:13" ht="22.05" customHeight="1" thickBot="1">
      <c r="C2" s="3" t="s">
        <v>146</v>
      </c>
      <c r="D2" s="3" t="s">
        <v>249</v>
      </c>
      <c r="E2" s="3" t="s">
        <v>820</v>
      </c>
      <c r="F2" s="736" t="s">
        <v>821</v>
      </c>
      <c r="G2" s="3" t="s">
        <v>742</v>
      </c>
      <c r="H2" s="3" t="s">
        <v>824</v>
      </c>
      <c r="I2" s="3" t="s">
        <v>27</v>
      </c>
      <c r="J2" s="3" t="s">
        <v>26</v>
      </c>
      <c r="K2" s="3" t="s">
        <v>147</v>
      </c>
      <c r="M2" s="259">
        <f>SUM(M5:M8)</f>
        <v>952781</v>
      </c>
    </row>
    <row r="3" spans="1:13" ht="24" customHeight="1" thickBot="1">
      <c r="A3" s="469" t="s">
        <v>570</v>
      </c>
      <c r="B3" s="145" t="s">
        <v>564</v>
      </c>
      <c r="C3" s="140">
        <f t="shared" ref="C3:D3" si="0">C13+C19</f>
        <v>952781</v>
      </c>
      <c r="D3" s="140">
        <f t="shared" si="0"/>
        <v>952781</v>
      </c>
      <c r="E3" s="140">
        <f>E13+E19</f>
        <v>952781</v>
      </c>
      <c r="F3" s="855">
        <f>F13+F19</f>
        <v>952781</v>
      </c>
      <c r="G3" s="140">
        <f>G13+G19</f>
        <v>952781</v>
      </c>
      <c r="H3" s="140">
        <f>H13+H19</f>
        <v>952781</v>
      </c>
      <c r="I3" s="234">
        <f t="shared" ref="I3:K3" si="1">I13+I19</f>
        <v>0</v>
      </c>
      <c r="J3" s="256">
        <f t="shared" si="1"/>
        <v>0</v>
      </c>
      <c r="K3" s="257">
        <f t="shared" si="1"/>
        <v>952781</v>
      </c>
      <c r="L3" s="104"/>
      <c r="M3" s="146"/>
    </row>
    <row r="4" spans="1:13" ht="14.65" thickBot="1">
      <c r="A4" s="22"/>
      <c r="B4" s="98"/>
      <c r="C4" s="22"/>
      <c r="D4" s="22"/>
      <c r="E4" s="22"/>
      <c r="F4" s="22"/>
      <c r="G4" s="22"/>
      <c r="H4" s="23">
        <f>$F$3-H3</f>
        <v>0</v>
      </c>
      <c r="I4" s="22"/>
      <c r="J4" s="22"/>
      <c r="K4" s="23">
        <f>$F$3-K3</f>
        <v>0</v>
      </c>
    </row>
    <row r="5" spans="1:13">
      <c r="A5" s="22"/>
      <c r="B5" s="98"/>
      <c r="C5" s="22"/>
      <c r="D5" s="22"/>
      <c r="E5" s="22"/>
      <c r="F5" s="22"/>
      <c r="G5" s="22"/>
      <c r="H5" s="22"/>
      <c r="I5" s="22"/>
      <c r="J5" s="22"/>
      <c r="K5" s="22"/>
      <c r="L5" s="282" t="s">
        <v>17</v>
      </c>
      <c r="M5" s="58">
        <f>H12+H17+H18</f>
        <v>723162.81</v>
      </c>
    </row>
    <row r="6" spans="1:13" ht="14.65" thickBot="1">
      <c r="A6" s="22"/>
      <c r="B6" s="98"/>
      <c r="C6" s="22"/>
      <c r="D6" s="22"/>
      <c r="E6" s="22"/>
      <c r="F6" s="22"/>
      <c r="G6" s="22"/>
      <c r="H6" s="22"/>
      <c r="I6" s="22"/>
      <c r="J6" s="22"/>
      <c r="K6" s="22"/>
      <c r="L6" s="282" t="s">
        <v>659</v>
      </c>
      <c r="M6" s="58">
        <f>H11+H16</f>
        <v>229618.19</v>
      </c>
    </row>
    <row r="7" spans="1:13" ht="14.65" thickBot="1">
      <c r="A7" s="22"/>
      <c r="B7" s="98"/>
      <c r="D7" s="27" t="s">
        <v>14</v>
      </c>
      <c r="E7" s="220"/>
      <c r="F7" s="220"/>
      <c r="G7" s="220"/>
      <c r="H7" s="220"/>
      <c r="I7" s="22"/>
      <c r="J7" s="27" t="s">
        <v>14</v>
      </c>
      <c r="K7" s="220"/>
      <c r="L7" s="25" t="s">
        <v>15</v>
      </c>
      <c r="M7" s="29">
        <v>0</v>
      </c>
    </row>
    <row r="8" spans="1:13" ht="14.65" thickBot="1">
      <c r="A8" s="22"/>
      <c r="B8" s="98"/>
      <c r="D8" s="27" t="s">
        <v>16</v>
      </c>
      <c r="E8" s="245"/>
      <c r="F8" s="245"/>
      <c r="G8" s="245"/>
      <c r="H8" s="245"/>
      <c r="I8" s="22"/>
      <c r="J8" s="27" t="s">
        <v>16</v>
      </c>
      <c r="K8" s="218"/>
      <c r="L8" s="31" t="s">
        <v>0</v>
      </c>
      <c r="M8" s="32">
        <f>J3</f>
        <v>0</v>
      </c>
    </row>
    <row r="9" spans="1:13">
      <c r="A9" s="22"/>
      <c r="B9" s="98"/>
      <c r="C9" s="63"/>
      <c r="D9" s="175"/>
      <c r="E9" s="175"/>
      <c r="F9" s="175"/>
      <c r="G9" s="175"/>
      <c r="H9" s="175"/>
      <c r="I9" s="22"/>
      <c r="J9" s="63"/>
      <c r="K9" s="175"/>
      <c r="L9" s="25" t="s">
        <v>757</v>
      </c>
      <c r="M9" s="26">
        <v>0</v>
      </c>
    </row>
    <row r="10" spans="1:13" ht="14.65" thickBot="1">
      <c r="A10" s="22"/>
      <c r="B10" s="98"/>
      <c r="C10" s="22"/>
      <c r="D10" s="22"/>
      <c r="E10" s="22"/>
      <c r="F10" s="22"/>
      <c r="G10" s="22"/>
      <c r="H10" s="22"/>
      <c r="I10" s="22"/>
      <c r="J10" s="22"/>
      <c r="K10" s="22"/>
    </row>
    <row r="11" spans="1:13">
      <c r="A11" s="464" t="s">
        <v>138</v>
      </c>
      <c r="B11" s="466" t="s">
        <v>565</v>
      </c>
      <c r="C11" s="33">
        <v>538352</v>
      </c>
      <c r="D11" s="690">
        <v>216139.19</v>
      </c>
      <c r="E11" s="690">
        <v>216139.19</v>
      </c>
      <c r="F11" s="763">
        <v>216139.19</v>
      </c>
      <c r="G11" s="734">
        <v>216139.19</v>
      </c>
      <c r="H11" s="919">
        <v>216139.19</v>
      </c>
      <c r="I11" s="474"/>
      <c r="J11" s="176"/>
      <c r="K11" s="35">
        <f>SUM(H11:J11)</f>
        <v>216139.19</v>
      </c>
      <c r="L11" s="111"/>
      <c r="M11" s="165"/>
    </row>
    <row r="12" spans="1:13" ht="14.65" thickBot="1">
      <c r="A12" s="465" t="s">
        <v>139</v>
      </c>
      <c r="B12" s="395" t="s">
        <v>767</v>
      </c>
      <c r="C12" s="55">
        <v>0</v>
      </c>
      <c r="D12" s="655">
        <v>322212.81</v>
      </c>
      <c r="E12" s="655">
        <v>322212.81</v>
      </c>
      <c r="F12" s="765">
        <v>322212.81</v>
      </c>
      <c r="G12" s="200">
        <v>322212.81</v>
      </c>
      <c r="H12" s="525">
        <v>322212.81000000006</v>
      </c>
      <c r="I12" s="179"/>
      <c r="J12" s="180"/>
      <c r="K12" s="44">
        <f>SUM(H12:J12)</f>
        <v>322212.81000000006</v>
      </c>
      <c r="L12" s="83" t="s">
        <v>291</v>
      </c>
      <c r="M12" s="85">
        <v>4502939064</v>
      </c>
    </row>
    <row r="13" spans="1:13" ht="14.65" thickBot="1">
      <c r="A13" s="22"/>
      <c r="B13" s="98"/>
      <c r="C13" s="192">
        <f>SUM(C11:C12)</f>
        <v>538352</v>
      </c>
      <c r="D13" s="192">
        <f t="shared" ref="D13:K13" si="2">SUM(D11:D12)</f>
        <v>538352</v>
      </c>
      <c r="E13" s="192">
        <f t="shared" si="2"/>
        <v>538352</v>
      </c>
      <c r="F13" s="192">
        <f t="shared" si="2"/>
        <v>538352</v>
      </c>
      <c r="G13" s="192">
        <f t="shared" si="2"/>
        <v>538352</v>
      </c>
      <c r="H13" s="192">
        <f t="shared" si="2"/>
        <v>538352</v>
      </c>
      <c r="I13" s="354">
        <f t="shared" si="2"/>
        <v>0</v>
      </c>
      <c r="J13" s="192">
        <f t="shared" si="2"/>
        <v>0</v>
      </c>
      <c r="K13" s="192">
        <f t="shared" si="2"/>
        <v>538352</v>
      </c>
      <c r="L13" s="22"/>
      <c r="M13" s="22"/>
    </row>
    <row r="14" spans="1:13">
      <c r="A14" s="22"/>
      <c r="B14" s="98"/>
      <c r="C14" s="22"/>
      <c r="D14" s="22"/>
      <c r="E14" s="22"/>
      <c r="F14" s="184"/>
      <c r="G14" s="184">
        <f>$F13-G13</f>
        <v>0</v>
      </c>
      <c r="H14" s="184">
        <f>$F13-H13</f>
        <v>0</v>
      </c>
      <c r="I14" s="63"/>
      <c r="J14" s="63"/>
      <c r="K14" s="184">
        <f>$F13-K13</f>
        <v>0</v>
      </c>
      <c r="L14" s="22"/>
      <c r="M14" s="22"/>
    </row>
    <row r="15" spans="1:13" ht="14.65" thickBot="1">
      <c r="A15" s="22"/>
      <c r="B15" s="98"/>
      <c r="C15" s="22"/>
      <c r="D15" s="22"/>
      <c r="E15" s="22"/>
      <c r="F15" s="22"/>
      <c r="G15" s="22"/>
      <c r="H15" s="22"/>
      <c r="I15" s="22"/>
      <c r="J15" s="22"/>
      <c r="K15" s="22"/>
      <c r="L15" s="22"/>
      <c r="M15" s="22"/>
    </row>
    <row r="16" spans="1:13">
      <c r="A16" s="470" t="s">
        <v>571</v>
      </c>
      <c r="B16" s="466" t="s">
        <v>565</v>
      </c>
      <c r="C16" s="148">
        <v>414429</v>
      </c>
      <c r="D16" s="690">
        <v>14429</v>
      </c>
      <c r="E16" s="690">
        <v>13479</v>
      </c>
      <c r="F16" s="763">
        <v>13479</v>
      </c>
      <c r="G16" s="631">
        <v>13479</v>
      </c>
      <c r="H16" s="631">
        <v>13479</v>
      </c>
      <c r="I16" s="474"/>
      <c r="J16" s="176"/>
      <c r="K16" s="35">
        <f t="shared" ref="K16:K18" si="3">SUM(H16:J16)</f>
        <v>13479</v>
      </c>
      <c r="L16" s="164"/>
      <c r="M16" s="165"/>
    </row>
    <row r="17" spans="1:13">
      <c r="A17" s="471" t="s">
        <v>572</v>
      </c>
      <c r="B17" s="472" t="s">
        <v>765</v>
      </c>
      <c r="C17" s="156">
        <v>0</v>
      </c>
      <c r="D17" s="662">
        <v>0</v>
      </c>
      <c r="E17" s="662">
        <v>950</v>
      </c>
      <c r="F17" s="764">
        <v>950</v>
      </c>
      <c r="G17" s="365">
        <v>950</v>
      </c>
      <c r="H17" s="365">
        <v>950</v>
      </c>
      <c r="I17" s="177"/>
      <c r="J17" s="178"/>
      <c r="K17" s="39">
        <f t="shared" si="3"/>
        <v>950</v>
      </c>
      <c r="L17" s="167" t="s">
        <v>574</v>
      </c>
      <c r="M17" s="130">
        <v>4502971480</v>
      </c>
    </row>
    <row r="18" spans="1:13" ht="14.65" thickBot="1">
      <c r="A18" s="473" t="s">
        <v>573</v>
      </c>
      <c r="B18" s="395" t="s">
        <v>766</v>
      </c>
      <c r="C18" s="149">
        <v>0</v>
      </c>
      <c r="D18" s="655">
        <v>400000</v>
      </c>
      <c r="E18" s="655">
        <v>400000</v>
      </c>
      <c r="F18" s="765">
        <v>400000</v>
      </c>
      <c r="G18" s="42">
        <v>400000</v>
      </c>
      <c r="H18" s="42">
        <v>400000</v>
      </c>
      <c r="I18" s="179"/>
      <c r="J18" s="180"/>
      <c r="K18" s="44">
        <f t="shared" si="3"/>
        <v>400000</v>
      </c>
      <c r="L18" s="174" t="s">
        <v>279</v>
      </c>
      <c r="M18" s="129">
        <v>4502946461</v>
      </c>
    </row>
    <row r="19" spans="1:13" ht="14.65" thickBot="1">
      <c r="A19" s="22"/>
      <c r="B19" s="98"/>
      <c r="C19" s="192">
        <f t="shared" ref="C19:D19" si="4">SUM(C16:C18)</f>
        <v>414429</v>
      </c>
      <c r="D19" s="192">
        <f t="shared" si="4"/>
        <v>414429</v>
      </c>
      <c r="E19" s="192">
        <f>SUM(E16:E18)</f>
        <v>414429</v>
      </c>
      <c r="F19" s="192">
        <f>SUM(F16:F18)</f>
        <v>414429</v>
      </c>
      <c r="G19" s="192">
        <f>SUM(G16:G18)</f>
        <v>414429</v>
      </c>
      <c r="H19" s="192">
        <f>SUM(H16:H18)</f>
        <v>414429</v>
      </c>
      <c r="I19" s="192">
        <f t="shared" ref="I19:K19" si="5">SUM(I16:I18)</f>
        <v>0</v>
      </c>
      <c r="J19" s="192">
        <f t="shared" si="5"/>
        <v>0</v>
      </c>
      <c r="K19" s="192">
        <f t="shared" si="5"/>
        <v>414429</v>
      </c>
      <c r="L19" s="22"/>
      <c r="M19" s="22"/>
    </row>
    <row r="20" spans="1:13">
      <c r="A20" s="22"/>
      <c r="B20" s="98"/>
      <c r="C20" s="22"/>
      <c r="D20" s="22"/>
      <c r="E20" s="22"/>
      <c r="F20" s="184"/>
      <c r="G20" s="184">
        <f>$F19-G19</f>
        <v>0</v>
      </c>
      <c r="H20" s="184">
        <f>$F19-H19</f>
        <v>0</v>
      </c>
      <c r="I20" s="63"/>
      <c r="J20" s="63"/>
      <c r="K20" s="184">
        <f>$F19-K19</f>
        <v>0</v>
      </c>
      <c r="L20" s="22"/>
      <c r="M20" s="22"/>
    </row>
  </sheetData>
  <mergeCells count="1">
    <mergeCell ref="C1:K1"/>
  </mergeCells>
  <phoneticPr fontId="51" type="noConversion"/>
  <pageMargins left="0.11811023622047245" right="0.11811023622047245" top="0.15748031496062992" bottom="0.35433070866141736" header="0.11811023622047245" footer="0.11811023622047245"/>
  <pageSetup paperSize="9" scale="67" fitToHeight="0" orientation="landscape" r:id="rId1"/>
  <headerFooter>
    <oddFooter>&amp;LGorlice B51 - Feb 26&amp;C&amp;A&amp;R&amp;P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TABLE DASHBOARD</vt:lpstr>
      <vt:lpstr>JV RIEPILOGO</vt:lpstr>
      <vt:lpstr>INTERNA</vt:lpstr>
      <vt:lpstr>Report</vt:lpstr>
      <vt:lpstr>Ordinato</vt:lpstr>
      <vt:lpstr>0_Indirect</vt:lpstr>
      <vt:lpstr>1_Design</vt:lpstr>
      <vt:lpstr>2_Civil Work</vt:lpstr>
      <vt:lpstr>3_Electrical Works</vt:lpstr>
      <vt:lpstr>4_Sanitary works and FF</vt:lpstr>
      <vt:lpstr>5_Mechanical and technological</vt:lpstr>
      <vt:lpstr>6_ Commissioning</vt:lpstr>
      <vt:lpstr>7_Backup</vt:lpstr>
      <vt:lpstr>'JV RIEPILOGO'!Print_Area</vt:lpstr>
      <vt:lpstr>Report!Print_Area</vt:lpstr>
      <vt:lpstr>'0_Indirect'!Print_Titles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Savocchi</dc:creator>
  <cp:lastModifiedBy>Aldo Giamblanco</cp:lastModifiedBy>
  <cp:lastPrinted>2026-03-18T14:02:45Z</cp:lastPrinted>
  <dcterms:created xsi:type="dcterms:W3CDTF">2025-12-03T14:24:25Z</dcterms:created>
  <dcterms:modified xsi:type="dcterms:W3CDTF">2026-07-01T09:16:24Z</dcterms:modified>
</cp:coreProperties>
</file>