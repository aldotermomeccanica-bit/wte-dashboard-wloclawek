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24226"/>
  <xr:revisionPtr revIDLastSave="0" documentId="13_ncr:1_{0AFD5BDF-C393-4510-92A0-9AD3EC8D66C3}" xr6:coauthVersionLast="47" xr6:coauthVersionMax="47" xr10:uidLastSave="{00000000-0000-0000-0000-000000000000}"/>
  <bookViews>
    <workbookView xWindow="-98" yWindow="-98" windowWidth="19396" windowHeight="11475" xr2:uid="{00000000-000D-0000-FFFF-FFFF00000000}"/>
  </bookViews>
  <sheets>
    <sheet name="Procurement Schedule" sheetId="1" r:id="rId1"/>
    <sheet name="dane wykres" sheetId="8" state="hidden" r:id="rId2"/>
    <sheet name="MSR_2" sheetId="6" state="hidden" r:id="rId3"/>
  </sheets>
  <definedNames>
    <definedName name="_xlnm._FilterDatabase" localSheetId="0" hidden="1">'Procurement Schedule'!$A$17:$U$1103</definedName>
    <definedName name="CBWorkbookPriority" hidden="1">-1910156106</definedName>
    <definedName name="_xlnm.Print_Area" localSheetId="0">'Procurement Schedule'!$A$2:$AD$98</definedName>
    <definedName name="STATUS">#REF!</definedName>
    <definedName name="x1_">OFFSET('dane wykres'!$T$5,0,0,COUNTA('dane wykres'!$T$9:$T$1000),1)</definedName>
    <definedName name="x2_">OFFSET('dane wykres'!$AB$5,0,0,COUNTA('dane wykres'!$AB$5:$AB$1000),1)</definedName>
    <definedName name="y1_">OFFSET('dane wykres'!$S$5,0,0,COUNTA('dane wykres'!$S$9:$S$1000),1)</definedName>
    <definedName name="y2_">OFFSET('dane wykres'!$AA$5,0,0,COUNTA('dane wykres'!$AA$5:$AA$1000),1)</definedName>
  </definedNames>
  <calcPr calcId="191029"/>
  <pivotCaches>
    <pivotCache cacheId="7" r:id="rId4"/>
    <pivotCache cacheId="13"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46" i="1" l="1"/>
  <c r="AG48" i="1"/>
  <c r="AF48" i="1"/>
  <c r="AC48" i="1"/>
  <c r="AB48" i="1"/>
  <c r="AD48" i="1" s="1"/>
  <c r="Z48" i="1"/>
  <c r="Y48" i="1"/>
  <c r="U48" i="1"/>
  <c r="AG47" i="1"/>
  <c r="AF47" i="1"/>
  <c r="AC47" i="1"/>
  <c r="AB47" i="1"/>
  <c r="AD47" i="1" s="1"/>
  <c r="Z47" i="1"/>
  <c r="Y47" i="1"/>
  <c r="AA47" i="1" s="1"/>
  <c r="U47" i="1"/>
  <c r="AG51" i="1"/>
  <c r="AF51" i="1"/>
  <c r="AC51" i="1"/>
  <c r="AB51" i="1"/>
  <c r="Z51" i="1"/>
  <c r="Y51" i="1"/>
  <c r="AA51" i="1" s="1"/>
  <c r="U51" i="1"/>
  <c r="S271" i="1"/>
  <c r="AG273" i="1"/>
  <c r="AF273" i="1"/>
  <c r="AC273" i="1"/>
  <c r="AB273" i="1"/>
  <c r="Z273" i="1"/>
  <c r="Y273" i="1"/>
  <c r="U273" i="1"/>
  <c r="AG272" i="1"/>
  <c r="AF272" i="1"/>
  <c r="AC272" i="1"/>
  <c r="AB272" i="1"/>
  <c r="Z272" i="1"/>
  <c r="Y272" i="1"/>
  <c r="U272" i="1"/>
  <c r="AG352" i="1"/>
  <c r="AF352" i="1"/>
  <c r="AC352" i="1"/>
  <c r="AB352" i="1"/>
  <c r="Z352" i="1"/>
  <c r="Y352" i="1"/>
  <c r="U352" i="1"/>
  <c r="AG369" i="1"/>
  <c r="AC369" i="1"/>
  <c r="AB369" i="1"/>
  <c r="Z369" i="1"/>
  <c r="AF369" i="1"/>
  <c r="AG368" i="1"/>
  <c r="AF368" i="1"/>
  <c r="AC368" i="1"/>
  <c r="AB368" i="1"/>
  <c r="Z368" i="1"/>
  <c r="Y368" i="1"/>
  <c r="U368" i="1"/>
  <c r="T206" i="1"/>
  <c r="T71" i="1"/>
  <c r="AA48" i="1" l="1"/>
  <c r="AD272" i="1"/>
  <c r="AD51" i="1"/>
  <c r="AD352" i="1"/>
  <c r="AA273" i="1"/>
  <c r="AA272" i="1"/>
  <c r="AD273" i="1"/>
  <c r="AA352" i="1"/>
  <c r="AD368" i="1"/>
  <c r="AA368" i="1"/>
  <c r="AD369" i="1"/>
  <c r="U369" i="1"/>
  <c r="Y369" i="1"/>
  <c r="AA369" i="1" s="1"/>
  <c r="AG71" i="1"/>
  <c r="AC71" i="1"/>
  <c r="AB71" i="1"/>
  <c r="Z71" i="1"/>
  <c r="U71" i="1"/>
  <c r="AF71" i="1"/>
  <c r="T229" i="1"/>
  <c r="AG350" i="1"/>
  <c r="AF350" i="1"/>
  <c r="AC350" i="1"/>
  <c r="AB350" i="1"/>
  <c r="Z350" i="1"/>
  <c r="Y350" i="1"/>
  <c r="U350" i="1"/>
  <c r="S322" i="1"/>
  <c r="AG323" i="1"/>
  <c r="AF323" i="1"/>
  <c r="AC323" i="1"/>
  <c r="AB323" i="1"/>
  <c r="Z323" i="1"/>
  <c r="Y323" i="1"/>
  <c r="U323" i="1"/>
  <c r="S312" i="1"/>
  <c r="AG314" i="1"/>
  <c r="AF314" i="1"/>
  <c r="AC314" i="1"/>
  <c r="AB314" i="1"/>
  <c r="Z314" i="1"/>
  <c r="Y314" i="1"/>
  <c r="U314" i="1"/>
  <c r="S275" i="1"/>
  <c r="T179" i="1"/>
  <c r="S192" i="1"/>
  <c r="U192" i="1" s="1"/>
  <c r="S56" i="1"/>
  <c r="S64" i="1"/>
  <c r="S108" i="1"/>
  <c r="T64" i="1"/>
  <c r="T108" i="1"/>
  <c r="AG313" i="1"/>
  <c r="AF313" i="1"/>
  <c r="AC313" i="1"/>
  <c r="AB313" i="1"/>
  <c r="Z313" i="1"/>
  <c r="Y313" i="1"/>
  <c r="U313" i="1"/>
  <c r="S45" i="1"/>
  <c r="S44" i="1" s="1"/>
  <c r="T45" i="1"/>
  <c r="R44" i="1"/>
  <c r="AG192" i="1"/>
  <c r="AC192" i="1"/>
  <c r="AB192" i="1"/>
  <c r="Z192" i="1"/>
  <c r="U347" i="1"/>
  <c r="S126" i="1"/>
  <c r="AD71" i="1" l="1"/>
  <c r="Y71" i="1"/>
  <c r="AA71" i="1" s="1"/>
  <c r="AD350" i="1"/>
  <c r="AA350" i="1"/>
  <c r="AD323" i="1"/>
  <c r="AA323" i="1"/>
  <c r="Y192" i="1"/>
  <c r="AA192" i="1" s="1"/>
  <c r="AF192" i="1"/>
  <c r="AA314" i="1"/>
  <c r="AD314" i="1"/>
  <c r="S191" i="1"/>
  <c r="AD313" i="1"/>
  <c r="AA313" i="1"/>
  <c r="AD192" i="1"/>
  <c r="S22" i="1"/>
  <c r="S330" i="1"/>
  <c r="T365" i="1"/>
  <c r="Z365" i="1" s="1"/>
  <c r="S365" i="1"/>
  <c r="S363" i="1" s="1"/>
  <c r="AG278" i="1"/>
  <c r="AF278" i="1"/>
  <c r="AC278" i="1"/>
  <c r="AB278" i="1"/>
  <c r="Z278" i="1"/>
  <c r="Y278" i="1"/>
  <c r="U278" i="1"/>
  <c r="AG277" i="1"/>
  <c r="AF277" i="1"/>
  <c r="AC277" i="1"/>
  <c r="AB277" i="1"/>
  <c r="Z277" i="1"/>
  <c r="Y277" i="1"/>
  <c r="U277" i="1"/>
  <c r="T331" i="1"/>
  <c r="Z331" i="1" s="1"/>
  <c r="AG332" i="1"/>
  <c r="AF332" i="1"/>
  <c r="AC332" i="1"/>
  <c r="AB332" i="1"/>
  <c r="Z332" i="1"/>
  <c r="Y332" i="1"/>
  <c r="U332" i="1"/>
  <c r="AG331" i="1"/>
  <c r="AC331" i="1"/>
  <c r="AB331" i="1"/>
  <c r="S302" i="1"/>
  <c r="AG303" i="1"/>
  <c r="AF303" i="1"/>
  <c r="AC303" i="1"/>
  <c r="AB303" i="1"/>
  <c r="Z303" i="1"/>
  <c r="Y303" i="1"/>
  <c r="U303" i="1"/>
  <c r="AG348" i="1"/>
  <c r="AF348" i="1"/>
  <c r="AC348" i="1"/>
  <c r="AB348" i="1"/>
  <c r="Z348" i="1"/>
  <c r="Y348" i="1"/>
  <c r="U348" i="1"/>
  <c r="AG349" i="1"/>
  <c r="AF349" i="1"/>
  <c r="AC349" i="1"/>
  <c r="AB349" i="1"/>
  <c r="Z349" i="1"/>
  <c r="Y349" i="1"/>
  <c r="U349" i="1"/>
  <c r="S308" i="1"/>
  <c r="AG309" i="1"/>
  <c r="AF309" i="1"/>
  <c r="AC309" i="1"/>
  <c r="AB309" i="1"/>
  <c r="Z309" i="1"/>
  <c r="Y309" i="1"/>
  <c r="U309" i="1"/>
  <c r="S300" i="1"/>
  <c r="AG301" i="1"/>
  <c r="AF301" i="1"/>
  <c r="AC301" i="1"/>
  <c r="AB301" i="1"/>
  <c r="Z301" i="1"/>
  <c r="Y301" i="1"/>
  <c r="U301" i="1"/>
  <c r="AG59" i="1"/>
  <c r="AF59" i="1"/>
  <c r="AC59" i="1"/>
  <c r="AB59" i="1"/>
  <c r="Z59" i="1"/>
  <c r="Y59" i="1"/>
  <c r="U59" i="1"/>
  <c r="AG58" i="1"/>
  <c r="AF58" i="1"/>
  <c r="AC58" i="1"/>
  <c r="AB58" i="1"/>
  <c r="Z58" i="1"/>
  <c r="Y58" i="1"/>
  <c r="U58" i="1"/>
  <c r="AG340" i="1"/>
  <c r="AF340" i="1"/>
  <c r="AC340" i="1"/>
  <c r="AB340" i="1"/>
  <c r="Z340" i="1"/>
  <c r="Y340" i="1"/>
  <c r="U340" i="1"/>
  <c r="AG365" i="1"/>
  <c r="AC365" i="1"/>
  <c r="AB365" i="1"/>
  <c r="S75" i="1"/>
  <c r="AF75" i="1" s="1"/>
  <c r="AG75" i="1"/>
  <c r="AC75" i="1"/>
  <c r="AB75" i="1"/>
  <c r="Z75" i="1"/>
  <c r="U365" i="1" l="1"/>
  <c r="Y365" i="1"/>
  <c r="AA365" i="1" s="1"/>
  <c r="AD278" i="1"/>
  <c r="AF365" i="1"/>
  <c r="AA278" i="1"/>
  <c r="Y331" i="1"/>
  <c r="AA331" i="1" s="1"/>
  <c r="AD332" i="1"/>
  <c r="AA277" i="1"/>
  <c r="AD277" i="1"/>
  <c r="AA332" i="1"/>
  <c r="U331" i="1"/>
  <c r="AF331" i="1"/>
  <c r="AD331" i="1"/>
  <c r="AA348" i="1"/>
  <c r="AD348" i="1"/>
  <c r="AA303" i="1"/>
  <c r="AD303" i="1"/>
  <c r="AD349" i="1"/>
  <c r="AA349" i="1"/>
  <c r="AD309" i="1"/>
  <c r="AA309" i="1"/>
  <c r="AA58" i="1"/>
  <c r="AD301" i="1"/>
  <c r="AA301" i="1"/>
  <c r="AA59" i="1"/>
  <c r="AD59" i="1"/>
  <c r="AD58" i="1"/>
  <c r="AD75" i="1"/>
  <c r="AD365" i="1"/>
  <c r="AA340" i="1"/>
  <c r="AD340" i="1"/>
  <c r="S74" i="1"/>
  <c r="Y75" i="1"/>
  <c r="AA75" i="1" s="1"/>
  <c r="U75" i="1"/>
  <c r="S73" i="1" l="1"/>
  <c r="AG128" i="1" l="1"/>
  <c r="AF128" i="1"/>
  <c r="AC128" i="1"/>
  <c r="AB128" i="1"/>
  <c r="Z128" i="1"/>
  <c r="Y128" i="1"/>
  <c r="U128" i="1"/>
  <c r="AG129" i="1"/>
  <c r="AF129" i="1"/>
  <c r="AC129" i="1"/>
  <c r="AB129" i="1"/>
  <c r="Z129" i="1"/>
  <c r="Y129" i="1"/>
  <c r="U129" i="1"/>
  <c r="AG127" i="1"/>
  <c r="AF127" i="1"/>
  <c r="AC127" i="1"/>
  <c r="AB127" i="1"/>
  <c r="Z127" i="1"/>
  <c r="Y127" i="1"/>
  <c r="U127" i="1"/>
  <c r="S49" i="1"/>
  <c r="AG50" i="1"/>
  <c r="AF50" i="1"/>
  <c r="AC50" i="1"/>
  <c r="AB50" i="1"/>
  <c r="Z50" i="1"/>
  <c r="Y50" i="1"/>
  <c r="U50" i="1"/>
  <c r="AG52" i="1"/>
  <c r="AF52" i="1"/>
  <c r="AC52" i="1"/>
  <c r="AB52" i="1"/>
  <c r="Z52" i="1"/>
  <c r="Y52" i="1"/>
  <c r="U52" i="1"/>
  <c r="S54" i="1"/>
  <c r="S62" i="1"/>
  <c r="AD128" i="1" l="1"/>
  <c r="AA52" i="1"/>
  <c r="AD127" i="1"/>
  <c r="AD52" i="1"/>
  <c r="AA127" i="1"/>
  <c r="AA128" i="1"/>
  <c r="AA129" i="1"/>
  <c r="AA50" i="1"/>
  <c r="AD50" i="1"/>
  <c r="AD129" i="1"/>
  <c r="T138" i="1"/>
  <c r="S264" i="1"/>
  <c r="AG265" i="1"/>
  <c r="AF265" i="1"/>
  <c r="AC265" i="1"/>
  <c r="AB265" i="1"/>
  <c r="Z265" i="1"/>
  <c r="Y265" i="1"/>
  <c r="U265" i="1"/>
  <c r="S344" i="1"/>
  <c r="S281" i="1"/>
  <c r="AG282" i="1"/>
  <c r="AC282" i="1"/>
  <c r="AB282" i="1"/>
  <c r="Z282" i="1"/>
  <c r="Y282" i="1"/>
  <c r="U282" i="1"/>
  <c r="AF282" i="1"/>
  <c r="S295" i="1"/>
  <c r="AG57" i="1"/>
  <c r="AF57" i="1"/>
  <c r="AC57" i="1"/>
  <c r="AB57" i="1"/>
  <c r="Z57" i="1"/>
  <c r="Y57" i="1"/>
  <c r="U57" i="1"/>
  <c r="AG296" i="1"/>
  <c r="AF296" i="1"/>
  <c r="AC296" i="1"/>
  <c r="AB296" i="1"/>
  <c r="Z296" i="1"/>
  <c r="Y296" i="1"/>
  <c r="U296" i="1"/>
  <c r="S304" i="1"/>
  <c r="AF304" i="1" s="1"/>
  <c r="AG306" i="1"/>
  <c r="AF306" i="1"/>
  <c r="AC306" i="1"/>
  <c r="AB306" i="1"/>
  <c r="Z306" i="1"/>
  <c r="Y306" i="1"/>
  <c r="U306" i="1"/>
  <c r="AG305" i="1"/>
  <c r="AF305" i="1"/>
  <c r="AC305" i="1"/>
  <c r="AB305" i="1"/>
  <c r="Z305" i="1"/>
  <c r="Y305" i="1"/>
  <c r="U305" i="1"/>
  <c r="AF354" i="1"/>
  <c r="AG354" i="1"/>
  <c r="AF355" i="1"/>
  <c r="AG355" i="1"/>
  <c r="AF356" i="1"/>
  <c r="AG356" i="1"/>
  <c r="AG357" i="1"/>
  <c r="AF358" i="1"/>
  <c r="AG358" i="1"/>
  <c r="AF359" i="1"/>
  <c r="AG359" i="1"/>
  <c r="AF360" i="1"/>
  <c r="AG360" i="1"/>
  <c r="AF361" i="1"/>
  <c r="AG361" i="1"/>
  <c r="AF362" i="1"/>
  <c r="AG362" i="1"/>
  <c r="AG363" i="1"/>
  <c r="AF364" i="1"/>
  <c r="AG364" i="1"/>
  <c r="AF366" i="1"/>
  <c r="AG366" i="1"/>
  <c r="AF367" i="1"/>
  <c r="AG367" i="1"/>
  <c r="AF370" i="1"/>
  <c r="AG370" i="1"/>
  <c r="AF371" i="1"/>
  <c r="AG371" i="1"/>
  <c r="AF372" i="1"/>
  <c r="AG372" i="1"/>
  <c r="AF373" i="1"/>
  <c r="AG373" i="1"/>
  <c r="AF374" i="1"/>
  <c r="AG374" i="1"/>
  <c r="AF375" i="1"/>
  <c r="AG375" i="1"/>
  <c r="AF376" i="1"/>
  <c r="AG376" i="1"/>
  <c r="AF377" i="1"/>
  <c r="AG377" i="1"/>
  <c r="AF378" i="1"/>
  <c r="AG378" i="1"/>
  <c r="AF379" i="1"/>
  <c r="AG379" i="1"/>
  <c r="AF380" i="1"/>
  <c r="AG380" i="1"/>
  <c r="AF381" i="1"/>
  <c r="AG381" i="1"/>
  <c r="AF382" i="1"/>
  <c r="AG382" i="1"/>
  <c r="AF383" i="1"/>
  <c r="AG383" i="1"/>
  <c r="AF384" i="1"/>
  <c r="AG384" i="1"/>
  <c r="AF327" i="1"/>
  <c r="AG327" i="1"/>
  <c r="AF328" i="1"/>
  <c r="AG328" i="1"/>
  <c r="AF329" i="1"/>
  <c r="AG329" i="1"/>
  <c r="AF330" i="1"/>
  <c r="AG330" i="1"/>
  <c r="AF333" i="1"/>
  <c r="AG333" i="1"/>
  <c r="AG334" i="1"/>
  <c r="AF335" i="1"/>
  <c r="AG335" i="1"/>
  <c r="AF336" i="1"/>
  <c r="AG336" i="1"/>
  <c r="AF337" i="1"/>
  <c r="AG337" i="1"/>
  <c r="AG338" i="1"/>
  <c r="AF339" i="1"/>
  <c r="AG339" i="1"/>
  <c r="AF341" i="1"/>
  <c r="AG341" i="1"/>
  <c r="AF342" i="1"/>
  <c r="AG342" i="1"/>
  <c r="AF343" i="1"/>
  <c r="AG343" i="1"/>
  <c r="AG344" i="1"/>
  <c r="AF345" i="1"/>
  <c r="AG345" i="1"/>
  <c r="AF346" i="1"/>
  <c r="AG346" i="1"/>
  <c r="AF347" i="1"/>
  <c r="AG347" i="1"/>
  <c r="AF351" i="1"/>
  <c r="AG351" i="1"/>
  <c r="AG353" i="1"/>
  <c r="AF298" i="1"/>
  <c r="AG298" i="1"/>
  <c r="AF299" i="1"/>
  <c r="AG299" i="1"/>
  <c r="AF300" i="1"/>
  <c r="AG300" i="1"/>
  <c r="AF302" i="1"/>
  <c r="AG302" i="1"/>
  <c r="AG304" i="1"/>
  <c r="AF307" i="1"/>
  <c r="AG307" i="1"/>
  <c r="AF308" i="1"/>
  <c r="AG308" i="1"/>
  <c r="AF310" i="1"/>
  <c r="AG310" i="1"/>
  <c r="AF311" i="1"/>
  <c r="AG311" i="1"/>
  <c r="AF312" i="1"/>
  <c r="AG312" i="1"/>
  <c r="AF315" i="1"/>
  <c r="AG315" i="1"/>
  <c r="AF316" i="1"/>
  <c r="AG316" i="1"/>
  <c r="AF317" i="1"/>
  <c r="AG317" i="1"/>
  <c r="AF318" i="1"/>
  <c r="AG318" i="1"/>
  <c r="AF319" i="1"/>
  <c r="AG319" i="1"/>
  <c r="AF320" i="1"/>
  <c r="AG320" i="1"/>
  <c r="AF321" i="1"/>
  <c r="AG321" i="1"/>
  <c r="AF322" i="1"/>
  <c r="AG322" i="1"/>
  <c r="AF324" i="1"/>
  <c r="AG324" i="1"/>
  <c r="AG325" i="1"/>
  <c r="AF326" i="1"/>
  <c r="AG326" i="1"/>
  <c r="AF294" i="1"/>
  <c r="AG294" i="1"/>
  <c r="Y294" i="1"/>
  <c r="Z294" i="1"/>
  <c r="AB294" i="1"/>
  <c r="AC294" i="1"/>
  <c r="U339" i="1"/>
  <c r="U294" i="1"/>
  <c r="S293" i="1"/>
  <c r="AC339" i="1"/>
  <c r="AB339" i="1"/>
  <c r="Z339" i="1"/>
  <c r="Y339" i="1"/>
  <c r="S338" i="1"/>
  <c r="AF338" i="1" s="1"/>
  <c r="AF363" i="1"/>
  <c r="AC364" i="1"/>
  <c r="AB364" i="1"/>
  <c r="Z364" i="1"/>
  <c r="Y364" i="1"/>
  <c r="U364" i="1"/>
  <c r="S297" i="1"/>
  <c r="AC298" i="1"/>
  <c r="AB298" i="1"/>
  <c r="Z298" i="1"/>
  <c r="Y298" i="1"/>
  <c r="U298" i="1"/>
  <c r="AG290" i="1"/>
  <c r="AF290" i="1"/>
  <c r="AC290" i="1"/>
  <c r="AB290" i="1"/>
  <c r="Z290" i="1"/>
  <c r="Y290" i="1"/>
  <c r="U290" i="1"/>
  <c r="AG289" i="1"/>
  <c r="AF289" i="1"/>
  <c r="AC289" i="1"/>
  <c r="AB289" i="1"/>
  <c r="Z289" i="1"/>
  <c r="Y289" i="1"/>
  <c r="U289" i="1"/>
  <c r="AG288" i="1"/>
  <c r="AF288" i="1"/>
  <c r="AC288" i="1"/>
  <c r="AB288" i="1"/>
  <c r="Z288" i="1"/>
  <c r="Y288" i="1"/>
  <c r="U288" i="1"/>
  <c r="AC370" i="1"/>
  <c r="AB370" i="1"/>
  <c r="Z370" i="1"/>
  <c r="Y370" i="1"/>
  <c r="U370" i="1"/>
  <c r="AG43" i="1"/>
  <c r="AF43" i="1"/>
  <c r="AC43" i="1"/>
  <c r="AB43" i="1"/>
  <c r="Z43" i="1"/>
  <c r="Y43" i="1"/>
  <c r="U43" i="1"/>
  <c r="AA288" i="1" l="1"/>
  <c r="AA339" i="1"/>
  <c r="AA282" i="1"/>
  <c r="AD265" i="1"/>
  <c r="AA265" i="1"/>
  <c r="AA57" i="1"/>
  <c r="AD57" i="1"/>
  <c r="AD282" i="1"/>
  <c r="AA306" i="1"/>
  <c r="AD296" i="1"/>
  <c r="AA296" i="1"/>
  <c r="AD306" i="1"/>
  <c r="AD339" i="1"/>
  <c r="AD305" i="1"/>
  <c r="AA305" i="1"/>
  <c r="AA294" i="1"/>
  <c r="AD294" i="1"/>
  <c r="AA43" i="1"/>
  <c r="AA290" i="1"/>
  <c r="AA364" i="1"/>
  <c r="AD364" i="1"/>
  <c r="AA298" i="1"/>
  <c r="AA289" i="1"/>
  <c r="AD298" i="1"/>
  <c r="AD289" i="1"/>
  <c r="AD290" i="1"/>
  <c r="AD288" i="1"/>
  <c r="AD43" i="1"/>
  <c r="AA370" i="1"/>
  <c r="AD370" i="1"/>
  <c r="AG73" i="1"/>
  <c r="AC73" i="1"/>
  <c r="AB73" i="1"/>
  <c r="Z73" i="1"/>
  <c r="AF73" i="1"/>
  <c r="AG279" i="1"/>
  <c r="AF279" i="1"/>
  <c r="AC279" i="1"/>
  <c r="AB279" i="1"/>
  <c r="Z279" i="1"/>
  <c r="Y279" i="1"/>
  <c r="U279" i="1"/>
  <c r="AG276" i="1"/>
  <c r="AF276" i="1"/>
  <c r="AC276" i="1"/>
  <c r="AB276" i="1"/>
  <c r="Z276" i="1"/>
  <c r="Y276" i="1"/>
  <c r="U276" i="1"/>
  <c r="AD73" i="1" l="1"/>
  <c r="S72" i="1"/>
  <c r="S70" i="1" s="1"/>
  <c r="U73" i="1"/>
  <c r="Y73" i="1"/>
  <c r="AA73" i="1" s="1"/>
  <c r="AA279" i="1"/>
  <c r="AD276" i="1"/>
  <c r="AA276" i="1"/>
  <c r="AD279" i="1"/>
  <c r="AG28" i="1" l="1"/>
  <c r="AF28" i="1"/>
  <c r="AC28" i="1"/>
  <c r="AB28" i="1"/>
  <c r="Z28" i="1"/>
  <c r="Y28" i="1"/>
  <c r="U28" i="1"/>
  <c r="AG27" i="1"/>
  <c r="AF27" i="1"/>
  <c r="AC27" i="1"/>
  <c r="AB27" i="1"/>
  <c r="Z27" i="1"/>
  <c r="Y27" i="1"/>
  <c r="U27" i="1"/>
  <c r="S148" i="1"/>
  <c r="S147" i="1" s="1"/>
  <c r="AG149" i="1"/>
  <c r="AF149" i="1"/>
  <c r="AC149" i="1"/>
  <c r="AB149" i="1"/>
  <c r="Z149" i="1"/>
  <c r="Y149" i="1"/>
  <c r="U149" i="1"/>
  <c r="AG148" i="1"/>
  <c r="AC148" i="1"/>
  <c r="AB148" i="1"/>
  <c r="Z148" i="1"/>
  <c r="S137" i="1"/>
  <c r="AG139" i="1"/>
  <c r="AF139" i="1"/>
  <c r="AC139" i="1"/>
  <c r="AB139" i="1"/>
  <c r="Y139" i="1"/>
  <c r="Z139" i="1"/>
  <c r="AG138" i="1"/>
  <c r="AF138" i="1"/>
  <c r="AC138" i="1"/>
  <c r="AB138" i="1"/>
  <c r="Y138" i="1"/>
  <c r="Z138" i="1"/>
  <c r="T334" i="1"/>
  <c r="S353" i="1"/>
  <c r="AF353" i="1" s="1"/>
  <c r="AC355" i="1"/>
  <c r="AB355" i="1"/>
  <c r="Z355" i="1"/>
  <c r="Y355" i="1"/>
  <c r="U355" i="1"/>
  <c r="AG287" i="1"/>
  <c r="AF287" i="1"/>
  <c r="AC287" i="1"/>
  <c r="AB287" i="1"/>
  <c r="Z287" i="1"/>
  <c r="Y287" i="1"/>
  <c r="U287" i="1"/>
  <c r="S284" i="1"/>
  <c r="AG286" i="1"/>
  <c r="AF286" i="1"/>
  <c r="AC286" i="1"/>
  <c r="AB286" i="1"/>
  <c r="Z286" i="1"/>
  <c r="Y286" i="1"/>
  <c r="U286" i="1"/>
  <c r="AD27" i="1" l="1"/>
  <c r="U148" i="1"/>
  <c r="AF148" i="1"/>
  <c r="AA28" i="1"/>
  <c r="Y148" i="1"/>
  <c r="AA148" i="1" s="1"/>
  <c r="AD148" i="1"/>
  <c r="AA27" i="1"/>
  <c r="AD28" i="1"/>
  <c r="AA149" i="1"/>
  <c r="AD149" i="1"/>
  <c r="AD139" i="1"/>
  <c r="AA139" i="1"/>
  <c r="U139" i="1"/>
  <c r="AD138" i="1"/>
  <c r="AA138" i="1"/>
  <c r="U138" i="1"/>
  <c r="AD355" i="1"/>
  <c r="AA355" i="1"/>
  <c r="AA286" i="1"/>
  <c r="AA287" i="1"/>
  <c r="AD287" i="1"/>
  <c r="AD286" i="1"/>
  <c r="S357" i="1"/>
  <c r="AF357" i="1" s="1"/>
  <c r="AC358" i="1"/>
  <c r="AB358" i="1"/>
  <c r="Z358" i="1"/>
  <c r="Y358" i="1"/>
  <c r="U358" i="1"/>
  <c r="S291" i="1"/>
  <c r="AG292" i="1"/>
  <c r="AF292" i="1"/>
  <c r="AC292" i="1"/>
  <c r="AB292" i="1"/>
  <c r="Z292" i="1"/>
  <c r="Y292" i="1"/>
  <c r="U292" i="1"/>
  <c r="AG285" i="1"/>
  <c r="AF285" i="1"/>
  <c r="AC285" i="1"/>
  <c r="AB285" i="1"/>
  <c r="Z285" i="1"/>
  <c r="Y285" i="1"/>
  <c r="U285" i="1"/>
  <c r="AC354" i="1"/>
  <c r="AB354" i="1"/>
  <c r="Z354" i="1"/>
  <c r="Y354" i="1"/>
  <c r="U354" i="1"/>
  <c r="S325" i="1"/>
  <c r="AF325" i="1" s="1"/>
  <c r="AC327" i="1"/>
  <c r="AB327" i="1"/>
  <c r="Z327" i="1"/>
  <c r="Y327" i="1"/>
  <c r="U327" i="1"/>
  <c r="AC326" i="1"/>
  <c r="AB326" i="1"/>
  <c r="Z326" i="1"/>
  <c r="Y326" i="1"/>
  <c r="U326" i="1"/>
  <c r="AD285" i="1" l="1"/>
  <c r="AD358" i="1"/>
  <c r="AA292" i="1"/>
  <c r="AA358" i="1"/>
  <c r="AD292" i="1"/>
  <c r="AD327" i="1"/>
  <c r="AA285" i="1"/>
  <c r="AA354" i="1"/>
  <c r="AD354" i="1"/>
  <c r="AA327" i="1"/>
  <c r="AA326" i="1"/>
  <c r="AD326" i="1"/>
  <c r="AG109" i="1"/>
  <c r="AF109" i="1"/>
  <c r="AC109" i="1"/>
  <c r="AB109" i="1"/>
  <c r="Z109" i="1"/>
  <c r="Y109" i="1"/>
  <c r="U109" i="1"/>
  <c r="S106" i="1"/>
  <c r="AG108" i="1"/>
  <c r="AF108" i="1"/>
  <c r="AC108" i="1"/>
  <c r="AB108" i="1"/>
  <c r="Z108" i="1"/>
  <c r="Y108" i="1"/>
  <c r="U108" i="1"/>
  <c r="AG110" i="1"/>
  <c r="AF110" i="1"/>
  <c r="AC110" i="1"/>
  <c r="AB110" i="1"/>
  <c r="Z110" i="1"/>
  <c r="Y110" i="1"/>
  <c r="U110" i="1"/>
  <c r="AG107" i="1"/>
  <c r="AF107" i="1"/>
  <c r="AC107" i="1"/>
  <c r="AB107" i="1"/>
  <c r="Z107" i="1"/>
  <c r="Y107" i="1"/>
  <c r="U107" i="1"/>
  <c r="AG74" i="1"/>
  <c r="AC74" i="1"/>
  <c r="AB74" i="1"/>
  <c r="Z74" i="1"/>
  <c r="U74" i="1"/>
  <c r="AF74" i="1"/>
  <c r="AG72" i="1"/>
  <c r="AF72" i="1"/>
  <c r="AC72" i="1"/>
  <c r="AB72" i="1"/>
  <c r="Z72" i="1"/>
  <c r="U72" i="1"/>
  <c r="Y72" i="1"/>
  <c r="AD110" i="1" l="1"/>
  <c r="AD107" i="1"/>
  <c r="AA107" i="1"/>
  <c r="AA108" i="1"/>
  <c r="AA109" i="1"/>
  <c r="AD109" i="1"/>
  <c r="AD108" i="1"/>
  <c r="AD72" i="1"/>
  <c r="AA110" i="1"/>
  <c r="AD74" i="1"/>
  <c r="AA72" i="1"/>
  <c r="Y74" i="1"/>
  <c r="AA74" i="1" s="1"/>
  <c r="AG65" i="1" l="1"/>
  <c r="AF65" i="1"/>
  <c r="AC65" i="1"/>
  <c r="AB65" i="1"/>
  <c r="Z65" i="1"/>
  <c r="Y65" i="1"/>
  <c r="U65" i="1"/>
  <c r="AG64" i="1"/>
  <c r="AF64" i="1"/>
  <c r="AC64" i="1"/>
  <c r="AB64" i="1"/>
  <c r="Z64" i="1"/>
  <c r="Y64" i="1"/>
  <c r="U64" i="1"/>
  <c r="AA64" i="1" l="1"/>
  <c r="AD64" i="1"/>
  <c r="AA65" i="1"/>
  <c r="AD65" i="1"/>
  <c r="S244" i="1"/>
  <c r="AG245" i="1"/>
  <c r="AF245" i="1"/>
  <c r="AC245" i="1"/>
  <c r="AB245" i="1"/>
  <c r="Z245" i="1"/>
  <c r="Y245" i="1"/>
  <c r="U245" i="1"/>
  <c r="O29" i="1"/>
  <c r="P26" i="1"/>
  <c r="O26" i="1"/>
  <c r="S29" i="1"/>
  <c r="AG30" i="1"/>
  <c r="AF30" i="1"/>
  <c r="AC30" i="1"/>
  <c r="AB30" i="1"/>
  <c r="Z30" i="1"/>
  <c r="Y30" i="1"/>
  <c r="U30" i="1"/>
  <c r="AD245" i="1" l="1"/>
  <c r="AA245" i="1"/>
  <c r="AA30" i="1"/>
  <c r="AD30" i="1"/>
  <c r="AG92" i="1"/>
  <c r="AF92" i="1"/>
  <c r="AC92" i="1"/>
  <c r="AB92" i="1"/>
  <c r="Z92" i="1"/>
  <c r="Y92" i="1"/>
  <c r="U92" i="1"/>
  <c r="AG91" i="1"/>
  <c r="AF91" i="1"/>
  <c r="AC91" i="1"/>
  <c r="AB91" i="1"/>
  <c r="Z91" i="1"/>
  <c r="Y91" i="1"/>
  <c r="U91" i="1"/>
  <c r="AG90" i="1"/>
  <c r="AF90" i="1"/>
  <c r="AC90" i="1"/>
  <c r="AB90" i="1"/>
  <c r="Z90" i="1"/>
  <c r="Y90" i="1"/>
  <c r="U90" i="1"/>
  <c r="AG89" i="1"/>
  <c r="AF89" i="1"/>
  <c r="AC89" i="1"/>
  <c r="AB89" i="1"/>
  <c r="Z89" i="1"/>
  <c r="Y89" i="1"/>
  <c r="U89" i="1"/>
  <c r="AG88" i="1"/>
  <c r="AF88" i="1"/>
  <c r="AC88" i="1"/>
  <c r="AB88" i="1"/>
  <c r="Z88" i="1"/>
  <c r="Y88" i="1"/>
  <c r="U88" i="1"/>
  <c r="AG87" i="1"/>
  <c r="AF87" i="1"/>
  <c r="AC87" i="1"/>
  <c r="AB87" i="1"/>
  <c r="Z87" i="1"/>
  <c r="Y87" i="1"/>
  <c r="U87" i="1"/>
  <c r="AG86" i="1"/>
  <c r="AF86" i="1"/>
  <c r="AC86" i="1"/>
  <c r="AB86" i="1"/>
  <c r="Z86" i="1"/>
  <c r="Y86" i="1"/>
  <c r="U86" i="1"/>
  <c r="AG85" i="1"/>
  <c r="AF85" i="1"/>
  <c r="AC85" i="1"/>
  <c r="AB85" i="1"/>
  <c r="Z85" i="1"/>
  <c r="Y85" i="1"/>
  <c r="U85" i="1"/>
  <c r="AG84" i="1"/>
  <c r="AF84" i="1"/>
  <c r="AC84" i="1"/>
  <c r="AB84" i="1"/>
  <c r="Z84" i="1"/>
  <c r="Y84" i="1"/>
  <c r="U84" i="1"/>
  <c r="AG83" i="1"/>
  <c r="AF83" i="1"/>
  <c r="AC83" i="1"/>
  <c r="AB83" i="1"/>
  <c r="Z83" i="1"/>
  <c r="Y83" i="1"/>
  <c r="U83" i="1"/>
  <c r="AG82" i="1"/>
  <c r="AF82" i="1"/>
  <c r="AC82" i="1"/>
  <c r="AB82" i="1"/>
  <c r="Z82" i="1"/>
  <c r="Y82" i="1"/>
  <c r="U82" i="1"/>
  <c r="AG81" i="1"/>
  <c r="AF81" i="1"/>
  <c r="AC81" i="1"/>
  <c r="AB81" i="1"/>
  <c r="Z81" i="1"/>
  <c r="Y81" i="1"/>
  <c r="U81" i="1"/>
  <c r="AG80" i="1"/>
  <c r="AF80" i="1"/>
  <c r="AC80" i="1"/>
  <c r="AB80" i="1"/>
  <c r="Z80" i="1"/>
  <c r="Y80" i="1"/>
  <c r="U80" i="1"/>
  <c r="AG119" i="1"/>
  <c r="AF119" i="1"/>
  <c r="AC119" i="1"/>
  <c r="AB119" i="1"/>
  <c r="Z119" i="1"/>
  <c r="Y119" i="1"/>
  <c r="U119" i="1"/>
  <c r="AG118" i="1"/>
  <c r="AF118" i="1"/>
  <c r="AC118" i="1"/>
  <c r="AB118" i="1"/>
  <c r="Z118" i="1"/>
  <c r="Y118" i="1"/>
  <c r="U118" i="1"/>
  <c r="AG117" i="1"/>
  <c r="AF117" i="1"/>
  <c r="AC117" i="1"/>
  <c r="AB117" i="1"/>
  <c r="Z117" i="1"/>
  <c r="Y117" i="1"/>
  <c r="U117" i="1"/>
  <c r="AG116" i="1"/>
  <c r="AF116" i="1"/>
  <c r="AC116" i="1"/>
  <c r="AB116" i="1"/>
  <c r="Z116" i="1"/>
  <c r="Y116" i="1"/>
  <c r="U116" i="1"/>
  <c r="AG115" i="1"/>
  <c r="AF115" i="1"/>
  <c r="AC115" i="1"/>
  <c r="AB115" i="1"/>
  <c r="Z115" i="1"/>
  <c r="Y115" i="1"/>
  <c r="U115" i="1"/>
  <c r="AG114" i="1"/>
  <c r="AF114" i="1"/>
  <c r="AC114" i="1"/>
  <c r="AB114" i="1"/>
  <c r="Z114" i="1"/>
  <c r="Y114" i="1"/>
  <c r="U114" i="1"/>
  <c r="AG113" i="1"/>
  <c r="AF113" i="1"/>
  <c r="AC113" i="1"/>
  <c r="AB113" i="1"/>
  <c r="Z113" i="1"/>
  <c r="Y113" i="1"/>
  <c r="U113" i="1"/>
  <c r="AG112" i="1"/>
  <c r="AF112" i="1"/>
  <c r="AC112" i="1"/>
  <c r="AB112" i="1"/>
  <c r="Z112" i="1"/>
  <c r="Y112" i="1"/>
  <c r="U112" i="1"/>
  <c r="AG111" i="1"/>
  <c r="AF111" i="1"/>
  <c r="AC111" i="1"/>
  <c r="AB111" i="1"/>
  <c r="Z111" i="1"/>
  <c r="Y111" i="1"/>
  <c r="U111" i="1"/>
  <c r="AG106" i="1"/>
  <c r="AF106" i="1"/>
  <c r="AC106" i="1"/>
  <c r="AB106" i="1"/>
  <c r="Z106" i="1"/>
  <c r="Y106" i="1"/>
  <c r="U106" i="1"/>
  <c r="AG105" i="1"/>
  <c r="AF105" i="1"/>
  <c r="AC105" i="1"/>
  <c r="AB105" i="1"/>
  <c r="Z105" i="1"/>
  <c r="Y105" i="1"/>
  <c r="U105" i="1"/>
  <c r="AG104" i="1"/>
  <c r="AF104" i="1"/>
  <c r="AC104" i="1"/>
  <c r="AB104" i="1"/>
  <c r="Z104" i="1"/>
  <c r="Y104" i="1"/>
  <c r="U104" i="1"/>
  <c r="AG103" i="1"/>
  <c r="AF103" i="1"/>
  <c r="AC103" i="1"/>
  <c r="AB103" i="1"/>
  <c r="Z103" i="1"/>
  <c r="Y103" i="1"/>
  <c r="U103" i="1"/>
  <c r="AG102" i="1"/>
  <c r="AF102" i="1"/>
  <c r="AC102" i="1"/>
  <c r="AB102" i="1"/>
  <c r="Z102" i="1"/>
  <c r="Y102" i="1"/>
  <c r="U102" i="1"/>
  <c r="AF344" i="1"/>
  <c r="R353" i="1"/>
  <c r="S334" i="1"/>
  <c r="AF334" i="1" s="1"/>
  <c r="R344" i="1"/>
  <c r="AD105" i="1" l="1"/>
  <c r="AD119" i="1"/>
  <c r="AD81" i="1"/>
  <c r="AD85" i="1"/>
  <c r="AA102" i="1"/>
  <c r="AA118" i="1"/>
  <c r="AA80" i="1"/>
  <c r="AA82" i="1"/>
  <c r="AA84" i="1"/>
  <c r="AA88" i="1"/>
  <c r="AD115" i="1"/>
  <c r="AA86" i="1"/>
  <c r="AA90" i="1"/>
  <c r="AD87" i="1"/>
  <c r="AA105" i="1"/>
  <c r="AA89" i="1"/>
  <c r="AD90" i="1"/>
  <c r="AD92" i="1"/>
  <c r="AA106" i="1"/>
  <c r="AD89" i="1"/>
  <c r="AA91" i="1"/>
  <c r="AD106" i="1"/>
  <c r="AD82" i="1"/>
  <c r="AD84" i="1"/>
  <c r="AA92" i="1"/>
  <c r="AA117" i="1"/>
  <c r="AA85" i="1"/>
  <c r="AA87" i="1"/>
  <c r="AA81" i="1"/>
  <c r="AA83" i="1"/>
  <c r="AD86" i="1"/>
  <c r="AD83" i="1"/>
  <c r="AD80" i="1"/>
  <c r="AD91" i="1"/>
  <c r="AD88" i="1"/>
  <c r="AD103" i="1"/>
  <c r="AA115" i="1"/>
  <c r="AA112" i="1"/>
  <c r="AD116" i="1"/>
  <c r="AD102" i="1"/>
  <c r="AA114" i="1"/>
  <c r="AD118" i="1"/>
  <c r="AA113" i="1"/>
  <c r="AD117" i="1"/>
  <c r="AD114" i="1"/>
  <c r="AA104" i="1"/>
  <c r="AD112" i="1"/>
  <c r="AD113" i="1"/>
  <c r="AA103" i="1"/>
  <c r="AD111" i="1"/>
  <c r="AA119" i="1"/>
  <c r="AA116" i="1"/>
  <c r="AD104" i="1"/>
  <c r="AA111" i="1"/>
  <c r="R70" i="1" l="1"/>
  <c r="AG39" i="1" l="1"/>
  <c r="AF39" i="1"/>
  <c r="AC39" i="1"/>
  <c r="AB39" i="1"/>
  <c r="Z39" i="1"/>
  <c r="Y39" i="1"/>
  <c r="U39" i="1"/>
  <c r="S145" i="1"/>
  <c r="R145" i="1"/>
  <c r="R268" i="1" s="1"/>
  <c r="S41" i="1"/>
  <c r="S268" i="1" s="1"/>
  <c r="AD39" i="1" l="1"/>
  <c r="AA39" i="1"/>
  <c r="AC347" i="1"/>
  <c r="AB347" i="1"/>
  <c r="Z347" i="1"/>
  <c r="Y347" i="1"/>
  <c r="AC351" i="1"/>
  <c r="AB351" i="1"/>
  <c r="Z351" i="1"/>
  <c r="Y351" i="1"/>
  <c r="U351" i="1"/>
  <c r="AC346" i="1"/>
  <c r="AB346" i="1"/>
  <c r="Z346" i="1"/>
  <c r="Y346" i="1"/>
  <c r="U346" i="1"/>
  <c r="AC345" i="1"/>
  <c r="AB345" i="1"/>
  <c r="Z345" i="1"/>
  <c r="Y345" i="1"/>
  <c r="U345" i="1"/>
  <c r="AC63" i="1"/>
  <c r="AG66" i="1"/>
  <c r="AF66" i="1"/>
  <c r="AC66" i="1"/>
  <c r="AB66" i="1"/>
  <c r="Z66" i="1"/>
  <c r="Y66" i="1"/>
  <c r="U66" i="1"/>
  <c r="AG63" i="1"/>
  <c r="Z63" i="1"/>
  <c r="Y63" i="1"/>
  <c r="AD66" i="1" l="1"/>
  <c r="AD347" i="1"/>
  <c r="AA351" i="1"/>
  <c r="AA346" i="1"/>
  <c r="AA345" i="1"/>
  <c r="AD345" i="1"/>
  <c r="AA347" i="1"/>
  <c r="AD346" i="1"/>
  <c r="AD351" i="1"/>
  <c r="AA66" i="1"/>
  <c r="AB63" i="1"/>
  <c r="AD63" i="1" s="1"/>
  <c r="AF63" i="1"/>
  <c r="U63" i="1"/>
  <c r="AA63" i="1"/>
  <c r="AG269" i="1" l="1"/>
  <c r="AC269" i="1"/>
  <c r="AB269" i="1"/>
  <c r="Z269" i="1"/>
  <c r="U269" i="1"/>
  <c r="Y269" i="1"/>
  <c r="AA269" i="1" l="1"/>
  <c r="AD269" i="1"/>
  <c r="AF269" i="1"/>
  <c r="AG76" i="1" l="1"/>
  <c r="AF76" i="1"/>
  <c r="AC76" i="1"/>
  <c r="AB76" i="1"/>
  <c r="Z76" i="1"/>
  <c r="Y76" i="1"/>
  <c r="U76" i="1"/>
  <c r="AG62" i="1"/>
  <c r="AF62" i="1"/>
  <c r="AC62" i="1"/>
  <c r="AB62" i="1"/>
  <c r="Z62" i="1"/>
  <c r="Y62" i="1"/>
  <c r="U62" i="1"/>
  <c r="AG61" i="1"/>
  <c r="AF61" i="1"/>
  <c r="AC61" i="1"/>
  <c r="AB61" i="1"/>
  <c r="Z61" i="1"/>
  <c r="Y61" i="1"/>
  <c r="U61" i="1"/>
  <c r="AD62" i="1" l="1"/>
  <c r="AA76" i="1"/>
  <c r="AA62" i="1"/>
  <c r="AD76" i="1"/>
  <c r="AD61" i="1"/>
  <c r="AA61" i="1"/>
  <c r="AG21" i="1" l="1"/>
  <c r="AG22" i="1"/>
  <c r="AG23" i="1"/>
  <c r="AG24" i="1"/>
  <c r="AG25" i="1"/>
  <c r="AG26" i="1"/>
  <c r="AG29" i="1"/>
  <c r="AG31" i="1"/>
  <c r="AG32" i="1"/>
  <c r="AG33" i="1"/>
  <c r="AG34" i="1"/>
  <c r="AG35" i="1"/>
  <c r="AG36" i="1"/>
  <c r="AG37" i="1"/>
  <c r="AG38" i="1"/>
  <c r="AG40" i="1"/>
  <c r="AG41" i="1"/>
  <c r="AG42" i="1"/>
  <c r="AG44" i="1"/>
  <c r="AG45" i="1"/>
  <c r="AG46" i="1"/>
  <c r="AG49" i="1"/>
  <c r="AG53" i="1"/>
  <c r="AG54" i="1"/>
  <c r="AG55" i="1"/>
  <c r="AG56" i="1"/>
  <c r="AG60" i="1"/>
  <c r="AG67" i="1"/>
  <c r="AG68" i="1"/>
  <c r="AG69" i="1"/>
  <c r="AG70" i="1"/>
  <c r="AG77" i="1"/>
  <c r="AG78" i="1"/>
  <c r="AG79" i="1"/>
  <c r="AG93" i="1"/>
  <c r="AG94" i="1"/>
  <c r="AG95" i="1"/>
  <c r="AG96" i="1"/>
  <c r="AG97" i="1"/>
  <c r="AG98" i="1"/>
  <c r="AG99" i="1"/>
  <c r="AG100" i="1"/>
  <c r="AG101" i="1"/>
  <c r="AG120" i="1"/>
  <c r="AG121" i="1"/>
  <c r="AG122" i="1"/>
  <c r="AG123" i="1"/>
  <c r="AG124" i="1"/>
  <c r="AG125" i="1"/>
  <c r="AG126" i="1"/>
  <c r="AG130" i="1"/>
  <c r="AG131" i="1"/>
  <c r="AG132" i="1"/>
  <c r="AG133" i="1"/>
  <c r="AG134" i="1"/>
  <c r="AG135" i="1"/>
  <c r="AG136" i="1"/>
  <c r="AG137" i="1"/>
  <c r="AG140" i="1"/>
  <c r="AG141" i="1"/>
  <c r="AG142" i="1"/>
  <c r="AG143" i="1"/>
  <c r="AG144" i="1"/>
  <c r="AG145" i="1"/>
  <c r="AG146" i="1"/>
  <c r="AG147"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9" i="1"/>
  <c r="AG230" i="1"/>
  <c r="AG231" i="1"/>
  <c r="AG232" i="1"/>
  <c r="AG233" i="1"/>
  <c r="AG234" i="1"/>
  <c r="AG235" i="1"/>
  <c r="AG236" i="1"/>
  <c r="AG237" i="1"/>
  <c r="AG238" i="1"/>
  <c r="AG239" i="1"/>
  <c r="AG240" i="1"/>
  <c r="AG241" i="1"/>
  <c r="AG243" i="1"/>
  <c r="AG244" i="1"/>
  <c r="AG246" i="1"/>
  <c r="AG247" i="1"/>
  <c r="AG248" i="1"/>
  <c r="AG249" i="1"/>
  <c r="AG250" i="1"/>
  <c r="AG251" i="1"/>
  <c r="AG252" i="1"/>
  <c r="AG253" i="1"/>
  <c r="AG254" i="1"/>
  <c r="AG255" i="1"/>
  <c r="AG256" i="1"/>
  <c r="AG257" i="1"/>
  <c r="AG258" i="1"/>
  <c r="AG259" i="1"/>
  <c r="AG260" i="1"/>
  <c r="AG261" i="1"/>
  <c r="AG262" i="1"/>
  <c r="AG263" i="1"/>
  <c r="AG264" i="1"/>
  <c r="AG266" i="1"/>
  <c r="AG267" i="1"/>
  <c r="AG18" i="1"/>
  <c r="AG19" i="1"/>
  <c r="AF20" i="1"/>
  <c r="AF21" i="1"/>
  <c r="AF22" i="1"/>
  <c r="AF23" i="1"/>
  <c r="AF24" i="1"/>
  <c r="AF25" i="1"/>
  <c r="AF26" i="1"/>
  <c r="AF29" i="1"/>
  <c r="AF31" i="1"/>
  <c r="AF32" i="1"/>
  <c r="AF33" i="1"/>
  <c r="AF34" i="1"/>
  <c r="AF35" i="1"/>
  <c r="AF36" i="1"/>
  <c r="AF37" i="1"/>
  <c r="AF38" i="1"/>
  <c r="AF40" i="1"/>
  <c r="AF41" i="1"/>
  <c r="AF42" i="1"/>
  <c r="AF44" i="1"/>
  <c r="AF45" i="1"/>
  <c r="AF46" i="1"/>
  <c r="AF49" i="1"/>
  <c r="AF53" i="1"/>
  <c r="AF54" i="1"/>
  <c r="AF55" i="1"/>
  <c r="AF56" i="1"/>
  <c r="AF60" i="1"/>
  <c r="AF67" i="1"/>
  <c r="AF68" i="1"/>
  <c r="AF69" i="1"/>
  <c r="AF70" i="1"/>
  <c r="AF77" i="1"/>
  <c r="AF78" i="1"/>
  <c r="AF79" i="1"/>
  <c r="AF93" i="1"/>
  <c r="AF94" i="1"/>
  <c r="AF95" i="1"/>
  <c r="AF96" i="1"/>
  <c r="AF97" i="1"/>
  <c r="AF98" i="1"/>
  <c r="AF99" i="1"/>
  <c r="AF100" i="1"/>
  <c r="AF101" i="1"/>
  <c r="AF120" i="1"/>
  <c r="AF121" i="1"/>
  <c r="AF122" i="1"/>
  <c r="AF123" i="1"/>
  <c r="AF124" i="1"/>
  <c r="AF125" i="1"/>
  <c r="AF126" i="1"/>
  <c r="AF130" i="1"/>
  <c r="AF131" i="1"/>
  <c r="AF132" i="1"/>
  <c r="AF133" i="1"/>
  <c r="AF134" i="1"/>
  <c r="AF135" i="1"/>
  <c r="AF136" i="1"/>
  <c r="AF137" i="1"/>
  <c r="AF140" i="1"/>
  <c r="AF141" i="1"/>
  <c r="AF142" i="1"/>
  <c r="AF143" i="1"/>
  <c r="AF144" i="1"/>
  <c r="AF145" i="1"/>
  <c r="AF146" i="1"/>
  <c r="AF147"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9" i="1"/>
  <c r="AF230" i="1"/>
  <c r="AF231" i="1"/>
  <c r="AF232" i="1"/>
  <c r="AF233" i="1"/>
  <c r="AF234" i="1"/>
  <c r="AF235" i="1"/>
  <c r="AF236" i="1"/>
  <c r="AF237" i="1"/>
  <c r="AF238" i="1"/>
  <c r="AF239" i="1"/>
  <c r="AF240" i="1"/>
  <c r="AF241" i="1"/>
  <c r="AF243" i="1"/>
  <c r="AF244" i="1"/>
  <c r="AF246" i="1"/>
  <c r="AF247" i="1"/>
  <c r="AF248" i="1"/>
  <c r="AF249" i="1"/>
  <c r="AF250" i="1"/>
  <c r="AF251" i="1"/>
  <c r="AF252" i="1"/>
  <c r="AF253" i="1"/>
  <c r="AF254" i="1"/>
  <c r="AF255" i="1"/>
  <c r="AF256" i="1"/>
  <c r="AF257" i="1"/>
  <c r="AF258" i="1"/>
  <c r="AF259" i="1"/>
  <c r="AF260" i="1"/>
  <c r="AF261" i="1"/>
  <c r="AF262" i="1"/>
  <c r="AF263" i="1"/>
  <c r="AF264" i="1"/>
  <c r="AF266" i="1"/>
  <c r="AF267" i="1"/>
  <c r="AF19" i="1"/>
  <c r="AG20" i="1"/>
  <c r="AG268" i="1"/>
  <c r="Y20" i="1"/>
  <c r="Z20" i="1"/>
  <c r="AB20" i="1"/>
  <c r="AC20" i="1"/>
  <c r="Y21" i="1"/>
  <c r="Z21" i="1"/>
  <c r="AB21" i="1"/>
  <c r="AC21" i="1"/>
  <c r="Y22" i="1"/>
  <c r="Z22" i="1"/>
  <c r="AB22" i="1"/>
  <c r="AC22" i="1"/>
  <c r="Y23" i="1"/>
  <c r="Z23" i="1"/>
  <c r="AB23" i="1"/>
  <c r="AC23" i="1"/>
  <c r="Y24" i="1"/>
  <c r="Z24" i="1"/>
  <c r="AB24" i="1"/>
  <c r="AC24" i="1"/>
  <c r="Y25" i="1"/>
  <c r="Z25" i="1"/>
  <c r="AB25" i="1"/>
  <c r="AC25" i="1"/>
  <c r="Y26" i="1"/>
  <c r="Z26" i="1"/>
  <c r="AB26" i="1"/>
  <c r="AC26" i="1"/>
  <c r="Y29" i="1"/>
  <c r="Z29" i="1"/>
  <c r="AB29" i="1"/>
  <c r="AC29" i="1"/>
  <c r="Y31" i="1"/>
  <c r="Z31" i="1"/>
  <c r="AB31" i="1"/>
  <c r="AC31" i="1"/>
  <c r="Y32" i="1"/>
  <c r="Z32" i="1"/>
  <c r="AB32" i="1"/>
  <c r="AC32" i="1"/>
  <c r="Y33" i="1"/>
  <c r="Z33" i="1"/>
  <c r="AB33" i="1"/>
  <c r="AC33" i="1"/>
  <c r="Y34" i="1"/>
  <c r="Z34" i="1"/>
  <c r="AB34" i="1"/>
  <c r="AC34" i="1"/>
  <c r="Y35" i="1"/>
  <c r="Z35" i="1"/>
  <c r="AB35" i="1"/>
  <c r="AC35" i="1"/>
  <c r="Y36" i="1"/>
  <c r="Z36" i="1"/>
  <c r="AB36" i="1"/>
  <c r="AC36" i="1"/>
  <c r="Y37" i="1"/>
  <c r="Z37" i="1"/>
  <c r="AB37" i="1"/>
  <c r="AC37" i="1"/>
  <c r="Y38" i="1"/>
  <c r="Z38" i="1"/>
  <c r="AB38" i="1"/>
  <c r="AC38" i="1"/>
  <c r="Y40" i="1"/>
  <c r="Z40" i="1"/>
  <c r="AB40" i="1"/>
  <c r="AC40" i="1"/>
  <c r="Y41" i="1"/>
  <c r="Z41" i="1"/>
  <c r="AB41" i="1"/>
  <c r="AC41" i="1"/>
  <c r="Y42" i="1"/>
  <c r="Z42" i="1"/>
  <c r="AB42" i="1"/>
  <c r="AC42" i="1"/>
  <c r="Y44" i="1"/>
  <c r="Z44" i="1"/>
  <c r="AB44" i="1"/>
  <c r="AC44" i="1"/>
  <c r="Y45" i="1"/>
  <c r="Z45" i="1"/>
  <c r="AB45" i="1"/>
  <c r="AC45" i="1"/>
  <c r="Y46" i="1"/>
  <c r="Z46" i="1"/>
  <c r="AB46" i="1"/>
  <c r="AC46" i="1"/>
  <c r="Y49" i="1"/>
  <c r="Z49" i="1"/>
  <c r="AB49" i="1"/>
  <c r="AC49" i="1"/>
  <c r="Y53" i="1"/>
  <c r="Z53" i="1"/>
  <c r="AB53" i="1"/>
  <c r="AC53" i="1"/>
  <c r="Y54" i="1"/>
  <c r="Z54" i="1"/>
  <c r="AB54" i="1"/>
  <c r="AC54" i="1"/>
  <c r="Y55" i="1"/>
  <c r="Z55" i="1"/>
  <c r="AB55" i="1"/>
  <c r="AC55" i="1"/>
  <c r="Y56" i="1"/>
  <c r="Z56" i="1"/>
  <c r="AB56" i="1"/>
  <c r="AC56" i="1"/>
  <c r="Y60" i="1"/>
  <c r="Z60" i="1"/>
  <c r="AB60" i="1"/>
  <c r="AC60" i="1"/>
  <c r="Y67" i="1"/>
  <c r="Z67" i="1"/>
  <c r="AB67" i="1"/>
  <c r="AC67" i="1"/>
  <c r="Y68" i="1"/>
  <c r="Z68" i="1"/>
  <c r="AB68" i="1"/>
  <c r="AC68" i="1"/>
  <c r="Y69" i="1"/>
  <c r="Z69" i="1"/>
  <c r="AB69" i="1"/>
  <c r="AC69" i="1"/>
  <c r="Y70" i="1"/>
  <c r="Z70" i="1"/>
  <c r="AB70" i="1"/>
  <c r="AC70" i="1"/>
  <c r="Y77" i="1"/>
  <c r="Z77" i="1"/>
  <c r="AB77" i="1"/>
  <c r="AC77" i="1"/>
  <c r="Y78" i="1"/>
  <c r="Z78" i="1"/>
  <c r="AB78" i="1"/>
  <c r="AC78" i="1"/>
  <c r="Y79" i="1"/>
  <c r="Z79" i="1"/>
  <c r="AB79" i="1"/>
  <c r="AC79" i="1"/>
  <c r="Y93" i="1"/>
  <c r="Z93" i="1"/>
  <c r="AB93" i="1"/>
  <c r="AC93" i="1"/>
  <c r="Y94" i="1"/>
  <c r="Z94" i="1"/>
  <c r="AB94" i="1"/>
  <c r="AC94" i="1"/>
  <c r="Y95" i="1"/>
  <c r="Z95" i="1"/>
  <c r="AB95" i="1"/>
  <c r="AC95" i="1"/>
  <c r="Y96" i="1"/>
  <c r="Z96" i="1"/>
  <c r="AB96" i="1"/>
  <c r="AC96" i="1"/>
  <c r="Y97" i="1"/>
  <c r="Z97" i="1"/>
  <c r="AB97" i="1"/>
  <c r="AC97" i="1"/>
  <c r="Y98" i="1"/>
  <c r="Z98" i="1"/>
  <c r="AB98" i="1"/>
  <c r="AC98" i="1"/>
  <c r="Y99" i="1"/>
  <c r="Z99" i="1"/>
  <c r="AB99" i="1"/>
  <c r="AC99" i="1"/>
  <c r="Y100" i="1"/>
  <c r="Z100" i="1"/>
  <c r="AB100" i="1"/>
  <c r="AC100" i="1"/>
  <c r="Y101" i="1"/>
  <c r="Z101" i="1"/>
  <c r="AB101" i="1"/>
  <c r="AC101" i="1"/>
  <c r="Y120" i="1"/>
  <c r="Z120" i="1"/>
  <c r="AB120" i="1"/>
  <c r="AC120" i="1"/>
  <c r="Y121" i="1"/>
  <c r="Z121" i="1"/>
  <c r="AB121" i="1"/>
  <c r="AC121" i="1"/>
  <c r="Y122" i="1"/>
  <c r="Z122" i="1"/>
  <c r="AB122" i="1"/>
  <c r="AC122" i="1"/>
  <c r="Y123" i="1"/>
  <c r="Z123" i="1"/>
  <c r="AB123" i="1"/>
  <c r="AC123" i="1"/>
  <c r="Y124" i="1"/>
  <c r="Z124" i="1"/>
  <c r="AB124" i="1"/>
  <c r="AC124" i="1"/>
  <c r="Y125" i="1"/>
  <c r="Z125" i="1"/>
  <c r="AB125" i="1"/>
  <c r="AC125" i="1"/>
  <c r="Y126" i="1"/>
  <c r="Z126" i="1"/>
  <c r="AB126" i="1"/>
  <c r="AC126" i="1"/>
  <c r="Y130" i="1"/>
  <c r="Z130" i="1"/>
  <c r="AB130" i="1"/>
  <c r="AC130" i="1"/>
  <c r="Y131" i="1"/>
  <c r="Z131" i="1"/>
  <c r="AB131" i="1"/>
  <c r="AC131" i="1"/>
  <c r="Y132" i="1"/>
  <c r="Z132" i="1"/>
  <c r="AB132" i="1"/>
  <c r="AC132" i="1"/>
  <c r="Y133" i="1"/>
  <c r="Z133" i="1"/>
  <c r="AB133" i="1"/>
  <c r="AC133" i="1"/>
  <c r="Y134" i="1"/>
  <c r="Z134" i="1"/>
  <c r="AB134" i="1"/>
  <c r="AC134" i="1"/>
  <c r="Y135" i="1"/>
  <c r="Z135" i="1"/>
  <c r="AB135" i="1"/>
  <c r="AC135" i="1"/>
  <c r="Y136" i="1"/>
  <c r="Z136" i="1"/>
  <c r="AB136" i="1"/>
  <c r="AC136" i="1"/>
  <c r="Y137" i="1"/>
  <c r="Z137" i="1"/>
  <c r="AB137" i="1"/>
  <c r="AC137" i="1"/>
  <c r="Y140" i="1"/>
  <c r="Z140" i="1"/>
  <c r="AB140" i="1"/>
  <c r="AC140" i="1"/>
  <c r="Y141" i="1"/>
  <c r="Z141" i="1"/>
  <c r="AB141" i="1"/>
  <c r="AC141" i="1"/>
  <c r="Y142" i="1"/>
  <c r="Z142" i="1"/>
  <c r="AB142" i="1"/>
  <c r="AC142" i="1"/>
  <c r="Y143" i="1"/>
  <c r="Z143" i="1"/>
  <c r="AB143" i="1"/>
  <c r="AC143" i="1"/>
  <c r="Y144" i="1"/>
  <c r="Z144" i="1"/>
  <c r="AB144" i="1"/>
  <c r="AC144" i="1"/>
  <c r="Y145" i="1"/>
  <c r="Z145" i="1"/>
  <c r="AB145" i="1"/>
  <c r="AC145" i="1"/>
  <c r="Y146" i="1"/>
  <c r="Z146" i="1"/>
  <c r="AB146" i="1"/>
  <c r="AC146" i="1"/>
  <c r="Y147" i="1"/>
  <c r="Z147" i="1"/>
  <c r="AB147" i="1"/>
  <c r="AC147" i="1"/>
  <c r="Y150" i="1"/>
  <c r="Z150" i="1"/>
  <c r="AB150" i="1"/>
  <c r="AC150" i="1"/>
  <c r="Y151" i="1"/>
  <c r="Z151" i="1"/>
  <c r="AB151" i="1"/>
  <c r="AC151" i="1"/>
  <c r="Y152" i="1"/>
  <c r="Z152" i="1"/>
  <c r="AB152" i="1"/>
  <c r="AC152" i="1"/>
  <c r="Y153" i="1"/>
  <c r="Z153" i="1"/>
  <c r="AB153" i="1"/>
  <c r="AC153" i="1"/>
  <c r="Y154" i="1"/>
  <c r="Z154" i="1"/>
  <c r="AB154" i="1"/>
  <c r="AC154" i="1"/>
  <c r="Y155" i="1"/>
  <c r="Z155" i="1"/>
  <c r="AB155" i="1"/>
  <c r="AC155" i="1"/>
  <c r="Y156" i="1"/>
  <c r="Z156" i="1"/>
  <c r="AB156" i="1"/>
  <c r="AC156" i="1"/>
  <c r="Y157" i="1"/>
  <c r="Z157" i="1"/>
  <c r="AB157" i="1"/>
  <c r="AC157" i="1"/>
  <c r="Y158" i="1"/>
  <c r="Z158" i="1"/>
  <c r="AB158" i="1"/>
  <c r="AC158" i="1"/>
  <c r="Y159" i="1"/>
  <c r="Z159" i="1"/>
  <c r="AB159" i="1"/>
  <c r="AC159" i="1"/>
  <c r="Y160" i="1"/>
  <c r="Z160" i="1"/>
  <c r="AB160" i="1"/>
  <c r="AC160" i="1"/>
  <c r="Y161" i="1"/>
  <c r="Z161" i="1"/>
  <c r="AB161" i="1"/>
  <c r="AC161" i="1"/>
  <c r="Y162" i="1"/>
  <c r="Z162" i="1"/>
  <c r="AB162" i="1"/>
  <c r="AC162" i="1"/>
  <c r="Y163" i="1"/>
  <c r="Z163" i="1"/>
  <c r="AB163" i="1"/>
  <c r="AC163" i="1"/>
  <c r="Y164" i="1"/>
  <c r="Z164" i="1"/>
  <c r="AB164" i="1"/>
  <c r="AC164" i="1"/>
  <c r="Y165" i="1"/>
  <c r="Z165" i="1"/>
  <c r="AB165" i="1"/>
  <c r="AC165" i="1"/>
  <c r="Y166" i="1"/>
  <c r="Z166" i="1"/>
  <c r="AB166" i="1"/>
  <c r="AC166" i="1"/>
  <c r="Y167" i="1"/>
  <c r="Z167" i="1"/>
  <c r="AB167" i="1"/>
  <c r="AC167" i="1"/>
  <c r="Y168" i="1"/>
  <c r="Z168" i="1"/>
  <c r="AB168" i="1"/>
  <c r="AC168" i="1"/>
  <c r="Y169" i="1"/>
  <c r="Z169" i="1"/>
  <c r="AB169" i="1"/>
  <c r="AC169" i="1"/>
  <c r="Y170" i="1"/>
  <c r="Z170" i="1"/>
  <c r="AB170" i="1"/>
  <c r="AC170" i="1"/>
  <c r="Y171" i="1"/>
  <c r="Z171" i="1"/>
  <c r="AB171" i="1"/>
  <c r="AC171" i="1"/>
  <c r="Y172" i="1"/>
  <c r="Z172" i="1"/>
  <c r="AB172" i="1"/>
  <c r="AC172" i="1"/>
  <c r="Y173" i="1"/>
  <c r="Z173" i="1"/>
  <c r="AB173" i="1"/>
  <c r="AC173" i="1"/>
  <c r="Y174" i="1"/>
  <c r="Z174" i="1"/>
  <c r="AB174" i="1"/>
  <c r="AC174" i="1"/>
  <c r="Y175" i="1"/>
  <c r="Z175" i="1"/>
  <c r="AB175" i="1"/>
  <c r="AC175" i="1"/>
  <c r="Y176" i="1"/>
  <c r="Z176" i="1"/>
  <c r="AB176" i="1"/>
  <c r="AC176" i="1"/>
  <c r="Y177" i="1"/>
  <c r="Z177" i="1"/>
  <c r="AB177" i="1"/>
  <c r="AC177" i="1"/>
  <c r="Y178" i="1"/>
  <c r="Z178" i="1"/>
  <c r="AB178" i="1"/>
  <c r="AC178" i="1"/>
  <c r="Y179" i="1"/>
  <c r="Z179" i="1"/>
  <c r="AB179" i="1"/>
  <c r="AC179" i="1"/>
  <c r="Y180" i="1"/>
  <c r="Z180" i="1"/>
  <c r="AB180" i="1"/>
  <c r="AC180" i="1"/>
  <c r="Y181" i="1"/>
  <c r="Z181" i="1"/>
  <c r="AB181" i="1"/>
  <c r="AC181" i="1"/>
  <c r="Y182" i="1"/>
  <c r="AB182" i="1"/>
  <c r="AC182" i="1"/>
  <c r="Y183" i="1"/>
  <c r="Z183" i="1"/>
  <c r="AB183" i="1"/>
  <c r="AC183" i="1"/>
  <c r="Y184" i="1"/>
  <c r="Z184" i="1"/>
  <c r="AB184" i="1"/>
  <c r="AC184" i="1"/>
  <c r="Y185" i="1"/>
  <c r="Z185" i="1"/>
  <c r="AB185" i="1"/>
  <c r="AC185" i="1"/>
  <c r="Y186" i="1"/>
  <c r="Z186" i="1"/>
  <c r="AB186" i="1"/>
  <c r="AC186" i="1"/>
  <c r="Y187" i="1"/>
  <c r="Z187" i="1"/>
  <c r="AB187" i="1"/>
  <c r="AC187" i="1"/>
  <c r="Y188" i="1"/>
  <c r="Z188" i="1"/>
  <c r="AB188" i="1"/>
  <c r="AC188" i="1"/>
  <c r="Y189" i="1"/>
  <c r="Z189" i="1"/>
  <c r="AB189" i="1"/>
  <c r="AC189" i="1"/>
  <c r="Y190" i="1"/>
  <c r="Z190" i="1"/>
  <c r="AB190" i="1"/>
  <c r="AC190" i="1"/>
  <c r="Y191" i="1"/>
  <c r="Z191" i="1"/>
  <c r="AB191" i="1"/>
  <c r="AC191" i="1"/>
  <c r="Y193" i="1"/>
  <c r="Z193" i="1"/>
  <c r="AB193" i="1"/>
  <c r="AC193" i="1"/>
  <c r="Y194" i="1"/>
  <c r="Z194" i="1"/>
  <c r="AB194" i="1"/>
  <c r="AC194" i="1"/>
  <c r="Y195" i="1"/>
  <c r="Z195" i="1"/>
  <c r="AB195" i="1"/>
  <c r="AC195" i="1"/>
  <c r="Y196" i="1"/>
  <c r="Z196" i="1"/>
  <c r="AB196" i="1"/>
  <c r="AC196" i="1"/>
  <c r="Y197" i="1"/>
  <c r="Z197" i="1"/>
  <c r="AB197" i="1"/>
  <c r="AC197" i="1"/>
  <c r="Y198" i="1"/>
  <c r="Z198" i="1"/>
  <c r="AB198" i="1"/>
  <c r="AC198" i="1"/>
  <c r="Y199" i="1"/>
  <c r="Z199" i="1"/>
  <c r="AB199" i="1"/>
  <c r="AC199" i="1"/>
  <c r="Y200" i="1"/>
  <c r="Z200" i="1"/>
  <c r="AB200" i="1"/>
  <c r="AC200" i="1"/>
  <c r="Y201" i="1"/>
  <c r="Z201" i="1"/>
  <c r="AB201" i="1"/>
  <c r="AC201" i="1"/>
  <c r="Y202" i="1"/>
  <c r="AB202" i="1"/>
  <c r="AC202" i="1"/>
  <c r="Y203" i="1"/>
  <c r="Z203" i="1"/>
  <c r="AB203" i="1"/>
  <c r="AC203" i="1"/>
  <c r="Y204" i="1"/>
  <c r="Z204" i="1"/>
  <c r="AB204" i="1"/>
  <c r="AC204" i="1"/>
  <c r="Y205" i="1"/>
  <c r="Z205" i="1"/>
  <c r="AB205" i="1"/>
  <c r="AC205" i="1"/>
  <c r="Y206" i="1"/>
  <c r="Z206" i="1"/>
  <c r="AB206" i="1"/>
  <c r="AC206" i="1"/>
  <c r="Y207" i="1"/>
  <c r="Z207" i="1"/>
  <c r="AB207" i="1"/>
  <c r="AC207" i="1"/>
  <c r="Y208" i="1"/>
  <c r="Z208" i="1"/>
  <c r="AB208" i="1"/>
  <c r="AC208" i="1"/>
  <c r="Y209" i="1"/>
  <c r="Z209" i="1"/>
  <c r="AB209" i="1"/>
  <c r="AC209" i="1"/>
  <c r="Y210" i="1"/>
  <c r="Z210" i="1"/>
  <c r="AB210" i="1"/>
  <c r="AC210" i="1"/>
  <c r="Y211" i="1"/>
  <c r="Z211" i="1"/>
  <c r="AB211" i="1"/>
  <c r="AC211" i="1"/>
  <c r="Y212" i="1"/>
  <c r="Z212" i="1"/>
  <c r="AB212" i="1"/>
  <c r="AC212" i="1"/>
  <c r="Y213" i="1"/>
  <c r="Z213" i="1"/>
  <c r="AB213" i="1"/>
  <c r="AC213" i="1"/>
  <c r="Y214" i="1"/>
  <c r="Z214" i="1"/>
  <c r="AB214" i="1"/>
  <c r="AC214" i="1"/>
  <c r="Y215" i="1"/>
  <c r="Z215" i="1"/>
  <c r="AB215" i="1"/>
  <c r="AC215" i="1"/>
  <c r="Y216" i="1"/>
  <c r="Z216" i="1"/>
  <c r="AB216" i="1"/>
  <c r="AC216" i="1"/>
  <c r="Y217" i="1"/>
  <c r="Z217" i="1"/>
  <c r="AB217" i="1"/>
  <c r="AC217" i="1"/>
  <c r="Y218" i="1"/>
  <c r="Z218" i="1"/>
  <c r="AB218" i="1"/>
  <c r="AC218" i="1"/>
  <c r="Y219" i="1"/>
  <c r="Z219" i="1"/>
  <c r="AB219" i="1"/>
  <c r="AC219" i="1"/>
  <c r="Y220" i="1"/>
  <c r="Z220" i="1"/>
  <c r="AB220" i="1"/>
  <c r="AC220" i="1"/>
  <c r="Y221" i="1"/>
  <c r="Z221" i="1"/>
  <c r="AB221" i="1"/>
  <c r="AC221" i="1"/>
  <c r="Y222" i="1"/>
  <c r="Z222" i="1"/>
  <c r="AB222" i="1"/>
  <c r="AC222" i="1"/>
  <c r="Y223" i="1"/>
  <c r="Z223" i="1"/>
  <c r="AB223" i="1"/>
  <c r="AC223" i="1"/>
  <c r="Y224" i="1"/>
  <c r="Z224" i="1"/>
  <c r="AB224" i="1"/>
  <c r="AC224" i="1"/>
  <c r="Y225" i="1"/>
  <c r="Z225" i="1"/>
  <c r="AB225" i="1"/>
  <c r="AC225" i="1"/>
  <c r="Y226" i="1"/>
  <c r="Z226" i="1"/>
  <c r="AB226" i="1"/>
  <c r="AC226" i="1"/>
  <c r="Y227" i="1"/>
  <c r="Z227" i="1"/>
  <c r="AB227" i="1"/>
  <c r="AC227" i="1"/>
  <c r="Y229" i="1"/>
  <c r="Z229" i="1"/>
  <c r="AB229" i="1"/>
  <c r="AC229" i="1"/>
  <c r="Y230" i="1"/>
  <c r="Z230" i="1"/>
  <c r="AB230" i="1"/>
  <c r="AC230" i="1"/>
  <c r="Y231" i="1"/>
  <c r="Z231" i="1"/>
  <c r="AB231" i="1"/>
  <c r="AC231" i="1"/>
  <c r="Y232" i="1"/>
  <c r="Z232" i="1"/>
  <c r="AB232" i="1"/>
  <c r="AC232" i="1"/>
  <c r="Y233" i="1"/>
  <c r="Z233" i="1"/>
  <c r="AB233" i="1"/>
  <c r="AC233" i="1"/>
  <c r="Y234" i="1"/>
  <c r="Z234" i="1"/>
  <c r="AB234" i="1"/>
  <c r="AC234" i="1"/>
  <c r="Y235" i="1"/>
  <c r="Z235" i="1"/>
  <c r="AB235" i="1"/>
  <c r="AC235" i="1"/>
  <c r="Y236" i="1"/>
  <c r="Z236" i="1"/>
  <c r="AB236" i="1"/>
  <c r="AC236" i="1"/>
  <c r="Y237" i="1"/>
  <c r="Z237" i="1"/>
  <c r="AB237" i="1"/>
  <c r="AC237" i="1"/>
  <c r="Y238" i="1"/>
  <c r="Z238" i="1"/>
  <c r="AB238" i="1"/>
  <c r="AC238" i="1"/>
  <c r="Y239" i="1"/>
  <c r="Z239" i="1"/>
  <c r="AB239" i="1"/>
  <c r="AC239" i="1"/>
  <c r="Y240" i="1"/>
  <c r="Z240" i="1"/>
  <c r="AB240" i="1"/>
  <c r="AC240" i="1"/>
  <c r="Y241" i="1"/>
  <c r="Z241" i="1"/>
  <c r="AB241" i="1"/>
  <c r="AC241" i="1"/>
  <c r="Y243" i="1"/>
  <c r="Z243" i="1"/>
  <c r="AB243" i="1"/>
  <c r="AC243" i="1"/>
  <c r="Y244" i="1"/>
  <c r="Z244" i="1"/>
  <c r="AB244" i="1"/>
  <c r="AC244" i="1"/>
  <c r="Y246" i="1"/>
  <c r="Z246" i="1"/>
  <c r="AB246" i="1"/>
  <c r="AC246" i="1"/>
  <c r="Y247" i="1"/>
  <c r="Z247" i="1"/>
  <c r="AB247" i="1"/>
  <c r="AC247" i="1"/>
  <c r="Y248" i="1"/>
  <c r="Z248" i="1"/>
  <c r="AB248" i="1"/>
  <c r="AC248" i="1"/>
  <c r="Y249" i="1"/>
  <c r="Z249" i="1"/>
  <c r="AB249" i="1"/>
  <c r="AC249" i="1"/>
  <c r="Y250" i="1"/>
  <c r="Z250" i="1"/>
  <c r="AB250" i="1"/>
  <c r="AC250" i="1"/>
  <c r="Y251" i="1"/>
  <c r="Z251" i="1"/>
  <c r="AB251" i="1"/>
  <c r="AC251" i="1"/>
  <c r="Y252" i="1"/>
  <c r="Z252" i="1"/>
  <c r="AB252" i="1"/>
  <c r="AC252" i="1"/>
  <c r="Y253" i="1"/>
  <c r="Z253" i="1"/>
  <c r="AB253" i="1"/>
  <c r="AC253" i="1"/>
  <c r="Y254" i="1"/>
  <c r="Z254" i="1"/>
  <c r="AB254" i="1"/>
  <c r="AC254" i="1"/>
  <c r="Y255" i="1"/>
  <c r="Z255" i="1"/>
  <c r="AB255" i="1"/>
  <c r="AC255" i="1"/>
  <c r="Y256" i="1"/>
  <c r="Z256" i="1"/>
  <c r="AB256" i="1"/>
  <c r="AC256" i="1"/>
  <c r="Y257" i="1"/>
  <c r="Z257" i="1"/>
  <c r="AB257" i="1"/>
  <c r="AC257" i="1"/>
  <c r="Y258" i="1"/>
  <c r="Z258" i="1"/>
  <c r="AB258" i="1"/>
  <c r="AC258" i="1"/>
  <c r="Y259" i="1"/>
  <c r="Z259" i="1"/>
  <c r="AB259" i="1"/>
  <c r="AC259" i="1"/>
  <c r="Y260" i="1"/>
  <c r="Z260" i="1"/>
  <c r="AB260" i="1"/>
  <c r="AC260" i="1"/>
  <c r="Y261" i="1"/>
  <c r="Z261" i="1"/>
  <c r="AB261" i="1"/>
  <c r="AC261" i="1"/>
  <c r="Y262" i="1"/>
  <c r="Z262" i="1"/>
  <c r="AB262" i="1"/>
  <c r="AC262" i="1"/>
  <c r="Y263" i="1"/>
  <c r="Z263" i="1"/>
  <c r="AB263" i="1"/>
  <c r="AC263" i="1"/>
  <c r="Y264" i="1"/>
  <c r="Z264" i="1"/>
  <c r="AB264" i="1"/>
  <c r="AC264" i="1"/>
  <c r="Y266" i="1"/>
  <c r="Z266" i="1"/>
  <c r="AB266" i="1"/>
  <c r="AC266" i="1"/>
  <c r="Y267" i="1"/>
  <c r="Z267" i="1"/>
  <c r="AB267" i="1"/>
  <c r="AC267" i="1"/>
  <c r="U22" i="1"/>
  <c r="U23" i="1"/>
  <c r="U24" i="1"/>
  <c r="U25" i="1"/>
  <c r="U26" i="1"/>
  <c r="U29" i="1"/>
  <c r="U31" i="1"/>
  <c r="U32" i="1"/>
  <c r="U33" i="1"/>
  <c r="U34" i="1"/>
  <c r="U35" i="1"/>
  <c r="U36" i="1"/>
  <c r="U37" i="1"/>
  <c r="U38" i="1"/>
  <c r="U40" i="1"/>
  <c r="U41" i="1"/>
  <c r="U42" i="1"/>
  <c r="U44" i="1"/>
  <c r="U45" i="1"/>
  <c r="U46" i="1"/>
  <c r="U49" i="1"/>
  <c r="U53" i="1"/>
  <c r="U54" i="1"/>
  <c r="U55" i="1"/>
  <c r="U56" i="1"/>
  <c r="U60" i="1"/>
  <c r="U67" i="1"/>
  <c r="U68" i="1"/>
  <c r="U69" i="1"/>
  <c r="U70" i="1"/>
  <c r="U77" i="1"/>
  <c r="U78" i="1"/>
  <c r="U79" i="1"/>
  <c r="U93" i="1"/>
  <c r="U94" i="1"/>
  <c r="U95" i="1"/>
  <c r="U96" i="1"/>
  <c r="U97" i="1"/>
  <c r="U98" i="1"/>
  <c r="U99" i="1"/>
  <c r="U100" i="1"/>
  <c r="U101" i="1"/>
  <c r="U120" i="1"/>
  <c r="U121" i="1"/>
  <c r="U122" i="1"/>
  <c r="U123" i="1"/>
  <c r="U124" i="1"/>
  <c r="U125" i="1"/>
  <c r="U126" i="1"/>
  <c r="U130" i="1"/>
  <c r="U131" i="1"/>
  <c r="U132" i="1"/>
  <c r="U133" i="1"/>
  <c r="U134" i="1"/>
  <c r="U135" i="1"/>
  <c r="U136" i="1"/>
  <c r="U137" i="1"/>
  <c r="U140" i="1"/>
  <c r="U141" i="1"/>
  <c r="U142" i="1"/>
  <c r="U143" i="1"/>
  <c r="U144" i="1"/>
  <c r="U145" i="1"/>
  <c r="U146" i="1"/>
  <c r="U147"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3" i="1"/>
  <c r="U184" i="1"/>
  <c r="U185" i="1"/>
  <c r="U186" i="1"/>
  <c r="U187" i="1"/>
  <c r="U188" i="1"/>
  <c r="U189" i="1"/>
  <c r="U190" i="1"/>
  <c r="U191" i="1"/>
  <c r="U193" i="1"/>
  <c r="U194" i="1"/>
  <c r="U195" i="1"/>
  <c r="U196" i="1"/>
  <c r="U197" i="1"/>
  <c r="U198" i="1"/>
  <c r="U199" i="1"/>
  <c r="U200" i="1"/>
  <c r="U201"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9" i="1"/>
  <c r="U230" i="1"/>
  <c r="U231" i="1"/>
  <c r="U232" i="1"/>
  <c r="U233" i="1"/>
  <c r="U234" i="1"/>
  <c r="U235" i="1"/>
  <c r="U236" i="1"/>
  <c r="U237" i="1"/>
  <c r="U238" i="1"/>
  <c r="U239" i="1"/>
  <c r="U240" i="1"/>
  <c r="U241" i="1"/>
  <c r="U243" i="1"/>
  <c r="U244" i="1"/>
  <c r="U246" i="1"/>
  <c r="U247" i="1"/>
  <c r="U248" i="1"/>
  <c r="U249" i="1"/>
  <c r="U250" i="1"/>
  <c r="U251" i="1"/>
  <c r="U252" i="1"/>
  <c r="U253" i="1"/>
  <c r="U254" i="1"/>
  <c r="U255" i="1"/>
  <c r="U256" i="1"/>
  <c r="U257" i="1"/>
  <c r="U258" i="1"/>
  <c r="U259" i="1"/>
  <c r="U260" i="1"/>
  <c r="U261" i="1"/>
  <c r="U262" i="1"/>
  <c r="U263" i="1"/>
  <c r="U264" i="1"/>
  <c r="U266" i="1"/>
  <c r="U267" i="1"/>
  <c r="AA188" i="1" l="1"/>
  <c r="AA180" i="1"/>
  <c r="AA178" i="1"/>
  <c r="AA174" i="1"/>
  <c r="AA124" i="1"/>
  <c r="AA67" i="1"/>
  <c r="AA187" i="1"/>
  <c r="AA183" i="1"/>
  <c r="AD79" i="1"/>
  <c r="AA251" i="1"/>
  <c r="AA247" i="1"/>
  <c r="AA244" i="1"/>
  <c r="AA241" i="1"/>
  <c r="AA229" i="1"/>
  <c r="AA220" i="1"/>
  <c r="AA216" i="1"/>
  <c r="AA212" i="1"/>
  <c r="AA210" i="1"/>
  <c r="AA208" i="1"/>
  <c r="AA204" i="1"/>
  <c r="AD238" i="1"/>
  <c r="AD232" i="1"/>
  <c r="AD230" i="1"/>
  <c r="AA195" i="1"/>
  <c r="AA54" i="1"/>
  <c r="AD78" i="1"/>
  <c r="AA37" i="1"/>
  <c r="AA246" i="1"/>
  <c r="AA41" i="1"/>
  <c r="AA36" i="1"/>
  <c r="AA34" i="1"/>
  <c r="AA260" i="1"/>
  <c r="AA254" i="1"/>
  <c r="AD253" i="1"/>
  <c r="AD239" i="1"/>
  <c r="AA53" i="1"/>
  <c r="AA171" i="1"/>
  <c r="AA24" i="1"/>
  <c r="AA49" i="1"/>
  <c r="AA142" i="1"/>
  <c r="AA78" i="1"/>
  <c r="AD126" i="1"/>
  <c r="AA126" i="1"/>
  <c r="AA46" i="1"/>
  <c r="AD250" i="1"/>
  <c r="AD209" i="1"/>
  <c r="AD205" i="1"/>
  <c r="AD203" i="1"/>
  <c r="AD197" i="1"/>
  <c r="AD195" i="1"/>
  <c r="AD166" i="1"/>
  <c r="AD99" i="1"/>
  <c r="AA22" i="1"/>
  <c r="AD255" i="1"/>
  <c r="AA252" i="1"/>
  <c r="AA230" i="1"/>
  <c r="AA223" i="1"/>
  <c r="AA132" i="1"/>
  <c r="AD222" i="1"/>
  <c r="AD212" i="1"/>
  <c r="AD189" i="1"/>
  <c r="AD169" i="1"/>
  <c r="AD145" i="1"/>
  <c r="AD94" i="1"/>
  <c r="AA32" i="1"/>
  <c r="AA123" i="1"/>
  <c r="AD201" i="1"/>
  <c r="AD172" i="1"/>
  <c r="AD158" i="1"/>
  <c r="AA248" i="1"/>
  <c r="AD217" i="1"/>
  <c r="AA98" i="1"/>
  <c r="AA94" i="1"/>
  <c r="AD70" i="1"/>
  <c r="AD68" i="1"/>
  <c r="AD56" i="1"/>
  <c r="AD54" i="1"/>
  <c r="AD45" i="1"/>
  <c r="AD251" i="1"/>
  <c r="AA201" i="1"/>
  <c r="AA172" i="1"/>
  <c r="AA166" i="1"/>
  <c r="AA164" i="1"/>
  <c r="AA162" i="1"/>
  <c r="AA160" i="1"/>
  <c r="AD136" i="1"/>
  <c r="AD130" i="1"/>
  <c r="AA259" i="1"/>
  <c r="AD249" i="1"/>
  <c r="AA221" i="1"/>
  <c r="AA219" i="1"/>
  <c r="AA217" i="1"/>
  <c r="AD198" i="1"/>
  <c r="AD196" i="1"/>
  <c r="AA184" i="1"/>
  <c r="AD173" i="1"/>
  <c r="AD254" i="1"/>
  <c r="AD208" i="1"/>
  <c r="AD204" i="1"/>
  <c r="AD202" i="1"/>
  <c r="AD183" i="1"/>
  <c r="AA235" i="1"/>
  <c r="AD226" i="1"/>
  <c r="AD218" i="1"/>
  <c r="AA177" i="1"/>
  <c r="AA157" i="1"/>
  <c r="AA147" i="1"/>
  <c r="AA99" i="1"/>
  <c r="AD67" i="1"/>
  <c r="AD248" i="1"/>
  <c r="AA200" i="1"/>
  <c r="AA163" i="1"/>
  <c r="AD93" i="1"/>
  <c r="AD60" i="1"/>
  <c r="AA232" i="1"/>
  <c r="AA144" i="1"/>
  <c r="AD38" i="1"/>
  <c r="AD29" i="1"/>
  <c r="AD25" i="1"/>
  <c r="AD23" i="1"/>
  <c r="AD262" i="1"/>
  <c r="AD256" i="1"/>
  <c r="AD221" i="1"/>
  <c r="AA193" i="1"/>
  <c r="AD184" i="1"/>
  <c r="AA167" i="1"/>
  <c r="AA264" i="1"/>
  <c r="AA262" i="1"/>
  <c r="AD252" i="1"/>
  <c r="AD247" i="1"/>
  <c r="AD237" i="1"/>
  <c r="AD233" i="1"/>
  <c r="AD219" i="1"/>
  <c r="AD161" i="1"/>
  <c r="AD159" i="1"/>
  <c r="AD157" i="1"/>
  <c r="AD153" i="1"/>
  <c r="AD143" i="1"/>
  <c r="AD95" i="1"/>
  <c r="AA70" i="1"/>
  <c r="AA68" i="1"/>
  <c r="AA45" i="1"/>
  <c r="AA25" i="1"/>
  <c r="AA23" i="1"/>
  <c r="AD216" i="1"/>
  <c r="AD263" i="1"/>
  <c r="AD224" i="1"/>
  <c r="AD69" i="1"/>
  <c r="AD181" i="1"/>
  <c r="AA161" i="1"/>
  <c r="AD141" i="1"/>
  <c r="AD137" i="1"/>
  <c r="AA131" i="1"/>
  <c r="AD122" i="1"/>
  <c r="AD120" i="1"/>
  <c r="AD55" i="1"/>
  <c r="AD260" i="1"/>
  <c r="AA266" i="1"/>
  <c r="AD257" i="1"/>
  <c r="AA250" i="1"/>
  <c r="AD220" i="1"/>
  <c r="AA194" i="1"/>
  <c r="AA191" i="1"/>
  <c r="AD171" i="1"/>
  <c r="AD164" i="1"/>
  <c r="AA145" i="1"/>
  <c r="AA143" i="1"/>
  <c r="AD134" i="1"/>
  <c r="AD132" i="1"/>
  <c r="AA79" i="1"/>
  <c r="AD40" i="1"/>
  <c r="AD37" i="1"/>
  <c r="AD26" i="1"/>
  <c r="AD22" i="1"/>
  <c r="AD225" i="1"/>
  <c r="AA234" i="1"/>
  <c r="AA215" i="1"/>
  <c r="AA209" i="1"/>
  <c r="AA207" i="1"/>
  <c r="AA173" i="1"/>
  <c r="AD167" i="1"/>
  <c r="AD160" i="1"/>
  <c r="AD156" i="1"/>
  <c r="AD154" i="1"/>
  <c r="AD144" i="1"/>
  <c r="AD96" i="1"/>
  <c r="AA69" i="1"/>
  <c r="AA55" i="1"/>
  <c r="AA44" i="1"/>
  <c r="AA42" i="1"/>
  <c r="AA35" i="1"/>
  <c r="AD223" i="1"/>
  <c r="AD188" i="1"/>
  <c r="AD180" i="1"/>
  <c r="AD176" i="1"/>
  <c r="AD174" i="1"/>
  <c r="AA158" i="1"/>
  <c r="AA152" i="1"/>
  <c r="AA150" i="1"/>
  <c r="AD121" i="1"/>
  <c r="AD210" i="1"/>
  <c r="AA135" i="1"/>
  <c r="AA40" i="1"/>
  <c r="AD266" i="1"/>
  <c r="AD261" i="1"/>
  <c r="AD235" i="1"/>
  <c r="AD231" i="1"/>
  <c r="AA214" i="1"/>
  <c r="AA206" i="1"/>
  <c r="AD200" i="1"/>
  <c r="AD190" i="1"/>
  <c r="AA185" i="1"/>
  <c r="AA181" i="1"/>
  <c r="AA179" i="1"/>
  <c r="AA175" i="1"/>
  <c r="AA170" i="1"/>
  <c r="AD155" i="1"/>
  <c r="AD151" i="1"/>
  <c r="AD142" i="1"/>
  <c r="AA134" i="1"/>
  <c r="AA122" i="1"/>
  <c r="AA120" i="1"/>
  <c r="AA100" i="1"/>
  <c r="AD98" i="1"/>
  <c r="AD53" i="1"/>
  <c r="AD41" i="1"/>
  <c r="AD35" i="1"/>
  <c r="AD33" i="1"/>
  <c r="AD31" i="1"/>
  <c r="AA255" i="1"/>
  <c r="AA189" i="1"/>
  <c r="AA141" i="1"/>
  <c r="AA93" i="1"/>
  <c r="AA21" i="1"/>
  <c r="AA263" i="1"/>
  <c r="AA258" i="1"/>
  <c r="AA253" i="1"/>
  <c r="AA239" i="1"/>
  <c r="AA237" i="1"/>
  <c r="AA233" i="1"/>
  <c r="AA227" i="1"/>
  <c r="AA222" i="1"/>
  <c r="AA190" i="1"/>
  <c r="AD186" i="1"/>
  <c r="AD162" i="1"/>
  <c r="AD133" i="1"/>
  <c r="AA130" i="1"/>
  <c r="AD125" i="1"/>
  <c r="AD123" i="1"/>
  <c r="AD101" i="1"/>
  <c r="AD77" i="1"/>
  <c r="AA33" i="1"/>
  <c r="AA31" i="1"/>
  <c r="AA26" i="1"/>
  <c r="AD241" i="1"/>
  <c r="AD214" i="1"/>
  <c r="AD187" i="1"/>
  <c r="AA154" i="1"/>
  <c r="AD264" i="1"/>
  <c r="AA261" i="1"/>
  <c r="AD246" i="1"/>
  <c r="AD243" i="1"/>
  <c r="AD240" i="1"/>
  <c r="AD234" i="1"/>
  <c r="AA231" i="1"/>
  <c r="AD215" i="1"/>
  <c r="AD213" i="1"/>
  <c r="AD211" i="1"/>
  <c r="AD194" i="1"/>
  <c r="AD191" i="1"/>
  <c r="AD182" i="1"/>
  <c r="AA159" i="1"/>
  <c r="AA153" i="1"/>
  <c r="AA151" i="1"/>
  <c r="AA140" i="1"/>
  <c r="AD131" i="1"/>
  <c r="AD244" i="1"/>
  <c r="AA199" i="1"/>
  <c r="AD185" i="1"/>
  <c r="AA165" i="1"/>
  <c r="AA97" i="1"/>
  <c r="AA56" i="1"/>
  <c r="AA203" i="1"/>
  <c r="AA196" i="1"/>
  <c r="AA186" i="1"/>
  <c r="AD152" i="1"/>
  <c r="AD135" i="1"/>
  <c r="AA133" i="1"/>
  <c r="AA125" i="1"/>
  <c r="AA101" i="1"/>
  <c r="AA77" i="1"/>
  <c r="AD42" i="1"/>
  <c r="AD36" i="1"/>
  <c r="AD34" i="1"/>
  <c r="AD32" i="1"/>
  <c r="AA224" i="1"/>
  <c r="AD193" i="1"/>
  <c r="AD168" i="1"/>
  <c r="AA156" i="1"/>
  <c r="AA60" i="1"/>
  <c r="AA29" i="1"/>
  <c r="AA267" i="1"/>
  <c r="AA243" i="1"/>
  <c r="AA240" i="1"/>
  <c r="AA238" i="1"/>
  <c r="AA236" i="1"/>
  <c r="AA213" i="1"/>
  <c r="AA211" i="1"/>
  <c r="AD179" i="1"/>
  <c r="AD175" i="1"/>
  <c r="AD165" i="1"/>
  <c r="AD163" i="1"/>
  <c r="AD146" i="1"/>
  <c r="AD124" i="1"/>
  <c r="AD21" i="1"/>
  <c r="AD258" i="1"/>
  <c r="AA257" i="1"/>
  <c r="AD227" i="1"/>
  <c r="AA226" i="1"/>
  <c r="AD199" i="1"/>
  <c r="AA198" i="1"/>
  <c r="AD170" i="1"/>
  <c r="AA169" i="1"/>
  <c r="AD140" i="1"/>
  <c r="AA137" i="1"/>
  <c r="AD100" i="1"/>
  <c r="AD97" i="1"/>
  <c r="AA96" i="1"/>
  <c r="AD20" i="1"/>
  <c r="AD206" i="1"/>
  <c r="AA205" i="1"/>
  <c r="AD177" i="1"/>
  <c r="AA176" i="1"/>
  <c r="AD147" i="1"/>
  <c r="AA146" i="1"/>
  <c r="AD46" i="1"/>
  <c r="AA20" i="1"/>
  <c r="AD259" i="1"/>
  <c r="AA249" i="1"/>
  <c r="AD229" i="1"/>
  <c r="AA218" i="1"/>
  <c r="AA38" i="1"/>
  <c r="AA155" i="1"/>
  <c r="AA121" i="1"/>
  <c r="AD267" i="1"/>
  <c r="AA256" i="1"/>
  <c r="AD236" i="1"/>
  <c r="AA225" i="1"/>
  <c r="AD207" i="1"/>
  <c r="AA197" i="1"/>
  <c r="AD178" i="1"/>
  <c r="AA168" i="1"/>
  <c r="AD150" i="1"/>
  <c r="AA136" i="1"/>
  <c r="AA95" i="1"/>
  <c r="AD49" i="1"/>
  <c r="AD44" i="1"/>
  <c r="AD24" i="1"/>
  <c r="C3" i="1" l="1"/>
  <c r="T202" i="1" l="1"/>
  <c r="T182" i="1"/>
  <c r="AC268" i="1"/>
  <c r="AB268" i="1"/>
  <c r="Z268" i="1"/>
  <c r="U268" i="1"/>
  <c r="U182" i="1" l="1"/>
  <c r="Z182" i="1"/>
  <c r="AA182" i="1" s="1"/>
  <c r="Z202" i="1"/>
  <c r="AA202" i="1" s="1"/>
  <c r="U202" i="1"/>
  <c r="AD268" i="1"/>
  <c r="AF268" i="1" l="1"/>
  <c r="U21" i="1"/>
  <c r="Y268" i="1" l="1"/>
  <c r="AA268" i="1" s="1"/>
  <c r="U18" i="1" l="1"/>
  <c r="AG2" i="1"/>
  <c r="AJ5" i="1"/>
  <c r="AE15" i="1"/>
  <c r="AE16" i="1"/>
  <c r="T4" i="1" a="1"/>
  <c r="R7" i="1" a="1"/>
  <c r="S9" i="1" a="1"/>
  <c r="V8" i="1" a="1"/>
  <c r="R5" i="1" a="1"/>
  <c r="V6" i="1" a="1"/>
  <c r="V4" i="1" a="1"/>
  <c r="V5" i="1" a="1"/>
  <c r="S6" i="1" a="1"/>
  <c r="T7" i="1" a="1"/>
  <c r="V10" i="1" a="1"/>
  <c r="T10" i="1" a="1"/>
  <c r="V9" i="1" a="1"/>
  <c r="T3" i="1" a="1"/>
  <c r="R6" i="1" a="1"/>
  <c r="S7" i="1" a="1"/>
  <c r="R9" i="1" a="1"/>
  <c r="T5" i="1" a="1"/>
  <c r="S10" i="1" a="1"/>
  <c r="V3" i="1" a="1"/>
  <c r="V7" i="1" a="1"/>
  <c r="T6" i="1" a="1"/>
  <c r="R8" i="1" a="1"/>
  <c r="S5" i="1" a="1"/>
  <c r="R3" i="1" a="1"/>
  <c r="S8" i="1" a="1"/>
  <c r="R10" i="1" a="1"/>
  <c r="S4" i="1" a="1"/>
  <c r="R4" i="1" a="1"/>
  <c r="S3" i="1" a="1"/>
  <c r="T8" i="1" a="1"/>
  <c r="T9" i="1" a="1"/>
  <c r="R7" i="1" l="1"/>
  <c r="R8" i="1"/>
  <c r="R4" i="1"/>
  <c r="R5" i="1"/>
  <c r="R9" i="1"/>
  <c r="R3" i="1"/>
  <c r="R10" i="1"/>
  <c r="R6" i="1"/>
  <c r="S7" i="1"/>
  <c r="S4" i="1"/>
  <c r="S8" i="1"/>
  <c r="S5" i="1"/>
  <c r="S3" i="1"/>
  <c r="S9" i="1"/>
  <c r="S10" i="1"/>
  <c r="S6" i="1"/>
  <c r="T7" i="1"/>
  <c r="T8" i="1"/>
  <c r="T4" i="1"/>
  <c r="T5" i="1"/>
  <c r="T3" i="1"/>
  <c r="T9" i="1"/>
  <c r="T10" i="1"/>
  <c r="T6" i="1"/>
  <c r="V8" i="1"/>
  <c r="V7" i="1"/>
  <c r="V4" i="1"/>
  <c r="V9" i="1"/>
  <c r="V5" i="1"/>
  <c r="V10" i="1"/>
  <c r="V3" i="1"/>
  <c r="V6" i="1"/>
  <c r="BO5" i="1"/>
  <c r="BN2" i="1"/>
  <c r="BD5" i="1"/>
  <c r="BD3" i="1"/>
  <c r="BD2" i="1"/>
  <c r="AG5" i="1"/>
  <c r="AG6" i="1"/>
  <c r="AG3"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297" i="1"/>
  <c r="AG295" i="1"/>
  <c r="AG293" i="1"/>
  <c r="AG291" i="1"/>
  <c r="AG284" i="1"/>
  <c r="AG283" i="1"/>
  <c r="AG281" i="1"/>
  <c r="AG280" i="1"/>
  <c r="AG275" i="1"/>
  <c r="AG274" i="1"/>
  <c r="AG271" i="1"/>
  <c r="AG270" i="1"/>
  <c r="AG17" i="1"/>
  <c r="AH13" i="1" l="1"/>
  <c r="AH14" i="1" s="1"/>
  <c r="AF18" i="1"/>
  <c r="L3" i="1"/>
  <c r="L6" i="1" a="1"/>
  <c r="L7" i="1" a="1"/>
  <c r="L4" i="1" a="1"/>
  <c r="L9" i="1" a="1"/>
  <c r="L8" i="1" a="1"/>
  <c r="L5" i="1" a="1"/>
  <c r="J5" i="1" a="1"/>
  <c r="L9" i="1" l="1"/>
  <c r="L8" i="1"/>
  <c r="L7" i="1"/>
  <c r="L6" i="1"/>
  <c r="L5" i="1"/>
  <c r="L4" i="1"/>
  <c r="AI13" i="1"/>
  <c r="AI14" i="1" s="1"/>
  <c r="J5" i="1"/>
  <c r="H3" i="1"/>
  <c r="BN3" i="1" s="1"/>
  <c r="AJ3" i="1"/>
  <c r="C2" i="1"/>
  <c r="AJ2" i="1" s="1"/>
  <c r="J4" i="1" a="1"/>
  <c r="J6" i="1" a="1"/>
  <c r="J9" i="1" a="1"/>
  <c r="J7" i="1" a="1"/>
  <c r="J8" i="1" a="1"/>
  <c r="L10" i="1" l="1"/>
  <c r="L11" i="1" s="1"/>
  <c r="AJ13" i="1"/>
  <c r="AK13" i="1" s="1"/>
  <c r="J9" i="1"/>
  <c r="J8" i="1"/>
  <c r="J7" i="1"/>
  <c r="J6" i="1"/>
  <c r="J4" i="1"/>
  <c r="Y18" i="1"/>
  <c r="M11" i="1" l="1"/>
  <c r="J10" i="1"/>
  <c r="AJ14" i="1"/>
  <c r="AK14" i="1"/>
  <c r="AL13" i="1"/>
  <c r="B5" i="6"/>
  <c r="B11" i="6" s="1"/>
  <c r="B10" i="6"/>
  <c r="AM13" i="1" l="1"/>
  <c r="AL14" i="1"/>
  <c r="S5" i="8"/>
  <c r="AN13" i="1" l="1"/>
  <c r="AM14" i="1"/>
  <c r="S25" i="8"/>
  <c r="T25" i="8"/>
  <c r="S26" i="8"/>
  <c r="T26" i="8"/>
  <c r="S27" i="8"/>
  <c r="T27" i="8"/>
  <c r="S28" i="8"/>
  <c r="T28" i="8"/>
  <c r="S29" i="8"/>
  <c r="T29" i="8"/>
  <c r="S30" i="8"/>
  <c r="T30" i="8"/>
  <c r="S31" i="8"/>
  <c r="T31" i="8"/>
  <c r="S32" i="8"/>
  <c r="T32" i="8"/>
  <c r="S33" i="8"/>
  <c r="T33" i="8"/>
  <c r="S34" i="8"/>
  <c r="T34" i="8"/>
  <c r="S35" i="8"/>
  <c r="T35" i="8"/>
  <c r="S36" i="8"/>
  <c r="T36" i="8"/>
  <c r="S37" i="8"/>
  <c r="T37" i="8"/>
  <c r="S38" i="8"/>
  <c r="T38" i="8"/>
  <c r="T5" i="8"/>
  <c r="AN14" i="1" l="1"/>
  <c r="AO13" i="1"/>
  <c r="T9" i="8"/>
  <c r="T10" i="8"/>
  <c r="T11" i="8"/>
  <c r="T12" i="8"/>
  <c r="T13" i="8"/>
  <c r="T14" i="8"/>
  <c r="T15" i="8"/>
  <c r="T16" i="8"/>
  <c r="T17" i="8"/>
  <c r="T18" i="8"/>
  <c r="T19" i="8"/>
  <c r="T20" i="8"/>
  <c r="T21" i="8"/>
  <c r="T22" i="8"/>
  <c r="T23" i="8"/>
  <c r="T24" i="8"/>
  <c r="S39" i="8"/>
  <c r="T39" i="8"/>
  <c r="S40" i="8"/>
  <c r="T40" i="8"/>
  <c r="S41" i="8"/>
  <c r="T41" i="8"/>
  <c r="S42" i="8"/>
  <c r="T42" i="8"/>
  <c r="S43" i="8"/>
  <c r="T43" i="8"/>
  <c r="S44" i="8"/>
  <c r="T44" i="8"/>
  <c r="S45" i="8"/>
  <c r="T45" i="8"/>
  <c r="S46" i="8"/>
  <c r="T46" i="8"/>
  <c r="S47" i="8"/>
  <c r="T47" i="8"/>
  <c r="S48" i="8"/>
  <c r="T48" i="8"/>
  <c r="S49" i="8"/>
  <c r="T49" i="8"/>
  <c r="S50" i="8"/>
  <c r="T50" i="8"/>
  <c r="S51" i="8"/>
  <c r="T51" i="8"/>
  <c r="S52" i="8"/>
  <c r="T52" i="8"/>
  <c r="S53" i="8"/>
  <c r="T53" i="8"/>
  <c r="S54" i="8"/>
  <c r="T54" i="8"/>
  <c r="S55" i="8"/>
  <c r="T55" i="8"/>
  <c r="S56" i="8"/>
  <c r="T56" i="8"/>
  <c r="S57" i="8"/>
  <c r="T57" i="8"/>
  <c r="S58" i="8"/>
  <c r="T58" i="8"/>
  <c r="S59" i="8"/>
  <c r="T59" i="8"/>
  <c r="S60" i="8"/>
  <c r="T60" i="8"/>
  <c r="S61" i="8"/>
  <c r="T61" i="8"/>
  <c r="S62" i="8"/>
  <c r="T62" i="8"/>
  <c r="S63" i="8"/>
  <c r="T63" i="8"/>
  <c r="S64" i="8"/>
  <c r="T64" i="8"/>
  <c r="S65" i="8"/>
  <c r="T65" i="8"/>
  <c r="S66" i="8"/>
  <c r="T66" i="8"/>
  <c r="S67" i="8"/>
  <c r="T67" i="8"/>
  <c r="S68" i="8"/>
  <c r="T68" i="8"/>
  <c r="S69" i="8"/>
  <c r="T69" i="8"/>
  <c r="S70" i="8"/>
  <c r="T70" i="8"/>
  <c r="S71" i="8"/>
  <c r="T71" i="8"/>
  <c r="S72" i="8"/>
  <c r="T72" i="8"/>
  <c r="S73" i="8"/>
  <c r="T73" i="8"/>
  <c r="S74" i="8"/>
  <c r="T74" i="8"/>
  <c r="S75" i="8"/>
  <c r="T75" i="8"/>
  <c r="S76" i="8"/>
  <c r="T76" i="8"/>
  <c r="S77" i="8"/>
  <c r="T77" i="8"/>
  <c r="S78" i="8"/>
  <c r="T78" i="8"/>
  <c r="S79" i="8"/>
  <c r="T79" i="8"/>
  <c r="S80" i="8"/>
  <c r="T80" i="8"/>
  <c r="S81" i="8"/>
  <c r="T81" i="8"/>
  <c r="S82" i="8"/>
  <c r="T82" i="8"/>
  <c r="S83" i="8"/>
  <c r="T83" i="8"/>
  <c r="S84" i="8"/>
  <c r="T84" i="8"/>
  <c r="S85" i="8"/>
  <c r="T85" i="8"/>
  <c r="S86" i="8"/>
  <c r="T86" i="8"/>
  <c r="S87" i="8"/>
  <c r="T87" i="8"/>
  <c r="S88" i="8"/>
  <c r="T88" i="8"/>
  <c r="S89" i="8"/>
  <c r="T89" i="8"/>
  <c r="S90" i="8"/>
  <c r="T90" i="8"/>
  <c r="S91" i="8"/>
  <c r="T91" i="8"/>
  <c r="S92" i="8"/>
  <c r="T92" i="8"/>
  <c r="S93" i="8"/>
  <c r="T93" i="8"/>
  <c r="S94" i="8"/>
  <c r="T94" i="8"/>
  <c r="S95" i="8"/>
  <c r="T95" i="8"/>
  <c r="S96" i="8"/>
  <c r="T96" i="8"/>
  <c r="S97" i="8"/>
  <c r="T97" i="8"/>
  <c r="S98" i="8"/>
  <c r="T98" i="8"/>
  <c r="S99" i="8"/>
  <c r="T99" i="8"/>
  <c r="S100" i="8"/>
  <c r="T100" i="8"/>
  <c r="S101" i="8"/>
  <c r="T101" i="8"/>
  <c r="S102" i="8"/>
  <c r="T102" i="8"/>
  <c r="S103" i="8"/>
  <c r="T103" i="8"/>
  <c r="S104" i="8"/>
  <c r="T104" i="8"/>
  <c r="S105" i="8"/>
  <c r="T105" i="8"/>
  <c r="S106" i="8"/>
  <c r="T106" i="8"/>
  <c r="S107" i="8"/>
  <c r="T107" i="8"/>
  <c r="S108" i="8"/>
  <c r="T108" i="8"/>
  <c r="S109" i="8"/>
  <c r="T109" i="8"/>
  <c r="S110" i="8"/>
  <c r="T110" i="8"/>
  <c r="S111" i="8"/>
  <c r="T111" i="8"/>
  <c r="S112" i="8"/>
  <c r="T112" i="8"/>
  <c r="S113" i="8"/>
  <c r="T113" i="8"/>
  <c r="S114" i="8"/>
  <c r="T114" i="8"/>
  <c r="S115" i="8"/>
  <c r="T115" i="8"/>
  <c r="S116" i="8"/>
  <c r="T116" i="8"/>
  <c r="S117" i="8"/>
  <c r="T117" i="8"/>
  <c r="S118" i="8"/>
  <c r="T118" i="8"/>
  <c r="S119" i="8"/>
  <c r="T119" i="8"/>
  <c r="S120" i="8"/>
  <c r="T120" i="8"/>
  <c r="S121" i="8"/>
  <c r="T121" i="8"/>
  <c r="S122" i="8"/>
  <c r="T122" i="8"/>
  <c r="S123" i="8"/>
  <c r="T123" i="8"/>
  <c r="S124" i="8"/>
  <c r="T124" i="8"/>
  <c r="S125" i="8"/>
  <c r="T125" i="8"/>
  <c r="S126" i="8"/>
  <c r="T126" i="8"/>
  <c r="S127" i="8"/>
  <c r="T127" i="8"/>
  <c r="S128" i="8"/>
  <c r="T128" i="8"/>
  <c r="S129" i="8"/>
  <c r="T129" i="8"/>
  <c r="S130" i="8"/>
  <c r="T130" i="8"/>
  <c r="S131" i="8"/>
  <c r="T131" i="8"/>
  <c r="S132" i="8"/>
  <c r="T132" i="8"/>
  <c r="S133" i="8"/>
  <c r="T133" i="8"/>
  <c r="S134" i="8"/>
  <c r="T134" i="8"/>
  <c r="S135" i="8"/>
  <c r="T135" i="8"/>
  <c r="S136" i="8"/>
  <c r="T136" i="8"/>
  <c r="S137" i="8"/>
  <c r="T137" i="8"/>
  <c r="S138" i="8"/>
  <c r="T138" i="8"/>
  <c r="S139" i="8"/>
  <c r="T139" i="8"/>
  <c r="S140" i="8"/>
  <c r="T140" i="8"/>
  <c r="S141" i="8"/>
  <c r="T141" i="8"/>
  <c r="S142" i="8"/>
  <c r="T142" i="8"/>
  <c r="S143" i="8"/>
  <c r="T143" i="8"/>
  <c r="S144" i="8"/>
  <c r="T144" i="8"/>
  <c r="S145" i="8"/>
  <c r="T145" i="8"/>
  <c r="S146" i="8"/>
  <c r="T146" i="8"/>
  <c r="S147" i="8"/>
  <c r="T147" i="8"/>
  <c r="S148" i="8"/>
  <c r="T148" i="8"/>
  <c r="S149" i="8"/>
  <c r="T149" i="8"/>
  <c r="S150" i="8"/>
  <c r="T150" i="8"/>
  <c r="S151" i="8"/>
  <c r="T151" i="8"/>
  <c r="S152" i="8"/>
  <c r="T152" i="8"/>
  <c r="S153" i="8"/>
  <c r="T153" i="8"/>
  <c r="S154" i="8"/>
  <c r="T154" i="8"/>
  <c r="S155" i="8"/>
  <c r="T155" i="8"/>
  <c r="S156" i="8"/>
  <c r="T156" i="8"/>
  <c r="S157" i="8"/>
  <c r="T157" i="8"/>
  <c r="S158" i="8"/>
  <c r="T158" i="8"/>
  <c r="S159" i="8"/>
  <c r="T159" i="8"/>
  <c r="S160" i="8"/>
  <c r="T160" i="8"/>
  <c r="S161" i="8"/>
  <c r="T161" i="8"/>
  <c r="S162" i="8"/>
  <c r="T162" i="8"/>
  <c r="S163" i="8"/>
  <c r="T163" i="8"/>
  <c r="S164" i="8"/>
  <c r="T164" i="8"/>
  <c r="S165" i="8"/>
  <c r="T165" i="8"/>
  <c r="S166" i="8"/>
  <c r="T166" i="8"/>
  <c r="S167" i="8"/>
  <c r="T167" i="8"/>
  <c r="S168" i="8"/>
  <c r="T168" i="8"/>
  <c r="S169" i="8"/>
  <c r="T169" i="8"/>
  <c r="S170" i="8"/>
  <c r="T170" i="8"/>
  <c r="S171" i="8"/>
  <c r="T171" i="8"/>
  <c r="S172" i="8"/>
  <c r="T172" i="8"/>
  <c r="S173" i="8"/>
  <c r="T173" i="8"/>
  <c r="S174" i="8"/>
  <c r="T174" i="8"/>
  <c r="S175" i="8"/>
  <c r="T175" i="8"/>
  <c r="S176" i="8"/>
  <c r="T176" i="8"/>
  <c r="S177" i="8"/>
  <c r="T177" i="8"/>
  <c r="S178" i="8"/>
  <c r="T178" i="8"/>
  <c r="S179" i="8"/>
  <c r="T179" i="8"/>
  <c r="S180" i="8"/>
  <c r="T180" i="8"/>
  <c r="S181" i="8"/>
  <c r="T181" i="8"/>
  <c r="S182" i="8"/>
  <c r="T182" i="8"/>
  <c r="S183" i="8"/>
  <c r="T183" i="8"/>
  <c r="S184" i="8"/>
  <c r="T184" i="8"/>
  <c r="S185" i="8"/>
  <c r="T185" i="8"/>
  <c r="S186" i="8"/>
  <c r="T186" i="8"/>
  <c r="S187" i="8"/>
  <c r="T187" i="8"/>
  <c r="S188" i="8"/>
  <c r="T188" i="8"/>
  <c r="S189" i="8"/>
  <c r="T189" i="8"/>
  <c r="S190" i="8"/>
  <c r="T190" i="8"/>
  <c r="S191" i="8"/>
  <c r="T191" i="8"/>
  <c r="S192" i="8"/>
  <c r="T192" i="8"/>
  <c r="S193" i="8"/>
  <c r="T193" i="8"/>
  <c r="S194" i="8"/>
  <c r="T194" i="8"/>
  <c r="S195" i="8"/>
  <c r="T195" i="8"/>
  <c r="S196" i="8"/>
  <c r="T196" i="8"/>
  <c r="S197" i="8"/>
  <c r="T197" i="8"/>
  <c r="S198" i="8"/>
  <c r="T198" i="8"/>
  <c r="S199" i="8"/>
  <c r="T199" i="8"/>
  <c r="S200" i="8"/>
  <c r="T200" i="8"/>
  <c r="S201" i="8"/>
  <c r="T201" i="8"/>
  <c r="S202" i="8"/>
  <c r="T202" i="8"/>
  <c r="S203" i="8"/>
  <c r="T203" i="8"/>
  <c r="S204" i="8"/>
  <c r="T204" i="8"/>
  <c r="S205" i="8"/>
  <c r="T205" i="8"/>
  <c r="S206" i="8"/>
  <c r="T206" i="8"/>
  <c r="S207" i="8"/>
  <c r="T207" i="8"/>
  <c r="S208" i="8"/>
  <c r="T208" i="8"/>
  <c r="S209" i="8"/>
  <c r="T209" i="8"/>
  <c r="S210" i="8"/>
  <c r="T210" i="8"/>
  <c r="S211" i="8"/>
  <c r="T211" i="8"/>
  <c r="S212" i="8"/>
  <c r="T212" i="8"/>
  <c r="S213" i="8"/>
  <c r="T213" i="8"/>
  <c r="S214" i="8"/>
  <c r="T214" i="8"/>
  <c r="S215" i="8"/>
  <c r="T215" i="8"/>
  <c r="S216" i="8"/>
  <c r="T216" i="8"/>
  <c r="S217" i="8"/>
  <c r="T217" i="8"/>
  <c r="S218" i="8"/>
  <c r="T218" i="8"/>
  <c r="S219" i="8"/>
  <c r="T219" i="8"/>
  <c r="S220" i="8"/>
  <c r="T220" i="8"/>
  <c r="S221" i="8"/>
  <c r="T221" i="8"/>
  <c r="S222" i="8"/>
  <c r="T222" i="8"/>
  <c r="S223" i="8"/>
  <c r="T223" i="8"/>
  <c r="S224" i="8"/>
  <c r="T224" i="8"/>
  <c r="S225" i="8"/>
  <c r="T225" i="8"/>
  <c r="S226" i="8"/>
  <c r="T226" i="8"/>
  <c r="S227" i="8"/>
  <c r="T227" i="8"/>
  <c r="S228" i="8"/>
  <c r="T228" i="8"/>
  <c r="S229" i="8"/>
  <c r="T229" i="8"/>
  <c r="S230" i="8"/>
  <c r="T230" i="8"/>
  <c r="S231" i="8"/>
  <c r="T231" i="8"/>
  <c r="S232" i="8"/>
  <c r="T232" i="8"/>
  <c r="S233" i="8"/>
  <c r="T233" i="8"/>
  <c r="S234" i="8"/>
  <c r="T234" i="8"/>
  <c r="S235" i="8"/>
  <c r="T235" i="8"/>
  <c r="S236" i="8"/>
  <c r="T236" i="8"/>
  <c r="S237" i="8"/>
  <c r="T237" i="8"/>
  <c r="S238" i="8"/>
  <c r="T238" i="8"/>
  <c r="S239" i="8"/>
  <c r="T239" i="8"/>
  <c r="S240" i="8"/>
  <c r="T240" i="8"/>
  <c r="S241" i="8"/>
  <c r="T241" i="8"/>
  <c r="S242" i="8"/>
  <c r="T242" i="8"/>
  <c r="S243" i="8"/>
  <c r="T243" i="8"/>
  <c r="S244" i="8"/>
  <c r="T244" i="8"/>
  <c r="S245" i="8"/>
  <c r="T245" i="8"/>
  <c r="S246" i="8"/>
  <c r="T246" i="8"/>
  <c r="S247" i="8"/>
  <c r="T247" i="8"/>
  <c r="S248" i="8"/>
  <c r="T248" i="8"/>
  <c r="S249" i="8"/>
  <c r="T249" i="8"/>
  <c r="S250" i="8"/>
  <c r="T250" i="8"/>
  <c r="S251" i="8"/>
  <c r="T251" i="8"/>
  <c r="S252" i="8"/>
  <c r="T252" i="8"/>
  <c r="S253" i="8"/>
  <c r="T253" i="8"/>
  <c r="S254" i="8"/>
  <c r="T254" i="8"/>
  <c r="S255" i="8"/>
  <c r="T255" i="8"/>
  <c r="S256" i="8"/>
  <c r="T256" i="8"/>
  <c r="S257" i="8"/>
  <c r="T257" i="8"/>
  <c r="S258" i="8"/>
  <c r="T258" i="8"/>
  <c r="S259" i="8"/>
  <c r="T259" i="8"/>
  <c r="S260" i="8"/>
  <c r="T260" i="8"/>
  <c r="S261" i="8"/>
  <c r="T261" i="8"/>
  <c r="S262" i="8"/>
  <c r="T262" i="8"/>
  <c r="S263" i="8"/>
  <c r="T263" i="8"/>
  <c r="S264" i="8"/>
  <c r="T264" i="8"/>
  <c r="S265" i="8"/>
  <c r="T265" i="8"/>
  <c r="S266" i="8"/>
  <c r="T266" i="8"/>
  <c r="S267" i="8"/>
  <c r="T267" i="8"/>
  <c r="S268" i="8"/>
  <c r="T268" i="8"/>
  <c r="S269" i="8"/>
  <c r="T269" i="8"/>
  <c r="S270" i="8"/>
  <c r="T270" i="8"/>
  <c r="S271" i="8"/>
  <c r="T271" i="8"/>
  <c r="S272" i="8"/>
  <c r="T272" i="8"/>
  <c r="S273" i="8"/>
  <c r="T273" i="8"/>
  <c r="S274" i="8"/>
  <c r="T274" i="8"/>
  <c r="S275" i="8"/>
  <c r="T275" i="8"/>
  <c r="S276" i="8"/>
  <c r="T276" i="8"/>
  <c r="S277" i="8"/>
  <c r="T277" i="8"/>
  <c r="S278" i="8"/>
  <c r="T278" i="8"/>
  <c r="S279" i="8"/>
  <c r="T279" i="8"/>
  <c r="S280" i="8"/>
  <c r="T280" i="8"/>
  <c r="S281" i="8"/>
  <c r="T281" i="8"/>
  <c r="S282" i="8"/>
  <c r="T282" i="8"/>
  <c r="S283" i="8"/>
  <c r="T283" i="8"/>
  <c r="S284" i="8"/>
  <c r="T284" i="8"/>
  <c r="S285" i="8"/>
  <c r="T285" i="8"/>
  <c r="S286" i="8"/>
  <c r="T286" i="8"/>
  <c r="S287" i="8"/>
  <c r="T287" i="8"/>
  <c r="S288" i="8"/>
  <c r="T288" i="8"/>
  <c r="S289" i="8"/>
  <c r="T289" i="8"/>
  <c r="S290" i="8"/>
  <c r="T290" i="8"/>
  <c r="S291" i="8"/>
  <c r="T291" i="8"/>
  <c r="S292" i="8"/>
  <c r="T292" i="8"/>
  <c r="S293" i="8"/>
  <c r="T293" i="8"/>
  <c r="S294" i="8"/>
  <c r="T294" i="8"/>
  <c r="S295" i="8"/>
  <c r="T295" i="8"/>
  <c r="S296" i="8"/>
  <c r="T296" i="8"/>
  <c r="S297" i="8"/>
  <c r="T297" i="8"/>
  <c r="S298" i="8"/>
  <c r="T298" i="8"/>
  <c r="S299" i="8"/>
  <c r="T299" i="8"/>
  <c r="S300" i="8"/>
  <c r="T300" i="8"/>
  <c r="S301" i="8"/>
  <c r="T301" i="8"/>
  <c r="S302" i="8"/>
  <c r="T302" i="8"/>
  <c r="S303" i="8"/>
  <c r="T303" i="8"/>
  <c r="S304" i="8"/>
  <c r="T304" i="8"/>
  <c r="S305" i="8"/>
  <c r="T305" i="8"/>
  <c r="S306" i="8"/>
  <c r="T306" i="8"/>
  <c r="S307" i="8"/>
  <c r="T307" i="8"/>
  <c r="S308" i="8"/>
  <c r="T308" i="8"/>
  <c r="S309" i="8"/>
  <c r="T309" i="8"/>
  <c r="S310" i="8"/>
  <c r="T310" i="8"/>
  <c r="S311" i="8"/>
  <c r="T311" i="8"/>
  <c r="S312" i="8"/>
  <c r="T312" i="8"/>
  <c r="S313" i="8"/>
  <c r="T313" i="8"/>
  <c r="S314" i="8"/>
  <c r="T314" i="8"/>
  <c r="S315" i="8"/>
  <c r="T315" i="8"/>
  <c r="S316" i="8"/>
  <c r="T316" i="8"/>
  <c r="S317" i="8"/>
  <c r="T317" i="8"/>
  <c r="S318" i="8"/>
  <c r="T318" i="8"/>
  <c r="S319" i="8"/>
  <c r="T319" i="8"/>
  <c r="S320" i="8"/>
  <c r="T320" i="8"/>
  <c r="S321" i="8"/>
  <c r="T321" i="8"/>
  <c r="S322" i="8"/>
  <c r="T322" i="8"/>
  <c r="S323" i="8"/>
  <c r="T323" i="8"/>
  <c r="S324" i="8"/>
  <c r="T324" i="8"/>
  <c r="S325" i="8"/>
  <c r="T325" i="8"/>
  <c r="S326" i="8"/>
  <c r="T326" i="8"/>
  <c r="S327" i="8"/>
  <c r="T327" i="8"/>
  <c r="S328" i="8"/>
  <c r="T328" i="8"/>
  <c r="S329" i="8"/>
  <c r="T329" i="8"/>
  <c r="S330" i="8"/>
  <c r="T330" i="8"/>
  <c r="S331" i="8"/>
  <c r="T331" i="8"/>
  <c r="S332" i="8"/>
  <c r="T332" i="8"/>
  <c r="S333" i="8"/>
  <c r="T333" i="8"/>
  <c r="S334" i="8"/>
  <c r="T334" i="8"/>
  <c r="S335" i="8"/>
  <c r="T335" i="8"/>
  <c r="S336" i="8"/>
  <c r="T336" i="8"/>
  <c r="S337" i="8"/>
  <c r="T337" i="8"/>
  <c r="S338" i="8"/>
  <c r="T338" i="8"/>
  <c r="S339" i="8"/>
  <c r="T339" i="8"/>
  <c r="S340" i="8"/>
  <c r="T340" i="8"/>
  <c r="S341" i="8"/>
  <c r="T341" i="8"/>
  <c r="S342" i="8"/>
  <c r="T342" i="8"/>
  <c r="S343" i="8"/>
  <c r="T343" i="8"/>
  <c r="S344" i="8"/>
  <c r="T344" i="8"/>
  <c r="S345" i="8"/>
  <c r="T345" i="8"/>
  <c r="S346" i="8"/>
  <c r="T346" i="8"/>
  <c r="S347" i="8"/>
  <c r="T347" i="8"/>
  <c r="S348" i="8"/>
  <c r="T348" i="8"/>
  <c r="S349" i="8"/>
  <c r="T349" i="8"/>
  <c r="S350" i="8"/>
  <c r="T350" i="8"/>
  <c r="S351" i="8"/>
  <c r="T351" i="8"/>
  <c r="S352" i="8"/>
  <c r="T352" i="8"/>
  <c r="S353" i="8"/>
  <c r="T353" i="8"/>
  <c r="S354" i="8"/>
  <c r="T354" i="8"/>
  <c r="S355" i="8"/>
  <c r="T355" i="8"/>
  <c r="S356" i="8"/>
  <c r="T356" i="8"/>
  <c r="S357" i="8"/>
  <c r="T357" i="8"/>
  <c r="S358" i="8"/>
  <c r="T358" i="8"/>
  <c r="S359" i="8"/>
  <c r="T359" i="8"/>
  <c r="S360" i="8"/>
  <c r="T360" i="8"/>
  <c r="S361" i="8"/>
  <c r="T361" i="8"/>
  <c r="S362" i="8"/>
  <c r="T362" i="8"/>
  <c r="S363" i="8"/>
  <c r="T363" i="8"/>
  <c r="S364" i="8"/>
  <c r="T364" i="8"/>
  <c r="S365" i="8"/>
  <c r="T365" i="8"/>
  <c r="S366" i="8"/>
  <c r="T366" i="8"/>
  <c r="S367" i="8"/>
  <c r="T367" i="8"/>
  <c r="S368" i="8"/>
  <c r="T368" i="8"/>
  <c r="S369" i="8"/>
  <c r="T369" i="8"/>
  <c r="S370" i="8"/>
  <c r="T370" i="8"/>
  <c r="S371" i="8"/>
  <c r="T371" i="8"/>
  <c r="S372" i="8"/>
  <c r="T372" i="8"/>
  <c r="S373" i="8"/>
  <c r="T373" i="8"/>
  <c r="S374" i="8"/>
  <c r="T374" i="8"/>
  <c r="S375" i="8"/>
  <c r="T375" i="8"/>
  <c r="S376" i="8"/>
  <c r="T376" i="8"/>
  <c r="S377" i="8"/>
  <c r="T377" i="8"/>
  <c r="S378" i="8"/>
  <c r="T378" i="8"/>
  <c r="S379" i="8"/>
  <c r="T379" i="8"/>
  <c r="S380" i="8"/>
  <c r="T380" i="8"/>
  <c r="S381" i="8"/>
  <c r="T381" i="8"/>
  <c r="S382" i="8"/>
  <c r="T382" i="8"/>
  <c r="S383" i="8"/>
  <c r="T383" i="8"/>
  <c r="S384" i="8"/>
  <c r="T384" i="8"/>
  <c r="S385" i="8"/>
  <c r="T385" i="8"/>
  <c r="S386" i="8"/>
  <c r="T386" i="8"/>
  <c r="S387" i="8"/>
  <c r="T387" i="8"/>
  <c r="S388" i="8"/>
  <c r="T388" i="8"/>
  <c r="S389" i="8"/>
  <c r="T389" i="8"/>
  <c r="S390" i="8"/>
  <c r="T390" i="8"/>
  <c r="S391" i="8"/>
  <c r="T391" i="8"/>
  <c r="S392" i="8"/>
  <c r="T392" i="8"/>
  <c r="S393" i="8"/>
  <c r="T393" i="8"/>
  <c r="S394" i="8"/>
  <c r="T394" i="8"/>
  <c r="S395" i="8"/>
  <c r="T395" i="8"/>
  <c r="S396" i="8"/>
  <c r="T396" i="8"/>
  <c r="S397" i="8"/>
  <c r="T397" i="8"/>
  <c r="S398" i="8"/>
  <c r="T398" i="8"/>
  <c r="S399" i="8"/>
  <c r="T399" i="8"/>
  <c r="S400" i="8"/>
  <c r="T400" i="8"/>
  <c r="S401" i="8"/>
  <c r="T401" i="8"/>
  <c r="S402" i="8"/>
  <c r="T402" i="8"/>
  <c r="S403" i="8"/>
  <c r="T403" i="8"/>
  <c r="S404" i="8"/>
  <c r="T404" i="8"/>
  <c r="S405" i="8"/>
  <c r="T405" i="8"/>
  <c r="S406" i="8"/>
  <c r="T406" i="8"/>
  <c r="S407" i="8"/>
  <c r="T407" i="8"/>
  <c r="S408" i="8"/>
  <c r="T408" i="8"/>
  <c r="S409" i="8"/>
  <c r="T409" i="8"/>
  <c r="S410" i="8"/>
  <c r="T410" i="8"/>
  <c r="S411" i="8"/>
  <c r="T411" i="8"/>
  <c r="S412" i="8"/>
  <c r="T412" i="8"/>
  <c r="S413" i="8"/>
  <c r="T413" i="8"/>
  <c r="S414" i="8"/>
  <c r="T414" i="8"/>
  <c r="S415" i="8"/>
  <c r="T415" i="8"/>
  <c r="S416" i="8"/>
  <c r="T416" i="8"/>
  <c r="S417" i="8"/>
  <c r="T417" i="8"/>
  <c r="S418" i="8"/>
  <c r="T418" i="8"/>
  <c r="S419" i="8"/>
  <c r="T419" i="8"/>
  <c r="S420" i="8"/>
  <c r="T420" i="8"/>
  <c r="S421" i="8"/>
  <c r="T421" i="8"/>
  <c r="S422" i="8"/>
  <c r="T422" i="8"/>
  <c r="S423" i="8"/>
  <c r="T423" i="8"/>
  <c r="S424" i="8"/>
  <c r="T424" i="8"/>
  <c r="S425" i="8"/>
  <c r="T425" i="8"/>
  <c r="S426" i="8"/>
  <c r="T426" i="8"/>
  <c r="S427" i="8"/>
  <c r="T427" i="8"/>
  <c r="S428" i="8"/>
  <c r="T428" i="8"/>
  <c r="S429" i="8"/>
  <c r="T429" i="8"/>
  <c r="S430" i="8"/>
  <c r="T430" i="8"/>
  <c r="S431" i="8"/>
  <c r="T431" i="8"/>
  <c r="S432" i="8"/>
  <c r="T432" i="8"/>
  <c r="S433" i="8"/>
  <c r="T433" i="8"/>
  <c r="S434" i="8"/>
  <c r="T434" i="8"/>
  <c r="S435" i="8"/>
  <c r="T435" i="8"/>
  <c r="S436" i="8"/>
  <c r="T436" i="8"/>
  <c r="S437" i="8"/>
  <c r="T437" i="8"/>
  <c r="S438" i="8"/>
  <c r="T438" i="8"/>
  <c r="S439" i="8"/>
  <c r="T439" i="8"/>
  <c r="S440" i="8"/>
  <c r="T440" i="8"/>
  <c r="S441" i="8"/>
  <c r="T441" i="8"/>
  <c r="S442" i="8"/>
  <c r="T442" i="8"/>
  <c r="S443" i="8"/>
  <c r="T443" i="8"/>
  <c r="S444" i="8"/>
  <c r="T444" i="8"/>
  <c r="S445" i="8"/>
  <c r="T445" i="8"/>
  <c r="S446" i="8"/>
  <c r="T446" i="8"/>
  <c r="S447" i="8"/>
  <c r="T447" i="8"/>
  <c r="S448" i="8"/>
  <c r="T448" i="8"/>
  <c r="S449" i="8"/>
  <c r="T449" i="8"/>
  <c r="S450" i="8"/>
  <c r="T450" i="8"/>
  <c r="S451" i="8"/>
  <c r="T451" i="8"/>
  <c r="S452" i="8"/>
  <c r="T452" i="8"/>
  <c r="S453" i="8"/>
  <c r="T453" i="8"/>
  <c r="S454" i="8"/>
  <c r="T454" i="8"/>
  <c r="S455" i="8"/>
  <c r="T455" i="8"/>
  <c r="S456" i="8"/>
  <c r="T456" i="8"/>
  <c r="S457" i="8"/>
  <c r="T457" i="8"/>
  <c r="S458" i="8"/>
  <c r="T458" i="8"/>
  <c r="S459" i="8"/>
  <c r="T459" i="8"/>
  <c r="S460" i="8"/>
  <c r="T460" i="8"/>
  <c r="S461" i="8"/>
  <c r="T461" i="8"/>
  <c r="S462" i="8"/>
  <c r="T462" i="8"/>
  <c r="S463" i="8"/>
  <c r="T463" i="8"/>
  <c r="S464" i="8"/>
  <c r="T464" i="8"/>
  <c r="S465" i="8"/>
  <c r="T465" i="8"/>
  <c r="S466" i="8"/>
  <c r="T466" i="8"/>
  <c r="S467" i="8"/>
  <c r="T467" i="8"/>
  <c r="S468" i="8"/>
  <c r="T468" i="8"/>
  <c r="S469" i="8"/>
  <c r="T469" i="8"/>
  <c r="S470" i="8"/>
  <c r="T470" i="8"/>
  <c r="S471" i="8"/>
  <c r="T471" i="8"/>
  <c r="S472" i="8"/>
  <c r="T472" i="8"/>
  <c r="S473" i="8"/>
  <c r="T473" i="8"/>
  <c r="S474" i="8"/>
  <c r="T474" i="8"/>
  <c r="S475" i="8"/>
  <c r="T475" i="8"/>
  <c r="S476" i="8"/>
  <c r="T476" i="8"/>
  <c r="S477" i="8"/>
  <c r="T477" i="8"/>
  <c r="S478" i="8"/>
  <c r="T478" i="8"/>
  <c r="S479" i="8"/>
  <c r="T479" i="8"/>
  <c r="S480" i="8"/>
  <c r="T480" i="8"/>
  <c r="S481" i="8"/>
  <c r="T481" i="8"/>
  <c r="S482" i="8"/>
  <c r="T482" i="8"/>
  <c r="S483" i="8"/>
  <c r="T483" i="8"/>
  <c r="S484" i="8"/>
  <c r="T484" i="8"/>
  <c r="S485" i="8"/>
  <c r="T485" i="8"/>
  <c r="S486" i="8"/>
  <c r="T486" i="8"/>
  <c r="S487" i="8"/>
  <c r="T487" i="8"/>
  <c r="S488" i="8"/>
  <c r="T488" i="8"/>
  <c r="S489" i="8"/>
  <c r="T489" i="8"/>
  <c r="S490" i="8"/>
  <c r="T490" i="8"/>
  <c r="S491" i="8"/>
  <c r="T491" i="8"/>
  <c r="S492" i="8"/>
  <c r="T492" i="8"/>
  <c r="S493" i="8"/>
  <c r="T493" i="8"/>
  <c r="S494" i="8"/>
  <c r="T494" i="8"/>
  <c r="S495" i="8"/>
  <c r="T495" i="8"/>
  <c r="S496" i="8"/>
  <c r="T496" i="8"/>
  <c r="S497" i="8"/>
  <c r="T497" i="8"/>
  <c r="S498" i="8"/>
  <c r="T498" i="8"/>
  <c r="S499" i="8"/>
  <c r="T499" i="8"/>
  <c r="S500" i="8"/>
  <c r="T500" i="8"/>
  <c r="S501" i="8"/>
  <c r="T501" i="8"/>
  <c r="S502" i="8"/>
  <c r="T502" i="8"/>
  <c r="S503" i="8"/>
  <c r="T503" i="8"/>
  <c r="S504" i="8"/>
  <c r="T504" i="8"/>
  <c r="S505" i="8"/>
  <c r="T505" i="8"/>
  <c r="S506" i="8"/>
  <c r="T506" i="8"/>
  <c r="S507" i="8"/>
  <c r="T507" i="8"/>
  <c r="S508" i="8"/>
  <c r="T508" i="8"/>
  <c r="S509" i="8"/>
  <c r="T509" i="8"/>
  <c r="S510" i="8"/>
  <c r="T510" i="8"/>
  <c r="S511" i="8"/>
  <c r="T511" i="8"/>
  <c r="S512" i="8"/>
  <c r="T512" i="8"/>
  <c r="S513" i="8"/>
  <c r="T513" i="8"/>
  <c r="S514" i="8"/>
  <c r="T514" i="8"/>
  <c r="S515" i="8"/>
  <c r="T515" i="8"/>
  <c r="S516" i="8"/>
  <c r="T516" i="8"/>
  <c r="S517" i="8"/>
  <c r="T517" i="8"/>
  <c r="S518" i="8"/>
  <c r="T518" i="8"/>
  <c r="S519" i="8"/>
  <c r="T519" i="8"/>
  <c r="S520" i="8"/>
  <c r="T520" i="8"/>
  <c r="S521" i="8"/>
  <c r="T521" i="8"/>
  <c r="S522" i="8"/>
  <c r="T522" i="8"/>
  <c r="S523" i="8"/>
  <c r="T523" i="8"/>
  <c r="S524" i="8"/>
  <c r="T524" i="8"/>
  <c r="S525" i="8"/>
  <c r="T525" i="8"/>
  <c r="S526" i="8"/>
  <c r="T526" i="8"/>
  <c r="S527" i="8"/>
  <c r="T527" i="8"/>
  <c r="S528" i="8"/>
  <c r="T528" i="8"/>
  <c r="S529" i="8"/>
  <c r="T529" i="8"/>
  <c r="S530" i="8"/>
  <c r="T530" i="8"/>
  <c r="S531" i="8"/>
  <c r="T531" i="8"/>
  <c r="S532" i="8"/>
  <c r="T532" i="8"/>
  <c r="S533" i="8"/>
  <c r="T533" i="8"/>
  <c r="S534" i="8"/>
  <c r="T534" i="8"/>
  <c r="S535" i="8"/>
  <c r="T535" i="8"/>
  <c r="S536" i="8"/>
  <c r="T536" i="8"/>
  <c r="S537" i="8"/>
  <c r="T537" i="8"/>
  <c r="S538" i="8"/>
  <c r="T538" i="8"/>
  <c r="S539" i="8"/>
  <c r="T539" i="8"/>
  <c r="S540" i="8"/>
  <c r="T540" i="8"/>
  <c r="S541" i="8"/>
  <c r="T541" i="8"/>
  <c r="S542" i="8"/>
  <c r="T542" i="8"/>
  <c r="S543" i="8"/>
  <c r="T543" i="8"/>
  <c r="S544" i="8"/>
  <c r="T544" i="8"/>
  <c r="S545" i="8"/>
  <c r="T545" i="8"/>
  <c r="S546" i="8"/>
  <c r="T546" i="8"/>
  <c r="S547" i="8"/>
  <c r="T547" i="8"/>
  <c r="S548" i="8"/>
  <c r="T548" i="8"/>
  <c r="S549" i="8"/>
  <c r="T549" i="8"/>
  <c r="S550" i="8"/>
  <c r="T550" i="8"/>
  <c r="S551" i="8"/>
  <c r="T551" i="8"/>
  <c r="S552" i="8"/>
  <c r="T552" i="8"/>
  <c r="S553" i="8"/>
  <c r="T553" i="8"/>
  <c r="S554" i="8"/>
  <c r="T554" i="8"/>
  <c r="S555" i="8"/>
  <c r="T555" i="8"/>
  <c r="S556" i="8"/>
  <c r="T556" i="8"/>
  <c r="S557" i="8"/>
  <c r="T557" i="8"/>
  <c r="S558" i="8"/>
  <c r="T558" i="8"/>
  <c r="S559" i="8"/>
  <c r="T559" i="8"/>
  <c r="S560" i="8"/>
  <c r="T560" i="8"/>
  <c r="S561" i="8"/>
  <c r="T561" i="8"/>
  <c r="S562" i="8"/>
  <c r="T562" i="8"/>
  <c r="S563" i="8"/>
  <c r="T563" i="8"/>
  <c r="S564" i="8"/>
  <c r="T564" i="8"/>
  <c r="S565" i="8"/>
  <c r="T565" i="8"/>
  <c r="S566" i="8"/>
  <c r="T566" i="8"/>
  <c r="S567" i="8"/>
  <c r="T567" i="8"/>
  <c r="S568" i="8"/>
  <c r="T568" i="8"/>
  <c r="S569" i="8"/>
  <c r="T569" i="8"/>
  <c r="S570" i="8"/>
  <c r="T570" i="8"/>
  <c r="S571" i="8"/>
  <c r="T571" i="8"/>
  <c r="S572" i="8"/>
  <c r="T572" i="8"/>
  <c r="S573" i="8"/>
  <c r="T573" i="8"/>
  <c r="S574" i="8"/>
  <c r="T574" i="8"/>
  <c r="S575" i="8"/>
  <c r="T575" i="8"/>
  <c r="S576" i="8"/>
  <c r="T576" i="8"/>
  <c r="S577" i="8"/>
  <c r="T577" i="8"/>
  <c r="S578" i="8"/>
  <c r="T578" i="8"/>
  <c r="S579" i="8"/>
  <c r="T579" i="8"/>
  <c r="S580" i="8"/>
  <c r="T580" i="8"/>
  <c r="S581" i="8"/>
  <c r="T581" i="8"/>
  <c r="S582" i="8"/>
  <c r="T582" i="8"/>
  <c r="S583" i="8"/>
  <c r="T583" i="8"/>
  <c r="S584" i="8"/>
  <c r="T584" i="8"/>
  <c r="S585" i="8"/>
  <c r="T585" i="8"/>
  <c r="S586" i="8"/>
  <c r="T586" i="8"/>
  <c r="S587" i="8"/>
  <c r="T587" i="8"/>
  <c r="S588" i="8"/>
  <c r="T588" i="8"/>
  <c r="S589" i="8"/>
  <c r="T589" i="8"/>
  <c r="S590" i="8"/>
  <c r="T590" i="8"/>
  <c r="S591" i="8"/>
  <c r="T591" i="8"/>
  <c r="S592" i="8"/>
  <c r="T592" i="8"/>
  <c r="S593" i="8"/>
  <c r="T593" i="8"/>
  <c r="S594" i="8"/>
  <c r="T594" i="8"/>
  <c r="S595" i="8"/>
  <c r="T595" i="8"/>
  <c r="S596" i="8"/>
  <c r="T596" i="8"/>
  <c r="S597" i="8"/>
  <c r="T597" i="8"/>
  <c r="S598" i="8"/>
  <c r="T598" i="8"/>
  <c r="S599" i="8"/>
  <c r="T599" i="8"/>
  <c r="S600" i="8"/>
  <c r="T600" i="8"/>
  <c r="S601" i="8"/>
  <c r="T601" i="8"/>
  <c r="S602" i="8"/>
  <c r="T602" i="8"/>
  <c r="S603" i="8"/>
  <c r="T603" i="8"/>
  <c r="S604" i="8"/>
  <c r="T604" i="8"/>
  <c r="S605" i="8"/>
  <c r="T605" i="8"/>
  <c r="S606" i="8"/>
  <c r="T606" i="8"/>
  <c r="S607" i="8"/>
  <c r="T607" i="8"/>
  <c r="S608" i="8"/>
  <c r="T608" i="8"/>
  <c r="S609" i="8"/>
  <c r="T609" i="8"/>
  <c r="S610" i="8"/>
  <c r="T610" i="8"/>
  <c r="S611" i="8"/>
  <c r="T611" i="8"/>
  <c r="S612" i="8"/>
  <c r="T612" i="8"/>
  <c r="S613" i="8"/>
  <c r="T613" i="8"/>
  <c r="S614" i="8"/>
  <c r="T614" i="8"/>
  <c r="S615" i="8"/>
  <c r="T615" i="8"/>
  <c r="S616" i="8"/>
  <c r="T616" i="8"/>
  <c r="S617" i="8"/>
  <c r="T617" i="8"/>
  <c r="S618" i="8"/>
  <c r="T618" i="8"/>
  <c r="S619" i="8"/>
  <c r="T619" i="8"/>
  <c r="S620" i="8"/>
  <c r="T620" i="8"/>
  <c r="S621" i="8"/>
  <c r="T621" i="8"/>
  <c r="S622" i="8"/>
  <c r="T622" i="8"/>
  <c r="S623" i="8"/>
  <c r="T623" i="8"/>
  <c r="S624" i="8"/>
  <c r="T624" i="8"/>
  <c r="S625" i="8"/>
  <c r="T625" i="8"/>
  <c r="S626" i="8"/>
  <c r="T626" i="8"/>
  <c r="S627" i="8"/>
  <c r="T627" i="8"/>
  <c r="S628" i="8"/>
  <c r="T628" i="8"/>
  <c r="S629" i="8"/>
  <c r="T629" i="8"/>
  <c r="S630" i="8"/>
  <c r="T630" i="8"/>
  <c r="S631" i="8"/>
  <c r="T631" i="8"/>
  <c r="S632" i="8"/>
  <c r="T632" i="8"/>
  <c r="S633" i="8"/>
  <c r="T633" i="8"/>
  <c r="S634" i="8"/>
  <c r="T634" i="8"/>
  <c r="S635" i="8"/>
  <c r="T635" i="8"/>
  <c r="S636" i="8"/>
  <c r="T636" i="8"/>
  <c r="S637" i="8"/>
  <c r="T637" i="8"/>
  <c r="S638" i="8"/>
  <c r="T638" i="8"/>
  <c r="S639" i="8"/>
  <c r="T639" i="8"/>
  <c r="S640" i="8"/>
  <c r="T640" i="8"/>
  <c r="S641" i="8"/>
  <c r="T641" i="8"/>
  <c r="S642" i="8"/>
  <c r="T642" i="8"/>
  <c r="S643" i="8"/>
  <c r="T643" i="8"/>
  <c r="S644" i="8"/>
  <c r="T644" i="8"/>
  <c r="S645" i="8"/>
  <c r="T645" i="8"/>
  <c r="S646" i="8"/>
  <c r="T646" i="8"/>
  <c r="S647" i="8"/>
  <c r="T647" i="8"/>
  <c r="S648" i="8"/>
  <c r="T648" i="8"/>
  <c r="S649" i="8"/>
  <c r="T649" i="8"/>
  <c r="S650" i="8"/>
  <c r="T650" i="8"/>
  <c r="S651" i="8"/>
  <c r="T651" i="8"/>
  <c r="S652" i="8"/>
  <c r="T652" i="8"/>
  <c r="S653" i="8"/>
  <c r="T653" i="8"/>
  <c r="S654" i="8"/>
  <c r="T654" i="8"/>
  <c r="S655" i="8"/>
  <c r="T655" i="8"/>
  <c r="S656" i="8"/>
  <c r="T656" i="8"/>
  <c r="S657" i="8"/>
  <c r="T657" i="8"/>
  <c r="S658" i="8"/>
  <c r="T658" i="8"/>
  <c r="S659" i="8"/>
  <c r="T659" i="8"/>
  <c r="S660" i="8"/>
  <c r="T660" i="8"/>
  <c r="S661" i="8"/>
  <c r="T661" i="8"/>
  <c r="S662" i="8"/>
  <c r="T662" i="8"/>
  <c r="S663" i="8"/>
  <c r="T663" i="8"/>
  <c r="S664" i="8"/>
  <c r="T664" i="8"/>
  <c r="S665" i="8"/>
  <c r="T665" i="8"/>
  <c r="S666" i="8"/>
  <c r="T666" i="8"/>
  <c r="S667" i="8"/>
  <c r="T667" i="8"/>
  <c r="S668" i="8"/>
  <c r="T668" i="8"/>
  <c r="S669" i="8"/>
  <c r="T669" i="8"/>
  <c r="S670" i="8"/>
  <c r="T670" i="8"/>
  <c r="S671" i="8"/>
  <c r="T671" i="8"/>
  <c r="S672" i="8"/>
  <c r="T672" i="8"/>
  <c r="S673" i="8"/>
  <c r="T673" i="8"/>
  <c r="S674" i="8"/>
  <c r="T674" i="8"/>
  <c r="S675" i="8"/>
  <c r="T675" i="8"/>
  <c r="S676" i="8"/>
  <c r="T676" i="8"/>
  <c r="S677" i="8"/>
  <c r="T677" i="8"/>
  <c r="S678" i="8"/>
  <c r="T678" i="8"/>
  <c r="S679" i="8"/>
  <c r="T679" i="8"/>
  <c r="S680" i="8"/>
  <c r="T680" i="8"/>
  <c r="S681" i="8"/>
  <c r="T681" i="8"/>
  <c r="S682" i="8"/>
  <c r="T682" i="8"/>
  <c r="S683" i="8"/>
  <c r="T683" i="8"/>
  <c r="S684" i="8"/>
  <c r="T684" i="8"/>
  <c r="S685" i="8"/>
  <c r="T685" i="8"/>
  <c r="S686" i="8"/>
  <c r="T686" i="8"/>
  <c r="S687" i="8"/>
  <c r="T687" i="8"/>
  <c r="S688" i="8"/>
  <c r="T688" i="8"/>
  <c r="S689" i="8"/>
  <c r="T689" i="8"/>
  <c r="S690" i="8"/>
  <c r="T690" i="8"/>
  <c r="S691" i="8"/>
  <c r="T691" i="8"/>
  <c r="S692" i="8"/>
  <c r="T692" i="8"/>
  <c r="S693" i="8"/>
  <c r="T693" i="8"/>
  <c r="S694" i="8"/>
  <c r="T694" i="8"/>
  <c r="S695" i="8"/>
  <c r="T695" i="8"/>
  <c r="S696" i="8"/>
  <c r="T696" i="8"/>
  <c r="S697" i="8"/>
  <c r="T697" i="8"/>
  <c r="S698" i="8"/>
  <c r="T698" i="8"/>
  <c r="S699" i="8"/>
  <c r="T699" i="8"/>
  <c r="S700" i="8"/>
  <c r="T700" i="8"/>
  <c r="S701" i="8"/>
  <c r="T701" i="8"/>
  <c r="S702" i="8"/>
  <c r="T702" i="8"/>
  <c r="S703" i="8"/>
  <c r="T703" i="8"/>
  <c r="S704" i="8"/>
  <c r="T704" i="8"/>
  <c r="S705" i="8"/>
  <c r="T705" i="8"/>
  <c r="S706" i="8"/>
  <c r="T706" i="8"/>
  <c r="S707" i="8"/>
  <c r="T707" i="8"/>
  <c r="S708" i="8"/>
  <c r="T708" i="8"/>
  <c r="S709" i="8"/>
  <c r="T709" i="8"/>
  <c r="S710" i="8"/>
  <c r="T710" i="8"/>
  <c r="S711" i="8"/>
  <c r="T711" i="8"/>
  <c r="S712" i="8"/>
  <c r="T712" i="8"/>
  <c r="S713" i="8"/>
  <c r="T713" i="8"/>
  <c r="S714" i="8"/>
  <c r="T714" i="8"/>
  <c r="S715" i="8"/>
  <c r="T715" i="8"/>
  <c r="S716" i="8"/>
  <c r="T716" i="8"/>
  <c r="S717" i="8"/>
  <c r="T717" i="8"/>
  <c r="S718" i="8"/>
  <c r="T718" i="8"/>
  <c r="S719" i="8"/>
  <c r="T719" i="8"/>
  <c r="S720" i="8"/>
  <c r="T720" i="8"/>
  <c r="S721" i="8"/>
  <c r="T721" i="8"/>
  <c r="S722" i="8"/>
  <c r="T722" i="8"/>
  <c r="S723" i="8"/>
  <c r="T723" i="8"/>
  <c r="S724" i="8"/>
  <c r="T724" i="8"/>
  <c r="S725" i="8"/>
  <c r="T725" i="8"/>
  <c r="S726" i="8"/>
  <c r="T726" i="8"/>
  <c r="S727" i="8"/>
  <c r="T727" i="8"/>
  <c r="S728" i="8"/>
  <c r="T728" i="8"/>
  <c r="S729" i="8"/>
  <c r="T729" i="8"/>
  <c r="S730" i="8"/>
  <c r="T730" i="8"/>
  <c r="S731" i="8"/>
  <c r="T731" i="8"/>
  <c r="S732" i="8"/>
  <c r="T732" i="8"/>
  <c r="S733" i="8"/>
  <c r="T733" i="8"/>
  <c r="S734" i="8"/>
  <c r="T734" i="8"/>
  <c r="S735" i="8"/>
  <c r="T735" i="8"/>
  <c r="S736" i="8"/>
  <c r="T736" i="8"/>
  <c r="S737" i="8"/>
  <c r="T737" i="8"/>
  <c r="S738" i="8"/>
  <c r="T738" i="8"/>
  <c r="S739" i="8"/>
  <c r="T739" i="8"/>
  <c r="S740" i="8"/>
  <c r="T740" i="8"/>
  <c r="S741" i="8"/>
  <c r="T741" i="8"/>
  <c r="S742" i="8"/>
  <c r="T742" i="8"/>
  <c r="S743" i="8"/>
  <c r="T743" i="8"/>
  <c r="S744" i="8"/>
  <c r="T744" i="8"/>
  <c r="S745" i="8"/>
  <c r="T745" i="8"/>
  <c r="S746" i="8"/>
  <c r="T746" i="8"/>
  <c r="S747" i="8"/>
  <c r="T747" i="8"/>
  <c r="S748" i="8"/>
  <c r="T748" i="8"/>
  <c r="S749" i="8"/>
  <c r="T749" i="8"/>
  <c r="S750" i="8"/>
  <c r="T750" i="8"/>
  <c r="S751" i="8"/>
  <c r="T751" i="8"/>
  <c r="S752" i="8"/>
  <c r="T752" i="8"/>
  <c r="S753" i="8"/>
  <c r="T753" i="8"/>
  <c r="S754" i="8"/>
  <c r="T754" i="8"/>
  <c r="S755" i="8"/>
  <c r="T755" i="8"/>
  <c r="S756" i="8"/>
  <c r="T756" i="8"/>
  <c r="S757" i="8"/>
  <c r="T757" i="8"/>
  <c r="S758" i="8"/>
  <c r="T758" i="8"/>
  <c r="S759" i="8"/>
  <c r="T759" i="8"/>
  <c r="S760" i="8"/>
  <c r="T760" i="8"/>
  <c r="S761" i="8"/>
  <c r="T761" i="8"/>
  <c r="S762" i="8"/>
  <c r="T762" i="8"/>
  <c r="S763" i="8"/>
  <c r="T763" i="8"/>
  <c r="S764" i="8"/>
  <c r="T764" i="8"/>
  <c r="S765" i="8"/>
  <c r="T765" i="8"/>
  <c r="S766" i="8"/>
  <c r="T766" i="8"/>
  <c r="S767" i="8"/>
  <c r="T767" i="8"/>
  <c r="S768" i="8"/>
  <c r="T768" i="8"/>
  <c r="S769" i="8"/>
  <c r="T769" i="8"/>
  <c r="S770" i="8"/>
  <c r="T770" i="8"/>
  <c r="S771" i="8"/>
  <c r="T771" i="8"/>
  <c r="S772" i="8"/>
  <c r="T772" i="8"/>
  <c r="S773" i="8"/>
  <c r="T773" i="8"/>
  <c r="S774" i="8"/>
  <c r="T774" i="8"/>
  <c r="S775" i="8"/>
  <c r="T775" i="8"/>
  <c r="S776" i="8"/>
  <c r="T776" i="8"/>
  <c r="S777" i="8"/>
  <c r="T777" i="8"/>
  <c r="S778" i="8"/>
  <c r="T778" i="8"/>
  <c r="S779" i="8"/>
  <c r="T779" i="8"/>
  <c r="S780" i="8"/>
  <c r="T780" i="8"/>
  <c r="S781" i="8"/>
  <c r="T781" i="8"/>
  <c r="S782" i="8"/>
  <c r="T782" i="8"/>
  <c r="S783" i="8"/>
  <c r="T783" i="8"/>
  <c r="S784" i="8"/>
  <c r="T784" i="8"/>
  <c r="S785" i="8"/>
  <c r="T785" i="8"/>
  <c r="S786" i="8"/>
  <c r="T786" i="8"/>
  <c r="S787" i="8"/>
  <c r="T787" i="8"/>
  <c r="S788" i="8"/>
  <c r="T788" i="8"/>
  <c r="S789" i="8"/>
  <c r="T789" i="8"/>
  <c r="S790" i="8"/>
  <c r="T790" i="8"/>
  <c r="S791" i="8"/>
  <c r="T791" i="8"/>
  <c r="S792" i="8"/>
  <c r="T792" i="8"/>
  <c r="S793" i="8"/>
  <c r="T793" i="8"/>
  <c r="S794" i="8"/>
  <c r="T794" i="8"/>
  <c r="S795" i="8"/>
  <c r="T795" i="8"/>
  <c r="S796" i="8"/>
  <c r="T796" i="8"/>
  <c r="S797" i="8"/>
  <c r="T797" i="8"/>
  <c r="S798" i="8"/>
  <c r="T798" i="8"/>
  <c r="S799" i="8"/>
  <c r="T799" i="8"/>
  <c r="S800" i="8"/>
  <c r="T800" i="8"/>
  <c r="S801" i="8"/>
  <c r="T801" i="8"/>
  <c r="S802" i="8"/>
  <c r="T802" i="8"/>
  <c r="S803" i="8"/>
  <c r="T803" i="8"/>
  <c r="S804" i="8"/>
  <c r="T804" i="8"/>
  <c r="S805" i="8"/>
  <c r="T805" i="8"/>
  <c r="S806" i="8"/>
  <c r="T806" i="8"/>
  <c r="S807" i="8"/>
  <c r="T807" i="8"/>
  <c r="S808" i="8"/>
  <c r="T808" i="8"/>
  <c r="S809" i="8"/>
  <c r="T809" i="8"/>
  <c r="S810" i="8"/>
  <c r="T810" i="8"/>
  <c r="S811" i="8"/>
  <c r="T811" i="8"/>
  <c r="S812" i="8"/>
  <c r="T812" i="8"/>
  <c r="S813" i="8"/>
  <c r="T813" i="8"/>
  <c r="S814" i="8"/>
  <c r="T814" i="8"/>
  <c r="S815" i="8"/>
  <c r="T815" i="8"/>
  <c r="S816" i="8"/>
  <c r="T816" i="8"/>
  <c r="S817" i="8"/>
  <c r="T817" i="8"/>
  <c r="S818" i="8"/>
  <c r="T818" i="8"/>
  <c r="S819" i="8"/>
  <c r="T819" i="8"/>
  <c r="S820" i="8"/>
  <c r="T820" i="8"/>
  <c r="S821" i="8"/>
  <c r="T821" i="8"/>
  <c r="S822" i="8"/>
  <c r="T822" i="8"/>
  <c r="S823" i="8"/>
  <c r="T823" i="8"/>
  <c r="S824" i="8"/>
  <c r="T824" i="8"/>
  <c r="S825" i="8"/>
  <c r="T825" i="8"/>
  <c r="S826" i="8"/>
  <c r="T826" i="8"/>
  <c r="S827" i="8"/>
  <c r="T827" i="8"/>
  <c r="S828" i="8"/>
  <c r="T828" i="8"/>
  <c r="S829" i="8"/>
  <c r="T829" i="8"/>
  <c r="S830" i="8"/>
  <c r="T830" i="8"/>
  <c r="S831" i="8"/>
  <c r="T831" i="8"/>
  <c r="S832" i="8"/>
  <c r="T832" i="8"/>
  <c r="S833" i="8"/>
  <c r="T833" i="8"/>
  <c r="S834" i="8"/>
  <c r="T834" i="8"/>
  <c r="S835" i="8"/>
  <c r="T835" i="8"/>
  <c r="S836" i="8"/>
  <c r="T836" i="8"/>
  <c r="S837" i="8"/>
  <c r="T837" i="8"/>
  <c r="S838" i="8"/>
  <c r="T838" i="8"/>
  <c r="S839" i="8"/>
  <c r="T839" i="8"/>
  <c r="S840" i="8"/>
  <c r="T840" i="8"/>
  <c r="S841" i="8"/>
  <c r="T841" i="8"/>
  <c r="S842" i="8"/>
  <c r="T842" i="8"/>
  <c r="S843" i="8"/>
  <c r="T843" i="8"/>
  <c r="S844" i="8"/>
  <c r="T844" i="8"/>
  <c r="S845" i="8"/>
  <c r="T845" i="8"/>
  <c r="S846" i="8"/>
  <c r="T846" i="8"/>
  <c r="S847" i="8"/>
  <c r="T847" i="8"/>
  <c r="S848" i="8"/>
  <c r="T848" i="8"/>
  <c r="S849" i="8"/>
  <c r="T849" i="8"/>
  <c r="S850" i="8"/>
  <c r="T850" i="8"/>
  <c r="S851" i="8"/>
  <c r="T851" i="8"/>
  <c r="S852" i="8"/>
  <c r="T852" i="8"/>
  <c r="S853" i="8"/>
  <c r="T853" i="8"/>
  <c r="S854" i="8"/>
  <c r="T854" i="8"/>
  <c r="S855" i="8"/>
  <c r="T855" i="8"/>
  <c r="S856" i="8"/>
  <c r="T856" i="8"/>
  <c r="S857" i="8"/>
  <c r="T857" i="8"/>
  <c r="S858" i="8"/>
  <c r="T858" i="8"/>
  <c r="S859" i="8"/>
  <c r="T859" i="8"/>
  <c r="S860" i="8"/>
  <c r="T860" i="8"/>
  <c r="S861" i="8"/>
  <c r="T861" i="8"/>
  <c r="S862" i="8"/>
  <c r="T862" i="8"/>
  <c r="S863" i="8"/>
  <c r="T863" i="8"/>
  <c r="S864" i="8"/>
  <c r="T864" i="8"/>
  <c r="S865" i="8"/>
  <c r="T865" i="8"/>
  <c r="S866" i="8"/>
  <c r="T866" i="8"/>
  <c r="S867" i="8"/>
  <c r="T867" i="8"/>
  <c r="S868" i="8"/>
  <c r="T868" i="8"/>
  <c r="S869" i="8"/>
  <c r="T869" i="8"/>
  <c r="S870" i="8"/>
  <c r="T870" i="8"/>
  <c r="S871" i="8"/>
  <c r="T871" i="8"/>
  <c r="S872" i="8"/>
  <c r="T872" i="8"/>
  <c r="S873" i="8"/>
  <c r="T873" i="8"/>
  <c r="S874" i="8"/>
  <c r="T874" i="8"/>
  <c r="S875" i="8"/>
  <c r="T875" i="8"/>
  <c r="S876" i="8"/>
  <c r="T876" i="8"/>
  <c r="S877" i="8"/>
  <c r="T877" i="8"/>
  <c r="S878" i="8"/>
  <c r="T878" i="8"/>
  <c r="S879" i="8"/>
  <c r="T879" i="8"/>
  <c r="S880" i="8"/>
  <c r="T880" i="8"/>
  <c r="S881" i="8"/>
  <c r="T881" i="8"/>
  <c r="S882" i="8"/>
  <c r="T882" i="8"/>
  <c r="S883" i="8"/>
  <c r="T883" i="8"/>
  <c r="S884" i="8"/>
  <c r="T884" i="8"/>
  <c r="S885" i="8"/>
  <c r="T885" i="8"/>
  <c r="S886" i="8"/>
  <c r="T886" i="8"/>
  <c r="S887" i="8"/>
  <c r="T887" i="8"/>
  <c r="S888" i="8"/>
  <c r="T888" i="8"/>
  <c r="S889" i="8"/>
  <c r="T889" i="8"/>
  <c r="S890" i="8"/>
  <c r="T890" i="8"/>
  <c r="S891" i="8"/>
  <c r="T891" i="8"/>
  <c r="S892" i="8"/>
  <c r="T892" i="8"/>
  <c r="S893" i="8"/>
  <c r="T893" i="8"/>
  <c r="S894" i="8"/>
  <c r="T894" i="8"/>
  <c r="S895" i="8"/>
  <c r="T895" i="8"/>
  <c r="S896" i="8"/>
  <c r="T896" i="8"/>
  <c r="S897" i="8"/>
  <c r="T897" i="8"/>
  <c r="S898" i="8"/>
  <c r="T898" i="8"/>
  <c r="S899" i="8"/>
  <c r="T899" i="8"/>
  <c r="S900" i="8"/>
  <c r="T900" i="8"/>
  <c r="S901" i="8"/>
  <c r="T901" i="8"/>
  <c r="S902" i="8"/>
  <c r="T902" i="8"/>
  <c r="S903" i="8"/>
  <c r="T903" i="8"/>
  <c r="S904" i="8"/>
  <c r="T904" i="8"/>
  <c r="S905" i="8"/>
  <c r="T905" i="8"/>
  <c r="S906" i="8"/>
  <c r="T906" i="8"/>
  <c r="S907" i="8"/>
  <c r="T907" i="8"/>
  <c r="S908" i="8"/>
  <c r="T908" i="8"/>
  <c r="S909" i="8"/>
  <c r="T909" i="8"/>
  <c r="S910" i="8"/>
  <c r="T910" i="8"/>
  <c r="S911" i="8"/>
  <c r="T911" i="8"/>
  <c r="S912" i="8"/>
  <c r="T912" i="8"/>
  <c r="S913" i="8"/>
  <c r="T913" i="8"/>
  <c r="S914" i="8"/>
  <c r="T914" i="8"/>
  <c r="S915" i="8"/>
  <c r="T915" i="8"/>
  <c r="S916" i="8"/>
  <c r="T916" i="8"/>
  <c r="S917" i="8"/>
  <c r="T917" i="8"/>
  <c r="S918" i="8"/>
  <c r="T918" i="8"/>
  <c r="S919" i="8"/>
  <c r="T919" i="8"/>
  <c r="S920" i="8"/>
  <c r="T920" i="8"/>
  <c r="S921" i="8"/>
  <c r="T921" i="8"/>
  <c r="S922" i="8"/>
  <c r="T922" i="8"/>
  <c r="S923" i="8"/>
  <c r="T923" i="8"/>
  <c r="S924" i="8"/>
  <c r="T924" i="8"/>
  <c r="S925" i="8"/>
  <c r="T925" i="8"/>
  <c r="S926" i="8"/>
  <c r="T926" i="8"/>
  <c r="S927" i="8"/>
  <c r="T927" i="8"/>
  <c r="S928" i="8"/>
  <c r="T928" i="8"/>
  <c r="S929" i="8"/>
  <c r="T929" i="8"/>
  <c r="S930" i="8"/>
  <c r="T930" i="8"/>
  <c r="S931" i="8"/>
  <c r="T931" i="8"/>
  <c r="S932" i="8"/>
  <c r="T932" i="8"/>
  <c r="S933" i="8"/>
  <c r="T933" i="8"/>
  <c r="S934" i="8"/>
  <c r="T934" i="8"/>
  <c r="S935" i="8"/>
  <c r="T935" i="8"/>
  <c r="S936" i="8"/>
  <c r="T936" i="8"/>
  <c r="S937" i="8"/>
  <c r="T937" i="8"/>
  <c r="S938" i="8"/>
  <c r="T938" i="8"/>
  <c r="S939" i="8"/>
  <c r="T939" i="8"/>
  <c r="S940" i="8"/>
  <c r="T940" i="8"/>
  <c r="S941" i="8"/>
  <c r="T941" i="8"/>
  <c r="S942" i="8"/>
  <c r="T942" i="8"/>
  <c r="S943" i="8"/>
  <c r="T943" i="8"/>
  <c r="S944" i="8"/>
  <c r="T944" i="8"/>
  <c r="S945" i="8"/>
  <c r="T945" i="8"/>
  <c r="S946" i="8"/>
  <c r="T946" i="8"/>
  <c r="S947" i="8"/>
  <c r="T947" i="8"/>
  <c r="S948" i="8"/>
  <c r="T948" i="8"/>
  <c r="S949" i="8"/>
  <c r="T949" i="8"/>
  <c r="S950" i="8"/>
  <c r="T950" i="8"/>
  <c r="S951" i="8"/>
  <c r="T951" i="8"/>
  <c r="S952" i="8"/>
  <c r="T952" i="8"/>
  <c r="S953" i="8"/>
  <c r="T953" i="8"/>
  <c r="S954" i="8"/>
  <c r="T954" i="8"/>
  <c r="S955" i="8"/>
  <c r="T955" i="8"/>
  <c r="S956" i="8"/>
  <c r="T956" i="8"/>
  <c r="S957" i="8"/>
  <c r="T957" i="8"/>
  <c r="S958" i="8"/>
  <c r="T958" i="8"/>
  <c r="S959" i="8"/>
  <c r="T959" i="8"/>
  <c r="S960" i="8"/>
  <c r="T960" i="8"/>
  <c r="S961" i="8"/>
  <c r="T961" i="8"/>
  <c r="S962" i="8"/>
  <c r="T962" i="8"/>
  <c r="S963" i="8"/>
  <c r="T963" i="8"/>
  <c r="S964" i="8"/>
  <c r="T964" i="8"/>
  <c r="S965" i="8"/>
  <c r="T965" i="8"/>
  <c r="S966" i="8"/>
  <c r="T966" i="8"/>
  <c r="S967" i="8"/>
  <c r="T967" i="8"/>
  <c r="S968" i="8"/>
  <c r="T968" i="8"/>
  <c r="S969" i="8"/>
  <c r="T969" i="8"/>
  <c r="S970" i="8"/>
  <c r="T970" i="8"/>
  <c r="S971" i="8"/>
  <c r="T971" i="8"/>
  <c r="S972" i="8"/>
  <c r="T972" i="8"/>
  <c r="S973" i="8"/>
  <c r="T973" i="8"/>
  <c r="S974" i="8"/>
  <c r="T974" i="8"/>
  <c r="S975" i="8"/>
  <c r="T975" i="8"/>
  <c r="S976" i="8"/>
  <c r="T976" i="8"/>
  <c r="S977" i="8"/>
  <c r="T977" i="8"/>
  <c r="S978" i="8"/>
  <c r="T978" i="8"/>
  <c r="S979" i="8"/>
  <c r="T979" i="8"/>
  <c r="S980" i="8"/>
  <c r="T980" i="8"/>
  <c r="S981" i="8"/>
  <c r="T981" i="8"/>
  <c r="S982" i="8"/>
  <c r="T982" i="8"/>
  <c r="S983" i="8"/>
  <c r="T983" i="8"/>
  <c r="S984" i="8"/>
  <c r="T984" i="8"/>
  <c r="S985" i="8"/>
  <c r="T985" i="8"/>
  <c r="S986" i="8"/>
  <c r="T986" i="8"/>
  <c r="S987" i="8"/>
  <c r="T987" i="8"/>
  <c r="S988" i="8"/>
  <c r="T988" i="8"/>
  <c r="S989" i="8"/>
  <c r="T989" i="8"/>
  <c r="S990" i="8"/>
  <c r="T990" i="8"/>
  <c r="S991" i="8"/>
  <c r="T991" i="8"/>
  <c r="S992" i="8"/>
  <c r="T992" i="8"/>
  <c r="S993" i="8"/>
  <c r="T993" i="8"/>
  <c r="S994" i="8"/>
  <c r="T994" i="8"/>
  <c r="S995" i="8"/>
  <c r="T995" i="8"/>
  <c r="S996" i="8"/>
  <c r="T996" i="8"/>
  <c r="S997" i="8"/>
  <c r="T997" i="8"/>
  <c r="S998" i="8"/>
  <c r="T998" i="8"/>
  <c r="S999" i="8"/>
  <c r="T999" i="8"/>
  <c r="S1000" i="8"/>
  <c r="T1000" i="8"/>
  <c r="AA10" i="8"/>
  <c r="AB10" i="8"/>
  <c r="AA11" i="8"/>
  <c r="AB11" i="8"/>
  <c r="AA12" i="8"/>
  <c r="AB12" i="8"/>
  <c r="AA13" i="8"/>
  <c r="AB13" i="8"/>
  <c r="AA14" i="8"/>
  <c r="AB14" i="8"/>
  <c r="AA15" i="8"/>
  <c r="AB15" i="8"/>
  <c r="AA16" i="8"/>
  <c r="AB16" i="8"/>
  <c r="AA17" i="8"/>
  <c r="AB17" i="8"/>
  <c r="AA18" i="8"/>
  <c r="AB18" i="8"/>
  <c r="AA19" i="8"/>
  <c r="AB19" i="8"/>
  <c r="AA20" i="8"/>
  <c r="AB20" i="8"/>
  <c r="AA21" i="8"/>
  <c r="AB21" i="8"/>
  <c r="AA22" i="8"/>
  <c r="AB22" i="8"/>
  <c r="AA23" i="8"/>
  <c r="AB23" i="8"/>
  <c r="AA24" i="8"/>
  <c r="AB24" i="8"/>
  <c r="AA25" i="8"/>
  <c r="AB25" i="8"/>
  <c r="AA26" i="8"/>
  <c r="AB26" i="8"/>
  <c r="AA27" i="8"/>
  <c r="AB27" i="8"/>
  <c r="AA28" i="8"/>
  <c r="AB28" i="8"/>
  <c r="AA29" i="8"/>
  <c r="AB29" i="8"/>
  <c r="AA30" i="8"/>
  <c r="AB30" i="8"/>
  <c r="AA31" i="8"/>
  <c r="AB31" i="8"/>
  <c r="AA32" i="8"/>
  <c r="AB32" i="8"/>
  <c r="AA33" i="8"/>
  <c r="AB33" i="8"/>
  <c r="AA34" i="8"/>
  <c r="AB34" i="8"/>
  <c r="AA35" i="8"/>
  <c r="AB35" i="8"/>
  <c r="AA36" i="8"/>
  <c r="AB36" i="8"/>
  <c r="AA37" i="8"/>
  <c r="AB37" i="8"/>
  <c r="AA38" i="8"/>
  <c r="AB38" i="8"/>
  <c r="AA39" i="8"/>
  <c r="AB39" i="8"/>
  <c r="AA40" i="8"/>
  <c r="AB40" i="8"/>
  <c r="AA41" i="8"/>
  <c r="AB41" i="8"/>
  <c r="AA42" i="8"/>
  <c r="AB42" i="8"/>
  <c r="AA43" i="8"/>
  <c r="AB43" i="8"/>
  <c r="AA44" i="8"/>
  <c r="AB44" i="8"/>
  <c r="AA45" i="8"/>
  <c r="AB45" i="8"/>
  <c r="AA46" i="8"/>
  <c r="AB46" i="8"/>
  <c r="AA47" i="8"/>
  <c r="AB47" i="8"/>
  <c r="AA48" i="8"/>
  <c r="AB48" i="8"/>
  <c r="AA49" i="8"/>
  <c r="AB49" i="8"/>
  <c r="AA50" i="8"/>
  <c r="AB50" i="8"/>
  <c r="AA51" i="8"/>
  <c r="AB51" i="8"/>
  <c r="AA52" i="8"/>
  <c r="AB52" i="8"/>
  <c r="AA53" i="8"/>
  <c r="AB53" i="8"/>
  <c r="AA54" i="8"/>
  <c r="AB54" i="8"/>
  <c r="AA55" i="8"/>
  <c r="AB55" i="8"/>
  <c r="AA56" i="8"/>
  <c r="AB56" i="8"/>
  <c r="AA57" i="8"/>
  <c r="AB57" i="8"/>
  <c r="AA58" i="8"/>
  <c r="AB58" i="8"/>
  <c r="AA59" i="8"/>
  <c r="AB59" i="8"/>
  <c r="AA60" i="8"/>
  <c r="AB60" i="8"/>
  <c r="AA61" i="8"/>
  <c r="AB61" i="8"/>
  <c r="AA62" i="8"/>
  <c r="AB62" i="8"/>
  <c r="AA63" i="8"/>
  <c r="AB63" i="8"/>
  <c r="AA64" i="8"/>
  <c r="AB64" i="8"/>
  <c r="AA65" i="8"/>
  <c r="AB65" i="8"/>
  <c r="AA66" i="8"/>
  <c r="AB66" i="8"/>
  <c r="AA67" i="8"/>
  <c r="AB67" i="8"/>
  <c r="AA68" i="8"/>
  <c r="AB68" i="8"/>
  <c r="AA69" i="8"/>
  <c r="AB69" i="8"/>
  <c r="AA70" i="8"/>
  <c r="AB70" i="8"/>
  <c r="AA71" i="8"/>
  <c r="AB71" i="8"/>
  <c r="AA72" i="8"/>
  <c r="AB72" i="8"/>
  <c r="AA73" i="8"/>
  <c r="AB73" i="8"/>
  <c r="AA74" i="8"/>
  <c r="AB74" i="8"/>
  <c r="AA75" i="8"/>
  <c r="AB75" i="8"/>
  <c r="AA76" i="8"/>
  <c r="AB76" i="8"/>
  <c r="AA77" i="8"/>
  <c r="AB77" i="8"/>
  <c r="AA78" i="8"/>
  <c r="AB78" i="8"/>
  <c r="AA79" i="8"/>
  <c r="AB79" i="8"/>
  <c r="AA80" i="8"/>
  <c r="AB80" i="8"/>
  <c r="AA81" i="8"/>
  <c r="AB81" i="8"/>
  <c r="AA82" i="8"/>
  <c r="AB82" i="8"/>
  <c r="AA83" i="8"/>
  <c r="AB83" i="8"/>
  <c r="AA84" i="8"/>
  <c r="AB84" i="8"/>
  <c r="AA85" i="8"/>
  <c r="AB85" i="8"/>
  <c r="AA86" i="8"/>
  <c r="AB86" i="8"/>
  <c r="AA87" i="8"/>
  <c r="AB87" i="8"/>
  <c r="AA88" i="8"/>
  <c r="AB88" i="8"/>
  <c r="AA89" i="8"/>
  <c r="AB89" i="8"/>
  <c r="AA90" i="8"/>
  <c r="AB90" i="8"/>
  <c r="AA91" i="8"/>
  <c r="AB91" i="8"/>
  <c r="AA92" i="8"/>
  <c r="AB92" i="8"/>
  <c r="AA93" i="8"/>
  <c r="AB93" i="8"/>
  <c r="AA94" i="8"/>
  <c r="AB94" i="8"/>
  <c r="AA95" i="8"/>
  <c r="AB95" i="8"/>
  <c r="AA96" i="8"/>
  <c r="AB96" i="8"/>
  <c r="AA97" i="8"/>
  <c r="AB97" i="8"/>
  <c r="AA98" i="8"/>
  <c r="AB98" i="8"/>
  <c r="AA99" i="8"/>
  <c r="AB99" i="8"/>
  <c r="AA100" i="8"/>
  <c r="AB100" i="8"/>
  <c r="AA101" i="8"/>
  <c r="AB101" i="8"/>
  <c r="AA102" i="8"/>
  <c r="AB102" i="8"/>
  <c r="AA103" i="8"/>
  <c r="AB103" i="8"/>
  <c r="AA104" i="8"/>
  <c r="AB104" i="8"/>
  <c r="AA105" i="8"/>
  <c r="AB105" i="8"/>
  <c r="AA106" i="8"/>
  <c r="AB106" i="8"/>
  <c r="AA107" i="8"/>
  <c r="AB107" i="8"/>
  <c r="AA108" i="8"/>
  <c r="AB108" i="8"/>
  <c r="AA109" i="8"/>
  <c r="AB109" i="8"/>
  <c r="AA110" i="8"/>
  <c r="AB110" i="8"/>
  <c r="AA111" i="8"/>
  <c r="AB111" i="8"/>
  <c r="AA112" i="8"/>
  <c r="AB112" i="8"/>
  <c r="AA113" i="8"/>
  <c r="AB113" i="8"/>
  <c r="AA114" i="8"/>
  <c r="AB114" i="8"/>
  <c r="AA115" i="8"/>
  <c r="AB115" i="8"/>
  <c r="AA116" i="8"/>
  <c r="AB116" i="8"/>
  <c r="AA117" i="8"/>
  <c r="AB117" i="8"/>
  <c r="AA118" i="8"/>
  <c r="AB118" i="8"/>
  <c r="AA119" i="8"/>
  <c r="AB119" i="8"/>
  <c r="AA120" i="8"/>
  <c r="AB120" i="8"/>
  <c r="AA121" i="8"/>
  <c r="AB121" i="8"/>
  <c r="AA122" i="8"/>
  <c r="AB122" i="8"/>
  <c r="AA123" i="8"/>
  <c r="AB123" i="8"/>
  <c r="AA124" i="8"/>
  <c r="AB124" i="8"/>
  <c r="AA125" i="8"/>
  <c r="AB125" i="8"/>
  <c r="AA126" i="8"/>
  <c r="AB126" i="8"/>
  <c r="AA127" i="8"/>
  <c r="AB127" i="8"/>
  <c r="AA128" i="8"/>
  <c r="AB128" i="8"/>
  <c r="AA129" i="8"/>
  <c r="AB129" i="8"/>
  <c r="AA130" i="8"/>
  <c r="AB130" i="8"/>
  <c r="AA131" i="8"/>
  <c r="AB131" i="8"/>
  <c r="AA132" i="8"/>
  <c r="AB132" i="8"/>
  <c r="AA133" i="8"/>
  <c r="AB133" i="8"/>
  <c r="AA134" i="8"/>
  <c r="AB134" i="8"/>
  <c r="AA135" i="8"/>
  <c r="AB135" i="8"/>
  <c r="AA136" i="8"/>
  <c r="AB136" i="8"/>
  <c r="AA137" i="8"/>
  <c r="AB137" i="8"/>
  <c r="AA138" i="8"/>
  <c r="AB138" i="8"/>
  <c r="AA139" i="8"/>
  <c r="AB139" i="8"/>
  <c r="AA140" i="8"/>
  <c r="AB140" i="8"/>
  <c r="AA141" i="8"/>
  <c r="AB141" i="8"/>
  <c r="AA142" i="8"/>
  <c r="AB142" i="8"/>
  <c r="AA143" i="8"/>
  <c r="AB143" i="8"/>
  <c r="AA144" i="8"/>
  <c r="AB144" i="8"/>
  <c r="AA145" i="8"/>
  <c r="AB145" i="8"/>
  <c r="AA146" i="8"/>
  <c r="AB146" i="8"/>
  <c r="AA147" i="8"/>
  <c r="AB147" i="8"/>
  <c r="AA148" i="8"/>
  <c r="AB148" i="8"/>
  <c r="AA149" i="8"/>
  <c r="AB149" i="8"/>
  <c r="AA150" i="8"/>
  <c r="AB150" i="8"/>
  <c r="AA151" i="8"/>
  <c r="AB151" i="8"/>
  <c r="AA152" i="8"/>
  <c r="AB152" i="8"/>
  <c r="AA153" i="8"/>
  <c r="AB153" i="8"/>
  <c r="AA154" i="8"/>
  <c r="AB154" i="8"/>
  <c r="AA155" i="8"/>
  <c r="AB155" i="8"/>
  <c r="AA156" i="8"/>
  <c r="AB156" i="8"/>
  <c r="AA157" i="8"/>
  <c r="AB157" i="8"/>
  <c r="AA158" i="8"/>
  <c r="AB158" i="8"/>
  <c r="AA159" i="8"/>
  <c r="AB159" i="8"/>
  <c r="AA160" i="8"/>
  <c r="AB160" i="8"/>
  <c r="AA161" i="8"/>
  <c r="AB161" i="8"/>
  <c r="AA162" i="8"/>
  <c r="AB162" i="8"/>
  <c r="AA163" i="8"/>
  <c r="AB163" i="8"/>
  <c r="AA164" i="8"/>
  <c r="AB164" i="8"/>
  <c r="AA165" i="8"/>
  <c r="AB165" i="8"/>
  <c r="AA166" i="8"/>
  <c r="AB166" i="8"/>
  <c r="AA167" i="8"/>
  <c r="AB167" i="8"/>
  <c r="AA168" i="8"/>
  <c r="AB168" i="8"/>
  <c r="AA169" i="8"/>
  <c r="AB169" i="8"/>
  <c r="AA170" i="8"/>
  <c r="AB170" i="8"/>
  <c r="AA171" i="8"/>
  <c r="AB171" i="8"/>
  <c r="AA172" i="8"/>
  <c r="AB172" i="8"/>
  <c r="AA173" i="8"/>
  <c r="AB173" i="8"/>
  <c r="AA174" i="8"/>
  <c r="AB174" i="8"/>
  <c r="AA175" i="8"/>
  <c r="AB175" i="8"/>
  <c r="AA176" i="8"/>
  <c r="AB176" i="8"/>
  <c r="AA177" i="8"/>
  <c r="AB177" i="8"/>
  <c r="AA178" i="8"/>
  <c r="AB178" i="8"/>
  <c r="AA179" i="8"/>
  <c r="AB179" i="8"/>
  <c r="AA180" i="8"/>
  <c r="AB180" i="8"/>
  <c r="AA181" i="8"/>
  <c r="AB181" i="8"/>
  <c r="AA182" i="8"/>
  <c r="AB182" i="8"/>
  <c r="AA183" i="8"/>
  <c r="AB183" i="8"/>
  <c r="AA184" i="8"/>
  <c r="AB184" i="8"/>
  <c r="AA185" i="8"/>
  <c r="AB185" i="8"/>
  <c r="AA186" i="8"/>
  <c r="AB186" i="8"/>
  <c r="AA187" i="8"/>
  <c r="AB187" i="8"/>
  <c r="AA188" i="8"/>
  <c r="AB188" i="8"/>
  <c r="AA189" i="8"/>
  <c r="AB189" i="8"/>
  <c r="AA190" i="8"/>
  <c r="AB190" i="8"/>
  <c r="AA191" i="8"/>
  <c r="AB191" i="8"/>
  <c r="AA192" i="8"/>
  <c r="AB192" i="8"/>
  <c r="AA193" i="8"/>
  <c r="AB193" i="8"/>
  <c r="AA194" i="8"/>
  <c r="AB194" i="8"/>
  <c r="AA195" i="8"/>
  <c r="AB195" i="8"/>
  <c r="AA196" i="8"/>
  <c r="AB196" i="8"/>
  <c r="AA197" i="8"/>
  <c r="AB197" i="8"/>
  <c r="AA198" i="8"/>
  <c r="AB198" i="8"/>
  <c r="AA199" i="8"/>
  <c r="AB199" i="8"/>
  <c r="AA200" i="8"/>
  <c r="AB200" i="8"/>
  <c r="AA201" i="8"/>
  <c r="AB201" i="8"/>
  <c r="AA202" i="8"/>
  <c r="AB202" i="8"/>
  <c r="AA203" i="8"/>
  <c r="AB203" i="8"/>
  <c r="AA204" i="8"/>
  <c r="AB204" i="8"/>
  <c r="AA205" i="8"/>
  <c r="AB205" i="8"/>
  <c r="AA206" i="8"/>
  <c r="AB206" i="8"/>
  <c r="AA207" i="8"/>
  <c r="AB207" i="8"/>
  <c r="AA208" i="8"/>
  <c r="AB208" i="8"/>
  <c r="AA209" i="8"/>
  <c r="AB209" i="8"/>
  <c r="AA210" i="8"/>
  <c r="AB210" i="8"/>
  <c r="AA211" i="8"/>
  <c r="AB211" i="8"/>
  <c r="AA212" i="8"/>
  <c r="AB212" i="8"/>
  <c r="AA213" i="8"/>
  <c r="AB213" i="8"/>
  <c r="AA214" i="8"/>
  <c r="AB214" i="8"/>
  <c r="AA215" i="8"/>
  <c r="AB215" i="8"/>
  <c r="AA216" i="8"/>
  <c r="AB216" i="8"/>
  <c r="AA217" i="8"/>
  <c r="AB217" i="8"/>
  <c r="AA218" i="8"/>
  <c r="AB218" i="8"/>
  <c r="AA219" i="8"/>
  <c r="AB219" i="8"/>
  <c r="AA220" i="8"/>
  <c r="AB220" i="8"/>
  <c r="AA221" i="8"/>
  <c r="AB221" i="8"/>
  <c r="AA222" i="8"/>
  <c r="AB222" i="8"/>
  <c r="AA223" i="8"/>
  <c r="AB223" i="8"/>
  <c r="AA224" i="8"/>
  <c r="AB224" i="8"/>
  <c r="AA225" i="8"/>
  <c r="AB225" i="8"/>
  <c r="AA226" i="8"/>
  <c r="AB226" i="8"/>
  <c r="AA227" i="8"/>
  <c r="AB227" i="8"/>
  <c r="AA228" i="8"/>
  <c r="AB228" i="8"/>
  <c r="AA229" i="8"/>
  <c r="AB229" i="8"/>
  <c r="AA230" i="8"/>
  <c r="AB230" i="8"/>
  <c r="AA231" i="8"/>
  <c r="AB231" i="8"/>
  <c r="AA232" i="8"/>
  <c r="AB232" i="8"/>
  <c r="AA233" i="8"/>
  <c r="AB233" i="8"/>
  <c r="AA234" i="8"/>
  <c r="AB234" i="8"/>
  <c r="AA235" i="8"/>
  <c r="AB235" i="8"/>
  <c r="AA236" i="8"/>
  <c r="AB236" i="8"/>
  <c r="AA237" i="8"/>
  <c r="AB237" i="8"/>
  <c r="AA238" i="8"/>
  <c r="AB238" i="8"/>
  <c r="AA239" i="8"/>
  <c r="AB239" i="8"/>
  <c r="AA240" i="8"/>
  <c r="AB240" i="8"/>
  <c r="AA241" i="8"/>
  <c r="AB241" i="8"/>
  <c r="AA242" i="8"/>
  <c r="AB242" i="8"/>
  <c r="AA243" i="8"/>
  <c r="AB243" i="8"/>
  <c r="AA244" i="8"/>
  <c r="AB244" i="8"/>
  <c r="AA245" i="8"/>
  <c r="AB245" i="8"/>
  <c r="AA246" i="8"/>
  <c r="AB246" i="8"/>
  <c r="AA247" i="8"/>
  <c r="AB247" i="8"/>
  <c r="AA248" i="8"/>
  <c r="AB248" i="8"/>
  <c r="AA249" i="8"/>
  <c r="AB249" i="8"/>
  <c r="AA250" i="8"/>
  <c r="AB250" i="8"/>
  <c r="AA251" i="8"/>
  <c r="AB251" i="8"/>
  <c r="AA252" i="8"/>
  <c r="AB252" i="8"/>
  <c r="AA253" i="8"/>
  <c r="AB253" i="8"/>
  <c r="AA254" i="8"/>
  <c r="AB254" i="8"/>
  <c r="AA255" i="8"/>
  <c r="AB255" i="8"/>
  <c r="AA256" i="8"/>
  <c r="AB256" i="8"/>
  <c r="AA257" i="8"/>
  <c r="AB257" i="8"/>
  <c r="AA258" i="8"/>
  <c r="AB258" i="8"/>
  <c r="AA259" i="8"/>
  <c r="AB259" i="8"/>
  <c r="AA260" i="8"/>
  <c r="AB260" i="8"/>
  <c r="AA261" i="8"/>
  <c r="AB261" i="8"/>
  <c r="AA262" i="8"/>
  <c r="AB262" i="8"/>
  <c r="AA263" i="8"/>
  <c r="AB263" i="8"/>
  <c r="AA264" i="8"/>
  <c r="AB264" i="8"/>
  <c r="AA265" i="8"/>
  <c r="AB265" i="8"/>
  <c r="AA266" i="8"/>
  <c r="AB266" i="8"/>
  <c r="AA267" i="8"/>
  <c r="AB267" i="8"/>
  <c r="AA268" i="8"/>
  <c r="AB268" i="8"/>
  <c r="AA269" i="8"/>
  <c r="AB269" i="8"/>
  <c r="AA270" i="8"/>
  <c r="AB270" i="8"/>
  <c r="AA271" i="8"/>
  <c r="AB271" i="8"/>
  <c r="AA272" i="8"/>
  <c r="AB272" i="8"/>
  <c r="AA273" i="8"/>
  <c r="AB273" i="8"/>
  <c r="AA274" i="8"/>
  <c r="AB274" i="8"/>
  <c r="AA275" i="8"/>
  <c r="AB275" i="8"/>
  <c r="AA276" i="8"/>
  <c r="AB276" i="8"/>
  <c r="AA277" i="8"/>
  <c r="AB277" i="8"/>
  <c r="AA278" i="8"/>
  <c r="AB278" i="8"/>
  <c r="AA279" i="8"/>
  <c r="AB279" i="8"/>
  <c r="AA280" i="8"/>
  <c r="AB280" i="8"/>
  <c r="AA281" i="8"/>
  <c r="AB281" i="8"/>
  <c r="AA282" i="8"/>
  <c r="AB282" i="8"/>
  <c r="AA283" i="8"/>
  <c r="AB283" i="8"/>
  <c r="AA284" i="8"/>
  <c r="AB284" i="8"/>
  <c r="AA285" i="8"/>
  <c r="AB285" i="8"/>
  <c r="AA286" i="8"/>
  <c r="AB286" i="8"/>
  <c r="AA287" i="8"/>
  <c r="AB287" i="8"/>
  <c r="AA288" i="8"/>
  <c r="AB288" i="8"/>
  <c r="AA289" i="8"/>
  <c r="AB289" i="8"/>
  <c r="AA290" i="8"/>
  <c r="AB290" i="8"/>
  <c r="AA291" i="8"/>
  <c r="AB291" i="8"/>
  <c r="AA292" i="8"/>
  <c r="AB292" i="8"/>
  <c r="AA293" i="8"/>
  <c r="AB293" i="8"/>
  <c r="AA294" i="8"/>
  <c r="AB294" i="8"/>
  <c r="AA295" i="8"/>
  <c r="AB295" i="8"/>
  <c r="AA296" i="8"/>
  <c r="AB296" i="8"/>
  <c r="AA297" i="8"/>
  <c r="AB297" i="8"/>
  <c r="AA298" i="8"/>
  <c r="AB298" i="8"/>
  <c r="AA299" i="8"/>
  <c r="AB299" i="8"/>
  <c r="AA300" i="8"/>
  <c r="AB300" i="8"/>
  <c r="AA301" i="8"/>
  <c r="AB301" i="8"/>
  <c r="AA302" i="8"/>
  <c r="AB302" i="8"/>
  <c r="AA303" i="8"/>
  <c r="AB303" i="8"/>
  <c r="AA304" i="8"/>
  <c r="AB304" i="8"/>
  <c r="AA305" i="8"/>
  <c r="AB305" i="8"/>
  <c r="AA306" i="8"/>
  <c r="AB306" i="8"/>
  <c r="AA307" i="8"/>
  <c r="AB307" i="8"/>
  <c r="AA308" i="8"/>
  <c r="AB308" i="8"/>
  <c r="AA309" i="8"/>
  <c r="AB309" i="8"/>
  <c r="AA310" i="8"/>
  <c r="AB310" i="8"/>
  <c r="AA311" i="8"/>
  <c r="AB311" i="8"/>
  <c r="AA312" i="8"/>
  <c r="AB312" i="8"/>
  <c r="AA313" i="8"/>
  <c r="AB313" i="8"/>
  <c r="AA314" i="8"/>
  <c r="AB314" i="8"/>
  <c r="AA315" i="8"/>
  <c r="AB315" i="8"/>
  <c r="AA316" i="8"/>
  <c r="AB316" i="8"/>
  <c r="AA317" i="8"/>
  <c r="AB317" i="8"/>
  <c r="AA318" i="8"/>
  <c r="AB318" i="8"/>
  <c r="AA319" i="8"/>
  <c r="AB319" i="8"/>
  <c r="AA320" i="8"/>
  <c r="AB320" i="8"/>
  <c r="AA321" i="8"/>
  <c r="AB321" i="8"/>
  <c r="AA322" i="8"/>
  <c r="AB322" i="8"/>
  <c r="AA323" i="8"/>
  <c r="AB323" i="8"/>
  <c r="AA324" i="8"/>
  <c r="AB324" i="8"/>
  <c r="AA325" i="8"/>
  <c r="AB325" i="8"/>
  <c r="AA326" i="8"/>
  <c r="AB326" i="8"/>
  <c r="AA327" i="8"/>
  <c r="AB327" i="8"/>
  <c r="AA328" i="8"/>
  <c r="AB328" i="8"/>
  <c r="AA329" i="8"/>
  <c r="AB329" i="8"/>
  <c r="AA330" i="8"/>
  <c r="AB330" i="8"/>
  <c r="AA331" i="8"/>
  <c r="AB331" i="8"/>
  <c r="AA332" i="8"/>
  <c r="AB332" i="8"/>
  <c r="AA333" i="8"/>
  <c r="AB333" i="8"/>
  <c r="AA334" i="8"/>
  <c r="AB334" i="8"/>
  <c r="AA335" i="8"/>
  <c r="AB335" i="8"/>
  <c r="AA336" i="8"/>
  <c r="AB336" i="8"/>
  <c r="AA337" i="8"/>
  <c r="AB337" i="8"/>
  <c r="AA338" i="8"/>
  <c r="AB338" i="8"/>
  <c r="AA339" i="8"/>
  <c r="AB339" i="8"/>
  <c r="AA340" i="8"/>
  <c r="AB340" i="8"/>
  <c r="AA341" i="8"/>
  <c r="AB341" i="8"/>
  <c r="AA342" i="8"/>
  <c r="AB342" i="8"/>
  <c r="AA343" i="8"/>
  <c r="AB343" i="8"/>
  <c r="AA344" i="8"/>
  <c r="AB344" i="8"/>
  <c r="AA345" i="8"/>
  <c r="AB345" i="8"/>
  <c r="AA346" i="8"/>
  <c r="AB346" i="8"/>
  <c r="AA347" i="8"/>
  <c r="AB347" i="8"/>
  <c r="AA348" i="8"/>
  <c r="AB348" i="8"/>
  <c r="AA349" i="8"/>
  <c r="AB349" i="8"/>
  <c r="AA350" i="8"/>
  <c r="AB350" i="8"/>
  <c r="AA351" i="8"/>
  <c r="AB351" i="8"/>
  <c r="AA352" i="8"/>
  <c r="AB352" i="8"/>
  <c r="AA353" i="8"/>
  <c r="AB353" i="8"/>
  <c r="AA354" i="8"/>
  <c r="AB354" i="8"/>
  <c r="AA355" i="8"/>
  <c r="AB355" i="8"/>
  <c r="AA356" i="8"/>
  <c r="AB356" i="8"/>
  <c r="AA357" i="8"/>
  <c r="AB357" i="8"/>
  <c r="AA358" i="8"/>
  <c r="AB358" i="8"/>
  <c r="AA359" i="8"/>
  <c r="AB359" i="8"/>
  <c r="AA360" i="8"/>
  <c r="AB360" i="8"/>
  <c r="AA361" i="8"/>
  <c r="AB361" i="8"/>
  <c r="AA362" i="8"/>
  <c r="AB362" i="8"/>
  <c r="AA363" i="8"/>
  <c r="AB363" i="8"/>
  <c r="AA364" i="8"/>
  <c r="AB364" i="8"/>
  <c r="AA365" i="8"/>
  <c r="AB365" i="8"/>
  <c r="AA366" i="8"/>
  <c r="AB366" i="8"/>
  <c r="AA367" i="8"/>
  <c r="AB367" i="8"/>
  <c r="AA368" i="8"/>
  <c r="AB368" i="8"/>
  <c r="AA369" i="8"/>
  <c r="AB369" i="8"/>
  <c r="AA370" i="8"/>
  <c r="AB370" i="8"/>
  <c r="AA371" i="8"/>
  <c r="AB371" i="8"/>
  <c r="AA372" i="8"/>
  <c r="AB372" i="8"/>
  <c r="AA373" i="8"/>
  <c r="AB373" i="8"/>
  <c r="AA374" i="8"/>
  <c r="AB374" i="8"/>
  <c r="AA375" i="8"/>
  <c r="AB375" i="8"/>
  <c r="AA376" i="8"/>
  <c r="AB376" i="8"/>
  <c r="AA377" i="8"/>
  <c r="AB377" i="8"/>
  <c r="AA378" i="8"/>
  <c r="AB378" i="8"/>
  <c r="AA379" i="8"/>
  <c r="AB379" i="8"/>
  <c r="AA380" i="8"/>
  <c r="AB380" i="8"/>
  <c r="AA381" i="8"/>
  <c r="AB381" i="8"/>
  <c r="AA382" i="8"/>
  <c r="AB382" i="8"/>
  <c r="AA383" i="8"/>
  <c r="AB383" i="8"/>
  <c r="AA384" i="8"/>
  <c r="AB384" i="8"/>
  <c r="AA385" i="8"/>
  <c r="AB385" i="8"/>
  <c r="AA386" i="8"/>
  <c r="AB386" i="8"/>
  <c r="AA387" i="8"/>
  <c r="AB387" i="8"/>
  <c r="AA388" i="8"/>
  <c r="AB388" i="8"/>
  <c r="AA389" i="8"/>
  <c r="AB389" i="8"/>
  <c r="AA390" i="8"/>
  <c r="AB390" i="8"/>
  <c r="AA391" i="8"/>
  <c r="AB391" i="8"/>
  <c r="AA392" i="8"/>
  <c r="AB392" i="8"/>
  <c r="AA393" i="8"/>
  <c r="AB393" i="8"/>
  <c r="AA394" i="8"/>
  <c r="AB394" i="8"/>
  <c r="AA395" i="8"/>
  <c r="AB395" i="8"/>
  <c r="AA396" i="8"/>
  <c r="AB396" i="8"/>
  <c r="AA397" i="8"/>
  <c r="AB397" i="8"/>
  <c r="AA398" i="8"/>
  <c r="AB398" i="8"/>
  <c r="AA399" i="8"/>
  <c r="AB399" i="8"/>
  <c r="AA400" i="8"/>
  <c r="AB400" i="8"/>
  <c r="AA401" i="8"/>
  <c r="AB401" i="8"/>
  <c r="AA402" i="8"/>
  <c r="AB402" i="8"/>
  <c r="AA403" i="8"/>
  <c r="AB403" i="8"/>
  <c r="AA404" i="8"/>
  <c r="AB404" i="8"/>
  <c r="AA405" i="8"/>
  <c r="AB405" i="8"/>
  <c r="AA406" i="8"/>
  <c r="AB406" i="8"/>
  <c r="AA407" i="8"/>
  <c r="AB407" i="8"/>
  <c r="AA408" i="8"/>
  <c r="AB408" i="8"/>
  <c r="AA409" i="8"/>
  <c r="AB409" i="8"/>
  <c r="AA410" i="8"/>
  <c r="AB410" i="8"/>
  <c r="AA411" i="8"/>
  <c r="AB411" i="8"/>
  <c r="AA412" i="8"/>
  <c r="AB412" i="8"/>
  <c r="AA413" i="8"/>
  <c r="AB413" i="8"/>
  <c r="AA414" i="8"/>
  <c r="AB414" i="8"/>
  <c r="AA415" i="8"/>
  <c r="AB415" i="8"/>
  <c r="AA416" i="8"/>
  <c r="AB416" i="8"/>
  <c r="AA417" i="8"/>
  <c r="AB417" i="8"/>
  <c r="AA418" i="8"/>
  <c r="AB418" i="8"/>
  <c r="AA419" i="8"/>
  <c r="AB419" i="8"/>
  <c r="AA420" i="8"/>
  <c r="AB420" i="8"/>
  <c r="AA421" i="8"/>
  <c r="AB421" i="8"/>
  <c r="AA422" i="8"/>
  <c r="AB422" i="8"/>
  <c r="AA423" i="8"/>
  <c r="AB423" i="8"/>
  <c r="AA424" i="8"/>
  <c r="AB424" i="8"/>
  <c r="AA425" i="8"/>
  <c r="AB425" i="8"/>
  <c r="AA426" i="8"/>
  <c r="AB426" i="8"/>
  <c r="AA427" i="8"/>
  <c r="AB427" i="8"/>
  <c r="AA428" i="8"/>
  <c r="AB428" i="8"/>
  <c r="AA429" i="8"/>
  <c r="AB429" i="8"/>
  <c r="AA430" i="8"/>
  <c r="AB430" i="8"/>
  <c r="AA431" i="8"/>
  <c r="AB431" i="8"/>
  <c r="AA432" i="8"/>
  <c r="AB432" i="8"/>
  <c r="AA433" i="8"/>
  <c r="AB433" i="8"/>
  <c r="AA434" i="8"/>
  <c r="AB434" i="8"/>
  <c r="AA435" i="8"/>
  <c r="AB435" i="8"/>
  <c r="AA436" i="8"/>
  <c r="AB436" i="8"/>
  <c r="AA437" i="8"/>
  <c r="AB437" i="8"/>
  <c r="AA438" i="8"/>
  <c r="AB438" i="8"/>
  <c r="AA439" i="8"/>
  <c r="AB439" i="8"/>
  <c r="AA440" i="8"/>
  <c r="AB440" i="8"/>
  <c r="AA441" i="8"/>
  <c r="AB441" i="8"/>
  <c r="AA442" i="8"/>
  <c r="AB442" i="8"/>
  <c r="AA443" i="8"/>
  <c r="AB443" i="8"/>
  <c r="AA444" i="8"/>
  <c r="AB444" i="8"/>
  <c r="AA445" i="8"/>
  <c r="AB445" i="8"/>
  <c r="AA446" i="8"/>
  <c r="AB446" i="8"/>
  <c r="AA447" i="8"/>
  <c r="AB447" i="8"/>
  <c r="AA448" i="8"/>
  <c r="AB448" i="8"/>
  <c r="AA449" i="8"/>
  <c r="AB449" i="8"/>
  <c r="AA450" i="8"/>
  <c r="AB450" i="8"/>
  <c r="AA451" i="8"/>
  <c r="AB451" i="8"/>
  <c r="AA452" i="8"/>
  <c r="AB452" i="8"/>
  <c r="AA453" i="8"/>
  <c r="AB453" i="8"/>
  <c r="AA454" i="8"/>
  <c r="AB454" i="8"/>
  <c r="AA455" i="8"/>
  <c r="AB455" i="8"/>
  <c r="AA456" i="8"/>
  <c r="AB456" i="8"/>
  <c r="AA457" i="8"/>
  <c r="AB457" i="8"/>
  <c r="AA458" i="8"/>
  <c r="AB458" i="8"/>
  <c r="AA459" i="8"/>
  <c r="AB459" i="8"/>
  <c r="AA460" i="8"/>
  <c r="AB460" i="8"/>
  <c r="AA461" i="8"/>
  <c r="AB461" i="8"/>
  <c r="AA462" i="8"/>
  <c r="AB462" i="8"/>
  <c r="AA463" i="8"/>
  <c r="AB463" i="8"/>
  <c r="AA464" i="8"/>
  <c r="AB464" i="8"/>
  <c r="AA465" i="8"/>
  <c r="AB465" i="8"/>
  <c r="AA466" i="8"/>
  <c r="AB466" i="8"/>
  <c r="AA467" i="8"/>
  <c r="AB467" i="8"/>
  <c r="AA468" i="8"/>
  <c r="AB468" i="8"/>
  <c r="AA469" i="8"/>
  <c r="AB469" i="8"/>
  <c r="AA470" i="8"/>
  <c r="AB470" i="8"/>
  <c r="AA471" i="8"/>
  <c r="AB471" i="8"/>
  <c r="AA472" i="8"/>
  <c r="AB472" i="8"/>
  <c r="AA473" i="8"/>
  <c r="AB473" i="8"/>
  <c r="AA474" i="8"/>
  <c r="AB474" i="8"/>
  <c r="AA475" i="8"/>
  <c r="AB475" i="8"/>
  <c r="AA476" i="8"/>
  <c r="AB476" i="8"/>
  <c r="AA477" i="8"/>
  <c r="AB477" i="8"/>
  <c r="AA478" i="8"/>
  <c r="AB478" i="8"/>
  <c r="AA479" i="8"/>
  <c r="AB479" i="8"/>
  <c r="AA480" i="8"/>
  <c r="AB480" i="8"/>
  <c r="AA481" i="8"/>
  <c r="AB481" i="8"/>
  <c r="AA482" i="8"/>
  <c r="AB482" i="8"/>
  <c r="AA483" i="8"/>
  <c r="AB483" i="8"/>
  <c r="AA484" i="8"/>
  <c r="AB484" i="8"/>
  <c r="AA485" i="8"/>
  <c r="AB485" i="8"/>
  <c r="AA486" i="8"/>
  <c r="AB486" i="8"/>
  <c r="AA487" i="8"/>
  <c r="AB487" i="8"/>
  <c r="AA488" i="8"/>
  <c r="AB488" i="8"/>
  <c r="AA489" i="8"/>
  <c r="AB489" i="8"/>
  <c r="AA490" i="8"/>
  <c r="AB490" i="8"/>
  <c r="AA491" i="8"/>
  <c r="AB491" i="8"/>
  <c r="AA492" i="8"/>
  <c r="AB492" i="8"/>
  <c r="AA493" i="8"/>
  <c r="AB493" i="8"/>
  <c r="AA494" i="8"/>
  <c r="AB494" i="8"/>
  <c r="AA495" i="8"/>
  <c r="AB495" i="8"/>
  <c r="AA496" i="8"/>
  <c r="AB496" i="8"/>
  <c r="AA497" i="8"/>
  <c r="AB497" i="8"/>
  <c r="AA498" i="8"/>
  <c r="AB498" i="8"/>
  <c r="AA499" i="8"/>
  <c r="AB499" i="8"/>
  <c r="AA500" i="8"/>
  <c r="AB500" i="8"/>
  <c r="AA501" i="8"/>
  <c r="AB501" i="8"/>
  <c r="AA502" i="8"/>
  <c r="AB502" i="8"/>
  <c r="AA503" i="8"/>
  <c r="AB503" i="8"/>
  <c r="AA504" i="8"/>
  <c r="AB504" i="8"/>
  <c r="AA505" i="8"/>
  <c r="AB505" i="8"/>
  <c r="AA506" i="8"/>
  <c r="AB506" i="8"/>
  <c r="AA507" i="8"/>
  <c r="AB507" i="8"/>
  <c r="AA508" i="8"/>
  <c r="AB508" i="8"/>
  <c r="AA509" i="8"/>
  <c r="AB509" i="8"/>
  <c r="AA510" i="8"/>
  <c r="AB510" i="8"/>
  <c r="AA511" i="8"/>
  <c r="AB511" i="8"/>
  <c r="AA512" i="8"/>
  <c r="AB512" i="8"/>
  <c r="AA513" i="8"/>
  <c r="AB513" i="8"/>
  <c r="AA514" i="8"/>
  <c r="AB514" i="8"/>
  <c r="AA515" i="8"/>
  <c r="AB515" i="8"/>
  <c r="AA516" i="8"/>
  <c r="AB516" i="8"/>
  <c r="AA517" i="8"/>
  <c r="AB517" i="8"/>
  <c r="AA518" i="8"/>
  <c r="AB518" i="8"/>
  <c r="AA519" i="8"/>
  <c r="AB519" i="8"/>
  <c r="AA520" i="8"/>
  <c r="AB520" i="8"/>
  <c r="AA521" i="8"/>
  <c r="AB521" i="8"/>
  <c r="AA522" i="8"/>
  <c r="AB522" i="8"/>
  <c r="AA523" i="8"/>
  <c r="AB523" i="8"/>
  <c r="AA524" i="8"/>
  <c r="AB524" i="8"/>
  <c r="AA525" i="8"/>
  <c r="AB525" i="8"/>
  <c r="AA526" i="8"/>
  <c r="AB526" i="8"/>
  <c r="AA527" i="8"/>
  <c r="AB527" i="8"/>
  <c r="AA528" i="8"/>
  <c r="AB528" i="8"/>
  <c r="AA529" i="8"/>
  <c r="AB529" i="8"/>
  <c r="AA530" i="8"/>
  <c r="AB530" i="8"/>
  <c r="AA531" i="8"/>
  <c r="AB531" i="8"/>
  <c r="AA532" i="8"/>
  <c r="AB532" i="8"/>
  <c r="AA533" i="8"/>
  <c r="AB533" i="8"/>
  <c r="AA534" i="8"/>
  <c r="AB534" i="8"/>
  <c r="AA535" i="8"/>
  <c r="AB535" i="8"/>
  <c r="AA536" i="8"/>
  <c r="AB536" i="8"/>
  <c r="AA537" i="8"/>
  <c r="AB537" i="8"/>
  <c r="AA538" i="8"/>
  <c r="AB538" i="8"/>
  <c r="AA539" i="8"/>
  <c r="AB539" i="8"/>
  <c r="AA540" i="8"/>
  <c r="AB540" i="8"/>
  <c r="AA541" i="8"/>
  <c r="AB541" i="8"/>
  <c r="AA542" i="8"/>
  <c r="AB542" i="8"/>
  <c r="AA543" i="8"/>
  <c r="AB543" i="8"/>
  <c r="AA544" i="8"/>
  <c r="AB544" i="8"/>
  <c r="AA545" i="8"/>
  <c r="AB545" i="8"/>
  <c r="AA546" i="8"/>
  <c r="AB546" i="8"/>
  <c r="AA547" i="8"/>
  <c r="AB547" i="8"/>
  <c r="AA548" i="8"/>
  <c r="AB548" i="8"/>
  <c r="AA549" i="8"/>
  <c r="AB549" i="8"/>
  <c r="AA550" i="8"/>
  <c r="AB550" i="8"/>
  <c r="AA551" i="8"/>
  <c r="AB551" i="8"/>
  <c r="AA552" i="8"/>
  <c r="AB552" i="8"/>
  <c r="AA553" i="8"/>
  <c r="AB553" i="8"/>
  <c r="AA554" i="8"/>
  <c r="AB554" i="8"/>
  <c r="AA555" i="8"/>
  <c r="AB555" i="8"/>
  <c r="AA556" i="8"/>
  <c r="AB556" i="8"/>
  <c r="AA557" i="8"/>
  <c r="AB557" i="8"/>
  <c r="AA558" i="8"/>
  <c r="AB558" i="8"/>
  <c r="AA559" i="8"/>
  <c r="AB559" i="8"/>
  <c r="AA560" i="8"/>
  <c r="AB560" i="8"/>
  <c r="AA561" i="8"/>
  <c r="AB561" i="8"/>
  <c r="AA562" i="8"/>
  <c r="AB562" i="8"/>
  <c r="AA563" i="8"/>
  <c r="AB563" i="8"/>
  <c r="AA564" i="8"/>
  <c r="AB564" i="8"/>
  <c r="AA565" i="8"/>
  <c r="AB565" i="8"/>
  <c r="AA566" i="8"/>
  <c r="AB566" i="8"/>
  <c r="AA567" i="8"/>
  <c r="AB567" i="8"/>
  <c r="AA568" i="8"/>
  <c r="AB568" i="8"/>
  <c r="AA569" i="8"/>
  <c r="AB569" i="8"/>
  <c r="AA570" i="8"/>
  <c r="AB570" i="8"/>
  <c r="AA571" i="8"/>
  <c r="AB571" i="8"/>
  <c r="AA572" i="8"/>
  <c r="AB572" i="8"/>
  <c r="AA573" i="8"/>
  <c r="AB573" i="8"/>
  <c r="AA574" i="8"/>
  <c r="AB574" i="8"/>
  <c r="AA575" i="8"/>
  <c r="AB575" i="8"/>
  <c r="AA576" i="8"/>
  <c r="AB576" i="8"/>
  <c r="AA577" i="8"/>
  <c r="AB577" i="8"/>
  <c r="AA578" i="8"/>
  <c r="AB578" i="8"/>
  <c r="AA579" i="8"/>
  <c r="AB579" i="8"/>
  <c r="AA580" i="8"/>
  <c r="AB580" i="8"/>
  <c r="AA581" i="8"/>
  <c r="AB581" i="8"/>
  <c r="AA582" i="8"/>
  <c r="AB582" i="8"/>
  <c r="AA583" i="8"/>
  <c r="AB583" i="8"/>
  <c r="AA584" i="8"/>
  <c r="AB584" i="8"/>
  <c r="AA585" i="8"/>
  <c r="AB585" i="8"/>
  <c r="AA586" i="8"/>
  <c r="AB586" i="8"/>
  <c r="AA587" i="8"/>
  <c r="AB587" i="8"/>
  <c r="AA588" i="8"/>
  <c r="AB588" i="8"/>
  <c r="AA589" i="8"/>
  <c r="AB589" i="8"/>
  <c r="AA590" i="8"/>
  <c r="AB590" i="8"/>
  <c r="AA591" i="8"/>
  <c r="AB591" i="8"/>
  <c r="AA592" i="8"/>
  <c r="AB592" i="8"/>
  <c r="AA593" i="8"/>
  <c r="AB593" i="8"/>
  <c r="AA594" i="8"/>
  <c r="AB594" i="8"/>
  <c r="AA595" i="8"/>
  <c r="AB595" i="8"/>
  <c r="AA596" i="8"/>
  <c r="AB596" i="8"/>
  <c r="AA597" i="8"/>
  <c r="AB597" i="8"/>
  <c r="AA598" i="8"/>
  <c r="AB598" i="8"/>
  <c r="AA599" i="8"/>
  <c r="AB599" i="8"/>
  <c r="AA600" i="8"/>
  <c r="AB600" i="8"/>
  <c r="AA601" i="8"/>
  <c r="AB601" i="8"/>
  <c r="AA602" i="8"/>
  <c r="AB602" i="8"/>
  <c r="AA603" i="8"/>
  <c r="AB603" i="8"/>
  <c r="AA604" i="8"/>
  <c r="AB604" i="8"/>
  <c r="AA605" i="8"/>
  <c r="AB605" i="8"/>
  <c r="AA606" i="8"/>
  <c r="AB606" i="8"/>
  <c r="AA607" i="8"/>
  <c r="AB607" i="8"/>
  <c r="AA608" i="8"/>
  <c r="AB608" i="8"/>
  <c r="AA609" i="8"/>
  <c r="AB609" i="8"/>
  <c r="AA610" i="8"/>
  <c r="AB610" i="8"/>
  <c r="AA611" i="8"/>
  <c r="AB611" i="8"/>
  <c r="AA612" i="8"/>
  <c r="AB612" i="8"/>
  <c r="AA613" i="8"/>
  <c r="AB613" i="8"/>
  <c r="AA614" i="8"/>
  <c r="AB614" i="8"/>
  <c r="AA615" i="8"/>
  <c r="AB615" i="8"/>
  <c r="AA616" i="8"/>
  <c r="AB616" i="8"/>
  <c r="AA617" i="8"/>
  <c r="AB617" i="8"/>
  <c r="AA618" i="8"/>
  <c r="AB618" i="8"/>
  <c r="AA619" i="8"/>
  <c r="AB619" i="8"/>
  <c r="AA620" i="8"/>
  <c r="AB620" i="8"/>
  <c r="AA621" i="8"/>
  <c r="AB621" i="8"/>
  <c r="AA622" i="8"/>
  <c r="AB622" i="8"/>
  <c r="AA623" i="8"/>
  <c r="AB623" i="8"/>
  <c r="AA624" i="8"/>
  <c r="AB624" i="8"/>
  <c r="AA625" i="8"/>
  <c r="AB625" i="8"/>
  <c r="AA626" i="8"/>
  <c r="AB626" i="8"/>
  <c r="AA627" i="8"/>
  <c r="AB627" i="8"/>
  <c r="AA628" i="8"/>
  <c r="AB628" i="8"/>
  <c r="AA629" i="8"/>
  <c r="AB629" i="8"/>
  <c r="AA630" i="8"/>
  <c r="AB630" i="8"/>
  <c r="AA631" i="8"/>
  <c r="AB631" i="8"/>
  <c r="AA632" i="8"/>
  <c r="AB632" i="8"/>
  <c r="AA633" i="8"/>
  <c r="AB633" i="8"/>
  <c r="AA634" i="8"/>
  <c r="AB634" i="8"/>
  <c r="AA635" i="8"/>
  <c r="AB635" i="8"/>
  <c r="AA636" i="8"/>
  <c r="AB636" i="8"/>
  <c r="AA637" i="8"/>
  <c r="AB637" i="8"/>
  <c r="AA638" i="8"/>
  <c r="AB638" i="8"/>
  <c r="AA639" i="8"/>
  <c r="AB639" i="8"/>
  <c r="AA640" i="8"/>
  <c r="AB640" i="8"/>
  <c r="AA641" i="8"/>
  <c r="AB641" i="8"/>
  <c r="AA642" i="8"/>
  <c r="AB642" i="8"/>
  <c r="AA643" i="8"/>
  <c r="AB643" i="8"/>
  <c r="AA644" i="8"/>
  <c r="AB644" i="8"/>
  <c r="AA645" i="8"/>
  <c r="AB645" i="8"/>
  <c r="AA646" i="8"/>
  <c r="AB646" i="8"/>
  <c r="AA647" i="8"/>
  <c r="AB647" i="8"/>
  <c r="AA648" i="8"/>
  <c r="AB648" i="8"/>
  <c r="AA649" i="8"/>
  <c r="AB649" i="8"/>
  <c r="AA650" i="8"/>
  <c r="AB650" i="8"/>
  <c r="AA651" i="8"/>
  <c r="AB651" i="8"/>
  <c r="AA652" i="8"/>
  <c r="AB652" i="8"/>
  <c r="AA653" i="8"/>
  <c r="AB653" i="8"/>
  <c r="AA654" i="8"/>
  <c r="AB654" i="8"/>
  <c r="AA655" i="8"/>
  <c r="AB655" i="8"/>
  <c r="AA656" i="8"/>
  <c r="AB656" i="8"/>
  <c r="AA657" i="8"/>
  <c r="AB657" i="8"/>
  <c r="AA658" i="8"/>
  <c r="AB658" i="8"/>
  <c r="AA659" i="8"/>
  <c r="AB659" i="8"/>
  <c r="AA660" i="8"/>
  <c r="AB660" i="8"/>
  <c r="AA661" i="8"/>
  <c r="AB661" i="8"/>
  <c r="AA662" i="8"/>
  <c r="AB662" i="8"/>
  <c r="AA663" i="8"/>
  <c r="AB663" i="8"/>
  <c r="AA664" i="8"/>
  <c r="AB664" i="8"/>
  <c r="AA665" i="8"/>
  <c r="AB665" i="8"/>
  <c r="AA666" i="8"/>
  <c r="AB666" i="8"/>
  <c r="AA667" i="8"/>
  <c r="AB667" i="8"/>
  <c r="AA668" i="8"/>
  <c r="AB668" i="8"/>
  <c r="AA669" i="8"/>
  <c r="AB669" i="8"/>
  <c r="AA670" i="8"/>
  <c r="AB670" i="8"/>
  <c r="AA671" i="8"/>
  <c r="AB671" i="8"/>
  <c r="AA672" i="8"/>
  <c r="AB672" i="8"/>
  <c r="AA673" i="8"/>
  <c r="AB673" i="8"/>
  <c r="AA674" i="8"/>
  <c r="AB674" i="8"/>
  <c r="AA675" i="8"/>
  <c r="AB675" i="8"/>
  <c r="AA676" i="8"/>
  <c r="AB676" i="8"/>
  <c r="AA677" i="8"/>
  <c r="AB677" i="8"/>
  <c r="AA678" i="8"/>
  <c r="AB678" i="8"/>
  <c r="AA679" i="8"/>
  <c r="AB679" i="8"/>
  <c r="AA680" i="8"/>
  <c r="AB680" i="8"/>
  <c r="AA681" i="8"/>
  <c r="AB681" i="8"/>
  <c r="AA682" i="8"/>
  <c r="AB682" i="8"/>
  <c r="AA683" i="8"/>
  <c r="AB683" i="8"/>
  <c r="AA684" i="8"/>
  <c r="AB684" i="8"/>
  <c r="AA685" i="8"/>
  <c r="AB685" i="8"/>
  <c r="AA686" i="8"/>
  <c r="AB686" i="8"/>
  <c r="AA687" i="8"/>
  <c r="AB687" i="8"/>
  <c r="AA688" i="8"/>
  <c r="AB688" i="8"/>
  <c r="AA689" i="8"/>
  <c r="AB689" i="8"/>
  <c r="AA690" i="8"/>
  <c r="AB690" i="8"/>
  <c r="AA691" i="8"/>
  <c r="AB691" i="8"/>
  <c r="AA692" i="8"/>
  <c r="AB692" i="8"/>
  <c r="AA693" i="8"/>
  <c r="AB693" i="8"/>
  <c r="AA694" i="8"/>
  <c r="AB694" i="8"/>
  <c r="AA695" i="8"/>
  <c r="AB695" i="8"/>
  <c r="AA696" i="8"/>
  <c r="AB696" i="8"/>
  <c r="AA697" i="8"/>
  <c r="AB697" i="8"/>
  <c r="AA698" i="8"/>
  <c r="AB698" i="8"/>
  <c r="AA699" i="8"/>
  <c r="AB699" i="8"/>
  <c r="AA700" i="8"/>
  <c r="AB700" i="8"/>
  <c r="AA701" i="8"/>
  <c r="AB701" i="8"/>
  <c r="AA702" i="8"/>
  <c r="AB702" i="8"/>
  <c r="AA703" i="8"/>
  <c r="AB703" i="8"/>
  <c r="AA704" i="8"/>
  <c r="AB704" i="8"/>
  <c r="AA705" i="8"/>
  <c r="AB705" i="8"/>
  <c r="AA706" i="8"/>
  <c r="AB706" i="8"/>
  <c r="AA707" i="8"/>
  <c r="AB707" i="8"/>
  <c r="AA708" i="8"/>
  <c r="AB708" i="8"/>
  <c r="AA709" i="8"/>
  <c r="AB709" i="8"/>
  <c r="AA710" i="8"/>
  <c r="AB710" i="8"/>
  <c r="AA711" i="8"/>
  <c r="AB711" i="8"/>
  <c r="AA712" i="8"/>
  <c r="AB712" i="8"/>
  <c r="AA713" i="8"/>
  <c r="AB713" i="8"/>
  <c r="AA714" i="8"/>
  <c r="AB714" i="8"/>
  <c r="AA715" i="8"/>
  <c r="AB715" i="8"/>
  <c r="AA716" i="8"/>
  <c r="AB716" i="8"/>
  <c r="AA717" i="8"/>
  <c r="AB717" i="8"/>
  <c r="AA718" i="8"/>
  <c r="AB718" i="8"/>
  <c r="AA719" i="8"/>
  <c r="AB719" i="8"/>
  <c r="AA720" i="8"/>
  <c r="AB720" i="8"/>
  <c r="AA721" i="8"/>
  <c r="AB721" i="8"/>
  <c r="AA722" i="8"/>
  <c r="AB722" i="8"/>
  <c r="AA723" i="8"/>
  <c r="AB723" i="8"/>
  <c r="AA724" i="8"/>
  <c r="AB724" i="8"/>
  <c r="AA725" i="8"/>
  <c r="AB725" i="8"/>
  <c r="AA726" i="8"/>
  <c r="AB726" i="8"/>
  <c r="AA727" i="8"/>
  <c r="AB727" i="8"/>
  <c r="AA728" i="8"/>
  <c r="AB728" i="8"/>
  <c r="AA729" i="8"/>
  <c r="AB729" i="8"/>
  <c r="AA730" i="8"/>
  <c r="AB730" i="8"/>
  <c r="AA731" i="8"/>
  <c r="AB731" i="8"/>
  <c r="AA732" i="8"/>
  <c r="AB732" i="8"/>
  <c r="AA733" i="8"/>
  <c r="AB733" i="8"/>
  <c r="AA734" i="8"/>
  <c r="AB734" i="8"/>
  <c r="AA735" i="8"/>
  <c r="AB735" i="8"/>
  <c r="AA736" i="8"/>
  <c r="AB736" i="8"/>
  <c r="AA737" i="8"/>
  <c r="AB737" i="8"/>
  <c r="AA738" i="8"/>
  <c r="AB738" i="8"/>
  <c r="AA739" i="8"/>
  <c r="AB739" i="8"/>
  <c r="AA740" i="8"/>
  <c r="AB740" i="8"/>
  <c r="AA741" i="8"/>
  <c r="AB741" i="8"/>
  <c r="AA742" i="8"/>
  <c r="AB742" i="8"/>
  <c r="AA743" i="8"/>
  <c r="AB743" i="8"/>
  <c r="AA744" i="8"/>
  <c r="AB744" i="8"/>
  <c r="AA745" i="8"/>
  <c r="AB745" i="8"/>
  <c r="AA746" i="8"/>
  <c r="AB746" i="8"/>
  <c r="AA747" i="8"/>
  <c r="AB747" i="8"/>
  <c r="AA748" i="8"/>
  <c r="AB748" i="8"/>
  <c r="AA749" i="8"/>
  <c r="AB749" i="8"/>
  <c r="AA750" i="8"/>
  <c r="AB750" i="8"/>
  <c r="AA751" i="8"/>
  <c r="AB751" i="8"/>
  <c r="AA752" i="8"/>
  <c r="AB752" i="8"/>
  <c r="AA753" i="8"/>
  <c r="AB753" i="8"/>
  <c r="AA754" i="8"/>
  <c r="AB754" i="8"/>
  <c r="AA755" i="8"/>
  <c r="AB755" i="8"/>
  <c r="AA756" i="8"/>
  <c r="AB756" i="8"/>
  <c r="AA757" i="8"/>
  <c r="AB757" i="8"/>
  <c r="AA758" i="8"/>
  <c r="AB758" i="8"/>
  <c r="AA759" i="8"/>
  <c r="AB759" i="8"/>
  <c r="AA760" i="8"/>
  <c r="AB760" i="8"/>
  <c r="AA761" i="8"/>
  <c r="AB761" i="8"/>
  <c r="AA762" i="8"/>
  <c r="AB762" i="8"/>
  <c r="AA763" i="8"/>
  <c r="AB763" i="8"/>
  <c r="AA764" i="8"/>
  <c r="AB764" i="8"/>
  <c r="AA765" i="8"/>
  <c r="AB765" i="8"/>
  <c r="AA766" i="8"/>
  <c r="AB766" i="8"/>
  <c r="AA767" i="8"/>
  <c r="AB767" i="8"/>
  <c r="AA768" i="8"/>
  <c r="AB768" i="8"/>
  <c r="AA769" i="8"/>
  <c r="AB769" i="8"/>
  <c r="AA770" i="8"/>
  <c r="AB770" i="8"/>
  <c r="AA771" i="8"/>
  <c r="AB771" i="8"/>
  <c r="AA772" i="8"/>
  <c r="AB772" i="8"/>
  <c r="AA773" i="8"/>
  <c r="AB773" i="8"/>
  <c r="AA774" i="8"/>
  <c r="AB774" i="8"/>
  <c r="AA775" i="8"/>
  <c r="AB775" i="8"/>
  <c r="AA776" i="8"/>
  <c r="AB776" i="8"/>
  <c r="AA777" i="8"/>
  <c r="AB777" i="8"/>
  <c r="AA778" i="8"/>
  <c r="AB778" i="8"/>
  <c r="AA779" i="8"/>
  <c r="AB779" i="8"/>
  <c r="AA780" i="8"/>
  <c r="AB780" i="8"/>
  <c r="AA781" i="8"/>
  <c r="AB781" i="8"/>
  <c r="AA782" i="8"/>
  <c r="AB782" i="8"/>
  <c r="AA783" i="8"/>
  <c r="AB783" i="8"/>
  <c r="AA784" i="8"/>
  <c r="AB784" i="8"/>
  <c r="AA785" i="8"/>
  <c r="AB785" i="8"/>
  <c r="AA786" i="8"/>
  <c r="AB786" i="8"/>
  <c r="AA787" i="8"/>
  <c r="AB787" i="8"/>
  <c r="AA788" i="8"/>
  <c r="AB788" i="8"/>
  <c r="AA789" i="8"/>
  <c r="AB789" i="8"/>
  <c r="AA790" i="8"/>
  <c r="AB790" i="8"/>
  <c r="AA791" i="8"/>
  <c r="AB791" i="8"/>
  <c r="AA792" i="8"/>
  <c r="AB792" i="8"/>
  <c r="AA793" i="8"/>
  <c r="AB793" i="8"/>
  <c r="AA794" i="8"/>
  <c r="AB794" i="8"/>
  <c r="AA795" i="8"/>
  <c r="AB795" i="8"/>
  <c r="AA796" i="8"/>
  <c r="AB796" i="8"/>
  <c r="AA797" i="8"/>
  <c r="AB797" i="8"/>
  <c r="AA798" i="8"/>
  <c r="AB798" i="8"/>
  <c r="AA799" i="8"/>
  <c r="AB799" i="8"/>
  <c r="AA800" i="8"/>
  <c r="AB800" i="8"/>
  <c r="AA801" i="8"/>
  <c r="AB801" i="8"/>
  <c r="AA802" i="8"/>
  <c r="AB802" i="8"/>
  <c r="AA803" i="8"/>
  <c r="AB803" i="8"/>
  <c r="AA804" i="8"/>
  <c r="AB804" i="8"/>
  <c r="AA805" i="8"/>
  <c r="AB805" i="8"/>
  <c r="AA806" i="8"/>
  <c r="AB806" i="8"/>
  <c r="AA807" i="8"/>
  <c r="AB807" i="8"/>
  <c r="AA808" i="8"/>
  <c r="AB808" i="8"/>
  <c r="AA809" i="8"/>
  <c r="AB809" i="8"/>
  <c r="AA810" i="8"/>
  <c r="AB810" i="8"/>
  <c r="AA811" i="8"/>
  <c r="AB811" i="8"/>
  <c r="AA812" i="8"/>
  <c r="AB812" i="8"/>
  <c r="AA813" i="8"/>
  <c r="AB813" i="8"/>
  <c r="AA814" i="8"/>
  <c r="AB814" i="8"/>
  <c r="AA815" i="8"/>
  <c r="AB815" i="8"/>
  <c r="AA816" i="8"/>
  <c r="AB816" i="8"/>
  <c r="AA817" i="8"/>
  <c r="AB817" i="8"/>
  <c r="AA818" i="8"/>
  <c r="AB818" i="8"/>
  <c r="AA819" i="8"/>
  <c r="AB819" i="8"/>
  <c r="AA820" i="8"/>
  <c r="AB820" i="8"/>
  <c r="AA821" i="8"/>
  <c r="AB821" i="8"/>
  <c r="AA822" i="8"/>
  <c r="AB822" i="8"/>
  <c r="AA823" i="8"/>
  <c r="AB823" i="8"/>
  <c r="AA824" i="8"/>
  <c r="AB824" i="8"/>
  <c r="AA825" i="8"/>
  <c r="AB825" i="8"/>
  <c r="AA826" i="8"/>
  <c r="AB826" i="8"/>
  <c r="AA827" i="8"/>
  <c r="AB827" i="8"/>
  <c r="AA828" i="8"/>
  <c r="AB828" i="8"/>
  <c r="AA829" i="8"/>
  <c r="AB829" i="8"/>
  <c r="AA830" i="8"/>
  <c r="AB830" i="8"/>
  <c r="AA831" i="8"/>
  <c r="AB831" i="8"/>
  <c r="AA832" i="8"/>
  <c r="AB832" i="8"/>
  <c r="AA833" i="8"/>
  <c r="AB833" i="8"/>
  <c r="AA834" i="8"/>
  <c r="AB834" i="8"/>
  <c r="AA835" i="8"/>
  <c r="AB835" i="8"/>
  <c r="AA836" i="8"/>
  <c r="AB836" i="8"/>
  <c r="AA837" i="8"/>
  <c r="AB837" i="8"/>
  <c r="AA838" i="8"/>
  <c r="AB838" i="8"/>
  <c r="AA839" i="8"/>
  <c r="AB839" i="8"/>
  <c r="AA840" i="8"/>
  <c r="AB840" i="8"/>
  <c r="AA841" i="8"/>
  <c r="AB841" i="8"/>
  <c r="AA842" i="8"/>
  <c r="AB842" i="8"/>
  <c r="AA843" i="8"/>
  <c r="AB843" i="8"/>
  <c r="AA844" i="8"/>
  <c r="AB844" i="8"/>
  <c r="AA845" i="8"/>
  <c r="AB845" i="8"/>
  <c r="AA846" i="8"/>
  <c r="AB846" i="8"/>
  <c r="AA847" i="8"/>
  <c r="AB847" i="8"/>
  <c r="AA848" i="8"/>
  <c r="AB848" i="8"/>
  <c r="AA849" i="8"/>
  <c r="AB849" i="8"/>
  <c r="AA850" i="8"/>
  <c r="AB850" i="8"/>
  <c r="AA851" i="8"/>
  <c r="AB851" i="8"/>
  <c r="AA852" i="8"/>
  <c r="AB852" i="8"/>
  <c r="AA853" i="8"/>
  <c r="AB853" i="8"/>
  <c r="AA854" i="8"/>
  <c r="AB854" i="8"/>
  <c r="AA855" i="8"/>
  <c r="AB855" i="8"/>
  <c r="AA856" i="8"/>
  <c r="AB856" i="8"/>
  <c r="AA857" i="8"/>
  <c r="AB857" i="8"/>
  <c r="AA858" i="8"/>
  <c r="AB858" i="8"/>
  <c r="AA859" i="8"/>
  <c r="AB859" i="8"/>
  <c r="AA860" i="8"/>
  <c r="AB860" i="8"/>
  <c r="AA861" i="8"/>
  <c r="AB861" i="8"/>
  <c r="AA862" i="8"/>
  <c r="AB862" i="8"/>
  <c r="AA863" i="8"/>
  <c r="AB863" i="8"/>
  <c r="AA864" i="8"/>
  <c r="AB864" i="8"/>
  <c r="AA865" i="8"/>
  <c r="AB865" i="8"/>
  <c r="AA866" i="8"/>
  <c r="AB866" i="8"/>
  <c r="AA867" i="8"/>
  <c r="AB867" i="8"/>
  <c r="AA868" i="8"/>
  <c r="AB868" i="8"/>
  <c r="AA869" i="8"/>
  <c r="AB869" i="8"/>
  <c r="AA870" i="8"/>
  <c r="AB870" i="8"/>
  <c r="AA871" i="8"/>
  <c r="AB871" i="8"/>
  <c r="AA872" i="8"/>
  <c r="AB872" i="8"/>
  <c r="AA873" i="8"/>
  <c r="AB873" i="8"/>
  <c r="AA874" i="8"/>
  <c r="AB874" i="8"/>
  <c r="AA875" i="8"/>
  <c r="AB875" i="8"/>
  <c r="AA876" i="8"/>
  <c r="AB876" i="8"/>
  <c r="AA877" i="8"/>
  <c r="AB877" i="8"/>
  <c r="AA878" i="8"/>
  <c r="AB878" i="8"/>
  <c r="AA879" i="8"/>
  <c r="AB879" i="8"/>
  <c r="AA880" i="8"/>
  <c r="AB880" i="8"/>
  <c r="AA881" i="8"/>
  <c r="AB881" i="8"/>
  <c r="AA882" i="8"/>
  <c r="AB882" i="8"/>
  <c r="AA883" i="8"/>
  <c r="AB883" i="8"/>
  <c r="AA884" i="8"/>
  <c r="AB884" i="8"/>
  <c r="AA885" i="8"/>
  <c r="AB885" i="8"/>
  <c r="AA886" i="8"/>
  <c r="AB886" i="8"/>
  <c r="AA887" i="8"/>
  <c r="AB887" i="8"/>
  <c r="AA888" i="8"/>
  <c r="AB888" i="8"/>
  <c r="AA889" i="8"/>
  <c r="AB889" i="8"/>
  <c r="AA890" i="8"/>
  <c r="AB890" i="8"/>
  <c r="AA891" i="8"/>
  <c r="AB891" i="8"/>
  <c r="AA892" i="8"/>
  <c r="AB892" i="8"/>
  <c r="AA893" i="8"/>
  <c r="AB893" i="8"/>
  <c r="AA894" i="8"/>
  <c r="AB894" i="8"/>
  <c r="AA895" i="8"/>
  <c r="AB895" i="8"/>
  <c r="AA896" i="8"/>
  <c r="AB896" i="8"/>
  <c r="AA897" i="8"/>
  <c r="AB897" i="8"/>
  <c r="AA898" i="8"/>
  <c r="AB898" i="8"/>
  <c r="AA899" i="8"/>
  <c r="AB899" i="8"/>
  <c r="AA900" i="8"/>
  <c r="AB900" i="8"/>
  <c r="AA901" i="8"/>
  <c r="AB901" i="8"/>
  <c r="AA902" i="8"/>
  <c r="AB902" i="8"/>
  <c r="AA903" i="8"/>
  <c r="AB903" i="8"/>
  <c r="AA904" i="8"/>
  <c r="AB904" i="8"/>
  <c r="AA905" i="8"/>
  <c r="AB905" i="8"/>
  <c r="AA906" i="8"/>
  <c r="AB906" i="8"/>
  <c r="AA907" i="8"/>
  <c r="AB907" i="8"/>
  <c r="AA908" i="8"/>
  <c r="AB908" i="8"/>
  <c r="AA909" i="8"/>
  <c r="AB909" i="8"/>
  <c r="AA910" i="8"/>
  <c r="AB910" i="8"/>
  <c r="AA911" i="8"/>
  <c r="AB911" i="8"/>
  <c r="AA912" i="8"/>
  <c r="AB912" i="8"/>
  <c r="AA913" i="8"/>
  <c r="AB913" i="8"/>
  <c r="AA914" i="8"/>
  <c r="AB914" i="8"/>
  <c r="AA915" i="8"/>
  <c r="AB915" i="8"/>
  <c r="AA916" i="8"/>
  <c r="AB916" i="8"/>
  <c r="AA917" i="8"/>
  <c r="AB917" i="8"/>
  <c r="AA918" i="8"/>
  <c r="AB918" i="8"/>
  <c r="AA919" i="8"/>
  <c r="AB919" i="8"/>
  <c r="AA920" i="8"/>
  <c r="AB920" i="8"/>
  <c r="AA921" i="8"/>
  <c r="AB921" i="8"/>
  <c r="AA922" i="8"/>
  <c r="AB922" i="8"/>
  <c r="AA923" i="8"/>
  <c r="AB923" i="8"/>
  <c r="AA924" i="8"/>
  <c r="AB924" i="8"/>
  <c r="AA925" i="8"/>
  <c r="AB925" i="8"/>
  <c r="AA926" i="8"/>
  <c r="AB926" i="8"/>
  <c r="AA927" i="8"/>
  <c r="AB927" i="8"/>
  <c r="AA928" i="8"/>
  <c r="AB928" i="8"/>
  <c r="AA929" i="8"/>
  <c r="AB929" i="8"/>
  <c r="AA930" i="8"/>
  <c r="AB930" i="8"/>
  <c r="AA931" i="8"/>
  <c r="AB931" i="8"/>
  <c r="AA932" i="8"/>
  <c r="AB932" i="8"/>
  <c r="AA933" i="8"/>
  <c r="AB933" i="8"/>
  <c r="AA934" i="8"/>
  <c r="AB934" i="8"/>
  <c r="AA935" i="8"/>
  <c r="AB935" i="8"/>
  <c r="AA936" i="8"/>
  <c r="AB936" i="8"/>
  <c r="AA937" i="8"/>
  <c r="AB937" i="8"/>
  <c r="AA938" i="8"/>
  <c r="AB938" i="8"/>
  <c r="AA939" i="8"/>
  <c r="AB939" i="8"/>
  <c r="AA940" i="8"/>
  <c r="AB940" i="8"/>
  <c r="AA941" i="8"/>
  <c r="AB941" i="8"/>
  <c r="AA942" i="8"/>
  <c r="AB942" i="8"/>
  <c r="AA943" i="8"/>
  <c r="AB943" i="8"/>
  <c r="AA944" i="8"/>
  <c r="AB944" i="8"/>
  <c r="AA945" i="8"/>
  <c r="AB945" i="8"/>
  <c r="AA946" i="8"/>
  <c r="AB946" i="8"/>
  <c r="AA947" i="8"/>
  <c r="AB947" i="8"/>
  <c r="AA948" i="8"/>
  <c r="AB948" i="8"/>
  <c r="AA949" i="8"/>
  <c r="AB949" i="8"/>
  <c r="AA950" i="8"/>
  <c r="AB950" i="8"/>
  <c r="AA951" i="8"/>
  <c r="AB951" i="8"/>
  <c r="AA952" i="8"/>
  <c r="AB952" i="8"/>
  <c r="AA953" i="8"/>
  <c r="AB953" i="8"/>
  <c r="AA954" i="8"/>
  <c r="AB954" i="8"/>
  <c r="AA955" i="8"/>
  <c r="AB955" i="8"/>
  <c r="AA956" i="8"/>
  <c r="AB956" i="8"/>
  <c r="AA957" i="8"/>
  <c r="AB957" i="8"/>
  <c r="AA958" i="8"/>
  <c r="AB958" i="8"/>
  <c r="AA959" i="8"/>
  <c r="AB959" i="8"/>
  <c r="AA960" i="8"/>
  <c r="AB960" i="8"/>
  <c r="AA961" i="8"/>
  <c r="AB961" i="8"/>
  <c r="AA962" i="8"/>
  <c r="AB962" i="8"/>
  <c r="AA963" i="8"/>
  <c r="AB963" i="8"/>
  <c r="AA964" i="8"/>
  <c r="AB964" i="8"/>
  <c r="AA965" i="8"/>
  <c r="AB965" i="8"/>
  <c r="AA966" i="8"/>
  <c r="AB966" i="8"/>
  <c r="AA967" i="8"/>
  <c r="AB967" i="8"/>
  <c r="AA968" i="8"/>
  <c r="AB968" i="8"/>
  <c r="AA969" i="8"/>
  <c r="AB969" i="8"/>
  <c r="AA970" i="8"/>
  <c r="AB970" i="8"/>
  <c r="AA971" i="8"/>
  <c r="AB971" i="8"/>
  <c r="AA972" i="8"/>
  <c r="AB972" i="8"/>
  <c r="AA973" i="8"/>
  <c r="AB973" i="8"/>
  <c r="AA974" i="8"/>
  <c r="AB974" i="8"/>
  <c r="AA975" i="8"/>
  <c r="AB975" i="8"/>
  <c r="AA976" i="8"/>
  <c r="AB976" i="8"/>
  <c r="AA977" i="8"/>
  <c r="AB977" i="8"/>
  <c r="AA978" i="8"/>
  <c r="AB978" i="8"/>
  <c r="AA979" i="8"/>
  <c r="AB979" i="8"/>
  <c r="AA980" i="8"/>
  <c r="AB980" i="8"/>
  <c r="AA981" i="8"/>
  <c r="AB981" i="8"/>
  <c r="AA982" i="8"/>
  <c r="AB982" i="8"/>
  <c r="AA983" i="8"/>
  <c r="AB983" i="8"/>
  <c r="AA984" i="8"/>
  <c r="AB984" i="8"/>
  <c r="AA985" i="8"/>
  <c r="AB985" i="8"/>
  <c r="AA986" i="8"/>
  <c r="AB986" i="8"/>
  <c r="AA987" i="8"/>
  <c r="AB987" i="8"/>
  <c r="AA988" i="8"/>
  <c r="AB988" i="8"/>
  <c r="AA989" i="8"/>
  <c r="AB989" i="8"/>
  <c r="AA990" i="8"/>
  <c r="AB990" i="8"/>
  <c r="AA991" i="8"/>
  <c r="AB991" i="8"/>
  <c r="AA992" i="8"/>
  <c r="AB992" i="8"/>
  <c r="AA993" i="8"/>
  <c r="AB993" i="8"/>
  <c r="AA994" i="8"/>
  <c r="AB994" i="8"/>
  <c r="AA995" i="8"/>
  <c r="AB995" i="8"/>
  <c r="AA996" i="8"/>
  <c r="AB996" i="8"/>
  <c r="AA997" i="8"/>
  <c r="AB997" i="8"/>
  <c r="AA998" i="8"/>
  <c r="AB998" i="8"/>
  <c r="AA999" i="8"/>
  <c r="AB999" i="8"/>
  <c r="AA1000" i="8"/>
  <c r="AB1000" i="8"/>
  <c r="AR3" i="8"/>
  <c r="AR4" i="8" s="1"/>
  <c r="AR5" i="8" s="1"/>
  <c r="AR6" i="8" s="1"/>
  <c r="AR7" i="8" s="1"/>
  <c r="AR8" i="8" s="1"/>
  <c r="AR9" i="8" s="1"/>
  <c r="AR10" i="8" s="1"/>
  <c r="AR11" i="8" s="1"/>
  <c r="AR12" i="8" s="1"/>
  <c r="AR13" i="8" s="1"/>
  <c r="AR14" i="8" s="1"/>
  <c r="AR15" i="8" s="1"/>
  <c r="AR16" i="8" s="1"/>
  <c r="AR17" i="8" s="1"/>
  <c r="AR18" i="8" s="1"/>
  <c r="AR19" i="8" s="1"/>
  <c r="AR20" i="8" s="1"/>
  <c r="AR21" i="8" s="1"/>
  <c r="AR22" i="8" s="1"/>
  <c r="AR23" i="8" s="1"/>
  <c r="AR24" i="8" s="1"/>
  <c r="AR25" i="8" s="1"/>
  <c r="AR26" i="8" s="1"/>
  <c r="AR27" i="8" s="1"/>
  <c r="AR28" i="8" s="1"/>
  <c r="AR29" i="8" s="1"/>
  <c r="AR30" i="8" s="1"/>
  <c r="AR31" i="8" s="1"/>
  <c r="AR32" i="8" s="1"/>
  <c r="AR33" i="8" s="1"/>
  <c r="AR34" i="8" s="1"/>
  <c r="AR35" i="8" s="1"/>
  <c r="AR36" i="8" s="1"/>
  <c r="AR37" i="8" s="1"/>
  <c r="AR38" i="8" s="1"/>
  <c r="AR39" i="8" s="1"/>
  <c r="AR40" i="8" s="1"/>
  <c r="AR41" i="8" s="1"/>
  <c r="AR42" i="8" s="1"/>
  <c r="AR43" i="8" s="1"/>
  <c r="AR44" i="8" s="1"/>
  <c r="AR45" i="8" s="1"/>
  <c r="AR46" i="8" s="1"/>
  <c r="AR47" i="8" s="1"/>
  <c r="AR48" i="8" s="1"/>
  <c r="AR49" i="8" s="1"/>
  <c r="AR50" i="8" s="1"/>
  <c r="AR51" i="8" s="1"/>
  <c r="AR52" i="8" s="1"/>
  <c r="AR53" i="8" s="1"/>
  <c r="AR54" i="8" s="1"/>
  <c r="AR55" i="8" s="1"/>
  <c r="AR56" i="8" s="1"/>
  <c r="AR57" i="8" s="1"/>
  <c r="AR58" i="8" s="1"/>
  <c r="AR59" i="8" s="1"/>
  <c r="AR60" i="8" s="1"/>
  <c r="AR61" i="8" s="1"/>
  <c r="AR62" i="8" s="1"/>
  <c r="AR63" i="8" s="1"/>
  <c r="AR64" i="8" s="1"/>
  <c r="AR65" i="8" s="1"/>
  <c r="AR66" i="8" s="1"/>
  <c r="AR67" i="8" s="1"/>
  <c r="AR68" i="8" s="1"/>
  <c r="AR69" i="8" s="1"/>
  <c r="AR70" i="8" s="1"/>
  <c r="AR71" i="8" s="1"/>
  <c r="AR72" i="8" s="1"/>
  <c r="AR73" i="8" s="1"/>
  <c r="AR74" i="8" s="1"/>
  <c r="AR75" i="8" s="1"/>
  <c r="AR76" i="8" s="1"/>
  <c r="AR77" i="8" s="1"/>
  <c r="AR78" i="8" s="1"/>
  <c r="AR79" i="8" s="1"/>
  <c r="AR80" i="8" s="1"/>
  <c r="AR81" i="8" s="1"/>
  <c r="AR82" i="8" s="1"/>
  <c r="AR83" i="8" s="1"/>
  <c r="AR84" i="8" s="1"/>
  <c r="AR85" i="8" s="1"/>
  <c r="AR86" i="8" s="1"/>
  <c r="AR87" i="8" s="1"/>
  <c r="AR88" i="8" s="1"/>
  <c r="AR89" i="8" s="1"/>
  <c r="AR90" i="8" s="1"/>
  <c r="AR91" i="8" s="1"/>
  <c r="AR92" i="8" s="1"/>
  <c r="AR93" i="8" s="1"/>
  <c r="AR94" i="8" s="1"/>
  <c r="AR95" i="8" s="1"/>
  <c r="AR96" i="8" s="1"/>
  <c r="AR97" i="8" s="1"/>
  <c r="AR98" i="8" s="1"/>
  <c r="AR99" i="8" s="1"/>
  <c r="AR100" i="8" s="1"/>
  <c r="AR101" i="8" s="1"/>
  <c r="AR102" i="8" s="1"/>
  <c r="AR103" i="8" s="1"/>
  <c r="AR104" i="8" s="1"/>
  <c r="AR105" i="8" s="1"/>
  <c r="AR106" i="8" s="1"/>
  <c r="AR107" i="8" s="1"/>
  <c r="AR108" i="8" s="1"/>
  <c r="AR109" i="8" s="1"/>
  <c r="AR110" i="8" s="1"/>
  <c r="AR111" i="8" s="1"/>
  <c r="AR112" i="8" s="1"/>
  <c r="AR113" i="8" s="1"/>
  <c r="AR114" i="8" s="1"/>
  <c r="AR115" i="8" s="1"/>
  <c r="AR116" i="8" s="1"/>
  <c r="AR117" i="8" s="1"/>
  <c r="AR118" i="8" s="1"/>
  <c r="AR119" i="8" s="1"/>
  <c r="AR120" i="8" s="1"/>
  <c r="AR121" i="8" s="1"/>
  <c r="AR122" i="8" s="1"/>
  <c r="AR123" i="8" s="1"/>
  <c r="AR124" i="8" s="1"/>
  <c r="AR125" i="8" s="1"/>
  <c r="AR126" i="8" s="1"/>
  <c r="AR127" i="8" s="1"/>
  <c r="AR128" i="8" s="1"/>
  <c r="AR129" i="8" s="1"/>
  <c r="AR130" i="8" s="1"/>
  <c r="AR131" i="8" s="1"/>
  <c r="AR132" i="8" s="1"/>
  <c r="AR133" i="8" s="1"/>
  <c r="AQ123" i="8"/>
  <c r="AQ124" i="8"/>
  <c r="AQ125" i="8"/>
  <c r="AQ126" i="8"/>
  <c r="AQ127" i="8"/>
  <c r="AQ128" i="8"/>
  <c r="AQ129" i="8"/>
  <c r="AQ130" i="8"/>
  <c r="AQ131" i="8"/>
  <c r="AQ132" i="8"/>
  <c r="AQ133" i="8"/>
  <c r="AQ122" i="8"/>
  <c r="AQ111" i="8"/>
  <c r="AQ112" i="8"/>
  <c r="AQ113" i="8"/>
  <c r="AQ114" i="8"/>
  <c r="AQ115" i="8"/>
  <c r="AQ116" i="8"/>
  <c r="AQ117" i="8"/>
  <c r="AQ118" i="8"/>
  <c r="AQ119" i="8"/>
  <c r="AQ120" i="8"/>
  <c r="AQ121" i="8"/>
  <c r="AQ110" i="8"/>
  <c r="AQ99" i="8"/>
  <c r="AQ100" i="8"/>
  <c r="AQ101" i="8"/>
  <c r="AQ102" i="8"/>
  <c r="AQ103" i="8"/>
  <c r="AQ104" i="8"/>
  <c r="AQ105" i="8"/>
  <c r="AQ106" i="8"/>
  <c r="AQ107" i="8"/>
  <c r="AQ108" i="8"/>
  <c r="AQ109" i="8"/>
  <c r="AQ98" i="8"/>
  <c r="AQ87" i="8"/>
  <c r="AQ88" i="8"/>
  <c r="AQ89" i="8"/>
  <c r="AQ90" i="8"/>
  <c r="AQ91" i="8"/>
  <c r="AQ92" i="8"/>
  <c r="AQ93" i="8"/>
  <c r="AQ94" i="8"/>
  <c r="AQ95" i="8"/>
  <c r="AQ96" i="8"/>
  <c r="AQ97" i="8"/>
  <c r="AQ86" i="8"/>
  <c r="AQ75" i="8"/>
  <c r="AQ76" i="8"/>
  <c r="AQ77" i="8"/>
  <c r="AQ78" i="8"/>
  <c r="AQ79" i="8"/>
  <c r="AQ80" i="8"/>
  <c r="AQ81" i="8"/>
  <c r="AQ82" i="8"/>
  <c r="AQ83" i="8"/>
  <c r="AQ84" i="8"/>
  <c r="AQ85" i="8"/>
  <c r="AQ74" i="8"/>
  <c r="AQ63" i="8"/>
  <c r="AQ64" i="8"/>
  <c r="AQ65" i="8"/>
  <c r="AQ66" i="8"/>
  <c r="AQ67" i="8"/>
  <c r="AQ68" i="8"/>
  <c r="AQ69" i="8"/>
  <c r="AQ70" i="8"/>
  <c r="AQ71" i="8"/>
  <c r="AQ72" i="8"/>
  <c r="AQ73" i="8"/>
  <c r="AQ62" i="8"/>
  <c r="AQ51" i="8"/>
  <c r="AQ52" i="8"/>
  <c r="AQ53" i="8"/>
  <c r="AQ54" i="8"/>
  <c r="AQ55" i="8"/>
  <c r="AQ56" i="8"/>
  <c r="AQ57" i="8"/>
  <c r="AQ58" i="8"/>
  <c r="AQ59" i="8"/>
  <c r="AQ60" i="8"/>
  <c r="AQ61" i="8"/>
  <c r="AQ50" i="8"/>
  <c r="AQ39" i="8"/>
  <c r="AQ40" i="8"/>
  <c r="AQ41" i="8"/>
  <c r="AQ42" i="8"/>
  <c r="AQ43" i="8"/>
  <c r="AQ44" i="8"/>
  <c r="AQ45" i="8"/>
  <c r="AQ46" i="8"/>
  <c r="AQ47" i="8"/>
  <c r="AQ48" i="8"/>
  <c r="AQ49" i="8"/>
  <c r="AQ38" i="8"/>
  <c r="AQ36" i="8"/>
  <c r="AQ37" i="8"/>
  <c r="AQ27" i="8"/>
  <c r="AQ28" i="8"/>
  <c r="AQ29" i="8"/>
  <c r="AQ30" i="8"/>
  <c r="AQ31" i="8"/>
  <c r="AQ32" i="8"/>
  <c r="AQ33" i="8"/>
  <c r="AQ34" i="8"/>
  <c r="AQ35" i="8"/>
  <c r="AQ26" i="8"/>
  <c r="AQ15" i="8"/>
  <c r="AQ16" i="8"/>
  <c r="AQ17" i="8"/>
  <c r="AQ18" i="8"/>
  <c r="AQ19" i="8"/>
  <c r="AQ20" i="8"/>
  <c r="AQ21" i="8"/>
  <c r="AQ22" i="8"/>
  <c r="AQ23" i="8"/>
  <c r="AQ24" i="8"/>
  <c r="AQ25" i="8"/>
  <c r="AQ14" i="8"/>
  <c r="AQ3" i="8"/>
  <c r="AQ4" i="8"/>
  <c r="AQ5" i="8"/>
  <c r="AQ6" i="8"/>
  <c r="AQ7" i="8"/>
  <c r="AQ8" i="8"/>
  <c r="AQ9" i="8"/>
  <c r="AQ10" i="8"/>
  <c r="AQ11" i="8"/>
  <c r="AQ12" i="8"/>
  <c r="AQ13" i="8"/>
  <c r="AQ2" i="8"/>
  <c r="B2" i="8"/>
  <c r="U19" i="1"/>
  <c r="U20" i="1"/>
  <c r="AP13" i="1" l="1"/>
  <c r="AO14" i="1"/>
  <c r="A55" i="8"/>
  <c r="G55" i="8" s="1"/>
  <c r="B55" i="8"/>
  <c r="D55" i="8" s="1"/>
  <c r="H55" i="8"/>
  <c r="I55" i="8" s="1"/>
  <c r="A56" i="8"/>
  <c r="G56" i="8" s="1"/>
  <c r="B56" i="8"/>
  <c r="C56" i="8" s="1"/>
  <c r="H56" i="8"/>
  <c r="A57" i="8"/>
  <c r="G57" i="8" s="1"/>
  <c r="B57" i="8"/>
  <c r="C57" i="8" s="1"/>
  <c r="H57" i="8"/>
  <c r="I57" i="8" s="1"/>
  <c r="A58" i="8"/>
  <c r="G58" i="8" s="1"/>
  <c r="B58" i="8"/>
  <c r="D58" i="8" s="1"/>
  <c r="H58" i="8"/>
  <c r="I58" i="8" s="1"/>
  <c r="A59" i="8"/>
  <c r="G59" i="8" s="1"/>
  <c r="B59" i="8"/>
  <c r="D59" i="8" s="1"/>
  <c r="H59" i="8"/>
  <c r="A60" i="8"/>
  <c r="G60" i="8" s="1"/>
  <c r="B60" i="8"/>
  <c r="C60" i="8" s="1"/>
  <c r="H60" i="8"/>
  <c r="A61" i="8"/>
  <c r="G61" i="8" s="1"/>
  <c r="B61" i="8"/>
  <c r="C61" i="8" s="1"/>
  <c r="H61" i="8"/>
  <c r="I61" i="8" s="1"/>
  <c r="A62" i="8"/>
  <c r="G62" i="8" s="1"/>
  <c r="B62" i="8"/>
  <c r="D62" i="8" s="1"/>
  <c r="H62" i="8"/>
  <c r="A63" i="8"/>
  <c r="G63" i="8" s="1"/>
  <c r="B63" i="8"/>
  <c r="C63" i="8" s="1"/>
  <c r="H63" i="8"/>
  <c r="J63" i="8" s="1"/>
  <c r="A64" i="8"/>
  <c r="G64" i="8" s="1"/>
  <c r="B64" i="8"/>
  <c r="C64" i="8" s="1"/>
  <c r="H64" i="8"/>
  <c r="A65" i="8"/>
  <c r="G65" i="8" s="1"/>
  <c r="B65" i="8"/>
  <c r="C65" i="8" s="1"/>
  <c r="H65" i="8"/>
  <c r="I65" i="8" s="1"/>
  <c r="A66" i="8"/>
  <c r="G66" i="8" s="1"/>
  <c r="B66" i="8"/>
  <c r="D66" i="8" s="1"/>
  <c r="H66" i="8"/>
  <c r="I66" i="8" s="1"/>
  <c r="A67" i="8"/>
  <c r="G67" i="8" s="1"/>
  <c r="B67" i="8"/>
  <c r="H67" i="8"/>
  <c r="A68" i="8"/>
  <c r="G68" i="8" s="1"/>
  <c r="B68" i="8"/>
  <c r="C68" i="8" s="1"/>
  <c r="H68" i="8"/>
  <c r="A69" i="8"/>
  <c r="G69" i="8" s="1"/>
  <c r="B69" i="8"/>
  <c r="D69" i="8" s="1"/>
  <c r="H69" i="8"/>
  <c r="I69" i="8" s="1"/>
  <c r="A70" i="8"/>
  <c r="G70" i="8" s="1"/>
  <c r="B70" i="8"/>
  <c r="H70" i="8"/>
  <c r="J70" i="8" s="1"/>
  <c r="A71" i="8"/>
  <c r="G71" i="8" s="1"/>
  <c r="B71" i="8"/>
  <c r="C71" i="8" s="1"/>
  <c r="H71" i="8"/>
  <c r="I71" i="8" s="1"/>
  <c r="A72" i="8"/>
  <c r="G72" i="8" s="1"/>
  <c r="B72" i="8"/>
  <c r="C72" i="8" s="1"/>
  <c r="H72" i="8"/>
  <c r="A73" i="8"/>
  <c r="G73" i="8" s="1"/>
  <c r="B73" i="8"/>
  <c r="H73" i="8"/>
  <c r="I73" i="8" s="1"/>
  <c r="A74" i="8"/>
  <c r="G74" i="8" s="1"/>
  <c r="B74" i="8"/>
  <c r="D74" i="8" s="1"/>
  <c r="H74" i="8"/>
  <c r="A75" i="8"/>
  <c r="G75" i="8" s="1"/>
  <c r="B75" i="8"/>
  <c r="H75" i="8"/>
  <c r="A76" i="8"/>
  <c r="G76" i="8" s="1"/>
  <c r="B76" i="8"/>
  <c r="C76" i="8" s="1"/>
  <c r="H76" i="8"/>
  <c r="A77" i="8"/>
  <c r="G77" i="8" s="1"/>
  <c r="B77" i="8"/>
  <c r="H77" i="8"/>
  <c r="J77" i="8" s="1"/>
  <c r="A78" i="8"/>
  <c r="G78" i="8" s="1"/>
  <c r="B78" i="8"/>
  <c r="H78" i="8"/>
  <c r="I78" i="8" s="1"/>
  <c r="A79" i="8"/>
  <c r="G79" i="8" s="1"/>
  <c r="B79" i="8"/>
  <c r="H79" i="8"/>
  <c r="I79" i="8" s="1"/>
  <c r="A80" i="8"/>
  <c r="G80" i="8" s="1"/>
  <c r="B80" i="8"/>
  <c r="C80" i="8" s="1"/>
  <c r="H80" i="8"/>
  <c r="A81" i="8"/>
  <c r="G81" i="8" s="1"/>
  <c r="B81" i="8"/>
  <c r="C81" i="8" s="1"/>
  <c r="H81" i="8"/>
  <c r="A82" i="8"/>
  <c r="G82" i="8" s="1"/>
  <c r="B82" i="8"/>
  <c r="H82" i="8"/>
  <c r="J82" i="8" s="1"/>
  <c r="A83" i="8"/>
  <c r="G83" i="8" s="1"/>
  <c r="B83" i="8"/>
  <c r="D83" i="8" s="1"/>
  <c r="H83" i="8"/>
  <c r="I83" i="8" s="1"/>
  <c r="A84" i="8"/>
  <c r="G84" i="8" s="1"/>
  <c r="B84" i="8"/>
  <c r="C84" i="8" s="1"/>
  <c r="H84" i="8"/>
  <c r="A85" i="8"/>
  <c r="G85" i="8" s="1"/>
  <c r="B85" i="8"/>
  <c r="C85" i="8" s="1"/>
  <c r="H85" i="8"/>
  <c r="J85" i="8" s="1"/>
  <c r="A86" i="8"/>
  <c r="G86" i="8" s="1"/>
  <c r="B86" i="8"/>
  <c r="D86" i="8" s="1"/>
  <c r="H86" i="8"/>
  <c r="I86" i="8" s="1"/>
  <c r="A87" i="8"/>
  <c r="G87" i="8" s="1"/>
  <c r="B87" i="8"/>
  <c r="H87" i="8"/>
  <c r="I87" i="8" s="1"/>
  <c r="A88" i="8"/>
  <c r="G88" i="8" s="1"/>
  <c r="B88" i="8"/>
  <c r="C88" i="8" s="1"/>
  <c r="H88" i="8"/>
  <c r="A89" i="8"/>
  <c r="G89" i="8" s="1"/>
  <c r="B89" i="8"/>
  <c r="C89" i="8" s="1"/>
  <c r="H89" i="8"/>
  <c r="J89" i="8" s="1"/>
  <c r="A90" i="8"/>
  <c r="G90" i="8" s="1"/>
  <c r="B90" i="8"/>
  <c r="D90" i="8" s="1"/>
  <c r="H90" i="8"/>
  <c r="A91" i="8"/>
  <c r="G91" i="8" s="1"/>
  <c r="B91" i="8"/>
  <c r="C91" i="8" s="1"/>
  <c r="H91" i="8"/>
  <c r="A92" i="8"/>
  <c r="G92" i="8" s="1"/>
  <c r="B92" i="8"/>
  <c r="C92" i="8" s="1"/>
  <c r="H92" i="8"/>
  <c r="A93" i="8"/>
  <c r="G93" i="8" s="1"/>
  <c r="B93" i="8"/>
  <c r="H93" i="8"/>
  <c r="A94" i="8"/>
  <c r="G94" i="8" s="1"/>
  <c r="B94" i="8"/>
  <c r="H94" i="8"/>
  <c r="J94" i="8" s="1"/>
  <c r="A95" i="8"/>
  <c r="G95" i="8" s="1"/>
  <c r="B95" i="8"/>
  <c r="H95" i="8"/>
  <c r="J95" i="8" s="1"/>
  <c r="A96" i="8"/>
  <c r="G96" i="8" s="1"/>
  <c r="B96" i="8"/>
  <c r="C96" i="8" s="1"/>
  <c r="H96" i="8"/>
  <c r="A97" i="8"/>
  <c r="G97" i="8" s="1"/>
  <c r="B97" i="8"/>
  <c r="D97" i="8" s="1"/>
  <c r="H97" i="8"/>
  <c r="J97" i="8" s="1"/>
  <c r="A98" i="8"/>
  <c r="G98" i="8" s="1"/>
  <c r="B98" i="8"/>
  <c r="D98" i="8" s="1"/>
  <c r="H98" i="8"/>
  <c r="I98" i="8" s="1"/>
  <c r="A99" i="8"/>
  <c r="G99" i="8" s="1"/>
  <c r="B99" i="8"/>
  <c r="C99" i="8" s="1"/>
  <c r="H99" i="8"/>
  <c r="I99" i="8" s="1"/>
  <c r="A100" i="8"/>
  <c r="G100" i="8" s="1"/>
  <c r="B100" i="8"/>
  <c r="H100" i="8"/>
  <c r="A101" i="8"/>
  <c r="G101" i="8" s="1"/>
  <c r="B101" i="8"/>
  <c r="C101" i="8" s="1"/>
  <c r="H101" i="8"/>
  <c r="A102" i="8"/>
  <c r="G102" i="8" s="1"/>
  <c r="B102" i="8"/>
  <c r="H102" i="8"/>
  <c r="J102" i="8" s="1"/>
  <c r="A103" i="8"/>
  <c r="G103" i="8" s="1"/>
  <c r="B103" i="8"/>
  <c r="D103" i="8" s="1"/>
  <c r="H103" i="8"/>
  <c r="I103" i="8" s="1"/>
  <c r="A104" i="8"/>
  <c r="G104" i="8" s="1"/>
  <c r="B104" i="8"/>
  <c r="H104" i="8"/>
  <c r="I104" i="8" s="1"/>
  <c r="A105" i="8"/>
  <c r="G105" i="8" s="1"/>
  <c r="B105" i="8"/>
  <c r="H105" i="8"/>
  <c r="J105" i="8" s="1"/>
  <c r="A106" i="8"/>
  <c r="G106" i="8" s="1"/>
  <c r="B106" i="8"/>
  <c r="D106" i="8" s="1"/>
  <c r="H106" i="8"/>
  <c r="A107" i="8"/>
  <c r="G107" i="8" s="1"/>
  <c r="B107" i="8"/>
  <c r="D107" i="8" s="1"/>
  <c r="H107" i="8"/>
  <c r="A108" i="8"/>
  <c r="G108" i="8" s="1"/>
  <c r="B108" i="8"/>
  <c r="H108" i="8"/>
  <c r="I108" i="8" s="1"/>
  <c r="A109" i="8"/>
  <c r="G109" i="8" s="1"/>
  <c r="B109" i="8"/>
  <c r="D109" i="8" s="1"/>
  <c r="H109" i="8"/>
  <c r="A110" i="8"/>
  <c r="G110" i="8" s="1"/>
  <c r="B110" i="8"/>
  <c r="D110" i="8" s="1"/>
  <c r="H110" i="8"/>
  <c r="I110" i="8" s="1"/>
  <c r="A111" i="8"/>
  <c r="G111" i="8" s="1"/>
  <c r="B111" i="8"/>
  <c r="D111" i="8" s="1"/>
  <c r="H111" i="8"/>
  <c r="I111" i="8" s="1"/>
  <c r="A112" i="8"/>
  <c r="G112" i="8" s="1"/>
  <c r="B112" i="8"/>
  <c r="H112" i="8"/>
  <c r="I112" i="8" s="1"/>
  <c r="A113" i="8"/>
  <c r="G113" i="8" s="1"/>
  <c r="B113" i="8"/>
  <c r="C113" i="8" s="1"/>
  <c r="H113" i="8"/>
  <c r="J113" i="8" s="1"/>
  <c r="A114" i="8"/>
  <c r="G114" i="8" s="1"/>
  <c r="B114" i="8"/>
  <c r="H114" i="8"/>
  <c r="I114" i="8" s="1"/>
  <c r="A115" i="8"/>
  <c r="G115" i="8" s="1"/>
  <c r="B115" i="8"/>
  <c r="H115" i="8"/>
  <c r="I115" i="8" s="1"/>
  <c r="A116" i="8"/>
  <c r="G116" i="8" s="1"/>
  <c r="B116" i="8"/>
  <c r="H116" i="8"/>
  <c r="I116" i="8" s="1"/>
  <c r="A117" i="8"/>
  <c r="G117" i="8" s="1"/>
  <c r="B117" i="8"/>
  <c r="C117" i="8" s="1"/>
  <c r="H117" i="8"/>
  <c r="J117" i="8" s="1"/>
  <c r="A118" i="8"/>
  <c r="G118" i="8" s="1"/>
  <c r="B118" i="8"/>
  <c r="D118" i="8" s="1"/>
  <c r="H118" i="8"/>
  <c r="I118" i="8" s="1"/>
  <c r="A119" i="8"/>
  <c r="G119" i="8" s="1"/>
  <c r="B119" i="8"/>
  <c r="D119" i="8" s="1"/>
  <c r="H119" i="8"/>
  <c r="I119" i="8" s="1"/>
  <c r="A120" i="8"/>
  <c r="G120" i="8" s="1"/>
  <c r="B120" i="8"/>
  <c r="H120" i="8"/>
  <c r="A121" i="8"/>
  <c r="G121" i="8" s="1"/>
  <c r="B121" i="8"/>
  <c r="C121" i="8" s="1"/>
  <c r="H121" i="8"/>
  <c r="A122" i="8"/>
  <c r="G122" i="8" s="1"/>
  <c r="B122" i="8"/>
  <c r="H122" i="8"/>
  <c r="A123" i="8"/>
  <c r="G123" i="8" s="1"/>
  <c r="B123" i="8"/>
  <c r="D123" i="8" s="1"/>
  <c r="H123" i="8"/>
  <c r="A124" i="8"/>
  <c r="G124" i="8" s="1"/>
  <c r="B124" i="8"/>
  <c r="H124" i="8"/>
  <c r="A125" i="8"/>
  <c r="G125" i="8" s="1"/>
  <c r="B125" i="8"/>
  <c r="H125" i="8"/>
  <c r="J125" i="8" s="1"/>
  <c r="A126" i="8"/>
  <c r="G126" i="8" s="1"/>
  <c r="B126" i="8"/>
  <c r="H126" i="8"/>
  <c r="A127" i="8"/>
  <c r="G127" i="8" s="1"/>
  <c r="B127" i="8"/>
  <c r="D127" i="8" s="1"/>
  <c r="H127" i="8"/>
  <c r="A128" i="8"/>
  <c r="G128" i="8" s="1"/>
  <c r="B128" i="8"/>
  <c r="H128" i="8"/>
  <c r="A129" i="8"/>
  <c r="G129" i="8" s="1"/>
  <c r="B129" i="8"/>
  <c r="H129" i="8"/>
  <c r="A130" i="8"/>
  <c r="G130" i="8" s="1"/>
  <c r="B130" i="8"/>
  <c r="D130" i="8" s="1"/>
  <c r="H130" i="8"/>
  <c r="J130" i="8" s="1"/>
  <c r="A131" i="8"/>
  <c r="G131" i="8" s="1"/>
  <c r="B131" i="8"/>
  <c r="C131" i="8" s="1"/>
  <c r="H131" i="8"/>
  <c r="J131" i="8" s="1"/>
  <c r="A132" i="8"/>
  <c r="G132" i="8" s="1"/>
  <c r="B132" i="8"/>
  <c r="H132" i="8"/>
  <c r="I132" i="8" s="1"/>
  <c r="A133" i="8"/>
  <c r="G133" i="8" s="1"/>
  <c r="B133" i="8"/>
  <c r="C133" i="8" s="1"/>
  <c r="H133" i="8"/>
  <c r="J133" i="8" s="1"/>
  <c r="A134" i="8"/>
  <c r="G134" i="8" s="1"/>
  <c r="B134" i="8"/>
  <c r="H134" i="8"/>
  <c r="A135" i="8"/>
  <c r="G135" i="8" s="1"/>
  <c r="B135" i="8"/>
  <c r="C135" i="8" s="1"/>
  <c r="H135" i="8"/>
  <c r="A136" i="8"/>
  <c r="G136" i="8" s="1"/>
  <c r="B136" i="8"/>
  <c r="C136" i="8" s="1"/>
  <c r="H136" i="8"/>
  <c r="A137" i="8"/>
  <c r="G137" i="8" s="1"/>
  <c r="B137" i="8"/>
  <c r="D137" i="8" s="1"/>
  <c r="H137" i="8"/>
  <c r="J137" i="8" s="1"/>
  <c r="A138" i="8"/>
  <c r="G138" i="8" s="1"/>
  <c r="B138" i="8"/>
  <c r="D138" i="8" s="1"/>
  <c r="H138" i="8"/>
  <c r="I138" i="8" s="1"/>
  <c r="A139" i="8"/>
  <c r="G139" i="8" s="1"/>
  <c r="B139" i="8"/>
  <c r="C139" i="8" s="1"/>
  <c r="H139" i="8"/>
  <c r="A140" i="8"/>
  <c r="G140" i="8" s="1"/>
  <c r="B140" i="8"/>
  <c r="H140" i="8"/>
  <c r="A141" i="8"/>
  <c r="G141" i="8" s="1"/>
  <c r="B141" i="8"/>
  <c r="H141" i="8"/>
  <c r="A142" i="8"/>
  <c r="G142" i="8" s="1"/>
  <c r="B142" i="8"/>
  <c r="D142" i="8" s="1"/>
  <c r="H142" i="8"/>
  <c r="A143" i="8"/>
  <c r="G143" i="8" s="1"/>
  <c r="B143" i="8"/>
  <c r="C143" i="8" s="1"/>
  <c r="H143" i="8"/>
  <c r="I143" i="8" s="1"/>
  <c r="A144" i="8"/>
  <c r="G144" i="8" s="1"/>
  <c r="B144" i="8"/>
  <c r="H144" i="8"/>
  <c r="A145" i="8"/>
  <c r="G145" i="8" s="1"/>
  <c r="B145" i="8"/>
  <c r="C145" i="8" s="1"/>
  <c r="H145" i="8"/>
  <c r="J145" i="8" s="1"/>
  <c r="A146" i="8"/>
  <c r="G146" i="8" s="1"/>
  <c r="B146" i="8"/>
  <c r="H146" i="8"/>
  <c r="I146" i="8" s="1"/>
  <c r="A147" i="8"/>
  <c r="G147" i="8" s="1"/>
  <c r="B147" i="8"/>
  <c r="D147" i="8" s="1"/>
  <c r="H147" i="8"/>
  <c r="J147" i="8" s="1"/>
  <c r="A148" i="8"/>
  <c r="G148" i="8" s="1"/>
  <c r="B148" i="8"/>
  <c r="C148" i="8" s="1"/>
  <c r="H148" i="8"/>
  <c r="A149" i="8"/>
  <c r="G149" i="8" s="1"/>
  <c r="B149" i="8"/>
  <c r="C149" i="8" s="1"/>
  <c r="H149" i="8"/>
  <c r="J149" i="8" s="1"/>
  <c r="A150" i="8"/>
  <c r="G150" i="8" s="1"/>
  <c r="B150" i="8"/>
  <c r="H150" i="8"/>
  <c r="I150" i="8" s="1"/>
  <c r="A151" i="8"/>
  <c r="G151" i="8" s="1"/>
  <c r="B151" i="8"/>
  <c r="D151" i="8" s="1"/>
  <c r="H151" i="8"/>
  <c r="I151" i="8" s="1"/>
  <c r="A152" i="8"/>
  <c r="G152" i="8" s="1"/>
  <c r="B152" i="8"/>
  <c r="C152" i="8" s="1"/>
  <c r="H152" i="8"/>
  <c r="I152" i="8" s="1"/>
  <c r="A153" i="8"/>
  <c r="G153" i="8" s="1"/>
  <c r="B153" i="8"/>
  <c r="D153" i="8" s="1"/>
  <c r="H153" i="8"/>
  <c r="J153" i="8" s="1"/>
  <c r="A154" i="8"/>
  <c r="G154" i="8" s="1"/>
  <c r="B154" i="8"/>
  <c r="D154" i="8" s="1"/>
  <c r="H154" i="8"/>
  <c r="A155" i="8"/>
  <c r="G155" i="8" s="1"/>
  <c r="B155" i="8"/>
  <c r="C155" i="8" s="1"/>
  <c r="H155" i="8"/>
  <c r="J155" i="8" s="1"/>
  <c r="A156" i="8"/>
  <c r="G156" i="8" s="1"/>
  <c r="B156" i="8"/>
  <c r="H156" i="8"/>
  <c r="J156" i="8" s="1"/>
  <c r="A157" i="8"/>
  <c r="G157" i="8" s="1"/>
  <c r="B157" i="8"/>
  <c r="C157" i="8" s="1"/>
  <c r="H157" i="8"/>
  <c r="J157" i="8" s="1"/>
  <c r="A158" i="8"/>
  <c r="G158" i="8" s="1"/>
  <c r="B158" i="8"/>
  <c r="C158" i="8" s="1"/>
  <c r="H158" i="8"/>
  <c r="A159" i="8"/>
  <c r="G159" i="8" s="1"/>
  <c r="B159" i="8"/>
  <c r="H159" i="8"/>
  <c r="J159" i="8" s="1"/>
  <c r="A160" i="8"/>
  <c r="G160" i="8" s="1"/>
  <c r="B160" i="8"/>
  <c r="H160" i="8"/>
  <c r="J160" i="8" s="1"/>
  <c r="A161" i="8"/>
  <c r="G161" i="8" s="1"/>
  <c r="B161" i="8"/>
  <c r="C161" i="8" s="1"/>
  <c r="H161" i="8"/>
  <c r="A162" i="8"/>
  <c r="G162" i="8" s="1"/>
  <c r="B162" i="8"/>
  <c r="C162" i="8" s="1"/>
  <c r="H162" i="8"/>
  <c r="A163" i="8"/>
  <c r="G163" i="8" s="1"/>
  <c r="B163" i="8"/>
  <c r="C163" i="8" s="1"/>
  <c r="H163" i="8"/>
  <c r="J163" i="8" s="1"/>
  <c r="A164" i="8"/>
  <c r="G164" i="8" s="1"/>
  <c r="B164" i="8"/>
  <c r="D164" i="8" s="1"/>
  <c r="H164" i="8"/>
  <c r="J164" i="8" s="1"/>
  <c r="A165" i="8"/>
  <c r="G165" i="8" s="1"/>
  <c r="B165" i="8"/>
  <c r="D165" i="8" s="1"/>
  <c r="H165" i="8"/>
  <c r="J165" i="8" s="1"/>
  <c r="A166" i="8"/>
  <c r="G166" i="8" s="1"/>
  <c r="B166" i="8"/>
  <c r="C166" i="8" s="1"/>
  <c r="H166" i="8"/>
  <c r="A167" i="8"/>
  <c r="G167" i="8" s="1"/>
  <c r="B167" i="8"/>
  <c r="H167" i="8"/>
  <c r="J167" i="8" s="1"/>
  <c r="A168" i="8"/>
  <c r="G168" i="8" s="1"/>
  <c r="B168" i="8"/>
  <c r="H168" i="8"/>
  <c r="J168" i="8" s="1"/>
  <c r="A169" i="8"/>
  <c r="G169" i="8" s="1"/>
  <c r="B169" i="8"/>
  <c r="C169" i="8" s="1"/>
  <c r="H169" i="8"/>
  <c r="I169" i="8" s="1"/>
  <c r="A170" i="8"/>
  <c r="G170" i="8" s="1"/>
  <c r="B170" i="8"/>
  <c r="C170" i="8" s="1"/>
  <c r="H170" i="8"/>
  <c r="A171" i="8"/>
  <c r="G171" i="8" s="1"/>
  <c r="B171" i="8"/>
  <c r="C171" i="8" s="1"/>
  <c r="H171" i="8"/>
  <c r="J171" i="8" s="1"/>
  <c r="A172" i="8"/>
  <c r="G172" i="8" s="1"/>
  <c r="B172" i="8"/>
  <c r="D172" i="8" s="1"/>
  <c r="H172" i="8"/>
  <c r="J172" i="8" s="1"/>
  <c r="A173" i="8"/>
  <c r="G173" i="8" s="1"/>
  <c r="B173" i="8"/>
  <c r="C173" i="8" s="1"/>
  <c r="H173" i="8"/>
  <c r="A174" i="8"/>
  <c r="G174" i="8" s="1"/>
  <c r="B174" i="8"/>
  <c r="C174" i="8" s="1"/>
  <c r="H174" i="8"/>
  <c r="A175" i="8"/>
  <c r="G175" i="8" s="1"/>
  <c r="B175" i="8"/>
  <c r="H175" i="8"/>
  <c r="A176" i="8"/>
  <c r="G176" i="8" s="1"/>
  <c r="B176" i="8"/>
  <c r="H176" i="8"/>
  <c r="A177" i="8"/>
  <c r="G177" i="8" s="1"/>
  <c r="B177" i="8"/>
  <c r="H177" i="8"/>
  <c r="J177" i="8" s="1"/>
  <c r="A178" i="8"/>
  <c r="G178" i="8" s="1"/>
  <c r="B178" i="8"/>
  <c r="H178" i="8"/>
  <c r="A179" i="8"/>
  <c r="G179" i="8" s="1"/>
  <c r="B179" i="8"/>
  <c r="C179" i="8" s="1"/>
  <c r="H179" i="8"/>
  <c r="J179" i="8" s="1"/>
  <c r="A180" i="8"/>
  <c r="G180" i="8" s="1"/>
  <c r="B180" i="8"/>
  <c r="D180" i="8" s="1"/>
  <c r="H180" i="8"/>
  <c r="A181" i="8"/>
  <c r="G181" i="8" s="1"/>
  <c r="B181" i="8"/>
  <c r="D181" i="8" s="1"/>
  <c r="H181" i="8"/>
  <c r="I181" i="8" s="1"/>
  <c r="A182" i="8"/>
  <c r="G182" i="8" s="1"/>
  <c r="B182" i="8"/>
  <c r="C182" i="8" s="1"/>
  <c r="H182" i="8"/>
  <c r="A183" i="8"/>
  <c r="G183" i="8" s="1"/>
  <c r="B183" i="8"/>
  <c r="H183" i="8"/>
  <c r="J183" i="8" s="1"/>
  <c r="A184" i="8"/>
  <c r="G184" i="8" s="1"/>
  <c r="B184" i="8"/>
  <c r="H184" i="8"/>
  <c r="J184" i="8" s="1"/>
  <c r="A185" i="8"/>
  <c r="G185" i="8" s="1"/>
  <c r="B185" i="8"/>
  <c r="D185" i="8" s="1"/>
  <c r="H185" i="8"/>
  <c r="A186" i="8"/>
  <c r="G186" i="8" s="1"/>
  <c r="B186" i="8"/>
  <c r="C186" i="8" s="1"/>
  <c r="H186" i="8"/>
  <c r="A187" i="8"/>
  <c r="G187" i="8" s="1"/>
  <c r="B187" i="8"/>
  <c r="C187" i="8" s="1"/>
  <c r="H187" i="8"/>
  <c r="J187" i="8" s="1"/>
  <c r="A188" i="8"/>
  <c r="G188" i="8" s="1"/>
  <c r="B188" i="8"/>
  <c r="D188" i="8" s="1"/>
  <c r="H188" i="8"/>
  <c r="J188" i="8" s="1"/>
  <c r="A189" i="8"/>
  <c r="G189" i="8" s="1"/>
  <c r="B189" i="8"/>
  <c r="H189" i="8"/>
  <c r="A190" i="8"/>
  <c r="G190" i="8" s="1"/>
  <c r="B190" i="8"/>
  <c r="C190" i="8" s="1"/>
  <c r="H190" i="8"/>
  <c r="A191" i="8"/>
  <c r="G191" i="8" s="1"/>
  <c r="B191" i="8"/>
  <c r="C191" i="8" s="1"/>
  <c r="H191" i="8"/>
  <c r="A192" i="8"/>
  <c r="G192" i="8" s="1"/>
  <c r="B192" i="8"/>
  <c r="D192" i="8" s="1"/>
  <c r="H192" i="8"/>
  <c r="J192" i="8" s="1"/>
  <c r="A193" i="8"/>
  <c r="G193" i="8" s="1"/>
  <c r="B193" i="8"/>
  <c r="C193" i="8" s="1"/>
  <c r="H193" i="8"/>
  <c r="A194" i="8"/>
  <c r="G194" i="8" s="1"/>
  <c r="B194" i="8"/>
  <c r="C194" i="8" s="1"/>
  <c r="H194" i="8"/>
  <c r="A195" i="8"/>
  <c r="G195" i="8" s="1"/>
  <c r="B195" i="8"/>
  <c r="H195" i="8"/>
  <c r="J195" i="8" s="1"/>
  <c r="A196" i="8"/>
  <c r="G196" i="8" s="1"/>
  <c r="B196" i="8"/>
  <c r="D196" i="8" s="1"/>
  <c r="H196" i="8"/>
  <c r="J196" i="8" s="1"/>
  <c r="A197" i="8"/>
  <c r="G197" i="8" s="1"/>
  <c r="B197" i="8"/>
  <c r="C197" i="8" s="1"/>
  <c r="H197" i="8"/>
  <c r="I197" i="8" s="1"/>
  <c r="A198" i="8"/>
  <c r="G198" i="8" s="1"/>
  <c r="B198" i="8"/>
  <c r="H198" i="8"/>
  <c r="A199" i="8"/>
  <c r="G199" i="8" s="1"/>
  <c r="B199" i="8"/>
  <c r="H199" i="8"/>
  <c r="A200" i="8"/>
  <c r="G200" i="8" s="1"/>
  <c r="B200" i="8"/>
  <c r="D200" i="8" s="1"/>
  <c r="H200" i="8"/>
  <c r="A201" i="8"/>
  <c r="G201" i="8" s="1"/>
  <c r="B201" i="8"/>
  <c r="C201" i="8" s="1"/>
  <c r="H201" i="8"/>
  <c r="A202" i="8"/>
  <c r="G202" i="8" s="1"/>
  <c r="B202" i="8"/>
  <c r="H202" i="8"/>
  <c r="A203" i="8"/>
  <c r="G203" i="8" s="1"/>
  <c r="B203" i="8"/>
  <c r="C203" i="8" s="1"/>
  <c r="H203" i="8"/>
  <c r="A204" i="8"/>
  <c r="G204" i="8" s="1"/>
  <c r="B204" i="8"/>
  <c r="H204" i="8"/>
  <c r="A205" i="8"/>
  <c r="G205" i="8" s="1"/>
  <c r="B205" i="8"/>
  <c r="H205" i="8"/>
  <c r="I205" i="8" s="1"/>
  <c r="A206" i="8"/>
  <c r="G206" i="8" s="1"/>
  <c r="B206" i="8"/>
  <c r="C206" i="8" s="1"/>
  <c r="H206" i="8"/>
  <c r="A207" i="8"/>
  <c r="G207" i="8" s="1"/>
  <c r="B207" i="8"/>
  <c r="C207" i="8" s="1"/>
  <c r="H207" i="8"/>
  <c r="J207" i="8" s="1"/>
  <c r="A208" i="8"/>
  <c r="G208" i="8" s="1"/>
  <c r="B208" i="8"/>
  <c r="H208" i="8"/>
  <c r="J208" i="8" s="1"/>
  <c r="A209" i="8"/>
  <c r="G209" i="8" s="1"/>
  <c r="B209" i="8"/>
  <c r="H209" i="8"/>
  <c r="I209" i="8" s="1"/>
  <c r="A210" i="8"/>
  <c r="G210" i="8" s="1"/>
  <c r="B210" i="8"/>
  <c r="H210" i="8"/>
  <c r="A211" i="8"/>
  <c r="G211" i="8" s="1"/>
  <c r="B211" i="8"/>
  <c r="H211" i="8"/>
  <c r="J211" i="8" s="1"/>
  <c r="A212" i="8"/>
  <c r="G212" i="8" s="1"/>
  <c r="B212" i="8"/>
  <c r="H212" i="8"/>
  <c r="J212" i="8" s="1"/>
  <c r="A213" i="8"/>
  <c r="G213" i="8" s="1"/>
  <c r="B213" i="8"/>
  <c r="D213" i="8" s="1"/>
  <c r="H213" i="8"/>
  <c r="A214" i="8"/>
  <c r="G214" i="8" s="1"/>
  <c r="B214" i="8"/>
  <c r="C214" i="8" s="1"/>
  <c r="H214" i="8"/>
  <c r="I214" i="8" s="1"/>
  <c r="A215" i="8"/>
  <c r="G215" i="8" s="1"/>
  <c r="B215" i="8"/>
  <c r="C215" i="8" s="1"/>
  <c r="H215" i="8"/>
  <c r="J215" i="8" s="1"/>
  <c r="A216" i="8"/>
  <c r="G216" i="8" s="1"/>
  <c r="B216" i="8"/>
  <c r="H216" i="8"/>
  <c r="J216" i="8" s="1"/>
  <c r="A217" i="8"/>
  <c r="G217" i="8" s="1"/>
  <c r="B217" i="8"/>
  <c r="D217" i="8" s="1"/>
  <c r="H217" i="8"/>
  <c r="J217" i="8" s="1"/>
  <c r="A218" i="8"/>
  <c r="G218" i="8" s="1"/>
  <c r="B218" i="8"/>
  <c r="C218" i="8" s="1"/>
  <c r="H218" i="8"/>
  <c r="I218" i="8" s="1"/>
  <c r="A219" i="8"/>
  <c r="G219" i="8" s="1"/>
  <c r="B219" i="8"/>
  <c r="C219" i="8" s="1"/>
  <c r="H219" i="8"/>
  <c r="A220" i="8"/>
  <c r="G220" i="8" s="1"/>
  <c r="B220" i="8"/>
  <c r="C220" i="8" s="1"/>
  <c r="H220" i="8"/>
  <c r="I220" i="8" s="1"/>
  <c r="A221" i="8"/>
  <c r="G221" i="8" s="1"/>
  <c r="B221" i="8"/>
  <c r="H221" i="8"/>
  <c r="J221" i="8" s="1"/>
  <c r="A222" i="8"/>
  <c r="G222" i="8" s="1"/>
  <c r="B222" i="8"/>
  <c r="C222" i="8" s="1"/>
  <c r="H222" i="8"/>
  <c r="A223" i="8"/>
  <c r="G223" i="8" s="1"/>
  <c r="B223" i="8"/>
  <c r="C223" i="8" s="1"/>
  <c r="H223" i="8"/>
  <c r="A224" i="8"/>
  <c r="G224" i="8" s="1"/>
  <c r="B224" i="8"/>
  <c r="C224" i="8" s="1"/>
  <c r="H224" i="8"/>
  <c r="A225" i="8"/>
  <c r="G225" i="8" s="1"/>
  <c r="B225" i="8"/>
  <c r="D225" i="8" s="1"/>
  <c r="H225" i="8"/>
  <c r="J225" i="8" s="1"/>
  <c r="A226" i="8"/>
  <c r="G226" i="8" s="1"/>
  <c r="B226" i="8"/>
  <c r="C226" i="8" s="1"/>
  <c r="H226" i="8"/>
  <c r="A227" i="8"/>
  <c r="G227" i="8" s="1"/>
  <c r="B227" i="8"/>
  <c r="C227" i="8" s="1"/>
  <c r="H227" i="8"/>
  <c r="A228" i="8"/>
  <c r="G228" i="8" s="1"/>
  <c r="B228" i="8"/>
  <c r="C228" i="8" s="1"/>
  <c r="H228" i="8"/>
  <c r="I228" i="8" s="1"/>
  <c r="A229" i="8"/>
  <c r="G229" i="8" s="1"/>
  <c r="B229" i="8"/>
  <c r="C229" i="8" s="1"/>
  <c r="H229" i="8"/>
  <c r="J229" i="8" s="1"/>
  <c r="A230" i="8"/>
  <c r="G230" i="8" s="1"/>
  <c r="B230" i="8"/>
  <c r="H230" i="8"/>
  <c r="J230" i="8" s="1"/>
  <c r="A231" i="8"/>
  <c r="G231" i="8" s="1"/>
  <c r="B231" i="8"/>
  <c r="C231" i="8" s="1"/>
  <c r="H231" i="8"/>
  <c r="A232" i="8"/>
  <c r="G232" i="8" s="1"/>
  <c r="B232" i="8"/>
  <c r="C232" i="8" s="1"/>
  <c r="H232" i="8"/>
  <c r="A233" i="8"/>
  <c r="G233" i="8" s="1"/>
  <c r="B233" i="8"/>
  <c r="C233" i="8" s="1"/>
  <c r="H233" i="8"/>
  <c r="A234" i="8"/>
  <c r="G234" i="8" s="1"/>
  <c r="B234" i="8"/>
  <c r="H234" i="8"/>
  <c r="I234" i="8" s="1"/>
  <c r="A235" i="8"/>
  <c r="G235" i="8" s="1"/>
  <c r="B235" i="8"/>
  <c r="C235" i="8" s="1"/>
  <c r="H235" i="8"/>
  <c r="J235" i="8" s="1"/>
  <c r="A236" i="8"/>
  <c r="G236" i="8" s="1"/>
  <c r="B236" i="8"/>
  <c r="H236" i="8"/>
  <c r="A237" i="8"/>
  <c r="G237" i="8" s="1"/>
  <c r="B237" i="8"/>
  <c r="D237" i="8" s="1"/>
  <c r="H237" i="8"/>
  <c r="J237" i="8" s="1"/>
  <c r="A238" i="8"/>
  <c r="G238" i="8" s="1"/>
  <c r="B238" i="8"/>
  <c r="H238" i="8"/>
  <c r="J238" i="8" s="1"/>
  <c r="A239" i="8"/>
  <c r="G239" i="8" s="1"/>
  <c r="B239" i="8"/>
  <c r="H239" i="8"/>
  <c r="A240" i="8"/>
  <c r="G240" i="8" s="1"/>
  <c r="B240" i="8"/>
  <c r="H240" i="8"/>
  <c r="I240" i="8" s="1"/>
  <c r="A241" i="8"/>
  <c r="G241" i="8" s="1"/>
  <c r="B241" i="8"/>
  <c r="D241" i="8" s="1"/>
  <c r="H241" i="8"/>
  <c r="J241" i="8" s="1"/>
  <c r="A242" i="8"/>
  <c r="G242" i="8" s="1"/>
  <c r="B242" i="8"/>
  <c r="H242" i="8"/>
  <c r="J242" i="8" s="1"/>
  <c r="A243" i="8"/>
  <c r="G243" i="8" s="1"/>
  <c r="B243" i="8"/>
  <c r="H243" i="8"/>
  <c r="J243" i="8" s="1"/>
  <c r="A244" i="8"/>
  <c r="G244" i="8" s="1"/>
  <c r="B244" i="8"/>
  <c r="C244" i="8" s="1"/>
  <c r="H244" i="8"/>
  <c r="J244" i="8" s="1"/>
  <c r="A245" i="8"/>
  <c r="G245" i="8" s="1"/>
  <c r="B245" i="8"/>
  <c r="H245" i="8"/>
  <c r="A246" i="8"/>
  <c r="G246" i="8" s="1"/>
  <c r="B246" i="8"/>
  <c r="H246" i="8"/>
  <c r="A247" i="8"/>
  <c r="G247" i="8" s="1"/>
  <c r="B247" i="8"/>
  <c r="C247" i="8" s="1"/>
  <c r="H247" i="8"/>
  <c r="A248" i="8"/>
  <c r="G248" i="8" s="1"/>
  <c r="B248" i="8"/>
  <c r="C248" i="8" s="1"/>
  <c r="H248" i="8"/>
  <c r="A249" i="8"/>
  <c r="G249" i="8" s="1"/>
  <c r="B249" i="8"/>
  <c r="C249" i="8" s="1"/>
  <c r="H249" i="8"/>
  <c r="A250" i="8"/>
  <c r="G250" i="8" s="1"/>
  <c r="B250" i="8"/>
  <c r="H250" i="8"/>
  <c r="I250" i="8" s="1"/>
  <c r="A251" i="8"/>
  <c r="G251" i="8" s="1"/>
  <c r="B251" i="8"/>
  <c r="C251" i="8" s="1"/>
  <c r="H251" i="8"/>
  <c r="A252" i="8"/>
  <c r="G252" i="8" s="1"/>
  <c r="B252" i="8"/>
  <c r="H252" i="8"/>
  <c r="I252" i="8" s="1"/>
  <c r="A253" i="8"/>
  <c r="G253" i="8" s="1"/>
  <c r="B253" i="8"/>
  <c r="C253" i="8" s="1"/>
  <c r="H253" i="8"/>
  <c r="A254" i="8"/>
  <c r="G254" i="8" s="1"/>
  <c r="B254" i="8"/>
  <c r="H254" i="8"/>
  <c r="A255" i="8"/>
  <c r="G255" i="8" s="1"/>
  <c r="B255" i="8"/>
  <c r="H255" i="8"/>
  <c r="A256" i="8"/>
  <c r="G256" i="8" s="1"/>
  <c r="B256" i="8"/>
  <c r="C256" i="8" s="1"/>
  <c r="H256" i="8"/>
  <c r="I256" i="8" s="1"/>
  <c r="A257" i="8"/>
  <c r="G257" i="8" s="1"/>
  <c r="B257" i="8"/>
  <c r="H257" i="8"/>
  <c r="A258" i="8"/>
  <c r="G258" i="8" s="1"/>
  <c r="B258" i="8"/>
  <c r="H258" i="8"/>
  <c r="A259" i="8"/>
  <c r="G259" i="8" s="1"/>
  <c r="B259" i="8"/>
  <c r="D259" i="8" s="1"/>
  <c r="H259" i="8"/>
  <c r="J259" i="8" s="1"/>
  <c r="A260" i="8"/>
  <c r="G260" i="8" s="1"/>
  <c r="B260" i="8"/>
  <c r="H260" i="8"/>
  <c r="J260" i="8" s="1"/>
  <c r="A261" i="8"/>
  <c r="G261" i="8" s="1"/>
  <c r="B261" i="8"/>
  <c r="H261" i="8"/>
  <c r="A262" i="8"/>
  <c r="G262" i="8" s="1"/>
  <c r="B262" i="8"/>
  <c r="H262" i="8"/>
  <c r="I262" i="8" s="1"/>
  <c r="A263" i="8"/>
  <c r="G263" i="8" s="1"/>
  <c r="B263" i="8"/>
  <c r="C263" i="8" s="1"/>
  <c r="H263" i="8"/>
  <c r="J263" i="8" s="1"/>
  <c r="A264" i="8"/>
  <c r="G264" i="8" s="1"/>
  <c r="B264" i="8"/>
  <c r="H264" i="8"/>
  <c r="A265" i="8"/>
  <c r="G265" i="8" s="1"/>
  <c r="B265" i="8"/>
  <c r="D265" i="8" s="1"/>
  <c r="H265" i="8"/>
  <c r="J265" i="8" s="1"/>
  <c r="A266" i="8"/>
  <c r="G266" i="8" s="1"/>
  <c r="B266" i="8"/>
  <c r="H266" i="8"/>
  <c r="I266" i="8" s="1"/>
  <c r="A267" i="8"/>
  <c r="G267" i="8" s="1"/>
  <c r="B267" i="8"/>
  <c r="D267" i="8" s="1"/>
  <c r="H267" i="8"/>
  <c r="A268" i="8"/>
  <c r="G268" i="8" s="1"/>
  <c r="B268" i="8"/>
  <c r="H268" i="8"/>
  <c r="J268" i="8" s="1"/>
  <c r="A269" i="8"/>
  <c r="G269" i="8" s="1"/>
  <c r="B269" i="8"/>
  <c r="H269" i="8"/>
  <c r="J269" i="8" s="1"/>
  <c r="A270" i="8"/>
  <c r="G270" i="8" s="1"/>
  <c r="B270" i="8"/>
  <c r="H270" i="8"/>
  <c r="J270" i="8" s="1"/>
  <c r="A271" i="8"/>
  <c r="G271" i="8" s="1"/>
  <c r="B271" i="8"/>
  <c r="C271" i="8" s="1"/>
  <c r="H271" i="8"/>
  <c r="A272" i="8"/>
  <c r="G272" i="8" s="1"/>
  <c r="B272" i="8"/>
  <c r="C272" i="8" s="1"/>
  <c r="H272" i="8"/>
  <c r="I272" i="8" s="1"/>
  <c r="A273" i="8"/>
  <c r="G273" i="8" s="1"/>
  <c r="B273" i="8"/>
  <c r="C273" i="8" s="1"/>
  <c r="H273" i="8"/>
  <c r="A274" i="8"/>
  <c r="G274" i="8" s="1"/>
  <c r="B274" i="8"/>
  <c r="C274" i="8" s="1"/>
  <c r="H274" i="8"/>
  <c r="A275" i="8"/>
  <c r="G275" i="8" s="1"/>
  <c r="B275" i="8"/>
  <c r="H275" i="8"/>
  <c r="J275" i="8" s="1"/>
  <c r="A276" i="8"/>
  <c r="G276" i="8" s="1"/>
  <c r="B276" i="8"/>
  <c r="H276" i="8"/>
  <c r="J276" i="8" s="1"/>
  <c r="A277" i="8"/>
  <c r="G277" i="8" s="1"/>
  <c r="B277" i="8"/>
  <c r="D277" i="8" s="1"/>
  <c r="H277" i="8"/>
  <c r="A278" i="8"/>
  <c r="G278" i="8" s="1"/>
  <c r="B278" i="8"/>
  <c r="H278" i="8"/>
  <c r="A279" i="8"/>
  <c r="G279" i="8" s="1"/>
  <c r="B279" i="8"/>
  <c r="H279" i="8"/>
  <c r="J279" i="8" s="1"/>
  <c r="A280" i="8"/>
  <c r="G280" i="8" s="1"/>
  <c r="B280" i="8"/>
  <c r="H280" i="8"/>
  <c r="A281" i="8"/>
  <c r="G281" i="8" s="1"/>
  <c r="B281" i="8"/>
  <c r="D281" i="8" s="1"/>
  <c r="H281" i="8"/>
  <c r="J281" i="8" s="1"/>
  <c r="A282" i="8"/>
  <c r="G282" i="8" s="1"/>
  <c r="B282" i="8"/>
  <c r="C282" i="8" s="1"/>
  <c r="H282" i="8"/>
  <c r="I282" i="8" s="1"/>
  <c r="A283" i="8"/>
  <c r="G283" i="8" s="1"/>
  <c r="B283" i="8"/>
  <c r="D283" i="8" s="1"/>
  <c r="H283" i="8"/>
  <c r="J283" i="8" s="1"/>
  <c r="A284" i="8"/>
  <c r="G284" i="8" s="1"/>
  <c r="B284" i="8"/>
  <c r="C284" i="8" s="1"/>
  <c r="H284" i="8"/>
  <c r="I284" i="8" s="1"/>
  <c r="A285" i="8"/>
  <c r="G285" i="8" s="1"/>
  <c r="B285" i="8"/>
  <c r="H285" i="8"/>
  <c r="A286" i="8"/>
  <c r="G286" i="8" s="1"/>
  <c r="B286" i="8"/>
  <c r="H286" i="8"/>
  <c r="I286" i="8" s="1"/>
  <c r="A287" i="8"/>
  <c r="G287" i="8" s="1"/>
  <c r="B287" i="8"/>
  <c r="C287" i="8" s="1"/>
  <c r="H287" i="8"/>
  <c r="A288" i="8"/>
  <c r="G288" i="8" s="1"/>
  <c r="B288" i="8"/>
  <c r="C288" i="8" s="1"/>
  <c r="H288" i="8"/>
  <c r="J288" i="8" s="1"/>
  <c r="A289" i="8"/>
  <c r="G289" i="8" s="1"/>
  <c r="B289" i="8"/>
  <c r="C289" i="8" s="1"/>
  <c r="H289" i="8"/>
  <c r="A290" i="8"/>
  <c r="G290" i="8" s="1"/>
  <c r="B290" i="8"/>
  <c r="H290" i="8"/>
  <c r="I290" i="8" s="1"/>
  <c r="A291" i="8"/>
  <c r="G291" i="8" s="1"/>
  <c r="B291" i="8"/>
  <c r="D291" i="8" s="1"/>
  <c r="H291" i="8"/>
  <c r="J291" i="8" s="1"/>
  <c r="A292" i="8"/>
  <c r="G292" i="8" s="1"/>
  <c r="B292" i="8"/>
  <c r="H292" i="8"/>
  <c r="I292" i="8" s="1"/>
  <c r="A293" i="8"/>
  <c r="G293" i="8" s="1"/>
  <c r="B293" i="8"/>
  <c r="C293" i="8" s="1"/>
  <c r="H293" i="8"/>
  <c r="A294" i="8"/>
  <c r="G294" i="8" s="1"/>
  <c r="B294" i="8"/>
  <c r="H294" i="8"/>
  <c r="I294" i="8" s="1"/>
  <c r="A295" i="8"/>
  <c r="G295" i="8" s="1"/>
  <c r="B295" i="8"/>
  <c r="C295" i="8" s="1"/>
  <c r="H295" i="8"/>
  <c r="J295" i="8" s="1"/>
  <c r="A296" i="8"/>
  <c r="G296" i="8" s="1"/>
  <c r="B296" i="8"/>
  <c r="H296" i="8"/>
  <c r="A297" i="8"/>
  <c r="G297" i="8" s="1"/>
  <c r="B297" i="8"/>
  <c r="C297" i="8" s="1"/>
  <c r="H297" i="8"/>
  <c r="J297" i="8" s="1"/>
  <c r="A298" i="8"/>
  <c r="G298" i="8" s="1"/>
  <c r="B298" i="8"/>
  <c r="H298" i="8"/>
  <c r="I298" i="8" s="1"/>
  <c r="A299" i="8"/>
  <c r="G299" i="8" s="1"/>
  <c r="B299" i="8"/>
  <c r="C299" i="8" s="1"/>
  <c r="H299" i="8"/>
  <c r="J299" i="8" s="1"/>
  <c r="A300" i="8"/>
  <c r="G300" i="8" s="1"/>
  <c r="B300" i="8"/>
  <c r="H300" i="8"/>
  <c r="A301" i="8"/>
  <c r="G301" i="8" s="1"/>
  <c r="B301" i="8"/>
  <c r="C301" i="8" s="1"/>
  <c r="H301" i="8"/>
  <c r="A302" i="8"/>
  <c r="G302" i="8" s="1"/>
  <c r="B302" i="8"/>
  <c r="D302" i="8" s="1"/>
  <c r="H302" i="8"/>
  <c r="I302" i="8" s="1"/>
  <c r="A303" i="8"/>
  <c r="G303" i="8" s="1"/>
  <c r="B303" i="8"/>
  <c r="D303" i="8" s="1"/>
  <c r="H303" i="8"/>
  <c r="I303" i="8" s="1"/>
  <c r="A304" i="8"/>
  <c r="G304" i="8" s="1"/>
  <c r="B304" i="8"/>
  <c r="H304" i="8"/>
  <c r="I304" i="8" s="1"/>
  <c r="A305" i="8"/>
  <c r="G305" i="8" s="1"/>
  <c r="B305" i="8"/>
  <c r="C305" i="8" s="1"/>
  <c r="H305" i="8"/>
  <c r="J305" i="8" s="1"/>
  <c r="A306" i="8"/>
  <c r="G306" i="8" s="1"/>
  <c r="B306" i="8"/>
  <c r="D306" i="8" s="1"/>
  <c r="H306" i="8"/>
  <c r="I306" i="8" s="1"/>
  <c r="A307" i="8"/>
  <c r="G307" i="8" s="1"/>
  <c r="B307" i="8"/>
  <c r="C307" i="8" s="1"/>
  <c r="H307" i="8"/>
  <c r="J307" i="8" s="1"/>
  <c r="A308" i="8"/>
  <c r="G308" i="8" s="1"/>
  <c r="B308" i="8"/>
  <c r="H308" i="8"/>
  <c r="A309" i="8"/>
  <c r="G309" i="8" s="1"/>
  <c r="B309" i="8"/>
  <c r="C309" i="8" s="1"/>
  <c r="H309" i="8"/>
  <c r="J309" i="8" s="1"/>
  <c r="A310" i="8"/>
  <c r="G310" i="8" s="1"/>
  <c r="B310" i="8"/>
  <c r="D310" i="8" s="1"/>
  <c r="H310" i="8"/>
  <c r="I310" i="8" s="1"/>
  <c r="A311" i="8"/>
  <c r="G311" i="8" s="1"/>
  <c r="B311" i="8"/>
  <c r="D311" i="8" s="1"/>
  <c r="H311" i="8"/>
  <c r="I311" i="8" s="1"/>
  <c r="A312" i="8"/>
  <c r="G312" i="8" s="1"/>
  <c r="B312" i="8"/>
  <c r="H312" i="8"/>
  <c r="A313" i="8"/>
  <c r="G313" i="8" s="1"/>
  <c r="B313" i="8"/>
  <c r="C313" i="8" s="1"/>
  <c r="H313" i="8"/>
  <c r="J313" i="8" s="1"/>
  <c r="A314" i="8"/>
  <c r="G314" i="8" s="1"/>
  <c r="B314" i="8"/>
  <c r="D314" i="8" s="1"/>
  <c r="H314" i="8"/>
  <c r="I314" i="8" s="1"/>
  <c r="A315" i="8"/>
  <c r="G315" i="8" s="1"/>
  <c r="B315" i="8"/>
  <c r="D315" i="8" s="1"/>
  <c r="H315" i="8"/>
  <c r="I315" i="8" s="1"/>
  <c r="A316" i="8"/>
  <c r="G316" i="8" s="1"/>
  <c r="B316" i="8"/>
  <c r="H316" i="8"/>
  <c r="I316" i="8" s="1"/>
  <c r="A317" i="8"/>
  <c r="G317" i="8" s="1"/>
  <c r="B317" i="8"/>
  <c r="H317" i="8"/>
  <c r="J317" i="8" s="1"/>
  <c r="A318" i="8"/>
  <c r="G318" i="8" s="1"/>
  <c r="B318" i="8"/>
  <c r="D318" i="8" s="1"/>
  <c r="H318" i="8"/>
  <c r="I318" i="8" s="1"/>
  <c r="A319" i="8"/>
  <c r="G319" i="8" s="1"/>
  <c r="B319" i="8"/>
  <c r="C319" i="8" s="1"/>
  <c r="H319" i="8"/>
  <c r="J319" i="8" s="1"/>
  <c r="A320" i="8"/>
  <c r="G320" i="8" s="1"/>
  <c r="B320" i="8"/>
  <c r="H320" i="8"/>
  <c r="I320" i="8" s="1"/>
  <c r="A321" i="8"/>
  <c r="G321" i="8" s="1"/>
  <c r="B321" i="8"/>
  <c r="C321" i="8" s="1"/>
  <c r="H321" i="8"/>
  <c r="A322" i="8"/>
  <c r="G322" i="8" s="1"/>
  <c r="B322" i="8"/>
  <c r="D322" i="8" s="1"/>
  <c r="H322" i="8"/>
  <c r="I322" i="8" s="1"/>
  <c r="A323" i="8"/>
  <c r="G323" i="8" s="1"/>
  <c r="B323" i="8"/>
  <c r="H323" i="8"/>
  <c r="J323" i="8" s="1"/>
  <c r="A324" i="8"/>
  <c r="G324" i="8" s="1"/>
  <c r="B324" i="8"/>
  <c r="H324" i="8"/>
  <c r="A325" i="8"/>
  <c r="G325" i="8" s="1"/>
  <c r="B325" i="8"/>
  <c r="C325" i="8" s="1"/>
  <c r="H325" i="8"/>
  <c r="I325" i="8" s="1"/>
  <c r="A326" i="8"/>
  <c r="G326" i="8" s="1"/>
  <c r="B326" i="8"/>
  <c r="D326" i="8" s="1"/>
  <c r="H326" i="8"/>
  <c r="A327" i="8"/>
  <c r="G327" i="8" s="1"/>
  <c r="B327" i="8"/>
  <c r="D327" i="8" s="1"/>
  <c r="H327" i="8"/>
  <c r="A328" i="8"/>
  <c r="G328" i="8" s="1"/>
  <c r="B328" i="8"/>
  <c r="H328" i="8"/>
  <c r="I328" i="8" s="1"/>
  <c r="A329" i="8"/>
  <c r="G329" i="8" s="1"/>
  <c r="B329" i="8"/>
  <c r="C329" i="8" s="1"/>
  <c r="H329" i="8"/>
  <c r="A330" i="8"/>
  <c r="G330" i="8" s="1"/>
  <c r="B330" i="8"/>
  <c r="D330" i="8" s="1"/>
  <c r="H330" i="8"/>
  <c r="A331" i="8"/>
  <c r="G331" i="8" s="1"/>
  <c r="B331" i="8"/>
  <c r="C331" i="8" s="1"/>
  <c r="H331" i="8"/>
  <c r="I331" i="8" s="1"/>
  <c r="A332" i="8"/>
  <c r="G332" i="8" s="1"/>
  <c r="B332" i="8"/>
  <c r="D332" i="8" s="1"/>
  <c r="H332" i="8"/>
  <c r="I332" i="8" s="1"/>
  <c r="A333" i="8"/>
  <c r="G333" i="8" s="1"/>
  <c r="B333" i="8"/>
  <c r="C333" i="8" s="1"/>
  <c r="H333" i="8"/>
  <c r="I333" i="8" s="1"/>
  <c r="A334" i="8"/>
  <c r="G334" i="8" s="1"/>
  <c r="B334" i="8"/>
  <c r="D334" i="8" s="1"/>
  <c r="H334" i="8"/>
  <c r="A335" i="8"/>
  <c r="G335" i="8" s="1"/>
  <c r="B335" i="8"/>
  <c r="H335" i="8"/>
  <c r="I335" i="8" s="1"/>
  <c r="A336" i="8"/>
  <c r="G336" i="8" s="1"/>
  <c r="B336" i="8"/>
  <c r="D336" i="8" s="1"/>
  <c r="H336" i="8"/>
  <c r="I336" i="8" s="1"/>
  <c r="A337" i="8"/>
  <c r="G337" i="8" s="1"/>
  <c r="B337" i="8"/>
  <c r="C337" i="8" s="1"/>
  <c r="H337" i="8"/>
  <c r="I337" i="8" s="1"/>
  <c r="A338" i="8"/>
  <c r="G338" i="8" s="1"/>
  <c r="B338" i="8"/>
  <c r="D338" i="8" s="1"/>
  <c r="H338" i="8"/>
  <c r="A339" i="8"/>
  <c r="G339" i="8" s="1"/>
  <c r="B339" i="8"/>
  <c r="C339" i="8" s="1"/>
  <c r="H339" i="8"/>
  <c r="J339" i="8" s="1"/>
  <c r="A340" i="8"/>
  <c r="G340" i="8" s="1"/>
  <c r="B340" i="8"/>
  <c r="H340" i="8"/>
  <c r="I340" i="8" s="1"/>
  <c r="A341" i="8"/>
  <c r="G341" i="8" s="1"/>
  <c r="B341" i="8"/>
  <c r="H341" i="8"/>
  <c r="I341" i="8" s="1"/>
  <c r="A342" i="8"/>
  <c r="G342" i="8" s="1"/>
  <c r="B342" i="8"/>
  <c r="D342" i="8" s="1"/>
  <c r="H342" i="8"/>
  <c r="A343" i="8"/>
  <c r="G343" i="8" s="1"/>
  <c r="B343" i="8"/>
  <c r="C343" i="8" s="1"/>
  <c r="H343" i="8"/>
  <c r="J343" i="8" s="1"/>
  <c r="A344" i="8"/>
  <c r="G344" i="8" s="1"/>
  <c r="B344" i="8"/>
  <c r="D344" i="8" s="1"/>
  <c r="H344" i="8"/>
  <c r="A345" i="8"/>
  <c r="G345" i="8" s="1"/>
  <c r="B345" i="8"/>
  <c r="D345" i="8" s="1"/>
  <c r="H345" i="8"/>
  <c r="A346" i="8"/>
  <c r="G346" i="8" s="1"/>
  <c r="B346" i="8"/>
  <c r="D346" i="8" s="1"/>
  <c r="H346" i="8"/>
  <c r="I346" i="8" s="1"/>
  <c r="A347" i="8"/>
  <c r="G347" i="8" s="1"/>
  <c r="B347" i="8"/>
  <c r="D347" i="8" s="1"/>
  <c r="H347" i="8"/>
  <c r="I347" i="8" s="1"/>
  <c r="A348" i="8"/>
  <c r="G348" i="8" s="1"/>
  <c r="B348" i="8"/>
  <c r="C348" i="8" s="1"/>
  <c r="H348" i="8"/>
  <c r="I348" i="8" s="1"/>
  <c r="A349" i="8"/>
  <c r="G349" i="8" s="1"/>
  <c r="B349" i="8"/>
  <c r="D349" i="8" s="1"/>
  <c r="H349" i="8"/>
  <c r="I349" i="8" s="1"/>
  <c r="A350" i="8"/>
  <c r="G350" i="8" s="1"/>
  <c r="B350" i="8"/>
  <c r="H350" i="8"/>
  <c r="I350" i="8" s="1"/>
  <c r="A351" i="8"/>
  <c r="G351" i="8" s="1"/>
  <c r="B351" i="8"/>
  <c r="D351" i="8" s="1"/>
  <c r="H351" i="8"/>
  <c r="I351" i="8" s="1"/>
  <c r="A352" i="8"/>
  <c r="G352" i="8" s="1"/>
  <c r="B352" i="8"/>
  <c r="C352" i="8" s="1"/>
  <c r="H352" i="8"/>
  <c r="I352" i="8" s="1"/>
  <c r="A353" i="8"/>
  <c r="G353" i="8" s="1"/>
  <c r="B353" i="8"/>
  <c r="C353" i="8" s="1"/>
  <c r="H353" i="8"/>
  <c r="I353" i="8" s="1"/>
  <c r="A354" i="8"/>
  <c r="G354" i="8" s="1"/>
  <c r="B354" i="8"/>
  <c r="D354" i="8" s="1"/>
  <c r="H354" i="8"/>
  <c r="I354" i="8" s="1"/>
  <c r="A355" i="8"/>
  <c r="G355" i="8" s="1"/>
  <c r="B355" i="8"/>
  <c r="C355" i="8" s="1"/>
  <c r="H355" i="8"/>
  <c r="I355" i="8" s="1"/>
  <c r="A356" i="8"/>
  <c r="G356" i="8" s="1"/>
  <c r="B356" i="8"/>
  <c r="C356" i="8" s="1"/>
  <c r="H356" i="8"/>
  <c r="I356" i="8" s="1"/>
  <c r="A357" i="8"/>
  <c r="G357" i="8" s="1"/>
  <c r="B357" i="8"/>
  <c r="C357" i="8" s="1"/>
  <c r="H357" i="8"/>
  <c r="I357" i="8" s="1"/>
  <c r="A358" i="8"/>
  <c r="G358" i="8" s="1"/>
  <c r="B358" i="8"/>
  <c r="H358" i="8"/>
  <c r="I358" i="8" s="1"/>
  <c r="A359" i="8"/>
  <c r="G359" i="8" s="1"/>
  <c r="B359" i="8"/>
  <c r="D359" i="8" s="1"/>
  <c r="H359" i="8"/>
  <c r="I359" i="8" s="1"/>
  <c r="A360" i="8"/>
  <c r="G360" i="8" s="1"/>
  <c r="B360" i="8"/>
  <c r="H360" i="8"/>
  <c r="I360" i="8" s="1"/>
  <c r="A361" i="8"/>
  <c r="G361" i="8" s="1"/>
  <c r="B361" i="8"/>
  <c r="H361" i="8"/>
  <c r="I361" i="8" s="1"/>
  <c r="A362" i="8"/>
  <c r="G362" i="8" s="1"/>
  <c r="B362" i="8"/>
  <c r="H362" i="8"/>
  <c r="I362" i="8" s="1"/>
  <c r="A363" i="8"/>
  <c r="G363" i="8" s="1"/>
  <c r="B363" i="8"/>
  <c r="H363" i="8"/>
  <c r="A364" i="8"/>
  <c r="G364" i="8" s="1"/>
  <c r="B364" i="8"/>
  <c r="H364" i="8"/>
  <c r="I364" i="8" s="1"/>
  <c r="A365" i="8"/>
  <c r="G365" i="8" s="1"/>
  <c r="B365" i="8"/>
  <c r="H365" i="8"/>
  <c r="I365" i="8" s="1"/>
  <c r="A366" i="8"/>
  <c r="G366" i="8" s="1"/>
  <c r="B366" i="8"/>
  <c r="H366" i="8"/>
  <c r="I366" i="8" s="1"/>
  <c r="A367" i="8"/>
  <c r="G367" i="8" s="1"/>
  <c r="B367" i="8"/>
  <c r="D367" i="8" s="1"/>
  <c r="H367" i="8"/>
  <c r="I367" i="8" s="1"/>
  <c r="A368" i="8"/>
  <c r="G368" i="8" s="1"/>
  <c r="B368" i="8"/>
  <c r="H368" i="8"/>
  <c r="I368" i="8" s="1"/>
  <c r="A369" i="8"/>
  <c r="G369" i="8" s="1"/>
  <c r="B369" i="8"/>
  <c r="H369" i="8"/>
  <c r="I369" i="8" s="1"/>
  <c r="A370" i="8"/>
  <c r="G370" i="8" s="1"/>
  <c r="B370" i="8"/>
  <c r="H370" i="8"/>
  <c r="I370" i="8" s="1"/>
  <c r="A371" i="8"/>
  <c r="G371" i="8" s="1"/>
  <c r="B371" i="8"/>
  <c r="D371" i="8" s="1"/>
  <c r="H371" i="8"/>
  <c r="I371" i="8" s="1"/>
  <c r="A372" i="8"/>
  <c r="G372" i="8" s="1"/>
  <c r="B372" i="8"/>
  <c r="H372" i="8"/>
  <c r="A373" i="8"/>
  <c r="G373" i="8" s="1"/>
  <c r="B373" i="8"/>
  <c r="D373" i="8" s="1"/>
  <c r="H373" i="8"/>
  <c r="I373" i="8" s="1"/>
  <c r="A374" i="8"/>
  <c r="G374" i="8" s="1"/>
  <c r="B374" i="8"/>
  <c r="D374" i="8" s="1"/>
  <c r="H374" i="8"/>
  <c r="I374" i="8" s="1"/>
  <c r="A375" i="8"/>
  <c r="G375" i="8" s="1"/>
  <c r="B375" i="8"/>
  <c r="D375" i="8" s="1"/>
  <c r="H375" i="8"/>
  <c r="I375" i="8" s="1"/>
  <c r="A376" i="8"/>
  <c r="G376" i="8" s="1"/>
  <c r="B376" i="8"/>
  <c r="D376" i="8" s="1"/>
  <c r="H376" i="8"/>
  <c r="A377" i="8"/>
  <c r="G377" i="8" s="1"/>
  <c r="B377" i="8"/>
  <c r="D377" i="8" s="1"/>
  <c r="H377" i="8"/>
  <c r="I377" i="8" s="1"/>
  <c r="A378" i="8"/>
  <c r="G378" i="8" s="1"/>
  <c r="B378" i="8"/>
  <c r="D378" i="8" s="1"/>
  <c r="H378" i="8"/>
  <c r="I378" i="8" s="1"/>
  <c r="A379" i="8"/>
  <c r="G379" i="8" s="1"/>
  <c r="B379" i="8"/>
  <c r="D379" i="8" s="1"/>
  <c r="H379" i="8"/>
  <c r="A380" i="8"/>
  <c r="G380" i="8" s="1"/>
  <c r="B380" i="8"/>
  <c r="C380" i="8" s="1"/>
  <c r="H380" i="8"/>
  <c r="I380" i="8" s="1"/>
  <c r="A381" i="8"/>
  <c r="G381" i="8" s="1"/>
  <c r="B381" i="8"/>
  <c r="D381" i="8" s="1"/>
  <c r="H381" i="8"/>
  <c r="I381" i="8" s="1"/>
  <c r="A382" i="8"/>
  <c r="G382" i="8" s="1"/>
  <c r="B382" i="8"/>
  <c r="H382" i="8"/>
  <c r="I382" i="8" s="1"/>
  <c r="A383" i="8"/>
  <c r="G383" i="8" s="1"/>
  <c r="B383" i="8"/>
  <c r="C383" i="8" s="1"/>
  <c r="H383" i="8"/>
  <c r="I383" i="8" s="1"/>
  <c r="A384" i="8"/>
  <c r="G384" i="8" s="1"/>
  <c r="B384" i="8"/>
  <c r="C384" i="8" s="1"/>
  <c r="H384" i="8"/>
  <c r="A385" i="8"/>
  <c r="G385" i="8" s="1"/>
  <c r="B385" i="8"/>
  <c r="H385" i="8"/>
  <c r="I385" i="8" s="1"/>
  <c r="A386" i="8"/>
  <c r="G386" i="8" s="1"/>
  <c r="B386" i="8"/>
  <c r="H386" i="8"/>
  <c r="A387" i="8"/>
  <c r="G387" i="8" s="1"/>
  <c r="B387" i="8"/>
  <c r="C387" i="8" s="1"/>
  <c r="H387" i="8"/>
  <c r="A388" i="8"/>
  <c r="G388" i="8" s="1"/>
  <c r="B388" i="8"/>
  <c r="C388" i="8" s="1"/>
  <c r="H388" i="8"/>
  <c r="I388" i="8" s="1"/>
  <c r="A389" i="8"/>
  <c r="G389" i="8" s="1"/>
  <c r="B389" i="8"/>
  <c r="C389" i="8" s="1"/>
  <c r="H389" i="8"/>
  <c r="A390" i="8"/>
  <c r="G390" i="8" s="1"/>
  <c r="B390" i="8"/>
  <c r="D390" i="8" s="1"/>
  <c r="H390" i="8"/>
  <c r="A391" i="8"/>
  <c r="G391" i="8" s="1"/>
  <c r="B391" i="8"/>
  <c r="C391" i="8" s="1"/>
  <c r="H391" i="8"/>
  <c r="J391" i="8" s="1"/>
  <c r="A392" i="8"/>
  <c r="G392" i="8" s="1"/>
  <c r="B392" i="8"/>
  <c r="H392" i="8"/>
  <c r="I392" i="8" s="1"/>
  <c r="A393" i="8"/>
  <c r="G393" i="8" s="1"/>
  <c r="B393" i="8"/>
  <c r="C393" i="8" s="1"/>
  <c r="H393" i="8"/>
  <c r="A394" i="8"/>
  <c r="G394" i="8" s="1"/>
  <c r="B394" i="8"/>
  <c r="D394" i="8" s="1"/>
  <c r="H394" i="8"/>
  <c r="I394" i="8" s="1"/>
  <c r="A395" i="8"/>
  <c r="G395" i="8" s="1"/>
  <c r="B395" i="8"/>
  <c r="D395" i="8" s="1"/>
  <c r="H395" i="8"/>
  <c r="A396" i="8"/>
  <c r="G396" i="8" s="1"/>
  <c r="B396" i="8"/>
  <c r="H396" i="8"/>
  <c r="I396" i="8" s="1"/>
  <c r="A397" i="8"/>
  <c r="G397" i="8" s="1"/>
  <c r="B397" i="8"/>
  <c r="C397" i="8" s="1"/>
  <c r="H397" i="8"/>
  <c r="I397" i="8" s="1"/>
  <c r="A398" i="8"/>
  <c r="G398" i="8" s="1"/>
  <c r="B398" i="8"/>
  <c r="D398" i="8" s="1"/>
  <c r="H398" i="8"/>
  <c r="A399" i="8"/>
  <c r="G399" i="8" s="1"/>
  <c r="B399" i="8"/>
  <c r="D399" i="8" s="1"/>
  <c r="H399" i="8"/>
  <c r="I399" i="8" s="1"/>
  <c r="A400" i="8"/>
  <c r="G400" i="8" s="1"/>
  <c r="B400" i="8"/>
  <c r="H400" i="8"/>
  <c r="A401" i="8"/>
  <c r="G401" i="8" s="1"/>
  <c r="B401" i="8"/>
  <c r="C401" i="8" s="1"/>
  <c r="H401" i="8"/>
  <c r="A402" i="8"/>
  <c r="G402" i="8" s="1"/>
  <c r="B402" i="8"/>
  <c r="D402" i="8" s="1"/>
  <c r="H402" i="8"/>
  <c r="I402" i="8" s="1"/>
  <c r="A403" i="8"/>
  <c r="G403" i="8" s="1"/>
  <c r="B403" i="8"/>
  <c r="D403" i="8" s="1"/>
  <c r="H403" i="8"/>
  <c r="I403" i="8" s="1"/>
  <c r="A404" i="8"/>
  <c r="G404" i="8" s="1"/>
  <c r="B404" i="8"/>
  <c r="H404" i="8"/>
  <c r="A405" i="8"/>
  <c r="G405" i="8" s="1"/>
  <c r="B405" i="8"/>
  <c r="C405" i="8" s="1"/>
  <c r="H405" i="8"/>
  <c r="I405" i="8" s="1"/>
  <c r="A406" i="8"/>
  <c r="G406" i="8" s="1"/>
  <c r="B406" i="8"/>
  <c r="D406" i="8" s="1"/>
  <c r="H406" i="8"/>
  <c r="I406" i="8" s="1"/>
  <c r="A407" i="8"/>
  <c r="G407" i="8" s="1"/>
  <c r="B407" i="8"/>
  <c r="H407" i="8"/>
  <c r="I407" i="8" s="1"/>
  <c r="A408" i="8"/>
  <c r="G408" i="8" s="1"/>
  <c r="B408" i="8"/>
  <c r="C408" i="8" s="1"/>
  <c r="H408" i="8"/>
  <c r="J408" i="8" s="1"/>
  <c r="A409" i="8"/>
  <c r="G409" i="8" s="1"/>
  <c r="B409" i="8"/>
  <c r="H409" i="8"/>
  <c r="A410" i="8"/>
  <c r="G410" i="8" s="1"/>
  <c r="B410" i="8"/>
  <c r="C410" i="8" s="1"/>
  <c r="H410" i="8"/>
  <c r="I410" i="8" s="1"/>
  <c r="A411" i="8"/>
  <c r="G411" i="8" s="1"/>
  <c r="B411" i="8"/>
  <c r="H411" i="8"/>
  <c r="A412" i="8"/>
  <c r="G412" i="8" s="1"/>
  <c r="B412" i="8"/>
  <c r="C412" i="8" s="1"/>
  <c r="H412" i="8"/>
  <c r="I412" i="8" s="1"/>
  <c r="A413" i="8"/>
  <c r="G413" i="8" s="1"/>
  <c r="B413" i="8"/>
  <c r="C413" i="8" s="1"/>
  <c r="H413" i="8"/>
  <c r="A414" i="8"/>
  <c r="G414" i="8" s="1"/>
  <c r="B414" i="8"/>
  <c r="C414" i="8" s="1"/>
  <c r="H414" i="8"/>
  <c r="I414" i="8" s="1"/>
  <c r="A415" i="8"/>
  <c r="G415" i="8" s="1"/>
  <c r="B415" i="8"/>
  <c r="H415" i="8"/>
  <c r="I415" i="8" s="1"/>
  <c r="A416" i="8"/>
  <c r="G416" i="8" s="1"/>
  <c r="B416" i="8"/>
  <c r="C416" i="8" s="1"/>
  <c r="H416" i="8"/>
  <c r="I416" i="8" s="1"/>
  <c r="A417" i="8"/>
  <c r="G417" i="8" s="1"/>
  <c r="B417" i="8"/>
  <c r="H417" i="8"/>
  <c r="A418" i="8"/>
  <c r="G418" i="8" s="1"/>
  <c r="B418" i="8"/>
  <c r="C418" i="8" s="1"/>
  <c r="H418" i="8"/>
  <c r="I418" i="8" s="1"/>
  <c r="A419" i="8"/>
  <c r="G419" i="8" s="1"/>
  <c r="B419" i="8"/>
  <c r="D419" i="8" s="1"/>
  <c r="H419" i="8"/>
  <c r="J419" i="8" s="1"/>
  <c r="A420" i="8"/>
  <c r="G420" i="8" s="1"/>
  <c r="B420" i="8"/>
  <c r="C420" i="8" s="1"/>
  <c r="H420" i="8"/>
  <c r="A421" i="8"/>
  <c r="G421" i="8" s="1"/>
  <c r="B421" i="8"/>
  <c r="C421" i="8" s="1"/>
  <c r="H421" i="8"/>
  <c r="A422" i="8"/>
  <c r="G422" i="8" s="1"/>
  <c r="B422" i="8"/>
  <c r="C422" i="8" s="1"/>
  <c r="H422" i="8"/>
  <c r="I422" i="8" s="1"/>
  <c r="A423" i="8"/>
  <c r="G423" i="8" s="1"/>
  <c r="B423" i="8"/>
  <c r="D423" i="8" s="1"/>
  <c r="H423" i="8"/>
  <c r="J423" i="8" s="1"/>
  <c r="A424" i="8"/>
  <c r="G424" i="8" s="1"/>
  <c r="B424" i="8"/>
  <c r="C424" i="8" s="1"/>
  <c r="H424" i="8"/>
  <c r="I424" i="8" s="1"/>
  <c r="A425" i="8"/>
  <c r="G425" i="8" s="1"/>
  <c r="B425" i="8"/>
  <c r="C425" i="8" s="1"/>
  <c r="H425" i="8"/>
  <c r="A426" i="8"/>
  <c r="G426" i="8" s="1"/>
  <c r="B426" i="8"/>
  <c r="C426" i="8" s="1"/>
  <c r="H426" i="8"/>
  <c r="I426" i="8" s="1"/>
  <c r="A427" i="8"/>
  <c r="G427" i="8" s="1"/>
  <c r="B427" i="8"/>
  <c r="D427" i="8" s="1"/>
  <c r="H427" i="8"/>
  <c r="I427" i="8" s="1"/>
  <c r="A428" i="8"/>
  <c r="G428" i="8" s="1"/>
  <c r="B428" i="8"/>
  <c r="C428" i="8" s="1"/>
  <c r="H428" i="8"/>
  <c r="J428" i="8" s="1"/>
  <c r="A429" i="8"/>
  <c r="G429" i="8" s="1"/>
  <c r="B429" i="8"/>
  <c r="H429" i="8"/>
  <c r="A430" i="8"/>
  <c r="G430" i="8" s="1"/>
  <c r="B430" i="8"/>
  <c r="C430" i="8" s="1"/>
  <c r="H430" i="8"/>
  <c r="I430" i="8" s="1"/>
  <c r="A431" i="8"/>
  <c r="G431" i="8" s="1"/>
  <c r="B431" i="8"/>
  <c r="H431" i="8"/>
  <c r="I431" i="8" s="1"/>
  <c r="A432" i="8"/>
  <c r="G432" i="8" s="1"/>
  <c r="B432" i="8"/>
  <c r="C432" i="8" s="1"/>
  <c r="H432" i="8"/>
  <c r="I432" i="8" s="1"/>
  <c r="A433" i="8"/>
  <c r="G433" i="8" s="1"/>
  <c r="B433" i="8"/>
  <c r="C433" i="8" s="1"/>
  <c r="H433" i="8"/>
  <c r="A434" i="8"/>
  <c r="G434" i="8" s="1"/>
  <c r="B434" i="8"/>
  <c r="C434" i="8" s="1"/>
  <c r="H434" i="8"/>
  <c r="I434" i="8" s="1"/>
  <c r="A435" i="8"/>
  <c r="G435" i="8" s="1"/>
  <c r="B435" i="8"/>
  <c r="D435" i="8" s="1"/>
  <c r="H435" i="8"/>
  <c r="A436" i="8"/>
  <c r="G436" i="8" s="1"/>
  <c r="B436" i="8"/>
  <c r="C436" i="8" s="1"/>
  <c r="H436" i="8"/>
  <c r="I436" i="8" s="1"/>
  <c r="A437" i="8"/>
  <c r="G437" i="8" s="1"/>
  <c r="B437" i="8"/>
  <c r="H437" i="8"/>
  <c r="A438" i="8"/>
  <c r="G438" i="8" s="1"/>
  <c r="B438" i="8"/>
  <c r="H438" i="8"/>
  <c r="I438" i="8" s="1"/>
  <c r="A439" i="8"/>
  <c r="G439" i="8" s="1"/>
  <c r="B439" i="8"/>
  <c r="D439" i="8" s="1"/>
  <c r="H439" i="8"/>
  <c r="A440" i="8"/>
  <c r="G440" i="8" s="1"/>
  <c r="B440" i="8"/>
  <c r="C440" i="8" s="1"/>
  <c r="H440" i="8"/>
  <c r="I440" i="8" s="1"/>
  <c r="A441" i="8"/>
  <c r="G441" i="8" s="1"/>
  <c r="B441" i="8"/>
  <c r="H441" i="8"/>
  <c r="A442" i="8"/>
  <c r="G442" i="8" s="1"/>
  <c r="B442" i="8"/>
  <c r="C442" i="8" s="1"/>
  <c r="H442" i="8"/>
  <c r="I442" i="8" s="1"/>
  <c r="A443" i="8"/>
  <c r="G443" i="8" s="1"/>
  <c r="B443" i="8"/>
  <c r="H443" i="8"/>
  <c r="A444" i="8"/>
  <c r="G444" i="8" s="1"/>
  <c r="B444" i="8"/>
  <c r="C444" i="8" s="1"/>
  <c r="H444" i="8"/>
  <c r="I444" i="8" s="1"/>
  <c r="A445" i="8"/>
  <c r="G445" i="8" s="1"/>
  <c r="B445" i="8"/>
  <c r="C445" i="8" s="1"/>
  <c r="H445" i="8"/>
  <c r="A446" i="8"/>
  <c r="G446" i="8" s="1"/>
  <c r="B446" i="8"/>
  <c r="H446" i="8"/>
  <c r="I446" i="8" s="1"/>
  <c r="A447" i="8"/>
  <c r="G447" i="8" s="1"/>
  <c r="B447" i="8"/>
  <c r="D447" i="8" s="1"/>
  <c r="H447" i="8"/>
  <c r="J447" i="8" s="1"/>
  <c r="A448" i="8"/>
  <c r="G448" i="8" s="1"/>
  <c r="B448" i="8"/>
  <c r="C448" i="8" s="1"/>
  <c r="H448" i="8"/>
  <c r="J448" i="8" s="1"/>
  <c r="A449" i="8"/>
  <c r="G449" i="8" s="1"/>
  <c r="B449" i="8"/>
  <c r="C449" i="8" s="1"/>
  <c r="H449" i="8"/>
  <c r="A450" i="8"/>
  <c r="G450" i="8" s="1"/>
  <c r="B450" i="8"/>
  <c r="C450" i="8" s="1"/>
  <c r="H450" i="8"/>
  <c r="I450" i="8" s="1"/>
  <c r="A451" i="8"/>
  <c r="G451" i="8" s="1"/>
  <c r="B451" i="8"/>
  <c r="H451" i="8"/>
  <c r="J451" i="8" s="1"/>
  <c r="A452" i="8"/>
  <c r="G452" i="8" s="1"/>
  <c r="B452" i="8"/>
  <c r="C452" i="8" s="1"/>
  <c r="H452" i="8"/>
  <c r="J452" i="8" s="1"/>
  <c r="A453" i="8"/>
  <c r="G453" i="8" s="1"/>
  <c r="B453" i="8"/>
  <c r="C453" i="8" s="1"/>
  <c r="H453" i="8"/>
  <c r="A454" i="8"/>
  <c r="G454" i="8" s="1"/>
  <c r="B454" i="8"/>
  <c r="C454" i="8" s="1"/>
  <c r="H454" i="8"/>
  <c r="I454" i="8" s="1"/>
  <c r="A455" i="8"/>
  <c r="G455" i="8" s="1"/>
  <c r="B455" i="8"/>
  <c r="C455" i="8" s="1"/>
  <c r="H455" i="8"/>
  <c r="J455" i="8" s="1"/>
  <c r="A456" i="8"/>
  <c r="G456" i="8" s="1"/>
  <c r="B456" i="8"/>
  <c r="D456" i="8" s="1"/>
  <c r="H456" i="8"/>
  <c r="J456" i="8" s="1"/>
  <c r="A457" i="8"/>
  <c r="G457" i="8" s="1"/>
  <c r="B457" i="8"/>
  <c r="C457" i="8" s="1"/>
  <c r="H457" i="8"/>
  <c r="J457" i="8" s="1"/>
  <c r="A458" i="8"/>
  <c r="G458" i="8" s="1"/>
  <c r="B458" i="8"/>
  <c r="C458" i="8" s="1"/>
  <c r="H458" i="8"/>
  <c r="A459" i="8"/>
  <c r="G459" i="8" s="1"/>
  <c r="B459" i="8"/>
  <c r="H459" i="8"/>
  <c r="I459" i="8" s="1"/>
  <c r="A460" i="8"/>
  <c r="G460" i="8" s="1"/>
  <c r="B460" i="8"/>
  <c r="H460" i="8"/>
  <c r="I460" i="8" s="1"/>
  <c r="A461" i="8"/>
  <c r="G461" i="8" s="1"/>
  <c r="B461" i="8"/>
  <c r="C461" i="8" s="1"/>
  <c r="H461" i="8"/>
  <c r="A462" i="8"/>
  <c r="G462" i="8" s="1"/>
  <c r="B462" i="8"/>
  <c r="H462" i="8"/>
  <c r="A463" i="8"/>
  <c r="G463" i="8" s="1"/>
  <c r="B463" i="8"/>
  <c r="D463" i="8" s="1"/>
  <c r="H463" i="8"/>
  <c r="I463" i="8" s="1"/>
  <c r="A464" i="8"/>
  <c r="G464" i="8" s="1"/>
  <c r="B464" i="8"/>
  <c r="D464" i="8" s="1"/>
  <c r="H464" i="8"/>
  <c r="A465" i="8"/>
  <c r="G465" i="8" s="1"/>
  <c r="B465" i="8"/>
  <c r="C465" i="8" s="1"/>
  <c r="H465" i="8"/>
  <c r="I465" i="8" s="1"/>
  <c r="A466" i="8"/>
  <c r="G466" i="8" s="1"/>
  <c r="B466" i="8"/>
  <c r="C466" i="8" s="1"/>
  <c r="H466" i="8"/>
  <c r="A467" i="8"/>
  <c r="G467" i="8" s="1"/>
  <c r="B467" i="8"/>
  <c r="H467" i="8"/>
  <c r="A468" i="8"/>
  <c r="G468" i="8" s="1"/>
  <c r="B468" i="8"/>
  <c r="H468" i="8"/>
  <c r="A469" i="8"/>
  <c r="G469" i="8" s="1"/>
  <c r="B469" i="8"/>
  <c r="H469" i="8"/>
  <c r="A470" i="8"/>
  <c r="G470" i="8" s="1"/>
  <c r="B470" i="8"/>
  <c r="H470" i="8"/>
  <c r="A471" i="8"/>
  <c r="G471" i="8" s="1"/>
  <c r="B471" i="8"/>
  <c r="D471" i="8" s="1"/>
  <c r="H471" i="8"/>
  <c r="A472" i="8"/>
  <c r="G472" i="8" s="1"/>
  <c r="B472" i="8"/>
  <c r="H472" i="8"/>
  <c r="J472" i="8" s="1"/>
  <c r="A473" i="8"/>
  <c r="G473" i="8" s="1"/>
  <c r="B473" i="8"/>
  <c r="H473" i="8"/>
  <c r="A474" i="8"/>
  <c r="G474" i="8" s="1"/>
  <c r="B474" i="8"/>
  <c r="H474" i="8"/>
  <c r="A475" i="8"/>
  <c r="G475" i="8" s="1"/>
  <c r="B475" i="8"/>
  <c r="H475" i="8"/>
  <c r="A476" i="8"/>
  <c r="G476" i="8" s="1"/>
  <c r="B476" i="8"/>
  <c r="H476" i="8"/>
  <c r="I476" i="8" s="1"/>
  <c r="A477" i="8"/>
  <c r="G477" i="8" s="1"/>
  <c r="B477" i="8"/>
  <c r="C477" i="8" s="1"/>
  <c r="H477" i="8"/>
  <c r="J477" i="8" s="1"/>
  <c r="A478" i="8"/>
  <c r="G478" i="8" s="1"/>
  <c r="B478" i="8"/>
  <c r="C478" i="8" s="1"/>
  <c r="H478" i="8"/>
  <c r="A479" i="8"/>
  <c r="G479" i="8" s="1"/>
  <c r="B479" i="8"/>
  <c r="C479" i="8" s="1"/>
  <c r="H479" i="8"/>
  <c r="I479" i="8" s="1"/>
  <c r="A480" i="8"/>
  <c r="G480" i="8" s="1"/>
  <c r="B480" i="8"/>
  <c r="D480" i="8" s="1"/>
  <c r="H480" i="8"/>
  <c r="I480" i="8" s="1"/>
  <c r="A481" i="8"/>
  <c r="G481" i="8" s="1"/>
  <c r="B481" i="8"/>
  <c r="H481" i="8"/>
  <c r="J481" i="8" s="1"/>
  <c r="A482" i="8"/>
  <c r="G482" i="8" s="1"/>
  <c r="B482" i="8"/>
  <c r="C482" i="8" s="1"/>
  <c r="H482" i="8"/>
  <c r="A483" i="8"/>
  <c r="G483" i="8" s="1"/>
  <c r="B483" i="8"/>
  <c r="H483" i="8"/>
  <c r="I483" i="8" s="1"/>
  <c r="A484" i="8"/>
  <c r="G484" i="8" s="1"/>
  <c r="B484" i="8"/>
  <c r="D484" i="8" s="1"/>
  <c r="H484" i="8"/>
  <c r="I484" i="8" s="1"/>
  <c r="A485" i="8"/>
  <c r="G485" i="8" s="1"/>
  <c r="B485" i="8"/>
  <c r="H485" i="8"/>
  <c r="I485" i="8" s="1"/>
  <c r="A486" i="8"/>
  <c r="G486" i="8" s="1"/>
  <c r="B486" i="8"/>
  <c r="C486" i="8" s="1"/>
  <c r="H486" i="8"/>
  <c r="A487" i="8"/>
  <c r="G487" i="8" s="1"/>
  <c r="B487" i="8"/>
  <c r="H487" i="8"/>
  <c r="J487" i="8" s="1"/>
  <c r="A488" i="8"/>
  <c r="G488" i="8" s="1"/>
  <c r="B488" i="8"/>
  <c r="D488" i="8" s="1"/>
  <c r="H488" i="8"/>
  <c r="A489" i="8"/>
  <c r="G489" i="8" s="1"/>
  <c r="B489" i="8"/>
  <c r="C489" i="8" s="1"/>
  <c r="H489" i="8"/>
  <c r="A490" i="8"/>
  <c r="G490" i="8" s="1"/>
  <c r="B490" i="8"/>
  <c r="H490" i="8"/>
  <c r="A491" i="8"/>
  <c r="G491" i="8" s="1"/>
  <c r="B491" i="8"/>
  <c r="H491" i="8"/>
  <c r="A492" i="8"/>
  <c r="G492" i="8" s="1"/>
  <c r="B492" i="8"/>
  <c r="H492" i="8"/>
  <c r="A493" i="8"/>
  <c r="G493" i="8" s="1"/>
  <c r="B493" i="8"/>
  <c r="C493" i="8" s="1"/>
  <c r="H493" i="8"/>
  <c r="I493" i="8" s="1"/>
  <c r="A494" i="8"/>
  <c r="G494" i="8" s="1"/>
  <c r="B494" i="8"/>
  <c r="H494" i="8"/>
  <c r="A495" i="8"/>
  <c r="G495" i="8" s="1"/>
  <c r="B495" i="8"/>
  <c r="D495" i="8" s="1"/>
  <c r="H495" i="8"/>
  <c r="I495" i="8" s="1"/>
  <c r="A496" i="8"/>
  <c r="G496" i="8" s="1"/>
  <c r="B496" i="8"/>
  <c r="D496" i="8" s="1"/>
  <c r="H496" i="8"/>
  <c r="I496" i="8" s="1"/>
  <c r="A497" i="8"/>
  <c r="G497" i="8" s="1"/>
  <c r="B497" i="8"/>
  <c r="H497" i="8"/>
  <c r="I497" i="8" s="1"/>
  <c r="A498" i="8"/>
  <c r="G498" i="8" s="1"/>
  <c r="B498" i="8"/>
  <c r="C498" i="8" s="1"/>
  <c r="H498" i="8"/>
  <c r="A499" i="8"/>
  <c r="G499" i="8" s="1"/>
  <c r="B499" i="8"/>
  <c r="C499" i="8" s="1"/>
  <c r="H499" i="8"/>
  <c r="I499" i="8" s="1"/>
  <c r="A500" i="8"/>
  <c r="G500" i="8" s="1"/>
  <c r="B500" i="8"/>
  <c r="H500" i="8"/>
  <c r="A501" i="8"/>
  <c r="G501" i="8" s="1"/>
  <c r="B501" i="8"/>
  <c r="C501" i="8" s="1"/>
  <c r="H501" i="8"/>
  <c r="A502" i="8"/>
  <c r="G502" i="8" s="1"/>
  <c r="B502" i="8"/>
  <c r="H502" i="8"/>
  <c r="A503" i="8"/>
  <c r="G503" i="8" s="1"/>
  <c r="B503" i="8"/>
  <c r="D503" i="8" s="1"/>
  <c r="H503" i="8"/>
  <c r="J503" i="8" s="1"/>
  <c r="A504" i="8"/>
  <c r="G504" i="8" s="1"/>
  <c r="B504" i="8"/>
  <c r="H504" i="8"/>
  <c r="A505" i="8"/>
  <c r="G505" i="8" s="1"/>
  <c r="B505" i="8"/>
  <c r="H505" i="8"/>
  <c r="A506" i="8"/>
  <c r="G506" i="8" s="1"/>
  <c r="B506" i="8"/>
  <c r="C506" i="8" s="1"/>
  <c r="H506" i="8"/>
  <c r="A507" i="8"/>
  <c r="G507" i="8" s="1"/>
  <c r="B507" i="8"/>
  <c r="H507" i="8"/>
  <c r="I507" i="8" s="1"/>
  <c r="A508" i="8"/>
  <c r="G508" i="8" s="1"/>
  <c r="B508" i="8"/>
  <c r="H508" i="8"/>
  <c r="I508" i="8" s="1"/>
  <c r="A509" i="8"/>
  <c r="G509" i="8" s="1"/>
  <c r="B509" i="8"/>
  <c r="C509" i="8" s="1"/>
  <c r="H509" i="8"/>
  <c r="A510" i="8"/>
  <c r="G510" i="8" s="1"/>
  <c r="B510" i="8"/>
  <c r="C510" i="8" s="1"/>
  <c r="H510" i="8"/>
  <c r="A511" i="8"/>
  <c r="G511" i="8" s="1"/>
  <c r="B511" i="8"/>
  <c r="C511" i="8" s="1"/>
  <c r="H511" i="8"/>
  <c r="I511" i="8" s="1"/>
  <c r="A512" i="8"/>
  <c r="G512" i="8" s="1"/>
  <c r="B512" i="8"/>
  <c r="D512" i="8" s="1"/>
  <c r="H512" i="8"/>
  <c r="J512" i="8" s="1"/>
  <c r="A513" i="8"/>
  <c r="G513" i="8" s="1"/>
  <c r="B513" i="8"/>
  <c r="C513" i="8" s="1"/>
  <c r="H513" i="8"/>
  <c r="I513" i="8" s="1"/>
  <c r="A514" i="8"/>
  <c r="G514" i="8" s="1"/>
  <c r="B514" i="8"/>
  <c r="C514" i="8" s="1"/>
  <c r="H514" i="8"/>
  <c r="A515" i="8"/>
  <c r="G515" i="8" s="1"/>
  <c r="B515" i="8"/>
  <c r="C515" i="8" s="1"/>
  <c r="H515" i="8"/>
  <c r="A516" i="8"/>
  <c r="G516" i="8" s="1"/>
  <c r="B516" i="8"/>
  <c r="D516" i="8" s="1"/>
  <c r="H516" i="8"/>
  <c r="I516" i="8" s="1"/>
  <c r="A517" i="8"/>
  <c r="G517" i="8" s="1"/>
  <c r="B517" i="8"/>
  <c r="C517" i="8" s="1"/>
  <c r="H517" i="8"/>
  <c r="A518" i="8"/>
  <c r="G518" i="8" s="1"/>
  <c r="B518" i="8"/>
  <c r="C518" i="8" s="1"/>
  <c r="H518" i="8"/>
  <c r="A519" i="8"/>
  <c r="G519" i="8" s="1"/>
  <c r="B519" i="8"/>
  <c r="C519" i="8" s="1"/>
  <c r="H519" i="8"/>
  <c r="I519" i="8" s="1"/>
  <c r="A520" i="8"/>
  <c r="G520" i="8" s="1"/>
  <c r="B520" i="8"/>
  <c r="D520" i="8" s="1"/>
  <c r="H520" i="8"/>
  <c r="J520" i="8" s="1"/>
  <c r="A521" i="8"/>
  <c r="G521" i="8" s="1"/>
  <c r="B521" i="8"/>
  <c r="C521" i="8" s="1"/>
  <c r="H521" i="8"/>
  <c r="J521" i="8" s="1"/>
  <c r="A522" i="8"/>
  <c r="G522" i="8" s="1"/>
  <c r="B522" i="8"/>
  <c r="C522" i="8" s="1"/>
  <c r="H522" i="8"/>
  <c r="A523" i="8"/>
  <c r="G523" i="8" s="1"/>
  <c r="B523" i="8"/>
  <c r="C523" i="8" s="1"/>
  <c r="H523" i="8"/>
  <c r="I523" i="8" s="1"/>
  <c r="A524" i="8"/>
  <c r="G524" i="8" s="1"/>
  <c r="B524" i="8"/>
  <c r="D524" i="8" s="1"/>
  <c r="H524" i="8"/>
  <c r="J524" i="8" s="1"/>
  <c r="A525" i="8"/>
  <c r="G525" i="8" s="1"/>
  <c r="B525" i="8"/>
  <c r="C525" i="8" s="1"/>
  <c r="H525" i="8"/>
  <c r="A526" i="8"/>
  <c r="G526" i="8" s="1"/>
  <c r="B526" i="8"/>
  <c r="D526" i="8" s="1"/>
  <c r="H526" i="8"/>
  <c r="A527" i="8"/>
  <c r="G527" i="8" s="1"/>
  <c r="B527" i="8"/>
  <c r="D527" i="8" s="1"/>
  <c r="H527" i="8"/>
  <c r="I527" i="8" s="1"/>
  <c r="A528" i="8"/>
  <c r="G528" i="8" s="1"/>
  <c r="B528" i="8"/>
  <c r="H528" i="8"/>
  <c r="A529" i="8"/>
  <c r="G529" i="8" s="1"/>
  <c r="B529" i="8"/>
  <c r="C529" i="8" s="1"/>
  <c r="H529" i="8"/>
  <c r="I529" i="8" s="1"/>
  <c r="A530" i="8"/>
  <c r="G530" i="8" s="1"/>
  <c r="B530" i="8"/>
  <c r="H530" i="8"/>
  <c r="A531" i="8"/>
  <c r="G531" i="8" s="1"/>
  <c r="B531" i="8"/>
  <c r="H531" i="8"/>
  <c r="I531" i="8" s="1"/>
  <c r="A532" i="8"/>
  <c r="G532" i="8" s="1"/>
  <c r="B532" i="8"/>
  <c r="D532" i="8" s="1"/>
  <c r="H532" i="8"/>
  <c r="I532" i="8" s="1"/>
  <c r="A533" i="8"/>
  <c r="G533" i="8" s="1"/>
  <c r="B533" i="8"/>
  <c r="C533" i="8" s="1"/>
  <c r="H533" i="8"/>
  <c r="I533" i="8" s="1"/>
  <c r="A534" i="8"/>
  <c r="G534" i="8" s="1"/>
  <c r="B534" i="8"/>
  <c r="C534" i="8" s="1"/>
  <c r="H534" i="8"/>
  <c r="A535" i="8"/>
  <c r="G535" i="8" s="1"/>
  <c r="B535" i="8"/>
  <c r="C535" i="8" s="1"/>
  <c r="H535" i="8"/>
  <c r="I535" i="8" s="1"/>
  <c r="A536" i="8"/>
  <c r="G536" i="8" s="1"/>
  <c r="B536" i="8"/>
  <c r="H536" i="8"/>
  <c r="I536" i="8" s="1"/>
  <c r="A537" i="8"/>
  <c r="G537" i="8" s="1"/>
  <c r="B537" i="8"/>
  <c r="C537" i="8" s="1"/>
  <c r="H537" i="8"/>
  <c r="I537" i="8" s="1"/>
  <c r="A538" i="8"/>
  <c r="G538" i="8" s="1"/>
  <c r="B538" i="8"/>
  <c r="H538" i="8"/>
  <c r="A539" i="8"/>
  <c r="G539" i="8" s="1"/>
  <c r="B539" i="8"/>
  <c r="D539" i="8" s="1"/>
  <c r="H539" i="8"/>
  <c r="I539" i="8" s="1"/>
  <c r="A540" i="8"/>
  <c r="G540" i="8" s="1"/>
  <c r="B540" i="8"/>
  <c r="H540" i="8"/>
  <c r="I540" i="8" s="1"/>
  <c r="A541" i="8"/>
  <c r="G541" i="8" s="1"/>
  <c r="B541" i="8"/>
  <c r="H541" i="8"/>
  <c r="J541" i="8" s="1"/>
  <c r="A542" i="8"/>
  <c r="G542" i="8" s="1"/>
  <c r="B542" i="8"/>
  <c r="C542" i="8" s="1"/>
  <c r="H542" i="8"/>
  <c r="J542" i="8" s="1"/>
  <c r="A543" i="8"/>
  <c r="G543" i="8" s="1"/>
  <c r="B543" i="8"/>
  <c r="C543" i="8" s="1"/>
  <c r="H543" i="8"/>
  <c r="J543" i="8" s="1"/>
  <c r="A544" i="8"/>
  <c r="G544" i="8" s="1"/>
  <c r="B544" i="8"/>
  <c r="D544" i="8" s="1"/>
  <c r="H544" i="8"/>
  <c r="A545" i="8"/>
  <c r="G545" i="8" s="1"/>
  <c r="B545" i="8"/>
  <c r="H545" i="8"/>
  <c r="I545" i="8" s="1"/>
  <c r="A546" i="8"/>
  <c r="G546" i="8" s="1"/>
  <c r="B546" i="8"/>
  <c r="D546" i="8" s="1"/>
  <c r="H546" i="8"/>
  <c r="I546" i="8" s="1"/>
  <c r="A547" i="8"/>
  <c r="G547" i="8" s="1"/>
  <c r="B547" i="8"/>
  <c r="H547" i="8"/>
  <c r="A548" i="8"/>
  <c r="G548" i="8" s="1"/>
  <c r="B548" i="8"/>
  <c r="D548" i="8" s="1"/>
  <c r="H548" i="8"/>
  <c r="A549" i="8"/>
  <c r="G549" i="8" s="1"/>
  <c r="B549" i="8"/>
  <c r="H549" i="8"/>
  <c r="A550" i="8"/>
  <c r="G550" i="8" s="1"/>
  <c r="B550" i="8"/>
  <c r="C550" i="8" s="1"/>
  <c r="H550" i="8"/>
  <c r="A551" i="8"/>
  <c r="G551" i="8" s="1"/>
  <c r="B551" i="8"/>
  <c r="D551" i="8" s="1"/>
  <c r="H551" i="8"/>
  <c r="I551" i="8" s="1"/>
  <c r="A552" i="8"/>
  <c r="G552" i="8" s="1"/>
  <c r="B552" i="8"/>
  <c r="C552" i="8" s="1"/>
  <c r="H552" i="8"/>
  <c r="J552" i="8" s="1"/>
  <c r="A553" i="8"/>
  <c r="G553" i="8" s="1"/>
  <c r="B553" i="8"/>
  <c r="D553" i="8" s="1"/>
  <c r="H553" i="8"/>
  <c r="I553" i="8" s="1"/>
  <c r="A554" i="8"/>
  <c r="G554" i="8" s="1"/>
  <c r="B554" i="8"/>
  <c r="D554" i="8" s="1"/>
  <c r="H554" i="8"/>
  <c r="I554" i="8" s="1"/>
  <c r="A555" i="8"/>
  <c r="G555" i="8" s="1"/>
  <c r="B555" i="8"/>
  <c r="H555" i="8"/>
  <c r="I555" i="8" s="1"/>
  <c r="A556" i="8"/>
  <c r="G556" i="8" s="1"/>
  <c r="B556" i="8"/>
  <c r="C556" i="8" s="1"/>
  <c r="H556" i="8"/>
  <c r="I556" i="8" s="1"/>
  <c r="A557" i="8"/>
  <c r="G557" i="8" s="1"/>
  <c r="B557" i="8"/>
  <c r="H557" i="8"/>
  <c r="A558" i="8"/>
  <c r="G558" i="8" s="1"/>
  <c r="B558" i="8"/>
  <c r="D558" i="8" s="1"/>
  <c r="H558" i="8"/>
  <c r="I558" i="8" s="1"/>
  <c r="A559" i="8"/>
  <c r="G559" i="8" s="1"/>
  <c r="B559" i="8"/>
  <c r="D559" i="8" s="1"/>
  <c r="H559" i="8"/>
  <c r="I559" i="8" s="1"/>
  <c r="A560" i="8"/>
  <c r="G560" i="8" s="1"/>
  <c r="B560" i="8"/>
  <c r="C560" i="8" s="1"/>
  <c r="H560" i="8"/>
  <c r="J560" i="8" s="1"/>
  <c r="A561" i="8"/>
  <c r="G561" i="8" s="1"/>
  <c r="B561" i="8"/>
  <c r="D561" i="8" s="1"/>
  <c r="H561" i="8"/>
  <c r="I561" i="8" s="1"/>
  <c r="A562" i="8"/>
  <c r="G562" i="8" s="1"/>
  <c r="B562" i="8"/>
  <c r="D562" i="8" s="1"/>
  <c r="H562" i="8"/>
  <c r="A563" i="8"/>
  <c r="G563" i="8" s="1"/>
  <c r="B563" i="8"/>
  <c r="D563" i="8" s="1"/>
  <c r="H563" i="8"/>
  <c r="I563" i="8" s="1"/>
  <c r="A564" i="8"/>
  <c r="G564" i="8" s="1"/>
  <c r="B564" i="8"/>
  <c r="D564" i="8" s="1"/>
  <c r="H564" i="8"/>
  <c r="I564" i="8" s="1"/>
  <c r="A565" i="8"/>
  <c r="G565" i="8" s="1"/>
  <c r="B565" i="8"/>
  <c r="D565" i="8" s="1"/>
  <c r="H565" i="8"/>
  <c r="I565" i="8" s="1"/>
  <c r="A566" i="8"/>
  <c r="G566" i="8" s="1"/>
  <c r="B566" i="8"/>
  <c r="C566" i="8" s="1"/>
  <c r="H566" i="8"/>
  <c r="I566" i="8" s="1"/>
  <c r="A567" i="8"/>
  <c r="G567" i="8" s="1"/>
  <c r="B567" i="8"/>
  <c r="H567" i="8"/>
  <c r="I567" i="8" s="1"/>
  <c r="A568" i="8"/>
  <c r="G568" i="8" s="1"/>
  <c r="B568" i="8"/>
  <c r="H568" i="8"/>
  <c r="I568" i="8" s="1"/>
  <c r="A569" i="8"/>
  <c r="G569" i="8" s="1"/>
  <c r="B569" i="8"/>
  <c r="D569" i="8" s="1"/>
  <c r="H569" i="8"/>
  <c r="I569" i="8" s="1"/>
  <c r="A570" i="8"/>
  <c r="G570" i="8" s="1"/>
  <c r="B570" i="8"/>
  <c r="H570" i="8"/>
  <c r="A571" i="8"/>
  <c r="G571" i="8" s="1"/>
  <c r="B571" i="8"/>
  <c r="D571" i="8" s="1"/>
  <c r="H571" i="8"/>
  <c r="A572" i="8"/>
  <c r="G572" i="8" s="1"/>
  <c r="B572" i="8"/>
  <c r="H572" i="8"/>
  <c r="I572" i="8" s="1"/>
  <c r="A573" i="8"/>
  <c r="G573" i="8" s="1"/>
  <c r="B573" i="8"/>
  <c r="D573" i="8" s="1"/>
  <c r="H573" i="8"/>
  <c r="A574" i="8"/>
  <c r="G574" i="8" s="1"/>
  <c r="B574" i="8"/>
  <c r="H574" i="8"/>
  <c r="A575" i="8"/>
  <c r="G575" i="8" s="1"/>
  <c r="B575" i="8"/>
  <c r="H575" i="8"/>
  <c r="I575" i="8" s="1"/>
  <c r="A576" i="8"/>
  <c r="G576" i="8" s="1"/>
  <c r="B576" i="8"/>
  <c r="C576" i="8" s="1"/>
  <c r="H576" i="8"/>
  <c r="J576" i="8" s="1"/>
  <c r="A577" i="8"/>
  <c r="G577" i="8" s="1"/>
  <c r="B577" i="8"/>
  <c r="D577" i="8" s="1"/>
  <c r="H577" i="8"/>
  <c r="I577" i="8" s="1"/>
  <c r="A578" i="8"/>
  <c r="G578" i="8" s="1"/>
  <c r="B578" i="8"/>
  <c r="C578" i="8" s="1"/>
  <c r="H578" i="8"/>
  <c r="I578" i="8" s="1"/>
  <c r="A579" i="8"/>
  <c r="G579" i="8" s="1"/>
  <c r="B579" i="8"/>
  <c r="H579" i="8"/>
  <c r="A580" i="8"/>
  <c r="G580" i="8" s="1"/>
  <c r="B580" i="8"/>
  <c r="D580" i="8" s="1"/>
  <c r="H580" i="8"/>
  <c r="A581" i="8"/>
  <c r="G581" i="8" s="1"/>
  <c r="B581" i="8"/>
  <c r="D581" i="8" s="1"/>
  <c r="H581" i="8"/>
  <c r="A582" i="8"/>
  <c r="G582" i="8" s="1"/>
  <c r="B582" i="8"/>
  <c r="C582" i="8" s="1"/>
  <c r="H582" i="8"/>
  <c r="A583" i="8"/>
  <c r="G583" i="8" s="1"/>
  <c r="B583" i="8"/>
  <c r="D583" i="8" s="1"/>
  <c r="H583" i="8"/>
  <c r="A584" i="8"/>
  <c r="G584" i="8" s="1"/>
  <c r="B584" i="8"/>
  <c r="C584" i="8" s="1"/>
  <c r="H584" i="8"/>
  <c r="A585" i="8"/>
  <c r="G585" i="8" s="1"/>
  <c r="B585" i="8"/>
  <c r="D585" i="8" s="1"/>
  <c r="H585" i="8"/>
  <c r="A586" i="8"/>
  <c r="G586" i="8" s="1"/>
  <c r="B586" i="8"/>
  <c r="C586" i="8" s="1"/>
  <c r="H586" i="8"/>
  <c r="A587" i="8"/>
  <c r="G587" i="8" s="1"/>
  <c r="B587" i="8"/>
  <c r="D587" i="8" s="1"/>
  <c r="H587" i="8"/>
  <c r="A588" i="8"/>
  <c r="G588" i="8" s="1"/>
  <c r="B588" i="8"/>
  <c r="C588" i="8" s="1"/>
  <c r="H588" i="8"/>
  <c r="A589" i="8"/>
  <c r="G589" i="8" s="1"/>
  <c r="B589" i="8"/>
  <c r="D589" i="8" s="1"/>
  <c r="H589" i="8"/>
  <c r="A590" i="8"/>
  <c r="G590" i="8" s="1"/>
  <c r="B590" i="8"/>
  <c r="C590" i="8" s="1"/>
  <c r="H590" i="8"/>
  <c r="A591" i="8"/>
  <c r="G591" i="8" s="1"/>
  <c r="B591" i="8"/>
  <c r="D591" i="8" s="1"/>
  <c r="H591" i="8"/>
  <c r="A592" i="8"/>
  <c r="G592" i="8" s="1"/>
  <c r="B592" i="8"/>
  <c r="C592" i="8" s="1"/>
  <c r="H592" i="8"/>
  <c r="A593" i="8"/>
  <c r="G593" i="8" s="1"/>
  <c r="B593" i="8"/>
  <c r="D593" i="8" s="1"/>
  <c r="H593" i="8"/>
  <c r="A594" i="8"/>
  <c r="G594" i="8" s="1"/>
  <c r="B594" i="8"/>
  <c r="C594" i="8" s="1"/>
  <c r="H594" i="8"/>
  <c r="A595" i="8"/>
  <c r="G595" i="8" s="1"/>
  <c r="B595" i="8"/>
  <c r="D595" i="8" s="1"/>
  <c r="H595" i="8"/>
  <c r="A596" i="8"/>
  <c r="G596" i="8" s="1"/>
  <c r="B596" i="8"/>
  <c r="C596" i="8" s="1"/>
  <c r="H596" i="8"/>
  <c r="A597" i="8"/>
  <c r="G597" i="8" s="1"/>
  <c r="B597" i="8"/>
  <c r="D597" i="8" s="1"/>
  <c r="H597" i="8"/>
  <c r="A598" i="8"/>
  <c r="G598" i="8" s="1"/>
  <c r="B598" i="8"/>
  <c r="C598" i="8" s="1"/>
  <c r="H598" i="8"/>
  <c r="A599" i="8"/>
  <c r="G599" i="8" s="1"/>
  <c r="B599" i="8"/>
  <c r="D599" i="8" s="1"/>
  <c r="H599" i="8"/>
  <c r="A600" i="8"/>
  <c r="G600" i="8" s="1"/>
  <c r="B600" i="8"/>
  <c r="C600" i="8" s="1"/>
  <c r="H600" i="8"/>
  <c r="A601" i="8"/>
  <c r="G601" i="8" s="1"/>
  <c r="B601" i="8"/>
  <c r="D601" i="8" s="1"/>
  <c r="H601" i="8"/>
  <c r="A602" i="8"/>
  <c r="G602" i="8" s="1"/>
  <c r="B602" i="8"/>
  <c r="C602" i="8" s="1"/>
  <c r="H602" i="8"/>
  <c r="A603" i="8"/>
  <c r="G603" i="8" s="1"/>
  <c r="B603" i="8"/>
  <c r="D603" i="8" s="1"/>
  <c r="H603" i="8"/>
  <c r="A604" i="8"/>
  <c r="G604" i="8" s="1"/>
  <c r="B604" i="8"/>
  <c r="C604" i="8" s="1"/>
  <c r="H604" i="8"/>
  <c r="A605" i="8"/>
  <c r="G605" i="8" s="1"/>
  <c r="B605" i="8"/>
  <c r="D605" i="8" s="1"/>
  <c r="H605" i="8"/>
  <c r="A606" i="8"/>
  <c r="G606" i="8" s="1"/>
  <c r="B606" i="8"/>
  <c r="C606" i="8" s="1"/>
  <c r="H606" i="8"/>
  <c r="A607" i="8"/>
  <c r="G607" i="8" s="1"/>
  <c r="B607" i="8"/>
  <c r="D607" i="8" s="1"/>
  <c r="H607" i="8"/>
  <c r="A608" i="8"/>
  <c r="G608" i="8" s="1"/>
  <c r="B608" i="8"/>
  <c r="C608" i="8" s="1"/>
  <c r="H608" i="8"/>
  <c r="A609" i="8"/>
  <c r="G609" i="8" s="1"/>
  <c r="B609" i="8"/>
  <c r="D609" i="8" s="1"/>
  <c r="H609" i="8"/>
  <c r="A610" i="8"/>
  <c r="G610" i="8" s="1"/>
  <c r="B610" i="8"/>
  <c r="C610" i="8" s="1"/>
  <c r="H610" i="8"/>
  <c r="A611" i="8"/>
  <c r="G611" i="8" s="1"/>
  <c r="B611" i="8"/>
  <c r="D611" i="8" s="1"/>
  <c r="H611" i="8"/>
  <c r="A612" i="8"/>
  <c r="G612" i="8" s="1"/>
  <c r="B612" i="8"/>
  <c r="C612" i="8" s="1"/>
  <c r="H612" i="8"/>
  <c r="A613" i="8"/>
  <c r="G613" i="8" s="1"/>
  <c r="B613" i="8"/>
  <c r="D613" i="8" s="1"/>
  <c r="H613" i="8"/>
  <c r="A614" i="8"/>
  <c r="G614" i="8" s="1"/>
  <c r="B614" i="8"/>
  <c r="C614" i="8" s="1"/>
  <c r="H614" i="8"/>
  <c r="A615" i="8"/>
  <c r="G615" i="8" s="1"/>
  <c r="B615" i="8"/>
  <c r="H615" i="8"/>
  <c r="A616" i="8"/>
  <c r="G616" i="8" s="1"/>
  <c r="B616" i="8"/>
  <c r="C616" i="8" s="1"/>
  <c r="H616" i="8"/>
  <c r="A617" i="8"/>
  <c r="G617" i="8" s="1"/>
  <c r="B617" i="8"/>
  <c r="H617" i="8"/>
  <c r="A618" i="8"/>
  <c r="G618" i="8" s="1"/>
  <c r="B618" i="8"/>
  <c r="C618" i="8" s="1"/>
  <c r="H618" i="8"/>
  <c r="A619" i="8"/>
  <c r="G619" i="8" s="1"/>
  <c r="B619" i="8"/>
  <c r="H619" i="8"/>
  <c r="A620" i="8"/>
  <c r="G620" i="8" s="1"/>
  <c r="B620" i="8"/>
  <c r="C620" i="8" s="1"/>
  <c r="H620" i="8"/>
  <c r="A621" i="8"/>
  <c r="G621" i="8" s="1"/>
  <c r="B621" i="8"/>
  <c r="H621" i="8"/>
  <c r="A622" i="8"/>
  <c r="G622" i="8" s="1"/>
  <c r="B622" i="8"/>
  <c r="C622" i="8" s="1"/>
  <c r="H622" i="8"/>
  <c r="A623" i="8"/>
  <c r="G623" i="8" s="1"/>
  <c r="B623" i="8"/>
  <c r="H623" i="8"/>
  <c r="A624" i="8"/>
  <c r="G624" i="8" s="1"/>
  <c r="B624" i="8"/>
  <c r="C624" i="8" s="1"/>
  <c r="H624" i="8"/>
  <c r="A625" i="8"/>
  <c r="G625" i="8" s="1"/>
  <c r="B625" i="8"/>
  <c r="H625" i="8"/>
  <c r="A626" i="8"/>
  <c r="G626" i="8" s="1"/>
  <c r="B626" i="8"/>
  <c r="C626" i="8" s="1"/>
  <c r="H626" i="8"/>
  <c r="A627" i="8"/>
  <c r="G627" i="8" s="1"/>
  <c r="B627" i="8"/>
  <c r="H627" i="8"/>
  <c r="A628" i="8"/>
  <c r="G628" i="8" s="1"/>
  <c r="B628" i="8"/>
  <c r="C628" i="8" s="1"/>
  <c r="H628" i="8"/>
  <c r="A629" i="8"/>
  <c r="G629" i="8" s="1"/>
  <c r="B629" i="8"/>
  <c r="H629" i="8"/>
  <c r="A630" i="8"/>
  <c r="G630" i="8" s="1"/>
  <c r="B630" i="8"/>
  <c r="C630" i="8" s="1"/>
  <c r="H630" i="8"/>
  <c r="A631" i="8"/>
  <c r="G631" i="8" s="1"/>
  <c r="B631" i="8"/>
  <c r="H631" i="8"/>
  <c r="A632" i="8"/>
  <c r="G632" i="8" s="1"/>
  <c r="B632" i="8"/>
  <c r="C632" i="8" s="1"/>
  <c r="H632" i="8"/>
  <c r="A633" i="8"/>
  <c r="G633" i="8" s="1"/>
  <c r="B633" i="8"/>
  <c r="H633" i="8"/>
  <c r="A634" i="8"/>
  <c r="G634" i="8" s="1"/>
  <c r="B634" i="8"/>
  <c r="C634" i="8" s="1"/>
  <c r="H634" i="8"/>
  <c r="A635" i="8"/>
  <c r="G635" i="8" s="1"/>
  <c r="B635" i="8"/>
  <c r="H635" i="8"/>
  <c r="A636" i="8"/>
  <c r="G636" i="8" s="1"/>
  <c r="B636" i="8"/>
  <c r="C636" i="8" s="1"/>
  <c r="H636" i="8"/>
  <c r="A637" i="8"/>
  <c r="G637" i="8" s="1"/>
  <c r="B637" i="8"/>
  <c r="D637" i="8" s="1"/>
  <c r="H637" i="8"/>
  <c r="A638" i="8"/>
  <c r="G638" i="8" s="1"/>
  <c r="B638" i="8"/>
  <c r="H638" i="8"/>
  <c r="J638" i="8" s="1"/>
  <c r="A639" i="8"/>
  <c r="G639" i="8" s="1"/>
  <c r="B639" i="8"/>
  <c r="D639" i="8" s="1"/>
  <c r="H639" i="8"/>
  <c r="A640" i="8"/>
  <c r="G640" i="8" s="1"/>
  <c r="B640" i="8"/>
  <c r="H640" i="8"/>
  <c r="I640" i="8" s="1"/>
  <c r="A641" i="8"/>
  <c r="G641" i="8" s="1"/>
  <c r="B641" i="8"/>
  <c r="D641" i="8" s="1"/>
  <c r="H641" i="8"/>
  <c r="J641" i="8" s="1"/>
  <c r="A642" i="8"/>
  <c r="G642" i="8" s="1"/>
  <c r="B642" i="8"/>
  <c r="D642" i="8" s="1"/>
  <c r="H642" i="8"/>
  <c r="I642" i="8" s="1"/>
  <c r="A643" i="8"/>
  <c r="G643" i="8" s="1"/>
  <c r="B643" i="8"/>
  <c r="D643" i="8" s="1"/>
  <c r="H643" i="8"/>
  <c r="A644" i="8"/>
  <c r="G644" i="8" s="1"/>
  <c r="B644" i="8"/>
  <c r="C644" i="8" s="1"/>
  <c r="H644" i="8"/>
  <c r="A645" i="8"/>
  <c r="G645" i="8" s="1"/>
  <c r="B645" i="8"/>
  <c r="H645" i="8"/>
  <c r="I645" i="8" s="1"/>
  <c r="A646" i="8"/>
  <c r="G646" i="8" s="1"/>
  <c r="B646" i="8"/>
  <c r="C646" i="8" s="1"/>
  <c r="H646" i="8"/>
  <c r="J646" i="8" s="1"/>
  <c r="A647" i="8"/>
  <c r="G647" i="8" s="1"/>
  <c r="B647" i="8"/>
  <c r="H647" i="8"/>
  <c r="A648" i="8"/>
  <c r="G648" i="8" s="1"/>
  <c r="B648" i="8"/>
  <c r="D648" i="8" s="1"/>
  <c r="H648" i="8"/>
  <c r="I648" i="8" s="1"/>
  <c r="A649" i="8"/>
  <c r="G649" i="8" s="1"/>
  <c r="B649" i="8"/>
  <c r="H649" i="8"/>
  <c r="I649" i="8" s="1"/>
  <c r="A650" i="8"/>
  <c r="G650" i="8" s="1"/>
  <c r="B650" i="8"/>
  <c r="H650" i="8"/>
  <c r="A651" i="8"/>
  <c r="G651" i="8" s="1"/>
  <c r="B651" i="8"/>
  <c r="H651" i="8"/>
  <c r="J651" i="8" s="1"/>
  <c r="A652" i="8"/>
  <c r="G652" i="8" s="1"/>
  <c r="B652" i="8"/>
  <c r="C652" i="8" s="1"/>
  <c r="H652" i="8"/>
  <c r="I652" i="8" s="1"/>
  <c r="A653" i="8"/>
  <c r="G653" i="8" s="1"/>
  <c r="B653" i="8"/>
  <c r="H653" i="8"/>
  <c r="A654" i="8"/>
  <c r="G654" i="8" s="1"/>
  <c r="B654" i="8"/>
  <c r="C654" i="8" s="1"/>
  <c r="H654" i="8"/>
  <c r="J654" i="8" s="1"/>
  <c r="A655" i="8"/>
  <c r="G655" i="8" s="1"/>
  <c r="B655" i="8"/>
  <c r="H655" i="8"/>
  <c r="J655" i="8" s="1"/>
  <c r="A656" i="8"/>
  <c r="G656" i="8" s="1"/>
  <c r="B656" i="8"/>
  <c r="D656" i="8" s="1"/>
  <c r="H656" i="8"/>
  <c r="A657" i="8"/>
  <c r="G657" i="8" s="1"/>
  <c r="B657" i="8"/>
  <c r="H657" i="8"/>
  <c r="I657" i="8" s="1"/>
  <c r="A658" i="8"/>
  <c r="G658" i="8" s="1"/>
  <c r="B658" i="8"/>
  <c r="C658" i="8" s="1"/>
  <c r="H658" i="8"/>
  <c r="J658" i="8" s="1"/>
  <c r="A659" i="8"/>
  <c r="G659" i="8" s="1"/>
  <c r="B659" i="8"/>
  <c r="H659" i="8"/>
  <c r="J659" i="8" s="1"/>
  <c r="A660" i="8"/>
  <c r="G660" i="8" s="1"/>
  <c r="B660" i="8"/>
  <c r="H660" i="8"/>
  <c r="A661" i="8"/>
  <c r="G661" i="8" s="1"/>
  <c r="B661" i="8"/>
  <c r="C661" i="8" s="1"/>
  <c r="H661" i="8"/>
  <c r="I661" i="8" s="1"/>
  <c r="A662" i="8"/>
  <c r="G662" i="8" s="1"/>
  <c r="B662" i="8"/>
  <c r="H662" i="8"/>
  <c r="A663" i="8"/>
  <c r="G663" i="8" s="1"/>
  <c r="B663" i="8"/>
  <c r="D663" i="8" s="1"/>
  <c r="H663" i="8"/>
  <c r="A664" i="8"/>
  <c r="G664" i="8" s="1"/>
  <c r="B664" i="8"/>
  <c r="H664" i="8"/>
  <c r="J664" i="8" s="1"/>
  <c r="A665" i="8"/>
  <c r="G665" i="8" s="1"/>
  <c r="B665" i="8"/>
  <c r="C665" i="8" s="1"/>
  <c r="H665" i="8"/>
  <c r="I665" i="8" s="1"/>
  <c r="A666" i="8"/>
  <c r="G666" i="8" s="1"/>
  <c r="B666" i="8"/>
  <c r="C666" i="8" s="1"/>
  <c r="H666" i="8"/>
  <c r="A667" i="8"/>
  <c r="G667" i="8" s="1"/>
  <c r="B667" i="8"/>
  <c r="D667" i="8" s="1"/>
  <c r="H667" i="8"/>
  <c r="J667" i="8" s="1"/>
  <c r="A668" i="8"/>
  <c r="G668" i="8" s="1"/>
  <c r="B668" i="8"/>
  <c r="C668" i="8" s="1"/>
  <c r="H668" i="8"/>
  <c r="J668" i="8" s="1"/>
  <c r="A669" i="8"/>
  <c r="G669" i="8" s="1"/>
  <c r="B669" i="8"/>
  <c r="C669" i="8" s="1"/>
  <c r="H669" i="8"/>
  <c r="A670" i="8"/>
  <c r="G670" i="8" s="1"/>
  <c r="B670" i="8"/>
  <c r="C670" i="8" s="1"/>
  <c r="H670" i="8"/>
  <c r="J670" i="8" s="1"/>
  <c r="A671" i="8"/>
  <c r="G671" i="8" s="1"/>
  <c r="B671" i="8"/>
  <c r="H671" i="8"/>
  <c r="A672" i="8"/>
  <c r="G672" i="8" s="1"/>
  <c r="B672" i="8"/>
  <c r="H672" i="8"/>
  <c r="I672" i="8" s="1"/>
  <c r="A673" i="8"/>
  <c r="G673" i="8" s="1"/>
  <c r="B673" i="8"/>
  <c r="C673" i="8" s="1"/>
  <c r="H673" i="8"/>
  <c r="I673" i="8" s="1"/>
  <c r="A674" i="8"/>
  <c r="G674" i="8" s="1"/>
  <c r="B674" i="8"/>
  <c r="H674" i="8"/>
  <c r="A675" i="8"/>
  <c r="G675" i="8" s="1"/>
  <c r="B675" i="8"/>
  <c r="D675" i="8" s="1"/>
  <c r="H675" i="8"/>
  <c r="A676" i="8"/>
  <c r="G676" i="8" s="1"/>
  <c r="B676" i="8"/>
  <c r="H676" i="8"/>
  <c r="J676" i="8" s="1"/>
  <c r="A677" i="8"/>
  <c r="G677" i="8" s="1"/>
  <c r="B677" i="8"/>
  <c r="H677" i="8"/>
  <c r="A678" i="8"/>
  <c r="G678" i="8" s="1"/>
  <c r="B678" i="8"/>
  <c r="H678" i="8"/>
  <c r="A679" i="8"/>
  <c r="G679" i="8" s="1"/>
  <c r="B679" i="8"/>
  <c r="H679" i="8"/>
  <c r="A680" i="8"/>
  <c r="G680" i="8" s="1"/>
  <c r="B680" i="8"/>
  <c r="D680" i="8" s="1"/>
  <c r="H680" i="8"/>
  <c r="J680" i="8" s="1"/>
  <c r="A681" i="8"/>
  <c r="G681" i="8" s="1"/>
  <c r="B681" i="8"/>
  <c r="C681" i="8" s="1"/>
  <c r="H681" i="8"/>
  <c r="A682" i="8"/>
  <c r="G682" i="8" s="1"/>
  <c r="B682" i="8"/>
  <c r="C682" i="8" s="1"/>
  <c r="H682" i="8"/>
  <c r="A683" i="8"/>
  <c r="G683" i="8" s="1"/>
  <c r="B683" i="8"/>
  <c r="D683" i="8" s="1"/>
  <c r="H683" i="8"/>
  <c r="J683" i="8" s="1"/>
  <c r="A684" i="8"/>
  <c r="G684" i="8" s="1"/>
  <c r="B684" i="8"/>
  <c r="H684" i="8"/>
  <c r="J684" i="8" s="1"/>
  <c r="A685" i="8"/>
  <c r="G685" i="8" s="1"/>
  <c r="B685" i="8"/>
  <c r="D685" i="8" s="1"/>
  <c r="H685" i="8"/>
  <c r="A686" i="8"/>
  <c r="G686" i="8" s="1"/>
  <c r="B686" i="8"/>
  <c r="H686" i="8"/>
  <c r="I686" i="8" s="1"/>
  <c r="A687" i="8"/>
  <c r="G687" i="8" s="1"/>
  <c r="B687" i="8"/>
  <c r="H687" i="8"/>
  <c r="A688" i="8"/>
  <c r="G688" i="8" s="1"/>
  <c r="B688" i="8"/>
  <c r="H688" i="8"/>
  <c r="A689" i="8"/>
  <c r="G689" i="8" s="1"/>
  <c r="B689" i="8"/>
  <c r="D689" i="8" s="1"/>
  <c r="H689" i="8"/>
  <c r="A690" i="8"/>
  <c r="G690" i="8" s="1"/>
  <c r="B690" i="8"/>
  <c r="H690" i="8"/>
  <c r="A691" i="8"/>
  <c r="G691" i="8" s="1"/>
  <c r="B691" i="8"/>
  <c r="D691" i="8" s="1"/>
  <c r="H691" i="8"/>
  <c r="I691" i="8" s="1"/>
  <c r="A692" i="8"/>
  <c r="G692" i="8" s="1"/>
  <c r="B692" i="8"/>
  <c r="C692" i="8" s="1"/>
  <c r="H692" i="8"/>
  <c r="A693" i="8"/>
  <c r="G693" i="8" s="1"/>
  <c r="B693" i="8"/>
  <c r="H693" i="8"/>
  <c r="A694" i="8"/>
  <c r="G694" i="8" s="1"/>
  <c r="B694" i="8"/>
  <c r="H694" i="8"/>
  <c r="A695" i="8"/>
  <c r="G695" i="8" s="1"/>
  <c r="B695" i="8"/>
  <c r="D695" i="8" s="1"/>
  <c r="H695" i="8"/>
  <c r="A696" i="8"/>
  <c r="G696" i="8" s="1"/>
  <c r="B696" i="8"/>
  <c r="C696" i="8" s="1"/>
  <c r="H696" i="8"/>
  <c r="A697" i="8"/>
  <c r="G697" i="8" s="1"/>
  <c r="B697" i="8"/>
  <c r="D697" i="8" s="1"/>
  <c r="H697" i="8"/>
  <c r="A698" i="8"/>
  <c r="G698" i="8" s="1"/>
  <c r="B698" i="8"/>
  <c r="C698" i="8" s="1"/>
  <c r="H698" i="8"/>
  <c r="A699" i="8"/>
  <c r="G699" i="8" s="1"/>
  <c r="B699" i="8"/>
  <c r="H699" i="8"/>
  <c r="J699" i="8" s="1"/>
  <c r="A700" i="8"/>
  <c r="G700" i="8" s="1"/>
  <c r="B700" i="8"/>
  <c r="D700" i="8" s="1"/>
  <c r="H700" i="8"/>
  <c r="J700" i="8" s="1"/>
  <c r="A701" i="8"/>
  <c r="G701" i="8" s="1"/>
  <c r="B701" i="8"/>
  <c r="D701" i="8" s="1"/>
  <c r="H701" i="8"/>
  <c r="A702" i="8"/>
  <c r="G702" i="8" s="1"/>
  <c r="B702" i="8"/>
  <c r="H702" i="8"/>
  <c r="I702" i="8" s="1"/>
  <c r="A703" i="8"/>
  <c r="G703" i="8" s="1"/>
  <c r="B703" i="8"/>
  <c r="D703" i="8" s="1"/>
  <c r="H703" i="8"/>
  <c r="I703" i="8" s="1"/>
  <c r="A704" i="8"/>
  <c r="G704" i="8" s="1"/>
  <c r="B704" i="8"/>
  <c r="H704" i="8"/>
  <c r="A705" i="8"/>
  <c r="G705" i="8" s="1"/>
  <c r="B705" i="8"/>
  <c r="D705" i="8" s="1"/>
  <c r="H705" i="8"/>
  <c r="A706" i="8"/>
  <c r="G706" i="8" s="1"/>
  <c r="B706" i="8"/>
  <c r="H706" i="8"/>
  <c r="A707" i="8"/>
  <c r="G707" i="8" s="1"/>
  <c r="B707" i="8"/>
  <c r="H707" i="8"/>
  <c r="A708" i="8"/>
  <c r="G708" i="8" s="1"/>
  <c r="B708" i="8"/>
  <c r="H708" i="8"/>
  <c r="A709" i="8"/>
  <c r="G709" i="8" s="1"/>
  <c r="B709" i="8"/>
  <c r="D709" i="8" s="1"/>
  <c r="H709" i="8"/>
  <c r="A710" i="8"/>
  <c r="G710" i="8" s="1"/>
  <c r="B710" i="8"/>
  <c r="H710" i="8"/>
  <c r="A711" i="8"/>
  <c r="G711" i="8" s="1"/>
  <c r="B711" i="8"/>
  <c r="D711" i="8" s="1"/>
  <c r="H711" i="8"/>
  <c r="A712" i="8"/>
  <c r="G712" i="8" s="1"/>
  <c r="B712" i="8"/>
  <c r="H712" i="8"/>
  <c r="A713" i="8"/>
  <c r="G713" i="8" s="1"/>
  <c r="B713" i="8"/>
  <c r="D713" i="8" s="1"/>
  <c r="H713" i="8"/>
  <c r="A714" i="8"/>
  <c r="G714" i="8" s="1"/>
  <c r="B714" i="8"/>
  <c r="H714" i="8"/>
  <c r="A715" i="8"/>
  <c r="G715" i="8" s="1"/>
  <c r="B715" i="8"/>
  <c r="H715" i="8"/>
  <c r="I715" i="8" s="1"/>
  <c r="A716" i="8"/>
  <c r="G716" i="8" s="1"/>
  <c r="B716" i="8"/>
  <c r="H716" i="8"/>
  <c r="A717" i="8"/>
  <c r="G717" i="8" s="1"/>
  <c r="B717" i="8"/>
  <c r="H717" i="8"/>
  <c r="A718" i="8"/>
  <c r="G718" i="8" s="1"/>
  <c r="B718" i="8"/>
  <c r="H718" i="8"/>
  <c r="I718" i="8" s="1"/>
  <c r="A719" i="8"/>
  <c r="G719" i="8" s="1"/>
  <c r="B719" i="8"/>
  <c r="C719" i="8" s="1"/>
  <c r="H719" i="8"/>
  <c r="J719" i="8" s="1"/>
  <c r="A720" i="8"/>
  <c r="G720" i="8" s="1"/>
  <c r="B720" i="8"/>
  <c r="C720" i="8" s="1"/>
  <c r="H720" i="8"/>
  <c r="J720" i="8" s="1"/>
  <c r="A721" i="8"/>
  <c r="G721" i="8" s="1"/>
  <c r="B721" i="8"/>
  <c r="C721" i="8" s="1"/>
  <c r="H721" i="8"/>
  <c r="J721" i="8" s="1"/>
  <c r="A722" i="8"/>
  <c r="G722" i="8" s="1"/>
  <c r="B722" i="8"/>
  <c r="H722" i="8"/>
  <c r="I722" i="8" s="1"/>
  <c r="A723" i="8"/>
  <c r="G723" i="8" s="1"/>
  <c r="B723" i="8"/>
  <c r="D723" i="8" s="1"/>
  <c r="H723" i="8"/>
  <c r="A724" i="8"/>
  <c r="G724" i="8" s="1"/>
  <c r="B724" i="8"/>
  <c r="H724" i="8"/>
  <c r="I724" i="8" s="1"/>
  <c r="A725" i="8"/>
  <c r="G725" i="8" s="1"/>
  <c r="B725" i="8"/>
  <c r="C725" i="8" s="1"/>
  <c r="H725" i="8"/>
  <c r="A726" i="8"/>
  <c r="G726" i="8" s="1"/>
  <c r="B726" i="8"/>
  <c r="H726" i="8"/>
  <c r="J726" i="8" s="1"/>
  <c r="A727" i="8"/>
  <c r="G727" i="8" s="1"/>
  <c r="B727" i="8"/>
  <c r="C727" i="8" s="1"/>
  <c r="H727" i="8"/>
  <c r="J727" i="8" s="1"/>
  <c r="A728" i="8"/>
  <c r="G728" i="8" s="1"/>
  <c r="B728" i="8"/>
  <c r="C728" i="8" s="1"/>
  <c r="H728" i="8"/>
  <c r="A729" i="8"/>
  <c r="G729" i="8" s="1"/>
  <c r="B729" i="8"/>
  <c r="C729" i="8" s="1"/>
  <c r="H729" i="8"/>
  <c r="J729" i="8" s="1"/>
  <c r="A730" i="8"/>
  <c r="G730" i="8" s="1"/>
  <c r="B730" i="8"/>
  <c r="H730" i="8"/>
  <c r="A731" i="8"/>
  <c r="G731" i="8" s="1"/>
  <c r="B731" i="8"/>
  <c r="D731" i="8" s="1"/>
  <c r="H731" i="8"/>
  <c r="J731" i="8" s="1"/>
  <c r="A732" i="8"/>
  <c r="G732" i="8" s="1"/>
  <c r="B732" i="8"/>
  <c r="C732" i="8" s="1"/>
  <c r="H732" i="8"/>
  <c r="I732" i="8" s="1"/>
  <c r="A733" i="8"/>
  <c r="G733" i="8" s="1"/>
  <c r="B733" i="8"/>
  <c r="C733" i="8" s="1"/>
  <c r="H733" i="8"/>
  <c r="A734" i="8"/>
  <c r="G734" i="8" s="1"/>
  <c r="B734" i="8"/>
  <c r="C734" i="8" s="1"/>
  <c r="H734" i="8"/>
  <c r="I734" i="8" s="1"/>
  <c r="A735" i="8"/>
  <c r="G735" i="8" s="1"/>
  <c r="B735" i="8"/>
  <c r="H735" i="8"/>
  <c r="J735" i="8" s="1"/>
  <c r="A736" i="8"/>
  <c r="G736" i="8" s="1"/>
  <c r="B736" i="8"/>
  <c r="H736" i="8"/>
  <c r="I736" i="8" s="1"/>
  <c r="A737" i="8"/>
  <c r="G737" i="8" s="1"/>
  <c r="B737" i="8"/>
  <c r="C737" i="8" s="1"/>
  <c r="H737" i="8"/>
  <c r="J737" i="8" s="1"/>
  <c r="A738" i="8"/>
  <c r="G738" i="8" s="1"/>
  <c r="B738" i="8"/>
  <c r="H738" i="8"/>
  <c r="J738" i="8" s="1"/>
  <c r="A739" i="8"/>
  <c r="G739" i="8" s="1"/>
  <c r="B739" i="8"/>
  <c r="D739" i="8" s="1"/>
  <c r="H739" i="8"/>
  <c r="J739" i="8" s="1"/>
  <c r="A740" i="8"/>
  <c r="G740" i="8" s="1"/>
  <c r="B740" i="8"/>
  <c r="C740" i="8" s="1"/>
  <c r="H740" i="8"/>
  <c r="I740" i="8" s="1"/>
  <c r="A741" i="8"/>
  <c r="G741" i="8" s="1"/>
  <c r="B741" i="8"/>
  <c r="H741" i="8"/>
  <c r="J741" i="8" s="1"/>
  <c r="A742" i="8"/>
  <c r="G742" i="8" s="1"/>
  <c r="B742" i="8"/>
  <c r="H742" i="8"/>
  <c r="J742" i="8" s="1"/>
  <c r="A743" i="8"/>
  <c r="G743" i="8" s="1"/>
  <c r="B743" i="8"/>
  <c r="H743" i="8"/>
  <c r="J743" i="8" s="1"/>
  <c r="A744" i="8"/>
  <c r="G744" i="8" s="1"/>
  <c r="B744" i="8"/>
  <c r="C744" i="8" s="1"/>
  <c r="H744" i="8"/>
  <c r="J744" i="8" s="1"/>
  <c r="A745" i="8"/>
  <c r="G745" i="8" s="1"/>
  <c r="B745" i="8"/>
  <c r="C745" i="8" s="1"/>
  <c r="H745" i="8"/>
  <c r="A746" i="8"/>
  <c r="G746" i="8" s="1"/>
  <c r="B746" i="8"/>
  <c r="C746" i="8" s="1"/>
  <c r="H746" i="8"/>
  <c r="I746" i="8" s="1"/>
  <c r="A747" i="8"/>
  <c r="G747" i="8" s="1"/>
  <c r="B747" i="8"/>
  <c r="C747" i="8" s="1"/>
  <c r="H747" i="8"/>
  <c r="A748" i="8"/>
  <c r="G748" i="8" s="1"/>
  <c r="B748" i="8"/>
  <c r="C748" i="8" s="1"/>
  <c r="H748" i="8"/>
  <c r="I748" i="8" s="1"/>
  <c r="A749" i="8"/>
  <c r="G749" i="8" s="1"/>
  <c r="B749" i="8"/>
  <c r="C749" i="8" s="1"/>
  <c r="H749" i="8"/>
  <c r="A750" i="8"/>
  <c r="G750" i="8" s="1"/>
  <c r="B750" i="8"/>
  <c r="C750" i="8" s="1"/>
  <c r="H750" i="8"/>
  <c r="I750" i="8" s="1"/>
  <c r="A751" i="8"/>
  <c r="G751" i="8" s="1"/>
  <c r="B751" i="8"/>
  <c r="C751" i="8" s="1"/>
  <c r="H751" i="8"/>
  <c r="J751" i="8" s="1"/>
  <c r="A752" i="8"/>
  <c r="G752" i="8" s="1"/>
  <c r="B752" i="8"/>
  <c r="C752" i="8" s="1"/>
  <c r="H752" i="8"/>
  <c r="I752" i="8" s="1"/>
  <c r="A753" i="8"/>
  <c r="G753" i="8" s="1"/>
  <c r="B753" i="8"/>
  <c r="C753" i="8" s="1"/>
  <c r="H753" i="8"/>
  <c r="A754" i="8"/>
  <c r="G754" i="8" s="1"/>
  <c r="B754" i="8"/>
  <c r="H754" i="8"/>
  <c r="I754" i="8" s="1"/>
  <c r="A755" i="8"/>
  <c r="G755" i="8" s="1"/>
  <c r="B755" i="8"/>
  <c r="D755" i="8" s="1"/>
  <c r="H755" i="8"/>
  <c r="J755" i="8" s="1"/>
  <c r="A756" i="8"/>
  <c r="G756" i="8" s="1"/>
  <c r="B756" i="8"/>
  <c r="C756" i="8" s="1"/>
  <c r="H756" i="8"/>
  <c r="I756" i="8" s="1"/>
  <c r="A757" i="8"/>
  <c r="G757" i="8" s="1"/>
  <c r="B757" i="8"/>
  <c r="H757" i="8"/>
  <c r="J757" i="8" s="1"/>
  <c r="A758" i="8"/>
  <c r="G758" i="8" s="1"/>
  <c r="B758" i="8"/>
  <c r="H758" i="8"/>
  <c r="J758" i="8" s="1"/>
  <c r="A759" i="8"/>
  <c r="G759" i="8" s="1"/>
  <c r="B759" i="8"/>
  <c r="D759" i="8" s="1"/>
  <c r="H759" i="8"/>
  <c r="A760" i="8"/>
  <c r="G760" i="8" s="1"/>
  <c r="B760" i="8"/>
  <c r="C760" i="8" s="1"/>
  <c r="H760" i="8"/>
  <c r="I760" i="8" s="1"/>
  <c r="A761" i="8"/>
  <c r="G761" i="8" s="1"/>
  <c r="B761" i="8"/>
  <c r="C761" i="8" s="1"/>
  <c r="H761" i="8"/>
  <c r="I761" i="8" s="1"/>
  <c r="A762" i="8"/>
  <c r="G762" i="8" s="1"/>
  <c r="B762" i="8"/>
  <c r="H762" i="8"/>
  <c r="J762" i="8" s="1"/>
  <c r="A763" i="8"/>
  <c r="G763" i="8" s="1"/>
  <c r="B763" i="8"/>
  <c r="C763" i="8" s="1"/>
  <c r="H763" i="8"/>
  <c r="J763" i="8" s="1"/>
  <c r="A764" i="8"/>
  <c r="G764" i="8" s="1"/>
  <c r="B764" i="8"/>
  <c r="C764" i="8" s="1"/>
  <c r="H764" i="8"/>
  <c r="A765" i="8"/>
  <c r="G765" i="8" s="1"/>
  <c r="B765" i="8"/>
  <c r="C765" i="8" s="1"/>
  <c r="H765" i="8"/>
  <c r="I765" i="8" s="1"/>
  <c r="A766" i="8"/>
  <c r="G766" i="8" s="1"/>
  <c r="B766" i="8"/>
  <c r="H766" i="8"/>
  <c r="I766" i="8" s="1"/>
  <c r="A767" i="8"/>
  <c r="G767" i="8" s="1"/>
  <c r="B767" i="8"/>
  <c r="C767" i="8" s="1"/>
  <c r="H767" i="8"/>
  <c r="J767" i="8" s="1"/>
  <c r="A768" i="8"/>
  <c r="G768" i="8" s="1"/>
  <c r="B768" i="8"/>
  <c r="C768" i="8" s="1"/>
  <c r="H768" i="8"/>
  <c r="I768" i="8" s="1"/>
  <c r="A769" i="8"/>
  <c r="G769" i="8" s="1"/>
  <c r="B769" i="8"/>
  <c r="C769" i="8" s="1"/>
  <c r="H769" i="8"/>
  <c r="I769" i="8" s="1"/>
  <c r="A770" i="8"/>
  <c r="G770" i="8" s="1"/>
  <c r="B770" i="8"/>
  <c r="H770" i="8"/>
  <c r="I770" i="8" s="1"/>
  <c r="A771" i="8"/>
  <c r="G771" i="8" s="1"/>
  <c r="B771" i="8"/>
  <c r="C771" i="8" s="1"/>
  <c r="H771" i="8"/>
  <c r="A772" i="8"/>
  <c r="G772" i="8" s="1"/>
  <c r="B772" i="8"/>
  <c r="H772" i="8"/>
  <c r="I772" i="8" s="1"/>
  <c r="A773" i="8"/>
  <c r="G773" i="8" s="1"/>
  <c r="B773" i="8"/>
  <c r="C773" i="8" s="1"/>
  <c r="H773" i="8"/>
  <c r="I773" i="8" s="1"/>
  <c r="A774" i="8"/>
  <c r="G774" i="8" s="1"/>
  <c r="B774" i="8"/>
  <c r="H774" i="8"/>
  <c r="I774" i="8" s="1"/>
  <c r="A775" i="8"/>
  <c r="G775" i="8" s="1"/>
  <c r="B775" i="8"/>
  <c r="D775" i="8" s="1"/>
  <c r="H775" i="8"/>
  <c r="J775" i="8" s="1"/>
  <c r="A776" i="8"/>
  <c r="G776" i="8" s="1"/>
  <c r="B776" i="8"/>
  <c r="C776" i="8" s="1"/>
  <c r="H776" i="8"/>
  <c r="I776" i="8" s="1"/>
  <c r="A777" i="8"/>
  <c r="G777" i="8" s="1"/>
  <c r="B777" i="8"/>
  <c r="C777" i="8" s="1"/>
  <c r="H777" i="8"/>
  <c r="I777" i="8" s="1"/>
  <c r="A778" i="8"/>
  <c r="G778" i="8" s="1"/>
  <c r="B778" i="8"/>
  <c r="H778" i="8"/>
  <c r="I778" i="8" s="1"/>
  <c r="A779" i="8"/>
  <c r="G779" i="8" s="1"/>
  <c r="B779" i="8"/>
  <c r="C779" i="8" s="1"/>
  <c r="H779" i="8"/>
  <c r="J779" i="8" s="1"/>
  <c r="A780" i="8"/>
  <c r="G780" i="8" s="1"/>
  <c r="B780" i="8"/>
  <c r="C780" i="8" s="1"/>
  <c r="H780" i="8"/>
  <c r="I780" i="8" s="1"/>
  <c r="A781" i="8"/>
  <c r="G781" i="8" s="1"/>
  <c r="B781" i="8"/>
  <c r="C781" i="8" s="1"/>
  <c r="H781" i="8"/>
  <c r="I781" i="8" s="1"/>
  <c r="A782" i="8"/>
  <c r="G782" i="8" s="1"/>
  <c r="B782" i="8"/>
  <c r="H782" i="8"/>
  <c r="I782" i="8" s="1"/>
  <c r="A783" i="8"/>
  <c r="G783" i="8" s="1"/>
  <c r="B783" i="8"/>
  <c r="D783" i="8" s="1"/>
  <c r="H783" i="8"/>
  <c r="J783" i="8" s="1"/>
  <c r="A784" i="8"/>
  <c r="G784" i="8" s="1"/>
  <c r="B784" i="8"/>
  <c r="C784" i="8" s="1"/>
  <c r="H784" i="8"/>
  <c r="I784" i="8" s="1"/>
  <c r="A785" i="8"/>
  <c r="G785" i="8" s="1"/>
  <c r="B785" i="8"/>
  <c r="C785" i="8" s="1"/>
  <c r="H785" i="8"/>
  <c r="I785" i="8" s="1"/>
  <c r="A786" i="8"/>
  <c r="G786" i="8" s="1"/>
  <c r="B786" i="8"/>
  <c r="H786" i="8"/>
  <c r="I786" i="8" s="1"/>
  <c r="A787" i="8"/>
  <c r="G787" i="8" s="1"/>
  <c r="B787" i="8"/>
  <c r="C787" i="8" s="1"/>
  <c r="H787" i="8"/>
  <c r="J787" i="8" s="1"/>
  <c r="A788" i="8"/>
  <c r="G788" i="8" s="1"/>
  <c r="B788" i="8"/>
  <c r="C788" i="8" s="1"/>
  <c r="H788" i="8"/>
  <c r="I788" i="8" s="1"/>
  <c r="A789" i="8"/>
  <c r="G789" i="8" s="1"/>
  <c r="B789" i="8"/>
  <c r="C789" i="8" s="1"/>
  <c r="H789" i="8"/>
  <c r="I789" i="8" s="1"/>
  <c r="A790" i="8"/>
  <c r="G790" i="8" s="1"/>
  <c r="B790" i="8"/>
  <c r="H790" i="8"/>
  <c r="J790" i="8" s="1"/>
  <c r="A791" i="8"/>
  <c r="G791" i="8" s="1"/>
  <c r="B791" i="8"/>
  <c r="C791" i="8" s="1"/>
  <c r="H791" i="8"/>
  <c r="J791" i="8" s="1"/>
  <c r="A792" i="8"/>
  <c r="G792" i="8" s="1"/>
  <c r="B792" i="8"/>
  <c r="C792" i="8" s="1"/>
  <c r="H792" i="8"/>
  <c r="I792" i="8" s="1"/>
  <c r="A793" i="8"/>
  <c r="G793" i="8" s="1"/>
  <c r="B793" i="8"/>
  <c r="C793" i="8" s="1"/>
  <c r="H793" i="8"/>
  <c r="I793" i="8" s="1"/>
  <c r="A794" i="8"/>
  <c r="G794" i="8" s="1"/>
  <c r="B794" i="8"/>
  <c r="H794" i="8"/>
  <c r="I794" i="8" s="1"/>
  <c r="A795" i="8"/>
  <c r="G795" i="8" s="1"/>
  <c r="B795" i="8"/>
  <c r="C795" i="8" s="1"/>
  <c r="H795" i="8"/>
  <c r="J795" i="8" s="1"/>
  <c r="A796" i="8"/>
  <c r="G796" i="8" s="1"/>
  <c r="B796" i="8"/>
  <c r="C796" i="8" s="1"/>
  <c r="H796" i="8"/>
  <c r="I796" i="8" s="1"/>
  <c r="A797" i="8"/>
  <c r="G797" i="8" s="1"/>
  <c r="B797" i="8"/>
  <c r="C797" i="8" s="1"/>
  <c r="H797" i="8"/>
  <c r="I797" i="8" s="1"/>
  <c r="A798" i="8"/>
  <c r="G798" i="8" s="1"/>
  <c r="B798" i="8"/>
  <c r="H798" i="8"/>
  <c r="I798" i="8" s="1"/>
  <c r="A799" i="8"/>
  <c r="G799" i="8" s="1"/>
  <c r="B799" i="8"/>
  <c r="D799" i="8" s="1"/>
  <c r="H799" i="8"/>
  <c r="J799" i="8" s="1"/>
  <c r="A800" i="8"/>
  <c r="G800" i="8" s="1"/>
  <c r="B800" i="8"/>
  <c r="C800" i="8" s="1"/>
  <c r="H800" i="8"/>
  <c r="I800" i="8" s="1"/>
  <c r="A801" i="8"/>
  <c r="G801" i="8" s="1"/>
  <c r="B801" i="8"/>
  <c r="C801" i="8" s="1"/>
  <c r="H801" i="8"/>
  <c r="I801" i="8" s="1"/>
  <c r="A802" i="8"/>
  <c r="G802" i="8" s="1"/>
  <c r="B802" i="8"/>
  <c r="H802" i="8"/>
  <c r="I802" i="8" s="1"/>
  <c r="A803" i="8"/>
  <c r="G803" i="8" s="1"/>
  <c r="B803" i="8"/>
  <c r="C803" i="8" s="1"/>
  <c r="H803" i="8"/>
  <c r="J803" i="8" s="1"/>
  <c r="A804" i="8"/>
  <c r="G804" i="8" s="1"/>
  <c r="B804" i="8"/>
  <c r="C804" i="8" s="1"/>
  <c r="H804" i="8"/>
  <c r="I804" i="8" s="1"/>
  <c r="A805" i="8"/>
  <c r="G805" i="8" s="1"/>
  <c r="B805" i="8"/>
  <c r="C805" i="8" s="1"/>
  <c r="H805" i="8"/>
  <c r="I805" i="8" s="1"/>
  <c r="A806" i="8"/>
  <c r="G806" i="8" s="1"/>
  <c r="B806" i="8"/>
  <c r="H806" i="8"/>
  <c r="I806" i="8" s="1"/>
  <c r="A807" i="8"/>
  <c r="G807" i="8" s="1"/>
  <c r="B807" i="8"/>
  <c r="C807" i="8" s="1"/>
  <c r="H807" i="8"/>
  <c r="J807" i="8" s="1"/>
  <c r="A808" i="8"/>
  <c r="G808" i="8" s="1"/>
  <c r="B808" i="8"/>
  <c r="C808" i="8" s="1"/>
  <c r="H808" i="8"/>
  <c r="I808" i="8" s="1"/>
  <c r="A809" i="8"/>
  <c r="G809" i="8" s="1"/>
  <c r="B809" i="8"/>
  <c r="C809" i="8" s="1"/>
  <c r="H809" i="8"/>
  <c r="I809" i="8" s="1"/>
  <c r="A810" i="8"/>
  <c r="G810" i="8" s="1"/>
  <c r="B810" i="8"/>
  <c r="H810" i="8"/>
  <c r="I810" i="8" s="1"/>
  <c r="A811" i="8"/>
  <c r="G811" i="8" s="1"/>
  <c r="B811" i="8"/>
  <c r="D811" i="8" s="1"/>
  <c r="H811" i="8"/>
  <c r="J811" i="8" s="1"/>
  <c r="A812" i="8"/>
  <c r="G812" i="8" s="1"/>
  <c r="B812" i="8"/>
  <c r="C812" i="8" s="1"/>
  <c r="H812" i="8"/>
  <c r="I812" i="8" s="1"/>
  <c r="A813" i="8"/>
  <c r="G813" i="8" s="1"/>
  <c r="B813" i="8"/>
  <c r="C813" i="8" s="1"/>
  <c r="H813" i="8"/>
  <c r="I813" i="8" s="1"/>
  <c r="A814" i="8"/>
  <c r="G814" i="8" s="1"/>
  <c r="B814" i="8"/>
  <c r="H814" i="8"/>
  <c r="I814" i="8" s="1"/>
  <c r="A815" i="8"/>
  <c r="G815" i="8" s="1"/>
  <c r="B815" i="8"/>
  <c r="D815" i="8" s="1"/>
  <c r="H815" i="8"/>
  <c r="J815" i="8" s="1"/>
  <c r="A816" i="8"/>
  <c r="G816" i="8" s="1"/>
  <c r="B816" i="8"/>
  <c r="C816" i="8" s="1"/>
  <c r="H816" i="8"/>
  <c r="I816" i="8" s="1"/>
  <c r="A817" i="8"/>
  <c r="G817" i="8" s="1"/>
  <c r="B817" i="8"/>
  <c r="C817" i="8" s="1"/>
  <c r="H817" i="8"/>
  <c r="I817" i="8" s="1"/>
  <c r="A818" i="8"/>
  <c r="G818" i="8" s="1"/>
  <c r="B818" i="8"/>
  <c r="H818" i="8"/>
  <c r="I818" i="8" s="1"/>
  <c r="A819" i="8"/>
  <c r="G819" i="8" s="1"/>
  <c r="B819" i="8"/>
  <c r="D819" i="8" s="1"/>
  <c r="H819" i="8"/>
  <c r="J819" i="8" s="1"/>
  <c r="A820" i="8"/>
  <c r="G820" i="8" s="1"/>
  <c r="B820" i="8"/>
  <c r="C820" i="8" s="1"/>
  <c r="H820" i="8"/>
  <c r="I820" i="8" s="1"/>
  <c r="A821" i="8"/>
  <c r="G821" i="8" s="1"/>
  <c r="B821" i="8"/>
  <c r="C821" i="8" s="1"/>
  <c r="H821" i="8"/>
  <c r="I821" i="8" s="1"/>
  <c r="A822" i="8"/>
  <c r="G822" i="8" s="1"/>
  <c r="B822" i="8"/>
  <c r="H822" i="8"/>
  <c r="J822" i="8" s="1"/>
  <c r="A823" i="8"/>
  <c r="G823" i="8" s="1"/>
  <c r="B823" i="8"/>
  <c r="C823" i="8" s="1"/>
  <c r="H823" i="8"/>
  <c r="J823" i="8" s="1"/>
  <c r="A824" i="8"/>
  <c r="G824" i="8" s="1"/>
  <c r="B824" i="8"/>
  <c r="C824" i="8" s="1"/>
  <c r="H824" i="8"/>
  <c r="I824" i="8" s="1"/>
  <c r="A825" i="8"/>
  <c r="G825" i="8" s="1"/>
  <c r="B825" i="8"/>
  <c r="C825" i="8" s="1"/>
  <c r="H825" i="8"/>
  <c r="I825" i="8" s="1"/>
  <c r="A826" i="8"/>
  <c r="G826" i="8" s="1"/>
  <c r="B826" i="8"/>
  <c r="H826" i="8"/>
  <c r="I826" i="8" s="1"/>
  <c r="A827" i="8"/>
  <c r="G827" i="8" s="1"/>
  <c r="B827" i="8"/>
  <c r="C827" i="8" s="1"/>
  <c r="H827" i="8"/>
  <c r="J827" i="8" s="1"/>
  <c r="A828" i="8"/>
  <c r="G828" i="8" s="1"/>
  <c r="B828" i="8"/>
  <c r="C828" i="8" s="1"/>
  <c r="H828" i="8"/>
  <c r="I828" i="8" s="1"/>
  <c r="A829" i="8"/>
  <c r="G829" i="8" s="1"/>
  <c r="B829" i="8"/>
  <c r="C829" i="8" s="1"/>
  <c r="H829" i="8"/>
  <c r="I829" i="8" s="1"/>
  <c r="A830" i="8"/>
  <c r="G830" i="8" s="1"/>
  <c r="B830" i="8"/>
  <c r="H830" i="8"/>
  <c r="J830" i="8" s="1"/>
  <c r="A831" i="8"/>
  <c r="G831" i="8" s="1"/>
  <c r="B831" i="8"/>
  <c r="D831" i="8" s="1"/>
  <c r="H831" i="8"/>
  <c r="J831" i="8" s="1"/>
  <c r="A832" i="8"/>
  <c r="G832" i="8" s="1"/>
  <c r="B832" i="8"/>
  <c r="C832" i="8" s="1"/>
  <c r="H832" i="8"/>
  <c r="I832" i="8" s="1"/>
  <c r="A833" i="8"/>
  <c r="G833" i="8" s="1"/>
  <c r="B833" i="8"/>
  <c r="C833" i="8" s="1"/>
  <c r="H833" i="8"/>
  <c r="I833" i="8" s="1"/>
  <c r="A834" i="8"/>
  <c r="G834" i="8" s="1"/>
  <c r="B834" i="8"/>
  <c r="H834" i="8"/>
  <c r="I834" i="8" s="1"/>
  <c r="A835" i="8"/>
  <c r="G835" i="8" s="1"/>
  <c r="B835" i="8"/>
  <c r="C835" i="8" s="1"/>
  <c r="H835" i="8"/>
  <c r="J835" i="8" s="1"/>
  <c r="A836" i="8"/>
  <c r="G836" i="8" s="1"/>
  <c r="B836" i="8"/>
  <c r="C836" i="8" s="1"/>
  <c r="H836" i="8"/>
  <c r="I836" i="8" s="1"/>
  <c r="A837" i="8"/>
  <c r="G837" i="8" s="1"/>
  <c r="B837" i="8"/>
  <c r="C837" i="8" s="1"/>
  <c r="H837" i="8"/>
  <c r="I837" i="8" s="1"/>
  <c r="A838" i="8"/>
  <c r="G838" i="8" s="1"/>
  <c r="B838" i="8"/>
  <c r="H838" i="8"/>
  <c r="I838" i="8" s="1"/>
  <c r="A839" i="8"/>
  <c r="G839" i="8" s="1"/>
  <c r="B839" i="8"/>
  <c r="C839" i="8" s="1"/>
  <c r="H839" i="8"/>
  <c r="J839" i="8" s="1"/>
  <c r="A840" i="8"/>
  <c r="G840" i="8" s="1"/>
  <c r="B840" i="8"/>
  <c r="C840" i="8" s="1"/>
  <c r="H840" i="8"/>
  <c r="I840" i="8" s="1"/>
  <c r="A841" i="8"/>
  <c r="G841" i="8" s="1"/>
  <c r="B841" i="8"/>
  <c r="C841" i="8" s="1"/>
  <c r="H841" i="8"/>
  <c r="I841" i="8" s="1"/>
  <c r="A842" i="8"/>
  <c r="G842" i="8" s="1"/>
  <c r="B842" i="8"/>
  <c r="H842" i="8"/>
  <c r="J842" i="8" s="1"/>
  <c r="A843" i="8"/>
  <c r="G843" i="8" s="1"/>
  <c r="B843" i="8"/>
  <c r="D843" i="8" s="1"/>
  <c r="H843" i="8"/>
  <c r="J843" i="8" s="1"/>
  <c r="A844" i="8"/>
  <c r="G844" i="8" s="1"/>
  <c r="B844" i="8"/>
  <c r="C844" i="8" s="1"/>
  <c r="H844" i="8"/>
  <c r="I844" i="8" s="1"/>
  <c r="A845" i="8"/>
  <c r="G845" i="8" s="1"/>
  <c r="B845" i="8"/>
  <c r="C845" i="8" s="1"/>
  <c r="H845" i="8"/>
  <c r="I845" i="8" s="1"/>
  <c r="A846" i="8"/>
  <c r="G846" i="8" s="1"/>
  <c r="B846" i="8"/>
  <c r="H846" i="8"/>
  <c r="I846" i="8" s="1"/>
  <c r="A847" i="8"/>
  <c r="G847" i="8" s="1"/>
  <c r="B847" i="8"/>
  <c r="C847" i="8" s="1"/>
  <c r="H847" i="8"/>
  <c r="J847" i="8" s="1"/>
  <c r="A848" i="8"/>
  <c r="G848" i="8" s="1"/>
  <c r="B848" i="8"/>
  <c r="C848" i="8" s="1"/>
  <c r="H848" i="8"/>
  <c r="I848" i="8" s="1"/>
  <c r="A849" i="8"/>
  <c r="G849" i="8" s="1"/>
  <c r="B849" i="8"/>
  <c r="C849" i="8" s="1"/>
  <c r="H849" i="8"/>
  <c r="I849" i="8" s="1"/>
  <c r="A850" i="8"/>
  <c r="G850" i="8" s="1"/>
  <c r="B850" i="8"/>
  <c r="H850" i="8"/>
  <c r="J850" i="8" s="1"/>
  <c r="A851" i="8"/>
  <c r="G851" i="8" s="1"/>
  <c r="B851" i="8"/>
  <c r="C851" i="8" s="1"/>
  <c r="H851" i="8"/>
  <c r="J851" i="8" s="1"/>
  <c r="A852" i="8"/>
  <c r="G852" i="8" s="1"/>
  <c r="B852" i="8"/>
  <c r="H852" i="8"/>
  <c r="I852" i="8" s="1"/>
  <c r="A853" i="8"/>
  <c r="G853" i="8" s="1"/>
  <c r="B853" i="8"/>
  <c r="C853" i="8" s="1"/>
  <c r="H853" i="8"/>
  <c r="I853" i="8" s="1"/>
  <c r="A854" i="8"/>
  <c r="G854" i="8" s="1"/>
  <c r="B854" i="8"/>
  <c r="H854" i="8"/>
  <c r="I854" i="8" s="1"/>
  <c r="A855" i="8"/>
  <c r="G855" i="8" s="1"/>
  <c r="B855" i="8"/>
  <c r="D855" i="8" s="1"/>
  <c r="H855" i="8"/>
  <c r="J855" i="8" s="1"/>
  <c r="A856" i="8"/>
  <c r="G856" i="8" s="1"/>
  <c r="B856" i="8"/>
  <c r="C856" i="8" s="1"/>
  <c r="H856" i="8"/>
  <c r="I856" i="8" s="1"/>
  <c r="A857" i="8"/>
  <c r="G857" i="8" s="1"/>
  <c r="B857" i="8"/>
  <c r="C857" i="8" s="1"/>
  <c r="H857" i="8"/>
  <c r="A858" i="8"/>
  <c r="G858" i="8" s="1"/>
  <c r="B858" i="8"/>
  <c r="H858" i="8"/>
  <c r="A859" i="8"/>
  <c r="G859" i="8" s="1"/>
  <c r="B859" i="8"/>
  <c r="H859" i="8"/>
  <c r="J859" i="8" s="1"/>
  <c r="A860" i="8"/>
  <c r="G860" i="8" s="1"/>
  <c r="B860" i="8"/>
  <c r="C860" i="8" s="1"/>
  <c r="H860" i="8"/>
  <c r="I860" i="8" s="1"/>
  <c r="A861" i="8"/>
  <c r="G861" i="8" s="1"/>
  <c r="B861" i="8"/>
  <c r="C861" i="8" s="1"/>
  <c r="H861" i="8"/>
  <c r="A862" i="8"/>
  <c r="G862" i="8" s="1"/>
  <c r="B862" i="8"/>
  <c r="H862" i="8"/>
  <c r="I862" i="8" s="1"/>
  <c r="A863" i="8"/>
  <c r="G863" i="8" s="1"/>
  <c r="B863" i="8"/>
  <c r="C863" i="8" s="1"/>
  <c r="H863" i="8"/>
  <c r="J863" i="8" s="1"/>
  <c r="A864" i="8"/>
  <c r="G864" i="8" s="1"/>
  <c r="B864" i="8"/>
  <c r="C864" i="8" s="1"/>
  <c r="H864" i="8"/>
  <c r="I864" i="8" s="1"/>
  <c r="A865" i="8"/>
  <c r="G865" i="8" s="1"/>
  <c r="B865" i="8"/>
  <c r="C865" i="8" s="1"/>
  <c r="H865" i="8"/>
  <c r="A866" i="8"/>
  <c r="G866" i="8" s="1"/>
  <c r="B866" i="8"/>
  <c r="H866" i="8"/>
  <c r="J866" i="8" s="1"/>
  <c r="A867" i="8"/>
  <c r="G867" i="8" s="1"/>
  <c r="B867" i="8"/>
  <c r="D867" i="8" s="1"/>
  <c r="H867" i="8"/>
  <c r="J867" i="8" s="1"/>
  <c r="A868" i="8"/>
  <c r="G868" i="8" s="1"/>
  <c r="B868" i="8"/>
  <c r="C868" i="8" s="1"/>
  <c r="H868" i="8"/>
  <c r="A869" i="8"/>
  <c r="G869" i="8" s="1"/>
  <c r="B869" i="8"/>
  <c r="C869" i="8" s="1"/>
  <c r="H869" i="8"/>
  <c r="A870" i="8"/>
  <c r="G870" i="8" s="1"/>
  <c r="B870" i="8"/>
  <c r="H870" i="8"/>
  <c r="A871" i="8"/>
  <c r="G871" i="8" s="1"/>
  <c r="B871" i="8"/>
  <c r="H871" i="8"/>
  <c r="J871" i="8" s="1"/>
  <c r="A872" i="8"/>
  <c r="G872" i="8" s="1"/>
  <c r="B872" i="8"/>
  <c r="C872" i="8" s="1"/>
  <c r="H872" i="8"/>
  <c r="I872" i="8" s="1"/>
  <c r="A873" i="8"/>
  <c r="G873" i="8" s="1"/>
  <c r="B873" i="8"/>
  <c r="C873" i="8" s="1"/>
  <c r="H873" i="8"/>
  <c r="A874" i="8"/>
  <c r="G874" i="8" s="1"/>
  <c r="B874" i="8"/>
  <c r="H874" i="8"/>
  <c r="I874" i="8" s="1"/>
  <c r="A875" i="8"/>
  <c r="G875" i="8" s="1"/>
  <c r="B875" i="8"/>
  <c r="D875" i="8" s="1"/>
  <c r="H875" i="8"/>
  <c r="A876" i="8"/>
  <c r="G876" i="8" s="1"/>
  <c r="B876" i="8"/>
  <c r="C876" i="8" s="1"/>
  <c r="H876" i="8"/>
  <c r="I876" i="8" s="1"/>
  <c r="A877" i="8"/>
  <c r="G877" i="8" s="1"/>
  <c r="B877" i="8"/>
  <c r="C877" i="8" s="1"/>
  <c r="H877" i="8"/>
  <c r="A878" i="8"/>
  <c r="G878" i="8" s="1"/>
  <c r="B878" i="8"/>
  <c r="H878" i="8"/>
  <c r="J878" i="8" s="1"/>
  <c r="A879" i="8"/>
  <c r="G879" i="8" s="1"/>
  <c r="B879" i="8"/>
  <c r="D879" i="8" s="1"/>
  <c r="H879" i="8"/>
  <c r="J879" i="8" s="1"/>
  <c r="A880" i="8"/>
  <c r="G880" i="8" s="1"/>
  <c r="B880" i="8"/>
  <c r="H880" i="8"/>
  <c r="I880" i="8" s="1"/>
  <c r="A881" i="8"/>
  <c r="G881" i="8" s="1"/>
  <c r="B881" i="8"/>
  <c r="C881" i="8" s="1"/>
  <c r="H881" i="8"/>
  <c r="A882" i="8"/>
  <c r="G882" i="8" s="1"/>
  <c r="B882" i="8"/>
  <c r="H882" i="8"/>
  <c r="I882" i="8" s="1"/>
  <c r="A883" i="8"/>
  <c r="G883" i="8" s="1"/>
  <c r="B883" i="8"/>
  <c r="C883" i="8" s="1"/>
  <c r="H883" i="8"/>
  <c r="J883" i="8" s="1"/>
  <c r="A884" i="8"/>
  <c r="G884" i="8" s="1"/>
  <c r="B884" i="8"/>
  <c r="C884" i="8" s="1"/>
  <c r="H884" i="8"/>
  <c r="I884" i="8" s="1"/>
  <c r="A885" i="8"/>
  <c r="G885" i="8" s="1"/>
  <c r="B885" i="8"/>
  <c r="C885" i="8" s="1"/>
  <c r="H885" i="8"/>
  <c r="A886" i="8"/>
  <c r="G886" i="8" s="1"/>
  <c r="B886" i="8"/>
  <c r="H886" i="8"/>
  <c r="J886" i="8" s="1"/>
  <c r="A887" i="8"/>
  <c r="G887" i="8" s="1"/>
  <c r="B887" i="8"/>
  <c r="C887" i="8" s="1"/>
  <c r="H887" i="8"/>
  <c r="A888" i="8"/>
  <c r="G888" i="8" s="1"/>
  <c r="B888" i="8"/>
  <c r="C888" i="8" s="1"/>
  <c r="H888" i="8"/>
  <c r="A889" i="8"/>
  <c r="G889" i="8" s="1"/>
  <c r="B889" i="8"/>
  <c r="C889" i="8" s="1"/>
  <c r="H889" i="8"/>
  <c r="A890" i="8"/>
  <c r="G890" i="8" s="1"/>
  <c r="B890" i="8"/>
  <c r="H890" i="8"/>
  <c r="J890" i="8" s="1"/>
  <c r="A891" i="8"/>
  <c r="G891" i="8" s="1"/>
  <c r="B891" i="8"/>
  <c r="D891" i="8" s="1"/>
  <c r="H891" i="8"/>
  <c r="J891" i="8" s="1"/>
  <c r="A892" i="8"/>
  <c r="G892" i="8" s="1"/>
  <c r="B892" i="8"/>
  <c r="H892" i="8"/>
  <c r="I892" i="8" s="1"/>
  <c r="A893" i="8"/>
  <c r="G893" i="8" s="1"/>
  <c r="B893" i="8"/>
  <c r="C893" i="8" s="1"/>
  <c r="H893" i="8"/>
  <c r="A894" i="8"/>
  <c r="G894" i="8" s="1"/>
  <c r="B894" i="8"/>
  <c r="H894" i="8"/>
  <c r="I894" i="8" s="1"/>
  <c r="A895" i="8"/>
  <c r="G895" i="8" s="1"/>
  <c r="B895" i="8"/>
  <c r="C895" i="8" s="1"/>
  <c r="H895" i="8"/>
  <c r="J895" i="8" s="1"/>
  <c r="A896" i="8"/>
  <c r="G896" i="8" s="1"/>
  <c r="B896" i="8"/>
  <c r="C896" i="8" s="1"/>
  <c r="H896" i="8"/>
  <c r="I896" i="8" s="1"/>
  <c r="A897" i="8"/>
  <c r="G897" i="8" s="1"/>
  <c r="B897" i="8"/>
  <c r="C897" i="8" s="1"/>
  <c r="H897" i="8"/>
  <c r="A898" i="8"/>
  <c r="G898" i="8" s="1"/>
  <c r="B898" i="8"/>
  <c r="H898" i="8"/>
  <c r="A899" i="8"/>
  <c r="G899" i="8" s="1"/>
  <c r="B899" i="8"/>
  <c r="D899" i="8" s="1"/>
  <c r="H899" i="8"/>
  <c r="J899" i="8" s="1"/>
  <c r="A900" i="8"/>
  <c r="G900" i="8" s="1"/>
  <c r="B900" i="8"/>
  <c r="C900" i="8" s="1"/>
  <c r="H900" i="8"/>
  <c r="I900" i="8" s="1"/>
  <c r="A901" i="8"/>
  <c r="G901" i="8" s="1"/>
  <c r="B901" i="8"/>
  <c r="C901" i="8" s="1"/>
  <c r="H901" i="8"/>
  <c r="A902" i="8"/>
  <c r="G902" i="8" s="1"/>
  <c r="B902" i="8"/>
  <c r="H902" i="8"/>
  <c r="J902" i="8" s="1"/>
  <c r="A903" i="8"/>
  <c r="G903" i="8" s="1"/>
  <c r="B903" i="8"/>
  <c r="D903" i="8" s="1"/>
  <c r="H903" i="8"/>
  <c r="J903" i="8" s="1"/>
  <c r="A904" i="8"/>
  <c r="G904" i="8" s="1"/>
  <c r="B904" i="8"/>
  <c r="C904" i="8" s="1"/>
  <c r="H904" i="8"/>
  <c r="I904" i="8" s="1"/>
  <c r="A905" i="8"/>
  <c r="G905" i="8" s="1"/>
  <c r="B905" i="8"/>
  <c r="H905" i="8"/>
  <c r="A906" i="8"/>
  <c r="G906" i="8" s="1"/>
  <c r="B906" i="8"/>
  <c r="H906" i="8"/>
  <c r="I906" i="8" s="1"/>
  <c r="A907" i="8"/>
  <c r="G907" i="8" s="1"/>
  <c r="B907" i="8"/>
  <c r="D907" i="8" s="1"/>
  <c r="H907" i="8"/>
  <c r="J907" i="8" s="1"/>
  <c r="A908" i="8"/>
  <c r="G908" i="8" s="1"/>
  <c r="B908" i="8"/>
  <c r="H908" i="8"/>
  <c r="I908" i="8" s="1"/>
  <c r="A909" i="8"/>
  <c r="G909" i="8" s="1"/>
  <c r="B909" i="8"/>
  <c r="C909" i="8" s="1"/>
  <c r="H909" i="8"/>
  <c r="A910" i="8"/>
  <c r="G910" i="8" s="1"/>
  <c r="B910" i="8"/>
  <c r="H910" i="8"/>
  <c r="I910" i="8" s="1"/>
  <c r="A911" i="8"/>
  <c r="G911" i="8" s="1"/>
  <c r="B911" i="8"/>
  <c r="H911" i="8"/>
  <c r="J911" i="8" s="1"/>
  <c r="A912" i="8"/>
  <c r="G912" i="8" s="1"/>
  <c r="B912" i="8"/>
  <c r="C912" i="8" s="1"/>
  <c r="H912" i="8"/>
  <c r="A913" i="8"/>
  <c r="G913" i="8" s="1"/>
  <c r="B913" i="8"/>
  <c r="C913" i="8" s="1"/>
  <c r="H913" i="8"/>
  <c r="J913" i="8" s="1"/>
  <c r="A914" i="8"/>
  <c r="G914" i="8" s="1"/>
  <c r="B914" i="8"/>
  <c r="H914" i="8"/>
  <c r="I914" i="8" s="1"/>
  <c r="A915" i="8"/>
  <c r="G915" i="8" s="1"/>
  <c r="B915" i="8"/>
  <c r="D915" i="8" s="1"/>
  <c r="H915" i="8"/>
  <c r="J915" i="8" s="1"/>
  <c r="A916" i="8"/>
  <c r="G916" i="8" s="1"/>
  <c r="B916" i="8"/>
  <c r="C916" i="8" s="1"/>
  <c r="H916" i="8"/>
  <c r="I916" i="8" s="1"/>
  <c r="A917" i="8"/>
  <c r="G917" i="8" s="1"/>
  <c r="B917" i="8"/>
  <c r="C917" i="8" s="1"/>
  <c r="H917" i="8"/>
  <c r="J917" i="8" s="1"/>
  <c r="A918" i="8"/>
  <c r="G918" i="8" s="1"/>
  <c r="B918" i="8"/>
  <c r="H918" i="8"/>
  <c r="I918" i="8" s="1"/>
  <c r="A919" i="8"/>
  <c r="G919" i="8" s="1"/>
  <c r="B919" i="8"/>
  <c r="C919" i="8" s="1"/>
  <c r="H919" i="8"/>
  <c r="A920" i="8"/>
  <c r="G920" i="8" s="1"/>
  <c r="B920" i="8"/>
  <c r="C920" i="8" s="1"/>
  <c r="H920" i="8"/>
  <c r="I920" i="8" s="1"/>
  <c r="A921" i="8"/>
  <c r="G921" i="8" s="1"/>
  <c r="B921" i="8"/>
  <c r="C921" i="8" s="1"/>
  <c r="H921" i="8"/>
  <c r="J921" i="8" s="1"/>
  <c r="A922" i="8"/>
  <c r="G922" i="8" s="1"/>
  <c r="B922" i="8"/>
  <c r="H922" i="8"/>
  <c r="A923" i="8"/>
  <c r="G923" i="8" s="1"/>
  <c r="B923" i="8"/>
  <c r="D923" i="8" s="1"/>
  <c r="H923" i="8"/>
  <c r="A924" i="8"/>
  <c r="G924" i="8" s="1"/>
  <c r="B924" i="8"/>
  <c r="C924" i="8" s="1"/>
  <c r="H924" i="8"/>
  <c r="I924" i="8" s="1"/>
  <c r="A925" i="8"/>
  <c r="G925" i="8" s="1"/>
  <c r="B925" i="8"/>
  <c r="C925" i="8" s="1"/>
  <c r="H925" i="8"/>
  <c r="J925" i="8" s="1"/>
  <c r="A926" i="8"/>
  <c r="G926" i="8" s="1"/>
  <c r="B926" i="8"/>
  <c r="H926" i="8"/>
  <c r="I926" i="8" s="1"/>
  <c r="A927" i="8"/>
  <c r="G927" i="8" s="1"/>
  <c r="B927" i="8"/>
  <c r="C927" i="8" s="1"/>
  <c r="H927" i="8"/>
  <c r="A928" i="8"/>
  <c r="G928" i="8" s="1"/>
  <c r="B928" i="8"/>
  <c r="C928" i="8" s="1"/>
  <c r="H928" i="8"/>
  <c r="I928" i="8" s="1"/>
  <c r="A929" i="8"/>
  <c r="G929" i="8" s="1"/>
  <c r="B929" i="8"/>
  <c r="H929" i="8"/>
  <c r="J929" i="8" s="1"/>
  <c r="A930" i="8"/>
  <c r="G930" i="8" s="1"/>
  <c r="B930" i="8"/>
  <c r="H930" i="8"/>
  <c r="J930" i="8" s="1"/>
  <c r="A931" i="8"/>
  <c r="G931" i="8" s="1"/>
  <c r="B931" i="8"/>
  <c r="C931" i="8" s="1"/>
  <c r="H931" i="8"/>
  <c r="A932" i="8"/>
  <c r="G932" i="8" s="1"/>
  <c r="B932" i="8"/>
  <c r="C932" i="8" s="1"/>
  <c r="H932" i="8"/>
  <c r="A933" i="8"/>
  <c r="G933" i="8" s="1"/>
  <c r="B933" i="8"/>
  <c r="D933" i="8" s="1"/>
  <c r="H933" i="8"/>
  <c r="J933" i="8" s="1"/>
  <c r="A934" i="8"/>
  <c r="G934" i="8" s="1"/>
  <c r="B934" i="8"/>
  <c r="H934" i="8"/>
  <c r="J934" i="8" s="1"/>
  <c r="A935" i="8"/>
  <c r="G935" i="8" s="1"/>
  <c r="B935" i="8"/>
  <c r="C935" i="8" s="1"/>
  <c r="H935" i="8"/>
  <c r="J935" i="8" s="1"/>
  <c r="A936" i="8"/>
  <c r="G936" i="8" s="1"/>
  <c r="B936" i="8"/>
  <c r="C936" i="8" s="1"/>
  <c r="H936" i="8"/>
  <c r="I936" i="8" s="1"/>
  <c r="A937" i="8"/>
  <c r="G937" i="8" s="1"/>
  <c r="B937" i="8"/>
  <c r="D937" i="8" s="1"/>
  <c r="H937" i="8"/>
  <c r="J937" i="8" s="1"/>
  <c r="A938" i="8"/>
  <c r="G938" i="8" s="1"/>
  <c r="B938" i="8"/>
  <c r="H938" i="8"/>
  <c r="I938" i="8" s="1"/>
  <c r="A939" i="8"/>
  <c r="G939" i="8" s="1"/>
  <c r="B939" i="8"/>
  <c r="C939" i="8" s="1"/>
  <c r="H939" i="8"/>
  <c r="J939" i="8" s="1"/>
  <c r="A940" i="8"/>
  <c r="G940" i="8" s="1"/>
  <c r="B940" i="8"/>
  <c r="C940" i="8" s="1"/>
  <c r="H940" i="8"/>
  <c r="I940" i="8" s="1"/>
  <c r="A941" i="8"/>
  <c r="G941" i="8" s="1"/>
  <c r="B941" i="8"/>
  <c r="C941" i="8" s="1"/>
  <c r="H941" i="8"/>
  <c r="J941" i="8" s="1"/>
  <c r="A942" i="8"/>
  <c r="G942" i="8" s="1"/>
  <c r="B942" i="8"/>
  <c r="H942" i="8"/>
  <c r="I942" i="8" s="1"/>
  <c r="A943" i="8"/>
  <c r="G943" i="8" s="1"/>
  <c r="B943" i="8"/>
  <c r="C943" i="8" s="1"/>
  <c r="H943" i="8"/>
  <c r="J943" i="8" s="1"/>
  <c r="A944" i="8"/>
  <c r="G944" i="8" s="1"/>
  <c r="B944" i="8"/>
  <c r="C944" i="8" s="1"/>
  <c r="H944" i="8"/>
  <c r="I944" i="8" s="1"/>
  <c r="A945" i="8"/>
  <c r="G945" i="8" s="1"/>
  <c r="B945" i="8"/>
  <c r="C945" i="8" s="1"/>
  <c r="H945" i="8"/>
  <c r="J945" i="8" s="1"/>
  <c r="A946" i="8"/>
  <c r="G946" i="8" s="1"/>
  <c r="B946" i="8"/>
  <c r="H946" i="8"/>
  <c r="I946" i="8" s="1"/>
  <c r="A947" i="8"/>
  <c r="G947" i="8" s="1"/>
  <c r="B947" i="8"/>
  <c r="C947" i="8" s="1"/>
  <c r="H947" i="8"/>
  <c r="I947" i="8" s="1"/>
  <c r="A948" i="8"/>
  <c r="G948" i="8" s="1"/>
  <c r="B948" i="8"/>
  <c r="C948" i="8" s="1"/>
  <c r="H948" i="8"/>
  <c r="J948" i="8" s="1"/>
  <c r="A949" i="8"/>
  <c r="G949" i="8" s="1"/>
  <c r="B949" i="8"/>
  <c r="H949" i="8"/>
  <c r="I949" i="8" s="1"/>
  <c r="A950" i="8"/>
  <c r="G950" i="8" s="1"/>
  <c r="B950" i="8"/>
  <c r="H950" i="8"/>
  <c r="I950" i="8" s="1"/>
  <c r="A951" i="8"/>
  <c r="G951" i="8" s="1"/>
  <c r="B951" i="8"/>
  <c r="C951" i="8" s="1"/>
  <c r="H951" i="8"/>
  <c r="J951" i="8" s="1"/>
  <c r="A952" i="8"/>
  <c r="G952" i="8" s="1"/>
  <c r="B952" i="8"/>
  <c r="C952" i="8" s="1"/>
  <c r="H952" i="8"/>
  <c r="J952" i="8" s="1"/>
  <c r="A953" i="8"/>
  <c r="G953" i="8" s="1"/>
  <c r="B953" i="8"/>
  <c r="C953" i="8" s="1"/>
  <c r="H953" i="8"/>
  <c r="I953" i="8" s="1"/>
  <c r="A954" i="8"/>
  <c r="G954" i="8" s="1"/>
  <c r="B954" i="8"/>
  <c r="C954" i="8" s="1"/>
  <c r="H954" i="8"/>
  <c r="I954" i="8" s="1"/>
  <c r="A955" i="8"/>
  <c r="G955" i="8" s="1"/>
  <c r="B955" i="8"/>
  <c r="C955" i="8" s="1"/>
  <c r="H955" i="8"/>
  <c r="A956" i="8"/>
  <c r="G956" i="8" s="1"/>
  <c r="B956" i="8"/>
  <c r="C956" i="8" s="1"/>
  <c r="H956" i="8"/>
  <c r="J956" i="8" s="1"/>
  <c r="A957" i="8"/>
  <c r="G957" i="8" s="1"/>
  <c r="B957" i="8"/>
  <c r="C957" i="8" s="1"/>
  <c r="H957" i="8"/>
  <c r="I957" i="8" s="1"/>
  <c r="A958" i="8"/>
  <c r="G958" i="8" s="1"/>
  <c r="B958" i="8"/>
  <c r="C958" i="8" s="1"/>
  <c r="H958" i="8"/>
  <c r="I958" i="8" s="1"/>
  <c r="A959" i="8"/>
  <c r="G959" i="8" s="1"/>
  <c r="B959" i="8"/>
  <c r="C959" i="8" s="1"/>
  <c r="H959" i="8"/>
  <c r="A960" i="8"/>
  <c r="G960" i="8" s="1"/>
  <c r="B960" i="8"/>
  <c r="C960" i="8" s="1"/>
  <c r="H960" i="8"/>
  <c r="J960" i="8" s="1"/>
  <c r="A961" i="8"/>
  <c r="G961" i="8" s="1"/>
  <c r="B961" i="8"/>
  <c r="C961" i="8" s="1"/>
  <c r="H961" i="8"/>
  <c r="I961" i="8" s="1"/>
  <c r="A962" i="8"/>
  <c r="G962" i="8" s="1"/>
  <c r="B962" i="8"/>
  <c r="C962" i="8" s="1"/>
  <c r="H962" i="8"/>
  <c r="I962" i="8" s="1"/>
  <c r="A963" i="8"/>
  <c r="G963" i="8" s="1"/>
  <c r="B963" i="8"/>
  <c r="C963" i="8" s="1"/>
  <c r="H963" i="8"/>
  <c r="I963" i="8" s="1"/>
  <c r="A964" i="8"/>
  <c r="G964" i="8" s="1"/>
  <c r="B964" i="8"/>
  <c r="C964" i="8" s="1"/>
  <c r="H964" i="8"/>
  <c r="A965" i="8"/>
  <c r="G965" i="8" s="1"/>
  <c r="B965" i="8"/>
  <c r="C965" i="8" s="1"/>
  <c r="H965" i="8"/>
  <c r="J965" i="8" s="1"/>
  <c r="A966" i="8"/>
  <c r="G966" i="8" s="1"/>
  <c r="B966" i="8"/>
  <c r="C966" i="8" s="1"/>
  <c r="H966" i="8"/>
  <c r="I966" i="8" s="1"/>
  <c r="A967" i="8"/>
  <c r="G967" i="8" s="1"/>
  <c r="B967" i="8"/>
  <c r="H967" i="8"/>
  <c r="I967" i="8" s="1"/>
  <c r="A968" i="8"/>
  <c r="G968" i="8" s="1"/>
  <c r="B968" i="8"/>
  <c r="C968" i="8" s="1"/>
  <c r="H968" i="8"/>
  <c r="J968" i="8" s="1"/>
  <c r="A969" i="8"/>
  <c r="G969" i="8" s="1"/>
  <c r="B969" i="8"/>
  <c r="D969" i="8" s="1"/>
  <c r="H969" i="8"/>
  <c r="A970" i="8"/>
  <c r="G970" i="8" s="1"/>
  <c r="B970" i="8"/>
  <c r="C970" i="8" s="1"/>
  <c r="H970" i="8"/>
  <c r="I970" i="8" s="1"/>
  <c r="A971" i="8"/>
  <c r="G971" i="8" s="1"/>
  <c r="B971" i="8"/>
  <c r="C971" i="8" s="1"/>
  <c r="H971" i="8"/>
  <c r="I971" i="8" s="1"/>
  <c r="A972" i="8"/>
  <c r="G972" i="8" s="1"/>
  <c r="B972" i="8"/>
  <c r="C972" i="8" s="1"/>
  <c r="H972" i="8"/>
  <c r="J972" i="8" s="1"/>
  <c r="A973" i="8"/>
  <c r="G973" i="8" s="1"/>
  <c r="B973" i="8"/>
  <c r="C973" i="8" s="1"/>
  <c r="H973" i="8"/>
  <c r="I973" i="8" s="1"/>
  <c r="A974" i="8"/>
  <c r="G974" i="8" s="1"/>
  <c r="B974" i="8"/>
  <c r="C974" i="8" s="1"/>
  <c r="H974" i="8"/>
  <c r="I974" i="8" s="1"/>
  <c r="A975" i="8"/>
  <c r="G975" i="8" s="1"/>
  <c r="B975" i="8"/>
  <c r="C975" i="8" s="1"/>
  <c r="H975" i="8"/>
  <c r="J975" i="8" s="1"/>
  <c r="A976" i="8"/>
  <c r="G976" i="8" s="1"/>
  <c r="B976" i="8"/>
  <c r="C976" i="8" s="1"/>
  <c r="H976" i="8"/>
  <c r="J976" i="8" s="1"/>
  <c r="A977" i="8"/>
  <c r="G977" i="8" s="1"/>
  <c r="B977" i="8"/>
  <c r="C977" i="8" s="1"/>
  <c r="H977" i="8"/>
  <c r="I977" i="8" s="1"/>
  <c r="A978" i="8"/>
  <c r="G978" i="8" s="1"/>
  <c r="B978" i="8"/>
  <c r="C978" i="8" s="1"/>
  <c r="H978" i="8"/>
  <c r="I978" i="8" s="1"/>
  <c r="A979" i="8"/>
  <c r="G979" i="8" s="1"/>
  <c r="B979" i="8"/>
  <c r="C979" i="8" s="1"/>
  <c r="H979" i="8"/>
  <c r="I979" i="8" s="1"/>
  <c r="A980" i="8"/>
  <c r="G980" i="8" s="1"/>
  <c r="B980" i="8"/>
  <c r="C980" i="8" s="1"/>
  <c r="H980" i="8"/>
  <c r="J980" i="8" s="1"/>
  <c r="A981" i="8"/>
  <c r="G981" i="8" s="1"/>
  <c r="B981" i="8"/>
  <c r="D981" i="8" s="1"/>
  <c r="H981" i="8"/>
  <c r="I981" i="8" s="1"/>
  <c r="A982" i="8"/>
  <c r="G982" i="8" s="1"/>
  <c r="B982" i="8"/>
  <c r="C982" i="8" s="1"/>
  <c r="H982" i="8"/>
  <c r="I982" i="8" s="1"/>
  <c r="A983" i="8"/>
  <c r="G983" i="8" s="1"/>
  <c r="B983" i="8"/>
  <c r="C983" i="8" s="1"/>
  <c r="H983" i="8"/>
  <c r="J983" i="8" s="1"/>
  <c r="A984" i="8"/>
  <c r="G984" i="8" s="1"/>
  <c r="B984" i="8"/>
  <c r="C984" i="8" s="1"/>
  <c r="H984" i="8"/>
  <c r="J984" i="8" s="1"/>
  <c r="T6" i="8"/>
  <c r="T7" i="8"/>
  <c r="T8" i="8"/>
  <c r="AB5" i="8"/>
  <c r="AB6" i="8"/>
  <c r="AB7" i="8"/>
  <c r="AB8" i="8"/>
  <c r="AB9" i="8"/>
  <c r="AA5" i="8"/>
  <c r="AA6" i="8" s="1"/>
  <c r="AA7" i="8" s="1"/>
  <c r="AA8" i="8" s="1"/>
  <c r="AA9" i="8" s="1"/>
  <c r="S6" i="8"/>
  <c r="S7" i="8" s="1"/>
  <c r="S8" i="8" s="1"/>
  <c r="S9" i="8" s="1"/>
  <c r="S10" i="8" s="1"/>
  <c r="S11" i="8" s="1"/>
  <c r="S12" i="8" s="1"/>
  <c r="S13" i="8" s="1"/>
  <c r="S14" i="8" s="1"/>
  <c r="S15" i="8" s="1"/>
  <c r="S16" i="8" s="1"/>
  <c r="S17" i="8" s="1"/>
  <c r="S18" i="8" s="1"/>
  <c r="S19" i="8" s="1"/>
  <c r="S20" i="8" s="1"/>
  <c r="S21" i="8" s="1"/>
  <c r="S22" i="8" s="1"/>
  <c r="S23" i="8" s="1"/>
  <c r="S24" i="8" s="1"/>
  <c r="H20" i="8"/>
  <c r="I20" i="8" s="1"/>
  <c r="H21" i="8"/>
  <c r="J21" i="8" s="1"/>
  <c r="H22" i="8"/>
  <c r="I22" i="8" s="1"/>
  <c r="H23" i="8"/>
  <c r="J23" i="8" s="1"/>
  <c r="H24" i="8"/>
  <c r="I24" i="8" s="1"/>
  <c r="H25" i="8"/>
  <c r="H26" i="8"/>
  <c r="I26" i="8" s="1"/>
  <c r="H27" i="8"/>
  <c r="I27" i="8" s="1"/>
  <c r="H28" i="8"/>
  <c r="I28" i="8" s="1"/>
  <c r="H29" i="8"/>
  <c r="J29" i="8" s="1"/>
  <c r="H30" i="8"/>
  <c r="I30" i="8" s="1"/>
  <c r="H31" i="8"/>
  <c r="I31" i="8" s="1"/>
  <c r="H32" i="8"/>
  <c r="I32" i="8" s="1"/>
  <c r="H33" i="8"/>
  <c r="J33" i="8" s="1"/>
  <c r="H34" i="8"/>
  <c r="I34" i="8" s="1"/>
  <c r="H35" i="8"/>
  <c r="H36" i="8"/>
  <c r="I36" i="8" s="1"/>
  <c r="H37" i="8"/>
  <c r="J37" i="8" s="1"/>
  <c r="H38" i="8"/>
  <c r="I38" i="8" s="1"/>
  <c r="H39" i="8"/>
  <c r="I39" i="8" s="1"/>
  <c r="H40" i="8"/>
  <c r="I40" i="8" s="1"/>
  <c r="H41" i="8"/>
  <c r="J41" i="8" s="1"/>
  <c r="H42" i="8"/>
  <c r="I42" i="8" s="1"/>
  <c r="H43" i="8"/>
  <c r="J43" i="8" s="1"/>
  <c r="H44" i="8"/>
  <c r="I44" i="8" s="1"/>
  <c r="H45" i="8"/>
  <c r="J45" i="8" s="1"/>
  <c r="H46" i="8"/>
  <c r="I46" i="8" s="1"/>
  <c r="H47" i="8"/>
  <c r="I47" i="8" s="1"/>
  <c r="H48" i="8"/>
  <c r="I48" i="8" s="1"/>
  <c r="H49" i="8"/>
  <c r="J49" i="8" s="1"/>
  <c r="H50" i="8"/>
  <c r="I50" i="8" s="1"/>
  <c r="H51" i="8"/>
  <c r="I51" i="8" s="1"/>
  <c r="H52" i="8"/>
  <c r="I52" i="8" s="1"/>
  <c r="H53" i="8"/>
  <c r="J53" i="8" s="1"/>
  <c r="H54" i="8"/>
  <c r="I54" i="8" s="1"/>
  <c r="A20" i="8"/>
  <c r="G20" i="8" s="1"/>
  <c r="B20" i="8"/>
  <c r="C20" i="8" s="1"/>
  <c r="A21" i="8"/>
  <c r="G21" i="8" s="1"/>
  <c r="B21" i="8"/>
  <c r="C21" i="8" s="1"/>
  <c r="A22" i="8"/>
  <c r="G22" i="8" s="1"/>
  <c r="B22" i="8"/>
  <c r="C22" i="8" s="1"/>
  <c r="A23" i="8"/>
  <c r="G23" i="8" s="1"/>
  <c r="B23" i="8"/>
  <c r="C23" i="8" s="1"/>
  <c r="A24" i="8"/>
  <c r="G24" i="8" s="1"/>
  <c r="B24" i="8"/>
  <c r="D24" i="8" s="1"/>
  <c r="A25" i="8"/>
  <c r="G25" i="8" s="1"/>
  <c r="B25" i="8"/>
  <c r="D25" i="8" s="1"/>
  <c r="A26" i="8"/>
  <c r="G26" i="8" s="1"/>
  <c r="B26" i="8"/>
  <c r="C26" i="8" s="1"/>
  <c r="A27" i="8"/>
  <c r="G27" i="8" s="1"/>
  <c r="B27" i="8"/>
  <c r="C27" i="8" s="1"/>
  <c r="A28" i="8"/>
  <c r="G28" i="8" s="1"/>
  <c r="B28" i="8"/>
  <c r="D28" i="8" s="1"/>
  <c r="A29" i="8"/>
  <c r="G29" i="8" s="1"/>
  <c r="B29" i="8"/>
  <c r="C29" i="8" s="1"/>
  <c r="A30" i="8"/>
  <c r="G30" i="8" s="1"/>
  <c r="B30" i="8"/>
  <c r="C30" i="8" s="1"/>
  <c r="A31" i="8"/>
  <c r="G31" i="8" s="1"/>
  <c r="B31" i="8"/>
  <c r="C31" i="8" s="1"/>
  <c r="A32" i="8"/>
  <c r="G32" i="8" s="1"/>
  <c r="B32" i="8"/>
  <c r="C32" i="8" s="1"/>
  <c r="A33" i="8"/>
  <c r="G33" i="8" s="1"/>
  <c r="B33" i="8"/>
  <c r="D33" i="8" s="1"/>
  <c r="A34" i="8"/>
  <c r="G34" i="8" s="1"/>
  <c r="B34" i="8"/>
  <c r="C34" i="8" s="1"/>
  <c r="A35" i="8"/>
  <c r="G35" i="8" s="1"/>
  <c r="B35" i="8"/>
  <c r="C35" i="8" s="1"/>
  <c r="A36" i="8"/>
  <c r="G36" i="8" s="1"/>
  <c r="B36" i="8"/>
  <c r="D36" i="8" s="1"/>
  <c r="A37" i="8"/>
  <c r="G37" i="8" s="1"/>
  <c r="B37" i="8"/>
  <c r="C37" i="8" s="1"/>
  <c r="A38" i="8"/>
  <c r="G38" i="8" s="1"/>
  <c r="B38" i="8"/>
  <c r="D38" i="8" s="1"/>
  <c r="A39" i="8"/>
  <c r="G39" i="8" s="1"/>
  <c r="B39" i="8"/>
  <c r="C39" i="8" s="1"/>
  <c r="A40" i="8"/>
  <c r="G40" i="8" s="1"/>
  <c r="B40" i="8"/>
  <c r="D40" i="8" s="1"/>
  <c r="A41" i="8"/>
  <c r="G41" i="8" s="1"/>
  <c r="B41" i="8"/>
  <c r="C41" i="8" s="1"/>
  <c r="A42" i="8"/>
  <c r="G42" i="8" s="1"/>
  <c r="B42" i="8"/>
  <c r="C42" i="8" s="1"/>
  <c r="A43" i="8"/>
  <c r="G43" i="8" s="1"/>
  <c r="B43" i="8"/>
  <c r="C43" i="8" s="1"/>
  <c r="A44" i="8"/>
  <c r="G44" i="8" s="1"/>
  <c r="B44" i="8"/>
  <c r="D44" i="8" s="1"/>
  <c r="A45" i="8"/>
  <c r="G45" i="8" s="1"/>
  <c r="B45" i="8"/>
  <c r="C45" i="8" s="1"/>
  <c r="A46" i="8"/>
  <c r="G46" i="8" s="1"/>
  <c r="B46" i="8"/>
  <c r="D46" i="8" s="1"/>
  <c r="A47" i="8"/>
  <c r="G47" i="8" s="1"/>
  <c r="B47" i="8"/>
  <c r="D47" i="8" s="1"/>
  <c r="A48" i="8"/>
  <c r="G48" i="8" s="1"/>
  <c r="B48" i="8"/>
  <c r="C48" i="8" s="1"/>
  <c r="A49" i="8"/>
  <c r="G49" i="8" s="1"/>
  <c r="B49" i="8"/>
  <c r="C49" i="8" s="1"/>
  <c r="A50" i="8"/>
  <c r="G50" i="8" s="1"/>
  <c r="B50" i="8"/>
  <c r="C50" i="8" s="1"/>
  <c r="A51" i="8"/>
  <c r="G51" i="8" s="1"/>
  <c r="B51" i="8"/>
  <c r="C51" i="8" s="1"/>
  <c r="A52" i="8"/>
  <c r="G52" i="8" s="1"/>
  <c r="B52" i="8"/>
  <c r="D52" i="8" s="1"/>
  <c r="A53" i="8"/>
  <c r="G53" i="8" s="1"/>
  <c r="B53" i="8"/>
  <c r="D53" i="8" s="1"/>
  <c r="A54" i="8"/>
  <c r="G54" i="8" s="1"/>
  <c r="B54" i="8"/>
  <c r="C54" i="8" s="1"/>
  <c r="C2" i="8"/>
  <c r="B3" i="8"/>
  <c r="C3" i="8" s="1"/>
  <c r="B4" i="8"/>
  <c r="D4" i="8" s="1"/>
  <c r="B5" i="8"/>
  <c r="C5" i="8" s="1"/>
  <c r="B6" i="8"/>
  <c r="C6" i="8" s="1"/>
  <c r="B7" i="8"/>
  <c r="C7" i="8" s="1"/>
  <c r="B8" i="8"/>
  <c r="B9" i="8"/>
  <c r="D9" i="8" s="1"/>
  <c r="B10" i="8"/>
  <c r="C10" i="8" s="1"/>
  <c r="B11" i="8"/>
  <c r="C11" i="8" s="1"/>
  <c r="B12" i="8"/>
  <c r="B13" i="8"/>
  <c r="D13" i="8" s="1"/>
  <c r="B14" i="8"/>
  <c r="D14" i="8" s="1"/>
  <c r="B15" i="8"/>
  <c r="C15" i="8" s="1"/>
  <c r="B16" i="8"/>
  <c r="D16" i="8" s="1"/>
  <c r="B17" i="8"/>
  <c r="D17" i="8" s="1"/>
  <c r="B18" i="8"/>
  <c r="C18" i="8" s="1"/>
  <c r="B19" i="8"/>
  <c r="D19" i="8" s="1"/>
  <c r="A3" i="8"/>
  <c r="G3" i="8" s="1"/>
  <c r="H3" i="8"/>
  <c r="I3" i="8" s="1"/>
  <c r="A4" i="8"/>
  <c r="G4" i="8" s="1"/>
  <c r="H4" i="8"/>
  <c r="I4" i="8" s="1"/>
  <c r="A5" i="8"/>
  <c r="G5" i="8" s="1"/>
  <c r="H5" i="8"/>
  <c r="I5" i="8" s="1"/>
  <c r="A6" i="8"/>
  <c r="G6" i="8" s="1"/>
  <c r="H6" i="8"/>
  <c r="J6" i="8" s="1"/>
  <c r="A7" i="8"/>
  <c r="G7" i="8" s="1"/>
  <c r="H7" i="8"/>
  <c r="I7" i="8" s="1"/>
  <c r="A8" i="8"/>
  <c r="G8" i="8" s="1"/>
  <c r="H8" i="8"/>
  <c r="I8" i="8" s="1"/>
  <c r="A9" i="8"/>
  <c r="G9" i="8" s="1"/>
  <c r="H9" i="8"/>
  <c r="I9" i="8" s="1"/>
  <c r="A10" i="8"/>
  <c r="G10" i="8" s="1"/>
  <c r="H10" i="8"/>
  <c r="J10" i="8" s="1"/>
  <c r="A11" i="8"/>
  <c r="G11" i="8" s="1"/>
  <c r="H11" i="8"/>
  <c r="I11" i="8" s="1"/>
  <c r="A12" i="8"/>
  <c r="G12" i="8" s="1"/>
  <c r="H12" i="8"/>
  <c r="I12" i="8" s="1"/>
  <c r="A13" i="8"/>
  <c r="G13" i="8" s="1"/>
  <c r="H13" i="8"/>
  <c r="I13" i="8" s="1"/>
  <c r="A14" i="8"/>
  <c r="G14" i="8" s="1"/>
  <c r="H14" i="8"/>
  <c r="J14" i="8" s="1"/>
  <c r="A15" i="8"/>
  <c r="G15" i="8" s="1"/>
  <c r="H15" i="8"/>
  <c r="I15" i="8" s="1"/>
  <c r="A16" i="8"/>
  <c r="G16" i="8" s="1"/>
  <c r="H16" i="8"/>
  <c r="I16" i="8" s="1"/>
  <c r="A17" i="8"/>
  <c r="G17" i="8" s="1"/>
  <c r="H17" i="8"/>
  <c r="I17" i="8" s="1"/>
  <c r="A18" i="8"/>
  <c r="G18" i="8" s="1"/>
  <c r="H18" i="8"/>
  <c r="J18" i="8" s="1"/>
  <c r="A19" i="8"/>
  <c r="G19" i="8" s="1"/>
  <c r="H19" i="8"/>
  <c r="I19" i="8" s="1"/>
  <c r="H2" i="8"/>
  <c r="J2" i="8" s="1"/>
  <c r="A2" i="8"/>
  <c r="G2" i="8" s="1"/>
  <c r="V16" i="1"/>
  <c r="AQ13" i="1" l="1"/>
  <c r="AP14" i="1"/>
  <c r="C109" i="8"/>
  <c r="E109" i="8" s="1"/>
  <c r="I452" i="8"/>
  <c r="K452" i="8" s="1"/>
  <c r="J672" i="8"/>
  <c r="K672" i="8" s="1"/>
  <c r="J928" i="8"/>
  <c r="K928" i="8" s="1"/>
  <c r="I827" i="8"/>
  <c r="K827" i="8" s="1"/>
  <c r="I259" i="8"/>
  <c r="K259" i="8" s="1"/>
  <c r="C723" i="8"/>
  <c r="E723" i="8" s="1"/>
  <c r="I699" i="8"/>
  <c r="K699" i="8" s="1"/>
  <c r="D673" i="8"/>
  <c r="E673" i="8" s="1"/>
  <c r="J575" i="8"/>
  <c r="K575" i="8" s="1"/>
  <c r="C565" i="8"/>
  <c r="E565" i="8" s="1"/>
  <c r="C259" i="8"/>
  <c r="E259" i="8" s="1"/>
  <c r="I879" i="8"/>
  <c r="K879" i="8" s="1"/>
  <c r="I307" i="8"/>
  <c r="K307" i="8" s="1"/>
  <c r="D522" i="8"/>
  <c r="E522" i="8" s="1"/>
  <c r="I260" i="8"/>
  <c r="K260" i="8" s="1"/>
  <c r="D939" i="8"/>
  <c r="E939" i="8" s="1"/>
  <c r="D832" i="8"/>
  <c r="E832" i="8" s="1"/>
  <c r="J427" i="8"/>
  <c r="K427" i="8" s="1"/>
  <c r="I951" i="8"/>
  <c r="K951" i="8" s="1"/>
  <c r="J460" i="8"/>
  <c r="K460" i="8" s="1"/>
  <c r="J352" i="8"/>
  <c r="K352" i="8" s="1"/>
  <c r="J256" i="8"/>
  <c r="K256" i="8" s="1"/>
  <c r="D442" i="8"/>
  <c r="E442" i="8" s="1"/>
  <c r="D833" i="8"/>
  <c r="E833" i="8" s="1"/>
  <c r="J325" i="8"/>
  <c r="K325" i="8" s="1"/>
  <c r="D958" i="8"/>
  <c r="E958" i="8" s="1"/>
  <c r="J724" i="8"/>
  <c r="K724" i="8" s="1"/>
  <c r="C546" i="8"/>
  <c r="E546" i="8" s="1"/>
  <c r="D307" i="8"/>
  <c r="E307" i="8" s="1"/>
  <c r="C123" i="8"/>
  <c r="E123" i="8" s="1"/>
  <c r="J924" i="8"/>
  <c r="K924" i="8" s="1"/>
  <c r="J649" i="8"/>
  <c r="K649" i="8" s="1"/>
  <c r="J354" i="8"/>
  <c r="K354" i="8" s="1"/>
  <c r="I171" i="8"/>
  <c r="K171" i="8" s="1"/>
  <c r="C59" i="8"/>
  <c r="E59" i="8" s="1"/>
  <c r="J926" i="8"/>
  <c r="K926" i="8" s="1"/>
  <c r="C855" i="8"/>
  <c r="E855" i="8" s="1"/>
  <c r="J740" i="8"/>
  <c r="K740" i="8" s="1"/>
  <c r="C700" i="8"/>
  <c r="E700" i="8" s="1"/>
  <c r="I188" i="8"/>
  <c r="K188" i="8" s="1"/>
  <c r="D186" i="8"/>
  <c r="E186" i="8" s="1"/>
  <c r="D158" i="8"/>
  <c r="E158" i="8" s="1"/>
  <c r="J884" i="8"/>
  <c r="K884" i="8" s="1"/>
  <c r="C28" i="8"/>
  <c r="E28" i="8" s="1"/>
  <c r="I744" i="8"/>
  <c r="K744" i="8" s="1"/>
  <c r="J392" i="8"/>
  <c r="K392" i="8" s="1"/>
  <c r="D299" i="8"/>
  <c r="E299" i="8" s="1"/>
  <c r="D251" i="8"/>
  <c r="E251" i="8" s="1"/>
  <c r="D884" i="8"/>
  <c r="E884" i="8" s="1"/>
  <c r="D869" i="8"/>
  <c r="E869" i="8" s="1"/>
  <c r="D789" i="8"/>
  <c r="E789" i="8" s="1"/>
  <c r="D658" i="8"/>
  <c r="E658" i="8" s="1"/>
  <c r="D550" i="8"/>
  <c r="E550" i="8" s="1"/>
  <c r="D457" i="8"/>
  <c r="E457" i="8" s="1"/>
  <c r="I830" i="8"/>
  <c r="K830" i="8" s="1"/>
  <c r="C815" i="8"/>
  <c r="E815" i="8" s="1"/>
  <c r="C711" i="8"/>
  <c r="E711" i="8" s="1"/>
  <c r="J665" i="8"/>
  <c r="K665" i="8" s="1"/>
  <c r="D493" i="8"/>
  <c r="E493" i="8" s="1"/>
  <c r="I423" i="8"/>
  <c r="K423" i="8" s="1"/>
  <c r="I130" i="8"/>
  <c r="K130" i="8" s="1"/>
  <c r="D957" i="8"/>
  <c r="E957" i="8" s="1"/>
  <c r="J844" i="8"/>
  <c r="K844" i="8" s="1"/>
  <c r="J752" i="8"/>
  <c r="K752" i="8" s="1"/>
  <c r="D479" i="8"/>
  <c r="E479" i="8" s="1"/>
  <c r="I451" i="8"/>
  <c r="K451" i="8" s="1"/>
  <c r="D449" i="8"/>
  <c r="E449" i="8" s="1"/>
  <c r="C447" i="8"/>
  <c r="E447" i="8" s="1"/>
  <c r="D383" i="8"/>
  <c r="E383" i="8" s="1"/>
  <c r="J71" i="8"/>
  <c r="K71" i="8" s="1"/>
  <c r="C819" i="8"/>
  <c r="E819" i="8" s="1"/>
  <c r="C562" i="8"/>
  <c r="E562" i="8" s="1"/>
  <c r="C783" i="8"/>
  <c r="E783" i="8" s="1"/>
  <c r="I552" i="8"/>
  <c r="K552" i="8" s="1"/>
  <c r="J535" i="8"/>
  <c r="K535" i="8" s="1"/>
  <c r="C277" i="8"/>
  <c r="E277" i="8" s="1"/>
  <c r="D161" i="8"/>
  <c r="E161" i="8" s="1"/>
  <c r="I149" i="8"/>
  <c r="K149" i="8" s="1"/>
  <c r="C147" i="8"/>
  <c r="E147" i="8" s="1"/>
  <c r="C106" i="8"/>
  <c r="E106" i="8" s="1"/>
  <c r="D91" i="8"/>
  <c r="E91" i="8" s="1"/>
  <c r="D919" i="8"/>
  <c r="E919" i="8" s="1"/>
  <c r="J756" i="8"/>
  <c r="K756" i="8" s="1"/>
  <c r="I428" i="8"/>
  <c r="K428" i="8" s="1"/>
  <c r="J83" i="8"/>
  <c r="K83" i="8" s="1"/>
  <c r="J808" i="8"/>
  <c r="K808" i="8" s="1"/>
  <c r="C691" i="8"/>
  <c r="E691" i="8" s="1"/>
  <c r="J556" i="8"/>
  <c r="K556" i="8" s="1"/>
  <c r="C554" i="8"/>
  <c r="E554" i="8" s="1"/>
  <c r="C151" i="8"/>
  <c r="E151" i="8" s="1"/>
  <c r="C33" i="8"/>
  <c r="E33" i="8" s="1"/>
  <c r="D863" i="8"/>
  <c r="E863" i="8" s="1"/>
  <c r="I815" i="8"/>
  <c r="K815" i="8" s="1"/>
  <c r="I743" i="8"/>
  <c r="K743" i="8" s="1"/>
  <c r="I503" i="8"/>
  <c r="K503" i="8" s="1"/>
  <c r="J355" i="8"/>
  <c r="K355" i="8" s="1"/>
  <c r="J353" i="8"/>
  <c r="K353" i="8" s="1"/>
  <c r="I299" i="8"/>
  <c r="K299" i="8" s="1"/>
  <c r="J977" i="8"/>
  <c r="K977" i="8" s="1"/>
  <c r="I972" i="8"/>
  <c r="K972" i="8" s="1"/>
  <c r="D935" i="8"/>
  <c r="E935" i="8" s="1"/>
  <c r="J894" i="8"/>
  <c r="K894" i="8" s="1"/>
  <c r="C875" i="8"/>
  <c r="E875" i="8" s="1"/>
  <c r="I447" i="8"/>
  <c r="K447" i="8" s="1"/>
  <c r="D162" i="8"/>
  <c r="E162" i="8" s="1"/>
  <c r="I155" i="8"/>
  <c r="K155" i="8" s="1"/>
  <c r="C97" i="8"/>
  <c r="E97" i="8" s="1"/>
  <c r="J657" i="8"/>
  <c r="K657" i="8" s="1"/>
  <c r="D477" i="8"/>
  <c r="E477" i="8" s="1"/>
  <c r="J368" i="8"/>
  <c r="K368" i="8" s="1"/>
  <c r="D331" i="8"/>
  <c r="E331" i="8" s="1"/>
  <c r="I229" i="8"/>
  <c r="K229" i="8" s="1"/>
  <c r="J214" i="8"/>
  <c r="K214" i="8" s="1"/>
  <c r="D193" i="8"/>
  <c r="E193" i="8" s="1"/>
  <c r="I160" i="8"/>
  <c r="K160" i="8" s="1"/>
  <c r="C154" i="8"/>
  <c r="E154" i="8" s="1"/>
  <c r="C127" i="8"/>
  <c r="E127" i="8" s="1"/>
  <c r="J112" i="8"/>
  <c r="K112" i="8" s="1"/>
  <c r="J86" i="8"/>
  <c r="K86" i="8" s="1"/>
  <c r="I82" i="8"/>
  <c r="K82" i="8" s="1"/>
  <c r="D37" i="8"/>
  <c r="E37" i="8" s="1"/>
  <c r="C907" i="8"/>
  <c r="E907" i="8" s="1"/>
  <c r="J846" i="8"/>
  <c r="K846" i="8" s="1"/>
  <c r="D805" i="8"/>
  <c r="E805" i="8" s="1"/>
  <c r="J778" i="8"/>
  <c r="K778" i="8" s="1"/>
  <c r="D776" i="8"/>
  <c r="E776" i="8" s="1"/>
  <c r="J766" i="8"/>
  <c r="K766" i="8" s="1"/>
  <c r="J754" i="8"/>
  <c r="K754" i="8" s="1"/>
  <c r="J691" i="8"/>
  <c r="K691" i="8" s="1"/>
  <c r="I684" i="8"/>
  <c r="K684" i="8" s="1"/>
  <c r="I930" i="8"/>
  <c r="K930" i="8" s="1"/>
  <c r="D917" i="8"/>
  <c r="E917" i="8" s="1"/>
  <c r="I668" i="8"/>
  <c r="K668" i="8" s="1"/>
  <c r="C564" i="8"/>
  <c r="E564" i="8" s="1"/>
  <c r="J555" i="8"/>
  <c r="K555" i="8" s="1"/>
  <c r="J516" i="8"/>
  <c r="K516" i="8" s="1"/>
  <c r="D426" i="8"/>
  <c r="E426" i="8" s="1"/>
  <c r="D391" i="8"/>
  <c r="E391" i="8" s="1"/>
  <c r="I323" i="8"/>
  <c r="K323" i="8" s="1"/>
  <c r="J252" i="8"/>
  <c r="K252" i="8" s="1"/>
  <c r="D214" i="8"/>
  <c r="E214" i="8" s="1"/>
  <c r="J209" i="8"/>
  <c r="K209" i="8" s="1"/>
  <c r="C119" i="8"/>
  <c r="E119" i="8" s="1"/>
  <c r="I102" i="8"/>
  <c r="K102" i="8" s="1"/>
  <c r="I63" i="8"/>
  <c r="K63" i="8" s="1"/>
  <c r="J27" i="8"/>
  <c r="K27" i="8" s="1"/>
  <c r="I983" i="8"/>
  <c r="K983" i="8" s="1"/>
  <c r="D887" i="8"/>
  <c r="E887" i="8" s="1"/>
  <c r="J794" i="8"/>
  <c r="K794" i="8" s="1"/>
  <c r="D768" i="8"/>
  <c r="E768" i="8" s="1"/>
  <c r="C642" i="8"/>
  <c r="E642" i="8" s="1"/>
  <c r="J872" i="8"/>
  <c r="K872" i="8" s="1"/>
  <c r="I855" i="8"/>
  <c r="K855" i="8" s="1"/>
  <c r="J513" i="8"/>
  <c r="K513" i="8" s="1"/>
  <c r="J508" i="8"/>
  <c r="K508" i="8" s="1"/>
  <c r="C471" i="8"/>
  <c r="E471" i="8" s="1"/>
  <c r="D466" i="8"/>
  <c r="E466" i="8" s="1"/>
  <c r="J415" i="8"/>
  <c r="K415" i="8" s="1"/>
  <c r="D408" i="8"/>
  <c r="E408" i="8" s="1"/>
  <c r="C395" i="8"/>
  <c r="E395" i="8" s="1"/>
  <c r="C310" i="8"/>
  <c r="E310" i="8" s="1"/>
  <c r="D263" i="8"/>
  <c r="E263" i="8" s="1"/>
  <c r="J250" i="8"/>
  <c r="K250" i="8" s="1"/>
  <c r="I215" i="8"/>
  <c r="K215" i="8" s="1"/>
  <c r="D201" i="8"/>
  <c r="E201" i="8" s="1"/>
  <c r="I177" i="8"/>
  <c r="K177" i="8" s="1"/>
  <c r="I172" i="8"/>
  <c r="K172" i="8" s="1"/>
  <c r="I165" i="8"/>
  <c r="K165" i="8" s="1"/>
  <c r="I157" i="8"/>
  <c r="K157" i="8" s="1"/>
  <c r="J99" i="8"/>
  <c r="K99" i="8" s="1"/>
  <c r="D65" i="8"/>
  <c r="E65" i="8" s="1"/>
  <c r="D983" i="8"/>
  <c r="E983" i="8" s="1"/>
  <c r="J936" i="8"/>
  <c r="K936" i="8" s="1"/>
  <c r="I925" i="8"/>
  <c r="K925" i="8" s="1"/>
  <c r="I903" i="8"/>
  <c r="K903" i="8" s="1"/>
  <c r="C843" i="8"/>
  <c r="E843" i="8" s="1"/>
  <c r="C775" i="8"/>
  <c r="E775" i="8" s="1"/>
  <c r="J760" i="8"/>
  <c r="K760" i="8" s="1"/>
  <c r="J748" i="8"/>
  <c r="K748" i="8" s="1"/>
  <c r="C739" i="8"/>
  <c r="E739" i="8" s="1"/>
  <c r="I731" i="8"/>
  <c r="K731" i="8" s="1"/>
  <c r="I683" i="8"/>
  <c r="K683" i="8" s="1"/>
  <c r="D681" i="8"/>
  <c r="E681" i="8" s="1"/>
  <c r="J648" i="8"/>
  <c r="K648" i="8" s="1"/>
  <c r="I641" i="8"/>
  <c r="K641" i="8" s="1"/>
  <c r="J540" i="8"/>
  <c r="K540" i="8" s="1"/>
  <c r="C334" i="8"/>
  <c r="E334" i="8" s="1"/>
  <c r="J292" i="8"/>
  <c r="K292" i="8" s="1"/>
  <c r="J272" i="8"/>
  <c r="K272" i="8" s="1"/>
  <c r="D235" i="8"/>
  <c r="E235" i="8" s="1"/>
  <c r="C165" i="8"/>
  <c r="E165" i="8" s="1"/>
  <c r="D135" i="8"/>
  <c r="E135" i="8" s="1"/>
  <c r="J103" i="8"/>
  <c r="K103" i="8" s="1"/>
  <c r="D99" i="8"/>
  <c r="E99" i="8" s="1"/>
  <c r="D71" i="8"/>
  <c r="E71" i="8" s="1"/>
  <c r="C69" i="8"/>
  <c r="E69" i="8" s="1"/>
  <c r="I984" i="8"/>
  <c r="K984" i="8" s="1"/>
  <c r="J940" i="8"/>
  <c r="K940" i="8" s="1"/>
  <c r="C903" i="8"/>
  <c r="E903" i="8" s="1"/>
  <c r="J810" i="8"/>
  <c r="K810" i="8" s="1"/>
  <c r="I795" i="8"/>
  <c r="K795" i="8" s="1"/>
  <c r="I783" i="8"/>
  <c r="K783" i="8" s="1"/>
  <c r="C731" i="8"/>
  <c r="E731" i="8" s="1"/>
  <c r="C683" i="8"/>
  <c r="E683" i="8" s="1"/>
  <c r="J673" i="8"/>
  <c r="K673" i="8" s="1"/>
  <c r="C667" i="8"/>
  <c r="E667" i="8" s="1"/>
  <c r="J572" i="8"/>
  <c r="K572" i="8" s="1"/>
  <c r="C558" i="8"/>
  <c r="E558" i="8" s="1"/>
  <c r="D556" i="8"/>
  <c r="E556" i="8" s="1"/>
  <c r="C495" i="8"/>
  <c r="E495" i="8" s="1"/>
  <c r="I455" i="8"/>
  <c r="K455" i="8" s="1"/>
  <c r="I948" i="8"/>
  <c r="K948" i="8" s="1"/>
  <c r="D868" i="8"/>
  <c r="E868" i="8" s="1"/>
  <c r="I866" i="8"/>
  <c r="K866" i="8" s="1"/>
  <c r="D812" i="8"/>
  <c r="E812" i="8" s="1"/>
  <c r="D801" i="8"/>
  <c r="E801" i="8" s="1"/>
  <c r="C799" i="8"/>
  <c r="E799" i="8" s="1"/>
  <c r="J440" i="8"/>
  <c r="K440" i="8" s="1"/>
  <c r="J286" i="8"/>
  <c r="K286" i="8" s="1"/>
  <c r="J143" i="8"/>
  <c r="K143" i="8" s="1"/>
  <c r="D89" i="8"/>
  <c r="E89" i="8" s="1"/>
  <c r="C53" i="8"/>
  <c r="E53" i="8" s="1"/>
  <c r="D979" i="8"/>
  <c r="E979" i="8" s="1"/>
  <c r="D975" i="8"/>
  <c r="E975" i="8" s="1"/>
  <c r="C923" i="8"/>
  <c r="E923" i="8" s="1"/>
  <c r="J918" i="8"/>
  <c r="K918" i="8" s="1"/>
  <c r="J904" i="8"/>
  <c r="K904" i="8" s="1"/>
  <c r="C879" i="8"/>
  <c r="E879" i="8" s="1"/>
  <c r="D848" i="8"/>
  <c r="E848" i="8" s="1"/>
  <c r="D751" i="8"/>
  <c r="E751" i="8" s="1"/>
  <c r="I738" i="8"/>
  <c r="K738" i="8" s="1"/>
  <c r="D728" i="8"/>
  <c r="E728" i="8" s="1"/>
  <c r="I719" i="8"/>
  <c r="K719" i="8" s="1"/>
  <c r="I658" i="8"/>
  <c r="K658" i="8" s="1"/>
  <c r="D652" i="8"/>
  <c r="E652" i="8" s="1"/>
  <c r="J566" i="8"/>
  <c r="K566" i="8" s="1"/>
  <c r="J564" i="8"/>
  <c r="K564" i="8" s="1"/>
  <c r="I560" i="8"/>
  <c r="K560" i="8" s="1"/>
  <c r="C532" i="8"/>
  <c r="E532" i="8" s="1"/>
  <c r="I448" i="8"/>
  <c r="K448" i="8" s="1"/>
  <c r="D433" i="8"/>
  <c r="E433" i="8" s="1"/>
  <c r="D413" i="8"/>
  <c r="E413" i="8" s="1"/>
  <c r="J406" i="8"/>
  <c r="K406" i="8" s="1"/>
  <c r="J394" i="8"/>
  <c r="K394" i="8" s="1"/>
  <c r="D388" i="8"/>
  <c r="E388" i="8" s="1"/>
  <c r="D337" i="8"/>
  <c r="E337" i="8" s="1"/>
  <c r="J311" i="8"/>
  <c r="K311" i="8" s="1"/>
  <c r="I309" i="8"/>
  <c r="K309" i="8" s="1"/>
  <c r="C291" i="8"/>
  <c r="E291" i="8" s="1"/>
  <c r="D284" i="8"/>
  <c r="E284" i="8" s="1"/>
  <c r="D282" i="8"/>
  <c r="E282" i="8" s="1"/>
  <c r="I275" i="8"/>
  <c r="K275" i="8" s="1"/>
  <c r="I242" i="8"/>
  <c r="K242" i="8" s="1"/>
  <c r="J240" i="8"/>
  <c r="K240" i="8" s="1"/>
  <c r="D227" i="8"/>
  <c r="E227" i="8" s="1"/>
  <c r="I212" i="8"/>
  <c r="K212" i="8" s="1"/>
  <c r="I164" i="8"/>
  <c r="K164" i="8" s="1"/>
  <c r="I145" i="8"/>
  <c r="K145" i="8" s="1"/>
  <c r="D139" i="8"/>
  <c r="E139" i="8" s="1"/>
  <c r="C111" i="8"/>
  <c r="E111" i="8" s="1"/>
  <c r="C103" i="8"/>
  <c r="E103" i="8" s="1"/>
  <c r="D101" i="8"/>
  <c r="E101" i="8" s="1"/>
  <c r="I95" i="8"/>
  <c r="K95" i="8" s="1"/>
  <c r="I85" i="8"/>
  <c r="K85" i="8" s="1"/>
  <c r="D61" i="8"/>
  <c r="E61" i="8" s="1"/>
  <c r="J910" i="8"/>
  <c r="K910" i="8" s="1"/>
  <c r="J852" i="8"/>
  <c r="K852" i="8" s="1"/>
  <c r="D841" i="8"/>
  <c r="E841" i="8" s="1"/>
  <c r="C759" i="8"/>
  <c r="E759" i="8" s="1"/>
  <c r="D746" i="8"/>
  <c r="E746" i="8" s="1"/>
  <c r="D698" i="8"/>
  <c r="E698" i="8" s="1"/>
  <c r="C643" i="8"/>
  <c r="E643" i="8" s="1"/>
  <c r="J533" i="8"/>
  <c r="K533" i="8" s="1"/>
  <c r="C265" i="8"/>
  <c r="E265" i="8" s="1"/>
  <c r="I217" i="8"/>
  <c r="K217" i="8" s="1"/>
  <c r="D143" i="8"/>
  <c r="E143" i="8" s="1"/>
  <c r="D131" i="8"/>
  <c r="E131" i="8" s="1"/>
  <c r="J967" i="8"/>
  <c r="K967" i="8" s="1"/>
  <c r="I965" i="8"/>
  <c r="K965" i="8" s="1"/>
  <c r="J947" i="8"/>
  <c r="K947" i="8" s="1"/>
  <c r="D900" i="8"/>
  <c r="E900" i="8" s="1"/>
  <c r="I895" i="8"/>
  <c r="K895" i="8" s="1"/>
  <c r="I878" i="8"/>
  <c r="K878" i="8" s="1"/>
  <c r="J824" i="8"/>
  <c r="K824" i="8" s="1"/>
  <c r="D780" i="8"/>
  <c r="E780" i="8" s="1"/>
  <c r="I729" i="8"/>
  <c r="K729" i="8" s="1"/>
  <c r="I676" i="8"/>
  <c r="K676" i="8" s="1"/>
  <c r="D668" i="8"/>
  <c r="E668" i="8" s="1"/>
  <c r="I664" i="8"/>
  <c r="K664" i="8" s="1"/>
  <c r="I541" i="8"/>
  <c r="K541" i="8" s="1"/>
  <c r="D537" i="8"/>
  <c r="E537" i="8" s="1"/>
  <c r="C524" i="8"/>
  <c r="E524" i="8" s="1"/>
  <c r="J499" i="8"/>
  <c r="K499" i="8" s="1"/>
  <c r="J459" i="8"/>
  <c r="K459" i="8" s="1"/>
  <c r="I457" i="8"/>
  <c r="K457" i="8" s="1"/>
  <c r="I391" i="8"/>
  <c r="K391" i="8" s="1"/>
  <c r="D380" i="8"/>
  <c r="E380" i="8" s="1"/>
  <c r="J331" i="8"/>
  <c r="K331" i="8" s="1"/>
  <c r="I283" i="8"/>
  <c r="K283" i="8" s="1"/>
  <c r="I230" i="8"/>
  <c r="K230" i="8" s="1"/>
  <c r="J228" i="8"/>
  <c r="K228" i="8" s="1"/>
  <c r="D224" i="8"/>
  <c r="E224" i="8" s="1"/>
  <c r="I207" i="8"/>
  <c r="K207" i="8" s="1"/>
  <c r="J205" i="8"/>
  <c r="K205" i="8" s="1"/>
  <c r="D157" i="8"/>
  <c r="E157" i="8" s="1"/>
  <c r="D155" i="8"/>
  <c r="E155" i="8" s="1"/>
  <c r="D85" i="8"/>
  <c r="E85" i="8" s="1"/>
  <c r="J66" i="8"/>
  <c r="K66" i="8" s="1"/>
  <c r="C969" i="8"/>
  <c r="E969" i="8" s="1"/>
  <c r="D961" i="8"/>
  <c r="E961" i="8" s="1"/>
  <c r="J938" i="8"/>
  <c r="K938" i="8" s="1"/>
  <c r="I934" i="8"/>
  <c r="K934" i="8" s="1"/>
  <c r="D893" i="8"/>
  <c r="E893" i="8" s="1"/>
  <c r="C891" i="8"/>
  <c r="E891" i="8" s="1"/>
  <c r="J860" i="8"/>
  <c r="K860" i="8" s="1"/>
  <c r="D752" i="8"/>
  <c r="E752" i="8" s="1"/>
  <c r="I737" i="8"/>
  <c r="K737" i="8" s="1"/>
  <c r="I720" i="8"/>
  <c r="K720" i="8" s="1"/>
  <c r="I680" i="8"/>
  <c r="K680" i="8" s="1"/>
  <c r="I655" i="8"/>
  <c r="K655" i="8" s="1"/>
  <c r="I638" i="8"/>
  <c r="K638" i="8" s="1"/>
  <c r="C580" i="8"/>
  <c r="E580" i="8" s="1"/>
  <c r="J545" i="8"/>
  <c r="K545" i="8" s="1"/>
  <c r="I543" i="8"/>
  <c r="K543" i="8" s="1"/>
  <c r="D515" i="8"/>
  <c r="E515" i="8" s="1"/>
  <c r="J463" i="8"/>
  <c r="K463" i="8" s="1"/>
  <c r="D461" i="8"/>
  <c r="E461" i="8" s="1"/>
  <c r="D414" i="8"/>
  <c r="E414" i="8" s="1"/>
  <c r="J407" i="8"/>
  <c r="K407" i="8" s="1"/>
  <c r="J405" i="8"/>
  <c r="K405" i="8" s="1"/>
  <c r="D387" i="8"/>
  <c r="E387" i="8" s="1"/>
  <c r="C375" i="8"/>
  <c r="E375" i="8" s="1"/>
  <c r="D355" i="8"/>
  <c r="E355" i="8" s="1"/>
  <c r="C315" i="8"/>
  <c r="E315" i="8" s="1"/>
  <c r="C281" i="8"/>
  <c r="E281" i="8" s="1"/>
  <c r="I276" i="8"/>
  <c r="K276" i="8" s="1"/>
  <c r="C237" i="8"/>
  <c r="E237" i="8" s="1"/>
  <c r="D219" i="8"/>
  <c r="E219" i="8" s="1"/>
  <c r="C217" i="8"/>
  <c r="E217" i="8" s="1"/>
  <c r="D203" i="8"/>
  <c r="E203" i="8" s="1"/>
  <c r="I196" i="8"/>
  <c r="K196" i="8" s="1"/>
  <c r="I183" i="8"/>
  <c r="K183" i="8" s="1"/>
  <c r="D174" i="8"/>
  <c r="E174" i="8" s="1"/>
  <c r="J98" i="8"/>
  <c r="K98" i="8" s="1"/>
  <c r="I94" i="8"/>
  <c r="K94" i="8" s="1"/>
  <c r="I70" i="8"/>
  <c r="K70" i="8" s="1"/>
  <c r="C55" i="8"/>
  <c r="E55" i="8" s="1"/>
  <c r="J979" i="8"/>
  <c r="K979" i="8" s="1"/>
  <c r="I975" i="8"/>
  <c r="K975" i="8" s="1"/>
  <c r="J953" i="8"/>
  <c r="K953" i="8" s="1"/>
  <c r="D947" i="8"/>
  <c r="E947" i="8" s="1"/>
  <c r="D901" i="8"/>
  <c r="E901" i="8" s="1"/>
  <c r="I886" i="8"/>
  <c r="K886" i="8" s="1"/>
  <c r="D860" i="8"/>
  <c r="E860" i="8" s="1"/>
  <c r="D840" i="8"/>
  <c r="E840" i="8" s="1"/>
  <c r="D821" i="8"/>
  <c r="E821" i="8" s="1"/>
  <c r="J792" i="8"/>
  <c r="K792" i="8" s="1"/>
  <c r="D745" i="8"/>
  <c r="E745" i="8" s="1"/>
  <c r="J734" i="8"/>
  <c r="K734" i="8" s="1"/>
  <c r="J732" i="8"/>
  <c r="K732" i="8" s="1"/>
  <c r="I726" i="8"/>
  <c r="K726" i="8" s="1"/>
  <c r="C680" i="8"/>
  <c r="E680" i="8" s="1"/>
  <c r="D669" i="8"/>
  <c r="E669" i="8" s="1"/>
  <c r="D661" i="8"/>
  <c r="E661" i="8" s="1"/>
  <c r="D646" i="8"/>
  <c r="E646" i="8" s="1"/>
  <c r="D644" i="8"/>
  <c r="E644" i="8" s="1"/>
  <c r="C553" i="8"/>
  <c r="E553" i="8" s="1"/>
  <c r="J546" i="8"/>
  <c r="K546" i="8" s="1"/>
  <c r="D519" i="8"/>
  <c r="E519" i="8" s="1"/>
  <c r="I512" i="8"/>
  <c r="K512" i="8" s="1"/>
  <c r="D489" i="8"/>
  <c r="E489" i="8" s="1"/>
  <c r="D465" i="8"/>
  <c r="E465" i="8" s="1"/>
  <c r="D445" i="8"/>
  <c r="E445" i="8" s="1"/>
  <c r="J431" i="8"/>
  <c r="K431" i="8" s="1"/>
  <c r="J402" i="8"/>
  <c r="K402" i="8" s="1"/>
  <c r="J388" i="8"/>
  <c r="K388" i="8" s="1"/>
  <c r="J350" i="8"/>
  <c r="K350" i="8" s="1"/>
  <c r="C306" i="8"/>
  <c r="E306" i="8" s="1"/>
  <c r="I270" i="8"/>
  <c r="K270" i="8" s="1"/>
  <c r="I268" i="8"/>
  <c r="K268" i="8" s="1"/>
  <c r="J262" i="8"/>
  <c r="K262" i="8" s="1"/>
  <c r="J234" i="8"/>
  <c r="K234" i="8" s="1"/>
  <c r="I225" i="8"/>
  <c r="K225" i="8" s="1"/>
  <c r="I208" i="8"/>
  <c r="K208" i="8" s="1"/>
  <c r="D194" i="8"/>
  <c r="E194" i="8" s="1"/>
  <c r="J169" i="8"/>
  <c r="K169" i="8" s="1"/>
  <c r="I159" i="8"/>
  <c r="K159" i="8" s="1"/>
  <c r="D148" i="8"/>
  <c r="E148" i="8" s="1"/>
  <c r="D121" i="8"/>
  <c r="E121" i="8" s="1"/>
  <c r="C107" i="8"/>
  <c r="E107" i="8" s="1"/>
  <c r="J87" i="8"/>
  <c r="K87" i="8" s="1"/>
  <c r="D971" i="8"/>
  <c r="E971" i="8" s="1"/>
  <c r="J920" i="8"/>
  <c r="K920" i="8" s="1"/>
  <c r="J908" i="8"/>
  <c r="K908" i="8" s="1"/>
  <c r="D896" i="8"/>
  <c r="E896" i="8" s="1"/>
  <c r="J892" i="8"/>
  <c r="K892" i="8" s="1"/>
  <c r="D885" i="8"/>
  <c r="E885" i="8" s="1"/>
  <c r="I883" i="8"/>
  <c r="K883" i="8" s="1"/>
  <c r="D881" i="8"/>
  <c r="E881" i="8" s="1"/>
  <c r="D872" i="8"/>
  <c r="E872" i="8" s="1"/>
  <c r="J864" i="8"/>
  <c r="K864" i="8" s="1"/>
  <c r="I847" i="8"/>
  <c r="K847" i="8" s="1"/>
  <c r="D837" i="8"/>
  <c r="E837" i="8" s="1"/>
  <c r="D835" i="8"/>
  <c r="E835" i="8" s="1"/>
  <c r="C831" i="8"/>
  <c r="E831" i="8" s="1"/>
  <c r="J814" i="8"/>
  <c r="K814" i="8" s="1"/>
  <c r="I790" i="8"/>
  <c r="K790" i="8" s="1"/>
  <c r="J788" i="8"/>
  <c r="K788" i="8" s="1"/>
  <c r="I779" i="8"/>
  <c r="K779" i="8" s="1"/>
  <c r="J728" i="8"/>
  <c r="I728" i="8"/>
  <c r="I694" i="8"/>
  <c r="J694" i="8"/>
  <c r="I681" i="8"/>
  <c r="J681" i="8"/>
  <c r="I574" i="8"/>
  <c r="J574" i="8"/>
  <c r="D572" i="8"/>
  <c r="C572" i="8"/>
  <c r="D555" i="8"/>
  <c r="C555" i="8"/>
  <c r="J489" i="8"/>
  <c r="I489" i="8"/>
  <c r="J439" i="8"/>
  <c r="I439" i="8"/>
  <c r="C396" i="8"/>
  <c r="D396" i="8"/>
  <c r="I363" i="8"/>
  <c r="J363" i="8"/>
  <c r="D298" i="8"/>
  <c r="C298" i="8"/>
  <c r="C275" i="8"/>
  <c r="D275" i="8"/>
  <c r="J267" i="8"/>
  <c r="I267" i="8"/>
  <c r="I224" i="8"/>
  <c r="J224" i="8"/>
  <c r="D204" i="8"/>
  <c r="C204" i="8"/>
  <c r="I193" i="8"/>
  <c r="J193" i="8"/>
  <c r="C105" i="8"/>
  <c r="D105" i="8"/>
  <c r="J93" i="8"/>
  <c r="I93" i="8"/>
  <c r="C87" i="8"/>
  <c r="D87" i="8"/>
  <c r="I67" i="8"/>
  <c r="J67" i="8"/>
  <c r="D638" i="8"/>
  <c r="C638" i="8"/>
  <c r="D549" i="8"/>
  <c r="C549" i="8"/>
  <c r="C392" i="8"/>
  <c r="D392" i="8"/>
  <c r="D708" i="8"/>
  <c r="C708" i="8"/>
  <c r="D212" i="8"/>
  <c r="C212" i="8"/>
  <c r="C75" i="8"/>
  <c r="D75" i="8"/>
  <c r="C73" i="8"/>
  <c r="D73" i="8"/>
  <c r="C67" i="8"/>
  <c r="D67" i="8"/>
  <c r="D12" i="8"/>
  <c r="C12" i="8"/>
  <c r="I980" i="8"/>
  <c r="K980" i="8" s="1"/>
  <c r="I968" i="8"/>
  <c r="K968" i="8" s="1"/>
  <c r="D962" i="8"/>
  <c r="E962" i="8" s="1"/>
  <c r="J906" i="8"/>
  <c r="K906" i="8" s="1"/>
  <c r="D888" i="8"/>
  <c r="E888" i="8" s="1"/>
  <c r="I867" i="8"/>
  <c r="K867" i="8" s="1"/>
  <c r="D844" i="8"/>
  <c r="E844" i="8" s="1"/>
  <c r="I842" i="8"/>
  <c r="K842" i="8" s="1"/>
  <c r="J840" i="8"/>
  <c r="K840" i="8" s="1"/>
  <c r="J798" i="8"/>
  <c r="K798" i="8" s="1"/>
  <c r="D796" i="8"/>
  <c r="E796" i="8" s="1"/>
  <c r="D784" i="8"/>
  <c r="E784" i="8" s="1"/>
  <c r="I775" i="8"/>
  <c r="K775" i="8" s="1"/>
  <c r="I767" i="8"/>
  <c r="K767" i="8" s="1"/>
  <c r="C690" i="8"/>
  <c r="D690" i="8"/>
  <c r="J656" i="8"/>
  <c r="I656" i="8"/>
  <c r="I500" i="8"/>
  <c r="J500" i="8"/>
  <c r="C474" i="8"/>
  <c r="D474" i="8"/>
  <c r="I467" i="8"/>
  <c r="J467" i="8"/>
  <c r="D290" i="8"/>
  <c r="C290" i="8"/>
  <c r="J274" i="8"/>
  <c r="I274" i="8"/>
  <c r="I248" i="8"/>
  <c r="J248" i="8"/>
  <c r="D141" i="8"/>
  <c r="C141" i="8"/>
  <c r="I124" i="8"/>
  <c r="J124" i="8"/>
  <c r="D95" i="8"/>
  <c r="C95" i="8"/>
  <c r="C441" i="8"/>
  <c r="D441" i="8"/>
  <c r="C255" i="8"/>
  <c r="D255" i="8"/>
  <c r="J39" i="8"/>
  <c r="K39" i="8" s="1"/>
  <c r="J973" i="8"/>
  <c r="K973" i="8" s="1"/>
  <c r="J963" i="8"/>
  <c r="K963" i="8" s="1"/>
  <c r="D927" i="8"/>
  <c r="E927" i="8" s="1"/>
  <c r="J862" i="8"/>
  <c r="K862" i="8" s="1"/>
  <c r="D847" i="8"/>
  <c r="E847" i="8" s="1"/>
  <c r="D779" i="8"/>
  <c r="E779" i="8" s="1"/>
  <c r="D771" i="8"/>
  <c r="E771" i="8" s="1"/>
  <c r="D712" i="8"/>
  <c r="C712" i="8"/>
  <c r="J674" i="8"/>
  <c r="I674" i="8"/>
  <c r="J647" i="8"/>
  <c r="I647" i="8"/>
  <c r="I372" i="8"/>
  <c r="J372" i="8"/>
  <c r="J278" i="8"/>
  <c r="I278" i="8"/>
  <c r="C239" i="8"/>
  <c r="D239" i="8"/>
  <c r="I232" i="8"/>
  <c r="J232" i="8"/>
  <c r="I213" i="8"/>
  <c r="J213" i="8"/>
  <c r="C209" i="8"/>
  <c r="D209" i="8"/>
  <c r="I62" i="8"/>
  <c r="J62" i="8"/>
  <c r="C706" i="8"/>
  <c r="D706" i="8"/>
  <c r="C497" i="8"/>
  <c r="D497" i="8"/>
  <c r="J191" i="8"/>
  <c r="I191" i="8"/>
  <c r="I730" i="8"/>
  <c r="J730" i="8"/>
  <c r="I710" i="8"/>
  <c r="J710" i="8"/>
  <c r="D579" i="8"/>
  <c r="C579" i="8"/>
  <c r="C574" i="8"/>
  <c r="D574" i="8"/>
  <c r="I550" i="8"/>
  <c r="J550" i="8"/>
  <c r="I327" i="8"/>
  <c r="J327" i="8"/>
  <c r="I226" i="8"/>
  <c r="J226" i="8"/>
  <c r="I201" i="8"/>
  <c r="J201" i="8"/>
  <c r="D134" i="8"/>
  <c r="C134" i="8"/>
  <c r="C25" i="8"/>
  <c r="E25" i="8" s="1"/>
  <c r="J51" i="8"/>
  <c r="K51" i="8" s="1"/>
  <c r="J32" i="8"/>
  <c r="K32" i="8" s="1"/>
  <c r="I952" i="8"/>
  <c r="K952" i="8" s="1"/>
  <c r="J944" i="8"/>
  <c r="K944" i="8" s="1"/>
  <c r="I911" i="8"/>
  <c r="K911" i="8" s="1"/>
  <c r="D904" i="8"/>
  <c r="E904" i="8" s="1"/>
  <c r="J876" i="8"/>
  <c r="K876" i="8" s="1"/>
  <c r="C867" i="8"/>
  <c r="E867" i="8" s="1"/>
  <c r="I863" i="8"/>
  <c r="K863" i="8" s="1"/>
  <c r="D856" i="8"/>
  <c r="E856" i="8" s="1"/>
  <c r="I850" i="8"/>
  <c r="K850" i="8" s="1"/>
  <c r="J828" i="8"/>
  <c r="K828" i="8" s="1"/>
  <c r="I822" i="8"/>
  <c r="K822" i="8" s="1"/>
  <c r="J820" i="8"/>
  <c r="K820" i="8" s="1"/>
  <c r="D808" i="8"/>
  <c r="E808" i="8" s="1"/>
  <c r="I799" i="8"/>
  <c r="K799" i="8" s="1"/>
  <c r="J782" i="8"/>
  <c r="K782" i="8" s="1"/>
  <c r="I763" i="8"/>
  <c r="K763" i="8" s="1"/>
  <c r="D761" i="8"/>
  <c r="E761" i="8" s="1"/>
  <c r="C755" i="8"/>
  <c r="E755" i="8" s="1"/>
  <c r="C714" i="8"/>
  <c r="D714" i="8"/>
  <c r="D693" i="8"/>
  <c r="C693" i="8"/>
  <c r="C649" i="8"/>
  <c r="D649" i="8"/>
  <c r="D568" i="8"/>
  <c r="C568" i="8"/>
  <c r="I504" i="8"/>
  <c r="J504" i="8"/>
  <c r="C372" i="8"/>
  <c r="D372" i="8"/>
  <c r="C317" i="8"/>
  <c r="D317" i="8"/>
  <c r="D294" i="8"/>
  <c r="C294" i="8"/>
  <c r="C266" i="8"/>
  <c r="D266" i="8"/>
  <c r="D243" i="8"/>
  <c r="C243" i="8"/>
  <c r="D221" i="8"/>
  <c r="C221" i="8"/>
  <c r="C205" i="8"/>
  <c r="D205" i="8"/>
  <c r="I185" i="8"/>
  <c r="J185" i="8"/>
  <c r="J176" i="8"/>
  <c r="I176" i="8"/>
  <c r="I144" i="8"/>
  <c r="J144" i="8"/>
  <c r="I135" i="8"/>
  <c r="J135" i="8"/>
  <c r="J981" i="8"/>
  <c r="K981" i="8" s="1"/>
  <c r="J826" i="8"/>
  <c r="K826" i="8" s="1"/>
  <c r="I148" i="8"/>
  <c r="J148" i="8"/>
  <c r="C140" i="8"/>
  <c r="D140" i="8"/>
  <c r="I492" i="8"/>
  <c r="J492" i="8"/>
  <c r="J971" i="8"/>
  <c r="K971" i="8" s="1"/>
  <c r="J961" i="8"/>
  <c r="K961" i="8" s="1"/>
  <c r="J854" i="8"/>
  <c r="K854" i="8" s="1"/>
  <c r="D767" i="8"/>
  <c r="E767" i="8" s="1"/>
  <c r="D735" i="8"/>
  <c r="C735" i="8"/>
  <c r="D716" i="8"/>
  <c r="C716" i="8"/>
  <c r="J711" i="8"/>
  <c r="I711" i="8"/>
  <c r="D704" i="8"/>
  <c r="C704" i="8"/>
  <c r="J666" i="8"/>
  <c r="I666" i="8"/>
  <c r="I557" i="8"/>
  <c r="J557" i="8"/>
  <c r="I515" i="8"/>
  <c r="J515" i="8"/>
  <c r="I464" i="8"/>
  <c r="J464" i="8"/>
  <c r="I435" i="8"/>
  <c r="J435" i="8"/>
  <c r="D431" i="8"/>
  <c r="C431" i="8"/>
  <c r="I420" i="8"/>
  <c r="J420" i="8"/>
  <c r="D335" i="8"/>
  <c r="C335" i="8"/>
  <c r="I280" i="8"/>
  <c r="J280" i="8"/>
  <c r="C198" i="8"/>
  <c r="D198" i="8"/>
  <c r="I189" i="8"/>
  <c r="J189" i="8"/>
  <c r="D8" i="8"/>
  <c r="C8" i="8"/>
  <c r="C38" i="8"/>
  <c r="E38" i="8" s="1"/>
  <c r="I43" i="8"/>
  <c r="K43" i="8" s="1"/>
  <c r="D978" i="8"/>
  <c r="E978" i="8" s="1"/>
  <c r="I976" i="8"/>
  <c r="K976" i="8" s="1"/>
  <c r="D966" i="8"/>
  <c r="E966" i="8" s="1"/>
  <c r="D932" i="8"/>
  <c r="E932" i="8" s="1"/>
  <c r="D913" i="8"/>
  <c r="E913" i="8" s="1"/>
  <c r="I902" i="8"/>
  <c r="K902" i="8" s="1"/>
  <c r="J900" i="8"/>
  <c r="K900" i="8" s="1"/>
  <c r="J874" i="8"/>
  <c r="K874" i="8" s="1"/>
  <c r="I835" i="8"/>
  <c r="K835" i="8" s="1"/>
  <c r="I831" i="8"/>
  <c r="K831" i="8" s="1"/>
  <c r="D828" i="8"/>
  <c r="E828" i="8" s="1"/>
  <c r="D816" i="8"/>
  <c r="E816" i="8" s="1"/>
  <c r="C811" i="8"/>
  <c r="E811" i="8" s="1"/>
  <c r="D803" i="8"/>
  <c r="E803" i="8" s="1"/>
  <c r="D787" i="8"/>
  <c r="E787" i="8" s="1"/>
  <c r="J747" i="8"/>
  <c r="I747" i="8"/>
  <c r="J692" i="8"/>
  <c r="I692" i="8"/>
  <c r="D676" i="8"/>
  <c r="C676" i="8"/>
  <c r="C653" i="8"/>
  <c r="D653" i="8"/>
  <c r="C570" i="8"/>
  <c r="D570" i="8"/>
  <c r="D557" i="8"/>
  <c r="C557" i="8"/>
  <c r="J517" i="8"/>
  <c r="I517" i="8"/>
  <c r="C485" i="8"/>
  <c r="D485" i="8"/>
  <c r="I390" i="8"/>
  <c r="J390" i="8"/>
  <c r="I376" i="8"/>
  <c r="J376" i="8"/>
  <c r="C364" i="8"/>
  <c r="D364" i="8"/>
  <c r="I300" i="8"/>
  <c r="J300" i="8"/>
  <c r="J293" i="8"/>
  <c r="I293" i="8"/>
  <c r="J180" i="8"/>
  <c r="I180" i="8"/>
  <c r="I173" i="8"/>
  <c r="J173" i="8"/>
  <c r="D94" i="8"/>
  <c r="C94" i="8"/>
  <c r="I59" i="8"/>
  <c r="J59" i="8"/>
  <c r="D434" i="8"/>
  <c r="E434" i="8" s="1"/>
  <c r="J432" i="8"/>
  <c r="K432" i="8" s="1"/>
  <c r="D421" i="8"/>
  <c r="E421" i="8" s="1"/>
  <c r="I419" i="8"/>
  <c r="K419" i="8" s="1"/>
  <c r="C373" i="8"/>
  <c r="E373" i="8" s="1"/>
  <c r="J364" i="8"/>
  <c r="K364" i="8" s="1"/>
  <c r="D197" i="8"/>
  <c r="E197" i="8" s="1"/>
  <c r="C181" i="8"/>
  <c r="E181" i="8" s="1"/>
  <c r="I179" i="8"/>
  <c r="K179" i="8" s="1"/>
  <c r="C74" i="8"/>
  <c r="E74" i="8" s="1"/>
  <c r="J58" i="8"/>
  <c r="K58" i="8" s="1"/>
  <c r="D727" i="8"/>
  <c r="E727" i="8" s="1"/>
  <c r="I721" i="8"/>
  <c r="K721" i="8" s="1"/>
  <c r="D720" i="8"/>
  <c r="E720" i="8" s="1"/>
  <c r="J718" i="8"/>
  <c r="K718" i="8" s="1"/>
  <c r="C709" i="8"/>
  <c r="E709" i="8" s="1"/>
  <c r="C639" i="8"/>
  <c r="E639" i="8" s="1"/>
  <c r="J527" i="8"/>
  <c r="K527" i="8" s="1"/>
  <c r="J511" i="8"/>
  <c r="K511" i="8" s="1"/>
  <c r="J484" i="8"/>
  <c r="K484" i="8" s="1"/>
  <c r="D425" i="8"/>
  <c r="E425" i="8" s="1"/>
  <c r="C345" i="8"/>
  <c r="E345" i="8" s="1"/>
  <c r="C330" i="8"/>
  <c r="E330" i="8" s="1"/>
  <c r="C326" i="8"/>
  <c r="E326" i="8" s="1"/>
  <c r="C322" i="8"/>
  <c r="E322" i="8" s="1"/>
  <c r="C303" i="8"/>
  <c r="E303" i="8" s="1"/>
  <c r="I238" i="8"/>
  <c r="K238" i="8" s="1"/>
  <c r="D231" i="8"/>
  <c r="E231" i="8" s="1"/>
  <c r="C213" i="8"/>
  <c r="E213" i="8" s="1"/>
  <c r="I195" i="8"/>
  <c r="K195" i="8" s="1"/>
  <c r="C185" i="8"/>
  <c r="E185" i="8" s="1"/>
  <c r="I168" i="8"/>
  <c r="K168" i="8" s="1"/>
  <c r="C703" i="8"/>
  <c r="E703" i="8" s="1"/>
  <c r="C701" i="8"/>
  <c r="E701" i="8" s="1"/>
  <c r="C648" i="8"/>
  <c r="E648" i="8" s="1"/>
  <c r="I646" i="8"/>
  <c r="K646" i="8" s="1"/>
  <c r="C637" i="8"/>
  <c r="E637" i="8" s="1"/>
  <c r="C569" i="8"/>
  <c r="E569" i="8" s="1"/>
  <c r="J561" i="8"/>
  <c r="K561" i="8" s="1"/>
  <c r="J553" i="8"/>
  <c r="K553" i="8" s="1"/>
  <c r="C548" i="8"/>
  <c r="E548" i="8" s="1"/>
  <c r="D533" i="8"/>
  <c r="E533" i="8" s="1"/>
  <c r="J531" i="8"/>
  <c r="K531" i="8" s="1"/>
  <c r="J519" i="8"/>
  <c r="K519" i="8" s="1"/>
  <c r="C503" i="8"/>
  <c r="E503" i="8" s="1"/>
  <c r="D501" i="8"/>
  <c r="E501" i="8" s="1"/>
  <c r="D498" i="8"/>
  <c r="E498" i="8" s="1"/>
  <c r="C496" i="8"/>
  <c r="E496" i="8" s="1"/>
  <c r="D482" i="8"/>
  <c r="E482" i="8" s="1"/>
  <c r="J476" i="8"/>
  <c r="K476" i="8" s="1"/>
  <c r="I472" i="8"/>
  <c r="K472" i="8" s="1"/>
  <c r="C463" i="8"/>
  <c r="E463" i="8" s="1"/>
  <c r="J385" i="8"/>
  <c r="K385" i="8" s="1"/>
  <c r="C349" i="8"/>
  <c r="E349" i="8" s="1"/>
  <c r="C347" i="8"/>
  <c r="E347" i="8" s="1"/>
  <c r="C142" i="8"/>
  <c r="E142" i="8" s="1"/>
  <c r="D136" i="8"/>
  <c r="E136" i="8" s="1"/>
  <c r="D133" i="8"/>
  <c r="E133" i="8" s="1"/>
  <c r="C83" i="8"/>
  <c r="E83" i="8" s="1"/>
  <c r="I77" i="8"/>
  <c r="K77" i="8" s="1"/>
  <c r="C58" i="8"/>
  <c r="E58" i="8" s="1"/>
  <c r="J722" i="8"/>
  <c r="K722" i="8" s="1"/>
  <c r="J702" i="8"/>
  <c r="K702" i="8" s="1"/>
  <c r="I700" i="8"/>
  <c r="K700" i="8" s="1"/>
  <c r="C685" i="8"/>
  <c r="E685" i="8" s="1"/>
  <c r="I667" i="8"/>
  <c r="K667" i="8" s="1"/>
  <c r="D666" i="8"/>
  <c r="E666" i="8" s="1"/>
  <c r="I659" i="8"/>
  <c r="K659" i="8" s="1"/>
  <c r="C656" i="8"/>
  <c r="E656" i="8" s="1"/>
  <c r="I654" i="8"/>
  <c r="K654" i="8" s="1"/>
  <c r="D542" i="8"/>
  <c r="E542" i="8" s="1"/>
  <c r="J532" i="8"/>
  <c r="K532" i="8" s="1"/>
  <c r="I520" i="8"/>
  <c r="K520" i="8" s="1"/>
  <c r="D517" i="8"/>
  <c r="E517" i="8" s="1"/>
  <c r="D514" i="8"/>
  <c r="E514" i="8" s="1"/>
  <c r="J495" i="8"/>
  <c r="K495" i="8" s="1"/>
  <c r="J479" i="8"/>
  <c r="K479" i="8" s="1"/>
  <c r="C464" i="8"/>
  <c r="E464" i="8" s="1"/>
  <c r="C439" i="8"/>
  <c r="E439" i="8" s="1"/>
  <c r="C378" i="8"/>
  <c r="E378" i="8" s="1"/>
  <c r="J348" i="8"/>
  <c r="K348" i="8" s="1"/>
  <c r="C344" i="8"/>
  <c r="E344" i="8" s="1"/>
  <c r="D329" i="8"/>
  <c r="E329" i="8" s="1"/>
  <c r="C327" i="8"/>
  <c r="E327" i="8" s="1"/>
  <c r="D321" i="8"/>
  <c r="E321" i="8" s="1"/>
  <c r="I269" i="8"/>
  <c r="K269" i="8" s="1"/>
  <c r="I244" i="8"/>
  <c r="K244" i="8" s="1"/>
  <c r="C241" i="8"/>
  <c r="E241" i="8" s="1"/>
  <c r="I237" i="8"/>
  <c r="K237" i="8" s="1"/>
  <c r="I216" i="8"/>
  <c r="K216" i="8" s="1"/>
  <c r="D215" i="8"/>
  <c r="E215" i="8" s="1"/>
  <c r="C859" i="8"/>
  <c r="D859" i="8"/>
  <c r="D49" i="8"/>
  <c r="E49" i="8" s="1"/>
  <c r="D982" i="8"/>
  <c r="E982" i="8" s="1"/>
  <c r="C967" i="8"/>
  <c r="D967" i="8"/>
  <c r="I945" i="8"/>
  <c r="K945" i="8" s="1"/>
  <c r="J931" i="8"/>
  <c r="I931" i="8"/>
  <c r="I921" i="8"/>
  <c r="K921" i="8" s="1"/>
  <c r="J916" i="8"/>
  <c r="K916" i="8" s="1"/>
  <c r="I912" i="8"/>
  <c r="J912" i="8"/>
  <c r="J923" i="8"/>
  <c r="I923" i="8"/>
  <c r="I969" i="8"/>
  <c r="J969" i="8"/>
  <c r="J919" i="8"/>
  <c r="I919" i="8"/>
  <c r="I898" i="8"/>
  <c r="J898" i="8"/>
  <c r="J887" i="8"/>
  <c r="I887" i="8"/>
  <c r="I858" i="8"/>
  <c r="J858" i="8"/>
  <c r="C905" i="8"/>
  <c r="D905" i="8"/>
  <c r="J25" i="8"/>
  <c r="I25" i="8"/>
  <c r="D965" i="8"/>
  <c r="E965" i="8" s="1"/>
  <c r="I955" i="8"/>
  <c r="J955" i="8"/>
  <c r="C950" i="8"/>
  <c r="D950" i="8"/>
  <c r="D943" i="8"/>
  <c r="E943" i="8" s="1"/>
  <c r="D931" i="8"/>
  <c r="E931" i="8" s="1"/>
  <c r="C908" i="8"/>
  <c r="D908" i="8"/>
  <c r="C880" i="8"/>
  <c r="D880" i="8"/>
  <c r="C871" i="8"/>
  <c r="D871" i="8"/>
  <c r="J35" i="8"/>
  <c r="I35" i="8"/>
  <c r="D955" i="8"/>
  <c r="E955" i="8" s="1"/>
  <c r="I932" i="8"/>
  <c r="J932" i="8"/>
  <c r="I868" i="8"/>
  <c r="J868" i="8"/>
  <c r="C949" i="8"/>
  <c r="D949" i="8"/>
  <c r="I959" i="8"/>
  <c r="J959" i="8"/>
  <c r="J949" i="8"/>
  <c r="K949" i="8" s="1"/>
  <c r="J927" i="8"/>
  <c r="I927" i="8"/>
  <c r="C892" i="8"/>
  <c r="D892" i="8"/>
  <c r="I888" i="8"/>
  <c r="J888" i="8"/>
  <c r="I870" i="8"/>
  <c r="J870" i="8"/>
  <c r="C852" i="8"/>
  <c r="D852" i="8"/>
  <c r="J46" i="8"/>
  <c r="K46" i="8" s="1"/>
  <c r="I33" i="8"/>
  <c r="K33" i="8" s="1"/>
  <c r="D977" i="8"/>
  <c r="E977" i="8" s="1"/>
  <c r="D973" i="8"/>
  <c r="E973" i="8" s="1"/>
  <c r="D959" i="8"/>
  <c r="E959" i="8" s="1"/>
  <c r="J957" i="8"/>
  <c r="K957" i="8" s="1"/>
  <c r="I956" i="8"/>
  <c r="K956" i="8" s="1"/>
  <c r="C929" i="8"/>
  <c r="D929" i="8"/>
  <c r="I922" i="8"/>
  <c r="J922" i="8"/>
  <c r="C911" i="8"/>
  <c r="D911" i="8"/>
  <c r="D909" i="8"/>
  <c r="E909" i="8" s="1"/>
  <c r="I890" i="8"/>
  <c r="K890" i="8" s="1"/>
  <c r="J875" i="8"/>
  <c r="I875" i="8"/>
  <c r="I21" i="8"/>
  <c r="K21" i="8" s="1"/>
  <c r="C981" i="8"/>
  <c r="E981" i="8" s="1"/>
  <c r="D974" i="8"/>
  <c r="E974" i="8" s="1"/>
  <c r="D970" i="8"/>
  <c r="E970" i="8" s="1"/>
  <c r="J964" i="8"/>
  <c r="I964" i="8"/>
  <c r="D963" i="8"/>
  <c r="E963" i="8" s="1"/>
  <c r="I960" i="8"/>
  <c r="K960" i="8" s="1"/>
  <c r="D951" i="8"/>
  <c r="E951" i="8" s="1"/>
  <c r="D944" i="8"/>
  <c r="E944" i="8" s="1"/>
  <c r="C937" i="8"/>
  <c r="E937" i="8" s="1"/>
  <c r="C915" i="8"/>
  <c r="E915" i="8" s="1"/>
  <c r="C899" i="8"/>
  <c r="E899" i="8" s="1"/>
  <c r="D895" i="8"/>
  <c r="E895" i="8" s="1"/>
  <c r="D883" i="8"/>
  <c r="E883" i="8" s="1"/>
  <c r="D953" i="8"/>
  <c r="E953" i="8" s="1"/>
  <c r="D945" i="8"/>
  <c r="E945" i="8" s="1"/>
  <c r="J942" i="8"/>
  <c r="K942" i="8" s="1"/>
  <c r="D921" i="8"/>
  <c r="E921" i="8" s="1"/>
  <c r="J914" i="8"/>
  <c r="K914" i="8" s="1"/>
  <c r="J882" i="8"/>
  <c r="K882" i="8" s="1"/>
  <c r="D851" i="8"/>
  <c r="E851" i="8" s="1"/>
  <c r="J834" i="8"/>
  <c r="K834" i="8" s="1"/>
  <c r="D823" i="8"/>
  <c r="E823" i="8" s="1"/>
  <c r="D809" i="8"/>
  <c r="E809" i="8" s="1"/>
  <c r="I803" i="8"/>
  <c r="K803" i="8" s="1"/>
  <c r="J802" i="8"/>
  <c r="K802" i="8" s="1"/>
  <c r="J796" i="8"/>
  <c r="K796" i="8" s="1"/>
  <c r="D791" i="8"/>
  <c r="E791" i="8" s="1"/>
  <c r="J746" i="8"/>
  <c r="K746" i="8" s="1"/>
  <c r="C724" i="8"/>
  <c r="D724" i="8"/>
  <c r="D707" i="8"/>
  <c r="C707" i="8"/>
  <c r="D954" i="8"/>
  <c r="E954" i="8" s="1"/>
  <c r="D936" i="8"/>
  <c r="E936" i="8" s="1"/>
  <c r="C933" i="8"/>
  <c r="E933" i="8" s="1"/>
  <c r="I929" i="8"/>
  <c r="K929" i="8" s="1"/>
  <c r="D920" i="8"/>
  <c r="E920" i="8" s="1"/>
  <c r="I917" i="8"/>
  <c r="K917" i="8" s="1"/>
  <c r="I899" i="8"/>
  <c r="K899" i="8" s="1"/>
  <c r="J896" i="8"/>
  <c r="K896" i="8" s="1"/>
  <c r="J880" i="8"/>
  <c r="K880" i="8" s="1"/>
  <c r="D876" i="8"/>
  <c r="E876" i="8" s="1"/>
  <c r="I871" i="8"/>
  <c r="K871" i="8" s="1"/>
  <c r="D864" i="8"/>
  <c r="E864" i="8" s="1"/>
  <c r="D861" i="8"/>
  <c r="E861" i="8" s="1"/>
  <c r="I859" i="8"/>
  <c r="K859" i="8" s="1"/>
  <c r="J856" i="8"/>
  <c r="K856" i="8" s="1"/>
  <c r="D845" i="8"/>
  <c r="E845" i="8" s="1"/>
  <c r="I839" i="8"/>
  <c r="K839" i="8" s="1"/>
  <c r="J838" i="8"/>
  <c r="K838" i="8" s="1"/>
  <c r="J832" i="8"/>
  <c r="K832" i="8" s="1"/>
  <c r="D827" i="8"/>
  <c r="E827" i="8" s="1"/>
  <c r="D820" i="8"/>
  <c r="E820" i="8" s="1"/>
  <c r="D813" i="8"/>
  <c r="E813" i="8" s="1"/>
  <c r="I807" i="8"/>
  <c r="K807" i="8" s="1"/>
  <c r="J806" i="8"/>
  <c r="K806" i="8" s="1"/>
  <c r="J800" i="8"/>
  <c r="K800" i="8" s="1"/>
  <c r="D795" i="8"/>
  <c r="E795" i="8" s="1"/>
  <c r="D788" i="8"/>
  <c r="E788" i="8" s="1"/>
  <c r="J774" i="8"/>
  <c r="K774" i="8" s="1"/>
  <c r="D763" i="8"/>
  <c r="E763" i="8" s="1"/>
  <c r="D760" i="8"/>
  <c r="E760" i="8" s="1"/>
  <c r="D740" i="8"/>
  <c r="E740" i="8" s="1"/>
  <c r="I727" i="8"/>
  <c r="K727" i="8" s="1"/>
  <c r="D719" i="8"/>
  <c r="E719" i="8" s="1"/>
  <c r="J715" i="8"/>
  <c r="K715" i="8" s="1"/>
  <c r="J708" i="8"/>
  <c r="I708" i="8"/>
  <c r="J663" i="8"/>
  <c r="I663" i="8"/>
  <c r="D659" i="8"/>
  <c r="C659" i="8"/>
  <c r="I843" i="8"/>
  <c r="K843" i="8" s="1"/>
  <c r="J836" i="8"/>
  <c r="K836" i="8" s="1"/>
  <c r="D824" i="8"/>
  <c r="E824" i="8" s="1"/>
  <c r="D817" i="8"/>
  <c r="E817" i="8" s="1"/>
  <c r="I811" i="8"/>
  <c r="K811" i="8" s="1"/>
  <c r="J804" i="8"/>
  <c r="K804" i="8" s="1"/>
  <c r="D792" i="8"/>
  <c r="E792" i="8" s="1"/>
  <c r="D781" i="8"/>
  <c r="E781" i="8" s="1"/>
  <c r="D777" i="8"/>
  <c r="E777" i="8" s="1"/>
  <c r="J772" i="8"/>
  <c r="K772" i="8" s="1"/>
  <c r="D769" i="8"/>
  <c r="E769" i="8" s="1"/>
  <c r="I764" i="8"/>
  <c r="J764" i="8"/>
  <c r="I758" i="8"/>
  <c r="K758" i="8" s="1"/>
  <c r="J753" i="8"/>
  <c r="I753" i="8"/>
  <c r="D749" i="8"/>
  <c r="E749" i="8" s="1"/>
  <c r="C743" i="8"/>
  <c r="D743" i="8"/>
  <c r="J725" i="8"/>
  <c r="I725" i="8"/>
  <c r="J723" i="8"/>
  <c r="I723" i="8"/>
  <c r="J675" i="8"/>
  <c r="I675" i="8"/>
  <c r="D645" i="8"/>
  <c r="C645" i="8"/>
  <c r="I637" i="8"/>
  <c r="J637" i="8"/>
  <c r="D717" i="8"/>
  <c r="C717" i="8"/>
  <c r="I695" i="8"/>
  <c r="J695" i="8"/>
  <c r="C688" i="8"/>
  <c r="D688" i="8"/>
  <c r="C684" i="8"/>
  <c r="D684" i="8"/>
  <c r="C677" i="8"/>
  <c r="D677" i="8"/>
  <c r="C672" i="8"/>
  <c r="D672" i="8"/>
  <c r="I660" i="8"/>
  <c r="J660" i="8"/>
  <c r="D839" i="8"/>
  <c r="E839" i="8" s="1"/>
  <c r="D825" i="8"/>
  <c r="E825" i="8" s="1"/>
  <c r="I819" i="8"/>
  <c r="K819" i="8" s="1"/>
  <c r="J818" i="8"/>
  <c r="K818" i="8" s="1"/>
  <c r="J812" i="8"/>
  <c r="K812" i="8" s="1"/>
  <c r="D807" i="8"/>
  <c r="E807" i="8" s="1"/>
  <c r="D800" i="8"/>
  <c r="E800" i="8" s="1"/>
  <c r="D793" i="8"/>
  <c r="E793" i="8" s="1"/>
  <c r="I787" i="8"/>
  <c r="K787" i="8" s="1"/>
  <c r="J786" i="8"/>
  <c r="K786" i="8" s="1"/>
  <c r="D764" i="8"/>
  <c r="E764" i="8" s="1"/>
  <c r="J759" i="8"/>
  <c r="I759" i="8"/>
  <c r="D753" i="8"/>
  <c r="E753" i="8" s="1"/>
  <c r="J750" i="8"/>
  <c r="K750" i="8" s="1"/>
  <c r="I742" i="8"/>
  <c r="K742" i="8" s="1"/>
  <c r="J736" i="8"/>
  <c r="K736" i="8" s="1"/>
  <c r="D715" i="8"/>
  <c r="C715" i="8"/>
  <c r="C660" i="8"/>
  <c r="D660" i="8"/>
  <c r="I851" i="8"/>
  <c r="K851" i="8" s="1"/>
  <c r="J848" i="8"/>
  <c r="K848" i="8" s="1"/>
  <c r="D836" i="8"/>
  <c r="E836" i="8" s="1"/>
  <c r="D829" i="8"/>
  <c r="E829" i="8" s="1"/>
  <c r="I823" i="8"/>
  <c r="K823" i="8" s="1"/>
  <c r="J816" i="8"/>
  <c r="K816" i="8" s="1"/>
  <c r="D804" i="8"/>
  <c r="E804" i="8" s="1"/>
  <c r="D797" i="8"/>
  <c r="E797" i="8" s="1"/>
  <c r="I791" i="8"/>
  <c r="K791" i="8" s="1"/>
  <c r="J784" i="8"/>
  <c r="K784" i="8" s="1"/>
  <c r="J780" i="8"/>
  <c r="K780" i="8" s="1"/>
  <c r="J776" i="8"/>
  <c r="K776" i="8" s="1"/>
  <c r="C772" i="8"/>
  <c r="D772" i="8"/>
  <c r="J770" i="8"/>
  <c r="K770" i="8" s="1"/>
  <c r="J768" i="8"/>
  <c r="K768" i="8" s="1"/>
  <c r="I762" i="8"/>
  <c r="K762" i="8" s="1"/>
  <c r="D756" i="8"/>
  <c r="E756" i="8" s="1"/>
  <c r="D733" i="8"/>
  <c r="E733" i="8" s="1"/>
  <c r="J716" i="8"/>
  <c r="I716" i="8"/>
  <c r="D699" i="8"/>
  <c r="C699" i="8"/>
  <c r="I687" i="8"/>
  <c r="J687" i="8"/>
  <c r="J671" i="8"/>
  <c r="I671" i="8"/>
  <c r="I707" i="8"/>
  <c r="J707" i="8"/>
  <c r="D687" i="8"/>
  <c r="C687" i="8"/>
  <c r="J771" i="8"/>
  <c r="I771" i="8"/>
  <c r="C736" i="8"/>
  <c r="D736" i="8"/>
  <c r="C664" i="8"/>
  <c r="D664" i="8"/>
  <c r="J650" i="8"/>
  <c r="I650" i="8"/>
  <c r="D578" i="8"/>
  <c r="E578" i="8" s="1"/>
  <c r="D543" i="8"/>
  <c r="E543" i="8" s="1"/>
  <c r="I488" i="8"/>
  <c r="J488" i="8"/>
  <c r="C483" i="8"/>
  <c r="D483" i="8"/>
  <c r="I411" i="8"/>
  <c r="J411" i="8"/>
  <c r="I387" i="8"/>
  <c r="J387" i="8"/>
  <c r="C323" i="8"/>
  <c r="D323" i="8"/>
  <c r="I576" i="8"/>
  <c r="K576" i="8" s="1"/>
  <c r="J559" i="8"/>
  <c r="K559" i="8" s="1"/>
  <c r="J551" i="8"/>
  <c r="K551" i="8" s="1"/>
  <c r="C544" i="8"/>
  <c r="E544" i="8" s="1"/>
  <c r="C527" i="8"/>
  <c r="E527" i="8" s="1"/>
  <c r="D521" i="8"/>
  <c r="E521" i="8" s="1"/>
  <c r="D508" i="8"/>
  <c r="C508" i="8"/>
  <c r="D506" i="8"/>
  <c r="E506" i="8" s="1"/>
  <c r="I501" i="8"/>
  <c r="J501" i="8"/>
  <c r="D500" i="8"/>
  <c r="C500" i="8"/>
  <c r="J493" i="8"/>
  <c r="K493" i="8" s="1"/>
  <c r="C481" i="8"/>
  <c r="D481" i="8"/>
  <c r="I475" i="8"/>
  <c r="J475" i="8"/>
  <c r="D453" i="8"/>
  <c r="E453" i="8" s="1"/>
  <c r="J444" i="8"/>
  <c r="K444" i="8" s="1"/>
  <c r="C437" i="8"/>
  <c r="D437" i="8"/>
  <c r="C417" i="8"/>
  <c r="D417" i="8"/>
  <c r="D415" i="8"/>
  <c r="C415" i="8"/>
  <c r="C404" i="8"/>
  <c r="D404" i="8"/>
  <c r="C400" i="8"/>
  <c r="D400" i="8"/>
  <c r="J380" i="8"/>
  <c r="K380" i="8" s="1"/>
  <c r="J371" i="8"/>
  <c r="K371" i="8" s="1"/>
  <c r="D363" i="8"/>
  <c r="C363" i="8"/>
  <c r="J360" i="8"/>
  <c r="K360" i="8" s="1"/>
  <c r="C338" i="8"/>
  <c r="E338" i="8" s="1"/>
  <c r="C475" i="8"/>
  <c r="D475" i="8"/>
  <c r="I469" i="8"/>
  <c r="J469" i="8"/>
  <c r="C409" i="8"/>
  <c r="D409" i="8"/>
  <c r="J257" i="8"/>
  <c r="I257" i="8"/>
  <c r="J249" i="8"/>
  <c r="I249" i="8"/>
  <c r="C125" i="8"/>
  <c r="D125" i="8"/>
  <c r="C93" i="8"/>
  <c r="D93" i="8"/>
  <c r="I75" i="8"/>
  <c r="J75" i="8"/>
  <c r="J703" i="8"/>
  <c r="K703" i="8" s="1"/>
  <c r="D696" i="8"/>
  <c r="E696" i="8" s="1"/>
  <c r="D692" i="8"/>
  <c r="E692" i="8" s="1"/>
  <c r="J652" i="8"/>
  <c r="K652" i="8" s="1"/>
  <c r="D576" i="8"/>
  <c r="E576" i="8" s="1"/>
  <c r="J539" i="8"/>
  <c r="K539" i="8" s="1"/>
  <c r="J536" i="8"/>
  <c r="K536" i="8" s="1"/>
  <c r="D534" i="8"/>
  <c r="E534" i="8" s="1"/>
  <c r="J529" i="8"/>
  <c r="K529" i="8" s="1"/>
  <c r="D525" i="8"/>
  <c r="E525" i="8" s="1"/>
  <c r="J523" i="8"/>
  <c r="K523" i="8" s="1"/>
  <c r="C516" i="8"/>
  <c r="E516" i="8" s="1"/>
  <c r="D511" i="8"/>
  <c r="E511" i="8" s="1"/>
  <c r="J509" i="8"/>
  <c r="I509" i="8"/>
  <c r="J507" i="8"/>
  <c r="K507" i="8" s="1"/>
  <c r="J496" i="8"/>
  <c r="K496" i="8" s="1"/>
  <c r="I491" i="8"/>
  <c r="J491" i="8"/>
  <c r="I487" i="8"/>
  <c r="K487" i="8" s="1"/>
  <c r="J485" i="8"/>
  <c r="K485" i="8" s="1"/>
  <c r="C484" i="8"/>
  <c r="E484" i="8" s="1"/>
  <c r="J480" i="8"/>
  <c r="K480" i="8" s="1"/>
  <c r="C473" i="8"/>
  <c r="D473" i="8"/>
  <c r="I471" i="8"/>
  <c r="J471" i="8"/>
  <c r="C469" i="8"/>
  <c r="D469" i="8"/>
  <c r="J465" i="8"/>
  <c r="K465" i="8" s="1"/>
  <c r="I456" i="8"/>
  <c r="K456" i="8" s="1"/>
  <c r="J436" i="8"/>
  <c r="K436" i="8" s="1"/>
  <c r="J424" i="8"/>
  <c r="K424" i="8" s="1"/>
  <c r="J416" i="8"/>
  <c r="K416" i="8" s="1"/>
  <c r="J403" i="8"/>
  <c r="K403" i="8" s="1"/>
  <c r="J399" i="8"/>
  <c r="K399" i="8" s="1"/>
  <c r="J397" i="8"/>
  <c r="K397" i="8" s="1"/>
  <c r="I395" i="8"/>
  <c r="J395" i="8"/>
  <c r="I393" i="8"/>
  <c r="J393" i="8"/>
  <c r="I339" i="8"/>
  <c r="K339" i="8" s="1"/>
  <c r="C318" i="8"/>
  <c r="E318" i="8" s="1"/>
  <c r="I264" i="8"/>
  <c r="J264" i="8"/>
  <c r="C695" i="8"/>
  <c r="E695" i="8" s="1"/>
  <c r="J686" i="8"/>
  <c r="K686" i="8" s="1"/>
  <c r="D682" i="8"/>
  <c r="E682" i="8" s="1"/>
  <c r="C675" i="8"/>
  <c r="E675" i="8" s="1"/>
  <c r="I651" i="8"/>
  <c r="K651" i="8" s="1"/>
  <c r="J577" i="8"/>
  <c r="K577" i="8" s="1"/>
  <c r="C573" i="8"/>
  <c r="E573" i="8" s="1"/>
  <c r="C551" i="8"/>
  <c r="E551" i="8" s="1"/>
  <c r="I542" i="8"/>
  <c r="K542" i="8" s="1"/>
  <c r="J537" i="8"/>
  <c r="K537" i="8" s="1"/>
  <c r="D509" i="8"/>
  <c r="E509" i="8" s="1"/>
  <c r="D491" i="8"/>
  <c r="C491" i="8"/>
  <c r="J412" i="8"/>
  <c r="K412" i="8" s="1"/>
  <c r="I401" i="8"/>
  <c r="J401" i="8"/>
  <c r="I386" i="8"/>
  <c r="J386" i="8"/>
  <c r="D384" i="8"/>
  <c r="E384" i="8" s="1"/>
  <c r="J357" i="8"/>
  <c r="K357" i="8" s="1"/>
  <c r="D333" i="8"/>
  <c r="E333" i="8" s="1"/>
  <c r="I295" i="8"/>
  <c r="K295" i="8" s="1"/>
  <c r="J200" i="8"/>
  <c r="I200" i="8"/>
  <c r="J642" i="8"/>
  <c r="K642" i="8" s="1"/>
  <c r="D634" i="8"/>
  <c r="E634" i="8" s="1"/>
  <c r="D632" i="8"/>
  <c r="E632" i="8" s="1"/>
  <c r="D630" i="8"/>
  <c r="E630" i="8" s="1"/>
  <c r="D628" i="8"/>
  <c r="E628" i="8" s="1"/>
  <c r="D626" i="8"/>
  <c r="E626" i="8" s="1"/>
  <c r="D624" i="8"/>
  <c r="E624" i="8" s="1"/>
  <c r="D622" i="8"/>
  <c r="E622" i="8" s="1"/>
  <c r="D620" i="8"/>
  <c r="E620" i="8" s="1"/>
  <c r="D618" i="8"/>
  <c r="E618" i="8" s="1"/>
  <c r="D616" i="8"/>
  <c r="E616" i="8" s="1"/>
  <c r="D614" i="8"/>
  <c r="E614" i="8" s="1"/>
  <c r="D612" i="8"/>
  <c r="E612" i="8" s="1"/>
  <c r="D610" i="8"/>
  <c r="E610" i="8" s="1"/>
  <c r="D608" i="8"/>
  <c r="E608" i="8" s="1"/>
  <c r="D606" i="8"/>
  <c r="E606" i="8" s="1"/>
  <c r="D604" i="8"/>
  <c r="E604" i="8" s="1"/>
  <c r="D602" i="8"/>
  <c r="E602" i="8" s="1"/>
  <c r="D600" i="8"/>
  <c r="E600" i="8" s="1"/>
  <c r="D598" i="8"/>
  <c r="E598" i="8" s="1"/>
  <c r="D596" i="8"/>
  <c r="E596" i="8" s="1"/>
  <c r="D594" i="8"/>
  <c r="E594" i="8" s="1"/>
  <c r="D592" i="8"/>
  <c r="E592" i="8" s="1"/>
  <c r="D590" i="8"/>
  <c r="E590" i="8" s="1"/>
  <c r="D588" i="8"/>
  <c r="E588" i="8" s="1"/>
  <c r="D586" i="8"/>
  <c r="E586" i="8" s="1"/>
  <c r="D584" i="8"/>
  <c r="E584" i="8" s="1"/>
  <c r="D582" i="8"/>
  <c r="E582" i="8" s="1"/>
  <c r="D566" i="8"/>
  <c r="E566" i="8" s="1"/>
  <c r="D560" i="8"/>
  <c r="E560" i="8" s="1"/>
  <c r="D552" i="8"/>
  <c r="E552" i="8" s="1"/>
  <c r="D535" i="8"/>
  <c r="E535" i="8" s="1"/>
  <c r="D518" i="8"/>
  <c r="E518" i="8" s="1"/>
  <c r="I468" i="8"/>
  <c r="J468" i="8"/>
  <c r="I443" i="8"/>
  <c r="J443" i="8"/>
  <c r="D407" i="8"/>
  <c r="C407" i="8"/>
  <c r="C376" i="8"/>
  <c r="E376" i="8" s="1"/>
  <c r="C368" i="8"/>
  <c r="D368" i="8"/>
  <c r="I319" i="8"/>
  <c r="K319" i="8" s="1"/>
  <c r="C311" i="8"/>
  <c r="E311" i="8" s="1"/>
  <c r="J285" i="8"/>
  <c r="I285" i="8"/>
  <c r="J645" i="8"/>
  <c r="K645" i="8" s="1"/>
  <c r="J578" i="8"/>
  <c r="K578" i="8" s="1"/>
  <c r="C577" i="8"/>
  <c r="E577" i="8" s="1"/>
  <c r="C571" i="8"/>
  <c r="E571" i="8" s="1"/>
  <c r="C561" i="8"/>
  <c r="E561" i="8" s="1"/>
  <c r="D529" i="8"/>
  <c r="E529" i="8" s="1"/>
  <c r="C526" i="8"/>
  <c r="E526" i="8" s="1"/>
  <c r="I524" i="8"/>
  <c r="K524" i="8" s="1"/>
  <c r="D523" i="8"/>
  <c r="E523" i="8" s="1"/>
  <c r="I521" i="8"/>
  <c r="K521" i="8" s="1"/>
  <c r="D513" i="8"/>
  <c r="E513" i="8" s="1"/>
  <c r="C507" i="8"/>
  <c r="D507" i="8"/>
  <c r="C505" i="8"/>
  <c r="D505" i="8"/>
  <c r="J497" i="8"/>
  <c r="K497" i="8" s="1"/>
  <c r="J483" i="8"/>
  <c r="K483" i="8" s="1"/>
  <c r="I481" i="8"/>
  <c r="K481" i="8" s="1"/>
  <c r="D468" i="8"/>
  <c r="C468" i="8"/>
  <c r="I461" i="8"/>
  <c r="J461" i="8"/>
  <c r="C429" i="8"/>
  <c r="D429" i="8"/>
  <c r="C359" i="8"/>
  <c r="E359" i="8" s="1"/>
  <c r="C351" i="8"/>
  <c r="E351" i="8" s="1"/>
  <c r="I343" i="8"/>
  <c r="K343" i="8" s="1"/>
  <c r="C341" i="8"/>
  <c r="D341" i="8"/>
  <c r="C494" i="8"/>
  <c r="D494" i="8"/>
  <c r="D476" i="8"/>
  <c r="C476" i="8"/>
  <c r="I400" i="8"/>
  <c r="J400" i="8"/>
  <c r="I379" i="8"/>
  <c r="J379" i="8"/>
  <c r="I246" i="8"/>
  <c r="J246" i="8"/>
  <c r="C276" i="8"/>
  <c r="D276" i="8"/>
  <c r="J261" i="8"/>
  <c r="I261" i="8"/>
  <c r="J204" i="8"/>
  <c r="I204" i="8"/>
  <c r="C178" i="8"/>
  <c r="D178" i="8"/>
  <c r="I161" i="8"/>
  <c r="J161" i="8"/>
  <c r="I127" i="8"/>
  <c r="J127" i="8"/>
  <c r="I123" i="8"/>
  <c r="J123" i="8"/>
  <c r="I106" i="8"/>
  <c r="J106" i="8"/>
  <c r="I254" i="8"/>
  <c r="J254" i="8"/>
  <c r="C240" i="8"/>
  <c r="D240" i="8"/>
  <c r="I236" i="8"/>
  <c r="J236" i="8"/>
  <c r="I142" i="8"/>
  <c r="J142" i="8"/>
  <c r="I136" i="8"/>
  <c r="J136" i="8"/>
  <c r="J101" i="8"/>
  <c r="I101" i="8"/>
  <c r="D78" i="8"/>
  <c r="C78" i="8"/>
  <c r="C202" i="8"/>
  <c r="D202" i="8"/>
  <c r="C195" i="8"/>
  <c r="D195" i="8"/>
  <c r="J175" i="8"/>
  <c r="I175" i="8"/>
  <c r="C129" i="8"/>
  <c r="D129" i="8"/>
  <c r="D114" i="8"/>
  <c r="C114" i="8"/>
  <c r="I107" i="8"/>
  <c r="J107" i="8"/>
  <c r="C419" i="8"/>
  <c r="E419" i="8" s="1"/>
  <c r="D410" i="8"/>
  <c r="E410" i="8" s="1"/>
  <c r="I408" i="8"/>
  <c r="K408" i="8" s="1"/>
  <c r="C403" i="8"/>
  <c r="E403" i="8" s="1"/>
  <c r="C399" i="8"/>
  <c r="E399" i="8" s="1"/>
  <c r="J383" i="8"/>
  <c r="K383" i="8" s="1"/>
  <c r="C379" i="8"/>
  <c r="E379" i="8" s="1"/>
  <c r="C374" i="8"/>
  <c r="E374" i="8" s="1"/>
  <c r="J367" i="8"/>
  <c r="K367" i="8" s="1"/>
  <c r="D357" i="8"/>
  <c r="E357" i="8" s="1"/>
  <c r="J349" i="8"/>
  <c r="K349" i="8" s="1"/>
  <c r="D343" i="8"/>
  <c r="E343" i="8" s="1"/>
  <c r="J341" i="8"/>
  <c r="K341" i="8" s="1"/>
  <c r="D339" i="8"/>
  <c r="E339" i="8" s="1"/>
  <c r="J335" i="8"/>
  <c r="K335" i="8" s="1"/>
  <c r="D319" i="8"/>
  <c r="E319" i="8" s="1"/>
  <c r="J315" i="8"/>
  <c r="K315" i="8" s="1"/>
  <c r="J303" i="8"/>
  <c r="K303" i="8" s="1"/>
  <c r="D295" i="8"/>
  <c r="E295" i="8" s="1"/>
  <c r="J253" i="8"/>
  <c r="I253" i="8"/>
  <c r="J233" i="8"/>
  <c r="I233" i="8"/>
  <c r="I154" i="8"/>
  <c r="J154" i="8"/>
  <c r="I90" i="8"/>
  <c r="J90" i="8"/>
  <c r="J81" i="8"/>
  <c r="I81" i="8"/>
  <c r="J375" i="8"/>
  <c r="K375" i="8" s="1"/>
  <c r="C371" i="8"/>
  <c r="E371" i="8" s="1"/>
  <c r="J358" i="8"/>
  <c r="K358" i="8" s="1"/>
  <c r="J340" i="8"/>
  <c r="K340" i="8" s="1"/>
  <c r="J332" i="8"/>
  <c r="K332" i="8" s="1"/>
  <c r="J320" i="8"/>
  <c r="K320" i="8" s="1"/>
  <c r="C314" i="8"/>
  <c r="E314" i="8" s="1"/>
  <c r="C302" i="8"/>
  <c r="E302" i="8" s="1"/>
  <c r="I288" i="8"/>
  <c r="K288" i="8" s="1"/>
  <c r="J284" i="8"/>
  <c r="K284" i="8" s="1"/>
  <c r="J255" i="8"/>
  <c r="I255" i="8"/>
  <c r="J245" i="8"/>
  <c r="I245" i="8"/>
  <c r="C210" i="8"/>
  <c r="D210" i="8"/>
  <c r="J203" i="8"/>
  <c r="I203" i="8"/>
  <c r="J199" i="8"/>
  <c r="I199" i="8"/>
  <c r="J197" i="8"/>
  <c r="K197" i="8" s="1"/>
  <c r="C189" i="8"/>
  <c r="D189" i="8"/>
  <c r="C177" i="8"/>
  <c r="D177" i="8"/>
  <c r="I126" i="8"/>
  <c r="J126" i="8"/>
  <c r="I122" i="8"/>
  <c r="J122" i="8"/>
  <c r="C79" i="8"/>
  <c r="D79" i="8"/>
  <c r="C77" i="8"/>
  <c r="D77" i="8"/>
  <c r="J273" i="8"/>
  <c r="I273" i="8"/>
  <c r="J247" i="8"/>
  <c r="I247" i="8"/>
  <c r="J231" i="8"/>
  <c r="I231" i="8"/>
  <c r="I222" i="8"/>
  <c r="J222" i="8"/>
  <c r="D150" i="8"/>
  <c r="C150" i="8"/>
  <c r="I134" i="8"/>
  <c r="J134" i="8"/>
  <c r="C367" i="8"/>
  <c r="E367" i="8" s="1"/>
  <c r="J359" i="8"/>
  <c r="K359" i="8" s="1"/>
  <c r="J347" i="8"/>
  <c r="K347" i="8" s="1"/>
  <c r="C332" i="8"/>
  <c r="E332" i="8" s="1"/>
  <c r="D325" i="8"/>
  <c r="E325" i="8" s="1"/>
  <c r="I291" i="8"/>
  <c r="K291" i="8" s="1"/>
  <c r="J282" i="8"/>
  <c r="K282" i="8" s="1"/>
  <c r="C278" i="8"/>
  <c r="D278" i="8"/>
  <c r="J266" i="8"/>
  <c r="K266" i="8" s="1"/>
  <c r="C260" i="8"/>
  <c r="D260" i="8"/>
  <c r="I258" i="8"/>
  <c r="J258" i="8"/>
  <c r="D247" i="8"/>
  <c r="E247" i="8" s="1"/>
  <c r="C245" i="8"/>
  <c r="D245" i="8"/>
  <c r="D216" i="8"/>
  <c r="C216" i="8"/>
  <c r="C115" i="8"/>
  <c r="D115" i="8"/>
  <c r="I91" i="8"/>
  <c r="J91" i="8"/>
  <c r="I74" i="8"/>
  <c r="J74" i="8"/>
  <c r="D223" i="8"/>
  <c r="E223" i="8" s="1"/>
  <c r="I221" i="8"/>
  <c r="K221" i="8" s="1"/>
  <c r="I211" i="8"/>
  <c r="K211" i="8" s="1"/>
  <c r="I187" i="8"/>
  <c r="K187" i="8" s="1"/>
  <c r="D182" i="8"/>
  <c r="E182" i="8" s="1"/>
  <c r="I137" i="8"/>
  <c r="K137" i="8" s="1"/>
  <c r="J108" i="8"/>
  <c r="K108" i="8" s="1"/>
  <c r="I97" i="8"/>
  <c r="K97" i="8" s="1"/>
  <c r="I241" i="8"/>
  <c r="K241" i="8" s="1"/>
  <c r="J146" i="8"/>
  <c r="K146" i="8" s="1"/>
  <c r="J115" i="8"/>
  <c r="K115" i="8" s="1"/>
  <c r="J114" i="8"/>
  <c r="K114" i="8" s="1"/>
  <c r="D81" i="8"/>
  <c r="E81" i="8" s="1"/>
  <c r="J79" i="8"/>
  <c r="K79" i="8" s="1"/>
  <c r="J78" i="8"/>
  <c r="K78" i="8" s="1"/>
  <c r="D63" i="8"/>
  <c r="E63" i="8" s="1"/>
  <c r="J55" i="8"/>
  <c r="K55" i="8" s="1"/>
  <c r="I192" i="8"/>
  <c r="K192" i="8" s="1"/>
  <c r="J181" i="8"/>
  <c r="K181" i="8" s="1"/>
  <c r="D173" i="8"/>
  <c r="E173" i="8" s="1"/>
  <c r="D169" i="8"/>
  <c r="E169" i="8" s="1"/>
  <c r="D166" i="8"/>
  <c r="E166" i="8" s="1"/>
  <c r="I163" i="8"/>
  <c r="K163" i="8" s="1"/>
  <c r="I156" i="8"/>
  <c r="K156" i="8" s="1"/>
  <c r="J151" i="8"/>
  <c r="K151" i="8" s="1"/>
  <c r="J150" i="8"/>
  <c r="K150" i="8" s="1"/>
  <c r="D149" i="8"/>
  <c r="E149" i="8" s="1"/>
  <c r="D145" i="8"/>
  <c r="E145" i="8" s="1"/>
  <c r="J138" i="8"/>
  <c r="K138" i="8" s="1"/>
  <c r="C137" i="8"/>
  <c r="E137" i="8" s="1"/>
  <c r="J132" i="8"/>
  <c r="K132" i="8" s="1"/>
  <c r="I125" i="8"/>
  <c r="K125" i="8" s="1"/>
  <c r="J119" i="8"/>
  <c r="K119" i="8" s="1"/>
  <c r="J118" i="8"/>
  <c r="K118" i="8" s="1"/>
  <c r="D117" i="8"/>
  <c r="E117" i="8" s="1"/>
  <c r="D113" i="8"/>
  <c r="E113" i="8" s="1"/>
  <c r="J111" i="8"/>
  <c r="K111" i="8" s="1"/>
  <c r="J110" i="8"/>
  <c r="K110" i="8" s="1"/>
  <c r="J104" i="8"/>
  <c r="K104" i="8" s="1"/>
  <c r="I89" i="8"/>
  <c r="K89" i="8" s="1"/>
  <c r="C62" i="8"/>
  <c r="E62" i="8" s="1"/>
  <c r="D57" i="8"/>
  <c r="E57" i="8" s="1"/>
  <c r="C188" i="8"/>
  <c r="E188" i="8" s="1"/>
  <c r="D187" i="8"/>
  <c r="E187" i="8" s="1"/>
  <c r="I184" i="8"/>
  <c r="K184" i="8" s="1"/>
  <c r="D170" i="8"/>
  <c r="E170" i="8" s="1"/>
  <c r="I167" i="8"/>
  <c r="K167" i="8" s="1"/>
  <c r="I147" i="8"/>
  <c r="K147" i="8" s="1"/>
  <c r="I133" i="8"/>
  <c r="K133" i="8" s="1"/>
  <c r="C98" i="8"/>
  <c r="E98" i="8" s="1"/>
  <c r="D220" i="8"/>
  <c r="E220" i="8" s="1"/>
  <c r="J218" i="8"/>
  <c r="K218" i="8" s="1"/>
  <c r="J220" i="8"/>
  <c r="K220" i="8" s="1"/>
  <c r="D218" i="8"/>
  <c r="E218" i="8" s="1"/>
  <c r="C910" i="8"/>
  <c r="D910" i="8"/>
  <c r="C782" i="8"/>
  <c r="D782" i="8"/>
  <c r="C547" i="8"/>
  <c r="D547" i="8"/>
  <c r="I534" i="8"/>
  <c r="J534" i="8"/>
  <c r="C530" i="8"/>
  <c r="D530" i="8"/>
  <c r="I505" i="8"/>
  <c r="J505" i="8"/>
  <c r="I939" i="8"/>
  <c r="K939" i="8" s="1"/>
  <c r="I937" i="8"/>
  <c r="K937" i="8" s="1"/>
  <c r="D928" i="8"/>
  <c r="E928" i="8" s="1"/>
  <c r="C926" i="8"/>
  <c r="D926" i="8"/>
  <c r="D912" i="8"/>
  <c r="E912" i="8" s="1"/>
  <c r="I901" i="8"/>
  <c r="J901" i="8"/>
  <c r="C898" i="8"/>
  <c r="D898" i="8"/>
  <c r="C882" i="8"/>
  <c r="D882" i="8"/>
  <c r="D865" i="8"/>
  <c r="E865" i="8" s="1"/>
  <c r="I861" i="8"/>
  <c r="J861" i="8"/>
  <c r="C778" i="8"/>
  <c r="D778" i="8"/>
  <c r="D765" i="8"/>
  <c r="E765" i="8" s="1"/>
  <c r="J745" i="8"/>
  <c r="I745" i="8"/>
  <c r="I701" i="8"/>
  <c r="J701" i="8"/>
  <c r="J688" i="8"/>
  <c r="I688" i="8"/>
  <c r="I639" i="8"/>
  <c r="J639" i="8"/>
  <c r="C886" i="8"/>
  <c r="D886" i="8"/>
  <c r="C930" i="8"/>
  <c r="D930" i="8"/>
  <c r="I857" i="8"/>
  <c r="J857" i="8"/>
  <c r="I943" i="8"/>
  <c r="K943" i="8" s="1"/>
  <c r="I941" i="8"/>
  <c r="K941" i="8" s="1"/>
  <c r="D916" i="8"/>
  <c r="E916" i="8" s="1"/>
  <c r="C914" i="8"/>
  <c r="D914" i="8"/>
  <c r="I909" i="8"/>
  <c r="J909" i="8"/>
  <c r="C906" i="8"/>
  <c r="D906" i="8"/>
  <c r="I891" i="8"/>
  <c r="K891" i="8" s="1"/>
  <c r="D889" i="8"/>
  <c r="E889" i="8" s="1"/>
  <c r="I885" i="8"/>
  <c r="J885" i="8"/>
  <c r="C874" i="8"/>
  <c r="D874" i="8"/>
  <c r="D857" i="8"/>
  <c r="E857" i="8" s="1"/>
  <c r="D853" i="8"/>
  <c r="E853" i="8" s="1"/>
  <c r="D849" i="8"/>
  <c r="E849" i="8" s="1"/>
  <c r="C770" i="8"/>
  <c r="D770" i="8"/>
  <c r="C757" i="8"/>
  <c r="D757" i="8"/>
  <c r="J733" i="8"/>
  <c r="I733" i="8"/>
  <c r="I685" i="8"/>
  <c r="J685" i="8"/>
  <c r="I571" i="8"/>
  <c r="J571" i="8"/>
  <c r="J749" i="8"/>
  <c r="I749" i="8"/>
  <c r="C934" i="8"/>
  <c r="D934" i="8"/>
  <c r="I897" i="8"/>
  <c r="J897" i="8"/>
  <c r="C894" i="8"/>
  <c r="D894" i="8"/>
  <c r="I881" i="8"/>
  <c r="J881" i="8"/>
  <c r="C870" i="8"/>
  <c r="D870" i="8"/>
  <c r="D785" i="8"/>
  <c r="E785" i="8" s="1"/>
  <c r="C766" i="8"/>
  <c r="D766" i="8"/>
  <c r="C741" i="8"/>
  <c r="D741" i="8"/>
  <c r="D737" i="8"/>
  <c r="E737" i="8" s="1"/>
  <c r="I709" i="8"/>
  <c r="J709" i="8"/>
  <c r="J696" i="8"/>
  <c r="I696" i="8"/>
  <c r="I669" i="8"/>
  <c r="J669" i="8"/>
  <c r="I865" i="8"/>
  <c r="J865" i="8"/>
  <c r="C662" i="8"/>
  <c r="D662" i="8"/>
  <c r="J982" i="8"/>
  <c r="K982" i="8" s="1"/>
  <c r="J978" i="8"/>
  <c r="K978" i="8" s="1"/>
  <c r="J974" i="8"/>
  <c r="K974" i="8" s="1"/>
  <c r="J970" i="8"/>
  <c r="K970" i="8" s="1"/>
  <c r="J966" i="8"/>
  <c r="K966" i="8" s="1"/>
  <c r="J962" i="8"/>
  <c r="K962" i="8" s="1"/>
  <c r="J958" i="8"/>
  <c r="K958" i="8" s="1"/>
  <c r="J954" i="8"/>
  <c r="K954" i="8" s="1"/>
  <c r="J950" i="8"/>
  <c r="K950" i="8" s="1"/>
  <c r="J946" i="8"/>
  <c r="K946" i="8" s="1"/>
  <c r="D941" i="8"/>
  <c r="E941" i="8" s="1"/>
  <c r="C918" i="8"/>
  <c r="D918" i="8"/>
  <c r="D897" i="8"/>
  <c r="E897" i="8" s="1"/>
  <c r="I877" i="8"/>
  <c r="J877" i="8"/>
  <c r="C866" i="8"/>
  <c r="D866" i="8"/>
  <c r="C762" i="8"/>
  <c r="D762" i="8"/>
  <c r="J678" i="8"/>
  <c r="I678" i="8"/>
  <c r="C674" i="8"/>
  <c r="D674" i="8"/>
  <c r="C942" i="8"/>
  <c r="D942" i="8"/>
  <c r="I889" i="8"/>
  <c r="J889" i="8"/>
  <c r="C878" i="8"/>
  <c r="D878" i="8"/>
  <c r="C774" i="8"/>
  <c r="D774" i="8"/>
  <c r="C462" i="8"/>
  <c r="D462" i="8"/>
  <c r="D984" i="8"/>
  <c r="E984" i="8" s="1"/>
  <c r="D980" i="8"/>
  <c r="E980" i="8" s="1"/>
  <c r="D976" i="8"/>
  <c r="E976" i="8" s="1"/>
  <c r="D972" i="8"/>
  <c r="E972" i="8" s="1"/>
  <c r="D968" i="8"/>
  <c r="E968" i="8" s="1"/>
  <c r="D964" i="8"/>
  <c r="E964" i="8" s="1"/>
  <c r="D960" i="8"/>
  <c r="E960" i="8" s="1"/>
  <c r="D956" i="8"/>
  <c r="E956" i="8" s="1"/>
  <c r="D952" i="8"/>
  <c r="E952" i="8" s="1"/>
  <c r="D948" i="8"/>
  <c r="E948" i="8" s="1"/>
  <c r="D940" i="8"/>
  <c r="E940" i="8" s="1"/>
  <c r="C938" i="8"/>
  <c r="D938" i="8"/>
  <c r="D925" i="8"/>
  <c r="E925" i="8" s="1"/>
  <c r="I915" i="8"/>
  <c r="K915" i="8" s="1"/>
  <c r="I913" i="8"/>
  <c r="K913" i="8" s="1"/>
  <c r="I905" i="8"/>
  <c r="J905" i="8"/>
  <c r="C902" i="8"/>
  <c r="D902" i="8"/>
  <c r="D877" i="8"/>
  <c r="E877" i="8" s="1"/>
  <c r="I873" i="8"/>
  <c r="J873" i="8"/>
  <c r="C862" i="8"/>
  <c r="D862" i="8"/>
  <c r="C758" i="8"/>
  <c r="D758" i="8"/>
  <c r="C754" i="8"/>
  <c r="D754" i="8"/>
  <c r="I693" i="8"/>
  <c r="J693" i="8"/>
  <c r="D635" i="8"/>
  <c r="C635" i="8"/>
  <c r="I631" i="8"/>
  <c r="J631" i="8"/>
  <c r="C946" i="8"/>
  <c r="D946" i="8"/>
  <c r="J712" i="8"/>
  <c r="I712" i="8"/>
  <c r="I935" i="8"/>
  <c r="K935" i="8" s="1"/>
  <c r="I933" i="8"/>
  <c r="K933" i="8" s="1"/>
  <c r="D924" i="8"/>
  <c r="E924" i="8" s="1"/>
  <c r="C922" i="8"/>
  <c r="D922" i="8"/>
  <c r="I907" i="8"/>
  <c r="K907" i="8" s="1"/>
  <c r="I893" i="8"/>
  <c r="J893" i="8"/>
  <c r="C890" i="8"/>
  <c r="D890" i="8"/>
  <c r="D873" i="8"/>
  <c r="E873" i="8" s="1"/>
  <c r="I869" i="8"/>
  <c r="J869" i="8"/>
  <c r="C858" i="8"/>
  <c r="D858" i="8"/>
  <c r="C854" i="8"/>
  <c r="D854" i="8"/>
  <c r="C850" i="8"/>
  <c r="D850" i="8"/>
  <c r="C846" i="8"/>
  <c r="D846" i="8"/>
  <c r="C842" i="8"/>
  <c r="D842" i="8"/>
  <c r="C838" i="8"/>
  <c r="D838" i="8"/>
  <c r="C834" i="8"/>
  <c r="D834" i="8"/>
  <c r="C830" i="8"/>
  <c r="D830" i="8"/>
  <c r="C826" i="8"/>
  <c r="D826" i="8"/>
  <c r="C822" i="8"/>
  <c r="D822" i="8"/>
  <c r="C818" i="8"/>
  <c r="D818" i="8"/>
  <c r="C814" i="8"/>
  <c r="D814" i="8"/>
  <c r="C810" i="8"/>
  <c r="D810" i="8"/>
  <c r="C806" i="8"/>
  <c r="D806" i="8"/>
  <c r="C802" i="8"/>
  <c r="D802" i="8"/>
  <c r="C798" i="8"/>
  <c r="D798" i="8"/>
  <c r="C794" i="8"/>
  <c r="D794" i="8"/>
  <c r="C790" i="8"/>
  <c r="D790" i="8"/>
  <c r="C786" i="8"/>
  <c r="D786" i="8"/>
  <c r="D773" i="8"/>
  <c r="E773" i="8" s="1"/>
  <c r="C742" i="8"/>
  <c r="D742" i="8"/>
  <c r="C738" i="8"/>
  <c r="D738" i="8"/>
  <c r="I717" i="8"/>
  <c r="J717" i="8"/>
  <c r="J704" i="8"/>
  <c r="I704" i="8"/>
  <c r="D671" i="8"/>
  <c r="C671" i="8"/>
  <c r="D619" i="8"/>
  <c r="C619" i="8"/>
  <c r="I615" i="8"/>
  <c r="J615" i="8"/>
  <c r="I653" i="8"/>
  <c r="J653" i="8"/>
  <c r="D621" i="8"/>
  <c r="C621" i="8"/>
  <c r="I617" i="8"/>
  <c r="J617" i="8"/>
  <c r="D538" i="8"/>
  <c r="C538" i="8"/>
  <c r="J853" i="8"/>
  <c r="K853" i="8" s="1"/>
  <c r="J849" i="8"/>
  <c r="K849" i="8" s="1"/>
  <c r="J845" i="8"/>
  <c r="K845" i="8" s="1"/>
  <c r="J841" i="8"/>
  <c r="K841" i="8" s="1"/>
  <c r="J837" i="8"/>
  <c r="K837" i="8" s="1"/>
  <c r="J833" i="8"/>
  <c r="K833" i="8" s="1"/>
  <c r="J829" i="8"/>
  <c r="K829" i="8" s="1"/>
  <c r="J825" i="8"/>
  <c r="K825" i="8" s="1"/>
  <c r="J821" i="8"/>
  <c r="K821" i="8" s="1"/>
  <c r="J817" i="8"/>
  <c r="K817" i="8" s="1"/>
  <c r="J813" i="8"/>
  <c r="K813" i="8" s="1"/>
  <c r="J809" i="8"/>
  <c r="K809" i="8" s="1"/>
  <c r="J805" i="8"/>
  <c r="K805" i="8" s="1"/>
  <c r="J801" i="8"/>
  <c r="K801" i="8" s="1"/>
  <c r="J797" i="8"/>
  <c r="K797" i="8" s="1"/>
  <c r="J793" i="8"/>
  <c r="K793" i="8" s="1"/>
  <c r="J789" i="8"/>
  <c r="K789" i="8" s="1"/>
  <c r="J785" i="8"/>
  <c r="K785" i="8" s="1"/>
  <c r="J781" i="8"/>
  <c r="K781" i="8" s="1"/>
  <c r="J777" i="8"/>
  <c r="K777" i="8" s="1"/>
  <c r="J773" i="8"/>
  <c r="K773" i="8" s="1"/>
  <c r="J769" i="8"/>
  <c r="K769" i="8" s="1"/>
  <c r="J765" i="8"/>
  <c r="K765" i="8" s="1"/>
  <c r="J761" i="8"/>
  <c r="K761" i="8" s="1"/>
  <c r="I757" i="8"/>
  <c r="K757" i="8" s="1"/>
  <c r="D750" i="8"/>
  <c r="E750" i="8" s="1"/>
  <c r="D747" i="8"/>
  <c r="E747" i="8" s="1"/>
  <c r="I741" i="8"/>
  <c r="K741" i="8" s="1"/>
  <c r="D734" i="8"/>
  <c r="E734" i="8" s="1"/>
  <c r="D729" i="8"/>
  <c r="E729" i="8" s="1"/>
  <c r="D725" i="8"/>
  <c r="E725" i="8" s="1"/>
  <c r="D721" i="8"/>
  <c r="E721" i="8" s="1"/>
  <c r="I713" i="8"/>
  <c r="J713" i="8"/>
  <c r="I705" i="8"/>
  <c r="J705" i="8"/>
  <c r="I697" i="8"/>
  <c r="J697" i="8"/>
  <c r="I689" i="8"/>
  <c r="J689" i="8"/>
  <c r="D655" i="8"/>
  <c r="C655" i="8"/>
  <c r="I624" i="8"/>
  <c r="J624" i="8"/>
  <c r="I622" i="8"/>
  <c r="J622" i="8"/>
  <c r="I601" i="8"/>
  <c r="J601" i="8"/>
  <c r="I755" i="8"/>
  <c r="K755" i="8" s="1"/>
  <c r="D748" i="8"/>
  <c r="E748" i="8" s="1"/>
  <c r="I739" i="8"/>
  <c r="K739" i="8" s="1"/>
  <c r="D732" i="8"/>
  <c r="E732" i="8" s="1"/>
  <c r="J679" i="8"/>
  <c r="I679" i="8"/>
  <c r="C678" i="8"/>
  <c r="D678" i="8"/>
  <c r="I670" i="8"/>
  <c r="K670" i="8" s="1"/>
  <c r="C663" i="8"/>
  <c r="E663" i="8" s="1"/>
  <c r="I643" i="8"/>
  <c r="J643" i="8"/>
  <c r="I599" i="8"/>
  <c r="J599" i="8"/>
  <c r="C730" i="8"/>
  <c r="D730" i="8"/>
  <c r="C726" i="8"/>
  <c r="D726" i="8"/>
  <c r="C722" i="8"/>
  <c r="D722" i="8"/>
  <c r="C718" i="8"/>
  <c r="D718" i="8"/>
  <c r="C710" i="8"/>
  <c r="D710" i="8"/>
  <c r="C702" i="8"/>
  <c r="D702" i="8"/>
  <c r="C694" i="8"/>
  <c r="D694" i="8"/>
  <c r="C686" i="8"/>
  <c r="D686" i="8"/>
  <c r="I608" i="8"/>
  <c r="J608" i="8"/>
  <c r="I606" i="8"/>
  <c r="J606" i="8"/>
  <c r="I585" i="8"/>
  <c r="J585" i="8"/>
  <c r="I751" i="8"/>
  <c r="K751" i="8" s="1"/>
  <c r="D744" i="8"/>
  <c r="E744" i="8" s="1"/>
  <c r="I735" i="8"/>
  <c r="K735" i="8" s="1"/>
  <c r="I714" i="8"/>
  <c r="J714" i="8"/>
  <c r="C713" i="8"/>
  <c r="E713" i="8" s="1"/>
  <c r="I706" i="8"/>
  <c r="J706" i="8"/>
  <c r="C705" i="8"/>
  <c r="E705" i="8" s="1"/>
  <c r="I698" i="8"/>
  <c r="J698" i="8"/>
  <c r="C697" i="8"/>
  <c r="E697" i="8" s="1"/>
  <c r="I690" i="8"/>
  <c r="J690" i="8"/>
  <c r="C689" i="8"/>
  <c r="E689" i="8" s="1"/>
  <c r="I682" i="8"/>
  <c r="J682" i="8"/>
  <c r="I677" i="8"/>
  <c r="J677" i="8"/>
  <c r="D665" i="8"/>
  <c r="E665" i="8" s="1"/>
  <c r="I583" i="8"/>
  <c r="J583" i="8"/>
  <c r="D679" i="8"/>
  <c r="C679" i="8"/>
  <c r="J662" i="8"/>
  <c r="I662" i="8"/>
  <c r="C657" i="8"/>
  <c r="D657" i="8"/>
  <c r="C650" i="8"/>
  <c r="D650" i="8"/>
  <c r="I633" i="8"/>
  <c r="J633" i="8"/>
  <c r="I592" i="8"/>
  <c r="J592" i="8"/>
  <c r="I590" i="8"/>
  <c r="J590" i="8"/>
  <c r="C640" i="8"/>
  <c r="D640" i="8"/>
  <c r="I628" i="8"/>
  <c r="J628" i="8"/>
  <c r="D625" i="8"/>
  <c r="C625" i="8"/>
  <c r="I621" i="8"/>
  <c r="J621" i="8"/>
  <c r="I612" i="8"/>
  <c r="J612" i="8"/>
  <c r="I605" i="8"/>
  <c r="J605" i="8"/>
  <c r="I596" i="8"/>
  <c r="J596" i="8"/>
  <c r="I589" i="8"/>
  <c r="J589" i="8"/>
  <c r="I580" i="8"/>
  <c r="J580" i="8"/>
  <c r="D567" i="8"/>
  <c r="C567" i="8"/>
  <c r="I544" i="8"/>
  <c r="J544" i="8"/>
  <c r="D536" i="8"/>
  <c r="C536" i="8"/>
  <c r="I635" i="8"/>
  <c r="J635" i="8"/>
  <c r="I626" i="8"/>
  <c r="J626" i="8"/>
  <c r="D623" i="8"/>
  <c r="C623" i="8"/>
  <c r="I619" i="8"/>
  <c r="J619" i="8"/>
  <c r="I610" i="8"/>
  <c r="J610" i="8"/>
  <c r="I603" i="8"/>
  <c r="J603" i="8"/>
  <c r="I594" i="8"/>
  <c r="J594" i="8"/>
  <c r="I587" i="8"/>
  <c r="J587" i="8"/>
  <c r="I547" i="8"/>
  <c r="J547" i="8"/>
  <c r="D492" i="8"/>
  <c r="C492" i="8"/>
  <c r="C467" i="8"/>
  <c r="D467" i="8"/>
  <c r="D459" i="8"/>
  <c r="C459" i="8"/>
  <c r="C651" i="8"/>
  <c r="D651" i="8"/>
  <c r="D633" i="8"/>
  <c r="C633" i="8"/>
  <c r="I629" i="8"/>
  <c r="J629" i="8"/>
  <c r="I620" i="8"/>
  <c r="J620" i="8"/>
  <c r="D617" i="8"/>
  <c r="C617" i="8"/>
  <c r="I613" i="8"/>
  <c r="J613" i="8"/>
  <c r="I604" i="8"/>
  <c r="J604" i="8"/>
  <c r="I597" i="8"/>
  <c r="J597" i="8"/>
  <c r="I588" i="8"/>
  <c r="J588" i="8"/>
  <c r="I581" i="8"/>
  <c r="J581" i="8"/>
  <c r="I548" i="8"/>
  <c r="J548" i="8"/>
  <c r="D670" i="8"/>
  <c r="E670" i="8" s="1"/>
  <c r="J661" i="8"/>
  <c r="K661" i="8" s="1"/>
  <c r="D654" i="8"/>
  <c r="E654" i="8" s="1"/>
  <c r="I636" i="8"/>
  <c r="J636" i="8"/>
  <c r="I634" i="8"/>
  <c r="J634" i="8"/>
  <c r="D631" i="8"/>
  <c r="C631" i="8"/>
  <c r="I627" i="8"/>
  <c r="J627" i="8"/>
  <c r="I618" i="8"/>
  <c r="J618" i="8"/>
  <c r="D615" i="8"/>
  <c r="C615" i="8"/>
  <c r="I611" i="8"/>
  <c r="J611" i="8"/>
  <c r="I602" i="8"/>
  <c r="J602" i="8"/>
  <c r="I595" i="8"/>
  <c r="J595" i="8"/>
  <c r="I586" i="8"/>
  <c r="J586" i="8"/>
  <c r="D575" i="8"/>
  <c r="C575" i="8"/>
  <c r="D504" i="8"/>
  <c r="C504" i="8"/>
  <c r="I644" i="8"/>
  <c r="J644" i="8"/>
  <c r="J640" i="8"/>
  <c r="K640" i="8" s="1"/>
  <c r="D636" i="8"/>
  <c r="E636" i="8" s="1"/>
  <c r="I632" i="8"/>
  <c r="J632" i="8"/>
  <c r="D629" i="8"/>
  <c r="C629" i="8"/>
  <c r="I625" i="8"/>
  <c r="J625" i="8"/>
  <c r="I616" i="8"/>
  <c r="J616" i="8"/>
  <c r="I609" i="8"/>
  <c r="J609" i="8"/>
  <c r="I600" i="8"/>
  <c r="J600" i="8"/>
  <c r="I593" i="8"/>
  <c r="J593" i="8"/>
  <c r="I584" i="8"/>
  <c r="J584" i="8"/>
  <c r="I579" i="8"/>
  <c r="J579" i="8"/>
  <c r="I573" i="8"/>
  <c r="J573" i="8"/>
  <c r="I570" i="8"/>
  <c r="J570" i="8"/>
  <c r="I562" i="8"/>
  <c r="J562" i="8"/>
  <c r="C541" i="8"/>
  <c r="D541" i="8"/>
  <c r="C647" i="8"/>
  <c r="D647" i="8"/>
  <c r="I630" i="8"/>
  <c r="J630" i="8"/>
  <c r="D627" i="8"/>
  <c r="C627" i="8"/>
  <c r="I623" i="8"/>
  <c r="J623" i="8"/>
  <c r="I614" i="8"/>
  <c r="J614" i="8"/>
  <c r="I607" i="8"/>
  <c r="J607" i="8"/>
  <c r="I598" i="8"/>
  <c r="J598" i="8"/>
  <c r="I591" i="8"/>
  <c r="J591" i="8"/>
  <c r="I582" i="8"/>
  <c r="J582" i="8"/>
  <c r="I549" i="8"/>
  <c r="J549" i="8"/>
  <c r="C531" i="8"/>
  <c r="D531" i="8"/>
  <c r="I528" i="8"/>
  <c r="J528" i="8"/>
  <c r="I478" i="8"/>
  <c r="J478" i="8"/>
  <c r="I445" i="8"/>
  <c r="J445" i="8"/>
  <c r="C438" i="8"/>
  <c r="D438" i="8"/>
  <c r="D411" i="8"/>
  <c r="C411" i="8"/>
  <c r="I398" i="8"/>
  <c r="J398" i="8"/>
  <c r="I389" i="8"/>
  <c r="J389" i="8"/>
  <c r="I384" i="8"/>
  <c r="J384" i="8"/>
  <c r="C613" i="8"/>
  <c r="E613" i="8" s="1"/>
  <c r="C611" i="8"/>
  <c r="E611" i="8" s="1"/>
  <c r="C609" i="8"/>
  <c r="E609" i="8" s="1"/>
  <c r="C607" i="8"/>
  <c r="E607" i="8" s="1"/>
  <c r="C605" i="8"/>
  <c r="E605" i="8" s="1"/>
  <c r="C603" i="8"/>
  <c r="E603" i="8" s="1"/>
  <c r="C601" i="8"/>
  <c r="E601" i="8" s="1"/>
  <c r="C599" i="8"/>
  <c r="E599" i="8" s="1"/>
  <c r="C597" i="8"/>
  <c r="E597" i="8" s="1"/>
  <c r="C595" i="8"/>
  <c r="E595" i="8" s="1"/>
  <c r="C593" i="8"/>
  <c r="E593" i="8" s="1"/>
  <c r="C591" i="8"/>
  <c r="E591" i="8" s="1"/>
  <c r="C589" i="8"/>
  <c r="E589" i="8" s="1"/>
  <c r="C587" i="8"/>
  <c r="E587" i="8" s="1"/>
  <c r="C585" i="8"/>
  <c r="E585" i="8" s="1"/>
  <c r="C583" i="8"/>
  <c r="E583" i="8" s="1"/>
  <c r="C581" i="8"/>
  <c r="E581" i="8" s="1"/>
  <c r="J565" i="8"/>
  <c r="K565" i="8" s="1"/>
  <c r="J563" i="8"/>
  <c r="K563" i="8" s="1"/>
  <c r="C559" i="8"/>
  <c r="E559" i="8" s="1"/>
  <c r="J554" i="8"/>
  <c r="K554" i="8" s="1"/>
  <c r="C539" i="8"/>
  <c r="E539" i="8" s="1"/>
  <c r="D528" i="8"/>
  <c r="C528" i="8"/>
  <c r="I525" i="8"/>
  <c r="J525" i="8"/>
  <c r="I522" i="8"/>
  <c r="J522" i="8"/>
  <c r="I506" i="8"/>
  <c r="J506" i="8"/>
  <c r="D499" i="8"/>
  <c r="E499" i="8" s="1"/>
  <c r="C490" i="8"/>
  <c r="D490" i="8"/>
  <c r="C470" i="8"/>
  <c r="D470" i="8"/>
  <c r="I413" i="8"/>
  <c r="J413" i="8"/>
  <c r="C361" i="8"/>
  <c r="D361" i="8"/>
  <c r="C487" i="8"/>
  <c r="D487" i="8"/>
  <c r="I473" i="8"/>
  <c r="J473" i="8"/>
  <c r="D460" i="8"/>
  <c r="C460" i="8"/>
  <c r="I404" i="8"/>
  <c r="J404" i="8"/>
  <c r="J568" i="8"/>
  <c r="K568" i="8" s="1"/>
  <c r="I518" i="8"/>
  <c r="J518" i="8"/>
  <c r="I510" i="8"/>
  <c r="J510" i="8"/>
  <c r="D451" i="8"/>
  <c r="C451" i="8"/>
  <c r="C641" i="8"/>
  <c r="E641" i="8" s="1"/>
  <c r="J569" i="8"/>
  <c r="K569" i="8" s="1"/>
  <c r="J567" i="8"/>
  <c r="K567" i="8" s="1"/>
  <c r="C563" i="8"/>
  <c r="E563" i="8" s="1"/>
  <c r="J558" i="8"/>
  <c r="K558" i="8" s="1"/>
  <c r="D540" i="8"/>
  <c r="C540" i="8"/>
  <c r="I486" i="8"/>
  <c r="J486" i="8"/>
  <c r="I477" i="8"/>
  <c r="K477" i="8" s="1"/>
  <c r="D472" i="8"/>
  <c r="C472" i="8"/>
  <c r="I453" i="8"/>
  <c r="J453" i="8"/>
  <c r="D366" i="8"/>
  <c r="C366" i="8"/>
  <c r="C545" i="8"/>
  <c r="D545" i="8"/>
  <c r="C502" i="8"/>
  <c r="D502" i="8"/>
  <c r="I474" i="8"/>
  <c r="J474" i="8"/>
  <c r="C446" i="8"/>
  <c r="D446" i="8"/>
  <c r="D443" i="8"/>
  <c r="C443" i="8"/>
  <c r="D382" i="8"/>
  <c r="C382" i="8"/>
  <c r="C369" i="8"/>
  <c r="D369" i="8"/>
  <c r="I538" i="8"/>
  <c r="J538" i="8"/>
  <c r="C520" i="8"/>
  <c r="E520" i="8" s="1"/>
  <c r="C512" i="8"/>
  <c r="E512" i="8" s="1"/>
  <c r="D510" i="8"/>
  <c r="E510" i="8" s="1"/>
  <c r="I490" i="8"/>
  <c r="J490" i="8"/>
  <c r="C480" i="8"/>
  <c r="E480" i="8" s="1"/>
  <c r="D478" i="8"/>
  <c r="E478" i="8" s="1"/>
  <c r="I458" i="8"/>
  <c r="J458" i="8"/>
  <c r="I441" i="8"/>
  <c r="J441" i="8"/>
  <c r="C435" i="8"/>
  <c r="E435" i="8" s="1"/>
  <c r="D430" i="8"/>
  <c r="E430" i="8" s="1"/>
  <c r="I409" i="8"/>
  <c r="J409" i="8"/>
  <c r="J396" i="8"/>
  <c r="K396" i="8" s="1"/>
  <c r="J329" i="8"/>
  <c r="I329" i="8"/>
  <c r="I494" i="8"/>
  <c r="J494" i="8"/>
  <c r="I462" i="8"/>
  <c r="J462" i="8"/>
  <c r="I437" i="8"/>
  <c r="J437" i="8"/>
  <c r="D386" i="8"/>
  <c r="C386" i="8"/>
  <c r="I530" i="8"/>
  <c r="J530" i="8"/>
  <c r="I498" i="8"/>
  <c r="J498" i="8"/>
  <c r="C488" i="8"/>
  <c r="E488" i="8" s="1"/>
  <c r="D486" i="8"/>
  <c r="E486" i="8" s="1"/>
  <c r="I466" i="8"/>
  <c r="J466" i="8"/>
  <c r="C456" i="8"/>
  <c r="E456" i="8" s="1"/>
  <c r="D455" i="8"/>
  <c r="E455" i="8" s="1"/>
  <c r="D454" i="8"/>
  <c r="E454" i="8" s="1"/>
  <c r="I433" i="8"/>
  <c r="J433" i="8"/>
  <c r="C427" i="8"/>
  <c r="E427" i="8" s="1"/>
  <c r="D422" i="8"/>
  <c r="E422" i="8" s="1"/>
  <c r="C377" i="8"/>
  <c r="E377" i="8" s="1"/>
  <c r="I345" i="8"/>
  <c r="J345" i="8"/>
  <c r="C269" i="8"/>
  <c r="D269" i="8"/>
  <c r="I526" i="8"/>
  <c r="J526" i="8"/>
  <c r="I502" i="8"/>
  <c r="J502" i="8"/>
  <c r="I470" i="8"/>
  <c r="J470" i="8"/>
  <c r="D458" i="8"/>
  <c r="E458" i="8" s="1"/>
  <c r="D450" i="8"/>
  <c r="E450" i="8" s="1"/>
  <c r="I429" i="8"/>
  <c r="J429" i="8"/>
  <c r="C423" i="8"/>
  <c r="E423" i="8" s="1"/>
  <c r="D418" i="8"/>
  <c r="E418" i="8" s="1"/>
  <c r="C381" i="8"/>
  <c r="E381" i="8" s="1"/>
  <c r="D370" i="8"/>
  <c r="C370" i="8"/>
  <c r="C365" i="8"/>
  <c r="D365" i="8"/>
  <c r="D362" i="8"/>
  <c r="C362" i="8"/>
  <c r="J321" i="8"/>
  <c r="I321" i="8"/>
  <c r="I425" i="8"/>
  <c r="J425" i="8"/>
  <c r="C360" i="8"/>
  <c r="D360" i="8"/>
  <c r="I324" i="8"/>
  <c r="J324" i="8"/>
  <c r="I421" i="8"/>
  <c r="J421" i="8"/>
  <c r="C385" i="8"/>
  <c r="D385" i="8"/>
  <c r="I334" i="8"/>
  <c r="J334" i="8"/>
  <c r="I312" i="8"/>
  <c r="J312" i="8"/>
  <c r="I514" i="8"/>
  <c r="J514" i="8"/>
  <c r="I482" i="8"/>
  <c r="J482" i="8"/>
  <c r="I449" i="8"/>
  <c r="J449" i="8"/>
  <c r="I417" i="8"/>
  <c r="J417" i="8"/>
  <c r="D328" i="8"/>
  <c r="C328" i="8"/>
  <c r="J351" i="8"/>
  <c r="K351" i="8" s="1"/>
  <c r="J346" i="8"/>
  <c r="K346" i="8" s="1"/>
  <c r="I330" i="8"/>
  <c r="J330" i="8"/>
  <c r="I326" i="8"/>
  <c r="J326" i="8"/>
  <c r="C324" i="8"/>
  <c r="D324" i="8"/>
  <c r="C312" i="8"/>
  <c r="D312" i="8"/>
  <c r="C280" i="8"/>
  <c r="D280" i="8"/>
  <c r="C264" i="8"/>
  <c r="D264" i="8"/>
  <c r="I243" i="8"/>
  <c r="K243" i="8" s="1"/>
  <c r="J301" i="8"/>
  <c r="I301" i="8"/>
  <c r="J289" i="8"/>
  <c r="I289" i="8"/>
  <c r="C286" i="8"/>
  <c r="D286" i="8"/>
  <c r="J454" i="8"/>
  <c r="K454" i="8" s="1"/>
  <c r="J450" i="8"/>
  <c r="K450" i="8" s="1"/>
  <c r="J446" i="8"/>
  <c r="K446" i="8" s="1"/>
  <c r="J442" i="8"/>
  <c r="K442" i="8" s="1"/>
  <c r="J438" i="8"/>
  <c r="K438" i="8" s="1"/>
  <c r="J434" i="8"/>
  <c r="K434" i="8" s="1"/>
  <c r="J430" i="8"/>
  <c r="K430" i="8" s="1"/>
  <c r="J426" i="8"/>
  <c r="K426" i="8" s="1"/>
  <c r="J422" i="8"/>
  <c r="K422" i="8" s="1"/>
  <c r="J418" i="8"/>
  <c r="K418" i="8" s="1"/>
  <c r="J414" i="8"/>
  <c r="K414" i="8" s="1"/>
  <c r="J410" i="8"/>
  <c r="K410" i="8" s="1"/>
  <c r="D405" i="8"/>
  <c r="E405" i="8" s="1"/>
  <c r="D401" i="8"/>
  <c r="E401" i="8" s="1"/>
  <c r="D397" i="8"/>
  <c r="E397" i="8" s="1"/>
  <c r="D393" i="8"/>
  <c r="E393" i="8" s="1"/>
  <c r="J382" i="8"/>
  <c r="K382" i="8" s="1"/>
  <c r="J381" i="8"/>
  <c r="K381" i="8" s="1"/>
  <c r="J378" i="8"/>
  <c r="K378" i="8" s="1"/>
  <c r="J377" i="8"/>
  <c r="K377" i="8" s="1"/>
  <c r="J374" i="8"/>
  <c r="K374" i="8" s="1"/>
  <c r="J373" i="8"/>
  <c r="K373" i="8" s="1"/>
  <c r="J370" i="8"/>
  <c r="K370" i="8" s="1"/>
  <c r="J369" i="8"/>
  <c r="K369" i="8" s="1"/>
  <c r="J366" i="8"/>
  <c r="K366" i="8" s="1"/>
  <c r="J365" i="8"/>
  <c r="K365" i="8" s="1"/>
  <c r="J362" i="8"/>
  <c r="K362" i="8" s="1"/>
  <c r="J361" i="8"/>
  <c r="K361" i="8" s="1"/>
  <c r="J356" i="8"/>
  <c r="K356" i="8" s="1"/>
  <c r="J337" i="8"/>
  <c r="K337" i="8" s="1"/>
  <c r="J336" i="8"/>
  <c r="K336" i="8" s="1"/>
  <c r="J316" i="8"/>
  <c r="K316" i="8" s="1"/>
  <c r="I313" i="8"/>
  <c r="K313" i="8" s="1"/>
  <c r="C304" i="8"/>
  <c r="D304" i="8"/>
  <c r="C292" i="8"/>
  <c r="D292" i="8"/>
  <c r="J287" i="8"/>
  <c r="I287" i="8"/>
  <c r="D261" i="8"/>
  <c r="C261" i="8"/>
  <c r="D452" i="8"/>
  <c r="E452" i="8" s="1"/>
  <c r="D448" i="8"/>
  <c r="E448" i="8" s="1"/>
  <c r="D444" i="8"/>
  <c r="E444" i="8" s="1"/>
  <c r="D440" i="8"/>
  <c r="E440" i="8" s="1"/>
  <c r="D436" i="8"/>
  <c r="E436" i="8" s="1"/>
  <c r="D432" i="8"/>
  <c r="E432" i="8" s="1"/>
  <c r="D428" i="8"/>
  <c r="E428" i="8" s="1"/>
  <c r="D424" i="8"/>
  <c r="E424" i="8" s="1"/>
  <c r="D420" i="8"/>
  <c r="E420" i="8" s="1"/>
  <c r="D416" i="8"/>
  <c r="E416" i="8" s="1"/>
  <c r="D412" i="8"/>
  <c r="E412" i="8" s="1"/>
  <c r="C406" i="8"/>
  <c r="E406" i="8" s="1"/>
  <c r="C402" i="8"/>
  <c r="E402" i="8" s="1"/>
  <c r="C398" i="8"/>
  <c r="E398" i="8" s="1"/>
  <c r="C394" i="8"/>
  <c r="E394" i="8" s="1"/>
  <c r="D389" i="8"/>
  <c r="E389" i="8" s="1"/>
  <c r="C346" i="8"/>
  <c r="E346" i="8" s="1"/>
  <c r="D340" i="8"/>
  <c r="C340" i="8"/>
  <c r="I305" i="8"/>
  <c r="K305" i="8" s="1"/>
  <c r="I296" i="8"/>
  <c r="J296" i="8"/>
  <c r="C283" i="8"/>
  <c r="E283" i="8" s="1"/>
  <c r="D256" i="8"/>
  <c r="E256" i="8" s="1"/>
  <c r="C390" i="8"/>
  <c r="E390" i="8" s="1"/>
  <c r="C354" i="8"/>
  <c r="E354" i="8" s="1"/>
  <c r="D353" i="8"/>
  <c r="E353" i="8" s="1"/>
  <c r="D352" i="8"/>
  <c r="E352" i="8" s="1"/>
  <c r="D348" i="8"/>
  <c r="E348" i="8" s="1"/>
  <c r="C342" i="8"/>
  <c r="E342" i="8" s="1"/>
  <c r="C336" i="8"/>
  <c r="E336" i="8" s="1"/>
  <c r="I317" i="8"/>
  <c r="K317" i="8" s="1"/>
  <c r="C316" i="8"/>
  <c r="D316" i="8"/>
  <c r="I308" i="8"/>
  <c r="J308" i="8"/>
  <c r="C279" i="8"/>
  <c r="D279" i="8"/>
  <c r="C257" i="8"/>
  <c r="D257" i="8"/>
  <c r="D356" i="8"/>
  <c r="E356" i="8" s="1"/>
  <c r="D350" i="8"/>
  <c r="C350" i="8"/>
  <c r="I344" i="8"/>
  <c r="J344" i="8"/>
  <c r="I338" i="8"/>
  <c r="J338" i="8"/>
  <c r="J333" i="8"/>
  <c r="K333" i="8" s="1"/>
  <c r="C308" i="8"/>
  <c r="D308" i="8"/>
  <c r="C268" i="8"/>
  <c r="D268" i="8"/>
  <c r="D358" i="8"/>
  <c r="C358" i="8"/>
  <c r="C320" i="8"/>
  <c r="D320" i="8"/>
  <c r="C285" i="8"/>
  <c r="D285" i="8"/>
  <c r="I342" i="8"/>
  <c r="J342" i="8"/>
  <c r="J271" i="8"/>
  <c r="I271" i="8"/>
  <c r="C270" i="8"/>
  <c r="D270" i="8"/>
  <c r="C252" i="8"/>
  <c r="D252" i="8"/>
  <c r="J328" i="8"/>
  <c r="K328" i="8" s="1"/>
  <c r="J304" i="8"/>
  <c r="K304" i="8" s="1"/>
  <c r="I297" i="8"/>
  <c r="K297" i="8" s="1"/>
  <c r="C296" i="8"/>
  <c r="D296" i="8"/>
  <c r="J277" i="8"/>
  <c r="I277" i="8"/>
  <c r="C267" i="8"/>
  <c r="E267" i="8" s="1"/>
  <c r="C258" i="8"/>
  <c r="D258" i="8"/>
  <c r="J251" i="8"/>
  <c r="I251" i="8"/>
  <c r="J239" i="8"/>
  <c r="I239" i="8"/>
  <c r="C236" i="8"/>
  <c r="D236" i="8"/>
  <c r="C300" i="8"/>
  <c r="D300" i="8"/>
  <c r="I178" i="8"/>
  <c r="J178" i="8"/>
  <c r="D176" i="8"/>
  <c r="C176" i="8"/>
  <c r="C262" i="8"/>
  <c r="D262" i="8"/>
  <c r="D313" i="8"/>
  <c r="E313" i="8" s="1"/>
  <c r="D309" i="8"/>
  <c r="E309" i="8" s="1"/>
  <c r="D305" i="8"/>
  <c r="E305" i="8" s="1"/>
  <c r="D301" i="8"/>
  <c r="E301" i="8" s="1"/>
  <c r="D297" i="8"/>
  <c r="E297" i="8" s="1"/>
  <c r="D293" i="8"/>
  <c r="E293" i="8" s="1"/>
  <c r="D289" i="8"/>
  <c r="E289" i="8" s="1"/>
  <c r="D273" i="8"/>
  <c r="E273" i="8" s="1"/>
  <c r="D249" i="8"/>
  <c r="E249" i="8" s="1"/>
  <c r="C242" i="8"/>
  <c r="D242" i="8"/>
  <c r="D229" i="8"/>
  <c r="E229" i="8" s="1"/>
  <c r="I223" i="8"/>
  <c r="J223" i="8"/>
  <c r="I186" i="8"/>
  <c r="J186" i="8"/>
  <c r="D184" i="8"/>
  <c r="C184" i="8"/>
  <c r="J322" i="8"/>
  <c r="K322" i="8" s="1"/>
  <c r="J318" i="8"/>
  <c r="K318" i="8" s="1"/>
  <c r="J314" i="8"/>
  <c r="K314" i="8" s="1"/>
  <c r="J310" i="8"/>
  <c r="K310" i="8" s="1"/>
  <c r="J306" i="8"/>
  <c r="K306" i="8" s="1"/>
  <c r="J302" i="8"/>
  <c r="K302" i="8" s="1"/>
  <c r="J298" i="8"/>
  <c r="K298" i="8" s="1"/>
  <c r="J294" i="8"/>
  <c r="K294" i="8" s="1"/>
  <c r="J290" i="8"/>
  <c r="K290" i="8" s="1"/>
  <c r="D287" i="8"/>
  <c r="E287" i="8" s="1"/>
  <c r="I281" i="8"/>
  <c r="K281" i="8" s="1"/>
  <c r="D274" i="8"/>
  <c r="E274" i="8" s="1"/>
  <c r="D271" i="8"/>
  <c r="E271" i="8" s="1"/>
  <c r="I265" i="8"/>
  <c r="K265" i="8" s="1"/>
  <c r="I263" i="8"/>
  <c r="K263" i="8" s="1"/>
  <c r="D253" i="8"/>
  <c r="E253" i="8" s="1"/>
  <c r="C246" i="8"/>
  <c r="D246" i="8"/>
  <c r="D244" i="8"/>
  <c r="E244" i="8" s="1"/>
  <c r="I235" i="8"/>
  <c r="K235" i="8" s="1"/>
  <c r="C199" i="8"/>
  <c r="D199" i="8"/>
  <c r="D191" i="8"/>
  <c r="E191" i="8" s="1"/>
  <c r="C144" i="8"/>
  <c r="D144" i="8"/>
  <c r="D288" i="8"/>
  <c r="E288" i="8" s="1"/>
  <c r="I279" i="8"/>
  <c r="K279" i="8" s="1"/>
  <c r="D272" i="8"/>
  <c r="E272" i="8" s="1"/>
  <c r="C250" i="8"/>
  <c r="D250" i="8"/>
  <c r="D248" i="8"/>
  <c r="E248" i="8" s="1"/>
  <c r="D233" i="8"/>
  <c r="E233" i="8" s="1"/>
  <c r="C230" i="8"/>
  <c r="D230" i="8"/>
  <c r="D228" i="8"/>
  <c r="E228" i="8" s="1"/>
  <c r="C192" i="8"/>
  <c r="E192" i="8" s="1"/>
  <c r="J129" i="8"/>
  <c r="I129" i="8"/>
  <c r="C128" i="8"/>
  <c r="D128" i="8"/>
  <c r="C254" i="8"/>
  <c r="D254" i="8"/>
  <c r="I219" i="8"/>
  <c r="J219" i="8"/>
  <c r="C211" i="8"/>
  <c r="D211" i="8"/>
  <c r="C200" i="8"/>
  <c r="E200" i="8" s="1"/>
  <c r="I198" i="8"/>
  <c r="J198" i="8"/>
  <c r="C159" i="8"/>
  <c r="D159" i="8"/>
  <c r="C234" i="8"/>
  <c r="D234" i="8"/>
  <c r="D232" i="8"/>
  <c r="E232" i="8" s="1"/>
  <c r="C225" i="8"/>
  <c r="E225" i="8" s="1"/>
  <c r="C167" i="8"/>
  <c r="D167" i="8"/>
  <c r="I227" i="8"/>
  <c r="J227" i="8"/>
  <c r="C175" i="8"/>
  <c r="D175" i="8"/>
  <c r="I162" i="8"/>
  <c r="J162" i="8"/>
  <c r="D160" i="8"/>
  <c r="C160" i="8"/>
  <c r="C238" i="8"/>
  <c r="D238" i="8"/>
  <c r="D208" i="8"/>
  <c r="C208" i="8"/>
  <c r="C183" i="8"/>
  <c r="D183" i="8"/>
  <c r="I170" i="8"/>
  <c r="J170" i="8"/>
  <c r="D168" i="8"/>
  <c r="C168" i="8"/>
  <c r="D206" i="8"/>
  <c r="E206" i="8" s="1"/>
  <c r="C196" i="8"/>
  <c r="E196" i="8" s="1"/>
  <c r="I190" i="8"/>
  <c r="J190" i="8"/>
  <c r="D152" i="8"/>
  <c r="E152" i="8" s="1"/>
  <c r="C124" i="8"/>
  <c r="D124" i="8"/>
  <c r="J121" i="8"/>
  <c r="I121" i="8"/>
  <c r="J109" i="8"/>
  <c r="I109" i="8"/>
  <c r="D226" i="8"/>
  <c r="E226" i="8" s="1"/>
  <c r="D222" i="8"/>
  <c r="E222" i="8" s="1"/>
  <c r="I182" i="8"/>
  <c r="J182" i="8"/>
  <c r="I174" i="8"/>
  <c r="J174" i="8"/>
  <c r="I166" i="8"/>
  <c r="J166" i="8"/>
  <c r="I158" i="8"/>
  <c r="J158" i="8"/>
  <c r="C156" i="8"/>
  <c r="D156" i="8"/>
  <c r="D146" i="8"/>
  <c r="C146" i="8"/>
  <c r="J141" i="8"/>
  <c r="I141" i="8"/>
  <c r="D70" i="8"/>
  <c r="C70" i="8"/>
  <c r="I210" i="8"/>
  <c r="J210" i="8"/>
  <c r="D207" i="8"/>
  <c r="E207" i="8" s="1"/>
  <c r="D190" i="8"/>
  <c r="E190" i="8" s="1"/>
  <c r="C180" i="8"/>
  <c r="E180" i="8" s="1"/>
  <c r="D179" i="8"/>
  <c r="E179" i="8" s="1"/>
  <c r="C172" i="8"/>
  <c r="E172" i="8" s="1"/>
  <c r="D171" i="8"/>
  <c r="E171" i="8" s="1"/>
  <c r="C164" i="8"/>
  <c r="E164" i="8" s="1"/>
  <c r="D163" i="8"/>
  <c r="E163" i="8" s="1"/>
  <c r="C153" i="8"/>
  <c r="E153" i="8" s="1"/>
  <c r="I131" i="8"/>
  <c r="K131" i="8" s="1"/>
  <c r="I202" i="8"/>
  <c r="J202" i="8"/>
  <c r="I194" i="8"/>
  <c r="J194" i="8"/>
  <c r="I139" i="8"/>
  <c r="J139" i="8"/>
  <c r="D102" i="8"/>
  <c r="C102" i="8"/>
  <c r="D82" i="8"/>
  <c r="C82" i="8"/>
  <c r="I128" i="8"/>
  <c r="J128" i="8"/>
  <c r="I206" i="8"/>
  <c r="J206" i="8"/>
  <c r="I140" i="8"/>
  <c r="J140" i="8"/>
  <c r="D126" i="8"/>
  <c r="C126" i="8"/>
  <c r="D122" i="8"/>
  <c r="C122" i="8"/>
  <c r="I120" i="8"/>
  <c r="J120" i="8"/>
  <c r="I153" i="8"/>
  <c r="K153" i="8" s="1"/>
  <c r="J152" i="8"/>
  <c r="K152" i="8" s="1"/>
  <c r="C138" i="8"/>
  <c r="E138" i="8" s="1"/>
  <c r="C130" i="8"/>
  <c r="E130" i="8" s="1"/>
  <c r="C118" i="8"/>
  <c r="E118" i="8" s="1"/>
  <c r="I113" i="8"/>
  <c r="K113" i="8" s="1"/>
  <c r="C104" i="8"/>
  <c r="D104" i="8"/>
  <c r="I92" i="8"/>
  <c r="J92" i="8"/>
  <c r="C90" i="8"/>
  <c r="E90" i="8" s="1"/>
  <c r="I68" i="8"/>
  <c r="J68" i="8"/>
  <c r="C66" i="8"/>
  <c r="E66" i="8" s="1"/>
  <c r="C132" i="8"/>
  <c r="D132" i="8"/>
  <c r="C120" i="8"/>
  <c r="D120" i="8"/>
  <c r="I80" i="8"/>
  <c r="J80" i="8"/>
  <c r="C108" i="8"/>
  <c r="D108" i="8"/>
  <c r="I100" i="8"/>
  <c r="J100" i="8"/>
  <c r="I64" i="8"/>
  <c r="J64" i="8"/>
  <c r="I117" i="8"/>
  <c r="K117" i="8" s="1"/>
  <c r="J116" i="8"/>
  <c r="K116" i="8" s="1"/>
  <c r="C110" i="8"/>
  <c r="E110" i="8" s="1"/>
  <c r="I88" i="8"/>
  <c r="J88" i="8"/>
  <c r="C86" i="8"/>
  <c r="E86" i="8" s="1"/>
  <c r="C112" i="8"/>
  <c r="D112" i="8"/>
  <c r="I105" i="8"/>
  <c r="K105" i="8" s="1"/>
  <c r="C100" i="8"/>
  <c r="D100" i="8"/>
  <c r="I76" i="8"/>
  <c r="J76" i="8"/>
  <c r="I60" i="8"/>
  <c r="J60" i="8"/>
  <c r="I96" i="8"/>
  <c r="J96" i="8"/>
  <c r="C116" i="8"/>
  <c r="D116" i="8"/>
  <c r="I84" i="8"/>
  <c r="J84" i="8"/>
  <c r="I72" i="8"/>
  <c r="J72" i="8"/>
  <c r="I56" i="8"/>
  <c r="J56" i="8"/>
  <c r="D96" i="8"/>
  <c r="E96" i="8" s="1"/>
  <c r="D92" i="8"/>
  <c r="E92" i="8" s="1"/>
  <c r="D88" i="8"/>
  <c r="E88" i="8" s="1"/>
  <c r="D84" i="8"/>
  <c r="E84" i="8" s="1"/>
  <c r="D80" i="8"/>
  <c r="E80" i="8" s="1"/>
  <c r="D76" i="8"/>
  <c r="E76" i="8" s="1"/>
  <c r="D72" i="8"/>
  <c r="E72" i="8" s="1"/>
  <c r="D68" i="8"/>
  <c r="E68" i="8" s="1"/>
  <c r="D64" i="8"/>
  <c r="E64" i="8" s="1"/>
  <c r="D60" i="8"/>
  <c r="E60" i="8" s="1"/>
  <c r="D56" i="8"/>
  <c r="E56" i="8" s="1"/>
  <c r="J73" i="8"/>
  <c r="K73" i="8" s="1"/>
  <c r="J69" i="8"/>
  <c r="K69" i="8" s="1"/>
  <c r="J65" i="8"/>
  <c r="K65" i="8" s="1"/>
  <c r="J61" i="8"/>
  <c r="K61" i="8" s="1"/>
  <c r="J57" i="8"/>
  <c r="K57" i="8" s="1"/>
  <c r="J30" i="8"/>
  <c r="K30" i="8" s="1"/>
  <c r="C46" i="8"/>
  <c r="E46" i="8" s="1"/>
  <c r="I49" i="8"/>
  <c r="K49" i="8" s="1"/>
  <c r="I53" i="8"/>
  <c r="K53" i="8" s="1"/>
  <c r="I45" i="8"/>
  <c r="K45" i="8" s="1"/>
  <c r="I37" i="8"/>
  <c r="K37" i="8" s="1"/>
  <c r="D48" i="8"/>
  <c r="E48" i="8" s="1"/>
  <c r="D21" i="8"/>
  <c r="E21" i="8" s="1"/>
  <c r="J40" i="8"/>
  <c r="K40" i="8" s="1"/>
  <c r="J22" i="8"/>
  <c r="K22" i="8" s="1"/>
  <c r="C52" i="8"/>
  <c r="E52" i="8" s="1"/>
  <c r="J48" i="8"/>
  <c r="K48" i="8" s="1"/>
  <c r="J38" i="8"/>
  <c r="K38" i="8" s="1"/>
  <c r="D23" i="8"/>
  <c r="E23" i="8" s="1"/>
  <c r="J47" i="8"/>
  <c r="K47" i="8" s="1"/>
  <c r="I29" i="8"/>
  <c r="K29" i="8" s="1"/>
  <c r="I23" i="8"/>
  <c r="K23" i="8" s="1"/>
  <c r="D41" i="8"/>
  <c r="E41" i="8" s="1"/>
  <c r="J31" i="8"/>
  <c r="K31" i="8" s="1"/>
  <c r="C47" i="8"/>
  <c r="E47" i="8" s="1"/>
  <c r="J54" i="8"/>
  <c r="K54" i="8" s="1"/>
  <c r="I41" i="8"/>
  <c r="K41" i="8" s="1"/>
  <c r="J24" i="8"/>
  <c r="K24" i="8" s="1"/>
  <c r="J52" i="8"/>
  <c r="K52" i="8" s="1"/>
  <c r="J44" i="8"/>
  <c r="K44" i="8" s="1"/>
  <c r="J36" i="8"/>
  <c r="K36" i="8" s="1"/>
  <c r="J28" i="8"/>
  <c r="K28" i="8" s="1"/>
  <c r="J20" i="8"/>
  <c r="K20" i="8" s="1"/>
  <c r="J50" i="8"/>
  <c r="K50" i="8" s="1"/>
  <c r="J42" i="8"/>
  <c r="K42" i="8" s="1"/>
  <c r="J34" i="8"/>
  <c r="K34" i="8" s="1"/>
  <c r="J26" i="8"/>
  <c r="K26" i="8" s="1"/>
  <c r="D30" i="8"/>
  <c r="E30" i="8" s="1"/>
  <c r="C40" i="8"/>
  <c r="E40" i="8" s="1"/>
  <c r="C24" i="8"/>
  <c r="E24" i="8" s="1"/>
  <c r="C44" i="8"/>
  <c r="E44" i="8" s="1"/>
  <c r="D31" i="8"/>
  <c r="E31" i="8" s="1"/>
  <c r="D54" i="8"/>
  <c r="E54" i="8" s="1"/>
  <c r="C36" i="8"/>
  <c r="E36" i="8" s="1"/>
  <c r="D39" i="8"/>
  <c r="E39" i="8" s="1"/>
  <c r="D29" i="8"/>
  <c r="E29" i="8" s="1"/>
  <c r="D45" i="8"/>
  <c r="E45" i="8" s="1"/>
  <c r="D32" i="8"/>
  <c r="E32" i="8" s="1"/>
  <c r="D22" i="8"/>
  <c r="E22" i="8" s="1"/>
  <c r="D50" i="8"/>
  <c r="E50" i="8" s="1"/>
  <c r="D42" i="8"/>
  <c r="E42" i="8" s="1"/>
  <c r="D34" i="8"/>
  <c r="E34" i="8" s="1"/>
  <c r="D26" i="8"/>
  <c r="E26" i="8" s="1"/>
  <c r="D51" i="8"/>
  <c r="E51" i="8" s="1"/>
  <c r="D43" i="8"/>
  <c r="E43" i="8" s="1"/>
  <c r="D35" i="8"/>
  <c r="E35" i="8" s="1"/>
  <c r="D27" i="8"/>
  <c r="E27" i="8" s="1"/>
  <c r="D20" i="8"/>
  <c r="E20" i="8" s="1"/>
  <c r="C19" i="8"/>
  <c r="E19" i="8" s="1"/>
  <c r="D2" i="8"/>
  <c r="E2" i="8" s="1"/>
  <c r="C17" i="8"/>
  <c r="E17" i="8" s="1"/>
  <c r="D3" i="8"/>
  <c r="E3" i="8" s="1"/>
  <c r="I10" i="8"/>
  <c r="K10" i="8" s="1"/>
  <c r="J9" i="8"/>
  <c r="K9" i="8" s="1"/>
  <c r="C9" i="8"/>
  <c r="E9" i="8" s="1"/>
  <c r="J13" i="8"/>
  <c r="K13" i="8" s="1"/>
  <c r="C4" i="8"/>
  <c r="E4" i="8" s="1"/>
  <c r="C13" i="8"/>
  <c r="E13" i="8" s="1"/>
  <c r="I18" i="8"/>
  <c r="K18" i="8" s="1"/>
  <c r="J17" i="8"/>
  <c r="K17" i="8" s="1"/>
  <c r="I6" i="8"/>
  <c r="K6" i="8" s="1"/>
  <c r="D11" i="8"/>
  <c r="E11" i="8" s="1"/>
  <c r="J5" i="8"/>
  <c r="K5" i="8" s="1"/>
  <c r="I14" i="8"/>
  <c r="K14" i="8" s="1"/>
  <c r="C16" i="8"/>
  <c r="E16" i="8" s="1"/>
  <c r="D15" i="8"/>
  <c r="E15" i="8" s="1"/>
  <c r="D7" i="8"/>
  <c r="E7" i="8" s="1"/>
  <c r="D18" i="8"/>
  <c r="E18" i="8" s="1"/>
  <c r="D10" i="8"/>
  <c r="E10" i="8" s="1"/>
  <c r="D6" i="8"/>
  <c r="E6" i="8" s="1"/>
  <c r="I2" i="8"/>
  <c r="K2" i="8" s="1"/>
  <c r="J16" i="8"/>
  <c r="K16" i="8" s="1"/>
  <c r="J12" i="8"/>
  <c r="K12" i="8" s="1"/>
  <c r="J8" i="8"/>
  <c r="K8" i="8" s="1"/>
  <c r="J4" i="8"/>
  <c r="K4" i="8" s="1"/>
  <c r="C14" i="8"/>
  <c r="E14" i="8" s="1"/>
  <c r="D5" i="8"/>
  <c r="E5" i="8" s="1"/>
  <c r="J19" i="8"/>
  <c r="K19" i="8" s="1"/>
  <c r="J15" i="8"/>
  <c r="K15" i="8" s="1"/>
  <c r="J11" i="8"/>
  <c r="K11" i="8" s="1"/>
  <c r="J7" i="8"/>
  <c r="K7" i="8" s="1"/>
  <c r="J3" i="8"/>
  <c r="K3" i="8" s="1"/>
  <c r="Y336" i="1"/>
  <c r="Z336" i="1"/>
  <c r="AB336" i="1"/>
  <c r="AC336" i="1"/>
  <c r="Y337" i="1"/>
  <c r="Z337" i="1"/>
  <c r="AB337" i="1"/>
  <c r="AC337" i="1"/>
  <c r="Y338" i="1"/>
  <c r="Z338" i="1"/>
  <c r="AB338" i="1"/>
  <c r="AC338" i="1"/>
  <c r="Y341" i="1"/>
  <c r="Z341" i="1"/>
  <c r="AB341" i="1"/>
  <c r="AC341" i="1"/>
  <c r="Y342" i="1"/>
  <c r="Z342" i="1"/>
  <c r="AB342" i="1"/>
  <c r="AC342" i="1"/>
  <c r="Y343" i="1"/>
  <c r="Z343" i="1"/>
  <c r="AB343" i="1"/>
  <c r="AC343" i="1"/>
  <c r="Y344" i="1"/>
  <c r="Z344" i="1"/>
  <c r="AB344" i="1"/>
  <c r="AC344" i="1"/>
  <c r="Y353" i="1"/>
  <c r="Z353" i="1"/>
  <c r="AB353" i="1"/>
  <c r="AC353" i="1"/>
  <c r="Y356" i="1"/>
  <c r="Z356" i="1"/>
  <c r="AB356" i="1"/>
  <c r="AC356" i="1"/>
  <c r="Y357" i="1"/>
  <c r="Z357" i="1"/>
  <c r="AB357" i="1"/>
  <c r="AC357" i="1"/>
  <c r="Y359" i="1"/>
  <c r="Z359" i="1"/>
  <c r="AB359" i="1"/>
  <c r="AC359" i="1"/>
  <c r="Y360" i="1"/>
  <c r="Z360" i="1"/>
  <c r="AB360" i="1"/>
  <c r="AC360" i="1"/>
  <c r="Y361" i="1"/>
  <c r="Z361" i="1"/>
  <c r="AB361" i="1"/>
  <c r="AC361" i="1"/>
  <c r="Y362" i="1"/>
  <c r="Z362" i="1"/>
  <c r="AB362" i="1"/>
  <c r="AC362" i="1"/>
  <c r="Y363" i="1"/>
  <c r="Z363" i="1"/>
  <c r="AB363" i="1"/>
  <c r="AC363" i="1"/>
  <c r="Y366" i="1"/>
  <c r="Z366" i="1"/>
  <c r="AB366" i="1"/>
  <c r="AC366" i="1"/>
  <c r="Y367" i="1"/>
  <c r="Z367" i="1"/>
  <c r="AB367" i="1"/>
  <c r="AC367" i="1"/>
  <c r="Y371" i="1"/>
  <c r="Z371" i="1"/>
  <c r="AB371" i="1"/>
  <c r="AC371" i="1"/>
  <c r="Y372" i="1"/>
  <c r="Z372" i="1"/>
  <c r="AB372" i="1"/>
  <c r="AC372" i="1"/>
  <c r="Y373" i="1"/>
  <c r="Z373" i="1"/>
  <c r="AB373" i="1"/>
  <c r="AC373" i="1"/>
  <c r="Y374" i="1"/>
  <c r="Z374" i="1"/>
  <c r="AB374" i="1"/>
  <c r="AC374" i="1"/>
  <c r="Y375" i="1"/>
  <c r="Z375" i="1"/>
  <c r="AB375" i="1"/>
  <c r="AC375" i="1"/>
  <c r="Y376" i="1"/>
  <c r="Z376" i="1"/>
  <c r="AB376" i="1"/>
  <c r="AC376" i="1"/>
  <c r="Y377" i="1"/>
  <c r="Z377" i="1"/>
  <c r="AB377" i="1"/>
  <c r="AC377" i="1"/>
  <c r="Y378" i="1"/>
  <c r="Z378" i="1"/>
  <c r="AB378" i="1"/>
  <c r="AC378" i="1"/>
  <c r="Y379" i="1"/>
  <c r="Z379" i="1"/>
  <c r="AB379" i="1"/>
  <c r="AC379" i="1"/>
  <c r="Y380" i="1"/>
  <c r="Z380" i="1"/>
  <c r="AB380" i="1"/>
  <c r="AC380" i="1"/>
  <c r="Y381" i="1"/>
  <c r="Z381" i="1"/>
  <c r="AB381" i="1"/>
  <c r="AC381" i="1"/>
  <c r="Y382" i="1"/>
  <c r="Z382" i="1"/>
  <c r="AB382" i="1"/>
  <c r="AC382" i="1"/>
  <c r="Y383" i="1"/>
  <c r="Z383" i="1"/>
  <c r="AB383" i="1"/>
  <c r="AC383" i="1"/>
  <c r="Y384" i="1"/>
  <c r="Z384" i="1"/>
  <c r="AB384" i="1"/>
  <c r="AC384" i="1"/>
  <c r="Y385" i="1"/>
  <c r="Z385" i="1"/>
  <c r="AB385" i="1"/>
  <c r="AC385" i="1"/>
  <c r="Y386" i="1"/>
  <c r="Z386" i="1"/>
  <c r="AB386" i="1"/>
  <c r="AC386" i="1"/>
  <c r="Y387" i="1"/>
  <c r="Z387" i="1"/>
  <c r="AB387" i="1"/>
  <c r="AC387" i="1"/>
  <c r="Y388" i="1"/>
  <c r="Z388" i="1"/>
  <c r="AB388" i="1"/>
  <c r="AC388" i="1"/>
  <c r="Y389" i="1"/>
  <c r="Z389" i="1"/>
  <c r="AB389" i="1"/>
  <c r="AC389" i="1"/>
  <c r="Y390" i="1"/>
  <c r="Z390" i="1"/>
  <c r="AB390" i="1"/>
  <c r="AC390" i="1"/>
  <c r="Y391" i="1"/>
  <c r="Z391" i="1"/>
  <c r="AB391" i="1"/>
  <c r="AC391" i="1"/>
  <c r="Y392" i="1"/>
  <c r="Z392" i="1"/>
  <c r="AB392" i="1"/>
  <c r="AC392" i="1"/>
  <c r="Y393" i="1"/>
  <c r="Z393" i="1"/>
  <c r="AB393" i="1"/>
  <c r="AC393" i="1"/>
  <c r="Y394" i="1"/>
  <c r="Z394" i="1"/>
  <c r="AB394" i="1"/>
  <c r="AC394" i="1"/>
  <c r="Y395" i="1"/>
  <c r="Z395" i="1"/>
  <c r="AB395" i="1"/>
  <c r="AC395" i="1"/>
  <c r="Y396" i="1"/>
  <c r="Z396" i="1"/>
  <c r="AB396" i="1"/>
  <c r="AC396" i="1"/>
  <c r="Y397" i="1"/>
  <c r="Z397" i="1"/>
  <c r="AB397" i="1"/>
  <c r="AC397" i="1"/>
  <c r="Y398" i="1"/>
  <c r="Z398" i="1"/>
  <c r="AB398" i="1"/>
  <c r="AC398" i="1"/>
  <c r="Y399" i="1"/>
  <c r="Z399" i="1"/>
  <c r="AB399" i="1"/>
  <c r="AC399" i="1"/>
  <c r="Y400" i="1"/>
  <c r="Z400" i="1"/>
  <c r="AB400" i="1"/>
  <c r="AC400" i="1"/>
  <c r="Y401" i="1"/>
  <c r="Z401" i="1"/>
  <c r="AB401" i="1"/>
  <c r="AC401" i="1"/>
  <c r="Y402" i="1"/>
  <c r="Z402" i="1"/>
  <c r="AB402" i="1"/>
  <c r="AC402" i="1"/>
  <c r="Y403" i="1"/>
  <c r="Z403" i="1"/>
  <c r="AB403" i="1"/>
  <c r="AC403" i="1"/>
  <c r="Y404" i="1"/>
  <c r="Z404" i="1"/>
  <c r="AB404" i="1"/>
  <c r="AC404" i="1"/>
  <c r="Y405" i="1"/>
  <c r="Z405" i="1"/>
  <c r="AB405" i="1"/>
  <c r="AC405" i="1"/>
  <c r="Y406" i="1"/>
  <c r="Z406" i="1"/>
  <c r="AB406" i="1"/>
  <c r="AC406" i="1"/>
  <c r="Y407" i="1"/>
  <c r="Z407" i="1"/>
  <c r="AB407" i="1"/>
  <c r="AC407" i="1"/>
  <c r="Y408" i="1"/>
  <c r="Z408" i="1"/>
  <c r="AB408" i="1"/>
  <c r="AC408" i="1"/>
  <c r="Y409" i="1"/>
  <c r="Z409" i="1"/>
  <c r="AB409" i="1"/>
  <c r="AC409" i="1"/>
  <c r="Y410" i="1"/>
  <c r="Z410" i="1"/>
  <c r="AB410" i="1"/>
  <c r="AC410" i="1"/>
  <c r="Y411" i="1"/>
  <c r="Z411" i="1"/>
  <c r="AB411" i="1"/>
  <c r="AC411" i="1"/>
  <c r="Y412" i="1"/>
  <c r="Z412" i="1"/>
  <c r="AB412" i="1"/>
  <c r="AC412" i="1"/>
  <c r="Y413" i="1"/>
  <c r="Z413" i="1"/>
  <c r="AB413" i="1"/>
  <c r="AC413" i="1"/>
  <c r="Y414" i="1"/>
  <c r="Z414" i="1"/>
  <c r="AB414" i="1"/>
  <c r="AC414" i="1"/>
  <c r="Y415" i="1"/>
  <c r="Z415" i="1"/>
  <c r="AB415" i="1"/>
  <c r="AC415" i="1"/>
  <c r="Y416" i="1"/>
  <c r="Z416" i="1"/>
  <c r="AB416" i="1"/>
  <c r="AC416" i="1"/>
  <c r="Y417" i="1"/>
  <c r="Z417" i="1"/>
  <c r="AB417" i="1"/>
  <c r="AC417" i="1"/>
  <c r="Y418" i="1"/>
  <c r="Z418" i="1"/>
  <c r="AB418" i="1"/>
  <c r="AC418" i="1"/>
  <c r="Y419" i="1"/>
  <c r="Z419" i="1"/>
  <c r="AB419" i="1"/>
  <c r="AC419" i="1"/>
  <c r="Y420" i="1"/>
  <c r="Z420" i="1"/>
  <c r="AB420" i="1"/>
  <c r="AC420" i="1"/>
  <c r="Y421" i="1"/>
  <c r="Z421" i="1"/>
  <c r="AB421" i="1"/>
  <c r="AC421" i="1"/>
  <c r="Y422" i="1"/>
  <c r="Z422" i="1"/>
  <c r="AB422" i="1"/>
  <c r="AC422" i="1"/>
  <c r="Y423" i="1"/>
  <c r="Z423" i="1"/>
  <c r="AB423" i="1"/>
  <c r="AC423" i="1"/>
  <c r="Y424" i="1"/>
  <c r="Z424" i="1"/>
  <c r="AB424" i="1"/>
  <c r="AC424" i="1"/>
  <c r="Y425" i="1"/>
  <c r="Z425" i="1"/>
  <c r="AB425" i="1"/>
  <c r="AC425" i="1"/>
  <c r="Y426" i="1"/>
  <c r="Z426" i="1"/>
  <c r="AB426" i="1"/>
  <c r="AC426" i="1"/>
  <c r="Y427" i="1"/>
  <c r="Z427" i="1"/>
  <c r="AB427" i="1"/>
  <c r="AC427" i="1"/>
  <c r="Y428" i="1"/>
  <c r="Z428" i="1"/>
  <c r="AB428" i="1"/>
  <c r="AC428" i="1"/>
  <c r="Y429" i="1"/>
  <c r="Z429" i="1"/>
  <c r="AB429" i="1"/>
  <c r="AC429" i="1"/>
  <c r="Y430" i="1"/>
  <c r="Z430" i="1"/>
  <c r="AB430" i="1"/>
  <c r="AC430" i="1"/>
  <c r="Y431" i="1"/>
  <c r="Z431" i="1"/>
  <c r="AB431" i="1"/>
  <c r="AC431" i="1"/>
  <c r="Y432" i="1"/>
  <c r="Z432" i="1"/>
  <c r="AB432" i="1"/>
  <c r="AC432" i="1"/>
  <c r="Y433" i="1"/>
  <c r="Z433" i="1"/>
  <c r="AB433" i="1"/>
  <c r="AC433" i="1"/>
  <c r="Y434" i="1"/>
  <c r="Z434" i="1"/>
  <c r="AB434" i="1"/>
  <c r="AC434" i="1"/>
  <c r="Y435" i="1"/>
  <c r="Z435" i="1"/>
  <c r="AB435" i="1"/>
  <c r="AC435" i="1"/>
  <c r="Y436" i="1"/>
  <c r="Z436" i="1"/>
  <c r="AB436" i="1"/>
  <c r="AC436" i="1"/>
  <c r="Y437" i="1"/>
  <c r="Z437" i="1"/>
  <c r="AB437" i="1"/>
  <c r="AC437" i="1"/>
  <c r="Y438" i="1"/>
  <c r="Z438" i="1"/>
  <c r="AB438" i="1"/>
  <c r="AC438" i="1"/>
  <c r="Y439" i="1"/>
  <c r="Z439" i="1"/>
  <c r="AB439" i="1"/>
  <c r="AC439" i="1"/>
  <c r="Y440" i="1"/>
  <c r="Z440" i="1"/>
  <c r="AB440" i="1"/>
  <c r="AC440" i="1"/>
  <c r="Y441" i="1"/>
  <c r="Z441" i="1"/>
  <c r="AB441" i="1"/>
  <c r="AC441" i="1"/>
  <c r="Y442" i="1"/>
  <c r="Z442" i="1"/>
  <c r="AB442" i="1"/>
  <c r="AC442" i="1"/>
  <c r="Y443" i="1"/>
  <c r="Z443" i="1"/>
  <c r="AB443" i="1"/>
  <c r="AC443" i="1"/>
  <c r="Y444" i="1"/>
  <c r="Z444" i="1"/>
  <c r="AB444" i="1"/>
  <c r="AC444" i="1"/>
  <c r="Y445" i="1"/>
  <c r="Z445" i="1"/>
  <c r="AB445" i="1"/>
  <c r="AC445" i="1"/>
  <c r="Y446" i="1"/>
  <c r="Z446" i="1"/>
  <c r="AB446" i="1"/>
  <c r="AC446" i="1"/>
  <c r="Y447" i="1"/>
  <c r="Z447" i="1"/>
  <c r="AB447" i="1"/>
  <c r="AC447" i="1"/>
  <c r="Y448" i="1"/>
  <c r="Z448" i="1"/>
  <c r="AB448" i="1"/>
  <c r="AC448" i="1"/>
  <c r="Y449" i="1"/>
  <c r="Z449" i="1"/>
  <c r="AB449" i="1"/>
  <c r="AC449" i="1"/>
  <c r="Y450" i="1"/>
  <c r="Z450" i="1"/>
  <c r="AB450" i="1"/>
  <c r="AC450" i="1"/>
  <c r="Y451" i="1"/>
  <c r="Z451" i="1"/>
  <c r="AB451" i="1"/>
  <c r="AC451" i="1"/>
  <c r="Y452" i="1"/>
  <c r="Z452" i="1"/>
  <c r="AB452" i="1"/>
  <c r="AC452" i="1"/>
  <c r="Y453" i="1"/>
  <c r="Z453" i="1"/>
  <c r="AB453" i="1"/>
  <c r="AC453" i="1"/>
  <c r="Y454" i="1"/>
  <c r="Z454" i="1"/>
  <c r="AB454" i="1"/>
  <c r="AC454" i="1"/>
  <c r="Y455" i="1"/>
  <c r="Z455" i="1"/>
  <c r="AB455" i="1"/>
  <c r="AC455" i="1"/>
  <c r="Y456" i="1"/>
  <c r="Z456" i="1"/>
  <c r="AB456" i="1"/>
  <c r="AC456" i="1"/>
  <c r="Y457" i="1"/>
  <c r="Z457" i="1"/>
  <c r="AB457" i="1"/>
  <c r="AC457" i="1"/>
  <c r="Y458" i="1"/>
  <c r="Z458" i="1"/>
  <c r="AB458" i="1"/>
  <c r="AC458" i="1"/>
  <c r="Y459" i="1"/>
  <c r="Z459" i="1"/>
  <c r="AB459" i="1"/>
  <c r="AC459" i="1"/>
  <c r="Y460" i="1"/>
  <c r="Z460" i="1"/>
  <c r="AB460" i="1"/>
  <c r="AC460" i="1"/>
  <c r="Y461" i="1"/>
  <c r="Z461" i="1"/>
  <c r="AB461" i="1"/>
  <c r="AC461" i="1"/>
  <c r="Y462" i="1"/>
  <c r="Z462" i="1"/>
  <c r="AB462" i="1"/>
  <c r="AC462" i="1"/>
  <c r="Y463" i="1"/>
  <c r="Z463" i="1"/>
  <c r="AB463" i="1"/>
  <c r="AC463" i="1"/>
  <c r="Y464" i="1"/>
  <c r="Z464" i="1"/>
  <c r="AB464" i="1"/>
  <c r="AC464" i="1"/>
  <c r="Y465" i="1"/>
  <c r="Z465" i="1"/>
  <c r="AB465" i="1"/>
  <c r="AC465" i="1"/>
  <c r="Y466" i="1"/>
  <c r="Z466" i="1"/>
  <c r="AB466" i="1"/>
  <c r="AC466" i="1"/>
  <c r="Y467" i="1"/>
  <c r="Z467" i="1"/>
  <c r="AB467" i="1"/>
  <c r="AC467" i="1"/>
  <c r="Y468" i="1"/>
  <c r="Z468" i="1"/>
  <c r="AB468" i="1"/>
  <c r="AC468" i="1"/>
  <c r="Y469" i="1"/>
  <c r="Z469" i="1"/>
  <c r="AB469" i="1"/>
  <c r="AC469" i="1"/>
  <c r="Y470" i="1"/>
  <c r="Z470" i="1"/>
  <c r="AB470" i="1"/>
  <c r="AC470" i="1"/>
  <c r="Y471" i="1"/>
  <c r="Z471" i="1"/>
  <c r="AB471" i="1"/>
  <c r="AC471" i="1"/>
  <c r="Y472" i="1"/>
  <c r="Z472" i="1"/>
  <c r="AB472" i="1"/>
  <c r="AC472" i="1"/>
  <c r="Y473" i="1"/>
  <c r="Z473" i="1"/>
  <c r="AB473" i="1"/>
  <c r="AC473" i="1"/>
  <c r="Y474" i="1"/>
  <c r="Z474" i="1"/>
  <c r="AB474" i="1"/>
  <c r="AC474" i="1"/>
  <c r="Y475" i="1"/>
  <c r="Z475" i="1"/>
  <c r="AB475" i="1"/>
  <c r="AC475" i="1"/>
  <c r="Y476" i="1"/>
  <c r="Z476" i="1"/>
  <c r="AB476" i="1"/>
  <c r="AC476" i="1"/>
  <c r="Y477" i="1"/>
  <c r="Z477" i="1"/>
  <c r="AB477" i="1"/>
  <c r="AC477" i="1"/>
  <c r="Y478" i="1"/>
  <c r="Z478" i="1"/>
  <c r="AB478" i="1"/>
  <c r="AC478" i="1"/>
  <c r="Y479" i="1"/>
  <c r="Z479" i="1"/>
  <c r="AB479" i="1"/>
  <c r="AC479" i="1"/>
  <c r="Y480" i="1"/>
  <c r="Z480" i="1"/>
  <c r="AB480" i="1"/>
  <c r="AC480" i="1"/>
  <c r="Y481" i="1"/>
  <c r="Z481" i="1"/>
  <c r="AB481" i="1"/>
  <c r="AC481" i="1"/>
  <c r="Y482" i="1"/>
  <c r="Z482" i="1"/>
  <c r="AB482" i="1"/>
  <c r="AC482" i="1"/>
  <c r="Y483" i="1"/>
  <c r="Z483" i="1"/>
  <c r="AB483" i="1"/>
  <c r="AC483" i="1"/>
  <c r="Y484" i="1"/>
  <c r="Z484" i="1"/>
  <c r="AB484" i="1"/>
  <c r="AC484" i="1"/>
  <c r="Y485" i="1"/>
  <c r="Z485" i="1"/>
  <c r="AB485" i="1"/>
  <c r="AC485" i="1"/>
  <c r="Y486" i="1"/>
  <c r="Z486" i="1"/>
  <c r="AB486" i="1"/>
  <c r="AC486" i="1"/>
  <c r="Y487" i="1"/>
  <c r="Z487" i="1"/>
  <c r="AB487" i="1"/>
  <c r="AC487" i="1"/>
  <c r="Y488" i="1"/>
  <c r="Z488" i="1"/>
  <c r="AB488" i="1"/>
  <c r="AC488" i="1"/>
  <c r="Y489" i="1"/>
  <c r="Z489" i="1"/>
  <c r="AB489" i="1"/>
  <c r="AC489" i="1"/>
  <c r="Y490" i="1"/>
  <c r="Z490" i="1"/>
  <c r="AB490" i="1"/>
  <c r="AC490" i="1"/>
  <c r="Y491" i="1"/>
  <c r="Z491" i="1"/>
  <c r="AB491" i="1"/>
  <c r="AC491" i="1"/>
  <c r="Y492" i="1"/>
  <c r="Z492" i="1"/>
  <c r="AB492" i="1"/>
  <c r="AC492" i="1"/>
  <c r="Y493" i="1"/>
  <c r="Z493" i="1"/>
  <c r="AB493" i="1"/>
  <c r="AC493" i="1"/>
  <c r="Y494" i="1"/>
  <c r="Z494" i="1"/>
  <c r="AB494" i="1"/>
  <c r="AC494" i="1"/>
  <c r="Y495" i="1"/>
  <c r="Z495" i="1"/>
  <c r="AB495" i="1"/>
  <c r="AC495" i="1"/>
  <c r="Y496" i="1"/>
  <c r="Z496" i="1"/>
  <c r="AB496" i="1"/>
  <c r="AC496" i="1"/>
  <c r="Y497" i="1"/>
  <c r="Z497" i="1"/>
  <c r="AB497" i="1"/>
  <c r="AC497" i="1"/>
  <c r="Y498" i="1"/>
  <c r="Z498" i="1"/>
  <c r="AB498" i="1"/>
  <c r="AC498" i="1"/>
  <c r="Y499" i="1"/>
  <c r="Z499" i="1"/>
  <c r="AB499" i="1"/>
  <c r="AC499" i="1"/>
  <c r="Y500" i="1"/>
  <c r="Z500" i="1"/>
  <c r="AB500" i="1"/>
  <c r="AC500" i="1"/>
  <c r="Y501" i="1"/>
  <c r="Z501" i="1"/>
  <c r="AB501" i="1"/>
  <c r="AC501" i="1"/>
  <c r="Y502" i="1"/>
  <c r="Z502" i="1"/>
  <c r="AB502" i="1"/>
  <c r="AC502" i="1"/>
  <c r="Y503" i="1"/>
  <c r="Z503" i="1"/>
  <c r="AB503" i="1"/>
  <c r="AC503" i="1"/>
  <c r="Y504" i="1"/>
  <c r="Z504" i="1"/>
  <c r="AB504" i="1"/>
  <c r="AC504" i="1"/>
  <c r="Y505" i="1"/>
  <c r="Z505" i="1"/>
  <c r="AB505" i="1"/>
  <c r="AC505" i="1"/>
  <c r="Y506" i="1"/>
  <c r="Z506" i="1"/>
  <c r="AB506" i="1"/>
  <c r="AC506" i="1"/>
  <c r="Y507" i="1"/>
  <c r="Z507" i="1"/>
  <c r="AB507" i="1"/>
  <c r="AC507" i="1"/>
  <c r="Y508" i="1"/>
  <c r="Z508" i="1"/>
  <c r="AB508" i="1"/>
  <c r="AC508" i="1"/>
  <c r="Y509" i="1"/>
  <c r="Z509" i="1"/>
  <c r="AB509" i="1"/>
  <c r="AC509" i="1"/>
  <c r="Y510" i="1"/>
  <c r="Z510" i="1"/>
  <c r="AB510" i="1"/>
  <c r="AC510" i="1"/>
  <c r="Y511" i="1"/>
  <c r="Z511" i="1"/>
  <c r="AB511" i="1"/>
  <c r="AC511" i="1"/>
  <c r="Y512" i="1"/>
  <c r="Z512" i="1"/>
  <c r="AB512" i="1"/>
  <c r="AC512" i="1"/>
  <c r="Y513" i="1"/>
  <c r="Z513" i="1"/>
  <c r="AB513" i="1"/>
  <c r="AC513" i="1"/>
  <c r="Y514" i="1"/>
  <c r="Z514" i="1"/>
  <c r="AB514" i="1"/>
  <c r="AC514" i="1"/>
  <c r="Y515" i="1"/>
  <c r="Z515" i="1"/>
  <c r="AB515" i="1"/>
  <c r="AC515" i="1"/>
  <c r="Y516" i="1"/>
  <c r="Z516" i="1"/>
  <c r="AB516" i="1"/>
  <c r="AC516" i="1"/>
  <c r="Y517" i="1"/>
  <c r="Z517" i="1"/>
  <c r="AB517" i="1"/>
  <c r="AC517" i="1"/>
  <c r="Y518" i="1"/>
  <c r="Z518" i="1"/>
  <c r="AB518" i="1"/>
  <c r="AC518" i="1"/>
  <c r="Y519" i="1"/>
  <c r="Z519" i="1"/>
  <c r="AB519" i="1"/>
  <c r="AC519" i="1"/>
  <c r="Y520" i="1"/>
  <c r="Z520" i="1"/>
  <c r="AB520" i="1"/>
  <c r="AC520" i="1"/>
  <c r="Y521" i="1"/>
  <c r="Z521" i="1"/>
  <c r="AB521" i="1"/>
  <c r="AC521" i="1"/>
  <c r="Y522" i="1"/>
  <c r="Z522" i="1"/>
  <c r="AB522" i="1"/>
  <c r="AC522" i="1"/>
  <c r="Y523" i="1"/>
  <c r="Z523" i="1"/>
  <c r="AB523" i="1"/>
  <c r="AC523" i="1"/>
  <c r="Y524" i="1"/>
  <c r="Z524" i="1"/>
  <c r="AB524" i="1"/>
  <c r="AC524" i="1"/>
  <c r="Y525" i="1"/>
  <c r="Z525" i="1"/>
  <c r="AB525" i="1"/>
  <c r="AC525" i="1"/>
  <c r="Y526" i="1"/>
  <c r="Z526" i="1"/>
  <c r="AB526" i="1"/>
  <c r="AC526" i="1"/>
  <c r="Y527" i="1"/>
  <c r="Z527" i="1"/>
  <c r="AB527" i="1"/>
  <c r="AC527" i="1"/>
  <c r="Y528" i="1"/>
  <c r="Z528" i="1"/>
  <c r="AB528" i="1"/>
  <c r="AC528" i="1"/>
  <c r="Y529" i="1"/>
  <c r="Z529" i="1"/>
  <c r="AB529" i="1"/>
  <c r="AC529" i="1"/>
  <c r="Y530" i="1"/>
  <c r="Z530" i="1"/>
  <c r="AB530" i="1"/>
  <c r="AC530" i="1"/>
  <c r="Y531" i="1"/>
  <c r="Z531" i="1"/>
  <c r="AB531" i="1"/>
  <c r="AC531" i="1"/>
  <c r="Y532" i="1"/>
  <c r="Z532" i="1"/>
  <c r="AB532" i="1"/>
  <c r="AC532" i="1"/>
  <c r="Y533" i="1"/>
  <c r="Z533" i="1"/>
  <c r="AB533" i="1"/>
  <c r="AC533" i="1"/>
  <c r="Y534" i="1"/>
  <c r="Z534" i="1"/>
  <c r="AB534" i="1"/>
  <c r="AC534" i="1"/>
  <c r="Y535" i="1"/>
  <c r="Z535" i="1"/>
  <c r="AB535" i="1"/>
  <c r="AC535" i="1"/>
  <c r="Y536" i="1"/>
  <c r="Z536" i="1"/>
  <c r="AB536" i="1"/>
  <c r="AC536" i="1"/>
  <c r="Y537" i="1"/>
  <c r="Z537" i="1"/>
  <c r="AB537" i="1"/>
  <c r="AC537" i="1"/>
  <c r="Y538" i="1"/>
  <c r="Z538" i="1"/>
  <c r="AB538" i="1"/>
  <c r="AC538" i="1"/>
  <c r="Y539" i="1"/>
  <c r="Z539" i="1"/>
  <c r="AB539" i="1"/>
  <c r="AC539" i="1"/>
  <c r="Y540" i="1"/>
  <c r="Z540" i="1"/>
  <c r="AB540" i="1"/>
  <c r="AC540" i="1"/>
  <c r="Y541" i="1"/>
  <c r="Z541" i="1"/>
  <c r="AB541" i="1"/>
  <c r="AC541" i="1"/>
  <c r="Y542" i="1"/>
  <c r="Z542" i="1"/>
  <c r="AB542" i="1"/>
  <c r="AC542" i="1"/>
  <c r="Y543" i="1"/>
  <c r="Z543" i="1"/>
  <c r="AB543" i="1"/>
  <c r="AC543" i="1"/>
  <c r="Y544" i="1"/>
  <c r="Z544" i="1"/>
  <c r="AB544" i="1"/>
  <c r="AC544" i="1"/>
  <c r="Y545" i="1"/>
  <c r="Z545" i="1"/>
  <c r="AB545" i="1"/>
  <c r="AC545" i="1"/>
  <c r="Y546" i="1"/>
  <c r="Z546" i="1"/>
  <c r="AB546" i="1"/>
  <c r="AC546" i="1"/>
  <c r="Y547" i="1"/>
  <c r="Z547" i="1"/>
  <c r="AB547" i="1"/>
  <c r="AC547" i="1"/>
  <c r="Y548" i="1"/>
  <c r="Z548" i="1"/>
  <c r="AB548" i="1"/>
  <c r="AC548" i="1"/>
  <c r="Y549" i="1"/>
  <c r="Z549" i="1"/>
  <c r="AB549" i="1"/>
  <c r="AC549" i="1"/>
  <c r="Y550" i="1"/>
  <c r="Z550" i="1"/>
  <c r="AB550" i="1"/>
  <c r="AC550" i="1"/>
  <c r="Y551" i="1"/>
  <c r="Z551" i="1"/>
  <c r="AB551" i="1"/>
  <c r="AC551" i="1"/>
  <c r="Y552" i="1"/>
  <c r="Z552" i="1"/>
  <c r="AB552" i="1"/>
  <c r="AC552" i="1"/>
  <c r="Y553" i="1"/>
  <c r="Z553" i="1"/>
  <c r="AB553" i="1"/>
  <c r="AC553" i="1"/>
  <c r="Y554" i="1"/>
  <c r="Z554" i="1"/>
  <c r="AB554" i="1"/>
  <c r="AC554" i="1"/>
  <c r="Y555" i="1"/>
  <c r="Z555" i="1"/>
  <c r="AB555" i="1"/>
  <c r="AC555" i="1"/>
  <c r="Y556" i="1"/>
  <c r="Z556" i="1"/>
  <c r="AB556" i="1"/>
  <c r="AC556" i="1"/>
  <c r="Y557" i="1"/>
  <c r="Z557" i="1"/>
  <c r="AB557" i="1"/>
  <c r="AC557" i="1"/>
  <c r="Y558" i="1"/>
  <c r="Z558" i="1"/>
  <c r="AB558" i="1"/>
  <c r="AC558" i="1"/>
  <c r="Y559" i="1"/>
  <c r="Z559" i="1"/>
  <c r="AB559" i="1"/>
  <c r="AC559" i="1"/>
  <c r="Y560" i="1"/>
  <c r="Z560" i="1"/>
  <c r="AB560" i="1"/>
  <c r="AC560" i="1"/>
  <c r="Y561" i="1"/>
  <c r="Z561" i="1"/>
  <c r="AB561" i="1"/>
  <c r="AC561" i="1"/>
  <c r="Y562" i="1"/>
  <c r="Z562" i="1"/>
  <c r="AB562" i="1"/>
  <c r="AC562" i="1"/>
  <c r="Y563" i="1"/>
  <c r="Z563" i="1"/>
  <c r="AB563" i="1"/>
  <c r="AC563" i="1"/>
  <c r="Y564" i="1"/>
  <c r="Z564" i="1"/>
  <c r="AB564" i="1"/>
  <c r="AC564" i="1"/>
  <c r="Y565" i="1"/>
  <c r="Z565" i="1"/>
  <c r="AB565" i="1"/>
  <c r="AC565" i="1"/>
  <c r="Y566" i="1"/>
  <c r="Z566" i="1"/>
  <c r="AB566" i="1"/>
  <c r="AC566" i="1"/>
  <c r="Y567" i="1"/>
  <c r="Z567" i="1"/>
  <c r="AB567" i="1"/>
  <c r="AC567" i="1"/>
  <c r="Y568" i="1"/>
  <c r="Z568" i="1"/>
  <c r="AB568" i="1"/>
  <c r="AC568" i="1"/>
  <c r="Y569" i="1"/>
  <c r="Z569" i="1"/>
  <c r="AB569" i="1"/>
  <c r="AC569" i="1"/>
  <c r="Y570" i="1"/>
  <c r="Z570" i="1"/>
  <c r="AB570" i="1"/>
  <c r="AC570" i="1"/>
  <c r="Y571" i="1"/>
  <c r="Z571" i="1"/>
  <c r="AB571" i="1"/>
  <c r="AC571" i="1"/>
  <c r="Y572" i="1"/>
  <c r="Z572" i="1"/>
  <c r="AB572" i="1"/>
  <c r="AC572" i="1"/>
  <c r="Y573" i="1"/>
  <c r="Z573" i="1"/>
  <c r="AB573" i="1"/>
  <c r="AC573" i="1"/>
  <c r="Y574" i="1"/>
  <c r="Z574" i="1"/>
  <c r="AB574" i="1"/>
  <c r="AC574" i="1"/>
  <c r="Y575" i="1"/>
  <c r="Z575" i="1"/>
  <c r="AB575" i="1"/>
  <c r="AC575" i="1"/>
  <c r="Y576" i="1"/>
  <c r="Z576" i="1"/>
  <c r="AB576" i="1"/>
  <c r="AC576" i="1"/>
  <c r="Y577" i="1"/>
  <c r="Z577" i="1"/>
  <c r="AB577" i="1"/>
  <c r="AC577" i="1"/>
  <c r="Y578" i="1"/>
  <c r="Z578" i="1"/>
  <c r="AB578" i="1"/>
  <c r="AC578" i="1"/>
  <c r="Y579" i="1"/>
  <c r="Z579" i="1"/>
  <c r="AB579" i="1"/>
  <c r="AC579" i="1"/>
  <c r="Y580" i="1"/>
  <c r="Z580" i="1"/>
  <c r="AB580" i="1"/>
  <c r="AC580" i="1"/>
  <c r="Y581" i="1"/>
  <c r="Z581" i="1"/>
  <c r="AB581" i="1"/>
  <c r="AC581" i="1"/>
  <c r="Y582" i="1"/>
  <c r="Z582" i="1"/>
  <c r="AB582" i="1"/>
  <c r="AC582" i="1"/>
  <c r="Y583" i="1"/>
  <c r="Z583" i="1"/>
  <c r="AB583" i="1"/>
  <c r="AC583" i="1"/>
  <c r="Y584" i="1"/>
  <c r="Z584" i="1"/>
  <c r="AB584" i="1"/>
  <c r="AC584" i="1"/>
  <c r="Y585" i="1"/>
  <c r="Z585" i="1"/>
  <c r="AB585" i="1"/>
  <c r="AC585" i="1"/>
  <c r="Y586" i="1"/>
  <c r="Z586" i="1"/>
  <c r="AB586" i="1"/>
  <c r="AC586" i="1"/>
  <c r="Y587" i="1"/>
  <c r="Z587" i="1"/>
  <c r="AB587" i="1"/>
  <c r="AC587" i="1"/>
  <c r="Y588" i="1"/>
  <c r="Z588" i="1"/>
  <c r="AB588" i="1"/>
  <c r="AC588" i="1"/>
  <c r="Y589" i="1"/>
  <c r="Z589" i="1"/>
  <c r="AB589" i="1"/>
  <c r="AC589" i="1"/>
  <c r="Y590" i="1"/>
  <c r="Z590" i="1"/>
  <c r="AB590" i="1"/>
  <c r="AC590" i="1"/>
  <c r="Y591" i="1"/>
  <c r="Z591" i="1"/>
  <c r="AB591" i="1"/>
  <c r="AC591" i="1"/>
  <c r="Y592" i="1"/>
  <c r="Z592" i="1"/>
  <c r="AB592" i="1"/>
  <c r="AC592" i="1"/>
  <c r="Y593" i="1"/>
  <c r="Z593" i="1"/>
  <c r="AB593" i="1"/>
  <c r="AC593" i="1"/>
  <c r="Y594" i="1"/>
  <c r="Z594" i="1"/>
  <c r="AB594" i="1"/>
  <c r="AC594" i="1"/>
  <c r="Y595" i="1"/>
  <c r="Z595" i="1"/>
  <c r="AB595" i="1"/>
  <c r="AC595" i="1"/>
  <c r="Y596" i="1"/>
  <c r="Z596" i="1"/>
  <c r="AB596" i="1"/>
  <c r="AC596" i="1"/>
  <c r="Y597" i="1"/>
  <c r="Z597" i="1"/>
  <c r="AB597" i="1"/>
  <c r="AC597" i="1"/>
  <c r="Y598" i="1"/>
  <c r="Z598" i="1"/>
  <c r="AB598" i="1"/>
  <c r="AC598" i="1"/>
  <c r="Y599" i="1"/>
  <c r="Z599" i="1"/>
  <c r="AB599" i="1"/>
  <c r="AC599" i="1"/>
  <c r="Y600" i="1"/>
  <c r="Z600" i="1"/>
  <c r="AB600" i="1"/>
  <c r="AC600" i="1"/>
  <c r="Y601" i="1"/>
  <c r="Z601" i="1"/>
  <c r="AB601" i="1"/>
  <c r="AC601" i="1"/>
  <c r="Y602" i="1"/>
  <c r="Z602" i="1"/>
  <c r="AB602" i="1"/>
  <c r="AC602" i="1"/>
  <c r="Y603" i="1"/>
  <c r="Z603" i="1"/>
  <c r="AB603" i="1"/>
  <c r="AC603" i="1"/>
  <c r="Y604" i="1"/>
  <c r="Z604" i="1"/>
  <c r="AB604" i="1"/>
  <c r="AC604" i="1"/>
  <c r="Y605" i="1"/>
  <c r="Z605" i="1"/>
  <c r="AB605" i="1"/>
  <c r="AC605" i="1"/>
  <c r="Y606" i="1"/>
  <c r="Z606" i="1"/>
  <c r="AB606" i="1"/>
  <c r="AC606" i="1"/>
  <c r="Y607" i="1"/>
  <c r="Z607" i="1"/>
  <c r="AB607" i="1"/>
  <c r="AC607" i="1"/>
  <c r="Y608" i="1"/>
  <c r="Z608" i="1"/>
  <c r="AB608" i="1"/>
  <c r="AC608" i="1"/>
  <c r="Y609" i="1"/>
  <c r="Z609" i="1"/>
  <c r="AB609" i="1"/>
  <c r="AC609" i="1"/>
  <c r="Y610" i="1"/>
  <c r="Z610" i="1"/>
  <c r="AB610" i="1"/>
  <c r="AC610" i="1"/>
  <c r="Y611" i="1"/>
  <c r="Z611" i="1"/>
  <c r="AB611" i="1"/>
  <c r="AC611" i="1"/>
  <c r="Y612" i="1"/>
  <c r="Z612" i="1"/>
  <c r="AB612" i="1"/>
  <c r="AC612" i="1"/>
  <c r="Y613" i="1"/>
  <c r="Z613" i="1"/>
  <c r="AB613" i="1"/>
  <c r="AC613" i="1"/>
  <c r="Y614" i="1"/>
  <c r="Z614" i="1"/>
  <c r="AB614" i="1"/>
  <c r="AC614" i="1"/>
  <c r="Y615" i="1"/>
  <c r="Z615" i="1"/>
  <c r="AB615" i="1"/>
  <c r="AC615" i="1"/>
  <c r="Y616" i="1"/>
  <c r="Z616" i="1"/>
  <c r="AB616" i="1"/>
  <c r="AC616" i="1"/>
  <c r="Y617" i="1"/>
  <c r="Z617" i="1"/>
  <c r="AB617" i="1"/>
  <c r="AC617" i="1"/>
  <c r="Y618" i="1"/>
  <c r="Z618" i="1"/>
  <c r="AB618" i="1"/>
  <c r="AC618" i="1"/>
  <c r="Y619" i="1"/>
  <c r="Z619" i="1"/>
  <c r="AB619" i="1"/>
  <c r="AC619" i="1"/>
  <c r="Y620" i="1"/>
  <c r="Z620" i="1"/>
  <c r="AB620" i="1"/>
  <c r="AC620" i="1"/>
  <c r="Y621" i="1"/>
  <c r="Z621" i="1"/>
  <c r="AB621" i="1"/>
  <c r="AC621" i="1"/>
  <c r="Y622" i="1"/>
  <c r="Z622" i="1"/>
  <c r="AB622" i="1"/>
  <c r="AC622" i="1"/>
  <c r="Y623" i="1"/>
  <c r="Z623" i="1"/>
  <c r="AB623" i="1"/>
  <c r="AC623" i="1"/>
  <c r="Y624" i="1"/>
  <c r="Z624" i="1"/>
  <c r="AB624" i="1"/>
  <c r="AC624" i="1"/>
  <c r="Y625" i="1"/>
  <c r="Z625" i="1"/>
  <c r="AB625" i="1"/>
  <c r="AC625" i="1"/>
  <c r="Y626" i="1"/>
  <c r="Z626" i="1"/>
  <c r="AB626" i="1"/>
  <c r="AC626" i="1"/>
  <c r="Y627" i="1"/>
  <c r="Z627" i="1"/>
  <c r="AB627" i="1"/>
  <c r="AC627" i="1"/>
  <c r="Y628" i="1"/>
  <c r="Z628" i="1"/>
  <c r="AB628" i="1"/>
  <c r="AC628" i="1"/>
  <c r="Y629" i="1"/>
  <c r="Z629" i="1"/>
  <c r="AB629" i="1"/>
  <c r="AC629" i="1"/>
  <c r="Y630" i="1"/>
  <c r="Z630" i="1"/>
  <c r="AB630" i="1"/>
  <c r="AC630" i="1"/>
  <c r="Y631" i="1"/>
  <c r="Z631" i="1"/>
  <c r="AB631" i="1"/>
  <c r="AC631" i="1"/>
  <c r="Y632" i="1"/>
  <c r="Z632" i="1"/>
  <c r="AB632" i="1"/>
  <c r="AC632" i="1"/>
  <c r="Y633" i="1"/>
  <c r="Z633" i="1"/>
  <c r="AB633" i="1"/>
  <c r="AC633" i="1"/>
  <c r="Y634" i="1"/>
  <c r="Z634" i="1"/>
  <c r="AB634" i="1"/>
  <c r="AC634" i="1"/>
  <c r="Y635" i="1"/>
  <c r="Z635" i="1"/>
  <c r="AB635" i="1"/>
  <c r="AC635" i="1"/>
  <c r="Y636" i="1"/>
  <c r="Z636" i="1"/>
  <c r="AB636" i="1"/>
  <c r="AC636" i="1"/>
  <c r="Y637" i="1"/>
  <c r="Z637" i="1"/>
  <c r="AB637" i="1"/>
  <c r="AC637" i="1"/>
  <c r="Y638" i="1"/>
  <c r="Z638" i="1"/>
  <c r="AB638" i="1"/>
  <c r="AC638" i="1"/>
  <c r="Y639" i="1"/>
  <c r="Z639" i="1"/>
  <c r="AB639" i="1"/>
  <c r="AC639" i="1"/>
  <c r="Y640" i="1"/>
  <c r="Z640" i="1"/>
  <c r="AB640" i="1"/>
  <c r="AC640" i="1"/>
  <c r="Y641" i="1"/>
  <c r="Z641" i="1"/>
  <c r="AB641" i="1"/>
  <c r="AC641" i="1"/>
  <c r="Y642" i="1"/>
  <c r="Z642" i="1"/>
  <c r="AB642" i="1"/>
  <c r="AC642" i="1"/>
  <c r="Y643" i="1"/>
  <c r="Z643" i="1"/>
  <c r="AB643" i="1"/>
  <c r="AC643" i="1"/>
  <c r="Y644" i="1"/>
  <c r="Z644" i="1"/>
  <c r="AB644" i="1"/>
  <c r="AC644" i="1"/>
  <c r="Y645" i="1"/>
  <c r="Z645" i="1"/>
  <c r="AB645" i="1"/>
  <c r="AC645" i="1"/>
  <c r="Y646" i="1"/>
  <c r="Z646" i="1"/>
  <c r="AB646" i="1"/>
  <c r="AC646" i="1"/>
  <c r="Y647" i="1"/>
  <c r="Z647" i="1"/>
  <c r="AB647" i="1"/>
  <c r="AC647" i="1"/>
  <c r="Y648" i="1"/>
  <c r="Z648" i="1"/>
  <c r="AB648" i="1"/>
  <c r="AC648" i="1"/>
  <c r="Y649" i="1"/>
  <c r="Z649" i="1"/>
  <c r="AB649" i="1"/>
  <c r="AC649" i="1"/>
  <c r="Y650" i="1"/>
  <c r="Z650" i="1"/>
  <c r="AB650" i="1"/>
  <c r="AC650" i="1"/>
  <c r="Y651" i="1"/>
  <c r="Z651" i="1"/>
  <c r="AB651" i="1"/>
  <c r="AC651" i="1"/>
  <c r="Y652" i="1"/>
  <c r="Z652" i="1"/>
  <c r="AB652" i="1"/>
  <c r="AC652" i="1"/>
  <c r="Y653" i="1"/>
  <c r="Z653" i="1"/>
  <c r="AB653" i="1"/>
  <c r="AC653" i="1"/>
  <c r="Y654" i="1"/>
  <c r="Z654" i="1"/>
  <c r="AB654" i="1"/>
  <c r="AC654" i="1"/>
  <c r="Y655" i="1"/>
  <c r="Z655" i="1"/>
  <c r="AB655" i="1"/>
  <c r="AC655" i="1"/>
  <c r="Y656" i="1"/>
  <c r="Z656" i="1"/>
  <c r="AB656" i="1"/>
  <c r="AC656" i="1"/>
  <c r="Y657" i="1"/>
  <c r="Z657" i="1"/>
  <c r="AB657" i="1"/>
  <c r="AC657" i="1"/>
  <c r="Y658" i="1"/>
  <c r="Z658" i="1"/>
  <c r="AB658" i="1"/>
  <c r="AC658" i="1"/>
  <c r="Y659" i="1"/>
  <c r="Z659" i="1"/>
  <c r="AB659" i="1"/>
  <c r="AC659" i="1"/>
  <c r="Y660" i="1"/>
  <c r="Z660" i="1"/>
  <c r="AB660" i="1"/>
  <c r="AC660" i="1"/>
  <c r="Y661" i="1"/>
  <c r="Z661" i="1"/>
  <c r="AB661" i="1"/>
  <c r="AC661" i="1"/>
  <c r="Y662" i="1"/>
  <c r="Z662" i="1"/>
  <c r="AB662" i="1"/>
  <c r="AC662" i="1"/>
  <c r="Y663" i="1"/>
  <c r="Z663" i="1"/>
  <c r="AB663" i="1"/>
  <c r="AC663" i="1"/>
  <c r="Y664" i="1"/>
  <c r="Z664" i="1"/>
  <c r="AB664" i="1"/>
  <c r="AC664" i="1"/>
  <c r="Y665" i="1"/>
  <c r="Z665" i="1"/>
  <c r="AB665" i="1"/>
  <c r="AC665" i="1"/>
  <c r="Y666" i="1"/>
  <c r="Z666" i="1"/>
  <c r="AB666" i="1"/>
  <c r="AC666" i="1"/>
  <c r="Y667" i="1"/>
  <c r="Z667" i="1"/>
  <c r="AB667" i="1"/>
  <c r="AC667" i="1"/>
  <c r="Y668" i="1"/>
  <c r="Z668" i="1"/>
  <c r="AB668" i="1"/>
  <c r="AC668" i="1"/>
  <c r="Y669" i="1"/>
  <c r="Z669" i="1"/>
  <c r="AB669" i="1"/>
  <c r="AC669" i="1"/>
  <c r="Y670" i="1"/>
  <c r="Z670" i="1"/>
  <c r="AB670" i="1"/>
  <c r="AC670" i="1"/>
  <c r="Y671" i="1"/>
  <c r="Z671" i="1"/>
  <c r="AB671" i="1"/>
  <c r="AC671" i="1"/>
  <c r="Y672" i="1"/>
  <c r="Z672" i="1"/>
  <c r="AB672" i="1"/>
  <c r="AC672" i="1"/>
  <c r="Y673" i="1"/>
  <c r="Z673" i="1"/>
  <c r="AB673" i="1"/>
  <c r="AC673" i="1"/>
  <c r="Y674" i="1"/>
  <c r="Z674" i="1"/>
  <c r="AB674" i="1"/>
  <c r="AC674" i="1"/>
  <c r="Y675" i="1"/>
  <c r="Z675" i="1"/>
  <c r="AB675" i="1"/>
  <c r="AC675" i="1"/>
  <c r="Y676" i="1"/>
  <c r="Z676" i="1"/>
  <c r="AB676" i="1"/>
  <c r="AC676" i="1"/>
  <c r="Y677" i="1"/>
  <c r="Z677" i="1"/>
  <c r="AB677" i="1"/>
  <c r="AC677" i="1"/>
  <c r="Y678" i="1"/>
  <c r="Z678" i="1"/>
  <c r="AB678" i="1"/>
  <c r="AC678" i="1"/>
  <c r="Y679" i="1"/>
  <c r="Z679" i="1"/>
  <c r="AB679" i="1"/>
  <c r="AC679" i="1"/>
  <c r="Y680" i="1"/>
  <c r="Z680" i="1"/>
  <c r="AB680" i="1"/>
  <c r="AC680" i="1"/>
  <c r="Y681" i="1"/>
  <c r="Z681" i="1"/>
  <c r="AB681" i="1"/>
  <c r="AC681" i="1"/>
  <c r="Y682" i="1"/>
  <c r="Z682" i="1"/>
  <c r="AB682" i="1"/>
  <c r="AC682" i="1"/>
  <c r="Y683" i="1"/>
  <c r="Z683" i="1"/>
  <c r="AB683" i="1"/>
  <c r="AC683" i="1"/>
  <c r="Y684" i="1"/>
  <c r="Z684" i="1"/>
  <c r="AB684" i="1"/>
  <c r="AC684" i="1"/>
  <c r="Y685" i="1"/>
  <c r="Z685" i="1"/>
  <c r="AB685" i="1"/>
  <c r="AC685" i="1"/>
  <c r="Y686" i="1"/>
  <c r="Z686" i="1"/>
  <c r="AB686" i="1"/>
  <c r="AC686" i="1"/>
  <c r="Y687" i="1"/>
  <c r="Z687" i="1"/>
  <c r="AB687" i="1"/>
  <c r="AC687" i="1"/>
  <c r="Y688" i="1"/>
  <c r="Z688" i="1"/>
  <c r="AB688" i="1"/>
  <c r="AC688" i="1"/>
  <c r="Y689" i="1"/>
  <c r="Z689" i="1"/>
  <c r="AB689" i="1"/>
  <c r="AC689" i="1"/>
  <c r="Y690" i="1"/>
  <c r="Z690" i="1"/>
  <c r="AB690" i="1"/>
  <c r="AC690" i="1"/>
  <c r="Y691" i="1"/>
  <c r="Z691" i="1"/>
  <c r="AB691" i="1"/>
  <c r="AC691" i="1"/>
  <c r="Y692" i="1"/>
  <c r="Z692" i="1"/>
  <c r="AB692" i="1"/>
  <c r="AC692" i="1"/>
  <c r="Y693" i="1"/>
  <c r="Z693" i="1"/>
  <c r="AB693" i="1"/>
  <c r="AC693" i="1"/>
  <c r="Y694" i="1"/>
  <c r="Z694" i="1"/>
  <c r="AB694" i="1"/>
  <c r="AC694" i="1"/>
  <c r="Y695" i="1"/>
  <c r="Z695" i="1"/>
  <c r="AB695" i="1"/>
  <c r="AC695" i="1"/>
  <c r="Y696" i="1"/>
  <c r="Z696" i="1"/>
  <c r="AB696" i="1"/>
  <c r="AC696" i="1"/>
  <c r="Y697" i="1"/>
  <c r="Z697" i="1"/>
  <c r="AB697" i="1"/>
  <c r="AC697" i="1"/>
  <c r="Y698" i="1"/>
  <c r="Z698" i="1"/>
  <c r="AB698" i="1"/>
  <c r="AC698" i="1"/>
  <c r="Y699" i="1"/>
  <c r="Z699" i="1"/>
  <c r="AB699" i="1"/>
  <c r="AC699" i="1"/>
  <c r="Y700" i="1"/>
  <c r="Z700" i="1"/>
  <c r="AB700" i="1"/>
  <c r="AC700" i="1"/>
  <c r="Y701" i="1"/>
  <c r="Z701" i="1"/>
  <c r="AB701" i="1"/>
  <c r="AC701" i="1"/>
  <c r="Y702" i="1"/>
  <c r="Z702" i="1"/>
  <c r="AB702" i="1"/>
  <c r="AC702" i="1"/>
  <c r="Y703" i="1"/>
  <c r="Z703" i="1"/>
  <c r="AB703" i="1"/>
  <c r="AC703" i="1"/>
  <c r="Y704" i="1"/>
  <c r="Z704" i="1"/>
  <c r="AB704" i="1"/>
  <c r="AC704" i="1"/>
  <c r="Y705" i="1"/>
  <c r="Z705" i="1"/>
  <c r="AB705" i="1"/>
  <c r="AC705" i="1"/>
  <c r="Y706" i="1"/>
  <c r="Z706" i="1"/>
  <c r="AB706" i="1"/>
  <c r="AC706" i="1"/>
  <c r="Y707" i="1"/>
  <c r="Z707" i="1"/>
  <c r="AB707" i="1"/>
  <c r="AC707" i="1"/>
  <c r="Y708" i="1"/>
  <c r="Z708" i="1"/>
  <c r="AB708" i="1"/>
  <c r="AC708" i="1"/>
  <c r="Y709" i="1"/>
  <c r="Z709" i="1"/>
  <c r="AB709" i="1"/>
  <c r="AC709" i="1"/>
  <c r="Y710" i="1"/>
  <c r="Z710" i="1"/>
  <c r="AB710" i="1"/>
  <c r="AC710" i="1"/>
  <c r="Y711" i="1"/>
  <c r="Z711" i="1"/>
  <c r="AB711" i="1"/>
  <c r="AC711" i="1"/>
  <c r="Y712" i="1"/>
  <c r="Z712" i="1"/>
  <c r="AB712" i="1"/>
  <c r="AC712" i="1"/>
  <c r="Y713" i="1"/>
  <c r="Z713" i="1"/>
  <c r="AB713" i="1"/>
  <c r="AC713" i="1"/>
  <c r="Y714" i="1"/>
  <c r="Z714" i="1"/>
  <c r="AB714" i="1"/>
  <c r="AC714" i="1"/>
  <c r="Y715" i="1"/>
  <c r="Z715" i="1"/>
  <c r="AB715" i="1"/>
  <c r="AC715" i="1"/>
  <c r="Y716" i="1"/>
  <c r="Z716" i="1"/>
  <c r="AB716" i="1"/>
  <c r="AC716" i="1"/>
  <c r="Y717" i="1"/>
  <c r="Z717" i="1"/>
  <c r="AB717" i="1"/>
  <c r="AC717" i="1"/>
  <c r="Y718" i="1"/>
  <c r="Z718" i="1"/>
  <c r="AB718" i="1"/>
  <c r="AC718" i="1"/>
  <c r="Y719" i="1"/>
  <c r="Z719" i="1"/>
  <c r="AB719" i="1"/>
  <c r="AC719" i="1"/>
  <c r="Y720" i="1"/>
  <c r="Z720" i="1"/>
  <c r="AB720" i="1"/>
  <c r="AC720" i="1"/>
  <c r="Y721" i="1"/>
  <c r="Z721" i="1"/>
  <c r="AB721" i="1"/>
  <c r="AC721" i="1"/>
  <c r="Y722" i="1"/>
  <c r="Z722" i="1"/>
  <c r="AB722" i="1"/>
  <c r="AC722" i="1"/>
  <c r="Y723" i="1"/>
  <c r="Z723" i="1"/>
  <c r="AB723" i="1"/>
  <c r="AC723" i="1"/>
  <c r="Y724" i="1"/>
  <c r="Z724" i="1"/>
  <c r="AB724" i="1"/>
  <c r="AC724" i="1"/>
  <c r="Y725" i="1"/>
  <c r="Z725" i="1"/>
  <c r="AB725" i="1"/>
  <c r="AC725" i="1"/>
  <c r="Y726" i="1"/>
  <c r="Z726" i="1"/>
  <c r="AB726" i="1"/>
  <c r="AC726" i="1"/>
  <c r="Y727" i="1"/>
  <c r="Z727" i="1"/>
  <c r="AB727" i="1"/>
  <c r="AC727" i="1"/>
  <c r="Y728" i="1"/>
  <c r="Z728" i="1"/>
  <c r="AB728" i="1"/>
  <c r="AC728" i="1"/>
  <c r="Y729" i="1"/>
  <c r="Z729" i="1"/>
  <c r="AB729" i="1"/>
  <c r="AC729" i="1"/>
  <c r="Y730" i="1"/>
  <c r="Z730" i="1"/>
  <c r="AB730" i="1"/>
  <c r="AC730" i="1"/>
  <c r="Y731" i="1"/>
  <c r="Z731" i="1"/>
  <c r="AB731" i="1"/>
  <c r="AC731" i="1"/>
  <c r="Y732" i="1"/>
  <c r="Z732" i="1"/>
  <c r="AB732" i="1"/>
  <c r="AC732" i="1"/>
  <c r="Y733" i="1"/>
  <c r="Z733" i="1"/>
  <c r="AB733" i="1"/>
  <c r="AC733" i="1"/>
  <c r="Y734" i="1"/>
  <c r="Z734" i="1"/>
  <c r="AB734" i="1"/>
  <c r="AC734" i="1"/>
  <c r="Y735" i="1"/>
  <c r="Z735" i="1"/>
  <c r="AB735" i="1"/>
  <c r="AC735" i="1"/>
  <c r="Y736" i="1"/>
  <c r="Z736" i="1"/>
  <c r="AB736" i="1"/>
  <c r="AC736" i="1"/>
  <c r="Y737" i="1"/>
  <c r="Z737" i="1"/>
  <c r="AB737" i="1"/>
  <c r="AC737" i="1"/>
  <c r="Y738" i="1"/>
  <c r="Z738" i="1"/>
  <c r="AB738" i="1"/>
  <c r="AC738" i="1"/>
  <c r="Y739" i="1"/>
  <c r="Z739" i="1"/>
  <c r="AB739" i="1"/>
  <c r="AC739" i="1"/>
  <c r="Y740" i="1"/>
  <c r="Z740" i="1"/>
  <c r="AB740" i="1"/>
  <c r="AC740" i="1"/>
  <c r="Y741" i="1"/>
  <c r="Z741" i="1"/>
  <c r="AB741" i="1"/>
  <c r="AC741" i="1"/>
  <c r="Y742" i="1"/>
  <c r="Z742" i="1"/>
  <c r="AB742" i="1"/>
  <c r="AC742" i="1"/>
  <c r="Y743" i="1"/>
  <c r="Z743" i="1"/>
  <c r="AB743" i="1"/>
  <c r="AC743" i="1"/>
  <c r="Y744" i="1"/>
  <c r="Z744" i="1"/>
  <c r="AB744" i="1"/>
  <c r="AC744" i="1"/>
  <c r="Y745" i="1"/>
  <c r="Z745" i="1"/>
  <c r="AB745" i="1"/>
  <c r="AC745" i="1"/>
  <c r="Y746" i="1"/>
  <c r="Z746" i="1"/>
  <c r="AB746" i="1"/>
  <c r="AC746" i="1"/>
  <c r="Y747" i="1"/>
  <c r="Z747" i="1"/>
  <c r="AB747" i="1"/>
  <c r="AC747" i="1"/>
  <c r="Y748" i="1"/>
  <c r="Z748" i="1"/>
  <c r="AB748" i="1"/>
  <c r="AC748" i="1"/>
  <c r="Y749" i="1"/>
  <c r="Z749" i="1"/>
  <c r="AB749" i="1"/>
  <c r="AC749" i="1"/>
  <c r="Y750" i="1"/>
  <c r="Z750" i="1"/>
  <c r="AB750" i="1"/>
  <c r="AC750" i="1"/>
  <c r="Y751" i="1"/>
  <c r="Z751" i="1"/>
  <c r="AB751" i="1"/>
  <c r="AC751" i="1"/>
  <c r="Y752" i="1"/>
  <c r="Z752" i="1"/>
  <c r="AB752" i="1"/>
  <c r="AC752" i="1"/>
  <c r="Y753" i="1"/>
  <c r="Z753" i="1"/>
  <c r="AB753" i="1"/>
  <c r="AC753" i="1"/>
  <c r="Y754" i="1"/>
  <c r="Z754" i="1"/>
  <c r="AB754" i="1"/>
  <c r="AC754" i="1"/>
  <c r="Y755" i="1"/>
  <c r="Z755" i="1"/>
  <c r="AB755" i="1"/>
  <c r="AC755" i="1"/>
  <c r="Y756" i="1"/>
  <c r="Z756" i="1"/>
  <c r="AB756" i="1"/>
  <c r="AC756" i="1"/>
  <c r="Y757" i="1"/>
  <c r="Z757" i="1"/>
  <c r="AB757" i="1"/>
  <c r="AC757" i="1"/>
  <c r="Y758" i="1"/>
  <c r="Z758" i="1"/>
  <c r="AB758" i="1"/>
  <c r="AC758" i="1"/>
  <c r="Y759" i="1"/>
  <c r="Z759" i="1"/>
  <c r="AB759" i="1"/>
  <c r="AC759" i="1"/>
  <c r="Y760" i="1"/>
  <c r="Z760" i="1"/>
  <c r="AB760" i="1"/>
  <c r="AC760" i="1"/>
  <c r="Y761" i="1"/>
  <c r="Z761" i="1"/>
  <c r="AB761" i="1"/>
  <c r="AC761" i="1"/>
  <c r="Y762" i="1"/>
  <c r="Z762" i="1"/>
  <c r="AB762" i="1"/>
  <c r="AC762" i="1"/>
  <c r="Y763" i="1"/>
  <c r="Z763" i="1"/>
  <c r="AB763" i="1"/>
  <c r="AC763" i="1"/>
  <c r="Y764" i="1"/>
  <c r="Z764" i="1"/>
  <c r="AB764" i="1"/>
  <c r="AC764" i="1"/>
  <c r="Y765" i="1"/>
  <c r="Z765" i="1"/>
  <c r="AB765" i="1"/>
  <c r="AC765" i="1"/>
  <c r="Y766" i="1"/>
  <c r="Z766" i="1"/>
  <c r="AB766" i="1"/>
  <c r="AC766" i="1"/>
  <c r="Y767" i="1"/>
  <c r="Z767" i="1"/>
  <c r="AB767" i="1"/>
  <c r="AC767" i="1"/>
  <c r="Y768" i="1"/>
  <c r="Z768" i="1"/>
  <c r="AB768" i="1"/>
  <c r="AC768" i="1"/>
  <c r="Y769" i="1"/>
  <c r="Z769" i="1"/>
  <c r="AB769" i="1"/>
  <c r="AC769" i="1"/>
  <c r="Y770" i="1"/>
  <c r="Z770" i="1"/>
  <c r="AB770" i="1"/>
  <c r="AC770" i="1"/>
  <c r="Y771" i="1"/>
  <c r="Z771" i="1"/>
  <c r="AB771" i="1"/>
  <c r="AC771" i="1"/>
  <c r="Y772" i="1"/>
  <c r="Z772" i="1"/>
  <c r="AB772" i="1"/>
  <c r="AC772" i="1"/>
  <c r="Y773" i="1"/>
  <c r="Z773" i="1"/>
  <c r="AB773" i="1"/>
  <c r="AC773" i="1"/>
  <c r="Y774" i="1"/>
  <c r="Z774" i="1"/>
  <c r="AB774" i="1"/>
  <c r="AC774" i="1"/>
  <c r="Y775" i="1"/>
  <c r="Z775" i="1"/>
  <c r="AB775" i="1"/>
  <c r="AC775" i="1"/>
  <c r="Y776" i="1"/>
  <c r="Z776" i="1"/>
  <c r="AB776" i="1"/>
  <c r="AC776" i="1"/>
  <c r="Y777" i="1"/>
  <c r="Z777" i="1"/>
  <c r="AB777" i="1"/>
  <c r="AC777" i="1"/>
  <c r="Y778" i="1"/>
  <c r="Z778" i="1"/>
  <c r="AB778" i="1"/>
  <c r="AC778" i="1"/>
  <c r="Y779" i="1"/>
  <c r="Z779" i="1"/>
  <c r="AB779" i="1"/>
  <c r="AC779" i="1"/>
  <c r="Y780" i="1"/>
  <c r="Z780" i="1"/>
  <c r="AB780" i="1"/>
  <c r="AC780" i="1"/>
  <c r="Y781" i="1"/>
  <c r="Z781" i="1"/>
  <c r="AB781" i="1"/>
  <c r="AC781" i="1"/>
  <c r="Y782" i="1"/>
  <c r="Z782" i="1"/>
  <c r="AB782" i="1"/>
  <c r="AC782" i="1"/>
  <c r="Y783" i="1"/>
  <c r="Z783" i="1"/>
  <c r="AB783" i="1"/>
  <c r="AC783" i="1"/>
  <c r="Y784" i="1"/>
  <c r="Z784" i="1"/>
  <c r="AB784" i="1"/>
  <c r="AC784" i="1"/>
  <c r="Y785" i="1"/>
  <c r="Z785" i="1"/>
  <c r="AB785" i="1"/>
  <c r="AC785" i="1"/>
  <c r="Y786" i="1"/>
  <c r="Z786" i="1"/>
  <c r="AB786" i="1"/>
  <c r="AC786" i="1"/>
  <c r="Y787" i="1"/>
  <c r="Z787" i="1"/>
  <c r="AB787" i="1"/>
  <c r="AC787" i="1"/>
  <c r="Y788" i="1"/>
  <c r="Z788" i="1"/>
  <c r="AB788" i="1"/>
  <c r="AC788" i="1"/>
  <c r="Y789" i="1"/>
  <c r="Z789" i="1"/>
  <c r="AB789" i="1"/>
  <c r="AC789" i="1"/>
  <c r="Y790" i="1"/>
  <c r="Z790" i="1"/>
  <c r="AB790" i="1"/>
  <c r="AC790" i="1"/>
  <c r="Y791" i="1"/>
  <c r="Z791" i="1"/>
  <c r="AB791" i="1"/>
  <c r="AC791" i="1"/>
  <c r="Y792" i="1"/>
  <c r="Z792" i="1"/>
  <c r="AB792" i="1"/>
  <c r="AC792" i="1"/>
  <c r="Y793" i="1"/>
  <c r="Z793" i="1"/>
  <c r="AB793" i="1"/>
  <c r="AC793" i="1"/>
  <c r="Y794" i="1"/>
  <c r="Z794" i="1"/>
  <c r="AB794" i="1"/>
  <c r="AC794" i="1"/>
  <c r="Y795" i="1"/>
  <c r="Z795" i="1"/>
  <c r="AB795" i="1"/>
  <c r="AC795" i="1"/>
  <c r="Y796" i="1"/>
  <c r="Z796" i="1"/>
  <c r="AB796" i="1"/>
  <c r="AC796" i="1"/>
  <c r="Y797" i="1"/>
  <c r="Z797" i="1"/>
  <c r="AB797" i="1"/>
  <c r="AC797" i="1"/>
  <c r="Y798" i="1"/>
  <c r="Z798" i="1"/>
  <c r="AB798" i="1"/>
  <c r="AC798" i="1"/>
  <c r="Y799" i="1"/>
  <c r="Z799" i="1"/>
  <c r="AB799" i="1"/>
  <c r="AC799" i="1"/>
  <c r="Y800" i="1"/>
  <c r="Z800" i="1"/>
  <c r="AB800" i="1"/>
  <c r="AC800" i="1"/>
  <c r="Y801" i="1"/>
  <c r="Z801" i="1"/>
  <c r="AB801" i="1"/>
  <c r="AC801" i="1"/>
  <c r="Y802" i="1"/>
  <c r="Z802" i="1"/>
  <c r="AB802" i="1"/>
  <c r="AC802" i="1"/>
  <c r="Y803" i="1"/>
  <c r="Z803" i="1"/>
  <c r="AB803" i="1"/>
  <c r="AC803" i="1"/>
  <c r="Y804" i="1"/>
  <c r="Z804" i="1"/>
  <c r="AB804" i="1"/>
  <c r="AC804" i="1"/>
  <c r="Y805" i="1"/>
  <c r="Z805" i="1"/>
  <c r="AB805" i="1"/>
  <c r="AC805" i="1"/>
  <c r="Y806" i="1"/>
  <c r="Z806" i="1"/>
  <c r="AB806" i="1"/>
  <c r="AC806" i="1"/>
  <c r="Y807" i="1"/>
  <c r="Z807" i="1"/>
  <c r="AB807" i="1"/>
  <c r="AC807" i="1"/>
  <c r="Y808" i="1"/>
  <c r="Z808" i="1"/>
  <c r="AB808" i="1"/>
  <c r="AC808" i="1"/>
  <c r="Y809" i="1"/>
  <c r="Z809" i="1"/>
  <c r="AB809" i="1"/>
  <c r="AC809" i="1"/>
  <c r="Y810" i="1"/>
  <c r="Z810" i="1"/>
  <c r="AB810" i="1"/>
  <c r="AC810" i="1"/>
  <c r="Y811" i="1"/>
  <c r="Z811" i="1"/>
  <c r="AB811" i="1"/>
  <c r="AC811" i="1"/>
  <c r="Y812" i="1"/>
  <c r="Z812" i="1"/>
  <c r="AB812" i="1"/>
  <c r="AC812" i="1"/>
  <c r="Y813" i="1"/>
  <c r="Z813" i="1"/>
  <c r="AB813" i="1"/>
  <c r="AC813" i="1"/>
  <c r="Y814" i="1"/>
  <c r="Z814" i="1"/>
  <c r="AB814" i="1"/>
  <c r="AC814" i="1"/>
  <c r="Y815" i="1"/>
  <c r="Z815" i="1"/>
  <c r="AB815" i="1"/>
  <c r="AC815" i="1"/>
  <c r="Y816" i="1"/>
  <c r="Z816" i="1"/>
  <c r="AB816" i="1"/>
  <c r="AC816" i="1"/>
  <c r="Y817" i="1"/>
  <c r="Z817" i="1"/>
  <c r="AB817" i="1"/>
  <c r="AC817" i="1"/>
  <c r="Y818" i="1"/>
  <c r="Z818" i="1"/>
  <c r="AB818" i="1"/>
  <c r="AC818" i="1"/>
  <c r="Y819" i="1"/>
  <c r="Z819" i="1"/>
  <c r="AB819" i="1"/>
  <c r="AC819" i="1"/>
  <c r="Y820" i="1"/>
  <c r="Z820" i="1"/>
  <c r="AB820" i="1"/>
  <c r="AC820" i="1"/>
  <c r="Y821" i="1"/>
  <c r="Z821" i="1"/>
  <c r="AB821" i="1"/>
  <c r="AC821" i="1"/>
  <c r="Y822" i="1"/>
  <c r="Z822" i="1"/>
  <c r="AB822" i="1"/>
  <c r="AC822" i="1"/>
  <c r="Y823" i="1"/>
  <c r="Z823" i="1"/>
  <c r="AB823" i="1"/>
  <c r="AC823" i="1"/>
  <c r="Y824" i="1"/>
  <c r="Z824" i="1"/>
  <c r="AB824" i="1"/>
  <c r="AC824" i="1"/>
  <c r="Y825" i="1"/>
  <c r="Z825" i="1"/>
  <c r="AB825" i="1"/>
  <c r="AC825" i="1"/>
  <c r="Y826" i="1"/>
  <c r="Z826" i="1"/>
  <c r="AB826" i="1"/>
  <c r="AC826" i="1"/>
  <c r="Y827" i="1"/>
  <c r="Z827" i="1"/>
  <c r="AB827" i="1"/>
  <c r="AC827" i="1"/>
  <c r="Y828" i="1"/>
  <c r="Z828" i="1"/>
  <c r="AB828" i="1"/>
  <c r="AC828" i="1"/>
  <c r="Y829" i="1"/>
  <c r="Z829" i="1"/>
  <c r="AB829" i="1"/>
  <c r="AC829" i="1"/>
  <c r="Y830" i="1"/>
  <c r="Z830" i="1"/>
  <c r="AB830" i="1"/>
  <c r="AC830" i="1"/>
  <c r="Y831" i="1"/>
  <c r="Z831" i="1"/>
  <c r="AB831" i="1"/>
  <c r="AC831" i="1"/>
  <c r="Y832" i="1"/>
  <c r="Z832" i="1"/>
  <c r="AB832" i="1"/>
  <c r="AC832" i="1"/>
  <c r="Y833" i="1"/>
  <c r="Z833" i="1"/>
  <c r="AB833" i="1"/>
  <c r="AC833" i="1"/>
  <c r="Y834" i="1"/>
  <c r="Z834" i="1"/>
  <c r="AB834" i="1"/>
  <c r="AC834" i="1"/>
  <c r="Y835" i="1"/>
  <c r="Z835" i="1"/>
  <c r="AB835" i="1"/>
  <c r="AC835" i="1"/>
  <c r="Y836" i="1"/>
  <c r="Z836" i="1"/>
  <c r="AB836" i="1"/>
  <c r="AC836" i="1"/>
  <c r="Y837" i="1"/>
  <c r="Z837" i="1"/>
  <c r="AB837" i="1"/>
  <c r="AC837" i="1"/>
  <c r="Y838" i="1"/>
  <c r="Z838" i="1"/>
  <c r="AB838" i="1"/>
  <c r="AC838" i="1"/>
  <c r="Y839" i="1"/>
  <c r="Z839" i="1"/>
  <c r="AB839" i="1"/>
  <c r="AC839" i="1"/>
  <c r="Y840" i="1"/>
  <c r="Z840" i="1"/>
  <c r="AB840" i="1"/>
  <c r="AC840" i="1"/>
  <c r="Y841" i="1"/>
  <c r="Z841" i="1"/>
  <c r="AB841" i="1"/>
  <c r="AC841" i="1"/>
  <c r="Y842" i="1"/>
  <c r="Z842" i="1"/>
  <c r="AB842" i="1"/>
  <c r="AC842" i="1"/>
  <c r="Y843" i="1"/>
  <c r="Z843" i="1"/>
  <c r="AB843" i="1"/>
  <c r="AC843" i="1"/>
  <c r="Y844" i="1"/>
  <c r="Z844" i="1"/>
  <c r="AB844" i="1"/>
  <c r="AC844" i="1"/>
  <c r="Y845" i="1"/>
  <c r="Z845" i="1"/>
  <c r="AB845" i="1"/>
  <c r="AC845" i="1"/>
  <c r="Y846" i="1"/>
  <c r="Z846" i="1"/>
  <c r="AB846" i="1"/>
  <c r="AC846" i="1"/>
  <c r="Y847" i="1"/>
  <c r="Z847" i="1"/>
  <c r="AB847" i="1"/>
  <c r="AC847" i="1"/>
  <c r="Y848" i="1"/>
  <c r="Z848" i="1"/>
  <c r="AB848" i="1"/>
  <c r="AC848" i="1"/>
  <c r="Y849" i="1"/>
  <c r="Z849" i="1"/>
  <c r="AB849" i="1"/>
  <c r="AC849" i="1"/>
  <c r="Y850" i="1"/>
  <c r="Z850" i="1"/>
  <c r="AB850" i="1"/>
  <c r="AC850" i="1"/>
  <c r="Y851" i="1"/>
  <c r="Z851" i="1"/>
  <c r="AB851" i="1"/>
  <c r="AC851" i="1"/>
  <c r="Y852" i="1"/>
  <c r="Z852" i="1"/>
  <c r="AB852" i="1"/>
  <c r="AC852" i="1"/>
  <c r="Y853" i="1"/>
  <c r="Z853" i="1"/>
  <c r="AB853" i="1"/>
  <c r="AC853" i="1"/>
  <c r="Y854" i="1"/>
  <c r="Z854" i="1"/>
  <c r="AB854" i="1"/>
  <c r="AC854" i="1"/>
  <c r="Y855" i="1"/>
  <c r="Z855" i="1"/>
  <c r="AB855" i="1"/>
  <c r="AC855" i="1"/>
  <c r="Y856" i="1"/>
  <c r="Z856" i="1"/>
  <c r="AB856" i="1"/>
  <c r="AC856" i="1"/>
  <c r="Y857" i="1"/>
  <c r="Z857" i="1"/>
  <c r="AB857" i="1"/>
  <c r="AC857" i="1"/>
  <c r="Y858" i="1"/>
  <c r="Z858" i="1"/>
  <c r="AB858" i="1"/>
  <c r="AC858" i="1"/>
  <c r="Y859" i="1"/>
  <c r="Z859" i="1"/>
  <c r="AB859" i="1"/>
  <c r="AC859" i="1"/>
  <c r="Y860" i="1"/>
  <c r="Z860" i="1"/>
  <c r="AB860" i="1"/>
  <c r="AC860" i="1"/>
  <c r="Y861" i="1"/>
  <c r="Z861" i="1"/>
  <c r="AB861" i="1"/>
  <c r="AC861" i="1"/>
  <c r="Y862" i="1"/>
  <c r="Z862" i="1"/>
  <c r="AB862" i="1"/>
  <c r="AC862" i="1"/>
  <c r="Y863" i="1"/>
  <c r="Z863" i="1"/>
  <c r="AB863" i="1"/>
  <c r="AC863" i="1"/>
  <c r="Y864" i="1"/>
  <c r="Z864" i="1"/>
  <c r="AB864" i="1"/>
  <c r="AC864" i="1"/>
  <c r="Y865" i="1"/>
  <c r="Z865" i="1"/>
  <c r="AB865" i="1"/>
  <c r="AC865" i="1"/>
  <c r="Y866" i="1"/>
  <c r="Z866" i="1"/>
  <c r="AB866" i="1"/>
  <c r="AC866" i="1"/>
  <c r="Y867" i="1"/>
  <c r="Z867" i="1"/>
  <c r="AB867" i="1"/>
  <c r="AC867" i="1"/>
  <c r="Y868" i="1"/>
  <c r="Z868" i="1"/>
  <c r="AB868" i="1"/>
  <c r="AC868" i="1"/>
  <c r="Y869" i="1"/>
  <c r="Z869" i="1"/>
  <c r="AB869" i="1"/>
  <c r="AC869" i="1"/>
  <c r="Y870" i="1"/>
  <c r="Z870" i="1"/>
  <c r="AB870" i="1"/>
  <c r="AC870" i="1"/>
  <c r="Y871" i="1"/>
  <c r="Z871" i="1"/>
  <c r="AB871" i="1"/>
  <c r="AC871" i="1"/>
  <c r="Y872" i="1"/>
  <c r="Z872" i="1"/>
  <c r="AB872" i="1"/>
  <c r="AC872" i="1"/>
  <c r="Y873" i="1"/>
  <c r="Z873" i="1"/>
  <c r="AB873" i="1"/>
  <c r="AC873" i="1"/>
  <c r="Y874" i="1"/>
  <c r="Z874" i="1"/>
  <c r="AB874" i="1"/>
  <c r="AC874" i="1"/>
  <c r="Y875" i="1"/>
  <c r="Z875" i="1"/>
  <c r="AB875" i="1"/>
  <c r="AC875" i="1"/>
  <c r="Y876" i="1"/>
  <c r="Z876" i="1"/>
  <c r="AB876" i="1"/>
  <c r="AC876" i="1"/>
  <c r="Y877" i="1"/>
  <c r="Z877" i="1"/>
  <c r="AB877" i="1"/>
  <c r="AC877" i="1"/>
  <c r="Y878" i="1"/>
  <c r="Z878" i="1"/>
  <c r="AB878" i="1"/>
  <c r="AC878" i="1"/>
  <c r="Y879" i="1"/>
  <c r="Z879" i="1"/>
  <c r="AB879" i="1"/>
  <c r="AC879" i="1"/>
  <c r="Y880" i="1"/>
  <c r="Z880" i="1"/>
  <c r="AB880" i="1"/>
  <c r="AC880" i="1"/>
  <c r="Y881" i="1"/>
  <c r="Z881" i="1"/>
  <c r="AB881" i="1"/>
  <c r="AC881" i="1"/>
  <c r="Y882" i="1"/>
  <c r="Z882" i="1"/>
  <c r="AB882" i="1"/>
  <c r="AC882" i="1"/>
  <c r="Y883" i="1"/>
  <c r="Z883" i="1"/>
  <c r="AB883" i="1"/>
  <c r="AC883" i="1"/>
  <c r="Y884" i="1"/>
  <c r="Z884" i="1"/>
  <c r="AB884" i="1"/>
  <c r="AC884" i="1"/>
  <c r="Y885" i="1"/>
  <c r="Z885" i="1"/>
  <c r="AB885" i="1"/>
  <c r="AC885" i="1"/>
  <c r="Y886" i="1"/>
  <c r="Z886" i="1"/>
  <c r="AB886" i="1"/>
  <c r="AC886" i="1"/>
  <c r="Y887" i="1"/>
  <c r="Z887" i="1"/>
  <c r="AB887" i="1"/>
  <c r="AC887" i="1"/>
  <c r="Y888" i="1"/>
  <c r="Z888" i="1"/>
  <c r="AB888" i="1"/>
  <c r="AC888" i="1"/>
  <c r="Y889" i="1"/>
  <c r="Z889" i="1"/>
  <c r="AB889" i="1"/>
  <c r="AC889" i="1"/>
  <c r="Y890" i="1"/>
  <c r="Z890" i="1"/>
  <c r="AB890" i="1"/>
  <c r="AC890" i="1"/>
  <c r="Y891" i="1"/>
  <c r="Z891" i="1"/>
  <c r="AB891" i="1"/>
  <c r="AC891" i="1"/>
  <c r="Y892" i="1"/>
  <c r="Z892" i="1"/>
  <c r="AB892" i="1"/>
  <c r="AC892" i="1"/>
  <c r="Y893" i="1"/>
  <c r="Z893" i="1"/>
  <c r="AB893" i="1"/>
  <c r="AC893" i="1"/>
  <c r="Y894" i="1"/>
  <c r="Z894" i="1"/>
  <c r="AB894" i="1"/>
  <c r="AC894" i="1"/>
  <c r="Y895" i="1"/>
  <c r="Z895" i="1"/>
  <c r="AB895" i="1"/>
  <c r="AC895" i="1"/>
  <c r="Y896" i="1"/>
  <c r="Z896" i="1"/>
  <c r="AB896" i="1"/>
  <c r="AC896" i="1"/>
  <c r="Y897" i="1"/>
  <c r="Z897" i="1"/>
  <c r="AB897" i="1"/>
  <c r="AC897" i="1"/>
  <c r="Y898" i="1"/>
  <c r="Z898" i="1"/>
  <c r="AB898" i="1"/>
  <c r="AC898" i="1"/>
  <c r="Y899" i="1"/>
  <c r="Z899" i="1"/>
  <c r="AB899" i="1"/>
  <c r="AC899" i="1"/>
  <c r="Y900" i="1"/>
  <c r="Z900" i="1"/>
  <c r="AB900" i="1"/>
  <c r="AC900" i="1"/>
  <c r="Y901" i="1"/>
  <c r="Z901" i="1"/>
  <c r="AB901" i="1"/>
  <c r="AC901" i="1"/>
  <c r="Y902" i="1"/>
  <c r="Z902" i="1"/>
  <c r="AB902" i="1"/>
  <c r="AC902" i="1"/>
  <c r="Y903" i="1"/>
  <c r="Z903" i="1"/>
  <c r="AB903" i="1"/>
  <c r="AC903" i="1"/>
  <c r="Y904" i="1"/>
  <c r="Z904" i="1"/>
  <c r="AB904" i="1"/>
  <c r="AC904" i="1"/>
  <c r="Y905" i="1"/>
  <c r="Z905" i="1"/>
  <c r="AB905" i="1"/>
  <c r="AC905" i="1"/>
  <c r="Y906" i="1"/>
  <c r="Z906" i="1"/>
  <c r="AB906" i="1"/>
  <c r="AC906" i="1"/>
  <c r="Y907" i="1"/>
  <c r="Z907" i="1"/>
  <c r="AB907" i="1"/>
  <c r="AC907" i="1"/>
  <c r="Y908" i="1"/>
  <c r="Z908" i="1"/>
  <c r="AB908" i="1"/>
  <c r="AC908" i="1"/>
  <c r="Y909" i="1"/>
  <c r="Z909" i="1"/>
  <c r="AB909" i="1"/>
  <c r="AC909" i="1"/>
  <c r="Y910" i="1"/>
  <c r="Z910" i="1"/>
  <c r="AB910" i="1"/>
  <c r="AC910" i="1"/>
  <c r="Y911" i="1"/>
  <c r="Z911" i="1"/>
  <c r="AB911" i="1"/>
  <c r="AC911" i="1"/>
  <c r="Y912" i="1"/>
  <c r="Z912" i="1"/>
  <c r="AB912" i="1"/>
  <c r="AC912" i="1"/>
  <c r="Y913" i="1"/>
  <c r="Z913" i="1"/>
  <c r="AB913" i="1"/>
  <c r="AC913" i="1"/>
  <c r="Y914" i="1"/>
  <c r="Z914" i="1"/>
  <c r="AB914" i="1"/>
  <c r="AC914" i="1"/>
  <c r="Y915" i="1"/>
  <c r="Z915" i="1"/>
  <c r="AB915" i="1"/>
  <c r="AC915" i="1"/>
  <c r="Y916" i="1"/>
  <c r="Z916" i="1"/>
  <c r="AB916" i="1"/>
  <c r="AC916" i="1"/>
  <c r="Y917" i="1"/>
  <c r="Z917" i="1"/>
  <c r="AB917" i="1"/>
  <c r="AC917" i="1"/>
  <c r="Y918" i="1"/>
  <c r="Z918" i="1"/>
  <c r="AB918" i="1"/>
  <c r="AC918" i="1"/>
  <c r="Y919" i="1"/>
  <c r="Z919" i="1"/>
  <c r="AB919" i="1"/>
  <c r="AC919" i="1"/>
  <c r="Y920" i="1"/>
  <c r="Z920" i="1"/>
  <c r="AB920" i="1"/>
  <c r="AC920" i="1"/>
  <c r="Y921" i="1"/>
  <c r="Z921" i="1"/>
  <c r="AB921" i="1"/>
  <c r="AC921" i="1"/>
  <c r="Y922" i="1"/>
  <c r="Z922" i="1"/>
  <c r="AB922" i="1"/>
  <c r="AC922" i="1"/>
  <c r="Y923" i="1"/>
  <c r="Z923" i="1"/>
  <c r="AB923" i="1"/>
  <c r="AC923" i="1"/>
  <c r="Y924" i="1"/>
  <c r="Z924" i="1"/>
  <c r="AB924" i="1"/>
  <c r="AC924" i="1"/>
  <c r="Y925" i="1"/>
  <c r="Z925" i="1"/>
  <c r="AB925" i="1"/>
  <c r="AC925" i="1"/>
  <c r="Y926" i="1"/>
  <c r="Z926" i="1"/>
  <c r="AB926" i="1"/>
  <c r="AC926" i="1"/>
  <c r="Y927" i="1"/>
  <c r="Z927" i="1"/>
  <c r="AB927" i="1"/>
  <c r="AC927" i="1"/>
  <c r="Y928" i="1"/>
  <c r="Z928" i="1"/>
  <c r="AB928" i="1"/>
  <c r="AC928" i="1"/>
  <c r="Y929" i="1"/>
  <c r="Z929" i="1"/>
  <c r="AB929" i="1"/>
  <c r="AC929" i="1"/>
  <c r="Y930" i="1"/>
  <c r="Z930" i="1"/>
  <c r="AB930" i="1"/>
  <c r="AC930" i="1"/>
  <c r="Y931" i="1"/>
  <c r="Z931" i="1"/>
  <c r="AB931" i="1"/>
  <c r="AC931" i="1"/>
  <c r="Y932" i="1"/>
  <c r="Z932" i="1"/>
  <c r="AB932" i="1"/>
  <c r="AC932" i="1"/>
  <c r="Y933" i="1"/>
  <c r="Z933" i="1"/>
  <c r="AB933" i="1"/>
  <c r="AC933" i="1"/>
  <c r="Y934" i="1"/>
  <c r="Z934" i="1"/>
  <c r="AB934" i="1"/>
  <c r="AC934" i="1"/>
  <c r="Y935" i="1"/>
  <c r="Z935" i="1"/>
  <c r="AB935" i="1"/>
  <c r="AC935" i="1"/>
  <c r="Y936" i="1"/>
  <c r="Z936" i="1"/>
  <c r="AB936" i="1"/>
  <c r="AC936" i="1"/>
  <c r="Y937" i="1"/>
  <c r="Z937" i="1"/>
  <c r="AB937" i="1"/>
  <c r="AC937" i="1"/>
  <c r="Y938" i="1"/>
  <c r="Z938" i="1"/>
  <c r="AB938" i="1"/>
  <c r="AC938" i="1"/>
  <c r="Y939" i="1"/>
  <c r="Z939" i="1"/>
  <c r="AB939" i="1"/>
  <c r="AC939" i="1"/>
  <c r="Y940" i="1"/>
  <c r="Z940" i="1"/>
  <c r="AB940" i="1"/>
  <c r="AC940" i="1"/>
  <c r="Y941" i="1"/>
  <c r="Z941" i="1"/>
  <c r="AB941" i="1"/>
  <c r="AC941" i="1"/>
  <c r="Y942" i="1"/>
  <c r="Z942" i="1"/>
  <c r="AB942" i="1"/>
  <c r="AC942" i="1"/>
  <c r="Y943" i="1"/>
  <c r="Z943" i="1"/>
  <c r="AB943" i="1"/>
  <c r="AC943" i="1"/>
  <c r="Y944" i="1"/>
  <c r="Z944" i="1"/>
  <c r="AB944" i="1"/>
  <c r="AC944" i="1"/>
  <c r="Y945" i="1"/>
  <c r="Z945" i="1"/>
  <c r="AB945" i="1"/>
  <c r="AC945" i="1"/>
  <c r="Y946" i="1"/>
  <c r="Z946" i="1"/>
  <c r="AB946" i="1"/>
  <c r="AC946" i="1"/>
  <c r="Y947" i="1"/>
  <c r="Z947" i="1"/>
  <c r="AB947" i="1"/>
  <c r="AC947" i="1"/>
  <c r="Y948" i="1"/>
  <c r="Z948" i="1"/>
  <c r="AB948" i="1"/>
  <c r="AC948" i="1"/>
  <c r="Y949" i="1"/>
  <c r="Z949" i="1"/>
  <c r="AB949" i="1"/>
  <c r="AC949" i="1"/>
  <c r="Y950" i="1"/>
  <c r="Z950" i="1"/>
  <c r="AB950" i="1"/>
  <c r="AC950" i="1"/>
  <c r="Y951" i="1"/>
  <c r="Z951" i="1"/>
  <c r="AB951" i="1"/>
  <c r="AC951" i="1"/>
  <c r="Y952" i="1"/>
  <c r="Z952" i="1"/>
  <c r="AB952" i="1"/>
  <c r="AC952" i="1"/>
  <c r="Y953" i="1"/>
  <c r="Z953" i="1"/>
  <c r="AB953" i="1"/>
  <c r="AC953" i="1"/>
  <c r="Y954" i="1"/>
  <c r="Z954" i="1"/>
  <c r="AB954" i="1"/>
  <c r="AC954" i="1"/>
  <c r="Y955" i="1"/>
  <c r="Z955" i="1"/>
  <c r="AB955" i="1"/>
  <c r="AC955" i="1"/>
  <c r="Y956" i="1"/>
  <c r="Z956" i="1"/>
  <c r="AB956" i="1"/>
  <c r="AC956" i="1"/>
  <c r="Y957" i="1"/>
  <c r="Z957" i="1"/>
  <c r="AB957" i="1"/>
  <c r="AC957" i="1"/>
  <c r="Y958" i="1"/>
  <c r="Z958" i="1"/>
  <c r="AB958" i="1"/>
  <c r="AC958" i="1"/>
  <c r="Y959" i="1"/>
  <c r="Z959" i="1"/>
  <c r="AB959" i="1"/>
  <c r="AC959" i="1"/>
  <c r="Y960" i="1"/>
  <c r="Z960" i="1"/>
  <c r="AB960" i="1"/>
  <c r="AC960" i="1"/>
  <c r="Y961" i="1"/>
  <c r="Z961" i="1"/>
  <c r="AB961" i="1"/>
  <c r="AC961" i="1"/>
  <c r="Y962" i="1"/>
  <c r="Z962" i="1"/>
  <c r="AB962" i="1"/>
  <c r="AC962" i="1"/>
  <c r="Y963" i="1"/>
  <c r="Z963" i="1"/>
  <c r="AB963" i="1"/>
  <c r="AC963" i="1"/>
  <c r="Y964" i="1"/>
  <c r="Z964" i="1"/>
  <c r="AB964" i="1"/>
  <c r="AC964" i="1"/>
  <c r="Y965" i="1"/>
  <c r="Z965" i="1"/>
  <c r="AB965" i="1"/>
  <c r="AC965" i="1"/>
  <c r="Y966" i="1"/>
  <c r="Z966" i="1"/>
  <c r="AB966" i="1"/>
  <c r="AC966" i="1"/>
  <c r="Y967" i="1"/>
  <c r="Z967" i="1"/>
  <c r="AB967" i="1"/>
  <c r="AC967" i="1"/>
  <c r="Y968" i="1"/>
  <c r="Z968" i="1"/>
  <c r="AB968" i="1"/>
  <c r="AC968" i="1"/>
  <c r="Y969" i="1"/>
  <c r="Z969" i="1"/>
  <c r="AB969" i="1"/>
  <c r="AC969" i="1"/>
  <c r="Y970" i="1"/>
  <c r="Z970" i="1"/>
  <c r="AB970" i="1"/>
  <c r="AC970" i="1"/>
  <c r="Y971" i="1"/>
  <c r="Z971" i="1"/>
  <c r="AB971" i="1"/>
  <c r="AC971" i="1"/>
  <c r="Y972" i="1"/>
  <c r="Z972" i="1"/>
  <c r="AB972" i="1"/>
  <c r="AC972" i="1"/>
  <c r="Y973" i="1"/>
  <c r="Z973" i="1"/>
  <c r="AB973" i="1"/>
  <c r="AC973" i="1"/>
  <c r="Y974" i="1"/>
  <c r="Z974" i="1"/>
  <c r="AB974" i="1"/>
  <c r="AC974" i="1"/>
  <c r="Y975" i="1"/>
  <c r="Z975" i="1"/>
  <c r="AB975" i="1"/>
  <c r="AC975" i="1"/>
  <c r="Y976" i="1"/>
  <c r="Z976" i="1"/>
  <c r="AB976" i="1"/>
  <c r="AC976" i="1"/>
  <c r="Y977" i="1"/>
  <c r="Z977" i="1"/>
  <c r="AB977" i="1"/>
  <c r="AC977" i="1"/>
  <c r="Y978" i="1"/>
  <c r="Z978" i="1"/>
  <c r="AB978" i="1"/>
  <c r="AC978" i="1"/>
  <c r="Y979" i="1"/>
  <c r="Z979" i="1"/>
  <c r="AB979" i="1"/>
  <c r="AC979" i="1"/>
  <c r="Y980" i="1"/>
  <c r="Z980" i="1"/>
  <c r="AB980" i="1"/>
  <c r="AC980" i="1"/>
  <c r="Y981" i="1"/>
  <c r="Z981" i="1"/>
  <c r="AB981" i="1"/>
  <c r="AC981" i="1"/>
  <c r="Y982" i="1"/>
  <c r="Z982" i="1"/>
  <c r="AB982" i="1"/>
  <c r="AC982" i="1"/>
  <c r="Y983" i="1"/>
  <c r="Z983" i="1"/>
  <c r="AB983" i="1"/>
  <c r="AC983" i="1"/>
  <c r="Y984" i="1"/>
  <c r="Z984" i="1"/>
  <c r="AB984" i="1"/>
  <c r="AC984" i="1"/>
  <c r="Y985" i="1"/>
  <c r="Z985" i="1"/>
  <c r="AB985" i="1"/>
  <c r="AC985" i="1"/>
  <c r="Y986" i="1"/>
  <c r="Z986" i="1"/>
  <c r="AB986" i="1"/>
  <c r="AC986" i="1"/>
  <c r="Y987" i="1"/>
  <c r="Z987" i="1"/>
  <c r="AB987" i="1"/>
  <c r="AC987" i="1"/>
  <c r="Y988" i="1"/>
  <c r="Z988" i="1"/>
  <c r="AB988" i="1"/>
  <c r="AC988" i="1"/>
  <c r="Y989" i="1"/>
  <c r="Z989" i="1"/>
  <c r="AB989" i="1"/>
  <c r="AC989" i="1"/>
  <c r="Y990" i="1"/>
  <c r="Z990" i="1"/>
  <c r="AB990" i="1"/>
  <c r="AC990" i="1"/>
  <c r="Y991" i="1"/>
  <c r="Z991" i="1"/>
  <c r="AB991" i="1"/>
  <c r="AC991" i="1"/>
  <c r="Y992" i="1"/>
  <c r="Z992" i="1"/>
  <c r="AB992" i="1"/>
  <c r="AC992" i="1"/>
  <c r="Y993" i="1"/>
  <c r="Z993" i="1"/>
  <c r="AB993" i="1"/>
  <c r="AC993" i="1"/>
  <c r="Y994" i="1"/>
  <c r="Z994" i="1"/>
  <c r="AB994" i="1"/>
  <c r="AC994" i="1"/>
  <c r="Y995" i="1"/>
  <c r="Z995" i="1"/>
  <c r="AB995" i="1"/>
  <c r="AC995" i="1"/>
  <c r="Y996" i="1"/>
  <c r="Z996" i="1"/>
  <c r="AB996" i="1"/>
  <c r="AC996" i="1"/>
  <c r="Y997" i="1"/>
  <c r="Z997" i="1"/>
  <c r="AB997" i="1"/>
  <c r="AC997" i="1"/>
  <c r="Y998" i="1"/>
  <c r="Z998" i="1"/>
  <c r="AB998" i="1"/>
  <c r="AC998" i="1"/>
  <c r="Y999" i="1"/>
  <c r="Z999" i="1"/>
  <c r="AB999" i="1"/>
  <c r="AC999" i="1"/>
  <c r="Y1000" i="1"/>
  <c r="Z1000" i="1"/>
  <c r="AB1000" i="1"/>
  <c r="AC1000" i="1"/>
  <c r="Y1001" i="1"/>
  <c r="Z1001" i="1"/>
  <c r="AB1001" i="1"/>
  <c r="AC1001" i="1"/>
  <c r="Y1002" i="1"/>
  <c r="Z1002" i="1"/>
  <c r="AB1002" i="1"/>
  <c r="AC1002" i="1"/>
  <c r="Y1003" i="1"/>
  <c r="Z1003" i="1"/>
  <c r="AB1003" i="1"/>
  <c r="AC1003" i="1"/>
  <c r="Y1004" i="1"/>
  <c r="Z1004" i="1"/>
  <c r="AB1004" i="1"/>
  <c r="AC1004" i="1"/>
  <c r="Y1005" i="1"/>
  <c r="Z1005" i="1"/>
  <c r="AB1005" i="1"/>
  <c r="AC1005" i="1"/>
  <c r="Y1006" i="1"/>
  <c r="Z1006" i="1"/>
  <c r="AB1006" i="1"/>
  <c r="AC1006" i="1"/>
  <c r="Y1007" i="1"/>
  <c r="Z1007" i="1"/>
  <c r="AB1007" i="1"/>
  <c r="AC1007" i="1"/>
  <c r="Y1008" i="1"/>
  <c r="Z1008" i="1"/>
  <c r="AB1008" i="1"/>
  <c r="AC1008" i="1"/>
  <c r="Y1009" i="1"/>
  <c r="Z1009" i="1"/>
  <c r="AB1009" i="1"/>
  <c r="AC1009" i="1"/>
  <c r="Y1010" i="1"/>
  <c r="Z1010" i="1"/>
  <c r="AB1010" i="1"/>
  <c r="AC1010" i="1"/>
  <c r="Y1011" i="1"/>
  <c r="Z1011" i="1"/>
  <c r="AB1011" i="1"/>
  <c r="AC1011" i="1"/>
  <c r="Y1012" i="1"/>
  <c r="Z1012" i="1"/>
  <c r="AB1012" i="1"/>
  <c r="AC1012" i="1"/>
  <c r="Y1013" i="1"/>
  <c r="Z1013" i="1"/>
  <c r="AB1013" i="1"/>
  <c r="AC1013" i="1"/>
  <c r="Y1014" i="1"/>
  <c r="Z1014" i="1"/>
  <c r="AB1014" i="1"/>
  <c r="AC1014" i="1"/>
  <c r="Y1015" i="1"/>
  <c r="Z1015" i="1"/>
  <c r="AB1015" i="1"/>
  <c r="AC1015" i="1"/>
  <c r="Y1016" i="1"/>
  <c r="Z1016" i="1"/>
  <c r="AB1016" i="1"/>
  <c r="AC1016" i="1"/>
  <c r="Y1017" i="1"/>
  <c r="Z1017" i="1"/>
  <c r="AB1017" i="1"/>
  <c r="AC1017" i="1"/>
  <c r="Y1018" i="1"/>
  <c r="Z1018" i="1"/>
  <c r="AB1018" i="1"/>
  <c r="AC1018" i="1"/>
  <c r="Y1019" i="1"/>
  <c r="Z1019" i="1"/>
  <c r="AB1019" i="1"/>
  <c r="AC1019" i="1"/>
  <c r="Y1020" i="1"/>
  <c r="Z1020" i="1"/>
  <c r="AB1020" i="1"/>
  <c r="AC1020" i="1"/>
  <c r="Y1021" i="1"/>
  <c r="Z1021" i="1"/>
  <c r="AB1021" i="1"/>
  <c r="AC1021" i="1"/>
  <c r="Y1022" i="1"/>
  <c r="Z1022" i="1"/>
  <c r="AB1022" i="1"/>
  <c r="AC1022" i="1"/>
  <c r="Y1023" i="1"/>
  <c r="Z1023" i="1"/>
  <c r="AB1023" i="1"/>
  <c r="AC1023" i="1"/>
  <c r="Y1024" i="1"/>
  <c r="Z1024" i="1"/>
  <c r="AB1024" i="1"/>
  <c r="AC1024" i="1"/>
  <c r="Y1025" i="1"/>
  <c r="Z1025" i="1"/>
  <c r="AB1025" i="1"/>
  <c r="AC1025" i="1"/>
  <c r="Y1026" i="1"/>
  <c r="Z1026" i="1"/>
  <c r="AB1026" i="1"/>
  <c r="AC1026" i="1"/>
  <c r="Y1027" i="1"/>
  <c r="Z1027" i="1"/>
  <c r="AB1027" i="1"/>
  <c r="AC1027" i="1"/>
  <c r="Y1028" i="1"/>
  <c r="Z1028" i="1"/>
  <c r="AB1028" i="1"/>
  <c r="AC1028" i="1"/>
  <c r="Y1029" i="1"/>
  <c r="Z1029" i="1"/>
  <c r="AB1029" i="1"/>
  <c r="AC1029" i="1"/>
  <c r="Y1030" i="1"/>
  <c r="Z1030" i="1"/>
  <c r="AB1030" i="1"/>
  <c r="AC1030" i="1"/>
  <c r="Y1031" i="1"/>
  <c r="Z1031" i="1"/>
  <c r="AB1031" i="1"/>
  <c r="AC1031" i="1"/>
  <c r="Y1032" i="1"/>
  <c r="Z1032" i="1"/>
  <c r="AB1032" i="1"/>
  <c r="AC1032" i="1"/>
  <c r="Y1033" i="1"/>
  <c r="Z1033" i="1"/>
  <c r="AB1033" i="1"/>
  <c r="AC1033" i="1"/>
  <c r="Y1034" i="1"/>
  <c r="Z1034" i="1"/>
  <c r="AB1034" i="1"/>
  <c r="AC1034" i="1"/>
  <c r="Y1035" i="1"/>
  <c r="Z1035" i="1"/>
  <c r="AB1035" i="1"/>
  <c r="AC1035" i="1"/>
  <c r="Y1036" i="1"/>
  <c r="Z1036" i="1"/>
  <c r="AB1036" i="1"/>
  <c r="AC1036" i="1"/>
  <c r="Y1037" i="1"/>
  <c r="Z1037" i="1"/>
  <c r="AB1037" i="1"/>
  <c r="AC1037" i="1"/>
  <c r="Y1038" i="1"/>
  <c r="Z1038" i="1"/>
  <c r="AB1038" i="1"/>
  <c r="AC1038" i="1"/>
  <c r="Y1039" i="1"/>
  <c r="Z1039" i="1"/>
  <c r="AB1039" i="1"/>
  <c r="AC1039" i="1"/>
  <c r="Y1040" i="1"/>
  <c r="Z1040" i="1"/>
  <c r="AB1040" i="1"/>
  <c r="AC1040" i="1"/>
  <c r="Y1041" i="1"/>
  <c r="Z1041" i="1"/>
  <c r="AB1041" i="1"/>
  <c r="AC1041" i="1"/>
  <c r="Y1042" i="1"/>
  <c r="Z1042" i="1"/>
  <c r="AB1042" i="1"/>
  <c r="AC1042" i="1"/>
  <c r="Y1043" i="1"/>
  <c r="Z1043" i="1"/>
  <c r="AB1043" i="1"/>
  <c r="AC1043" i="1"/>
  <c r="Y1044" i="1"/>
  <c r="Z1044" i="1"/>
  <c r="AB1044" i="1"/>
  <c r="AC1044" i="1"/>
  <c r="Y1045" i="1"/>
  <c r="Z1045" i="1"/>
  <c r="AB1045" i="1"/>
  <c r="AC1045" i="1"/>
  <c r="Y1046" i="1"/>
  <c r="Z1046" i="1"/>
  <c r="AB1046" i="1"/>
  <c r="AC1046" i="1"/>
  <c r="Y1047" i="1"/>
  <c r="Z1047" i="1"/>
  <c r="AB1047" i="1"/>
  <c r="AC1047" i="1"/>
  <c r="Y1048" i="1"/>
  <c r="Z1048" i="1"/>
  <c r="AB1048" i="1"/>
  <c r="AC1048" i="1"/>
  <c r="Y1049" i="1"/>
  <c r="Z1049" i="1"/>
  <c r="AB1049" i="1"/>
  <c r="AC1049" i="1"/>
  <c r="Y1050" i="1"/>
  <c r="Z1050" i="1"/>
  <c r="AB1050" i="1"/>
  <c r="AC1050" i="1"/>
  <c r="Y1051" i="1"/>
  <c r="Z1051" i="1"/>
  <c r="AB1051" i="1"/>
  <c r="AC1051" i="1"/>
  <c r="Y1052" i="1"/>
  <c r="Z1052" i="1"/>
  <c r="AB1052" i="1"/>
  <c r="AC1052" i="1"/>
  <c r="Y1053" i="1"/>
  <c r="Z1053" i="1"/>
  <c r="AB1053" i="1"/>
  <c r="AC1053" i="1"/>
  <c r="Y1054" i="1"/>
  <c r="Z1054" i="1"/>
  <c r="AB1054" i="1"/>
  <c r="AC1054" i="1"/>
  <c r="Y1055" i="1"/>
  <c r="Z1055" i="1"/>
  <c r="AB1055" i="1"/>
  <c r="AC1055" i="1"/>
  <c r="Y1056" i="1"/>
  <c r="Z1056" i="1"/>
  <c r="AB1056" i="1"/>
  <c r="AC1056" i="1"/>
  <c r="Y1057" i="1"/>
  <c r="Z1057" i="1"/>
  <c r="AB1057" i="1"/>
  <c r="AC1057" i="1"/>
  <c r="Y1058" i="1"/>
  <c r="Z1058" i="1"/>
  <c r="AB1058" i="1"/>
  <c r="AC1058" i="1"/>
  <c r="Y1059" i="1"/>
  <c r="Z1059" i="1"/>
  <c r="AB1059" i="1"/>
  <c r="AC1059" i="1"/>
  <c r="Y1060" i="1"/>
  <c r="Z1060" i="1"/>
  <c r="AB1060" i="1"/>
  <c r="AC1060" i="1"/>
  <c r="Y1061" i="1"/>
  <c r="Z1061" i="1"/>
  <c r="AB1061" i="1"/>
  <c r="AC1061" i="1"/>
  <c r="Y1062" i="1"/>
  <c r="Z1062" i="1"/>
  <c r="AB1062" i="1"/>
  <c r="AC1062" i="1"/>
  <c r="Y1063" i="1"/>
  <c r="Z1063" i="1"/>
  <c r="AB1063" i="1"/>
  <c r="AC1063" i="1"/>
  <c r="Y1064" i="1"/>
  <c r="Z1064" i="1"/>
  <c r="AB1064" i="1"/>
  <c r="AC1064" i="1"/>
  <c r="Y1065" i="1"/>
  <c r="Z1065" i="1"/>
  <c r="AB1065" i="1"/>
  <c r="AC1065" i="1"/>
  <c r="Y1066" i="1"/>
  <c r="Z1066" i="1"/>
  <c r="AB1066" i="1"/>
  <c r="AC1066" i="1"/>
  <c r="Y1067" i="1"/>
  <c r="Z1067" i="1"/>
  <c r="AB1067" i="1"/>
  <c r="AC1067" i="1"/>
  <c r="Y1068" i="1"/>
  <c r="Z1068" i="1"/>
  <c r="AB1068" i="1"/>
  <c r="AC1068" i="1"/>
  <c r="Y1069" i="1"/>
  <c r="Z1069" i="1"/>
  <c r="AB1069" i="1"/>
  <c r="AC1069" i="1"/>
  <c r="Y1070" i="1"/>
  <c r="Z1070" i="1"/>
  <c r="AB1070" i="1"/>
  <c r="AC1070" i="1"/>
  <c r="Y1071" i="1"/>
  <c r="Z1071" i="1"/>
  <c r="AB1071" i="1"/>
  <c r="AC1071" i="1"/>
  <c r="Y1072" i="1"/>
  <c r="Z1072" i="1"/>
  <c r="AB1072" i="1"/>
  <c r="AC1072" i="1"/>
  <c r="Y1073" i="1"/>
  <c r="Z1073" i="1"/>
  <c r="AB1073" i="1"/>
  <c r="AC1073" i="1"/>
  <c r="Y1074" i="1"/>
  <c r="Z1074" i="1"/>
  <c r="AB1074" i="1"/>
  <c r="AC1074" i="1"/>
  <c r="Y1075" i="1"/>
  <c r="Z1075" i="1"/>
  <c r="AB1075" i="1"/>
  <c r="AC1075" i="1"/>
  <c r="Y1076" i="1"/>
  <c r="Z1076" i="1"/>
  <c r="AB1076" i="1"/>
  <c r="AC1076" i="1"/>
  <c r="Y1077" i="1"/>
  <c r="Z1077" i="1"/>
  <c r="AB1077" i="1"/>
  <c r="AC1077" i="1"/>
  <c r="Y1078" i="1"/>
  <c r="Z1078" i="1"/>
  <c r="AB1078" i="1"/>
  <c r="AC1078" i="1"/>
  <c r="Y1079" i="1"/>
  <c r="Z1079" i="1"/>
  <c r="AB1079" i="1"/>
  <c r="AC1079" i="1"/>
  <c r="Y1080" i="1"/>
  <c r="Z1080" i="1"/>
  <c r="AB1080" i="1"/>
  <c r="AC1080" i="1"/>
  <c r="Y1081" i="1"/>
  <c r="Z1081" i="1"/>
  <c r="AB1081" i="1"/>
  <c r="AC1081" i="1"/>
  <c r="Y1082" i="1"/>
  <c r="Z1082" i="1"/>
  <c r="AB1082" i="1"/>
  <c r="AC1082" i="1"/>
  <c r="Y1083" i="1"/>
  <c r="Z1083" i="1"/>
  <c r="AB1083" i="1"/>
  <c r="AC1083" i="1"/>
  <c r="Y1084" i="1"/>
  <c r="Z1084" i="1"/>
  <c r="AB1084" i="1"/>
  <c r="AC1084" i="1"/>
  <c r="Y1085" i="1"/>
  <c r="Z1085" i="1"/>
  <c r="AB1085" i="1"/>
  <c r="AC1085" i="1"/>
  <c r="Y1086" i="1"/>
  <c r="Z1086" i="1"/>
  <c r="AB1086" i="1"/>
  <c r="AC1086" i="1"/>
  <c r="Y1087" i="1"/>
  <c r="Z1087" i="1"/>
  <c r="AB1087" i="1"/>
  <c r="AC1087" i="1"/>
  <c r="Y1088" i="1"/>
  <c r="Z1088" i="1"/>
  <c r="AB1088" i="1"/>
  <c r="AC1088" i="1"/>
  <c r="Y1089" i="1"/>
  <c r="Z1089" i="1"/>
  <c r="AB1089" i="1"/>
  <c r="AC1089" i="1"/>
  <c r="Y1090" i="1"/>
  <c r="Z1090" i="1"/>
  <c r="AB1090" i="1"/>
  <c r="AC1090" i="1"/>
  <c r="Y1091" i="1"/>
  <c r="Z1091" i="1"/>
  <c r="AB1091" i="1"/>
  <c r="AC1091" i="1"/>
  <c r="Y1092" i="1"/>
  <c r="Z1092" i="1"/>
  <c r="AB1092" i="1"/>
  <c r="AC1092" i="1"/>
  <c r="Y1093" i="1"/>
  <c r="Z1093" i="1"/>
  <c r="AB1093" i="1"/>
  <c r="AC1093" i="1"/>
  <c r="Y1094" i="1"/>
  <c r="Z1094" i="1"/>
  <c r="AB1094" i="1"/>
  <c r="AC1094" i="1"/>
  <c r="Y1095" i="1"/>
  <c r="Z1095" i="1"/>
  <c r="AB1095" i="1"/>
  <c r="AC1095" i="1"/>
  <c r="Y1096" i="1"/>
  <c r="Z1096" i="1"/>
  <c r="AB1096" i="1"/>
  <c r="AC1096" i="1"/>
  <c r="Y1097" i="1"/>
  <c r="Z1097" i="1"/>
  <c r="AB1097" i="1"/>
  <c r="AC1097" i="1"/>
  <c r="Y1098" i="1"/>
  <c r="Z1098" i="1"/>
  <c r="AB1098" i="1"/>
  <c r="AC1098" i="1"/>
  <c r="Y1099" i="1"/>
  <c r="Z1099" i="1"/>
  <c r="AB1099" i="1"/>
  <c r="AC1099" i="1"/>
  <c r="Y1100" i="1"/>
  <c r="Z1100" i="1"/>
  <c r="AB1100" i="1"/>
  <c r="AC1100" i="1"/>
  <c r="Y1101" i="1"/>
  <c r="Z1101" i="1"/>
  <c r="AB1101" i="1"/>
  <c r="AC1101" i="1"/>
  <c r="Y1102" i="1"/>
  <c r="Z1102" i="1"/>
  <c r="AB1102" i="1"/>
  <c r="AC1102" i="1"/>
  <c r="Y1103" i="1"/>
  <c r="Z1103" i="1"/>
  <c r="AB1103" i="1"/>
  <c r="AC1103" i="1"/>
  <c r="Y330" i="1"/>
  <c r="Z330" i="1"/>
  <c r="AB330" i="1"/>
  <c r="AC330" i="1"/>
  <c r="Y333" i="1"/>
  <c r="Z333" i="1"/>
  <c r="AB333" i="1"/>
  <c r="AC333" i="1"/>
  <c r="Y334" i="1"/>
  <c r="Z334" i="1"/>
  <c r="AB334" i="1"/>
  <c r="AC334" i="1"/>
  <c r="Y335" i="1"/>
  <c r="Z335" i="1"/>
  <c r="AB335" i="1"/>
  <c r="AC335" i="1"/>
  <c r="Y19" i="1"/>
  <c r="Z19" i="1"/>
  <c r="AB19" i="1"/>
  <c r="AC19" i="1"/>
  <c r="Y270" i="1"/>
  <c r="Z270" i="1"/>
  <c r="AB270" i="1"/>
  <c r="AC270" i="1"/>
  <c r="Y271" i="1"/>
  <c r="Z271" i="1"/>
  <c r="AB271" i="1"/>
  <c r="AC271" i="1"/>
  <c r="Y274" i="1"/>
  <c r="Z274" i="1"/>
  <c r="AB274" i="1"/>
  <c r="AC274" i="1"/>
  <c r="Y275" i="1"/>
  <c r="Z275" i="1"/>
  <c r="AB275" i="1"/>
  <c r="AC275" i="1"/>
  <c r="Y280" i="1"/>
  <c r="Z280" i="1"/>
  <c r="AB280" i="1"/>
  <c r="AC280" i="1"/>
  <c r="Y281" i="1"/>
  <c r="Z281" i="1"/>
  <c r="AB281" i="1"/>
  <c r="AC281" i="1"/>
  <c r="Y283" i="1"/>
  <c r="Z283" i="1"/>
  <c r="AB283" i="1"/>
  <c r="AC283" i="1"/>
  <c r="Y284" i="1"/>
  <c r="Z284" i="1"/>
  <c r="AB284" i="1"/>
  <c r="AC284" i="1"/>
  <c r="Y291" i="1"/>
  <c r="Z291" i="1"/>
  <c r="AB291" i="1"/>
  <c r="AC291" i="1"/>
  <c r="Y293" i="1"/>
  <c r="Z293" i="1"/>
  <c r="AB293" i="1"/>
  <c r="AC293" i="1"/>
  <c r="Y295" i="1"/>
  <c r="Z295" i="1"/>
  <c r="AB295" i="1"/>
  <c r="AC295" i="1"/>
  <c r="Y297" i="1"/>
  <c r="Z297" i="1"/>
  <c r="AB297" i="1"/>
  <c r="AC297" i="1"/>
  <c r="Y299" i="1"/>
  <c r="Z299" i="1"/>
  <c r="AB299" i="1"/>
  <c r="AC299" i="1"/>
  <c r="Y300" i="1"/>
  <c r="Z300" i="1"/>
  <c r="AB300" i="1"/>
  <c r="AC300" i="1"/>
  <c r="Y302" i="1"/>
  <c r="Z302" i="1"/>
  <c r="AB302" i="1"/>
  <c r="AC302" i="1"/>
  <c r="Y304" i="1"/>
  <c r="Z304" i="1"/>
  <c r="AB304" i="1"/>
  <c r="AC304" i="1"/>
  <c r="Y307" i="1"/>
  <c r="Z307" i="1"/>
  <c r="AB307" i="1"/>
  <c r="AC307" i="1"/>
  <c r="Y308" i="1"/>
  <c r="Z308" i="1"/>
  <c r="AB308" i="1"/>
  <c r="AC308" i="1"/>
  <c r="Y310" i="1"/>
  <c r="Z310" i="1"/>
  <c r="AB310" i="1"/>
  <c r="AC310" i="1"/>
  <c r="Y311" i="1"/>
  <c r="Z311" i="1"/>
  <c r="AB311" i="1"/>
  <c r="AC311" i="1"/>
  <c r="Y312" i="1"/>
  <c r="Z312" i="1"/>
  <c r="AB312" i="1"/>
  <c r="AC312" i="1"/>
  <c r="Y315" i="1"/>
  <c r="Z315" i="1"/>
  <c r="AB315" i="1"/>
  <c r="AC315" i="1"/>
  <c r="Y316" i="1"/>
  <c r="Z316" i="1"/>
  <c r="AB316" i="1"/>
  <c r="AC316" i="1"/>
  <c r="Y317" i="1"/>
  <c r="Z317" i="1"/>
  <c r="AB317" i="1"/>
  <c r="AC317" i="1"/>
  <c r="Y318" i="1"/>
  <c r="Z318" i="1"/>
  <c r="AB318" i="1"/>
  <c r="AC318" i="1"/>
  <c r="Y319" i="1"/>
  <c r="Z319" i="1"/>
  <c r="AB319" i="1"/>
  <c r="AC319" i="1"/>
  <c r="Y320" i="1"/>
  <c r="Z320" i="1"/>
  <c r="AB320" i="1"/>
  <c r="AC320" i="1"/>
  <c r="Y321" i="1"/>
  <c r="Z321" i="1"/>
  <c r="AB321" i="1"/>
  <c r="AC321" i="1"/>
  <c r="Y322" i="1"/>
  <c r="Z322" i="1"/>
  <c r="AB322" i="1"/>
  <c r="AC322" i="1"/>
  <c r="Y324" i="1"/>
  <c r="Z324" i="1"/>
  <c r="AB324" i="1"/>
  <c r="AC324" i="1"/>
  <c r="Y325" i="1"/>
  <c r="Z325" i="1"/>
  <c r="AB325" i="1"/>
  <c r="AC325" i="1"/>
  <c r="Y328" i="1"/>
  <c r="Z328" i="1"/>
  <c r="AB328" i="1"/>
  <c r="AC328" i="1"/>
  <c r="Y329" i="1"/>
  <c r="Z329" i="1"/>
  <c r="AB329" i="1"/>
  <c r="AC329" i="1"/>
  <c r="U270" i="1"/>
  <c r="U271" i="1"/>
  <c r="U274" i="1"/>
  <c r="U275" i="1"/>
  <c r="U280" i="1"/>
  <c r="U281" i="1"/>
  <c r="U283" i="1"/>
  <c r="U284" i="1"/>
  <c r="U291" i="1"/>
  <c r="U293" i="1"/>
  <c r="U295" i="1"/>
  <c r="U297" i="1"/>
  <c r="U299" i="1"/>
  <c r="U300" i="1"/>
  <c r="U302" i="1"/>
  <c r="U304" i="1"/>
  <c r="U307" i="1"/>
  <c r="U308" i="1"/>
  <c r="U310" i="1"/>
  <c r="U311" i="1"/>
  <c r="U312" i="1"/>
  <c r="U315" i="1"/>
  <c r="U316" i="1"/>
  <c r="U317" i="1"/>
  <c r="U318" i="1"/>
  <c r="U319" i="1"/>
  <c r="U320" i="1"/>
  <c r="U321" i="1"/>
  <c r="U322" i="1"/>
  <c r="U324" i="1"/>
  <c r="U325" i="1"/>
  <c r="U328" i="1"/>
  <c r="U329" i="1"/>
  <c r="U330" i="1"/>
  <c r="U333" i="1"/>
  <c r="U334" i="1"/>
  <c r="U335" i="1"/>
  <c r="U336" i="1"/>
  <c r="U337" i="1"/>
  <c r="U338" i="1"/>
  <c r="U341" i="1"/>
  <c r="U342" i="1"/>
  <c r="U343" i="1"/>
  <c r="U344" i="1"/>
  <c r="U353" i="1"/>
  <c r="U356" i="1"/>
  <c r="U357" i="1"/>
  <c r="U359" i="1"/>
  <c r="U360" i="1"/>
  <c r="U361" i="1"/>
  <c r="U362" i="1"/>
  <c r="U363" i="1"/>
  <c r="U366" i="1"/>
  <c r="U367"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4" i="1" a="1"/>
  <c r="U8" i="1" a="1"/>
  <c r="U5" i="1" a="1"/>
  <c r="U10" i="1" a="1"/>
  <c r="U3" i="1" a="1"/>
  <c r="U7" i="1" a="1"/>
  <c r="U6" i="1" a="1"/>
  <c r="U9" i="1" a="1"/>
  <c r="U7" i="1" l="1"/>
  <c r="U4" i="1"/>
  <c r="U8" i="1"/>
  <c r="U5" i="1"/>
  <c r="U3" i="1"/>
  <c r="U9" i="1"/>
  <c r="U10" i="1"/>
  <c r="U6" i="1"/>
  <c r="AR13" i="1"/>
  <c r="AQ14" i="1"/>
  <c r="E441" i="8"/>
  <c r="Y16" i="1"/>
  <c r="K245" i="8"/>
  <c r="E716" i="8"/>
  <c r="E714" i="8"/>
  <c r="E677" i="8"/>
  <c r="E95" i="8"/>
  <c r="E474" i="8"/>
  <c r="E572" i="8"/>
  <c r="E239" i="8"/>
  <c r="K660" i="8"/>
  <c r="K376" i="8"/>
  <c r="K557" i="8"/>
  <c r="E205" i="8"/>
  <c r="E708" i="8"/>
  <c r="K222" i="8"/>
  <c r="K730" i="8"/>
  <c r="K135" i="8"/>
  <c r="K327" i="8"/>
  <c r="K550" i="8"/>
  <c r="E290" i="8"/>
  <c r="E67" i="8"/>
  <c r="E568" i="8"/>
  <c r="K124" i="8"/>
  <c r="E198" i="8"/>
  <c r="E189" i="8"/>
  <c r="K492" i="8"/>
  <c r="E140" i="8"/>
  <c r="E202" i="8"/>
  <c r="K379" i="8"/>
  <c r="E429" i="8"/>
  <c r="E178" i="8"/>
  <c r="E494" i="8"/>
  <c r="E485" i="8"/>
  <c r="K395" i="8"/>
  <c r="E363" i="8"/>
  <c r="E475" i="8"/>
  <c r="E772" i="8"/>
  <c r="E660" i="8"/>
  <c r="K213" i="8"/>
  <c r="K372" i="8"/>
  <c r="K93" i="8"/>
  <c r="K363" i="8"/>
  <c r="K386" i="8"/>
  <c r="E706" i="8"/>
  <c r="K671" i="8"/>
  <c r="K127" i="8"/>
  <c r="K400" i="8"/>
  <c r="K274" i="8"/>
  <c r="E73" i="8"/>
  <c r="K67" i="8"/>
  <c r="E497" i="8"/>
  <c r="E209" i="8"/>
  <c r="K278" i="8"/>
  <c r="E392" i="8"/>
  <c r="E275" i="8"/>
  <c r="K574" i="8"/>
  <c r="K25" i="8"/>
  <c r="K189" i="8"/>
  <c r="AA412" i="1"/>
  <c r="AA410" i="1"/>
  <c r="AA400" i="1"/>
  <c r="AA398" i="1"/>
  <c r="AA396" i="1"/>
  <c r="AA394" i="1"/>
  <c r="AA384" i="1"/>
  <c r="AA382" i="1"/>
  <c r="AA380" i="1"/>
  <c r="AA378" i="1"/>
  <c r="AA372" i="1"/>
  <c r="AA353" i="1"/>
  <c r="AA343" i="1"/>
  <c r="AA342" i="1"/>
  <c r="AA337" i="1"/>
  <c r="E724" i="8"/>
  <c r="K387" i="8"/>
  <c r="K875" i="8"/>
  <c r="E693" i="8"/>
  <c r="E690" i="8"/>
  <c r="E12" i="8"/>
  <c r="K390" i="8"/>
  <c r="K300" i="8"/>
  <c r="E653" i="8"/>
  <c r="E396" i="8"/>
  <c r="E8" i="8"/>
  <c r="K148" i="8"/>
  <c r="K176" i="8"/>
  <c r="E243" i="8"/>
  <c r="E317" i="8"/>
  <c r="E649" i="8"/>
  <c r="E659" i="8"/>
  <c r="K293" i="8"/>
  <c r="E570" i="8"/>
  <c r="E431" i="8"/>
  <c r="K675" i="8"/>
  <c r="E364" i="8"/>
  <c r="K517" i="8"/>
  <c r="E676" i="8"/>
  <c r="AA682" i="1"/>
  <c r="AA680" i="1"/>
  <c r="AA672" i="1"/>
  <c r="AA540" i="1"/>
  <c r="AA536" i="1"/>
  <c r="AA534" i="1"/>
  <c r="AA528" i="1"/>
  <c r="AA516" i="1"/>
  <c r="AA512" i="1"/>
  <c r="AA452" i="1"/>
  <c r="AA450" i="1"/>
  <c r="E625" i="8"/>
  <c r="K203" i="8"/>
  <c r="K931" i="8"/>
  <c r="K706" i="8"/>
  <c r="K585" i="8"/>
  <c r="E177" i="8"/>
  <c r="E507" i="8"/>
  <c r="K927" i="8"/>
  <c r="E918" i="8"/>
  <c r="E627" i="8"/>
  <c r="E575" i="8"/>
  <c r="E557" i="8"/>
  <c r="E579" i="8"/>
  <c r="K62" i="8"/>
  <c r="K932" i="8"/>
  <c r="K59" i="8"/>
  <c r="K401" i="8"/>
  <c r="E210" i="8"/>
  <c r="K154" i="8"/>
  <c r="K666" i="8"/>
  <c r="E735" i="8"/>
  <c r="E134" i="8"/>
  <c r="E278" i="8"/>
  <c r="K173" i="8"/>
  <c r="E335" i="8"/>
  <c r="K464" i="8"/>
  <c r="K201" i="8"/>
  <c r="E574" i="8"/>
  <c r="K232" i="8"/>
  <c r="E255" i="8"/>
  <c r="K656" i="8"/>
  <c r="E87" i="8"/>
  <c r="E911" i="8"/>
  <c r="E245" i="8"/>
  <c r="K663" i="8"/>
  <c r="E871" i="8"/>
  <c r="K959" i="8"/>
  <c r="K204" i="8"/>
  <c r="K254" i="8"/>
  <c r="E483" i="8"/>
  <c r="E880" i="8"/>
  <c r="K692" i="8"/>
  <c r="K725" i="8"/>
  <c r="K437" i="8"/>
  <c r="E545" i="8"/>
  <c r="K570" i="8"/>
  <c r="K593" i="8"/>
  <c r="K625" i="8"/>
  <c r="K596" i="8"/>
  <c r="K267" i="8"/>
  <c r="AD1096" i="1"/>
  <c r="AD1068" i="1"/>
  <c r="AD1064" i="1"/>
  <c r="AD972" i="1"/>
  <c r="AD910" i="1"/>
  <c r="AD890" i="1"/>
  <c r="AD886" i="1"/>
  <c r="AD874" i="1"/>
  <c r="AD806" i="1"/>
  <c r="AD782" i="1"/>
  <c r="AD778" i="1"/>
  <c r="AD770" i="1"/>
  <c r="AD690" i="1"/>
  <c r="AD672" i="1"/>
  <c r="AD666" i="1"/>
  <c r="AD544" i="1"/>
  <c r="AD436" i="1"/>
  <c r="AD434" i="1"/>
  <c r="AD432" i="1"/>
  <c r="AD424" i="1"/>
  <c r="AD422" i="1"/>
  <c r="AD412" i="1"/>
  <c r="AD404" i="1"/>
  <c r="AD380" i="1"/>
  <c r="K919" i="8"/>
  <c r="AA324" i="1"/>
  <c r="AA317" i="1"/>
  <c r="AA315" i="1"/>
  <c r="AA308" i="1"/>
  <c r="AA304" i="1"/>
  <c r="AA297" i="1"/>
  <c r="AD274" i="1"/>
  <c r="AD903" i="1"/>
  <c r="AD899" i="1"/>
  <c r="AD897" i="1"/>
  <c r="AD867" i="1"/>
  <c r="AD791" i="1"/>
  <c r="AD787" i="1"/>
  <c r="AD783" i="1"/>
  <c r="AD775" i="1"/>
  <c r="AD771" i="1"/>
  <c r="AD755" i="1"/>
  <c r="AD747" i="1"/>
  <c r="AD743" i="1"/>
  <c r="AD739" i="1"/>
  <c r="AD735" i="1"/>
  <c r="AD691" i="1"/>
  <c r="AD545" i="1"/>
  <c r="AD393" i="1"/>
  <c r="K120" i="8"/>
  <c r="K210" i="8"/>
  <c r="K329" i="8"/>
  <c r="E409" i="8"/>
  <c r="K707" i="8"/>
  <c r="E717" i="8"/>
  <c r="K674" i="8"/>
  <c r="K610" i="8"/>
  <c r="K608" i="8"/>
  <c r="K644" i="8"/>
  <c r="E671" i="8"/>
  <c r="E266" i="8"/>
  <c r="K504" i="8"/>
  <c r="K191" i="8"/>
  <c r="E555" i="8"/>
  <c r="E664" i="8"/>
  <c r="E859" i="8"/>
  <c r="K500" i="8"/>
  <c r="E688" i="8"/>
  <c r="E221" i="8"/>
  <c r="K579" i="8"/>
  <c r="K609" i="8"/>
  <c r="K632" i="8"/>
  <c r="K627" i="8"/>
  <c r="K134" i="8"/>
  <c r="E715" i="8"/>
  <c r="K759" i="8"/>
  <c r="E75" i="8"/>
  <c r="K515" i="8"/>
  <c r="K634" i="8"/>
  <c r="K711" i="8"/>
  <c r="K96" i="8"/>
  <c r="E238" i="8"/>
  <c r="E234" i="8"/>
  <c r="E269" i="8"/>
  <c r="K498" i="8"/>
  <c r="K461" i="8"/>
  <c r="E684" i="8"/>
  <c r="K185" i="8"/>
  <c r="E167" i="8"/>
  <c r="E236" i="8"/>
  <c r="E316" i="8"/>
  <c r="K580" i="8"/>
  <c r="K612" i="8"/>
  <c r="E743" i="8"/>
  <c r="K453" i="8"/>
  <c r="E404" i="8"/>
  <c r="E294" i="8"/>
  <c r="K439" i="8"/>
  <c r="E372" i="8"/>
  <c r="E712" i="8"/>
  <c r="E638" i="8"/>
  <c r="K694" i="8"/>
  <c r="K251" i="8"/>
  <c r="E304" i="8"/>
  <c r="E794" i="8"/>
  <c r="E810" i="8"/>
  <c r="E826" i="8"/>
  <c r="E842" i="8"/>
  <c r="E858" i="8"/>
  <c r="K411" i="8"/>
  <c r="E908" i="8"/>
  <c r="K877" i="8"/>
  <c r="E757" i="8"/>
  <c r="E930" i="8"/>
  <c r="K701" i="8"/>
  <c r="K505" i="8"/>
  <c r="E782" i="8"/>
  <c r="E505" i="8"/>
  <c r="K264" i="8"/>
  <c r="K713" i="8"/>
  <c r="K246" i="8"/>
  <c r="K955" i="8"/>
  <c r="K898" i="8"/>
  <c r="K647" i="8"/>
  <c r="E141" i="8"/>
  <c r="K193" i="8"/>
  <c r="E308" i="8"/>
  <c r="E929" i="8"/>
  <c r="K888" i="8"/>
  <c r="K912" i="8"/>
  <c r="E967" i="8"/>
  <c r="E204" i="8"/>
  <c r="E298" i="8"/>
  <c r="K489" i="8"/>
  <c r="K573" i="8"/>
  <c r="K600" i="8"/>
  <c r="K636" i="8"/>
  <c r="K605" i="8"/>
  <c r="K258" i="8"/>
  <c r="K107" i="8"/>
  <c r="K469" i="8"/>
  <c r="E102" i="8"/>
  <c r="K622" i="8"/>
  <c r="K697" i="8"/>
  <c r="K199" i="8"/>
  <c r="K255" i="8"/>
  <c r="K393" i="8"/>
  <c r="K471" i="8"/>
  <c r="K637" i="8"/>
  <c r="K248" i="8"/>
  <c r="K681" i="8"/>
  <c r="K277" i="8"/>
  <c r="K74" i="8"/>
  <c r="E260" i="8"/>
  <c r="K273" i="8"/>
  <c r="E79" i="8"/>
  <c r="E468" i="8"/>
  <c r="K285" i="8"/>
  <c r="E93" i="8"/>
  <c r="E687" i="8"/>
  <c r="K723" i="8"/>
  <c r="K922" i="8"/>
  <c r="K870" i="8"/>
  <c r="K35" i="8"/>
  <c r="K923" i="8"/>
  <c r="E94" i="8"/>
  <c r="K747" i="8"/>
  <c r="E212" i="8"/>
  <c r="E549" i="8"/>
  <c r="K421" i="8"/>
  <c r="E619" i="8"/>
  <c r="E798" i="8"/>
  <c r="E814" i="8"/>
  <c r="E830" i="8"/>
  <c r="E846" i="8"/>
  <c r="K869" i="8"/>
  <c r="E462" i="8"/>
  <c r="K261" i="8"/>
  <c r="K509" i="8"/>
  <c r="K964" i="8"/>
  <c r="K226" i="8"/>
  <c r="K467" i="8"/>
  <c r="K198" i="8"/>
  <c r="E242" i="8"/>
  <c r="E270" i="8"/>
  <c r="K334" i="8"/>
  <c r="K470" i="8"/>
  <c r="K345" i="8"/>
  <c r="K530" i="8"/>
  <c r="K538" i="8"/>
  <c r="K522" i="8"/>
  <c r="K389" i="8"/>
  <c r="K445" i="8"/>
  <c r="K280" i="8"/>
  <c r="K435" i="8"/>
  <c r="K710" i="8"/>
  <c r="E678" i="8"/>
  <c r="K601" i="8"/>
  <c r="K689" i="8"/>
  <c r="E786" i="8"/>
  <c r="E802" i="8"/>
  <c r="E818" i="8"/>
  <c r="E834" i="8"/>
  <c r="E850" i="8"/>
  <c r="E774" i="8"/>
  <c r="E942" i="8"/>
  <c r="K91" i="8"/>
  <c r="K443" i="8"/>
  <c r="E469" i="8"/>
  <c r="K687" i="8"/>
  <c r="E645" i="8"/>
  <c r="E892" i="8"/>
  <c r="E704" i="8"/>
  <c r="E230" i="8"/>
  <c r="E312" i="8"/>
  <c r="K324" i="8"/>
  <c r="K502" i="8"/>
  <c r="E386" i="8"/>
  <c r="K490" i="8"/>
  <c r="E369" i="8"/>
  <c r="K474" i="8"/>
  <c r="E635" i="8"/>
  <c r="K749" i="8"/>
  <c r="E886" i="8"/>
  <c r="K745" i="8"/>
  <c r="E882" i="8"/>
  <c r="E926" i="8"/>
  <c r="E530" i="8"/>
  <c r="E910" i="8"/>
  <c r="K126" i="8"/>
  <c r="K236" i="8"/>
  <c r="E276" i="8"/>
  <c r="K488" i="8"/>
  <c r="E699" i="8"/>
  <c r="K180" i="8"/>
  <c r="K224" i="8"/>
  <c r="K90" i="8"/>
  <c r="K858" i="8"/>
  <c r="K969" i="8"/>
  <c r="K144" i="8"/>
  <c r="E146" i="8"/>
  <c r="E252" i="8"/>
  <c r="E360" i="8"/>
  <c r="E361" i="8"/>
  <c r="E536" i="8"/>
  <c r="K905" i="8"/>
  <c r="E874" i="8"/>
  <c r="K639" i="8"/>
  <c r="K861" i="8"/>
  <c r="E898" i="8"/>
  <c r="K534" i="8"/>
  <c r="E150" i="8"/>
  <c r="K247" i="8"/>
  <c r="E77" i="8"/>
  <c r="K142" i="8"/>
  <c r="E240" i="8"/>
  <c r="K106" i="8"/>
  <c r="E368" i="8"/>
  <c r="E400" i="8"/>
  <c r="K501" i="8"/>
  <c r="K716" i="8"/>
  <c r="E950" i="8"/>
  <c r="K420" i="8"/>
  <c r="E105" i="8"/>
  <c r="K688" i="8"/>
  <c r="K728" i="8"/>
  <c r="AA1076" i="1"/>
  <c r="AA1056" i="1"/>
  <c r="AA1052" i="1"/>
  <c r="AA1032" i="1"/>
  <c r="AA1055" i="1"/>
  <c r="AA1053" i="1"/>
  <c r="AA969" i="1"/>
  <c r="AA957" i="1"/>
  <c r="AA953" i="1"/>
  <c r="AA945" i="1"/>
  <c r="AA937" i="1"/>
  <c r="AA933" i="1"/>
  <c r="AA925" i="1"/>
  <c r="AA917" i="1"/>
  <c r="AA901" i="1"/>
  <c r="AA885" i="1"/>
  <c r="AA873" i="1"/>
  <c r="AA725" i="1"/>
  <c r="AA713" i="1"/>
  <c r="AA709" i="1"/>
  <c r="AA705" i="1"/>
  <c r="AA701" i="1"/>
  <c r="AA697" i="1"/>
  <c r="AA641" i="1"/>
  <c r="AA633" i="1"/>
  <c r="AA617" i="1"/>
  <c r="AA603" i="1"/>
  <c r="AA595" i="1"/>
  <c r="AA575" i="1"/>
  <c r="AA569" i="1"/>
  <c r="AA561" i="1"/>
  <c r="AA553" i="1"/>
  <c r="AD1076" i="1"/>
  <c r="AD962" i="1"/>
  <c r="AD960" i="1"/>
  <c r="AD930" i="1"/>
  <c r="AD376" i="1"/>
  <c r="AD357" i="1"/>
  <c r="AD353" i="1"/>
  <c r="AD343" i="1"/>
  <c r="AD342" i="1"/>
  <c r="K56" i="8"/>
  <c r="K206" i="8"/>
  <c r="K141" i="8"/>
  <c r="E124" i="8"/>
  <c r="K170" i="8"/>
  <c r="K162" i="8"/>
  <c r="E250" i="8"/>
  <c r="E199" i="8"/>
  <c r="E184" i="8"/>
  <c r="K223" i="8"/>
  <c r="E296" i="8"/>
  <c r="K342" i="8"/>
  <c r="E340" i="8"/>
  <c r="K326" i="8"/>
  <c r="K514" i="8"/>
  <c r="E385" i="8"/>
  <c r="K548" i="8"/>
  <c r="E492" i="8"/>
  <c r="K594" i="8"/>
  <c r="E623" i="8"/>
  <c r="E922" i="8"/>
  <c r="K881" i="8"/>
  <c r="K733" i="8"/>
  <c r="K233" i="8"/>
  <c r="E114" i="8"/>
  <c r="E195" i="8"/>
  <c r="E341" i="8"/>
  <c r="K468" i="8"/>
  <c r="K200" i="8"/>
  <c r="E415" i="8"/>
  <c r="E323" i="8"/>
  <c r="K868" i="8"/>
  <c r="AD320" i="1"/>
  <c r="AA1102" i="1"/>
  <c r="AA1094" i="1"/>
  <c r="AA1088" i="1"/>
  <c r="AA1080" i="1"/>
  <c r="AA1078" i="1"/>
  <c r="AA1030" i="1"/>
  <c r="AA1020" i="1"/>
  <c r="AA1012" i="1"/>
  <c r="AA1010" i="1"/>
  <c r="AA996" i="1"/>
  <c r="AA994" i="1"/>
  <c r="AD922" i="1"/>
  <c r="AD872" i="1"/>
  <c r="AD852" i="1"/>
  <c r="AD850" i="1"/>
  <c r="AD718" i="1"/>
  <c r="AD664" i="1"/>
  <c r="AD658" i="1"/>
  <c r="AD648" i="1"/>
  <c r="AD642" i="1"/>
  <c r="AD630" i="1"/>
  <c r="AD624" i="1"/>
  <c r="AD622" i="1"/>
  <c r="AD614" i="1"/>
  <c r="AD586" i="1"/>
  <c r="AD584" i="1"/>
  <c r="AD546" i="1"/>
  <c r="K249" i="8"/>
  <c r="E500" i="8"/>
  <c r="K753" i="8"/>
  <c r="E707" i="8"/>
  <c r="E949" i="8"/>
  <c r="E112" i="8"/>
  <c r="E104" i="8"/>
  <c r="K128" i="8"/>
  <c r="E183" i="8"/>
  <c r="E175" i="8"/>
  <c r="E262" i="8"/>
  <c r="K330" i="8"/>
  <c r="K312" i="8"/>
  <c r="K433" i="8"/>
  <c r="K518" i="8"/>
  <c r="K506" i="8"/>
  <c r="K384" i="8"/>
  <c r="E438" i="8"/>
  <c r="K629" i="8"/>
  <c r="K603" i="8"/>
  <c r="K583" i="8"/>
  <c r="K669" i="8"/>
  <c r="E115" i="8"/>
  <c r="K122" i="8"/>
  <c r="K123" i="8"/>
  <c r="K491" i="8"/>
  <c r="AD967" i="1"/>
  <c r="AD963" i="1"/>
  <c r="AA922" i="1"/>
  <c r="AA858" i="1"/>
  <c r="AA840" i="1"/>
  <c r="AA780" i="1"/>
  <c r="AA774" i="1"/>
  <c r="AA766" i="1"/>
  <c r="AA734" i="1"/>
  <c r="AA694" i="1"/>
  <c r="AA664" i="1"/>
  <c r="AA662" i="1"/>
  <c r="AA656" i="1"/>
  <c r="AA590" i="1"/>
  <c r="AA560" i="1"/>
  <c r="AA552" i="1"/>
  <c r="AA550" i="1"/>
  <c r="K60" i="8"/>
  <c r="K100" i="8"/>
  <c r="E82" i="8"/>
  <c r="K129" i="8"/>
  <c r="E176" i="8"/>
  <c r="K425" i="8"/>
  <c r="E365" i="8"/>
  <c r="K526" i="8"/>
  <c r="K409" i="8"/>
  <c r="E502" i="8"/>
  <c r="K584" i="8"/>
  <c r="K616" i="8"/>
  <c r="E615" i="8"/>
  <c r="K589" i="8"/>
  <c r="E640" i="8"/>
  <c r="E657" i="8"/>
  <c r="K690" i="8"/>
  <c r="K606" i="8"/>
  <c r="E621" i="8"/>
  <c r="K704" i="8"/>
  <c r="E878" i="8"/>
  <c r="E674" i="8"/>
  <c r="K571" i="8"/>
  <c r="K231" i="8"/>
  <c r="K253" i="8"/>
  <c r="E129" i="8"/>
  <c r="K136" i="8"/>
  <c r="E491" i="8"/>
  <c r="E473" i="8"/>
  <c r="K75" i="8"/>
  <c r="K257" i="8"/>
  <c r="E417" i="8"/>
  <c r="K475" i="8"/>
  <c r="E736" i="8"/>
  <c r="E672" i="8"/>
  <c r="K695" i="8"/>
  <c r="E852" i="8"/>
  <c r="AD19" i="1"/>
  <c r="AD1045" i="1"/>
  <c r="AD1043" i="1"/>
  <c r="AD1041" i="1"/>
  <c r="AD1039" i="1"/>
  <c r="AD1037" i="1"/>
  <c r="AD1035" i="1"/>
  <c r="AD1033" i="1"/>
  <c r="AD344" i="1"/>
  <c r="E443" i="8"/>
  <c r="E617" i="8"/>
  <c r="E459" i="8"/>
  <c r="K712" i="8"/>
  <c r="K678" i="8"/>
  <c r="E216" i="8"/>
  <c r="E78" i="8"/>
  <c r="E407" i="8"/>
  <c r="K887" i="8"/>
  <c r="AA929" i="1"/>
  <c r="AA927" i="1"/>
  <c r="AD831" i="1"/>
  <c r="AD823" i="1"/>
  <c r="AD817" i="1"/>
  <c r="AD815" i="1"/>
  <c r="AD731" i="1"/>
  <c r="AD727" i="1"/>
  <c r="AD715" i="1"/>
  <c r="AD713" i="1"/>
  <c r="AD653" i="1"/>
  <c r="AD651" i="1"/>
  <c r="AD647" i="1"/>
  <c r="AD617" i="1"/>
  <c r="AD609" i="1"/>
  <c r="AD595" i="1"/>
  <c r="E108" i="8"/>
  <c r="K227" i="8"/>
  <c r="E279" i="8"/>
  <c r="K296" i="8"/>
  <c r="K764" i="8"/>
  <c r="AA789" i="1"/>
  <c r="AA787" i="1"/>
  <c r="AA783" i="1"/>
  <c r="AA777" i="1"/>
  <c r="AA775" i="1"/>
  <c r="AA773" i="1"/>
  <c r="AA771" i="1"/>
  <c r="AA769" i="1"/>
  <c r="AA763" i="1"/>
  <c r="AA761" i="1"/>
  <c r="AA755" i="1"/>
  <c r="AA753" i="1"/>
  <c r="AA449" i="1"/>
  <c r="AA437" i="1"/>
  <c r="AA433" i="1"/>
  <c r="AA413" i="1"/>
  <c r="E159" i="8"/>
  <c r="E246" i="8"/>
  <c r="E320" i="8"/>
  <c r="E286" i="8"/>
  <c r="E324" i="8"/>
  <c r="K417" i="8"/>
  <c r="E460" i="8"/>
  <c r="K525" i="8"/>
  <c r="K398" i="8"/>
  <c r="E651" i="8"/>
  <c r="K587" i="8"/>
  <c r="K635" i="8"/>
  <c r="E567" i="8"/>
  <c r="K709" i="8"/>
  <c r="E934" i="8"/>
  <c r="K81" i="8"/>
  <c r="K175" i="8"/>
  <c r="K101" i="8"/>
  <c r="K161" i="8"/>
  <c r="E476" i="8"/>
  <c r="E125" i="8"/>
  <c r="E437" i="8"/>
  <c r="E481" i="8"/>
  <c r="E508" i="8"/>
  <c r="K650" i="8"/>
  <c r="K771" i="8"/>
  <c r="K708" i="8"/>
  <c r="E905" i="8"/>
  <c r="AD1065" i="1"/>
  <c r="AA1016" i="1"/>
  <c r="AA992" i="1"/>
  <c r="AA988" i="1"/>
  <c r="AA980" i="1"/>
  <c r="AA976" i="1"/>
  <c r="AA962" i="1"/>
  <c r="AD723" i="1"/>
  <c r="AD719" i="1"/>
  <c r="AD711" i="1"/>
  <c r="AA652" i="1"/>
  <c r="AA638" i="1"/>
  <c r="AA636" i="1"/>
  <c r="AA634" i="1"/>
  <c r="AA632" i="1"/>
  <c r="AA624" i="1"/>
  <c r="AA620" i="1"/>
  <c r="AA580" i="1"/>
  <c r="AA578" i="1"/>
  <c r="AA572" i="1"/>
  <c r="AA570" i="1"/>
  <c r="AD542" i="1"/>
  <c r="AD540" i="1"/>
  <c r="AD538" i="1"/>
  <c r="AD534" i="1"/>
  <c r="AD532" i="1"/>
  <c r="AD530" i="1"/>
  <c r="AD528" i="1"/>
  <c r="AD526" i="1"/>
  <c r="AD524" i="1"/>
  <c r="AD522" i="1"/>
  <c r="AD512" i="1"/>
  <c r="AD506" i="1"/>
  <c r="AD504" i="1"/>
  <c r="AD496" i="1"/>
  <c r="AD492" i="1"/>
  <c r="AD490" i="1"/>
  <c r="AD482" i="1"/>
  <c r="AD472" i="1"/>
  <c r="AD464" i="1"/>
  <c r="AD462" i="1"/>
  <c r="AD458" i="1"/>
  <c r="AD456" i="1"/>
  <c r="AD452" i="1"/>
  <c r="AD420" i="1"/>
  <c r="AD416" i="1"/>
  <c r="AD392" i="1"/>
  <c r="AD388" i="1"/>
  <c r="AD953" i="1"/>
  <c r="AD900" i="1"/>
  <c r="AD898" i="1"/>
  <c r="AD896" i="1"/>
  <c r="AD884" i="1"/>
  <c r="AD838" i="1"/>
  <c r="AA819" i="1"/>
  <c r="AA815" i="1"/>
  <c r="AD805" i="1"/>
  <c r="AD799" i="1"/>
  <c r="AD797" i="1"/>
  <c r="AD767" i="1"/>
  <c r="AD763" i="1"/>
  <c r="AA319" i="1"/>
  <c r="AA284" i="1"/>
  <c r="AA281" i="1"/>
  <c r="AA271" i="1"/>
  <c r="AD1015" i="1"/>
  <c r="AD1013" i="1"/>
  <c r="AD995" i="1"/>
  <c r="AD993" i="1"/>
  <c r="AD979" i="1"/>
  <c r="AD977" i="1"/>
  <c r="AD975" i="1"/>
  <c r="AD973" i="1"/>
  <c r="AD971" i="1"/>
  <c r="AA717" i="1"/>
  <c r="AA715" i="1"/>
  <c r="AD683" i="1"/>
  <c r="AD675" i="1"/>
  <c r="AA518" i="1"/>
  <c r="AA484" i="1"/>
  <c r="AA456" i="1"/>
  <c r="AA432" i="1"/>
  <c r="AA367" i="1"/>
  <c r="AA967" i="1"/>
  <c r="AA959" i="1"/>
  <c r="AD921" i="1"/>
  <c r="AD919" i="1"/>
  <c r="AA906" i="1"/>
  <c r="AD814" i="1"/>
  <c r="AD810" i="1"/>
  <c r="AA749" i="1"/>
  <c r="AD316" i="1"/>
  <c r="AD312" i="1"/>
  <c r="AD307" i="1"/>
  <c r="AD295" i="1"/>
  <c r="AD291" i="1"/>
  <c r="AD1036" i="1"/>
  <c r="AD1032" i="1"/>
  <c r="AA1023" i="1"/>
  <c r="AA1021" i="1"/>
  <c r="AA1011" i="1"/>
  <c r="AA1009" i="1"/>
  <c r="AA1007" i="1"/>
  <c r="AA1005" i="1"/>
  <c r="AA1003" i="1"/>
  <c r="AA1001" i="1"/>
  <c r="AA866" i="1"/>
  <c r="AD734" i="1"/>
  <c r="AD730" i="1"/>
  <c r="AD710" i="1"/>
  <c r="AD706" i="1"/>
  <c r="AD702" i="1"/>
  <c r="AD698" i="1"/>
  <c r="AA683" i="1"/>
  <c r="AD495" i="1"/>
  <c r="AD489" i="1"/>
  <c r="AD483" i="1"/>
  <c r="AD481" i="1"/>
  <c r="AD479" i="1"/>
  <c r="AD477" i="1"/>
  <c r="AD463" i="1"/>
  <c r="AD461" i="1"/>
  <c r="AD455" i="1"/>
  <c r="AD431" i="1"/>
  <c r="AD429" i="1"/>
  <c r="AD1054" i="1"/>
  <c r="AD954" i="1"/>
  <c r="AD950" i="1"/>
  <c r="AD934" i="1"/>
  <c r="AA919" i="1"/>
  <c r="AD879" i="1"/>
  <c r="AD855" i="1"/>
  <c r="AD851" i="1"/>
  <c r="AD843" i="1"/>
  <c r="AD756" i="1"/>
  <c r="AD742" i="1"/>
  <c r="AA1074" i="1"/>
  <c r="AA1048" i="1"/>
  <c r="AA1046" i="1"/>
  <c r="AA1042" i="1"/>
  <c r="AA1034" i="1"/>
  <c r="AD1030" i="1"/>
  <c r="AD1018" i="1"/>
  <c r="AD998" i="1"/>
  <c r="AD994" i="1"/>
  <c r="AA897" i="1"/>
  <c r="AA891" i="1"/>
  <c r="AA875" i="1"/>
  <c r="AD676" i="1"/>
  <c r="AD654" i="1"/>
  <c r="AD652" i="1"/>
  <c r="AD650" i="1"/>
  <c r="AD632" i="1"/>
  <c r="AD626" i="1"/>
  <c r="AD612" i="1"/>
  <c r="AD610" i="1"/>
  <c r="AD600" i="1"/>
  <c r="AD598" i="1"/>
  <c r="AD578" i="1"/>
  <c r="AD572" i="1"/>
  <c r="AD558" i="1"/>
  <c r="AD554" i="1"/>
  <c r="AD550" i="1"/>
  <c r="AA511" i="1"/>
  <c r="AA509" i="1"/>
  <c r="AA495" i="1"/>
  <c r="AA489" i="1"/>
  <c r="AA455" i="1"/>
  <c r="AA445" i="1"/>
  <c r="AA441" i="1"/>
  <c r="AA431" i="1"/>
  <c r="AA913" i="1"/>
  <c r="AA905" i="1"/>
  <c r="AA863" i="1"/>
  <c r="AA861" i="1"/>
  <c r="AA859" i="1"/>
  <c r="AA857" i="1"/>
  <c r="AA855" i="1"/>
  <c r="AA849" i="1"/>
  <c r="AA843" i="1"/>
  <c r="AA274" i="1"/>
  <c r="AD322" i="1"/>
  <c r="AA311" i="1"/>
  <c r="AA300" i="1"/>
  <c r="AD275" i="1"/>
  <c r="AD1100" i="1"/>
  <c r="AD1092" i="1"/>
  <c r="AD1090" i="1"/>
  <c r="AD1084" i="1"/>
  <c r="AD1080" i="1"/>
  <c r="AA1071" i="1"/>
  <c r="AA1069" i="1"/>
  <c r="AA1092" i="1"/>
  <c r="AA1090" i="1"/>
  <c r="AD1072" i="1"/>
  <c r="AA293" i="1"/>
  <c r="AA275" i="1"/>
  <c r="AD302" i="1"/>
  <c r="AA1084" i="1"/>
  <c r="AD1060" i="1"/>
  <c r="AD310" i="1"/>
  <c r="AD283" i="1"/>
  <c r="AD335" i="1"/>
  <c r="AD1099" i="1"/>
  <c r="AD1091" i="1"/>
  <c r="AD1085" i="1"/>
  <c r="AD1081" i="1"/>
  <c r="AD1077" i="1"/>
  <c r="AA1072" i="1"/>
  <c r="AA1064" i="1"/>
  <c r="AA1062" i="1"/>
  <c r="AA1060" i="1"/>
  <c r="AA1058" i="1"/>
  <c r="AD1048" i="1"/>
  <c r="AD1044" i="1"/>
  <c r="AA335" i="1"/>
  <c r="AA330" i="1"/>
  <c r="AD1073" i="1"/>
  <c r="AD1069" i="1"/>
  <c r="AA1054" i="1"/>
  <c r="AA1083" i="1"/>
  <c r="AA1081" i="1"/>
  <c r="AD1059" i="1"/>
  <c r="AD1057" i="1"/>
  <c r="AA1044" i="1"/>
  <c r="AD835" i="1"/>
  <c r="AA812" i="1"/>
  <c r="AA808" i="1"/>
  <c r="AD786" i="1"/>
  <c r="AD774" i="1"/>
  <c r="AD696" i="1"/>
  <c r="AD669" i="1"/>
  <c r="AA654" i="1"/>
  <c r="AA568" i="1"/>
  <c r="AA566" i="1"/>
  <c r="AA564" i="1"/>
  <c r="AA558" i="1"/>
  <c r="AA556" i="1"/>
  <c r="AA554" i="1"/>
  <c r="AA548" i="1"/>
  <c r="AD536" i="1"/>
  <c r="AD517" i="1"/>
  <c r="AD513" i="1"/>
  <c r="AA442" i="1"/>
  <c r="AD426" i="1"/>
  <c r="AA423" i="1"/>
  <c r="AA417" i="1"/>
  <c r="AD415" i="1"/>
  <c r="AD413" i="1"/>
  <c r="AA388" i="1"/>
  <c r="AA376" i="1"/>
  <c r="AA1040" i="1"/>
  <c r="AA1018" i="1"/>
  <c r="AD1014" i="1"/>
  <c r="AD1008" i="1"/>
  <c r="AD1004" i="1"/>
  <c r="AD1000" i="1"/>
  <c r="AA991" i="1"/>
  <c r="AA989" i="1"/>
  <c r="AA987" i="1"/>
  <c r="AA985" i="1"/>
  <c r="AA983" i="1"/>
  <c r="AA981" i="1"/>
  <c r="AA973" i="1"/>
  <c r="AA971" i="1"/>
  <c r="AD961" i="1"/>
  <c r="AA954" i="1"/>
  <c r="AA932" i="1"/>
  <c r="AD928" i="1"/>
  <c r="AA915" i="1"/>
  <c r="AA909" i="1"/>
  <c r="AA907" i="1"/>
  <c r="AD891" i="1"/>
  <c r="AA890" i="1"/>
  <c r="AD870" i="1"/>
  <c r="AA853" i="1"/>
  <c r="AA845" i="1"/>
  <c r="AA841" i="1"/>
  <c r="AA837" i="1"/>
  <c r="AA835" i="1"/>
  <c r="AA833" i="1"/>
  <c r="AD829" i="1"/>
  <c r="AD819" i="1"/>
  <c r="AD807" i="1"/>
  <c r="AA798" i="1"/>
  <c r="AD762" i="1"/>
  <c r="AD754" i="1"/>
  <c r="AD750" i="1"/>
  <c r="AD746" i="1"/>
  <c r="AD738" i="1"/>
  <c r="AA731" i="1"/>
  <c r="AA729" i="1"/>
  <c r="AA727" i="1"/>
  <c r="AD688" i="1"/>
  <c r="AD680" i="1"/>
  <c r="AA675" i="1"/>
  <c r="AD657" i="1"/>
  <c r="AA640" i="1"/>
  <c r="AA628" i="1"/>
  <c r="AD618" i="1"/>
  <c r="AD616" i="1"/>
  <c r="AD589" i="1"/>
  <c r="AA544" i="1"/>
  <c r="AA1028" i="1"/>
  <c r="AA1024" i="1"/>
  <c r="AA1014" i="1"/>
  <c r="AD984" i="1"/>
  <c r="AD980" i="1"/>
  <c r="AD951" i="1"/>
  <c r="AD943" i="1"/>
  <c r="AD939" i="1"/>
  <c r="AD935" i="1"/>
  <c r="AD931" i="1"/>
  <c r="AD918" i="1"/>
  <c r="AA903" i="1"/>
  <c r="AD887" i="1"/>
  <c r="AD866" i="1"/>
  <c r="AD862" i="1"/>
  <c r="AD854" i="1"/>
  <c r="AD842" i="1"/>
  <c r="AA831" i="1"/>
  <c r="AA829" i="1"/>
  <c r="AA827" i="1"/>
  <c r="AA825" i="1"/>
  <c r="AD795" i="1"/>
  <c r="AD707" i="1"/>
  <c r="AD703" i="1"/>
  <c r="AD674" i="1"/>
  <c r="AA532" i="1"/>
  <c r="AD520" i="1"/>
  <c r="AD518" i="1"/>
  <c r="AA505" i="1"/>
  <c r="AA497" i="1"/>
  <c r="AA473" i="1"/>
  <c r="AA457" i="1"/>
  <c r="AD990" i="1"/>
  <c r="AA965" i="1"/>
  <c r="AA721" i="1"/>
  <c r="AA663" i="1"/>
  <c r="AA657" i="1"/>
  <c r="AA589" i="1"/>
  <c r="AD583" i="1"/>
  <c r="AD579" i="1"/>
  <c r="AD575" i="1"/>
  <c r="AD569" i="1"/>
  <c r="AD557" i="1"/>
  <c r="AD555" i="1"/>
  <c r="AD553" i="1"/>
  <c r="AD1058" i="1"/>
  <c r="AA1051" i="1"/>
  <c r="AA1049" i="1"/>
  <c r="AA1047" i="1"/>
  <c r="AA1045" i="1"/>
  <c r="AD1031" i="1"/>
  <c r="AD1029" i="1"/>
  <c r="AA1008" i="1"/>
  <c r="AA1004" i="1"/>
  <c r="AA1000" i="1"/>
  <c r="AA990" i="1"/>
  <c r="AA984" i="1"/>
  <c r="AA982" i="1"/>
  <c r="AD978" i="1"/>
  <c r="AD970" i="1"/>
  <c r="AD966" i="1"/>
  <c r="AA961" i="1"/>
  <c r="AA955" i="1"/>
  <c r="AA949" i="1"/>
  <c r="AA947" i="1"/>
  <c r="AA939" i="1"/>
  <c r="AA924" i="1"/>
  <c r="AD916" i="1"/>
  <c r="AD914" i="1"/>
  <c r="AD906" i="1"/>
  <c r="AD902" i="1"/>
  <c r="AA893" i="1"/>
  <c r="AA889" i="1"/>
  <c r="AA887" i="1"/>
  <c r="AD875" i="1"/>
  <c r="AD830" i="1"/>
  <c r="AD826" i="1"/>
  <c r="AA821" i="1"/>
  <c r="AA813" i="1"/>
  <c r="AA809" i="1"/>
  <c r="AA805" i="1"/>
  <c r="AA803" i="1"/>
  <c r="AA801" i="1"/>
  <c r="AA799" i="1"/>
  <c r="AA797" i="1"/>
  <c r="AA795" i="1"/>
  <c r="AA793" i="1"/>
  <c r="AD785" i="1"/>
  <c r="AD773" i="1"/>
  <c r="AA748" i="1"/>
  <c r="AD722" i="1"/>
  <c r="AA711" i="1"/>
  <c r="AA699" i="1"/>
  <c r="AD687" i="1"/>
  <c r="AD670" i="1"/>
  <c r="AA655" i="1"/>
  <c r="AA653" i="1"/>
  <c r="AA618" i="1"/>
  <c r="AA614" i="1"/>
  <c r="AD606" i="1"/>
  <c r="AD604" i="1"/>
  <c r="AD596" i="1"/>
  <c r="AD592" i="1"/>
  <c r="AD588" i="1"/>
  <c r="AA524" i="1"/>
  <c r="AA520" i="1"/>
  <c r="AD516" i="1"/>
  <c r="AD514" i="1"/>
  <c r="AD510" i="1"/>
  <c r="AD500" i="1"/>
  <c r="AD498" i="1"/>
  <c r="AD484" i="1"/>
  <c r="AD476" i="1"/>
  <c r="AD468" i="1"/>
  <c r="AA424" i="1"/>
  <c r="AA422" i="1"/>
  <c r="AD414" i="1"/>
  <c r="AD408" i="1"/>
  <c r="AD400" i="1"/>
  <c r="AA978" i="1"/>
  <c r="AD923" i="1"/>
  <c r="AA883" i="1"/>
  <c r="AA881" i="1"/>
  <c r="AA695" i="1"/>
  <c r="AA693" i="1"/>
  <c r="AD644" i="1"/>
  <c r="AA606" i="1"/>
  <c r="AA600" i="1"/>
  <c r="AA598" i="1"/>
  <c r="AA596" i="1"/>
  <c r="AA594" i="1"/>
  <c r="AA592" i="1"/>
  <c r="AD372" i="1"/>
  <c r="AA834" i="1"/>
  <c r="AD818" i="1"/>
  <c r="AD802" i="1"/>
  <c r="AD794" i="1"/>
  <c r="AA781" i="1"/>
  <c r="AD759" i="1"/>
  <c r="AD753" i="1"/>
  <c r="AD741" i="1"/>
  <c r="AA689" i="1"/>
  <c r="AA687" i="1"/>
  <c r="AA685" i="1"/>
  <c r="AA660" i="1"/>
  <c r="AA658" i="1"/>
  <c r="AA500" i="1"/>
  <c r="AA496" i="1"/>
  <c r="AA492" i="1"/>
  <c r="AA480" i="1"/>
  <c r="AA474" i="1"/>
  <c r="AA468" i="1"/>
  <c r="AA466" i="1"/>
  <c r="AA464" i="1"/>
  <c r="AA462" i="1"/>
  <c r="AD444" i="1"/>
  <c r="AD442" i="1"/>
  <c r="AA425" i="1"/>
  <c r="AD423" i="1"/>
  <c r="AD421" i="1"/>
  <c r="AA416" i="1"/>
  <c r="AA414" i="1"/>
  <c r="AD386" i="1"/>
  <c r="AD1042" i="1"/>
  <c r="AD1024" i="1"/>
  <c r="AD1020" i="1"/>
  <c r="AD983" i="1"/>
  <c r="AD981" i="1"/>
  <c r="AA964" i="1"/>
  <c r="AD956" i="1"/>
  <c r="AD948" i="1"/>
  <c r="AD946" i="1"/>
  <c r="AD944" i="1"/>
  <c r="AD940" i="1"/>
  <c r="AD938" i="1"/>
  <c r="AA923" i="1"/>
  <c r="AD913" i="1"/>
  <c r="AD907" i="1"/>
  <c r="AD905" i="1"/>
  <c r="AA869" i="1"/>
  <c r="AD865" i="1"/>
  <c r="AD863" i="1"/>
  <c r="AD859" i="1"/>
  <c r="AD857" i="1"/>
  <c r="AD847" i="1"/>
  <c r="AA751" i="1"/>
  <c r="AA745" i="1"/>
  <c r="AA743" i="1"/>
  <c r="AA741" i="1"/>
  <c r="AA739" i="1"/>
  <c r="AA737" i="1"/>
  <c r="AA720" i="1"/>
  <c r="AD694" i="1"/>
  <c r="AA650" i="1"/>
  <c r="AD636" i="1"/>
  <c r="AD634" i="1"/>
  <c r="AA586" i="1"/>
  <c r="AD580" i="1"/>
  <c r="AD576" i="1"/>
  <c r="AD570" i="1"/>
  <c r="AD566" i="1"/>
  <c r="AD562" i="1"/>
  <c r="AD318" i="1"/>
  <c r="AD299" i="1"/>
  <c r="AD270" i="1"/>
  <c r="AA1095" i="1"/>
  <c r="AA1093" i="1"/>
  <c r="AD1056" i="1"/>
  <c r="AA1026" i="1"/>
  <c r="AD1022" i="1"/>
  <c r="AD1016" i="1"/>
  <c r="AA1015" i="1"/>
  <c r="AA1013" i="1"/>
  <c r="AD999" i="1"/>
  <c r="AD997" i="1"/>
  <c r="AA986" i="1"/>
  <c r="AD982" i="1"/>
  <c r="AD976" i="1"/>
  <c r="AD942" i="1"/>
  <c r="AA935" i="1"/>
  <c r="AD929" i="1"/>
  <c r="AD920" i="1"/>
  <c r="AA911" i="1"/>
  <c r="AD882" i="1"/>
  <c r="AA1068" i="1"/>
  <c r="AA1066" i="1"/>
  <c r="AD1052" i="1"/>
  <c r="AA1022" i="1"/>
  <c r="AD1012" i="1"/>
  <c r="AD955" i="1"/>
  <c r="AA931" i="1"/>
  <c r="AD927" i="1"/>
  <c r="AA333" i="1"/>
  <c r="AD1086" i="1"/>
  <c r="AA1079" i="1"/>
  <c r="AA1077" i="1"/>
  <c r="AD1075" i="1"/>
  <c r="AD1050" i="1"/>
  <c r="AA1043" i="1"/>
  <c r="AA1041" i="1"/>
  <c r="AA1039" i="1"/>
  <c r="AA1037" i="1"/>
  <c r="AA1035" i="1"/>
  <c r="AA1033" i="1"/>
  <c r="AD1027" i="1"/>
  <c r="AD1025" i="1"/>
  <c r="AD1010" i="1"/>
  <c r="AD964" i="1"/>
  <c r="AA948" i="1"/>
  <c r="AA946" i="1"/>
  <c r="AA940" i="1"/>
  <c r="AD936" i="1"/>
  <c r="AD334" i="1"/>
  <c r="AD1101" i="1"/>
  <c r="AA1096" i="1"/>
  <c r="AA1086" i="1"/>
  <c r="AD1082" i="1"/>
  <c r="AD1067" i="1"/>
  <c r="AD1061" i="1"/>
  <c r="AA1050" i="1"/>
  <c r="AD1046" i="1"/>
  <c r="AD1040" i="1"/>
  <c r="AA1002" i="1"/>
  <c r="AD992" i="1"/>
  <c r="AA970" i="1"/>
  <c r="AD958" i="1"/>
  <c r="AD947" i="1"/>
  <c r="AD945" i="1"/>
  <c r="AD321" i="1"/>
  <c r="AD280" i="1"/>
  <c r="AD1097" i="1"/>
  <c r="AD1093" i="1"/>
  <c r="AD1089" i="1"/>
  <c r="AA1082" i="1"/>
  <c r="AA998" i="1"/>
  <c r="AD988" i="1"/>
  <c r="AD969" i="1"/>
  <c r="AA951" i="1"/>
  <c r="AA921" i="1"/>
  <c r="AA19" i="1"/>
  <c r="AA334" i="1"/>
  <c r="AA1103" i="1"/>
  <c r="AA1101" i="1"/>
  <c r="AD1087" i="1"/>
  <c r="AD1074" i="1"/>
  <c r="AA1036" i="1"/>
  <c r="AD1026" i="1"/>
  <c r="AA1019" i="1"/>
  <c r="AA1017" i="1"/>
  <c r="AD1011" i="1"/>
  <c r="AD1009" i="1"/>
  <c r="AD1007" i="1"/>
  <c r="AD1005" i="1"/>
  <c r="AD1003" i="1"/>
  <c r="AD1001" i="1"/>
  <c r="AD986" i="1"/>
  <c r="AA979" i="1"/>
  <c r="AA977" i="1"/>
  <c r="AA975" i="1"/>
  <c r="AA941" i="1"/>
  <c r="AA930" i="1"/>
  <c r="AD924" i="1"/>
  <c r="AA877" i="1"/>
  <c r="AD1098" i="1"/>
  <c r="AD1083" i="1"/>
  <c r="AA1063" i="1"/>
  <c r="AA1061" i="1"/>
  <c r="AD1055" i="1"/>
  <c r="AD1053" i="1"/>
  <c r="AD1038" i="1"/>
  <c r="AA1031" i="1"/>
  <c r="AA1029" i="1"/>
  <c r="AD1023" i="1"/>
  <c r="AD1021" i="1"/>
  <c r="AD1006" i="1"/>
  <c r="AA999" i="1"/>
  <c r="AA997" i="1"/>
  <c r="AD991" i="1"/>
  <c r="AD989" i="1"/>
  <c r="AD974" i="1"/>
  <c r="AA938" i="1"/>
  <c r="AD932" i="1"/>
  <c r="AD912" i="1"/>
  <c r="AA872" i="1"/>
  <c r="AD840" i="1"/>
  <c r="AA818" i="1"/>
  <c r="AD812" i="1"/>
  <c r="AD808" i="1"/>
  <c r="AA786" i="1"/>
  <c r="AD780" i="1"/>
  <c r="AD765" i="1"/>
  <c r="AD748" i="1"/>
  <c r="AD733" i="1"/>
  <c r="AA726" i="1"/>
  <c r="AD720" i="1"/>
  <c r="AA666" i="1"/>
  <c r="AD660" i="1"/>
  <c r="AA644" i="1"/>
  <c r="AD638" i="1"/>
  <c r="AA622" i="1"/>
  <c r="AA609" i="1"/>
  <c r="AD548" i="1"/>
  <c r="AA485" i="1"/>
  <c r="AA483" i="1"/>
  <c r="AA481" i="1"/>
  <c r="AD428" i="1"/>
  <c r="AA419" i="1"/>
  <c r="AA1100" i="1"/>
  <c r="AA1098" i="1"/>
  <c r="AD1088" i="1"/>
  <c r="AA1087" i="1"/>
  <c r="AA1085" i="1"/>
  <c r="AA1070" i="1"/>
  <c r="AD1066" i="1"/>
  <c r="AD1051" i="1"/>
  <c r="AD1049" i="1"/>
  <c r="AA1038" i="1"/>
  <c r="AD1034" i="1"/>
  <c r="AD1028" i="1"/>
  <c r="AA1027" i="1"/>
  <c r="AA1025" i="1"/>
  <c r="AD1019" i="1"/>
  <c r="AD1017" i="1"/>
  <c r="AA1006" i="1"/>
  <c r="AD1002" i="1"/>
  <c r="AD996" i="1"/>
  <c r="AA995" i="1"/>
  <c r="AA993" i="1"/>
  <c r="AD987" i="1"/>
  <c r="AD985" i="1"/>
  <c r="AA974" i="1"/>
  <c r="AA963" i="1"/>
  <c r="AD959" i="1"/>
  <c r="AA956" i="1"/>
  <c r="AD952" i="1"/>
  <c r="AA943" i="1"/>
  <c r="AD937" i="1"/>
  <c r="AD926" i="1"/>
  <c r="AD915" i="1"/>
  <c r="AA914" i="1"/>
  <c r="AD908" i="1"/>
  <c r="AA899" i="1"/>
  <c r="AD895" i="1"/>
  <c r="AD888" i="1"/>
  <c r="AA879" i="1"/>
  <c r="AD871" i="1"/>
  <c r="AA870" i="1"/>
  <c r="AD858" i="1"/>
  <c r="AA851" i="1"/>
  <c r="AD849" i="1"/>
  <c r="AA844" i="1"/>
  <c r="AD834" i="1"/>
  <c r="AA823" i="1"/>
  <c r="AD798" i="1"/>
  <c r="AA791" i="1"/>
  <c r="AD776" i="1"/>
  <c r="AA767" i="1"/>
  <c r="AA765" i="1"/>
  <c r="AD761" i="1"/>
  <c r="AA754" i="1"/>
  <c r="AA703" i="1"/>
  <c r="AD695" i="1"/>
  <c r="AD686" i="1"/>
  <c r="AD682" i="1"/>
  <c r="AA681" i="1"/>
  <c r="AD656" i="1"/>
  <c r="AA642" i="1"/>
  <c r="AD590" i="1"/>
  <c r="AD488" i="1"/>
  <c r="AD379" i="1"/>
  <c r="AD377" i="1"/>
  <c r="AD911" i="1"/>
  <c r="AD904" i="1"/>
  <c r="AA895" i="1"/>
  <c r="AD889" i="1"/>
  <c r="AD878" i="1"/>
  <c r="AA871" i="1"/>
  <c r="AD869" i="1"/>
  <c r="AA862" i="1"/>
  <c r="AA847" i="1"/>
  <c r="AD839" i="1"/>
  <c r="AA838" i="1"/>
  <c r="AD822" i="1"/>
  <c r="AA817" i="1"/>
  <c r="AD811" i="1"/>
  <c r="AA806" i="1"/>
  <c r="AD751" i="1"/>
  <c r="AA744" i="1"/>
  <c r="AA718" i="1"/>
  <c r="AD693" i="1"/>
  <c r="AA688" i="1"/>
  <c r="AA686" i="1"/>
  <c r="AA651" i="1"/>
  <c r="AA583" i="1"/>
  <c r="AD454" i="1"/>
  <c r="AD396" i="1"/>
  <c r="AA757" i="1"/>
  <c r="AA742" i="1"/>
  <c r="AA723" i="1"/>
  <c r="AA714" i="1"/>
  <c r="AD708" i="1"/>
  <c r="AA678" i="1"/>
  <c r="AA669" i="1"/>
  <c r="AA647" i="1"/>
  <c r="AD641" i="1"/>
  <c r="AD628" i="1"/>
  <c r="AD564" i="1"/>
  <c r="AA559" i="1"/>
  <c r="AA557" i="1"/>
  <c r="AA404" i="1"/>
  <c r="AA402" i="1"/>
  <c r="AD894" i="1"/>
  <c r="AD883" i="1"/>
  <c r="AA882" i="1"/>
  <c r="AD876" i="1"/>
  <c r="AA867" i="1"/>
  <c r="AA865" i="1"/>
  <c r="AD861" i="1"/>
  <c r="AD846" i="1"/>
  <c r="AA839" i="1"/>
  <c r="AD837" i="1"/>
  <c r="AA830" i="1"/>
  <c r="AA807" i="1"/>
  <c r="AD803" i="1"/>
  <c r="AD801" i="1"/>
  <c r="AA794" i="1"/>
  <c r="AD788" i="1"/>
  <c r="AA779" i="1"/>
  <c r="AA770" i="1"/>
  <c r="AD758" i="1"/>
  <c r="AA747" i="1"/>
  <c r="AA738" i="1"/>
  <c r="AD726" i="1"/>
  <c r="AA719" i="1"/>
  <c r="AD717" i="1"/>
  <c r="AD700" i="1"/>
  <c r="AA691" i="1"/>
  <c r="AD685" i="1"/>
  <c r="AA676" i="1"/>
  <c r="AA674" i="1"/>
  <c r="AD668" i="1"/>
  <c r="AD661" i="1"/>
  <c r="AD646" i="1"/>
  <c r="AD639" i="1"/>
  <c r="AA630" i="1"/>
  <c r="AD560" i="1"/>
  <c r="AD505" i="1"/>
  <c r="AD473" i="1"/>
  <c r="AD363" i="1"/>
  <c r="AA898" i="1"/>
  <c r="AD892" i="1"/>
  <c r="AD881" i="1"/>
  <c r="AA876" i="1"/>
  <c r="AA850" i="1"/>
  <c r="AD844" i="1"/>
  <c r="AD827" i="1"/>
  <c r="AD825" i="1"/>
  <c r="AD793" i="1"/>
  <c r="AD769" i="1"/>
  <c r="AA762" i="1"/>
  <c r="AD737" i="1"/>
  <c r="AA730" i="1"/>
  <c r="AD620" i="1"/>
  <c r="AA613" i="1"/>
  <c r="AA574" i="1"/>
  <c r="AA545" i="1"/>
  <c r="AA616" i="1"/>
  <c r="AD608" i="1"/>
  <c r="AD582" i="1"/>
  <c r="AA579" i="1"/>
  <c r="AD573" i="1"/>
  <c r="AA562" i="1"/>
  <c r="AD556" i="1"/>
  <c r="AA555" i="1"/>
  <c r="AD549" i="1"/>
  <c r="AA546" i="1"/>
  <c r="AA530" i="1"/>
  <c r="AA514" i="1"/>
  <c r="AD508" i="1"/>
  <c r="AA501" i="1"/>
  <c r="AD499" i="1"/>
  <c r="AA486" i="1"/>
  <c r="AD480" i="1"/>
  <c r="AA479" i="1"/>
  <c r="AA477" i="1"/>
  <c r="AA458" i="1"/>
  <c r="AA454" i="1"/>
  <c r="AD448" i="1"/>
  <c r="AD446" i="1"/>
  <c r="AA428" i="1"/>
  <c r="AD418" i="1"/>
  <c r="AD397" i="1"/>
  <c r="AA392" i="1"/>
  <c r="AA390" i="1"/>
  <c r="AD384" i="1"/>
  <c r="AA383" i="1"/>
  <c r="AA381" i="1"/>
  <c r="AA379" i="1"/>
  <c r="AA377" i="1"/>
  <c r="AA375" i="1"/>
  <c r="AA610" i="1"/>
  <c r="AA608" i="1"/>
  <c r="AD602" i="1"/>
  <c r="AA599" i="1"/>
  <c r="AD591" i="1"/>
  <c r="AA584" i="1"/>
  <c r="AA582" i="1"/>
  <c r="AD574" i="1"/>
  <c r="AA573" i="1"/>
  <c r="AD565" i="1"/>
  <c r="AD561" i="1"/>
  <c r="AD552" i="1"/>
  <c r="AA551" i="1"/>
  <c r="AA542" i="1"/>
  <c r="AA526" i="1"/>
  <c r="AA519" i="1"/>
  <c r="AA517" i="1"/>
  <c r="AA508" i="1"/>
  <c r="AA499" i="1"/>
  <c r="AA482" i="1"/>
  <c r="AD478" i="1"/>
  <c r="AA461" i="1"/>
  <c r="AD457" i="1"/>
  <c r="AD453" i="1"/>
  <c r="AA446" i="1"/>
  <c r="AD440" i="1"/>
  <c r="AD438" i="1"/>
  <c r="AA429" i="1"/>
  <c r="AD427" i="1"/>
  <c r="AD425" i="1"/>
  <c r="AA420" i="1"/>
  <c r="AD389" i="1"/>
  <c r="AA386" i="1"/>
  <c r="AD382" i="1"/>
  <c r="AD378" i="1"/>
  <c r="AD374" i="1"/>
  <c r="AD366" i="1"/>
  <c r="AD833" i="1"/>
  <c r="AA826" i="1"/>
  <c r="AD820" i="1"/>
  <c r="AA811" i="1"/>
  <c r="AA802" i="1"/>
  <c r="AD790" i="1"/>
  <c r="AA785" i="1"/>
  <c r="AD779" i="1"/>
  <c r="AA776" i="1"/>
  <c r="AD766" i="1"/>
  <c r="AA759" i="1"/>
  <c r="AD744" i="1"/>
  <c r="AA735" i="1"/>
  <c r="AA733" i="1"/>
  <c r="AD729" i="1"/>
  <c r="AD716" i="1"/>
  <c r="AD714" i="1"/>
  <c r="AA707" i="1"/>
  <c r="AD699" i="1"/>
  <c r="AA696" i="1"/>
  <c r="AD681" i="1"/>
  <c r="AA670" i="1"/>
  <c r="AA668" i="1"/>
  <c r="AD662" i="1"/>
  <c r="AA661" i="1"/>
  <c r="AA648" i="1"/>
  <c r="AA646" i="1"/>
  <c r="AD640" i="1"/>
  <c r="AA639" i="1"/>
  <c r="AD633" i="1"/>
  <c r="AA626" i="1"/>
  <c r="AA619" i="1"/>
  <c r="AD613" i="1"/>
  <c r="AA604" i="1"/>
  <c r="AA602" i="1"/>
  <c r="AD594" i="1"/>
  <c r="AA591" i="1"/>
  <c r="AA576" i="1"/>
  <c r="AD568" i="1"/>
  <c r="AA565" i="1"/>
  <c r="AD559" i="1"/>
  <c r="AA538" i="1"/>
  <c r="AA522" i="1"/>
  <c r="AA513" i="1"/>
  <c r="AD511" i="1"/>
  <c r="AA506" i="1"/>
  <c r="AA504" i="1"/>
  <c r="AD494" i="1"/>
  <c r="AA478" i="1"/>
  <c r="AA472" i="1"/>
  <c r="AA470" i="1"/>
  <c r="AD460" i="1"/>
  <c r="AA453" i="1"/>
  <c r="AA438" i="1"/>
  <c r="AD430" i="1"/>
  <c r="AA427" i="1"/>
  <c r="AA421" i="1"/>
  <c r="AD419" i="1"/>
  <c r="AD417" i="1"/>
  <c r="AA408" i="1"/>
  <c r="AA406" i="1"/>
  <c r="AA374" i="1"/>
  <c r="AD367" i="1"/>
  <c r="AA366" i="1"/>
  <c r="AD359" i="1"/>
  <c r="AA360" i="1"/>
  <c r="AA359" i="1"/>
  <c r="AA430" i="1"/>
  <c r="AA415" i="1"/>
  <c r="AD375" i="1"/>
  <c r="AA328" i="1"/>
  <c r="AD329" i="1"/>
  <c r="AD325" i="1"/>
  <c r="AD328" i="1"/>
  <c r="AA325" i="1"/>
  <c r="AD319" i="1"/>
  <c r="AA318" i="1"/>
  <c r="AD308" i="1"/>
  <c r="AA307" i="1"/>
  <c r="AD293" i="1"/>
  <c r="AA291" i="1"/>
  <c r="AD271" i="1"/>
  <c r="AA270" i="1"/>
  <c r="AD1079" i="1"/>
  <c r="AD324" i="1"/>
  <c r="AA322" i="1"/>
  <c r="AD317" i="1"/>
  <c r="AA316" i="1"/>
  <c r="AD304" i="1"/>
  <c r="AA302" i="1"/>
  <c r="AD284" i="1"/>
  <c r="AA283" i="1"/>
  <c r="AD1095" i="1"/>
  <c r="AD1062" i="1"/>
  <c r="AA1059" i="1"/>
  <c r="AA1057" i="1"/>
  <c r="AD333" i="1"/>
  <c r="AD1102" i="1"/>
  <c r="AA1099" i="1"/>
  <c r="AA1097" i="1"/>
  <c r="AD1071" i="1"/>
  <c r="AA321" i="1"/>
  <c r="AD315" i="1"/>
  <c r="AA312" i="1"/>
  <c r="AD300" i="1"/>
  <c r="AA299" i="1"/>
  <c r="AD281" i="1"/>
  <c r="AA280" i="1"/>
  <c r="AD1078" i="1"/>
  <c r="AA1075" i="1"/>
  <c r="AA1073" i="1"/>
  <c r="AD1047" i="1"/>
  <c r="AA329" i="1"/>
  <c r="AA320" i="1"/>
  <c r="AD311" i="1"/>
  <c r="AA310" i="1"/>
  <c r="AD297" i="1"/>
  <c r="AA295" i="1"/>
  <c r="AD1094" i="1"/>
  <c r="AA1091" i="1"/>
  <c r="AA1089" i="1"/>
  <c r="AD1063" i="1"/>
  <c r="AD330" i="1"/>
  <c r="AD1103" i="1"/>
  <c r="AD1070" i="1"/>
  <c r="AA1067" i="1"/>
  <c r="AA1065" i="1"/>
  <c r="AA950" i="1"/>
  <c r="AD941" i="1"/>
  <c r="AA918" i="1"/>
  <c r="AD909" i="1"/>
  <c r="AA886" i="1"/>
  <c r="AD877" i="1"/>
  <c r="AA874" i="1"/>
  <c r="AD856" i="1"/>
  <c r="AA848" i="1"/>
  <c r="AD832" i="1"/>
  <c r="AA822" i="1"/>
  <c r="AD813" i="1"/>
  <c r="AA810" i="1"/>
  <c r="AD792" i="1"/>
  <c r="AA784" i="1"/>
  <c r="AD768" i="1"/>
  <c r="AA758" i="1"/>
  <c r="AD749" i="1"/>
  <c r="AA746" i="1"/>
  <c r="AD728" i="1"/>
  <c r="AD721" i="1"/>
  <c r="AA958" i="1"/>
  <c r="AD949" i="1"/>
  <c r="AA926" i="1"/>
  <c r="AD917" i="1"/>
  <c r="AA894" i="1"/>
  <c r="AD885" i="1"/>
  <c r="AD880" i="1"/>
  <c r="AD873" i="1"/>
  <c r="AD868" i="1"/>
  <c r="AA856" i="1"/>
  <c r="AA846" i="1"/>
  <c r="AD828" i="1"/>
  <c r="AD821" i="1"/>
  <c r="AD816" i="1"/>
  <c r="AD809" i="1"/>
  <c r="AD804" i="1"/>
  <c r="AA792" i="1"/>
  <c r="AA782" i="1"/>
  <c r="AD764" i="1"/>
  <c r="AD757" i="1"/>
  <c r="AD752" i="1"/>
  <c r="AD745" i="1"/>
  <c r="AD740" i="1"/>
  <c r="AA728" i="1"/>
  <c r="AA966" i="1"/>
  <c r="AD957" i="1"/>
  <c r="AA934" i="1"/>
  <c r="AD925" i="1"/>
  <c r="AA902" i="1"/>
  <c r="AD893" i="1"/>
  <c r="AA880" i="1"/>
  <c r="AD864" i="1"/>
  <c r="AA854" i="1"/>
  <c r="AD845" i="1"/>
  <c r="AA842" i="1"/>
  <c r="AD824" i="1"/>
  <c r="AA816" i="1"/>
  <c r="AD800" i="1"/>
  <c r="AA790" i="1"/>
  <c r="AD781" i="1"/>
  <c r="AA778" i="1"/>
  <c r="AD760" i="1"/>
  <c r="AA752" i="1"/>
  <c r="AD736" i="1"/>
  <c r="AA710" i="1"/>
  <c r="AD704" i="1"/>
  <c r="AD965" i="1"/>
  <c r="AA942" i="1"/>
  <c r="AD933" i="1"/>
  <c r="AA910" i="1"/>
  <c r="AD901" i="1"/>
  <c r="AA878" i="1"/>
  <c r="AD860" i="1"/>
  <c r="AD853" i="1"/>
  <c r="AD848" i="1"/>
  <c r="AD841" i="1"/>
  <c r="AD836" i="1"/>
  <c r="AA824" i="1"/>
  <c r="AA814" i="1"/>
  <c r="AD796" i="1"/>
  <c r="AD789" i="1"/>
  <c r="AD784" i="1"/>
  <c r="AD777" i="1"/>
  <c r="AD772" i="1"/>
  <c r="AA760" i="1"/>
  <c r="AA750" i="1"/>
  <c r="AD732" i="1"/>
  <c r="AD725" i="1"/>
  <c r="AA722" i="1"/>
  <c r="AD697" i="1"/>
  <c r="AD692" i="1"/>
  <c r="AA684" i="1"/>
  <c r="AA679" i="1"/>
  <c r="AA677" i="1"/>
  <c r="AD673" i="1"/>
  <c r="AA665" i="1"/>
  <c r="AA643" i="1"/>
  <c r="AA631" i="1"/>
  <c r="AD629" i="1"/>
  <c r="AA623" i="1"/>
  <c r="AD621" i="1"/>
  <c r="AA611" i="1"/>
  <c r="AD607" i="1"/>
  <c r="AA597" i="1"/>
  <c r="AD593" i="1"/>
  <c r="AA585" i="1"/>
  <c r="AD581" i="1"/>
  <c r="AA571" i="1"/>
  <c r="AA543" i="1"/>
  <c r="AD541" i="1"/>
  <c r="AA535" i="1"/>
  <c r="AD533" i="1"/>
  <c r="AA527" i="1"/>
  <c r="AD525" i="1"/>
  <c r="AD507" i="1"/>
  <c r="AD502" i="1"/>
  <c r="AD493" i="1"/>
  <c r="AD486" i="1"/>
  <c r="AA476" i="1"/>
  <c r="AD470" i="1"/>
  <c r="AA467" i="1"/>
  <c r="AA465" i="1"/>
  <c r="AD459" i="1"/>
  <c r="AA451" i="1"/>
  <c r="AD447" i="1"/>
  <c r="AD445" i="1"/>
  <c r="AA444" i="1"/>
  <c r="AA435" i="1"/>
  <c r="AD410" i="1"/>
  <c r="AA407" i="1"/>
  <c r="AA405" i="1"/>
  <c r="AD403" i="1"/>
  <c r="AD401" i="1"/>
  <c r="AD394" i="1"/>
  <c r="AA391" i="1"/>
  <c r="AA389" i="1"/>
  <c r="AD387" i="1"/>
  <c r="AD385" i="1"/>
  <c r="AD360" i="1"/>
  <c r="AD338" i="1"/>
  <c r="AD336" i="1"/>
  <c r="AA463" i="1"/>
  <c r="AA373" i="1"/>
  <c r="AD371" i="1"/>
  <c r="AA361" i="1"/>
  <c r="AA341" i="1"/>
  <c r="AD709" i="1"/>
  <c r="AA706" i="1"/>
  <c r="AD678" i="1"/>
  <c r="AA673" i="1"/>
  <c r="AD671" i="1"/>
  <c r="AD659" i="1"/>
  <c r="AD649" i="1"/>
  <c r="AD637" i="1"/>
  <c r="AA629" i="1"/>
  <c r="AD627" i="1"/>
  <c r="AA621" i="1"/>
  <c r="AA607" i="1"/>
  <c r="AD605" i="1"/>
  <c r="AA593" i="1"/>
  <c r="AA588" i="1"/>
  <c r="AA581" i="1"/>
  <c r="AD577" i="1"/>
  <c r="AA567" i="1"/>
  <c r="AD563" i="1"/>
  <c r="AA549" i="1"/>
  <c r="AD547" i="1"/>
  <c r="AA541" i="1"/>
  <c r="AD539" i="1"/>
  <c r="AA533" i="1"/>
  <c r="AD531" i="1"/>
  <c r="AA525" i="1"/>
  <c r="AD523" i="1"/>
  <c r="AD515" i="1"/>
  <c r="AA507" i="1"/>
  <c r="AA502" i="1"/>
  <c r="AA493" i="1"/>
  <c r="AD491" i="1"/>
  <c r="AA488" i="1"/>
  <c r="AD475" i="1"/>
  <c r="AD466" i="1"/>
  <c r="AA459" i="1"/>
  <c r="AD450" i="1"/>
  <c r="AA447" i="1"/>
  <c r="AD443" i="1"/>
  <c r="AD441" i="1"/>
  <c r="AA440" i="1"/>
  <c r="AD406" i="1"/>
  <c r="AA403" i="1"/>
  <c r="AA401" i="1"/>
  <c r="AD399" i="1"/>
  <c r="AD390" i="1"/>
  <c r="AA387" i="1"/>
  <c r="AA385" i="1"/>
  <c r="AD383" i="1"/>
  <c r="AD381" i="1"/>
  <c r="AA338" i="1"/>
  <c r="AA336" i="1"/>
  <c r="AA371" i="1"/>
  <c r="AA363" i="1"/>
  <c r="AD356" i="1"/>
  <c r="AD724" i="1"/>
  <c r="AA716" i="1"/>
  <c r="AD712" i="1"/>
  <c r="AD705" i="1"/>
  <c r="AA702" i="1"/>
  <c r="AA690" i="1"/>
  <c r="AA671" i="1"/>
  <c r="AD667" i="1"/>
  <c r="AA659" i="1"/>
  <c r="AA649" i="1"/>
  <c r="AD645" i="1"/>
  <c r="AA637" i="1"/>
  <c r="AD635" i="1"/>
  <c r="AA627" i="1"/>
  <c r="AD625" i="1"/>
  <c r="AD615" i="1"/>
  <c r="AA612" i="1"/>
  <c r="AA605" i="1"/>
  <c r="AD601" i="1"/>
  <c r="AA577" i="1"/>
  <c r="AA563" i="1"/>
  <c r="AA547" i="1"/>
  <c r="AA539" i="1"/>
  <c r="AD537" i="1"/>
  <c r="AA531" i="1"/>
  <c r="AD529" i="1"/>
  <c r="AA523" i="1"/>
  <c r="AD521" i="1"/>
  <c r="AA515" i="1"/>
  <c r="AD503" i="1"/>
  <c r="AD501" i="1"/>
  <c r="AA491" i="1"/>
  <c r="AD487" i="1"/>
  <c r="AD485" i="1"/>
  <c r="AA475" i="1"/>
  <c r="AD471" i="1"/>
  <c r="AD469" i="1"/>
  <c r="AA443" i="1"/>
  <c r="AD439" i="1"/>
  <c r="AD437" i="1"/>
  <c r="AA436" i="1"/>
  <c r="AD411" i="1"/>
  <c r="AD409" i="1"/>
  <c r="AD402" i="1"/>
  <c r="AA399" i="1"/>
  <c r="AA397" i="1"/>
  <c r="AD395" i="1"/>
  <c r="AD337" i="1"/>
  <c r="AD362" i="1"/>
  <c r="AA356" i="1"/>
  <c r="AA712" i="1"/>
  <c r="AD701" i="1"/>
  <c r="AA698" i="1"/>
  <c r="AD689" i="1"/>
  <c r="AD684" i="1"/>
  <c r="AD677" i="1"/>
  <c r="AA667" i="1"/>
  <c r="AD665" i="1"/>
  <c r="AA645" i="1"/>
  <c r="AD643" i="1"/>
  <c r="AA635" i="1"/>
  <c r="AD631" i="1"/>
  <c r="AA625" i="1"/>
  <c r="AD623" i="1"/>
  <c r="AA615" i="1"/>
  <c r="AD611" i="1"/>
  <c r="AA601" i="1"/>
  <c r="AD597" i="1"/>
  <c r="AA587" i="1"/>
  <c r="AD585" i="1"/>
  <c r="AD543" i="1"/>
  <c r="AA537" i="1"/>
  <c r="AD535" i="1"/>
  <c r="AA529" i="1"/>
  <c r="AD527" i="1"/>
  <c r="AA521" i="1"/>
  <c r="AD509" i="1"/>
  <c r="AA503" i="1"/>
  <c r="AD497" i="1"/>
  <c r="AA494" i="1"/>
  <c r="AA487" i="1"/>
  <c r="AD474" i="1"/>
  <c r="AA471" i="1"/>
  <c r="AA469" i="1"/>
  <c r="AD467" i="1"/>
  <c r="AD465" i="1"/>
  <c r="AA460" i="1"/>
  <c r="AD451" i="1"/>
  <c r="AD449" i="1"/>
  <c r="AA448" i="1"/>
  <c r="AA439" i="1"/>
  <c r="AD435" i="1"/>
  <c r="AD433" i="1"/>
  <c r="AA411" i="1"/>
  <c r="AA409" i="1"/>
  <c r="AD407" i="1"/>
  <c r="AD405" i="1"/>
  <c r="AD398" i="1"/>
  <c r="AA395" i="1"/>
  <c r="AA393" i="1"/>
  <c r="AD391" i="1"/>
  <c r="AD373" i="1"/>
  <c r="AA362" i="1"/>
  <c r="AD361" i="1"/>
  <c r="AA344" i="1"/>
  <c r="AD341" i="1"/>
  <c r="K72" i="8"/>
  <c r="E116" i="8"/>
  <c r="E100" i="8"/>
  <c r="K80" i="8"/>
  <c r="K68" i="8"/>
  <c r="K139" i="8"/>
  <c r="E156" i="8"/>
  <c r="K182" i="8"/>
  <c r="K121" i="8"/>
  <c r="E168" i="8"/>
  <c r="E208" i="8"/>
  <c r="E160" i="8"/>
  <c r="E128" i="8"/>
  <c r="E358" i="8"/>
  <c r="E292" i="8"/>
  <c r="K289" i="8"/>
  <c r="E264" i="8"/>
  <c r="E362" i="8"/>
  <c r="K441" i="8"/>
  <c r="E446" i="8"/>
  <c r="E472" i="8"/>
  <c r="K473" i="8"/>
  <c r="E531" i="8"/>
  <c r="K598" i="8"/>
  <c r="E541" i="8"/>
  <c r="E504" i="8"/>
  <c r="K595" i="8"/>
  <c r="K618" i="8"/>
  <c r="K588" i="8"/>
  <c r="K590" i="8"/>
  <c r="K682" i="8"/>
  <c r="E686" i="8"/>
  <c r="E718" i="8"/>
  <c r="K599" i="8"/>
  <c r="K679" i="8"/>
  <c r="E738" i="8"/>
  <c r="E946" i="8"/>
  <c r="E762" i="8"/>
  <c r="E662" i="8"/>
  <c r="E741" i="8"/>
  <c r="E894" i="8"/>
  <c r="E770" i="8"/>
  <c r="E906" i="8"/>
  <c r="K88" i="8"/>
  <c r="K64" i="8"/>
  <c r="E120" i="8"/>
  <c r="K140" i="8"/>
  <c r="K158" i="8"/>
  <c r="K190" i="8"/>
  <c r="E211" i="8"/>
  <c r="K186" i="8"/>
  <c r="E300" i="8"/>
  <c r="E285" i="8"/>
  <c r="K338" i="8"/>
  <c r="K308" i="8"/>
  <c r="E261" i="8"/>
  <c r="K301" i="8"/>
  <c r="E280" i="8"/>
  <c r="E328" i="8"/>
  <c r="K482" i="8"/>
  <c r="K429" i="8"/>
  <c r="K466" i="8"/>
  <c r="E382" i="8"/>
  <c r="E366" i="8"/>
  <c r="E540" i="8"/>
  <c r="K404" i="8"/>
  <c r="E487" i="8"/>
  <c r="K413" i="8"/>
  <c r="E490" i="8"/>
  <c r="E528" i="8"/>
  <c r="K528" i="8"/>
  <c r="K549" i="8"/>
  <c r="K607" i="8"/>
  <c r="K630" i="8"/>
  <c r="K562" i="8"/>
  <c r="K602" i="8"/>
  <c r="K597" i="8"/>
  <c r="K620" i="8"/>
  <c r="E467" i="8"/>
  <c r="K619" i="8"/>
  <c r="K544" i="8"/>
  <c r="K621" i="8"/>
  <c r="K592" i="8"/>
  <c r="K662" i="8"/>
  <c r="E694" i="8"/>
  <c r="E722" i="8"/>
  <c r="K643" i="8"/>
  <c r="K617" i="8"/>
  <c r="K631" i="8"/>
  <c r="K865" i="8"/>
  <c r="K897" i="8"/>
  <c r="K909" i="8"/>
  <c r="K624" i="8"/>
  <c r="K705" i="8"/>
  <c r="E742" i="8"/>
  <c r="E790" i="8"/>
  <c r="E806" i="8"/>
  <c r="E822" i="8"/>
  <c r="E838" i="8"/>
  <c r="E854" i="8"/>
  <c r="E754" i="8"/>
  <c r="E862" i="8"/>
  <c r="E902" i="8"/>
  <c r="E938" i="8"/>
  <c r="K889" i="8"/>
  <c r="E766" i="8"/>
  <c r="E870" i="8"/>
  <c r="K685" i="8"/>
  <c r="K857" i="8"/>
  <c r="K901" i="8"/>
  <c r="E547" i="8"/>
  <c r="K84" i="8"/>
  <c r="E132" i="8"/>
  <c r="E122" i="8"/>
  <c r="K194" i="8"/>
  <c r="K166" i="8"/>
  <c r="K219" i="8"/>
  <c r="E144" i="8"/>
  <c r="E258" i="8"/>
  <c r="K271" i="8"/>
  <c r="E268" i="8"/>
  <c r="K344" i="8"/>
  <c r="E257" i="8"/>
  <c r="K287" i="8"/>
  <c r="E370" i="8"/>
  <c r="K462" i="8"/>
  <c r="K458" i="8"/>
  <c r="K486" i="8"/>
  <c r="K510" i="8"/>
  <c r="E411" i="8"/>
  <c r="K478" i="8"/>
  <c r="K582" i="8"/>
  <c r="K614" i="8"/>
  <c r="K611" i="8"/>
  <c r="E631" i="8"/>
  <c r="K604" i="8"/>
  <c r="K633" i="8"/>
  <c r="K714" i="8"/>
  <c r="E702" i="8"/>
  <c r="E726" i="8"/>
  <c r="E655" i="8"/>
  <c r="E890" i="8"/>
  <c r="E866" i="8"/>
  <c r="K885" i="8"/>
  <c r="E914" i="8"/>
  <c r="K76" i="8"/>
  <c r="K92" i="8"/>
  <c r="E126" i="8"/>
  <c r="K202" i="8"/>
  <c r="E70" i="8"/>
  <c r="K174" i="8"/>
  <c r="K109" i="8"/>
  <c r="E254" i="8"/>
  <c r="K178" i="8"/>
  <c r="K239" i="8"/>
  <c r="E350" i="8"/>
  <c r="K449" i="8"/>
  <c r="K321" i="8"/>
  <c r="K494" i="8"/>
  <c r="E451" i="8"/>
  <c r="E470" i="8"/>
  <c r="K591" i="8"/>
  <c r="K623" i="8"/>
  <c r="E647" i="8"/>
  <c r="E629" i="8"/>
  <c r="K586" i="8"/>
  <c r="K581" i="8"/>
  <c r="K613" i="8"/>
  <c r="E633" i="8"/>
  <c r="K547" i="8"/>
  <c r="K626" i="8"/>
  <c r="K628" i="8"/>
  <c r="E650" i="8"/>
  <c r="E679" i="8"/>
  <c r="K677" i="8"/>
  <c r="K698" i="8"/>
  <c r="E710" i="8"/>
  <c r="E730" i="8"/>
  <c r="E538" i="8"/>
  <c r="K653" i="8"/>
  <c r="K615" i="8"/>
  <c r="K717" i="8"/>
  <c r="K893" i="8"/>
  <c r="K693" i="8"/>
  <c r="E758" i="8"/>
  <c r="K873" i="8"/>
  <c r="K696" i="8"/>
  <c r="E778" i="8"/>
  <c r="AD968" i="1"/>
  <c r="AA860" i="1"/>
  <c r="AA828" i="1"/>
  <c r="AA796" i="1"/>
  <c r="AA764" i="1"/>
  <c r="AA732" i="1"/>
  <c r="AA700" i="1"/>
  <c r="AA968" i="1"/>
  <c r="AA960" i="1"/>
  <c r="AA952" i="1"/>
  <c r="AA944" i="1"/>
  <c r="AA936" i="1"/>
  <c r="AA928" i="1"/>
  <c r="AA920" i="1"/>
  <c r="AA912" i="1"/>
  <c r="AA904" i="1"/>
  <c r="AA896" i="1"/>
  <c r="AA888" i="1"/>
  <c r="AA868" i="1"/>
  <c r="AA836" i="1"/>
  <c r="AA804" i="1"/>
  <c r="AA772" i="1"/>
  <c r="AA740" i="1"/>
  <c r="AA708" i="1"/>
  <c r="AA972" i="1"/>
  <c r="AA864" i="1"/>
  <c r="AA832" i="1"/>
  <c r="AA800" i="1"/>
  <c r="AA768" i="1"/>
  <c r="AA736" i="1"/>
  <c r="AA704" i="1"/>
  <c r="AA916" i="1"/>
  <c r="AA908" i="1"/>
  <c r="AA900" i="1"/>
  <c r="AA892" i="1"/>
  <c r="AA884" i="1"/>
  <c r="AA852" i="1"/>
  <c r="AA820" i="1"/>
  <c r="AA788" i="1"/>
  <c r="AA756" i="1"/>
  <c r="AA724" i="1"/>
  <c r="AA692" i="1"/>
  <c r="AD655" i="1"/>
  <c r="AD599" i="1"/>
  <c r="AD567" i="1"/>
  <c r="AA510" i="1"/>
  <c r="AA498" i="1"/>
  <c r="AA434" i="1"/>
  <c r="AD663" i="1"/>
  <c r="AD619" i="1"/>
  <c r="AD587" i="1"/>
  <c r="AD551" i="1"/>
  <c r="AD519" i="1"/>
  <c r="AA418" i="1"/>
  <c r="AD679" i="1"/>
  <c r="AD603" i="1"/>
  <c r="AD571" i="1"/>
  <c r="AA490" i="1"/>
  <c r="AA426" i="1"/>
  <c r="AA357" i="1"/>
  <c r="AS13" i="1" l="1"/>
  <c r="AR14" i="1"/>
  <c r="AS14" i="1" l="1"/>
  <c r="AT13" i="1"/>
  <c r="Y10" i="1"/>
  <c r="AU13" i="1" l="1"/>
  <c r="AT1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297" i="1"/>
  <c r="AF295" i="1"/>
  <c r="AF293" i="1"/>
  <c r="AF291" i="1"/>
  <c r="AF284" i="1"/>
  <c r="AF283" i="1"/>
  <c r="AF281" i="1"/>
  <c r="AF280" i="1"/>
  <c r="AF275" i="1"/>
  <c r="AF274" i="1"/>
  <c r="AF271" i="1"/>
  <c r="AF270" i="1"/>
  <c r="AC18" i="1"/>
  <c r="AB18" i="1"/>
  <c r="Z18" i="1"/>
  <c r="Z17" i="1" s="1"/>
  <c r="S16" i="1"/>
  <c r="R16" i="1"/>
  <c r="V15" i="1"/>
  <c r="U15" i="1"/>
  <c r="T15" i="1"/>
  <c r="S15" i="1"/>
  <c r="R15" i="1"/>
  <c r="AD14" i="1"/>
  <c r="AC14" i="1"/>
  <c r="AB14" i="1"/>
  <c r="AA14" i="1"/>
  <c r="Z14" i="1"/>
  <c r="Y14" i="1"/>
  <c r="Z10" i="1"/>
  <c r="AA10" i="1" s="1"/>
  <c r="AB10" i="1" s="1"/>
  <c r="AC10" i="1" s="1"/>
  <c r="AD10" i="1" s="1"/>
  <c r="AD4" i="1"/>
  <c r="AC4" i="1"/>
  <c r="R2" i="1"/>
  <c r="Q2" i="1"/>
  <c r="AV13" i="1" l="1"/>
  <c r="AU14" i="1"/>
  <c r="U16" i="1"/>
  <c r="AC5" i="1"/>
  <c r="AC17" i="1"/>
  <c r="Z5" i="1"/>
  <c r="V11" i="1"/>
  <c r="U11" i="1"/>
  <c r="R11" i="1"/>
  <c r="T11" i="1"/>
  <c r="S11" i="1"/>
  <c r="AA18" i="1"/>
  <c r="AD18" i="1"/>
  <c r="AD7" i="1"/>
  <c r="Z16" i="1"/>
  <c r="AC16" i="1"/>
  <c r="AB16" i="1"/>
  <c r="T16" i="1"/>
  <c r="AW13" i="1" l="1"/>
  <c r="AV14" i="1"/>
  <c r="AA5" i="1"/>
  <c r="AA17" i="1"/>
  <c r="AD17" i="1"/>
  <c r="AD5" i="1"/>
  <c r="Z6" i="1"/>
  <c r="AD9" i="1"/>
  <c r="AA9" i="1"/>
  <c r="AA7" i="1"/>
  <c r="AC6" i="1"/>
  <c r="AA16" i="1"/>
  <c r="AD16" i="1"/>
  <c r="AW14" i="1" l="1"/>
  <c r="AX13" i="1"/>
  <c r="AD6" i="1"/>
  <c r="AA6" i="1"/>
  <c r="AX14" i="1" l="1"/>
  <c r="AY13" i="1"/>
  <c r="AZ13" i="1" l="1"/>
  <c r="AY14" i="1"/>
  <c r="AZ14" i="1" l="1"/>
  <c r="BA13" i="1"/>
  <c r="BA14" i="1" l="1"/>
  <c r="BB13" i="1"/>
  <c r="BC13" i="1" l="1"/>
  <c r="BB14" i="1"/>
  <c r="BD13" i="1" l="1"/>
  <c r="BC14" i="1"/>
  <c r="BE13" i="1" l="1"/>
  <c r="BD14" i="1"/>
  <c r="BE14" i="1" l="1"/>
  <c r="BF13" i="1"/>
  <c r="BG13" i="1" l="1"/>
  <c r="BF14" i="1"/>
  <c r="BH13" i="1" l="1"/>
  <c r="BG14" i="1"/>
  <c r="BI13" i="1" l="1"/>
  <c r="BH14" i="1"/>
  <c r="BJ13" i="1" l="1"/>
  <c r="BI14" i="1"/>
  <c r="BK13" i="1" l="1"/>
  <c r="BJ14" i="1"/>
  <c r="BL13" i="1" l="1"/>
  <c r="BK14" i="1"/>
  <c r="BL14" i="1" l="1"/>
  <c r="BM13" i="1"/>
  <c r="BN13" i="1" l="1"/>
  <c r="BM14" i="1"/>
  <c r="BO13" i="1" l="1"/>
  <c r="BN14" i="1"/>
  <c r="BP13" i="1" l="1"/>
  <c r="BO14" i="1"/>
  <c r="BQ13" i="1" l="1"/>
  <c r="BP14" i="1"/>
  <c r="BQ14" i="1" l="1"/>
  <c r="BR13" i="1"/>
  <c r="BR14" i="1" l="1"/>
  <c r="BS13" i="1"/>
  <c r="BS14" i="1" l="1"/>
  <c r="BT13" i="1"/>
  <c r="BT14" i="1" l="1"/>
  <c r="BU13" i="1"/>
  <c r="BU14" i="1" l="1"/>
  <c r="BV13" i="1"/>
  <c r="BW13" i="1" l="1"/>
  <c r="BV14" i="1"/>
  <c r="BX13" i="1" l="1"/>
  <c r="BW14" i="1"/>
  <c r="BX14" i="1" l="1"/>
  <c r="BY13" i="1"/>
  <c r="BZ13" i="1" l="1"/>
  <c r="BY14" i="1"/>
  <c r="CA13" i="1" l="1"/>
  <c r="BZ14" i="1"/>
  <c r="CB13" i="1" l="1"/>
  <c r="CA14" i="1"/>
  <c r="CC13" i="1" l="1"/>
  <c r="CB14" i="1"/>
  <c r="CC14" i="1" l="1"/>
  <c r="CD13" i="1"/>
  <c r="CE13" i="1" l="1"/>
  <c r="CD14" i="1"/>
  <c r="CF13" i="1" l="1"/>
  <c r="CE14" i="1"/>
  <c r="CG13" i="1" l="1"/>
  <c r="CF14" i="1"/>
  <c r="CG14" i="1" l="1"/>
  <c r="CH13" i="1"/>
  <c r="CH14" i="1" l="1"/>
  <c r="CI13" i="1"/>
  <c r="CJ13" i="1" l="1"/>
  <c r="CI14" i="1"/>
  <c r="CJ14" i="1" l="1"/>
  <c r="CK13" i="1"/>
  <c r="CK14" i="1" l="1"/>
  <c r="CL13" i="1"/>
  <c r="CM13" i="1" l="1"/>
  <c r="CL14" i="1"/>
  <c r="CN13" i="1" l="1"/>
  <c r="CM14" i="1"/>
  <c r="CO13" i="1" l="1"/>
  <c r="CN14" i="1"/>
  <c r="CO14" i="1" l="1"/>
  <c r="CP13" i="1"/>
  <c r="CP14" i="1" l="1"/>
  <c r="CQ13" i="1"/>
  <c r="CR13" i="1" l="1"/>
  <c r="CQ14" i="1"/>
  <c r="CS13" i="1" l="1"/>
  <c r="CR14" i="1"/>
  <c r="CT13" i="1" l="1"/>
  <c r="CS14" i="1"/>
  <c r="CU13" i="1" l="1"/>
  <c r="CT14" i="1"/>
  <c r="CV13" i="1" l="1"/>
  <c r="CU14" i="1"/>
  <c r="CV14" i="1" l="1"/>
  <c r="CW13" i="1"/>
  <c r="CX13" i="1" l="1"/>
  <c r="CW14" i="1"/>
  <c r="CY13" i="1" l="1"/>
  <c r="CX14" i="1"/>
  <c r="CZ13" i="1" l="1"/>
  <c r="CY14" i="1"/>
  <c r="DA13" i="1" l="1"/>
  <c r="CZ14" i="1"/>
  <c r="DA14" i="1" l="1"/>
  <c r="DB13" i="1"/>
  <c r="DB14" i="1" l="1"/>
  <c r="DC13" i="1"/>
  <c r="DC14" i="1" l="1"/>
  <c r="DD13" i="1"/>
  <c r="DD14" i="1" l="1"/>
  <c r="DE13" i="1"/>
  <c r="DE14" i="1" l="1"/>
  <c r="DF13" i="1"/>
  <c r="DF14" i="1" l="1"/>
  <c r="DG13" i="1"/>
  <c r="DH13" i="1" l="1"/>
  <c r="DG14" i="1"/>
  <c r="DH14" i="1" l="1"/>
  <c r="DI13" i="1"/>
  <c r="DI14" i="1" l="1"/>
  <c r="DJ13" i="1"/>
  <c r="DK13" i="1" l="1"/>
  <c r="DJ14" i="1"/>
  <c r="DL13" i="1" l="1"/>
  <c r="DK14" i="1"/>
  <c r="DM13" i="1" l="1"/>
  <c r="DL14" i="1"/>
  <c r="DM14" i="1" l="1"/>
  <c r="DN13" i="1"/>
  <c r="DO13" i="1" l="1"/>
  <c r="DN14" i="1"/>
  <c r="DP13" i="1" l="1"/>
  <c r="DO14" i="1"/>
  <c r="DQ13" i="1" l="1"/>
  <c r="DP14" i="1"/>
  <c r="DQ14" i="1" l="1"/>
  <c r="DR13" i="1"/>
  <c r="DR14" i="1" l="1"/>
  <c r="DS13" i="1"/>
  <c r="DT13" i="1" l="1"/>
  <c r="DS14" i="1"/>
  <c r="DT14" i="1" l="1"/>
  <c r="DU13" i="1"/>
  <c r="DU14" i="1" l="1"/>
  <c r="DV13" i="1"/>
  <c r="DW13" i="1" l="1"/>
  <c r="DV14" i="1"/>
  <c r="DX13" i="1" l="1"/>
  <c r="DW14" i="1"/>
  <c r="DY13" i="1" l="1"/>
  <c r="DX14" i="1"/>
  <c r="DY14" i="1" l="1"/>
  <c r="DZ13" i="1"/>
  <c r="DZ14" i="1" l="1"/>
  <c r="EA13" i="1"/>
  <c r="EA14" i="1" l="1"/>
  <c r="EB13" i="1"/>
  <c r="EB14" i="1" l="1"/>
  <c r="EC13" i="1"/>
  <c r="EC14" i="1" l="1"/>
  <c r="ED13" i="1"/>
  <c r="EE13" i="1" l="1"/>
  <c r="ED14" i="1"/>
  <c r="EF13" i="1" l="1"/>
  <c r="EE14" i="1"/>
  <c r="EF14" i="1" l="1"/>
  <c r="EG13" i="1"/>
  <c r="EH13" i="1" l="1"/>
  <c r="EG14" i="1"/>
  <c r="EI13" i="1" l="1"/>
  <c r="EH14" i="1"/>
  <c r="EJ13" i="1" l="1"/>
  <c r="EI14" i="1"/>
  <c r="EK13" i="1" l="1"/>
  <c r="EJ14" i="1"/>
  <c r="EK14" i="1" l="1"/>
  <c r="EL13" i="1"/>
  <c r="EL14" i="1" l="1"/>
  <c r="EM13" i="1"/>
  <c r="EN13" i="1" l="1"/>
  <c r="EM14" i="1"/>
  <c r="EN14" i="1" l="1"/>
  <c r="EO13" i="1"/>
  <c r="EO14" i="1" l="1"/>
  <c r="EP13" i="1"/>
  <c r="EP14" i="1" l="1"/>
  <c r="EQ13" i="1"/>
  <c r="ER13" i="1" l="1"/>
  <c r="EQ14" i="1"/>
  <c r="ER14" i="1" l="1"/>
  <c r="ES13" i="1"/>
  <c r="ES14" i="1" l="1"/>
  <c r="ET13" i="1"/>
  <c r="EU13" i="1" l="1"/>
  <c r="ET14" i="1"/>
  <c r="EV13" i="1" l="1"/>
  <c r="EU14" i="1"/>
  <c r="EW13" i="1" l="1"/>
  <c r="EV14" i="1"/>
  <c r="EW14" i="1" l="1"/>
  <c r="EX13" i="1"/>
  <c r="EX14" i="1" l="1"/>
  <c r="EY13" i="1"/>
  <c r="EY14" i="1" l="1"/>
  <c r="EZ13" i="1"/>
  <c r="EZ14" i="1" l="1"/>
  <c r="FA13" i="1"/>
  <c r="FB13" i="1" l="1"/>
  <c r="FA14" i="1"/>
  <c r="FC13" i="1" l="1"/>
  <c r="FB14" i="1"/>
  <c r="FD13" i="1" l="1"/>
  <c r="FC14" i="1"/>
  <c r="FD14" i="1" l="1"/>
  <c r="FE13" i="1"/>
  <c r="FF13" i="1" l="1"/>
  <c r="FE14" i="1"/>
  <c r="FG13" i="1" l="1"/>
  <c r="FF14" i="1"/>
  <c r="FH13" i="1" l="1"/>
  <c r="FG14" i="1"/>
  <c r="FI13" i="1" l="1"/>
  <c r="FH14" i="1"/>
  <c r="FI14" i="1" l="1"/>
  <c r="FJ13" i="1"/>
  <c r="FK13" i="1" l="1"/>
  <c r="FJ14" i="1"/>
  <c r="FL13" i="1" l="1"/>
  <c r="FK14" i="1"/>
  <c r="FM13" i="1" l="1"/>
  <c r="FL14" i="1"/>
  <c r="FN13" i="1" l="1"/>
  <c r="FM14" i="1"/>
  <c r="FO13" i="1" l="1"/>
  <c r="FN14" i="1"/>
  <c r="FP13" i="1" l="1"/>
  <c r="FO14" i="1"/>
  <c r="FP14" i="1" l="1"/>
  <c r="FQ13" i="1"/>
  <c r="FR13" i="1" l="1"/>
  <c r="FQ14" i="1"/>
  <c r="FS13" i="1" l="1"/>
  <c r="FR14" i="1"/>
  <c r="FT13" i="1" l="1"/>
  <c r="FS14" i="1"/>
  <c r="FU13" i="1" l="1"/>
  <c r="FT14" i="1"/>
  <c r="FU14" i="1" l="1"/>
  <c r="FV13" i="1"/>
  <c r="FV14" i="1" l="1"/>
  <c r="FW13" i="1"/>
  <c r="FW14" i="1" l="1"/>
  <c r="FX13" i="1"/>
  <c r="FX14" i="1" l="1"/>
  <c r="FY13" i="1"/>
  <c r="FZ13" i="1" l="1"/>
  <c r="FY14" i="1"/>
  <c r="GA13" i="1" l="1"/>
  <c r="FZ14" i="1"/>
  <c r="GB13" i="1" l="1"/>
  <c r="GA14" i="1"/>
  <c r="GB14" i="1" l="1"/>
  <c r="GC13" i="1"/>
  <c r="GD13" i="1" l="1"/>
  <c r="GC14" i="1"/>
  <c r="GE13" i="1" l="1"/>
  <c r="GD14" i="1"/>
  <c r="GF13" i="1" l="1"/>
  <c r="GE14" i="1"/>
  <c r="GG13" i="1" l="1"/>
  <c r="GG14" i="1" s="1"/>
  <c r="GF1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<sst xmlns="http://schemas.openxmlformats.org/spreadsheetml/2006/main" count="2147" uniqueCount="1422">
  <si>
    <t>Project/Projekt:</t>
  </si>
  <si>
    <t>Editor / Sporządził:</t>
  </si>
  <si>
    <t>Awarding-Budget/
Budżet realiz. - AK</t>
  </si>
  <si>
    <t>Contract Value
Wartość umowy</t>
  </si>
  <si>
    <t>Result
Wynik</t>
  </si>
  <si>
    <t>+ inhouse/
'+ koszty dodatk.</t>
  </si>
  <si>
    <t>subcontractor</t>
  </si>
  <si>
    <t>supplier</t>
  </si>
  <si>
    <t xml:space="preserve">Cost center no/ Nr PSP.: </t>
  </si>
  <si>
    <t>Approver / Zatwierdził:</t>
  </si>
  <si>
    <t>zapytanie</t>
  </si>
  <si>
    <t>enquiry</t>
  </si>
  <si>
    <t>negocjacje</t>
  </si>
  <si>
    <t>negotiation</t>
  </si>
  <si>
    <t>acquisition</t>
  </si>
  <si>
    <t>result</t>
  </si>
  <si>
    <t>Quotation no/Wycena NR.:</t>
  </si>
  <si>
    <t>Purchaser / Zakupowiec:</t>
  </si>
  <si>
    <t>Propozycja wyboru</t>
  </si>
  <si>
    <t>PCT/approval</t>
  </si>
  <si>
    <t>closed</t>
  </si>
  <si>
    <t>(acquisition data base) / (baza akwizycyjna):</t>
  </si>
  <si>
    <t>przygot.umowy</t>
  </si>
  <si>
    <t>contract prep.</t>
  </si>
  <si>
    <t>not closed</t>
  </si>
  <si>
    <t>zakończone</t>
  </si>
  <si>
    <t>CURRENCY/WALUTA</t>
  </si>
  <si>
    <t>wstrzymane</t>
  </si>
  <si>
    <t>backup</t>
  </si>
  <si>
    <t>PLN</t>
  </si>
  <si>
    <t>Serial No.:
/
Numer porządkowy</t>
  </si>
  <si>
    <r>
      <t xml:space="preserve">Material/Equipment </t>
    </r>
    <r>
      <rPr>
        <sz val="9.5"/>
        <color theme="1"/>
        <rFont val="Trebuchet MS"/>
        <family val="2"/>
      </rPr>
      <t>(=Supplier)</t>
    </r>
    <r>
      <rPr>
        <b/>
        <sz val="9.5"/>
        <color theme="1"/>
        <rFont val="Trebuchet MS"/>
        <family val="2"/>
      </rPr>
      <t xml:space="preserve"> or Trade </t>
    </r>
    <r>
      <rPr>
        <sz val="9.5"/>
        <color theme="1"/>
        <rFont val="Trebuchet MS"/>
        <family val="2"/>
      </rPr>
      <t>(=Subcontractor)</t>
    </r>
    <r>
      <rPr>
        <b/>
        <sz val="9.5"/>
        <color theme="1"/>
        <rFont val="Trebuchet MS"/>
        <family val="2"/>
      </rPr>
      <t xml:space="preserve"> and resp. colleague for tender document preparation 
</t>
    </r>
    <r>
      <rPr>
        <sz val="9.5"/>
        <color theme="1"/>
        <rFont val="Trebuchet MS"/>
        <family val="2"/>
      </rPr>
      <t>(e.g. Concrete /[Name])/
Materiały (=Dostawca) lub Branża (=Podwykonawca) oraz nazwisko osoby odpowiedzialnej za przygotowanie dokumentów przetargowych</t>
    </r>
  </si>
  <si>
    <t>Start of Execution
/
Data rozpoczęcia realizacji</t>
  </si>
  <si>
    <r>
      <t xml:space="preserve">End of Execution </t>
    </r>
    <r>
      <rPr>
        <sz val="9.5"/>
        <color theme="1"/>
        <rFont val="Trebuchet MS"/>
        <family val="2"/>
      </rPr>
      <t>(final bill)
/
Data zakończenia realizacji ()</t>
    </r>
  </si>
  <si>
    <r>
      <rPr>
        <b/>
        <sz val="9.5"/>
        <color theme="1"/>
        <rFont val="Trebuchet MS"/>
        <family val="2"/>
      </rPr>
      <t>Awarding-
Budget - AK</t>
    </r>
    <r>
      <rPr>
        <sz val="9.5"/>
        <color theme="1"/>
        <rFont val="Trebuchet MS"/>
        <family val="2"/>
      </rPr>
      <t xml:space="preserve"> 
(incl. procurement target)/
Wybór - 
Budżet realizacyjny - AK
(wł. cel zakupowy)</t>
    </r>
  </si>
  <si>
    <r>
      <t xml:space="preserve">Awarded Contract Value </t>
    </r>
    <r>
      <rPr>
        <sz val="9.5"/>
        <color theme="1"/>
        <rFont val="Trebuchet MS"/>
        <family val="2"/>
      </rPr>
      <t>(excluding cash discount)
/
Wartość kontraktu (bez upustów)</t>
    </r>
  </si>
  <si>
    <t>Result
/
Wynik</t>
  </si>
  <si>
    <t>additional inhouse effort /
koszty robót towarzyszących nie ujęte przez dostawcę/ podwykonawcę (np. fundamenty, drogi dojazdowe)</t>
  </si>
  <si>
    <t>Comment
/
Komentarz</t>
  </si>
  <si>
    <t>Cat./
Kat.</t>
  </si>
  <si>
    <t>company name/
nazwa firmy</t>
  </si>
  <si>
    <t>total</t>
  </si>
  <si>
    <t>dd.mm.yyyy</t>
  </si>
  <si>
    <t>Start of Procurement Procedure (P.P.)
/
Rozpoczęcie procesu zbierania ofert (procedura zakupów)</t>
  </si>
  <si>
    <t xml:space="preserve">planowane </t>
  </si>
  <si>
    <t>planned</t>
  </si>
  <si>
    <r>
      <rPr>
        <strike/>
        <sz val="9.5"/>
        <rFont val="Trebuchet MS"/>
        <family val="2"/>
      </rPr>
      <t xml:space="preserve">
</t>
    </r>
    <r>
      <rPr>
        <b/>
        <sz val="9.5"/>
        <rFont val="Trebuchet MS"/>
        <family val="2"/>
      </rPr>
      <t>Resp. Buyer / Kupiec odpowiedzialny za zakres</t>
    </r>
  </si>
  <si>
    <t>Budget AK0/
Budżet 
startowy 
projektu AK0</t>
  </si>
  <si>
    <t>sprawdzenie</t>
  </si>
  <si>
    <t>PRZEWIDZIANE DO ZLECENIA</t>
  </si>
  <si>
    <r>
      <t>DOTYCHCZAS ZLECONE(</t>
    </r>
    <r>
      <rPr>
        <b/>
        <sz val="10"/>
        <color rgb="FFFF0000"/>
        <rFont val="Arial"/>
        <family val="2"/>
      </rPr>
      <t>STATUS CLOSED</t>
    </r>
    <r>
      <rPr>
        <sz val="10"/>
        <color theme="1"/>
        <rFont val="Arial"/>
        <family val="2"/>
      </rPr>
      <t>)</t>
    </r>
  </si>
  <si>
    <t>WYNIK NA CLOSED</t>
  </si>
  <si>
    <r>
      <t xml:space="preserve">OCZEKIWANY </t>
    </r>
    <r>
      <rPr>
        <b/>
        <sz val="10"/>
        <color rgb="FFFF0000"/>
        <rFont val="Arial"/>
        <family val="2"/>
      </rPr>
      <t>WYNIK N APRZETARGACH W TRAKCIE</t>
    </r>
    <r>
      <rPr>
        <sz val="10"/>
        <color theme="1"/>
        <rFont val="Arial"/>
        <family val="2"/>
      </rPr>
      <t xml:space="preserve"> (contract prep.)</t>
    </r>
  </si>
  <si>
    <t>Awarding
Deadline for closure P.P.
/
Wybór
Końcowy - planowany termin zamknięcia procesu wyboru</t>
  </si>
  <si>
    <t>Budget AK0</t>
  </si>
  <si>
    <t>miesiąc</t>
  </si>
  <si>
    <t>rok</t>
  </si>
  <si>
    <t>data_new</t>
  </si>
  <si>
    <t>8_2020</t>
  </si>
  <si>
    <t>10_2020</t>
  </si>
  <si>
    <t>9_2020</t>
  </si>
  <si>
    <t>1_2021</t>
  </si>
  <si>
    <t>12_2020</t>
  </si>
  <si>
    <t>Suma z Budget AK0</t>
  </si>
  <si>
    <t>data</t>
  </si>
  <si>
    <t>1_1900</t>
  </si>
  <si>
    <t>Resp. Person Construction Site / Osoba odpowiedzialna za zakres na Budowie</t>
  </si>
  <si>
    <t>Wybór Końcowy - planowany termin zamknięcia procesu wyboru</t>
  </si>
  <si>
    <t>Data zamknięcia procesu wyboru</t>
  </si>
  <si>
    <t>Słownik miesiące</t>
  </si>
  <si>
    <t>1_2020</t>
  </si>
  <si>
    <t>2_2020</t>
  </si>
  <si>
    <t>3_2020</t>
  </si>
  <si>
    <t>4_2020</t>
  </si>
  <si>
    <t>5_2020</t>
  </si>
  <si>
    <t>6_2020</t>
  </si>
  <si>
    <t>7_2020</t>
  </si>
  <si>
    <t>11_2020</t>
  </si>
  <si>
    <t>2_2021</t>
  </si>
  <si>
    <t>3_2021</t>
  </si>
  <si>
    <t>4_2021</t>
  </si>
  <si>
    <t>5_2021</t>
  </si>
  <si>
    <t>6_2021</t>
  </si>
  <si>
    <t>7_2021</t>
  </si>
  <si>
    <t>8_2021</t>
  </si>
  <si>
    <t>9_2021</t>
  </si>
  <si>
    <t>10_2021</t>
  </si>
  <si>
    <t>11_2021</t>
  </si>
  <si>
    <t>12_2021</t>
  </si>
  <si>
    <t>1_2022</t>
  </si>
  <si>
    <t>2_2022</t>
  </si>
  <si>
    <t>3_2022</t>
  </si>
  <si>
    <t>4_2022</t>
  </si>
  <si>
    <t>5_2022</t>
  </si>
  <si>
    <t>6_2022</t>
  </si>
  <si>
    <t>7_2022</t>
  </si>
  <si>
    <t>8_2022</t>
  </si>
  <si>
    <t>9_2022</t>
  </si>
  <si>
    <t>10_2022</t>
  </si>
  <si>
    <t>11_2022</t>
  </si>
  <si>
    <t>12_2022</t>
  </si>
  <si>
    <t>1_2023</t>
  </si>
  <si>
    <t>2_2023</t>
  </si>
  <si>
    <t>3_2023</t>
  </si>
  <si>
    <t>4_2023</t>
  </si>
  <si>
    <t>5_2023</t>
  </si>
  <si>
    <t>6_2023</t>
  </si>
  <si>
    <t>7_2023</t>
  </si>
  <si>
    <t>8_2023</t>
  </si>
  <si>
    <t>9_2023</t>
  </si>
  <si>
    <t>10_2023</t>
  </si>
  <si>
    <t>11_2023</t>
  </si>
  <si>
    <t>12_2023</t>
  </si>
  <si>
    <t>1_2024</t>
  </si>
  <si>
    <t>2_2024</t>
  </si>
  <si>
    <t>3_2024</t>
  </si>
  <si>
    <t>4_2024</t>
  </si>
  <si>
    <t>5_2024</t>
  </si>
  <si>
    <t>6_2024</t>
  </si>
  <si>
    <t>7_2024</t>
  </si>
  <si>
    <t>8_2024</t>
  </si>
  <si>
    <t>9_2024</t>
  </si>
  <si>
    <t>10_2024</t>
  </si>
  <si>
    <t>11_2024</t>
  </si>
  <si>
    <t>12_2024</t>
  </si>
  <si>
    <t>1_2025</t>
  </si>
  <si>
    <t>2_2025</t>
  </si>
  <si>
    <t>3_2025</t>
  </si>
  <si>
    <t>4_2025</t>
  </si>
  <si>
    <t>5_2025</t>
  </si>
  <si>
    <t>6_2025</t>
  </si>
  <si>
    <t>7_2025</t>
  </si>
  <si>
    <t>8_2025</t>
  </si>
  <si>
    <t>9_2025</t>
  </si>
  <si>
    <t>10_2025</t>
  </si>
  <si>
    <t>11_2025</t>
  </si>
  <si>
    <t>12_2025</t>
  </si>
  <si>
    <t>1_2026</t>
  </si>
  <si>
    <t>2_2026</t>
  </si>
  <si>
    <t>3_2026</t>
  </si>
  <si>
    <t>4_2026</t>
  </si>
  <si>
    <t>5_2026</t>
  </si>
  <si>
    <t>6_2026</t>
  </si>
  <si>
    <t>7_2026</t>
  </si>
  <si>
    <t>8_2026</t>
  </si>
  <si>
    <t>9_2026</t>
  </si>
  <si>
    <t>10_2026</t>
  </si>
  <si>
    <t>11_2026</t>
  </si>
  <si>
    <t>12_2026</t>
  </si>
  <si>
    <t>1_2027</t>
  </si>
  <si>
    <t>2_2027</t>
  </si>
  <si>
    <t>3_2027</t>
  </si>
  <si>
    <t>4_2027</t>
  </si>
  <si>
    <t>5_2027</t>
  </si>
  <si>
    <t>6_2027</t>
  </si>
  <si>
    <t>7_2027</t>
  </si>
  <si>
    <t>8_2027</t>
  </si>
  <si>
    <t>9_2027</t>
  </si>
  <si>
    <t>10_2027</t>
  </si>
  <si>
    <t>11_2027</t>
  </si>
  <si>
    <t>12_2027</t>
  </si>
  <si>
    <t>1_2028</t>
  </si>
  <si>
    <t>2_2028</t>
  </si>
  <si>
    <t>3_2028</t>
  </si>
  <si>
    <t>4_2028</t>
  </si>
  <si>
    <t>5_2028</t>
  </si>
  <si>
    <t>6_2028</t>
  </si>
  <si>
    <t>7_2028</t>
  </si>
  <si>
    <t>8_2028</t>
  </si>
  <si>
    <t>9_2028</t>
  </si>
  <si>
    <t>10_2028</t>
  </si>
  <si>
    <t>11_2028</t>
  </si>
  <si>
    <t>12_2028</t>
  </si>
  <si>
    <t>1_2029</t>
  </si>
  <si>
    <t>2_2029</t>
  </si>
  <si>
    <t>3_2029</t>
  </si>
  <si>
    <t>4_2029</t>
  </si>
  <si>
    <t>5_2029</t>
  </si>
  <si>
    <t>6_2029</t>
  </si>
  <si>
    <t>7_2029</t>
  </si>
  <si>
    <t>8_2029</t>
  </si>
  <si>
    <t>9_2029</t>
  </si>
  <si>
    <t>10_2029</t>
  </si>
  <si>
    <t>11_2029</t>
  </si>
  <si>
    <t>12_2029</t>
  </si>
  <si>
    <t>1_2030</t>
  </si>
  <si>
    <t>2_2030</t>
  </si>
  <si>
    <t>3_2030</t>
  </si>
  <si>
    <t>4_2030</t>
  </si>
  <si>
    <t>5_2030</t>
  </si>
  <si>
    <t>6_2030</t>
  </si>
  <si>
    <t>7_2030</t>
  </si>
  <si>
    <t>8_2030</t>
  </si>
  <si>
    <t>9_2030</t>
  </si>
  <si>
    <t>10_2030</t>
  </si>
  <si>
    <t>11_2030</t>
  </si>
  <si>
    <t>12_2030</t>
  </si>
  <si>
    <t>Deadline closing for P.P.
/ 
Data zamknięcia procesu wyboru</t>
  </si>
  <si>
    <t>narasta</t>
  </si>
  <si>
    <t>Category / Kategoria
SUPPLIER / DOSTAWCA- 1 
SUBCONTRACTOR / PODWYKONAWCA - 2
EQUIPMENT / SPRZĘT - 3
OTHER / POZOSTAŁE - 4</t>
  </si>
  <si>
    <t>rozliczone</t>
  </si>
  <si>
    <t>finalized</t>
  </si>
  <si>
    <r>
      <t xml:space="preserve">STATUS 
</t>
    </r>
    <r>
      <rPr>
        <sz val="9.5"/>
        <rFont val="Trebuchet MS"/>
        <family val="2"/>
      </rPr>
      <t>(planned)</t>
    </r>
    <r>
      <rPr>
        <b/>
        <sz val="9.5"/>
        <color theme="1"/>
        <rFont val="Trebuchet MS"/>
        <family val="2"/>
      </rPr>
      <t xml:space="preserve">
</t>
    </r>
    <r>
      <rPr>
        <sz val="9.5"/>
        <color theme="1"/>
        <rFont val="Trebuchet MS"/>
        <family val="2"/>
      </rPr>
      <t>(enquiry)
(negotiation)
(PCT/approval) 
(contract preperation)
(closed)
(finalized)
(backup)</t>
    </r>
  </si>
  <si>
    <t>closed/finalized</t>
  </si>
  <si>
    <t>A</t>
  </si>
  <si>
    <t>B</t>
  </si>
  <si>
    <t>C</t>
  </si>
  <si>
    <t>E</t>
  </si>
  <si>
    <t>F</t>
  </si>
  <si>
    <t>G</t>
  </si>
  <si>
    <t>H</t>
  </si>
  <si>
    <t>I</t>
  </si>
  <si>
    <t>contact details (supplier/subcontractor)</t>
  </si>
  <si>
    <t>E-Mail</t>
  </si>
  <si>
    <t>contact details (supplier/subcontractor)
szczegóły kontaktu (dostawcy/ kontrahenta)</t>
  </si>
  <si>
    <t>Phone
Telefon</t>
  </si>
  <si>
    <t>J</t>
  </si>
  <si>
    <t>K</t>
  </si>
  <si>
    <t>L</t>
  </si>
  <si>
    <t>M</t>
  </si>
  <si>
    <t>N</t>
  </si>
  <si>
    <t>O</t>
  </si>
  <si>
    <t>P</t>
  </si>
  <si>
    <t>R</t>
  </si>
  <si>
    <t>S</t>
  </si>
  <si>
    <t>Q</t>
  </si>
  <si>
    <t>T</t>
  </si>
  <si>
    <t>U</t>
  </si>
  <si>
    <t>Proc. Target-Actual-Comparison KPI 3b</t>
  </si>
  <si>
    <t>negotiation late / negocjacje opóźnienie</t>
  </si>
  <si>
    <t>PCT/approval late / PCW opóźnienie</t>
  </si>
  <si>
    <t>closed / zakończone</t>
  </si>
  <si>
    <t>finalized / rozliczone</t>
  </si>
  <si>
    <t>enquiry late / zapytanie opóźnienie</t>
  </si>
  <si>
    <t>contract in prep. / przygotowanie umowy</t>
  </si>
  <si>
    <t>Awards by deadline / Zlecenia wg terminu</t>
  </si>
  <si>
    <t>of total to be awarded / z ogółu do zlecenia</t>
  </si>
  <si>
    <t>Calendar week / Tydzień kalendarzowy</t>
  </si>
  <si>
    <t>P R O C U R E M E N T   S C H E D U L E</t>
  </si>
  <si>
    <t>Turn of the year / Przełom roku</t>
  </si>
  <si>
    <t>Planned award period (tender to award) / Planowany okres udzielenia zlecenia (od przetargu do zlecenia)</t>
  </si>
  <si>
    <t>Planned execution period (start to end of construction) / Planowany okres realizacji (od rozpoczęcia do zakończenia budowy)</t>
  </si>
  <si>
    <t>awarded by deadline / zlecone na dzień</t>
  </si>
  <si>
    <t>Contract awarded / Umowa zawarta</t>
  </si>
  <si>
    <t>Contract preparation / Przygotowanie umowy</t>
  </si>
  <si>
    <t>In negotiation (late) / Negocjacje (opóźnienie)</t>
  </si>
  <si>
    <t>In enquiry (late) / Zapytanie (opóźnienie)</t>
  </si>
  <si>
    <t>Award proposal in approval / PCW w zatwierdzeniu</t>
  </si>
  <si>
    <t>EXPLANATION / LEGENDA:</t>
  </si>
  <si>
    <t>Cut-off date in calendar week / data w tyg. kalendarzowym</t>
  </si>
  <si>
    <t>C1</t>
  </si>
  <si>
    <t>D1</t>
  </si>
  <si>
    <t>D2</t>
  </si>
  <si>
    <t>opis w języku polskim</t>
  </si>
  <si>
    <t>description in English</t>
  </si>
  <si>
    <t>Projektowanie i dokumentacja</t>
  </si>
  <si>
    <t>Design and documentation</t>
  </si>
  <si>
    <t xml:space="preserve">Electrical &amp; I/C detailed design </t>
  </si>
  <si>
    <t>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t>
  </si>
  <si>
    <t>Noise Analysis and noise protection design</t>
  </si>
  <si>
    <t xml:space="preserve">Explosion hazard assessment </t>
  </si>
  <si>
    <t>Technical Consultant for certification and for complying with European Directives</t>
  </si>
  <si>
    <t>Notification Bodies</t>
  </si>
  <si>
    <t>Translations (Polish / English)</t>
  </si>
  <si>
    <t>Foroom Sp. z o.o.</t>
  </si>
  <si>
    <t>Detailed design: fire-fighting system</t>
  </si>
  <si>
    <t>Roboty branży budowlano-konstrukcyjnej</t>
  </si>
  <si>
    <t>Civil works</t>
  </si>
  <si>
    <t>Roboty fundamentowe</t>
  </si>
  <si>
    <t>Stump-Franki Sp. z o.o.</t>
  </si>
  <si>
    <t>Roboty ziemne</t>
  </si>
  <si>
    <t>Odwodnienie</t>
  </si>
  <si>
    <t>Izolacja</t>
  </si>
  <si>
    <t>Konstrukcja żelbetowa</t>
  </si>
  <si>
    <t>Konstrukcja żelbetowa fundamentów</t>
  </si>
  <si>
    <t>Konstrukcja żelbetowa części nadziemnej, w tym prefabrykaty</t>
  </si>
  <si>
    <t>TM.E. S.p.A - Termomeccanica Ecologia</t>
  </si>
  <si>
    <t xml:space="preserve">Estakada pod przenośnik taśmowy </t>
  </si>
  <si>
    <t>Mur oporowy</t>
  </si>
  <si>
    <t>Konstrukcje stalowe</t>
  </si>
  <si>
    <t>Konstrukcja, w tym podesty, pomosty, drabiny, zadaszenia</t>
  </si>
  <si>
    <t>Ściany murowane</t>
  </si>
  <si>
    <t>Elewacje</t>
  </si>
  <si>
    <t>Drzwi, okna, bramy i klapy</t>
  </si>
  <si>
    <t>Bramy</t>
  </si>
  <si>
    <t>Drzwi wewnętrzne</t>
  </si>
  <si>
    <t>Drzwi zewnętrzne</t>
  </si>
  <si>
    <t>Okna</t>
  </si>
  <si>
    <t>Okno do bunkra</t>
  </si>
  <si>
    <t>Klapy</t>
  </si>
  <si>
    <t>Dachy</t>
  </si>
  <si>
    <t>Dźwigi</t>
  </si>
  <si>
    <t>Dźwig / winda towarowo-osobowa</t>
  </si>
  <si>
    <t>Podnośnik osobowy</t>
  </si>
  <si>
    <t>Wagi samochodowe</t>
  </si>
  <si>
    <t>Drogi i chodniki</t>
  </si>
  <si>
    <t>Droga wewnętrzna</t>
  </si>
  <si>
    <t>Droga zewnętrzna</t>
  </si>
  <si>
    <t>Nawierzchnia chodnika</t>
  </si>
  <si>
    <t>Zieleń</t>
  </si>
  <si>
    <t>Dostawa stali zbrojeniowej</t>
  </si>
  <si>
    <t>Wykonanie konstrukcji żelbetowej fundamentów i podziemia</t>
  </si>
  <si>
    <t>Ogrodzenie</t>
  </si>
  <si>
    <t>Dostawa ogrodzeń, bram i furtek</t>
  </si>
  <si>
    <t>Montaż ogrodzeń, bram i furtek</t>
  </si>
  <si>
    <t>Electrical, teletechnical and I&amp;C works</t>
  </si>
  <si>
    <t>Roboty branży elektrycznej, teletechnicznej i AKPiA</t>
  </si>
  <si>
    <t>Aviation warning lights</t>
  </si>
  <si>
    <t>Fire detection and alarm system ( electrical&amp;teletechnical part )</t>
  </si>
  <si>
    <t>Smoke extraction from waste bunker and tipping hall (electrical&amp;teletechnical part )</t>
  </si>
  <si>
    <t>Wyprowadzenie mocy GPO / GPZ</t>
  </si>
  <si>
    <t>System DCS</t>
  </si>
  <si>
    <t>System CEMS</t>
  </si>
  <si>
    <t>Roboty branży sanitarnej i ppoż</t>
  </si>
  <si>
    <t>Sanitary works and fire-fighting system</t>
  </si>
  <si>
    <t>Deodorization system</t>
  </si>
  <si>
    <t>Fire detection and alarm system</t>
  </si>
  <si>
    <t>Firefighting water tank</t>
  </si>
  <si>
    <t>Firefighting water pumping</t>
  </si>
  <si>
    <t>Firefighting water external distribution, hoses, sprinklers</t>
  </si>
  <si>
    <t>Installation of internal hydrants in buildings B1 and B2</t>
  </si>
  <si>
    <t>Wireless radio controller system type WRC, gun control</t>
  </si>
  <si>
    <t>Dry bunker sprinkler system. Installation of water and foam cannons in the bunker hall, and assembly of the valve sub-control unit.</t>
  </si>
  <si>
    <t>Natural gas (if any) and ammonia detection system</t>
  </si>
  <si>
    <t>Smoke extraction from waste bunker and tipping hall</t>
  </si>
  <si>
    <t>Centralized cleaning system for Boiler house</t>
  </si>
  <si>
    <t>HVAC for the technological buildings</t>
  </si>
  <si>
    <t xml:space="preserve">HVAC for the other buildings </t>
  </si>
  <si>
    <t>Sanitary water, connection to source, storage, pumping, underground and external distribution</t>
  </si>
  <si>
    <t>Emergency showers and eye washers</t>
  </si>
  <si>
    <t>Sanitary waste water collection, treatment and connection to discharge point</t>
  </si>
  <si>
    <t>Waste water collection and connection to discharge point</t>
  </si>
  <si>
    <t>Rain water and snowmelt collection, treatment and connection to discharge point</t>
  </si>
  <si>
    <t>Service water storage, pumping, underground and external distribution + Sanitary facilities (toilets, showers, etc.)</t>
  </si>
  <si>
    <t>Firefighting system</t>
  </si>
  <si>
    <t>Roboty branży mechanicznej i technologicznej</t>
  </si>
  <si>
    <t>Mechanical and technological works</t>
  </si>
  <si>
    <t>Reception</t>
  </si>
  <si>
    <t>Radioactivity detector</t>
  </si>
  <si>
    <t>Waste bunker</t>
  </si>
  <si>
    <t>Trapdoors for grab maintenance</t>
  </si>
  <si>
    <t>Furnace</t>
  </si>
  <si>
    <t>Flue gas recirculation dampers</t>
  </si>
  <si>
    <t>Camera for furnace monitoring</t>
  </si>
  <si>
    <t>Boiler</t>
  </si>
  <si>
    <t>Sampling system</t>
  </si>
  <si>
    <t>Chemical dosing for the boiler</t>
  </si>
  <si>
    <t>Compensator between boiler and ECO</t>
  </si>
  <si>
    <t>Refractory</t>
  </si>
  <si>
    <t>SNCR DeNOx system including silo, pumps</t>
  </si>
  <si>
    <t>Bottom ash extraction</t>
  </si>
  <si>
    <t>Belt conveyors</t>
  </si>
  <si>
    <t>Bottom ash / slag valorization</t>
  </si>
  <si>
    <t>Steam turbine - gear box - generator. Including accessories: oil system, coolers, insulation, pipes and valves, control panel, protection panel, synchro system etc.</t>
  </si>
  <si>
    <t>Auxiliary crane and hoists for the maintenance of the steam turbine</t>
  </si>
  <si>
    <t>Air cooled condenser</t>
  </si>
  <si>
    <t>Feed water tank and Deaerator</t>
  </si>
  <si>
    <t>Piping, fitting and supports</t>
  </si>
  <si>
    <t>Valves ( Manual, motorized , safety, ON-OF , control  etc… )</t>
  </si>
  <si>
    <t>Chemical dossing for thermal cycle and district heating</t>
  </si>
  <si>
    <t>Water tank 100 m3</t>
  </si>
  <si>
    <t>Stack</t>
  </si>
  <si>
    <t>Compressors 2 x 50% + 1 x 50%</t>
  </si>
  <si>
    <t>Auxiliary hoists for maintenance</t>
  </si>
  <si>
    <t>Chemical dosing system for thermal cycle and district heating</t>
  </si>
  <si>
    <t>Ancillary systems</t>
  </si>
  <si>
    <t>Overhead crane, grab and operator seat + Spare Grab</t>
  </si>
  <si>
    <t>Furnace charging hopper + Furnace supporting steel structure + Complete grate fired furnace with waste feeding system + Hoppers under grate</t>
  </si>
  <si>
    <t>Primary &amp; secondary air heat exchanger</t>
  </si>
  <si>
    <t>Primary / secondary air ducts + Flue gas recirculation ducts + Auxiliary burners ducts + Supporting structures</t>
  </si>
  <si>
    <t>Flue gas treatment (FGT)</t>
  </si>
  <si>
    <t>Chain conveyor under grate + Bottom ash extractor + Vibrating table / bulk screen</t>
  </si>
  <si>
    <t>Demi water system including storage tank 100m3 and piping</t>
  </si>
  <si>
    <t>Emission monitoring system (CEMS)</t>
  </si>
  <si>
    <t>Fuel (light oil)</t>
  </si>
  <si>
    <t>Training</t>
  </si>
  <si>
    <t>Cold and hot commissioning &amp; Trial run of technological equipment</t>
  </si>
  <si>
    <t>Spare parts (guarantee period 48 msc)</t>
  </si>
  <si>
    <t>Resp. Person TME / Osoba odpowiedzialna za zakres z TME</t>
  </si>
  <si>
    <t>Multi-discipline detailed design with specialist studies - TME</t>
  </si>
  <si>
    <t>Multi-discipline detailed design with specialist studies</t>
  </si>
  <si>
    <t>Projekt wykonawczy: Instalacje ppoż.</t>
  </si>
  <si>
    <t>Jednostka notyfikowana</t>
  </si>
  <si>
    <t>Projekty wykonawcze branży elektrycznej i AKPiA</t>
  </si>
  <si>
    <t>Fire safety instructions</t>
  </si>
  <si>
    <t>Konsultant techniczny ds. certyfikacji i zgodności z dyrektywami europejskimi</t>
  </si>
  <si>
    <t xml:space="preserve">Ocena zagrożenia wybuchem </t>
  </si>
  <si>
    <t>Analiza hałasu i projektowanie zabezpieczeń przed hałasem</t>
  </si>
  <si>
    <t>Inne dokumenty, opinie, umowy, pozwolenia, postanowienia, zatwierdzenia i decyzje niezbędne do zaprojektowania, wykonania robót i oddania inwestycji do użytku (dokumentacja koncesyjna dotycząca wytwarzania energii elektrycznej i ciepła ze źródeł odnawialnych, pozwolenie na eksploatację ITPOE, pozwolenie zintegrowane, projekty i dokumentacja geologiczna, projekty oddania do użytku, instrukcje obsługi itp.).</t>
  </si>
  <si>
    <t>Certyfikacja NC Rfg</t>
  </si>
  <si>
    <t>NC Rfg certification</t>
  </si>
  <si>
    <t>Testy zgodności i symulacje modułu wytwarzania</t>
  </si>
  <si>
    <t>Compliance tests and simulations of the generation module</t>
  </si>
  <si>
    <t>Instrukcje obsługi</t>
  </si>
  <si>
    <t>Operating instructions</t>
  </si>
  <si>
    <t>Szkolenia</t>
  </si>
  <si>
    <t>Części zapasowe (48msc gwarancji)</t>
  </si>
  <si>
    <t>Paliwo (olej lekki)</t>
  </si>
  <si>
    <t>Rusztowania</t>
  </si>
  <si>
    <t>Scaffoldings</t>
  </si>
  <si>
    <t>Rozruch zimny i gorący + Ruch próbny Personel</t>
  </si>
  <si>
    <t>Cold &amp; Hot Commissioning + Trial Run - Staff</t>
  </si>
  <si>
    <t>Utylizacja odpadów po próbach - odprowadzenie ścieków</t>
  </si>
  <si>
    <t>Disposal of waste after testing - discharge of waste water</t>
  </si>
  <si>
    <t>Others</t>
  </si>
  <si>
    <t>Pozostałe</t>
  </si>
  <si>
    <t>System wykrywania pożaru i alarmowania</t>
  </si>
  <si>
    <t>Zbiornik wody przeciwpożarowej</t>
  </si>
  <si>
    <t>Pompy wody przeciwpożarowej</t>
  </si>
  <si>
    <t>Zewnętrzna dystrybucja wody przeciwpożarowej, węże, tryskacze</t>
  </si>
  <si>
    <t>Instalacja hydrantów wewnętrznych w budynkach B1 i B2</t>
  </si>
  <si>
    <t>Zewnętrzna dystrybucja wody gaśniczej, węże, tryskacze</t>
  </si>
  <si>
    <t>Suchy system tryskaczowy w bunkrze. Montaż armatek wodnych i pianowych w hali bunkra oraz montaż podjednostki sterującej zaworami.</t>
  </si>
  <si>
    <t>Odprowadzanie dymu z bunkra odpadów i hali wyładunkowej</t>
  </si>
  <si>
    <t>Bezprzewodowy system sterowania radiowego typu WRC, sterowanie działkami</t>
  </si>
  <si>
    <t>System przeciwpożarowy</t>
  </si>
  <si>
    <t>System dezodoryzacji</t>
  </si>
  <si>
    <t>Oświetlenie ostrzegawcze lotniskowe</t>
  </si>
  <si>
    <t>System wykrywania pożaru i alarmowania (część elektryczna i teletechniczna)</t>
  </si>
  <si>
    <t>Odprowadzanie dymu z bunkra na odpady i hali wyładunkowej (część elektryczna i teletechniczna)</t>
  </si>
  <si>
    <t>GPO/GPZ power supply</t>
  </si>
  <si>
    <t>DCS System</t>
  </si>
  <si>
    <t>Przepustnice powietrza pierwotnego i wtórnego</t>
  </si>
  <si>
    <t>Przepustnice recyrkulacji spalin</t>
  </si>
  <si>
    <t>Lej załadowczy rusztu + stalowa konstrukcja nośna rusztu + kompletne palenisko rusztowe z systemem podawania odpadów + leje pod rusztem</t>
  </si>
  <si>
    <t>Podgrzewacz powietrza pierwotnego i wtórnego</t>
  </si>
  <si>
    <t>System pobierania próbek</t>
  </si>
  <si>
    <t>Kompensator między kotłem a ECO</t>
  </si>
  <si>
    <t>Kocioł</t>
  </si>
  <si>
    <t>Wymurówka ogniotrwała</t>
  </si>
  <si>
    <t>Oczyszczanie spalin (FGT)</t>
  </si>
  <si>
    <t>System SNCR DeNOx wraz z silosem, pompami</t>
  </si>
  <si>
    <t>Przenośniki taśmowe</t>
  </si>
  <si>
    <t>Rurociągi, armatura i podpory</t>
  </si>
  <si>
    <t>Zbiornik wody 100 m3</t>
  </si>
  <si>
    <t>Systemy pomocnicze</t>
  </si>
  <si>
    <t>Sprężarki 2 x 50% + 1 x 50%</t>
  </si>
  <si>
    <t>Wciągniki pomocnicze do konserwacji</t>
  </si>
  <si>
    <t>System wody zdemineralizowanej, w tym zbiornik magazynowy 100 m3 i rurociągi</t>
  </si>
  <si>
    <t>Instalacje elektryczne</t>
  </si>
  <si>
    <t>Electrical installations</t>
  </si>
  <si>
    <t>Ogrzewanie elektryczne rurociągów- część gorąca</t>
  </si>
  <si>
    <t>Electrical heat treacing of piping - hot part</t>
  </si>
  <si>
    <t>Dostawa i montaż urządzeń elektrycznych</t>
  </si>
  <si>
    <t>Delivery and installation of electrical equipment</t>
  </si>
  <si>
    <t>3.1</t>
  </si>
  <si>
    <t>1.1</t>
  </si>
  <si>
    <t>3.1.1</t>
  </si>
  <si>
    <t>3.1.2</t>
  </si>
  <si>
    <t>3.1.3</t>
  </si>
  <si>
    <t>3.1.4</t>
  </si>
  <si>
    <t>3.1.5</t>
  </si>
  <si>
    <t>3.2</t>
  </si>
  <si>
    <t>3.3</t>
  </si>
  <si>
    <t>3.4</t>
  </si>
  <si>
    <t>3.4.1</t>
  </si>
  <si>
    <t>3.4.2</t>
  </si>
  <si>
    <t>3.4.3</t>
  </si>
  <si>
    <t>Instalacje teletechniczne</t>
  </si>
  <si>
    <t>Teletechnical installations</t>
  </si>
  <si>
    <t>Instalacje AKPiA</t>
  </si>
  <si>
    <t>I&amp;C works</t>
  </si>
  <si>
    <t>System automatyki i oprzyrządowanie, sieci komunikacyjne i wyposażenie nastawni</t>
  </si>
  <si>
    <t>Automation system and instrumentation, communication networks and control room devices</t>
  </si>
  <si>
    <t>Zimny i gorący rozruch, Ruch próbny instalacji technologicznych</t>
  </si>
  <si>
    <t>Media, reagenty na czas rozruchu i uruchomień</t>
  </si>
  <si>
    <t>Media, reagents for start-up and commissioning</t>
  </si>
  <si>
    <t>Butle z azotem</t>
  </si>
  <si>
    <t>Nitrogen cylinders</t>
  </si>
  <si>
    <t>Transport i utylizacja popiołów i pyłów lotnych</t>
  </si>
  <si>
    <t>Handling and disposal of bottom and fly ash</t>
  </si>
  <si>
    <t>Dostawa chemii</t>
  </si>
  <si>
    <t>Chemical supplies</t>
  </si>
  <si>
    <t>Dostwa wapna</t>
  </si>
  <si>
    <t>Dostawa węgla aktywnego</t>
  </si>
  <si>
    <t>Lime supplies</t>
  </si>
  <si>
    <t>Active carbon supplies</t>
  </si>
  <si>
    <t>Personel rozruchowy</t>
  </si>
  <si>
    <t>Gotowanie kotła</t>
  </si>
  <si>
    <t>Dmuchanie parowe</t>
  </si>
  <si>
    <t>Azotowanie</t>
  </si>
  <si>
    <t>Start-up personnel</t>
  </si>
  <si>
    <t>Boiler boiling</t>
  </si>
  <si>
    <t>Steam blowing</t>
  </si>
  <si>
    <t>Nitrogenation</t>
  </si>
  <si>
    <t>6.1</t>
  </si>
  <si>
    <t>6.1.1</t>
  </si>
  <si>
    <t>6.1.2</t>
  </si>
  <si>
    <t>6.1.3</t>
  </si>
  <si>
    <t>6.1.4</t>
  </si>
  <si>
    <t>6.2</t>
  </si>
  <si>
    <t>6.2.1</t>
  </si>
  <si>
    <t>6.2.2</t>
  </si>
  <si>
    <t>6.2.3</t>
  </si>
  <si>
    <t>6.2.4</t>
  </si>
  <si>
    <t>6.2.5</t>
  </si>
  <si>
    <t>6.2.6</t>
  </si>
  <si>
    <t>6.2.7</t>
  </si>
  <si>
    <t>6.3</t>
  </si>
  <si>
    <t>6.4</t>
  </si>
  <si>
    <t>6.5</t>
  </si>
  <si>
    <t>6.6</t>
  </si>
  <si>
    <t>System wykrywania gazu (jeśli występuje) i amoniaku</t>
  </si>
  <si>
    <t>4.1</t>
  </si>
  <si>
    <t>4.2</t>
  </si>
  <si>
    <t>4.2.1</t>
  </si>
  <si>
    <t>4.2.2</t>
  </si>
  <si>
    <t>4.2.3</t>
  </si>
  <si>
    <t>4.2.4</t>
  </si>
  <si>
    <t>4.2.5</t>
  </si>
  <si>
    <t>4.2.6</t>
  </si>
  <si>
    <t>4.2.7</t>
  </si>
  <si>
    <t>4.2.8</t>
  </si>
  <si>
    <t>4.2.9</t>
  </si>
  <si>
    <t>4.2.10</t>
  </si>
  <si>
    <t>4.3</t>
  </si>
  <si>
    <t>Instalacje sanitarne</t>
  </si>
  <si>
    <t>Sanitary installations</t>
  </si>
  <si>
    <t>System centralnego odkurzania kotłowni</t>
  </si>
  <si>
    <t>Instalacje HVAC dla budynków technologicznych</t>
  </si>
  <si>
    <t>Instalacje HVAC dla pozostałych budynków</t>
  </si>
  <si>
    <t>Zaopatrzenie w wodę użytkową, pompowanie, rozprowadzanie podziemne i zewnętrzne + Urządzenia sanitarne (toalety, prysznice itp.)</t>
  </si>
  <si>
    <t>Prysznice awaryjne i urządzenia do płukania oczu</t>
  </si>
  <si>
    <t>Odbiór ścieków sanitarnych, oczyszczanie i podłączenie do punktu odprowadzania</t>
  </si>
  <si>
    <t>Odbiór ścieków i podłączenie do punktu odprowadzania</t>
  </si>
  <si>
    <t>Odbiór wody deszczowej i roztopowej, oczyszczanie i podłączenie do punktu odprowadzania</t>
  </si>
  <si>
    <t>Zaopatrzenie w wodę pitną, podłączenia, magazynowanie, pompowanie, rozprowadzanie podziemne i zewnętrzne</t>
  </si>
  <si>
    <t>4.3.1</t>
  </si>
  <si>
    <t>4.3.2</t>
  </si>
  <si>
    <t>4.3.3</t>
  </si>
  <si>
    <t>4.3.4</t>
  </si>
  <si>
    <t>4.3.5</t>
  </si>
  <si>
    <t>4.3.6</t>
  </si>
  <si>
    <t>4.3.7</t>
  </si>
  <si>
    <t>4.3.8</t>
  </si>
  <si>
    <t>4.3.9</t>
  </si>
  <si>
    <t>Wywietrzaki dachowe kotłowni oraz żaluzje ścienne</t>
  </si>
  <si>
    <t>Boiler room roof ventilators and wall shutters</t>
  </si>
  <si>
    <t>Punkt przyjęcia odpadów</t>
  </si>
  <si>
    <t>Wykrywacz radioaktywności</t>
  </si>
  <si>
    <t>Bunkier odpadów</t>
  </si>
  <si>
    <t>Suwnice, chwytaki wraz miejscem operatora + chwytak zapasowy</t>
  </si>
  <si>
    <t>Klapy serwisowe chwytaków</t>
  </si>
  <si>
    <t xml:space="preserve">Palenisko </t>
  </si>
  <si>
    <t>Wentylator powietrza pierwotnego i wtórnego, wentylator recyrkulacji spalin, wentylator spalin</t>
  </si>
  <si>
    <t>Primary and secondary air fan, Flue gas recirculation fan, ID Fan</t>
  </si>
  <si>
    <t>Kanały powietrza pierwotnego/wtórnego + kanały recyrkulacji spalin + kanały palników pomocniczych + konstrukcje wsporcze</t>
  </si>
  <si>
    <t>Kamera do monitorowania rusztu</t>
  </si>
  <si>
    <t>Montaż mechaniczny urządzeń technologicznych</t>
  </si>
  <si>
    <t>Mechanical installation of technological equipment</t>
  </si>
  <si>
    <t>Kurtyna ppoż. dla otworu powietrza pierwotnego</t>
  </si>
  <si>
    <t>Fire curtain for primary air opening</t>
  </si>
  <si>
    <t>5.1</t>
  </si>
  <si>
    <t>5.2</t>
  </si>
  <si>
    <t>Konstrukcje wsporcze urządzeń</t>
  </si>
  <si>
    <t>System dozowania chemii do kotła</t>
  </si>
  <si>
    <t>Kocioł - część ciśnieniowa</t>
  </si>
  <si>
    <t>Boiler - pressure parts</t>
  </si>
  <si>
    <t>Kocioł - konstrukcje wsporcze wraz z pomostami</t>
  </si>
  <si>
    <t>Boiler - supporting structure including walkways</t>
  </si>
  <si>
    <t>Palniki wraz z wentylatorami</t>
  </si>
  <si>
    <t>Burners including fans</t>
  </si>
  <si>
    <t>Oczyszczanie spalin (FGT): Filtr workowy, Reaktor, DeNOx, Kondensacja spalin, Silosy wapna i węgla aktywnego, system dozowania</t>
  </si>
  <si>
    <t>Flue gas treatment (FGT): Bag filter, Reactor, DeNOx, Flue gas condensation, Lime and activated carbon silos, dosing system</t>
  </si>
  <si>
    <t>5.1.1</t>
  </si>
  <si>
    <t>5.3.3</t>
  </si>
  <si>
    <t>5.2.1</t>
  </si>
  <si>
    <t>5.2.2.</t>
  </si>
  <si>
    <t>5.3</t>
  </si>
  <si>
    <t>5.3.1</t>
  </si>
  <si>
    <t>5.3.2</t>
  </si>
  <si>
    <t>5.3.4</t>
  </si>
  <si>
    <t>5.3.5</t>
  </si>
  <si>
    <t>5.3.6</t>
  </si>
  <si>
    <t>5.3.7</t>
  </si>
  <si>
    <t>5.3.8</t>
  </si>
  <si>
    <t>5.4</t>
  </si>
  <si>
    <t>5.4.1</t>
  </si>
  <si>
    <t>5.4.2</t>
  </si>
  <si>
    <t>5.4.3</t>
  </si>
  <si>
    <t>5.4.4</t>
  </si>
  <si>
    <t>5.4.5</t>
  </si>
  <si>
    <t>5.4.6</t>
  </si>
  <si>
    <t>5.5</t>
  </si>
  <si>
    <t>5.6</t>
  </si>
  <si>
    <t>5.7</t>
  </si>
  <si>
    <t>5.7.1</t>
  </si>
  <si>
    <t>5.7.2</t>
  </si>
  <si>
    <t>5.8</t>
  </si>
  <si>
    <t>5.8.1</t>
  </si>
  <si>
    <t>5.8.2</t>
  </si>
  <si>
    <t>Odprowadzenie popiołu dennego</t>
  </si>
  <si>
    <t>5.9</t>
  </si>
  <si>
    <t>Waloryzacja żużla</t>
  </si>
  <si>
    <t>5.10</t>
  </si>
  <si>
    <t>5.10.1</t>
  </si>
  <si>
    <t>5.10.5</t>
  </si>
  <si>
    <t>5.10.3</t>
  </si>
  <si>
    <t>5.10.2</t>
  </si>
  <si>
    <t>Turbina parowa - przekładnia - generator. W tym akcesoria: układ olejowy, chłodnice, izolacja, rury i zawory, panel sterowania, panel zabezpieczający, układ synchronizacji itp.</t>
  </si>
  <si>
    <t>Suwnica pomocnicza i wciągniki do konserwacji turbiny parowej</t>
  </si>
  <si>
    <t>Kondensator powietrzny</t>
  </si>
  <si>
    <t>Zawory (ręczne, z napędem, bezpieczeństwa, ON-OF, sterujące  itp.)</t>
  </si>
  <si>
    <t>Dozowanie chemii dla cyklu cieplnego i sieci ciepłowniczej</t>
  </si>
  <si>
    <t>5.10.4</t>
  </si>
  <si>
    <t>5.10.6</t>
  </si>
  <si>
    <t>5.10.7</t>
  </si>
  <si>
    <t>5.10.8</t>
  </si>
  <si>
    <t>5.10.9</t>
  </si>
  <si>
    <t>5.10.10</t>
  </si>
  <si>
    <t>5.10.11</t>
  </si>
  <si>
    <t>5.10.12</t>
  </si>
  <si>
    <t>5.10.13</t>
  </si>
  <si>
    <t>5.11</t>
  </si>
  <si>
    <t>Wymienniki ciepła 2 szt., Podgrzewacz niskociśnieniowy, ekonomizer zewnętrzny</t>
  </si>
  <si>
    <t>Heat exchangers 2 pcs., LP pre-heater, external economizer</t>
  </si>
  <si>
    <t>Pompy stabilizujące 2 x 100%, pompy sieciowe 3x50%, pompy kondensatu 2x100%, pompy wody zasilającej 3szt., pompy chłodzące</t>
  </si>
  <si>
    <t>Stabilising pumps 2 x 100%, network pumps 3 x 50%, condensate pumps 2 x 100%, feed water pumps 3 pcs., cooling pumps</t>
  </si>
  <si>
    <t>Turbina parowa, cykl termiczny, sieć ciepłownicza</t>
  </si>
  <si>
    <t>Steam turbine, thermal cycle &amp; district heating network</t>
  </si>
  <si>
    <t>Zbiornik chłodzący, zbiornik kondensatu</t>
  </si>
  <si>
    <t>Cooler tank, condensate tank</t>
  </si>
  <si>
    <t>Komin</t>
  </si>
  <si>
    <t>Izolacja kotła i rurociagów</t>
  </si>
  <si>
    <t>Boiler and piping insulation</t>
  </si>
  <si>
    <t>5.12</t>
  </si>
  <si>
    <t>Zawory ręczne</t>
  </si>
  <si>
    <t>Zawory bezpieczeństwa</t>
  </si>
  <si>
    <t>Zawory z napędem mechanicznym</t>
  </si>
  <si>
    <t>Zawory ON/OFF</t>
  </si>
  <si>
    <t>Zawory regulujące</t>
  </si>
  <si>
    <t>Control valves</t>
  </si>
  <si>
    <t>ON/OFF valves</t>
  </si>
  <si>
    <t>Safety valves</t>
  </si>
  <si>
    <t>Manual valves</t>
  </si>
  <si>
    <t>Motorized valves</t>
  </si>
  <si>
    <t>5.10.13.1</t>
  </si>
  <si>
    <t>5.10.13.2</t>
  </si>
  <si>
    <t>5.10.13.3</t>
  </si>
  <si>
    <t>5.10.13.4</t>
  </si>
  <si>
    <t>5.10.13.5</t>
  </si>
  <si>
    <t>System chłodzenia rusztu</t>
  </si>
  <si>
    <t>Grate cooling system</t>
  </si>
  <si>
    <t>Zbiornik paliwa pomocniczego (olej lekki/olej napędowy)</t>
  </si>
  <si>
    <t>Auxiliary fuel tank (light oil/diesel oil)</t>
  </si>
  <si>
    <t>Rurociągi systemów pomocniczych - olej lekki, woda demi, dozowanie chemii, powietrze sprężone</t>
  </si>
  <si>
    <t>Pompy paliwa pomocniczego (olej lekki/olej napędowy), pompy wody demi, inne pompy wodne</t>
  </si>
  <si>
    <t>Instalacja rozładunku oleju lekkiego wraz z uzgodnieniem dokumentacji TDT</t>
  </si>
  <si>
    <t>System dozowania środków chemicznych dla cyklu termicznego i sieci grzewczej</t>
  </si>
  <si>
    <t>Light oil unloading installation with TDT documentation approval</t>
  </si>
  <si>
    <t>Auxiliary fuel pumps (light oil/diesel oil), demi water pumps, other water pumps</t>
  </si>
  <si>
    <t>Auxiliary system pipelines – light oil, demineralised water, chemical dosing, compressed air</t>
  </si>
  <si>
    <t>Wielobranżowy projekt wykonawczy wraz z opracowaniami specjalistycznymi - TME</t>
  </si>
  <si>
    <t xml:space="preserve">Wielobranżowy projekt wykonawczy wraz z opracowaniami specjalistycznymi </t>
  </si>
  <si>
    <t>Tłumaczenia (Polski/Angielski)</t>
  </si>
  <si>
    <t>1.2</t>
  </si>
  <si>
    <t>1.2.1</t>
  </si>
  <si>
    <t>1.2.2</t>
  </si>
  <si>
    <t>1.2.3</t>
  </si>
  <si>
    <t>1.2.4</t>
  </si>
  <si>
    <t>1.2.5</t>
  </si>
  <si>
    <t>1.2.6</t>
  </si>
  <si>
    <t>1.2.7</t>
  </si>
  <si>
    <t>1.3</t>
  </si>
  <si>
    <t>1.4</t>
  </si>
  <si>
    <t>1.5</t>
  </si>
  <si>
    <t>1.6</t>
  </si>
  <si>
    <t>1.7</t>
  </si>
  <si>
    <t>1.8</t>
  </si>
  <si>
    <t>1.9</t>
  </si>
  <si>
    <t>1.10</t>
  </si>
  <si>
    <t>2.1</t>
  </si>
  <si>
    <t>2.1.1</t>
  </si>
  <si>
    <t>2.1.2</t>
  </si>
  <si>
    <t>2.2</t>
  </si>
  <si>
    <t>2.2.1</t>
  </si>
  <si>
    <t>2.3</t>
  </si>
  <si>
    <t>2.4</t>
  </si>
  <si>
    <t>2.5</t>
  </si>
  <si>
    <t>2.5.1</t>
  </si>
  <si>
    <t>2.5.2</t>
  </si>
  <si>
    <t>2.5.1.1</t>
  </si>
  <si>
    <t>2.5.2.2</t>
  </si>
  <si>
    <t>2.5.1.2</t>
  </si>
  <si>
    <t>2.5.1.3</t>
  </si>
  <si>
    <t>2.5.2.1</t>
  </si>
  <si>
    <t>2.5.2.3</t>
  </si>
  <si>
    <t>2.6</t>
  </si>
  <si>
    <t>2.6.1</t>
  </si>
  <si>
    <t>2.6.2</t>
  </si>
  <si>
    <t>2.7</t>
  </si>
  <si>
    <t>2.8</t>
  </si>
  <si>
    <t>2.9</t>
  </si>
  <si>
    <t>2.9.1</t>
  </si>
  <si>
    <t>2.9.2</t>
  </si>
  <si>
    <t>2.9.3</t>
  </si>
  <si>
    <t>2.9.4</t>
  </si>
  <si>
    <t>2.9.5</t>
  </si>
  <si>
    <t>2.9.6</t>
  </si>
  <si>
    <t>2.10</t>
  </si>
  <si>
    <t>2.11</t>
  </si>
  <si>
    <t>2.12</t>
  </si>
  <si>
    <t>2.12.1</t>
  </si>
  <si>
    <t>2.12.2</t>
  </si>
  <si>
    <t>2.13</t>
  </si>
  <si>
    <t>2.14</t>
  </si>
  <si>
    <t>2.14.1</t>
  </si>
  <si>
    <t>2.14.2</t>
  </si>
  <si>
    <t>Weigh bridge</t>
  </si>
  <si>
    <t>2.15</t>
  </si>
  <si>
    <t>Elevators</t>
  </si>
  <si>
    <t>Passenger elevator</t>
  </si>
  <si>
    <t>Passenger and good elevator</t>
  </si>
  <si>
    <t>Roads and pavements</t>
  </si>
  <si>
    <t>Internal road</t>
  </si>
  <si>
    <t>External road</t>
  </si>
  <si>
    <t>Pavement surface</t>
  </si>
  <si>
    <t>Greenery</t>
  </si>
  <si>
    <t>Fencing</t>
  </si>
  <si>
    <t>Delivery of fences, gates and wickets</t>
  </si>
  <si>
    <t>Installation of fences, gates and wickets</t>
  </si>
  <si>
    <t>Doors, windows, gates and hatches</t>
  </si>
  <si>
    <t>Gates</t>
  </si>
  <si>
    <t>Interior doors</t>
  </si>
  <si>
    <t>Exterior doors</t>
  </si>
  <si>
    <t>Windows</t>
  </si>
  <si>
    <t>Bunker windows</t>
  </si>
  <si>
    <t>Hatches</t>
  </si>
  <si>
    <t>Roofs</t>
  </si>
  <si>
    <t>Brick walls</t>
  </si>
  <si>
    <t>Facades</t>
  </si>
  <si>
    <t>Insulation</t>
  </si>
  <si>
    <t>Reinforced concrete structure</t>
  </si>
  <si>
    <t>Reinforced concrete foundation structure</t>
  </si>
  <si>
    <t>Supply of reinforcing steel</t>
  </si>
  <si>
    <t>Construction of reinforced concrete foundations and underground structures</t>
  </si>
  <si>
    <t>Reinforced concrete structure of the above-ground part, including prefabricated elements</t>
  </si>
  <si>
    <t>Flyover for belt conveyor</t>
  </si>
  <si>
    <t>Retaining wall</t>
  </si>
  <si>
    <t>Steel structures</t>
  </si>
  <si>
    <t>Structure, including platforms, walkways, ladders, roofing</t>
  </si>
  <si>
    <t>Foundation works</t>
  </si>
  <si>
    <t>Earthworks</t>
  </si>
  <si>
    <t>Drainage</t>
  </si>
  <si>
    <t>Dostawa worków</t>
  </si>
  <si>
    <t>Bag filters delivery</t>
  </si>
  <si>
    <t>Silosy pyłów lotnych</t>
  </si>
  <si>
    <t>Fly ash silos</t>
  </si>
  <si>
    <t>Znakowanie instalacji</t>
  </si>
  <si>
    <t>Installation marking</t>
  </si>
  <si>
    <t>5.13</t>
  </si>
  <si>
    <t>5.13.1</t>
  </si>
  <si>
    <t>5.13.2</t>
  </si>
  <si>
    <t>5.13.3</t>
  </si>
  <si>
    <t>5.13.4</t>
  </si>
  <si>
    <t>5.13.5</t>
  </si>
  <si>
    <t>5.13.6</t>
  </si>
  <si>
    <t>5.13.7</t>
  </si>
  <si>
    <t>5.13.8</t>
  </si>
  <si>
    <t>5.13.9</t>
  </si>
  <si>
    <t>5.13.10</t>
  </si>
  <si>
    <t>5.14</t>
  </si>
  <si>
    <t>5.14.1</t>
  </si>
  <si>
    <t>5.14.2</t>
  </si>
  <si>
    <t>5.14.3</t>
  </si>
  <si>
    <t>5.14.4</t>
  </si>
  <si>
    <t>5.7.3</t>
  </si>
  <si>
    <t>5.7.4</t>
  </si>
  <si>
    <t>2.16</t>
  </si>
  <si>
    <t>2.16.1</t>
  </si>
  <si>
    <t>2.14.3</t>
  </si>
  <si>
    <t>2.16.2</t>
  </si>
  <si>
    <t>2.6.3</t>
  </si>
  <si>
    <t>Konstrukcja stalowa klatki schodowej w obiekcie B1.4 (zmiana z konstrukcji żelbetowej w stosunku do etapu akwizycji)</t>
  </si>
  <si>
    <t>Konstrukcja żelbetowa części nadziemnej obiektu B1 - dostawa i montaż elementów prefabrykowanych</t>
  </si>
  <si>
    <t>Konstrukcja żelbetowa części nadziemnej pozostałych obiektów, w tym prefabrykaty</t>
  </si>
  <si>
    <t>Budizol Sp. z o.o. S.K.A.</t>
  </si>
  <si>
    <t>2.5.2.4</t>
  </si>
  <si>
    <t>Reinforced concrete structure of the above-ground part of the B1 building - delivery and assembly of prefabricated elements</t>
  </si>
  <si>
    <t>Reinforced concrete structure of the above-ground part of the remaining buildings, including prefabricated elements</t>
  </si>
  <si>
    <t>Steel structure of the staircase in the B1.4 facility (change from the reinforced concrete structure in relation to the acquisition stage)</t>
  </si>
  <si>
    <t>7</t>
  </si>
  <si>
    <t>8</t>
  </si>
  <si>
    <t>Usługi i roboty w zakresie kosztów pośrednich</t>
  </si>
  <si>
    <t>Services and works regarding indirect cost</t>
  </si>
  <si>
    <t>Zabezpieczenia BHP</t>
  </si>
  <si>
    <t>Wynajem drobnego sprzętu</t>
  </si>
  <si>
    <t>Dźwig samochodowy 30 T</t>
  </si>
  <si>
    <t>Ładowarka Manitou</t>
  </si>
  <si>
    <t xml:space="preserve">Wynajem pomieszczeń biurowych lub kontenerów biurowych </t>
  </si>
  <si>
    <t>Wywóz odpadów komunalnych</t>
  </si>
  <si>
    <t>Energia elektryczna</t>
  </si>
  <si>
    <t>Koszt wody pitnej</t>
  </si>
  <si>
    <t>Koszty miesięczne internetu</t>
  </si>
  <si>
    <t>Materiały biurowe</t>
  </si>
  <si>
    <t>Sprzątanie</t>
  </si>
  <si>
    <t>Kawa herbata</t>
  </si>
  <si>
    <t>Koszty biurowe PORR (z serwisem PC)</t>
  </si>
  <si>
    <t>Sprzęt biurowy</t>
  </si>
  <si>
    <t>Srodki czystości</t>
  </si>
  <si>
    <t>Koszt ścieków</t>
  </si>
  <si>
    <t>Koszty różne</t>
  </si>
  <si>
    <t>Wyposażenie osobiste BHP</t>
  </si>
  <si>
    <t>Sprzątanie końcowe</t>
  </si>
  <si>
    <t>Urządzenie wielofunkcyjne drukarka/xero/skaner/fax</t>
  </si>
  <si>
    <t>Likwidacja placu budowy</t>
  </si>
  <si>
    <t>Instalacja/deinstalacja budowy</t>
  </si>
  <si>
    <t>Myjka do kół samochodowych</t>
  </si>
  <si>
    <t>Ogrodzenie zaplecza budowy wraz z furtkami i bramami</t>
  </si>
  <si>
    <t>Przywrócenie zieleni ( obsianie trawą )</t>
  </si>
  <si>
    <t>Obsługa p.poż oraz sprzęt p.poż.</t>
  </si>
  <si>
    <t>Monitoring istniejących obiektów budowlanych</t>
  </si>
  <si>
    <t>Sprzęt</t>
  </si>
  <si>
    <t>Żurawie stacjonarne</t>
  </si>
  <si>
    <t>Biuro budowy</t>
  </si>
  <si>
    <t>Koszt ścieków/ wywóz szamba</t>
  </si>
  <si>
    <t xml:space="preserve">Koszty energii elektrycznej </t>
  </si>
  <si>
    <t>Budowa (koszt miesięczny)</t>
  </si>
  <si>
    <t>Obsługa budowy - pracownicy fizyczni</t>
  </si>
  <si>
    <t>Montaż konterów biura / szatnie + przyłącze energ+wodkan</t>
  </si>
  <si>
    <t>Biuro budowy - przyłącza, wyposażenie</t>
  </si>
  <si>
    <t>Budowa - usługi</t>
  </si>
  <si>
    <t xml:space="preserve">Laboratorium </t>
  </si>
  <si>
    <t xml:space="preserve">Odśnieżanie budowy </t>
  </si>
  <si>
    <t xml:space="preserve">Tablice informacyjne </t>
  </si>
  <si>
    <t>System zarządzania bezpieczeństwem i Środowiskiem</t>
  </si>
  <si>
    <t>Equipment</t>
  </si>
  <si>
    <t>30-T Truck Crane</t>
  </si>
  <si>
    <t>Manitou Loader</t>
  </si>
  <si>
    <t>Stationary Cranes</t>
  </si>
  <si>
    <t>Construction Office</t>
  </si>
  <si>
    <t>Office Space or Container Rental</t>
  </si>
  <si>
    <t>Municipal Waste Collection</t>
  </si>
  <si>
    <t>Electricity</t>
  </si>
  <si>
    <t>Potable Water Cost</t>
  </si>
  <si>
    <t>Sewage/Septic Tank Removal</t>
  </si>
  <si>
    <t>Monthly Internet Costs</t>
  </si>
  <si>
    <t>Office Supplies</t>
  </si>
  <si>
    <t>Cleaning</t>
  </si>
  <si>
    <t>Coffee and Tea</t>
  </si>
  <si>
    <t>PORR Office Costs (with PC Service)</t>
  </si>
  <si>
    <t>Office Equipment</t>
  </si>
  <si>
    <t>Cleaning Supplies</t>
  </si>
  <si>
    <t>Construction (Monthly Cost)</t>
  </si>
  <si>
    <t>Electricity Costs</t>
  </si>
  <si>
    <t>Potable Water Costs</t>
  </si>
  <si>
    <t>Sewage Costs</t>
  </si>
  <si>
    <t>Miscellaneous Costs</t>
  </si>
  <si>
    <t>Personal Occupational Health and Safety Equipment</t>
  </si>
  <si>
    <t>Final Cleaning</t>
  </si>
  <si>
    <t>Construction Support - Manual Workers</t>
  </si>
  <si>
    <t>Construction Office - Connections and Equipment</t>
  </si>
  <si>
    <t>Installation of office/cloakroom containers + power and water connections</t>
  </si>
  <si>
    <t>Multifunction printer/copier/scanner/fax device</t>
  </si>
  <si>
    <t>Construction services</t>
  </si>
  <si>
    <t>Laboratory</t>
  </si>
  <si>
    <t>Snow removal from the construction site</t>
  </si>
  <si>
    <t>Construction site removal</t>
  </si>
  <si>
    <t>Construction site installation/disassembly</t>
  </si>
  <si>
    <t>Wheel washer</t>
  </si>
  <si>
    <t>Construction site fencing with gates and wickets</t>
  </si>
  <si>
    <t>Information boards</t>
  </si>
  <si>
    <t>Restoration of greenery (grassing)</t>
  </si>
  <si>
    <t>Miscellaneous costs</t>
  </si>
  <si>
    <t>Fire protection services and fire protection equipment</t>
  </si>
  <si>
    <t>Monitoring of existing construction facilities</t>
  </si>
  <si>
    <t>Safety and Environmental Management System</t>
  </si>
  <si>
    <t>Occupational Health and Safety equipment</t>
  </si>
  <si>
    <t>Small equipment rental</t>
  </si>
  <si>
    <t>Solid Security</t>
  </si>
  <si>
    <t>GeoBet Piotr Siedlecki</t>
  </si>
  <si>
    <t>Removing collisions related to site preparation and construction</t>
  </si>
  <si>
    <t>PORR PES</t>
  </si>
  <si>
    <t>Saniko</t>
  </si>
  <si>
    <t>THYSSENKRUPP MATERIALS POLAND S.A.</t>
  </si>
  <si>
    <t>Ułożenie płyt drogowych MON</t>
  </si>
  <si>
    <t>Wykonanie placów z kruszywa</t>
  </si>
  <si>
    <t>MAR-KOP Marcin Mierzwa</t>
  </si>
  <si>
    <t>Construction of aggregate squares</t>
  </si>
  <si>
    <t>Laying of MON road slabs</t>
  </si>
  <si>
    <t>8.1</t>
  </si>
  <si>
    <t>8.1.1</t>
  </si>
  <si>
    <t>8.2</t>
  </si>
  <si>
    <t>8.2.1</t>
  </si>
  <si>
    <t>8.3</t>
  </si>
  <si>
    <t>8.3.1</t>
  </si>
  <si>
    <t>8.4</t>
  </si>
  <si>
    <t>8.4.1</t>
  </si>
  <si>
    <t>8.4.2</t>
  </si>
  <si>
    <t>8.5</t>
  </si>
  <si>
    <t>8.5.1</t>
  </si>
  <si>
    <t>8.6</t>
  </si>
  <si>
    <t>8.6.1</t>
  </si>
  <si>
    <t>8.7</t>
  </si>
  <si>
    <t>8.7.1</t>
  </si>
  <si>
    <t>8.7.3</t>
  </si>
  <si>
    <t>8.7.1.1</t>
  </si>
  <si>
    <t>8.7.2</t>
  </si>
  <si>
    <t>8.7.4</t>
  </si>
  <si>
    <t>8.7.5</t>
  </si>
  <si>
    <t>8.7.7</t>
  </si>
  <si>
    <t>8.8</t>
  </si>
  <si>
    <t>8.8.1</t>
  </si>
  <si>
    <t>8.8.2</t>
  </si>
  <si>
    <t>8.8.3</t>
  </si>
  <si>
    <t>8.8.4</t>
  </si>
  <si>
    <t>8.7.1.2</t>
  </si>
  <si>
    <t>8.7.1.3</t>
  </si>
  <si>
    <t>8.7.1.4</t>
  </si>
  <si>
    <t>8.6.2</t>
  </si>
  <si>
    <t>8.6.3</t>
  </si>
  <si>
    <t>8.6.4</t>
  </si>
  <si>
    <t>8.5.2</t>
  </si>
  <si>
    <t>8.5.3</t>
  </si>
  <si>
    <t>8.5.4</t>
  </si>
  <si>
    <t>8.5.5</t>
  </si>
  <si>
    <t>8.4.3</t>
  </si>
  <si>
    <t>8.3.2</t>
  </si>
  <si>
    <t>8.3.3</t>
  </si>
  <si>
    <t>8.3.4</t>
  </si>
  <si>
    <t>8.3.5</t>
  </si>
  <si>
    <t>8.3.6</t>
  </si>
  <si>
    <t>8.3.7</t>
  </si>
  <si>
    <t>8.2.2</t>
  </si>
  <si>
    <t>8.2.3</t>
  </si>
  <si>
    <t>8.2.4</t>
  </si>
  <si>
    <t>8.2.5</t>
  </si>
  <si>
    <t>8.2.6</t>
  </si>
  <si>
    <t>8.2.7</t>
  </si>
  <si>
    <t>8.2.8</t>
  </si>
  <si>
    <t>8.2.9</t>
  </si>
  <si>
    <t>8.2.10</t>
  </si>
  <si>
    <t>8.2.11</t>
  </si>
  <si>
    <t>8.2.12</t>
  </si>
  <si>
    <t>8.1.2</t>
  </si>
  <si>
    <t>8.1.3</t>
  </si>
  <si>
    <t>8.1.4</t>
  </si>
  <si>
    <t>8.1.5</t>
  </si>
  <si>
    <t>Wyrównanie do wartości z TCO / Rezerwa</t>
  </si>
  <si>
    <t>Alignment to TCO values / Backup</t>
  </si>
  <si>
    <t>Resp. Buyer</t>
  </si>
  <si>
    <t>Resp. Person Site</t>
  </si>
  <si>
    <t>Resp. Person TME</t>
  </si>
  <si>
    <t>Description PL</t>
  </si>
  <si>
    <t>Description EN</t>
  </si>
  <si>
    <t>Cat.</t>
  </si>
  <si>
    <t>Company</t>
  </si>
  <si>
    <t>Contact</t>
  </si>
  <si>
    <t>Phone</t>
  </si>
  <si>
    <t xml:space="preserve">Start of Procurement </t>
  </si>
  <si>
    <t>Deadline for Procurement</t>
  </si>
  <si>
    <t>Deadline closing</t>
  </si>
  <si>
    <t>Start of Execution</t>
  </si>
  <si>
    <t>End of Execution</t>
  </si>
  <si>
    <t>Status</t>
  </si>
  <si>
    <t>AK0</t>
  </si>
  <si>
    <t>AK</t>
  </si>
  <si>
    <t>Contract Value</t>
  </si>
  <si>
    <t>Result</t>
  </si>
  <si>
    <t>Other</t>
  </si>
  <si>
    <t>Comment</t>
  </si>
  <si>
    <t>Item</t>
  </si>
  <si>
    <t>Instrukcja bezpieczeństwa pożarowego</t>
  </si>
  <si>
    <t>1.11</t>
  </si>
  <si>
    <t>Prace wykończeniowe, w tym wyposażenie i meble</t>
  </si>
  <si>
    <t>Finishing works, including equipment and furniture</t>
  </si>
  <si>
    <t>Utwardzenie terenu pod dźwigi i sprzęt montażowy, Place składowo-magazynowe (kruszywo), Utwardzenie placów budowlano-montażowych (kruszywo), Drogi i chodniki tymczasowe, Koszt przygotowania placu zaplecza budowy ( kruszywo )</t>
  </si>
  <si>
    <t>Paving of the area for cranes and assembly equipment, Storage and storage areas (aggregate), Paving of construction and assembly areas (aggregate), Temporary roads and sidewalks, Construction site preparation costs (aggregate)</t>
  </si>
  <si>
    <t>Zasilenie elektryczne budowy, Zasilenie elektryczne zaplecza, Oświetlenie placu budowy i dróg tymczasowych</t>
  </si>
  <si>
    <t>Construction site power supply, Site Power Supply, Construction site and temporary road lighting</t>
  </si>
  <si>
    <t>2.11.1</t>
  </si>
  <si>
    <t>2.11.2</t>
  </si>
  <si>
    <t>2.11.3</t>
  </si>
  <si>
    <t>2.11.4</t>
  </si>
  <si>
    <t>2.11.5</t>
  </si>
  <si>
    <t>2.11.6</t>
  </si>
  <si>
    <t>2.11.7</t>
  </si>
  <si>
    <t>2.11.8</t>
  </si>
  <si>
    <t>2.11.9</t>
  </si>
  <si>
    <t>2.11.10</t>
  </si>
  <si>
    <t>2.11.11</t>
  </si>
  <si>
    <t>2.11.12</t>
  </si>
  <si>
    <t>2.11.13</t>
  </si>
  <si>
    <t>2.11.14</t>
  </si>
  <si>
    <t>Malowanie</t>
  </si>
  <si>
    <t>Meble</t>
  </si>
  <si>
    <t>Płytki</t>
  </si>
  <si>
    <t>Podłoga podniesiona</t>
  </si>
  <si>
    <t>Posadzka betonowa + wylewki</t>
  </si>
  <si>
    <t>Posadzka z mikrocementu</t>
  </si>
  <si>
    <t>Posadzka żywiczna</t>
  </si>
  <si>
    <t>Sufity podwieszane</t>
  </si>
  <si>
    <t>Ściana przesuwna segmentowa</t>
  </si>
  <si>
    <t>Ścianka gk, ścianka z płyt warstwowych</t>
  </si>
  <si>
    <t>Ścianka szklana</t>
  </si>
  <si>
    <t>Tynki</t>
  </si>
  <si>
    <t>Wykładzina dywanowa / poliamid</t>
  </si>
  <si>
    <t>Zabezpieczenie ścian i słupów do 2,5 m + zabezpieczenie hydrofobowe</t>
  </si>
  <si>
    <t>Painting</t>
  </si>
  <si>
    <t>Furniture</t>
  </si>
  <si>
    <t>Tiles</t>
  </si>
  <si>
    <t>Raised floor</t>
  </si>
  <si>
    <t>Concrete floor + screed</t>
  </si>
  <si>
    <t>Microcement floor</t>
  </si>
  <si>
    <t>Resin floor</t>
  </si>
  <si>
    <t>Suspended ceilings</t>
  </si>
  <si>
    <t>Segmented sliding wall</t>
  </si>
  <si>
    <t>Plasterboard wall, sandwich panel wall</t>
  </si>
  <si>
    <t>Glass wall</t>
  </si>
  <si>
    <t>Plastering</t>
  </si>
  <si>
    <t>Carpet / polyamide</t>
  </si>
  <si>
    <t>Wall and column protection up to 2.5 m + hydrophobic protection</t>
  </si>
  <si>
    <t>2.8.1</t>
  </si>
  <si>
    <t>2.8.2</t>
  </si>
  <si>
    <t>2.8.3</t>
  </si>
  <si>
    <t>2.8.4</t>
  </si>
  <si>
    <t>2.8.5</t>
  </si>
  <si>
    <t>2.8.6</t>
  </si>
  <si>
    <t>2.8.7</t>
  </si>
  <si>
    <t>2.8.8</t>
  </si>
  <si>
    <t>2.8.9</t>
  </si>
  <si>
    <t>2.8.10</t>
  </si>
  <si>
    <t>2.8.11</t>
  </si>
  <si>
    <t>2.8.12</t>
  </si>
  <si>
    <t>2.8.13</t>
  </si>
  <si>
    <t>Attyka</t>
  </si>
  <si>
    <t>Daszek stalowo-aluminiowy</t>
  </si>
  <si>
    <t>Fasada aluminiowo-szklana</t>
  </si>
  <si>
    <t>Lekka mokra</t>
  </si>
  <si>
    <t>Obróbki</t>
  </si>
  <si>
    <t>Okładziny z blachy</t>
  </si>
  <si>
    <t>Okładziny z płyt warstwowych</t>
  </si>
  <si>
    <t xml:space="preserve">Okładziny z płyt włókno-cementowych </t>
  </si>
  <si>
    <t>Podkonstrukcje</t>
  </si>
  <si>
    <t>Podsufitka</t>
  </si>
  <si>
    <t>System asekuracji</t>
  </si>
  <si>
    <t>Żaluzje</t>
  </si>
  <si>
    <t>Parapet</t>
  </si>
  <si>
    <t>Steel-aluminum canopy</t>
  </si>
  <si>
    <t>Aluminum-glass facade</t>
  </si>
  <si>
    <t>Flashings</t>
  </si>
  <si>
    <t>Sheet metal cladding</t>
  </si>
  <si>
    <t>Sandwich panel cladding</t>
  </si>
  <si>
    <t>Fiber cement panel cladding</t>
  </si>
  <si>
    <t>Substructures</t>
  </si>
  <si>
    <t>Soffit lining</t>
  </si>
  <si>
    <t>Scaffolding</t>
  </si>
  <si>
    <t>Safety system</t>
  </si>
  <si>
    <t>Shutters</t>
  </si>
  <si>
    <t xml:space="preserve">ETICS </t>
  </si>
  <si>
    <t>Elektroserv – ZAP sp. z o.o.</t>
  </si>
  <si>
    <t>Roger Gołombek</t>
  </si>
  <si>
    <t>Ducts design</t>
  </si>
  <si>
    <t>Piping design</t>
  </si>
  <si>
    <t>Main coolers</t>
  </si>
  <si>
    <t>Chłodnice</t>
  </si>
  <si>
    <t>Ducts and piping design</t>
  </si>
  <si>
    <t>1.2.6.1</t>
  </si>
  <si>
    <t>1.2.6.2</t>
  </si>
  <si>
    <t>Projekty rurociągi</t>
  </si>
  <si>
    <t>Projekty kanały</t>
  </si>
  <si>
    <t>Projekty - kanały i rurociągi</t>
  </si>
  <si>
    <t xml:space="preserve">Primary &amp; secondary air dampers </t>
  </si>
  <si>
    <t>Agnieszka Zając</t>
  </si>
  <si>
    <t>Damian Wójcik</t>
  </si>
  <si>
    <t>Jank Szczubiał</t>
  </si>
  <si>
    <t>Stanisław Rucki</t>
  </si>
  <si>
    <t>Radosław Zdancewicz</t>
  </si>
  <si>
    <t>Robert Klimczak</t>
  </si>
  <si>
    <t>Alicja Romanowska</t>
  </si>
  <si>
    <t>Jan Szczubiał</t>
  </si>
  <si>
    <t>Magdalena Białorucka</t>
  </si>
  <si>
    <t>Izabela Malarecka</t>
  </si>
  <si>
    <t>Joanna Sawicka</t>
  </si>
  <si>
    <t>Magdalena Przeździak</t>
  </si>
  <si>
    <t>-</t>
  </si>
  <si>
    <t>Magdalena Białorucka / Stanisław Rucki</t>
  </si>
  <si>
    <t>Dorota Jozenas</t>
  </si>
  <si>
    <t>Roer Gołombek</t>
  </si>
  <si>
    <t>Urszula Szwarc</t>
  </si>
  <si>
    <t>Katarzyna Turek</t>
  </si>
  <si>
    <t>Damian Gadowski</t>
  </si>
  <si>
    <t>Rafał Tomczyk</t>
  </si>
  <si>
    <t>Veronica De Mattei
Marta Stagi</t>
  </si>
  <si>
    <t>Piotr Kałeniuk</t>
  </si>
  <si>
    <t>Łukasz Zenka
Piotr Kałeniuk</t>
  </si>
  <si>
    <t>Łukasz Zenka
Piotr Feliński
Sławomir Ciuł</t>
  </si>
  <si>
    <t>Projeky wykonawcze architektoniczne, budowlane, sanitarne, drogowe BoRd_01</t>
  </si>
  <si>
    <t>Detailed architectural, structural, sanitary and road designs BoRd_01</t>
  </si>
  <si>
    <t>PRACOWNIA PROJEKTOWA MENOS Sp. z o.o.</t>
  </si>
  <si>
    <t>1.2.7.1</t>
  </si>
  <si>
    <t>Łukasz Zenka</t>
  </si>
  <si>
    <t>Michał Górka</t>
  </si>
  <si>
    <t>KaBo Borkowski Sp. k.</t>
  </si>
  <si>
    <t>Uzyskiwanie decyzji i pozwoleń BoRd_04</t>
  </si>
  <si>
    <t>Obtaining decisions and permits BoRd_04</t>
  </si>
  <si>
    <t>Damian Wójcik
Piotr Feliński
Łukasz Zenka</t>
  </si>
  <si>
    <t>Dostawa stali zbrojeniowej BoRd_02</t>
  </si>
  <si>
    <t>Supply of reinforcing steel BoRd_02</t>
  </si>
  <si>
    <t>Platforma robocza, roboty ziemne, zasypka muru oporowego BoRd_03</t>
  </si>
  <si>
    <t>Working platform for foundation works, earthworks, backfilling of retaining wall BoRd_03</t>
  </si>
  <si>
    <t>5.14.1.1</t>
  </si>
  <si>
    <t>Rusztowania BoRd_05</t>
  </si>
  <si>
    <t>Scaffoldings BoRd_05</t>
  </si>
  <si>
    <t>AS Rusztowania</t>
  </si>
  <si>
    <t>Damian Wójcik
Paweł Pastuszka</t>
  </si>
  <si>
    <t>Betard Sp. z o.o.</t>
  </si>
  <si>
    <t>2.5.2.2.1</t>
  </si>
  <si>
    <t>2.5.2.2.2</t>
  </si>
  <si>
    <t>2.5.2.2.3</t>
  </si>
  <si>
    <t>2.5.2.2.4</t>
  </si>
  <si>
    <t>Konstrukcja żelbetowa części nadziemnej obiektu B3 - dostawa i montaż elementów prefabrykowanych</t>
  </si>
  <si>
    <t>Reinforced concrete structure of the above-ground part of the B3 building - delivery and assembly of prefabricated elements</t>
  </si>
  <si>
    <t>Damian Wójcik
Piotr Feliński</t>
  </si>
  <si>
    <t>Konstrukcja żelbetowa części nadziemnej pozostałych obiektów</t>
  </si>
  <si>
    <t>2.6.4</t>
  </si>
  <si>
    <t>2.6.5</t>
  </si>
  <si>
    <t>Konstrukcja żelbetowa prefabrykowana obiektu B3 (zmiana z konstrukcji stalowej w stosunku do etapu akwizycji)</t>
  </si>
  <si>
    <t>Konstrukcja żelbetowa prefabrykowana obiektu B4 (zmiana z konstrukcji stalowej w stosunku do etapu akwizycji)</t>
  </si>
  <si>
    <t>Precast reinforced concrete structure of facility B3 (change from steel structure compared to the acquisition stage)</t>
  </si>
  <si>
    <t>Precast reinforced concrete structure of facility B4 (change from steel structure compared to the acquisition stage)</t>
  </si>
  <si>
    <t>2.11.5.1</t>
  </si>
  <si>
    <t>2.11.5.2</t>
  </si>
  <si>
    <t>2.11.5.3</t>
  </si>
  <si>
    <t>2.11.5.4</t>
  </si>
  <si>
    <t>Wykonanie płyt betonowych na gruncie</t>
  </si>
  <si>
    <t>Wykonanie posadzek betonowych i wylewek wraz z izolacją</t>
  </si>
  <si>
    <t>Concrete slab installation on the ground</t>
  </si>
  <si>
    <t>Concrete flooring and screed with insulation</t>
  </si>
  <si>
    <t>PreZero</t>
  </si>
  <si>
    <t>Damian Wójcik
Łukasz Zenka</t>
  </si>
  <si>
    <t>8.4.3.1</t>
  </si>
  <si>
    <t>8.4.3.2</t>
  </si>
  <si>
    <t>Grzegorz Kujawka</t>
  </si>
  <si>
    <t>Adam Kujawka</t>
  </si>
  <si>
    <t>Krzyś</t>
  </si>
  <si>
    <t>8.7.2.1</t>
  </si>
  <si>
    <t>8.2.1.1</t>
  </si>
  <si>
    <t>8.2.2.1</t>
  </si>
  <si>
    <t>8.7.4.1</t>
  </si>
  <si>
    <t>Dostawa płyt drogowych MON ECd_01</t>
  </si>
  <si>
    <t>Delivery of MON road slabs ECd_01</t>
  </si>
  <si>
    <t>Mat Bud Sp. z o.o. sp.k.</t>
  </si>
  <si>
    <t>Dostawa kruszywa ECd_14</t>
  </si>
  <si>
    <t>Delivery of aggregate ECd_14</t>
  </si>
  <si>
    <t>8.2.1.2</t>
  </si>
  <si>
    <t>8.2.1.3</t>
  </si>
  <si>
    <t>CONTAINEX</t>
  </si>
  <si>
    <t>8.2.1.4</t>
  </si>
  <si>
    <t xml:space="preserve">Wynajem kontenerów - inauguracja budowy ECd_02 </t>
  </si>
  <si>
    <t xml:space="preserve">Container rental - construction inauguration ECd_02 </t>
  </si>
  <si>
    <t>Montaż kontenerów na inaugurację budowy ECd_03</t>
  </si>
  <si>
    <t>Container assembly for the construction inauguration ECd_03</t>
  </si>
  <si>
    <t>Ochrona zaplecza budowy ECd_04</t>
  </si>
  <si>
    <t>Site Security ECd_04</t>
  </si>
  <si>
    <t>Wywóz odpadów komunalnych ECd_12</t>
  </si>
  <si>
    <t>Municipal Waste Collection ECd_12</t>
  </si>
  <si>
    <t>Przyłacze wod-kan ECd_05</t>
  </si>
  <si>
    <t>Water and sewage connections ECd_05</t>
  </si>
  <si>
    <t>Obsługa budowy - pracownicy fizyczni ECd_10</t>
  </si>
  <si>
    <t>Construction Support - Manual Workers ECd_10</t>
  </si>
  <si>
    <t>Construction Support - Manual Workers ECd_11</t>
  </si>
  <si>
    <t>Obsługa budowy - pracownicy fizyczni ECd_11</t>
  </si>
  <si>
    <t>Geodezja ECd_06</t>
  </si>
  <si>
    <t>Surveying ECd_06</t>
  </si>
  <si>
    <t>EL-MAR</t>
  </si>
  <si>
    <t>Zasilenie elektryczne budowy, Zasilenie elektryczne zaplecza, Oświetlenie placu budowy i dróg tymczasowych ECd_07</t>
  </si>
  <si>
    <t>Construction site power supply, Site Power Supply, Construction site and temporary road lighting ECd_07</t>
  </si>
  <si>
    <t>Meblorent</t>
  </si>
  <si>
    <t>Sprzęt (wyposażenie kuchni, biura+ meble) ECd_09</t>
  </si>
  <si>
    <t>Equipment (kitchen and office equipment + furniture) ECd_09</t>
  </si>
  <si>
    <t>Projekt budowlany i wykonawczy stacji GPO/GPZ ECd_13</t>
  </si>
  <si>
    <t>Building and detailed design of the GPO/GPZ station ECd_13</t>
  </si>
  <si>
    <t>8.7.2.2</t>
  </si>
  <si>
    <t>Silogistic</t>
  </si>
  <si>
    <t>Construction site fencing with gates and wickets ECd_16</t>
  </si>
  <si>
    <t>Ogrodzenie zaplecza budowy wraz z furtkami i bramami ECd_16</t>
  </si>
  <si>
    <t>WC SERWIS</t>
  </si>
  <si>
    <t>Toi-Toi ECd_17</t>
  </si>
  <si>
    <t>3.1.1.1</t>
  </si>
  <si>
    <t>3.1.1.2</t>
  </si>
  <si>
    <t>Wykonanie zasilania i sterowania dla urządzeń HVAC</t>
  </si>
  <si>
    <t>Implementation of power supply and control for HVAC devices</t>
  </si>
  <si>
    <t>3.4.1.1</t>
  </si>
  <si>
    <t>3.4.1.2</t>
  </si>
  <si>
    <t>Dostawa oprzyrządowania dla kotła</t>
  </si>
  <si>
    <t>Delivery of instrumentation for the boiler</t>
  </si>
  <si>
    <t>Sławomir Ciuł
Łukasz Zenka</t>
  </si>
  <si>
    <t>8.1.3.1</t>
  </si>
  <si>
    <t>8.1.3.2</t>
  </si>
  <si>
    <t>Zakup drobnych materiałów budowlanych i narzędzi ECd_18</t>
  </si>
  <si>
    <t>Zakup drobnych materiałów budowlanych i narzędzi ECd_19</t>
  </si>
  <si>
    <t>Purchase of small construction materials and tools ECd_18</t>
  </si>
  <si>
    <t>Purchase of small construction materials and tools ECd_19</t>
  </si>
  <si>
    <t>Centrum Narzędzi AM TOOLS Andrzej Maćczak</t>
  </si>
  <si>
    <t>Monika Wójcik</t>
  </si>
  <si>
    <t>Zakład Sozotechniki</t>
  </si>
  <si>
    <t>2.6.2.1</t>
  </si>
  <si>
    <t>Konstrukcja stalowa obiektu B3 (bez zadaszenia)</t>
  </si>
  <si>
    <t>Steel structure of facility B3 (without roof)</t>
  </si>
  <si>
    <t>Reinforced concrete structure of the above-ground part of the other buildings</t>
  </si>
  <si>
    <t>9</t>
  </si>
  <si>
    <t>Szanse i ryzyka z etapu akwizycji</t>
  </si>
  <si>
    <t>Opportunities and risks from the acquisition stage</t>
  </si>
  <si>
    <t>MPWIK</t>
  </si>
  <si>
    <t>Zużycie wody i odbiór ścieków ECd_21</t>
  </si>
  <si>
    <t>Water consumption and sewage disposal ECd_21</t>
  </si>
  <si>
    <t>Wynajem pomieszczeń biurowych lub kontenerów biurowych - zaplecze Konsorcjum ECd_20</t>
  </si>
  <si>
    <t>Office Space or Container Rental - Consortium's facility ECd_20</t>
  </si>
  <si>
    <t>8.2.1.5</t>
  </si>
  <si>
    <t>8.2.1.6</t>
  </si>
  <si>
    <t>8.2.5.1</t>
  </si>
  <si>
    <t>Pozwolenie zintegrowane ECd_27</t>
  </si>
  <si>
    <t>Integrated permit ECd_27</t>
  </si>
  <si>
    <t>Transport materiałów z budowy GR2 Świnoujście oraz z Rzeszowa ECd_15</t>
  </si>
  <si>
    <t>Transport of materials from the construction site GR2 Świnoujście and Rzeszów ECd_15</t>
  </si>
  <si>
    <t>Monitoring - kamera timelaps ECd_22</t>
  </si>
  <si>
    <t>Monitoring - timelaps camera ECd_22</t>
  </si>
  <si>
    <t>8.8.2.1</t>
  </si>
  <si>
    <t>Hotel Aleksander</t>
  </si>
  <si>
    <t>SETCON</t>
  </si>
  <si>
    <t>Conference room rental ECd_23</t>
  </si>
  <si>
    <t>Wynajem Sali konferencyjnej ECd_23</t>
  </si>
  <si>
    <t xml:space="preserve">STALER MARKET </t>
  </si>
  <si>
    <t>Wynajem biura ECd_24</t>
  </si>
  <si>
    <t>Office rental ECd_24</t>
  </si>
  <si>
    <t>8.6.2.1</t>
  </si>
  <si>
    <t>8.6.2.2</t>
  </si>
  <si>
    <t>Installation of piezometers ECd_25</t>
  </si>
  <si>
    <t>Instalacja piezometrów ECd_25</t>
  </si>
  <si>
    <t>GEOTEST</t>
  </si>
  <si>
    <t>8.2.3.1</t>
  </si>
  <si>
    <t>MPEC</t>
  </si>
  <si>
    <t>Wykonanie tymczasowego przyłącza energii elektrycznej ECd_26</t>
  </si>
  <si>
    <t>The temporary power sypply installation ECd_26</t>
  </si>
  <si>
    <t>8.2.9.1</t>
  </si>
  <si>
    <t>8.2.9.2</t>
  </si>
  <si>
    <t xml:space="preserve">COFFEE PARTNER </t>
  </si>
  <si>
    <t>Wynajem ekspresu do kawy ECd_28</t>
  </si>
  <si>
    <t>Coffee machine rental ECd_28</t>
  </si>
  <si>
    <t>Drinking water machine rental ECd_29</t>
  </si>
  <si>
    <t>Wynajem dyspozytora do wody pitnej ECd_29</t>
  </si>
  <si>
    <t>8.2.4.1</t>
  </si>
  <si>
    <t>AQUAMO</t>
  </si>
  <si>
    <t>Ściana szczelinowa gr. 100 cm oraz 6 przylegających baret</t>
  </si>
  <si>
    <t>Wykonanie baret - 19 szt. w obrębie obiektu B1.1, B1.2, B1.3, B1.4 oraz 4 szt. baret pod komin</t>
  </si>
  <si>
    <t>Diaphragm wall 100 cm thick and 6 adjacent barrettes</t>
  </si>
  <si>
    <t>Execution of barrettes - 19 pcs. within the facility B1.1, B1.2, B1.3, B1.4 and 4 pcs. barrettes for the stack</t>
  </si>
  <si>
    <t>2.5.1.4</t>
  </si>
  <si>
    <t>Wykonanie izolacji przedścianki</t>
  </si>
  <si>
    <t>Execution of pre-wall insulation</t>
  </si>
  <si>
    <t>8.1.5.1</t>
  </si>
  <si>
    <t>Żuraw wieżowy stacjonarny + żuraw samorozstawny</t>
  </si>
  <si>
    <t>Stationary tower crane + self-erecting crane</t>
  </si>
  <si>
    <t>Żurawie Wielkopolska Sp. z o.o.</t>
  </si>
  <si>
    <t>6.4.1</t>
  </si>
  <si>
    <t>Wydłużenie okresu gwarancji i rękojmi do 48 m-cy dla robót elektrycznych, tletechnicznych i AKPiA</t>
  </si>
  <si>
    <t>Extension of the guarantee and warranty period to 48 months for electrical, technical and I&amp;C works</t>
  </si>
  <si>
    <t>Dostawa mieszanki betonowej wraz z usługą pompowania / posadzki, płyty na gruncie</t>
  </si>
  <si>
    <t>Supply of concrete mix with pumping service / floors, slabs on the ground</t>
  </si>
  <si>
    <t>Dostawa mieszanki betonowej wraz z usługą pompowania / fundamenty</t>
  </si>
  <si>
    <t>Supply of concrete mix with pumping service / foundation</t>
  </si>
  <si>
    <t>Dostawa mieszanki betonowej wraz z usługą pompowania / cz. nadziemna obiektów</t>
  </si>
  <si>
    <t>Supply of concrete mix with pumping service / above-ground part of buildings</t>
  </si>
  <si>
    <t>2.4.1</t>
  </si>
  <si>
    <t>2.4.2</t>
  </si>
  <si>
    <t>Izolacja - robocizna</t>
  </si>
  <si>
    <t>Insulation - work</t>
  </si>
  <si>
    <t>2.14.2.1</t>
  </si>
  <si>
    <t>2.14.2.2</t>
  </si>
  <si>
    <t>2.14.2.3</t>
  </si>
  <si>
    <t>Droga zewnętrzna - wykonanie podbudowy</t>
  </si>
  <si>
    <t>Droga zewnętrzna - wykonanie warstw wierzchnich</t>
  </si>
  <si>
    <t>External road- sub-base construction</t>
  </si>
  <si>
    <t>External road - surface layer construction</t>
  </si>
  <si>
    <t>2.6.3.1</t>
  </si>
  <si>
    <t>Konstrukcja stalowa obiektu B4 (bez zadaszenia)</t>
  </si>
  <si>
    <t>Steel structure of facility B4 (without roof)</t>
  </si>
  <si>
    <t>8.8.2.2</t>
  </si>
  <si>
    <t>Monitoring - instalacja kamery timelaps ECd_30</t>
  </si>
  <si>
    <t>Monitoring - installation of timelaps camera ECd_30</t>
  </si>
  <si>
    <t>ARBO-DRWAL</t>
  </si>
  <si>
    <t>Obsługa laboratoryjna ECd_31</t>
  </si>
  <si>
    <t>Laboratory services ECd_31</t>
  </si>
  <si>
    <t>BARG</t>
  </si>
  <si>
    <t>2.5.1.5</t>
  </si>
  <si>
    <t>Laboratory services - testing of concrete mix and hardened concrete ECd_31</t>
  </si>
  <si>
    <t>Obsługa laboratoryjna - badania mieszanki betonowej i stwardniałego betonu ECd_31</t>
  </si>
  <si>
    <t>8.2.7.1</t>
  </si>
  <si>
    <t>Open order - office supplies ECd_32</t>
  </si>
  <si>
    <t>Otwarte zamówienie - materiały biurowe ECd_32</t>
  </si>
  <si>
    <t>8.2.11.1</t>
  </si>
  <si>
    <t>AV KREATOR</t>
  </si>
  <si>
    <t>ABIS</t>
  </si>
  <si>
    <t>TV ECd_33</t>
  </si>
  <si>
    <t>8.7.1.5</t>
  </si>
  <si>
    <t>8.7.1.6</t>
  </si>
  <si>
    <t>PROJBUD</t>
  </si>
  <si>
    <t>Tymczasowa organizacja ruchu ECd_34</t>
  </si>
  <si>
    <t>Temporary Traffic Management ECd_34</t>
  </si>
  <si>
    <t>8.2.8.1</t>
  </si>
  <si>
    <t>CERBER</t>
  </si>
  <si>
    <t>Cleaning services ECd_35</t>
  </si>
  <si>
    <t>Obsługa firmy sprzątającej ECd_35</t>
  </si>
  <si>
    <t>MIRRO</t>
  </si>
  <si>
    <t>Meble kuchenne do biura ECd_36</t>
  </si>
  <si>
    <t>Office kitchen furniture  ECd_36</t>
  </si>
  <si>
    <t>8.5.2.1</t>
  </si>
  <si>
    <t>8.5.2.2</t>
  </si>
  <si>
    <t>Sprzęt (wyposażenie kuchni, biura+ meble)</t>
  </si>
  <si>
    <t xml:space="preserve">Equipment (kitchen and office equipment + furniture) </t>
  </si>
  <si>
    <t>Przyłącze do internetu ECd_37</t>
  </si>
  <si>
    <t>Internet Connection ECd_37</t>
  </si>
  <si>
    <t>THORNET</t>
  </si>
  <si>
    <t>Wywóz odpadów budowlanych ECd_38</t>
  </si>
  <si>
    <t>Construction Waste Removal  ECd_38</t>
  </si>
  <si>
    <t>INSTALNOVA</t>
  </si>
  <si>
    <t>ATMOMAT</t>
  </si>
  <si>
    <t>Open order - sanitary industry assortment ECd_39</t>
  </si>
  <si>
    <t>Open order - sanitary industry assortment ECd_40</t>
  </si>
  <si>
    <t>Otwarte zamówienie – asortyment branży sanitarnej ECd_40</t>
  </si>
  <si>
    <t>Otwarte zamówienie – asortyment branży sanitarnej ECd_39</t>
  </si>
  <si>
    <t>8.1.3.3</t>
  </si>
  <si>
    <t>8.1.3.4</t>
  </si>
  <si>
    <t xml:space="preserve">Optimal Design of Structures Sp. z o.o. </t>
  </si>
  <si>
    <t>AK zwiększono w stosunku do AK0 o 443k PLN korzystając z poz. 2.6.1</t>
  </si>
  <si>
    <t>AF Konstrukcje</t>
  </si>
  <si>
    <t>Equipment steel support structures</t>
  </si>
  <si>
    <t xml:space="preserve">konstr. stalowe </t>
  </si>
  <si>
    <t>KSM Parsęcko Sp. z o.o.</t>
  </si>
  <si>
    <t>UDT CERT</t>
  </si>
  <si>
    <t>5.4.1.1</t>
  </si>
  <si>
    <t>AK zmniejszono w stosunku do AK0 o 443k PLN zwiększając poz. 1.2.2 (projektowanie przez ODS)</t>
  </si>
  <si>
    <t>Usunięcie kolizji związanych z przygotowaniem terenu zaplecza i budowy</t>
  </si>
  <si>
    <t>Sefako</t>
  </si>
  <si>
    <t>8.3.1.1</t>
  </si>
  <si>
    <t>Przenośnik łańcuchowy pod rusztem + Odprowadzenie popiołu dennego + Stół wibracyjny / przesiewacz zbiorczy || Odżużlacz</t>
  </si>
  <si>
    <t>Projekt Wykonawcze: konstrukcja wsporcza stalowa kotła i konstrukcje wsporcze urządzeń ECd_41</t>
  </si>
  <si>
    <t>Detailed design: boiler support steel structure and equipment support structures ECd_41</t>
  </si>
  <si>
    <t>Analiza HAZOP i SIL, klasyfikacja ATEX, dokumentacji zabezpieczenia przed wybuchem ECd_47</t>
  </si>
  <si>
    <t>HAZOP study and SIL analysis, ATEX classification, explosion protection documentation ECd_47</t>
  </si>
  <si>
    <t>Droga zewnętrzna - dostawa kruszywa ECd_46</t>
  </si>
  <si>
    <t>External road - aggregate delivery ECd_46</t>
  </si>
  <si>
    <t>8.3.1.2</t>
  </si>
  <si>
    <t>MOBIL SERWIS</t>
  </si>
  <si>
    <t>Wynajem agregatów prądotwórczych ECd_44</t>
  </si>
  <si>
    <t>Generator rental ECd_44</t>
  </si>
  <si>
    <t>8.4.1.1</t>
  </si>
  <si>
    <t>Prosave</t>
  </si>
  <si>
    <t>Wyposażenie osobiste BHP ECd_43</t>
  </si>
  <si>
    <t>Personal Occupational Health and Safety Equipment ECd_43</t>
  </si>
  <si>
    <t>8.7.1.7</t>
  </si>
  <si>
    <t>Paweł Pastuszka</t>
  </si>
  <si>
    <t>Filip Piórczyński</t>
  </si>
  <si>
    <t>DROG-ZNAK</t>
  </si>
  <si>
    <t>Usługi Sprzętowo - Transportowe Sławomir Boruczkowski</t>
  </si>
  <si>
    <t>Zakup znaków drogowych ECd_42</t>
  </si>
  <si>
    <t>Zakup gruzu na wykonanie placów składowych i platform roboczych ECd_45</t>
  </si>
  <si>
    <t>Purchase of road signs ECd_42</t>
  </si>
  <si>
    <t>Purchase of rubble for the construction of storage yards and work platforms ECd_45</t>
  </si>
  <si>
    <t>Zbiornik wody zasilającej (ZWZ) i odgazowywacz</t>
  </si>
  <si>
    <t>Holcim S.A.</t>
  </si>
  <si>
    <t>LOIBL Forderanlagen GmbH</t>
  </si>
  <si>
    <t>2.6.1.1</t>
  </si>
  <si>
    <t>Belki podsuwnicowe B1.2</t>
  </si>
  <si>
    <t>Gantry beams B1.2</t>
  </si>
  <si>
    <t>konstr. stalowe lub prefabrykaty</t>
  </si>
  <si>
    <t>ZBUD</t>
  </si>
  <si>
    <t>NOWOSTAL Sp. z o.o.</t>
  </si>
  <si>
    <t>Triveni / Siemens</t>
  </si>
  <si>
    <t>Owent / Fawent</t>
  </si>
  <si>
    <t>Uniterm / AS Technologie</t>
  </si>
  <si>
    <t>BCE / Saacke / ETES</t>
  </si>
  <si>
    <t>Energosistem / Estanc / Instal Rzeszów</t>
  </si>
  <si>
    <t>System stabilizacji ciśnienia wody / odgazowywacz</t>
  </si>
  <si>
    <t>Water pressure stabilization system / deaerator</t>
  </si>
  <si>
    <t>Avantea Steel Solutions</t>
  </si>
  <si>
    <t>8.8.4.1</t>
  </si>
  <si>
    <t>8.8.4.2</t>
  </si>
  <si>
    <t>Usunięcie istniejących fundamentów żelbetowych w rejonie obiektu B2</t>
  </si>
  <si>
    <t>P.W. Markopol</t>
  </si>
  <si>
    <t>Zaślepienie istniejącego gazociągu ECd_54</t>
  </si>
  <si>
    <t>Removal of existing reinforced concrete foundations in the vicinity of Building B2</t>
  </si>
  <si>
    <t>Capping of the existing gas pipeline ECd_54</t>
  </si>
  <si>
    <t>8.7.1.8</t>
  </si>
  <si>
    <t>Znaktom</t>
  </si>
  <si>
    <t>Wykonanie oznakowania poziomego i pionowego ECd_52</t>
  </si>
  <si>
    <t>Installation of road markings and traffic signs ECd_52</t>
  </si>
  <si>
    <t>8.1.1.1</t>
  </si>
  <si>
    <t>8.1.1.2</t>
  </si>
  <si>
    <t>TLC Rental</t>
  </si>
  <si>
    <t xml:space="preserve">Michelin </t>
  </si>
  <si>
    <t>Zakup schodów tymczasowych ECd_48</t>
  </si>
  <si>
    <t>Posiłki ECd_53</t>
  </si>
  <si>
    <t>Purchase of temporary stairs ECd_48</t>
  </si>
  <si>
    <t>Meals ECd_53</t>
  </si>
  <si>
    <t>2.4.3</t>
  </si>
  <si>
    <t>TWS Sp. z o.o.</t>
  </si>
  <si>
    <t>Izolacja - dostawa - Hydrostop ECd_51</t>
  </si>
  <si>
    <t>Izolacja - dostawa - folia, masa ECd_14</t>
  </si>
  <si>
    <t>Insulation – supply – Hydrostop ECd_51</t>
  </si>
  <si>
    <t>Insulation – supply – foil, compound ECd_14</t>
  </si>
  <si>
    <t>Kinga Wojtalik</t>
  </si>
  <si>
    <t>2.3.1</t>
  </si>
  <si>
    <t>2.3.2</t>
  </si>
  <si>
    <t>Wynajem pompy drenażowej ECd_49</t>
  </si>
  <si>
    <t>Mobilizacja, montaż i dzierżawa instalacji igłofiltrowej wraz z pompami ECd_50</t>
  </si>
  <si>
    <t>Rental of an drainage pump ECd_49</t>
  </si>
  <si>
    <t xml:space="preserve">Mobilization, installation and leasing of a wellpoint system including pumps ECd_50 </t>
  </si>
  <si>
    <t>PPHU Klaudia</t>
  </si>
  <si>
    <t>HAMER</t>
  </si>
  <si>
    <t>Fly ash extraction system for the boiler and conveyors / Mechanical &amp; pneumatic transport of boiler ash and fly ash</t>
  </si>
  <si>
    <t>System odprowadzania popiołu lotnego z kotła wraz z przenośnikami /  Transport mechaniczny &amp; pneumatyczny dla popiołu lotnego</t>
  </si>
  <si>
    <t xml:space="preserve">Piotr Feliński </t>
  </si>
  <si>
    <t>Total</t>
  </si>
  <si>
    <t>#REF!</t>
  </si>
  <si>
    <t>(blank)</t>
  </si>
  <si>
    <t>5.13.11</t>
  </si>
  <si>
    <t>waste water treatment</t>
  </si>
  <si>
    <t>5.10.13.6</t>
  </si>
  <si>
    <t>Bypass</t>
  </si>
  <si>
    <t>4_1900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</si>
</sst>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00\ _€_-;\-* #,##0.00\ _€_-;_-* &quot;-&quot;??\ _€_-;_-@_-"/>
    <numFmt numFmtId="165" formatCode="#,##0.00_ ;[Red]\-#,##0.00\ "/>
    <numFmt numFmtId="166" formatCode="d/m/yy;@"/>
    <numFmt numFmtId="167" formatCode="dd/mm/yy;@"/>
    <numFmt numFmtId="168" formatCode="#,##0_ ;\-#,##0\ "/>
    <numFmt numFmtId="169" formatCode="_(* #,##0.00_);_(* \(#,##0.00\);_(* &quot;-&quot;??_);_(@_)"/>
    <numFmt numFmtId="170" formatCode="#,##0.000"/>
    <numFmt numFmtId="171" formatCode="d/mm/yyyy;@"/>
    <numFmt numFmtId="172" formatCode="[$-415]mmm\ yy;@"/>
    <numFmt numFmtId="173" formatCode="0\ &quot;×&quot;"/>
    <numFmt numFmtId="174" formatCode="#,##0_ ;[Red]\-#,##0\ "/>
  </numFmts>
  <fonts count="34" x14ac:knownFonts="1">
    <font>
      <sz val="10"/>
      <color theme="1"/>
      <name val="Arial"/>
      <family val="2"/>
    </font>
    <font>
      <sz val="10"/>
      <color indexed="8"/>
      <name val="Arial"/>
      <family val="2"/>
    </font>
    <font>
      <sz val="10"/>
      <name val="Arial"/>
      <family val="2"/>
    </font>
    <font>
      <sz val="9.5"/>
      <color theme="1"/>
      <name val="Trebuchet MS"/>
      <family val="2"/>
    </font>
    <font>
      <b/>
      <sz val="9.5"/>
      <color theme="1"/>
      <name val="Trebuchet MS"/>
      <family val="2"/>
    </font>
    <font>
      <b/>
      <sz val="9.5"/>
      <color rgb="FFFF0000"/>
      <name val="Trebuchet MS"/>
      <family val="2"/>
    </font>
    <font>
      <sz val="9.5"/>
      <name val="Trebuchet MS"/>
      <family val="2"/>
    </font>
    <font>
      <b/>
      <sz val="11"/>
      <color theme="1"/>
      <name val="Trebuchet MS"/>
      <family val="2"/>
    </font>
    <font>
      <sz val="8"/>
      <color theme="1"/>
      <name val="Trebuchet MS"/>
      <family val="2"/>
    </font>
    <font>
      <sz val="10"/>
      <color theme="1"/>
      <name val="Arial"/>
      <family val="2"/>
    </font>
    <font>
      <strike/>
      <sz val="9.5"/>
      <name val="Trebuchet MS"/>
      <family val="2"/>
    </font>
    <font>
      <b/>
      <sz val="9.5"/>
      <name val="Trebuchet MS"/>
      <family val="2"/>
    </font>
    <font>
      <b/>
      <sz val="10"/>
      <color rgb="FFFF0000"/>
      <name val="Arial"/>
      <family val="2"/>
    </font>
    <font>
      <sz val="10"/>
      <color theme="1"/>
      <name val="Trebuchet MS"/>
      <family val="2"/>
    </font>
    <font>
      <sz val="11"/>
      <color theme="1"/>
      <name val="Calibri"/>
      <family val="2"/>
      <scheme val="minor"/>
    </font>
    <font>
      <sz val="9"/>
      <color theme="1"/>
      <name val="Trebuchet MS"/>
      <family val="2"/>
    </font>
    <font>
      <b/>
      <sz val="9.5"/>
      <color rgb="FFC00000"/>
      <name val="Trebuchet MS"/>
      <family val="2"/>
    </font>
    <font>
      <sz val="9.5"/>
      <color theme="9" tint="-0.249977111117893"/>
      <name val="Trebuchet MS"/>
      <family val="2"/>
    </font>
    <font>
      <sz val="9.5"/>
      <color rgb="FF92D050"/>
      <name val="Trebuchet MS"/>
      <family val="2"/>
    </font>
    <font>
      <sz val="9.5"/>
      <color theme="6" tint="-0.249977111117893"/>
      <name val="Trebuchet MS"/>
      <family val="2"/>
    </font>
    <font>
      <i/>
      <sz val="9.5"/>
      <color theme="0" tint="-0.499984740745262"/>
      <name val="Trebuchet MS"/>
      <family val="2"/>
    </font>
    <font>
      <sz val="48"/>
      <color theme="1"/>
      <name val="Trebuchet MS"/>
      <family val="2"/>
    </font>
    <font>
      <sz val="9.5"/>
      <color theme="0" tint="-0.499984740745262"/>
      <name val="Trebuchet MS"/>
      <family val="2"/>
    </font>
    <font>
      <sz val="9.5"/>
      <color theme="1"/>
      <name val="Aptos Narrow"/>
      <family val="2"/>
    </font>
    <font>
      <sz val="8.5"/>
      <color theme="1"/>
      <name val="Trebuchet MS"/>
      <family val="2"/>
    </font>
    <font>
      <b/>
      <sz val="10"/>
      <color theme="1"/>
      <name val="Arial"/>
      <family val="2"/>
    </font>
    <font>
      <sz val="10"/>
      <name val="Arial"/>
      <family val="2"/>
      <charset val="238"/>
    </font>
    <font>
      <sz val="9.5"/>
      <name val="Trebuchet MS"/>
      <family val="2"/>
      <charset val="238"/>
    </font>
    <font>
      <b/>
      <sz val="9.5"/>
      <name val="Trebuchet MS"/>
      <family val="2"/>
      <charset val="238"/>
    </font>
    <font>
      <sz val="11"/>
      <color theme="0"/>
      <name val="Trebuchet MS"/>
      <family val="2"/>
    </font>
    <font>
      <b/>
      <sz val="10"/>
      <color theme="1"/>
      <name val="Trebuchet MS"/>
      <family val="2"/>
    </font>
    <font>
      <sz val="10"/>
      <name val="Trebuchet MS"/>
      <family val="2"/>
    </font>
    <font>
      <sz val="8"/>
      <name val="Arial"/>
      <family val="2"/>
    </font>
    <font>
      <sz val="10"/>
      <color theme="0" tint="-0.14999847407452621"/>
      <name val="Arial"/>
      <family val="2"/>
    </font>
  </fonts>
  <fills count="27">
    <fill>
      <patternFill patternType="none"/>
    </fill>
    <fill>
      <patternFill patternType="gray125"/>
    </fill>
    <fill>
      <patternFill patternType="solid">
        <fgColor theme="6" tint="0.79995117038483843"/>
        <bgColor indexed="64"/>
      </patternFill>
    </fill>
    <fill>
      <patternFill patternType="solid">
        <fgColor theme="0" tint="-0.14996795556505021"/>
        <bgColor indexed="64"/>
      </patternFill>
    </fill>
    <fill>
      <patternFill patternType="solid">
        <fgColor theme="0" tint="-4.9958800012207406E-2"/>
        <bgColor indexed="64"/>
      </patternFill>
    </fill>
    <fill>
      <patternFill patternType="solid">
        <fgColor theme="2" tint="-0.24994659260841701"/>
        <bgColor indexed="64"/>
      </patternFill>
    </fill>
    <fill>
      <patternFill patternType="solid">
        <fgColor theme="2" tint="-9.9948118533890809E-2"/>
        <bgColor indexed="64"/>
      </patternFill>
    </fill>
    <fill>
      <patternFill patternType="solid">
        <fgColor rgb="FF5FAAFF"/>
        <bgColor indexed="64"/>
      </patternFill>
    </fill>
    <fill>
      <patternFill patternType="solid">
        <fgColor rgb="FFFFC000"/>
        <bgColor indexed="64"/>
      </patternFill>
    </fill>
    <fill>
      <patternFill patternType="solid">
        <fgColor rgb="FFC9EDFF"/>
        <bgColor indexed="64"/>
      </patternFill>
    </fill>
    <fill>
      <patternFill patternType="solid">
        <fgColor rgb="FF00B0F0"/>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3"/>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C0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theme="4" tint="0.59999389629810485"/>
        <bgColor indexed="64"/>
      </patternFill>
    </fill>
  </fills>
  <borders count="49">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auto="1"/>
      </right>
      <top/>
      <bottom/>
      <diagonal/>
    </border>
    <border>
      <left style="thin">
        <color auto="1"/>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medium">
        <color auto="1"/>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thin">
        <color indexed="64"/>
      </top>
      <bottom style="thin">
        <color indexed="64"/>
      </bottom>
      <diagonal/>
    </border>
    <border>
      <left style="thin">
        <color indexed="64"/>
      </left>
      <right style="thin">
        <color indexed="64"/>
      </right>
      <top/>
      <bottom/>
      <diagonal/>
    </border>
    <border>
      <left style="thin">
        <color rgb="FFC00000"/>
      </left>
      <right style="thin">
        <color rgb="FFC00000"/>
      </right>
      <top/>
      <bottom/>
      <diagonal/>
    </border>
    <border>
      <left style="thin">
        <color auto="1"/>
      </left>
      <right style="hair">
        <color theme="0" tint="-0.14996795556505021"/>
      </right>
      <top style="thin">
        <color auto="1"/>
      </top>
      <bottom/>
      <diagonal/>
    </border>
    <border>
      <left style="hair">
        <color theme="0" tint="-0.14996795556505021"/>
      </left>
      <right style="hair">
        <color theme="0" tint="-0.14996795556505021"/>
      </right>
      <top style="thin">
        <color auto="1"/>
      </top>
      <bottom/>
      <diagonal/>
    </border>
    <border>
      <left style="hair">
        <color theme="0" tint="-0.14996795556505021"/>
      </left>
      <right style="thin">
        <color auto="1"/>
      </right>
      <top style="thin">
        <color auto="1"/>
      </top>
      <bottom/>
      <diagonal/>
    </border>
    <border>
      <left style="thin">
        <color auto="1"/>
      </left>
      <right style="hair">
        <color theme="0" tint="-0.14996795556505021"/>
      </right>
      <top style="thin">
        <color indexed="64"/>
      </top>
      <bottom style="thin">
        <color auto="1"/>
      </bottom>
      <diagonal/>
    </border>
    <border>
      <left style="hair">
        <color theme="0" tint="-0.14996795556505021"/>
      </left>
      <right style="hair">
        <color theme="0" tint="-0.14996795556505021"/>
      </right>
      <top style="thin">
        <color indexed="64"/>
      </top>
      <bottom style="thin">
        <color auto="1"/>
      </bottom>
      <diagonal/>
    </border>
    <border>
      <left style="hair">
        <color theme="0" tint="-0.14996795556505021"/>
      </left>
      <right style="thin">
        <color auto="1"/>
      </right>
      <top style="thin">
        <color indexed="64"/>
      </top>
      <bottom style="thin">
        <color auto="1"/>
      </bottom>
      <diagonal/>
    </border>
    <border>
      <left style="thin">
        <color auto="1"/>
      </left>
      <right/>
      <top/>
      <bottom style="hair">
        <color theme="0" tint="-0.14996795556505021"/>
      </bottom>
      <diagonal/>
    </border>
    <border>
      <left style="thin">
        <color auto="1"/>
      </left>
      <right style="hair">
        <color theme="0" tint="-0.14996795556505021"/>
      </right>
      <top/>
      <bottom style="hair">
        <color theme="0" tint="-0.14996795556505021"/>
      </bottom>
      <diagonal/>
    </border>
    <border>
      <left style="hair">
        <color theme="0" tint="-0.14996795556505021"/>
      </left>
      <right style="hair">
        <color theme="0" tint="-0.14996795556505021"/>
      </right>
      <top/>
      <bottom style="hair">
        <color theme="0" tint="-0.14996795556505021"/>
      </bottom>
      <diagonal/>
    </border>
    <border>
      <left style="hair">
        <color theme="0" tint="-0.14996795556505021"/>
      </left>
      <right style="thin">
        <color auto="1"/>
      </right>
      <top/>
      <bottom style="hair">
        <color theme="0" tint="-0.14996795556505021"/>
      </bottom>
      <diagonal/>
    </border>
    <border>
      <left style="thin">
        <color auto="1"/>
      </left>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style="hair">
        <color theme="0" tint="-0.149967955565050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style="hair">
        <color theme="0" tint="-0.14996795556505021"/>
      </left>
      <right style="thin">
        <color auto="1"/>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diagonal/>
    </border>
    <border>
      <left style="hair">
        <color theme="0" tint="-0.14996795556505021"/>
      </left>
      <right style="hair">
        <color theme="0" tint="-0.14996795556505021"/>
      </right>
      <top style="hair">
        <color theme="0" tint="-0.14996795556505021"/>
      </top>
      <bottom/>
      <diagonal/>
    </border>
    <border>
      <left style="hair">
        <color theme="0" tint="-0.14996795556505021"/>
      </left>
      <right style="thin">
        <color auto="1"/>
      </right>
      <top style="hair">
        <color theme="0" tint="-0.14996795556505021"/>
      </top>
      <bottom/>
      <diagonal/>
    </border>
    <border>
      <left style="thin">
        <color auto="1"/>
      </left>
      <right style="hair">
        <color theme="0" tint="-0.14996795556505021"/>
      </right>
      <top style="hair">
        <color theme="0" tint="-0.14996795556505021"/>
      </top>
      <bottom style="thin">
        <color auto="1"/>
      </bottom>
      <diagonal/>
    </border>
    <border>
      <left style="hair">
        <color theme="0" tint="-0.14996795556505021"/>
      </left>
      <right style="hair">
        <color theme="0" tint="-0.14996795556505021"/>
      </right>
      <top style="hair">
        <color theme="0" tint="-0.14996795556505021"/>
      </top>
      <bottom style="thin">
        <color auto="1"/>
      </bottom>
      <diagonal/>
    </border>
    <border>
      <left style="hair">
        <color theme="0" tint="-0.14996795556505021"/>
      </left>
      <right style="thin">
        <color auto="1"/>
      </right>
      <top style="hair">
        <color theme="0" tint="-0.14996795556505021"/>
      </top>
      <bottom style="thin">
        <color auto="1"/>
      </bottom>
      <diagonal/>
    </border>
  </borders>
  <cellStyleXfs count="10">
    <xf numFmtId="0" fontId="0" fillId="0" borderId="0"/>
    <xf numFmtId="0" fontId="25" fillId="0" borderId="0" applyNumberFormat="0" applyFill="0" applyBorder="0" applyAlignment="0" applyProtection="0"/>
    <xf numFmtId="164" fontId="9" fillId="0" borderId="0" applyFont="0" applyFill="0" applyBorder="0" applyAlignment="0" applyProtection="0"/>
    <xf numFmtId="164" fontId="1" fillId="0" borderId="0" applyFont="0" applyFill="0" applyBorder="0" applyAlignment="0" applyProtection="0"/>
    <xf numFmtId="169" fontId="9"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2" fillId="0" borderId="0"/>
    <xf numFmtId="0" fontId="14" fillId="0" borderId="0"/>
    <xf numFmtId="9" fontId="9" fillId="0" borderId="0" applyFont="0" applyFill="0" applyBorder="0" applyAlignment="0" applyProtection="0"/>
  </cellStyleXfs>
  <cellXfs count="362">
    <xf numFmtId="0" fontId="0" fillId="0" borderId="0" xfId="0"/>
    <xf numFmtId="0" fontId="4" fillId="9" borderId="15" xfId="0" applyFont="1" applyFill="1" applyBorder="1" applyAlignment="1">
      <alignment horizontal="center" vertical="center" wrapText="1"/>
    </xf>
    <xf numFmtId="0" fontId="3" fillId="0" borderId="0" xfId="0" applyFont="1" applyAlignment="1">
      <alignment vertical="center"/>
    </xf>
    <xf numFmtId="0" fontId="3" fillId="0" borderId="0" xfId="0" applyFont="1" applyAlignment="1">
      <alignment horizontal="center" vertical="center"/>
    </xf>
    <xf numFmtId="0" fontId="4" fillId="2" borderId="2"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3" borderId="4" xfId="0" quotePrefix="1" applyFont="1" applyFill="1" applyBorder="1" applyAlignment="1">
      <alignment horizontal="center" vertical="center" wrapText="1"/>
    </xf>
    <xf numFmtId="0" fontId="4" fillId="0" borderId="0" xfId="0" applyFont="1" applyAlignment="1">
      <alignment horizontal="center" vertical="center"/>
    </xf>
    <xf numFmtId="0" fontId="4" fillId="0" borderId="5" xfId="0" applyFont="1" applyBorder="1" applyAlignment="1">
      <alignment horizontal="center" vertical="center"/>
    </xf>
    <xf numFmtId="0" fontId="4" fillId="3" borderId="4" xfId="0" applyFont="1" applyFill="1" applyBorder="1" applyAlignment="1">
      <alignment vertical="center"/>
    </xf>
    <xf numFmtId="165" fontId="3" fillId="4" borderId="4" xfId="2" applyNumberFormat="1" applyFont="1" applyFill="1" applyBorder="1" applyAlignment="1" applyProtection="1">
      <alignment vertical="center"/>
    </xf>
    <xf numFmtId="165" fontId="4" fillId="3" borderId="4" xfId="2" applyNumberFormat="1" applyFont="1" applyFill="1" applyBorder="1" applyAlignment="1" applyProtection="1">
      <alignment vertical="center"/>
    </xf>
    <xf numFmtId="165" fontId="3" fillId="0" borderId="0" xfId="0" applyNumberFormat="1" applyFont="1" applyAlignment="1">
      <alignment horizontal="center" vertical="center"/>
    </xf>
    <xf numFmtId="0" fontId="4" fillId="5" borderId="4" xfId="0" applyFont="1" applyFill="1" applyBorder="1" applyAlignment="1">
      <alignment vertical="center"/>
    </xf>
    <xf numFmtId="165" fontId="3" fillId="6" borderId="4" xfId="2" applyNumberFormat="1" applyFont="1" applyFill="1" applyBorder="1" applyAlignment="1" applyProtection="1">
      <alignment vertical="center"/>
    </xf>
    <xf numFmtId="165" fontId="4" fillId="5" borderId="4" xfId="2" applyNumberFormat="1" applyFont="1" applyFill="1" applyBorder="1" applyAlignment="1" applyProtection="1">
      <alignment vertical="center"/>
    </xf>
    <xf numFmtId="0" fontId="5" fillId="0" borderId="7" xfId="0" applyFont="1" applyBorder="1" applyAlignment="1">
      <alignment horizontal="center" vertical="center"/>
    </xf>
    <xf numFmtId="165" fontId="4" fillId="7" borderId="8" xfId="2" applyNumberFormat="1" applyFont="1" applyFill="1" applyBorder="1" applyAlignment="1" applyProtection="1">
      <alignment horizontal="right"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166" fontId="5" fillId="0" borderId="12" xfId="0" applyNumberFormat="1" applyFont="1" applyBorder="1" applyAlignment="1">
      <alignment horizontal="center" vertical="center"/>
    </xf>
    <xf numFmtId="165" fontId="4" fillId="7" borderId="13" xfId="2" applyNumberFormat="1" applyFont="1" applyFill="1" applyBorder="1" applyAlignment="1" applyProtection="1">
      <alignment horizontal="right" vertical="center"/>
    </xf>
    <xf numFmtId="0" fontId="3" fillId="0" borderId="0" xfId="0" applyFont="1" applyAlignment="1">
      <alignment horizontal="left" vertical="center" indent="7"/>
    </xf>
    <xf numFmtId="0" fontId="4" fillId="0" borderId="0" xfId="0" applyFont="1" applyAlignment="1">
      <alignment horizontal="left" vertical="center" indent="7"/>
    </xf>
    <xf numFmtId="0" fontId="3" fillId="0" borderId="0" xfId="0" applyFont="1" applyAlignment="1">
      <alignment vertical="center" wrapText="1"/>
    </xf>
    <xf numFmtId="165" fontId="4" fillId="3" borderId="15" xfId="0" applyNumberFormat="1" applyFont="1" applyFill="1" applyBorder="1" applyAlignment="1">
      <alignment vertical="center"/>
    </xf>
    <xf numFmtId="165" fontId="4" fillId="3" borderId="4" xfId="0" applyNumberFormat="1" applyFont="1" applyFill="1" applyBorder="1" applyAlignment="1">
      <alignment vertical="center"/>
    </xf>
    <xf numFmtId="167" fontId="3" fillId="0" borderId="0" xfId="0" applyNumberFormat="1" applyFont="1" applyAlignment="1">
      <alignment horizontal="center" vertical="center"/>
    </xf>
    <xf numFmtId="165" fontId="4" fillId="0" borderId="0" xfId="0" applyNumberFormat="1" applyFont="1" applyAlignment="1">
      <alignment vertical="center"/>
    </xf>
    <xf numFmtId="0" fontId="4" fillId="9" borderId="4" xfId="0" applyFont="1" applyFill="1" applyBorder="1" applyAlignment="1">
      <alignment horizontal="center" vertical="center" wrapText="1"/>
    </xf>
    <xf numFmtId="0" fontId="4" fillId="9" borderId="16" xfId="0" applyFont="1" applyFill="1" applyBorder="1" applyAlignment="1">
      <alignment vertical="center"/>
    </xf>
    <xf numFmtId="0" fontId="4" fillId="9" borderId="16" xfId="0" applyFont="1" applyFill="1" applyBorder="1" applyAlignment="1">
      <alignment horizontal="center" vertical="center"/>
    </xf>
    <xf numFmtId="167" fontId="4" fillId="9" borderId="16" xfId="0" applyNumberFormat="1" applyFont="1" applyFill="1" applyBorder="1" applyAlignment="1">
      <alignment horizontal="center" vertical="center"/>
    </xf>
    <xf numFmtId="167" fontId="4" fillId="9" borderId="16" xfId="0" applyNumberFormat="1" applyFont="1" applyFill="1" applyBorder="1" applyAlignment="1">
      <alignment vertical="center"/>
    </xf>
    <xf numFmtId="0" fontId="4" fillId="9" borderId="17" xfId="0" applyFont="1" applyFill="1" applyBorder="1" applyAlignment="1">
      <alignment horizontal="center" vertical="center"/>
    </xf>
    <xf numFmtId="0" fontId="3" fillId="9" borderId="16" xfId="0" applyFont="1" applyFill="1" applyBorder="1" applyAlignment="1">
      <alignment vertical="center"/>
    </xf>
    <xf numFmtId="0" fontId="3" fillId="9" borderId="16" xfId="0" applyFont="1" applyFill="1" applyBorder="1" applyAlignment="1">
      <alignment horizontal="left" vertical="center"/>
    </xf>
    <xf numFmtId="0" fontId="3" fillId="9" borderId="11" xfId="0" applyFont="1" applyFill="1" applyBorder="1" applyAlignment="1">
      <alignment vertical="center"/>
    </xf>
    <xf numFmtId="0" fontId="3" fillId="9" borderId="16" xfId="0" applyFont="1" applyFill="1" applyBorder="1" applyAlignment="1">
      <alignment horizontal="center" vertical="center"/>
    </xf>
    <xf numFmtId="167" fontId="3" fillId="9" borderId="16" xfId="0" applyNumberFormat="1" applyFont="1" applyFill="1" applyBorder="1" applyAlignment="1">
      <alignment vertical="center"/>
    </xf>
    <xf numFmtId="165" fontId="4" fillId="8" borderId="4" xfId="2" applyNumberFormat="1" applyFont="1" applyFill="1" applyBorder="1" applyAlignment="1" applyProtection="1">
      <alignment horizontal="right" vertical="center"/>
    </xf>
    <xf numFmtId="165" fontId="4" fillId="0" borderId="0" xfId="2" applyNumberFormat="1" applyFont="1" applyFill="1" applyBorder="1" applyAlignment="1" applyProtection="1">
      <alignment horizontal="center" vertical="center"/>
    </xf>
    <xf numFmtId="4" fontId="3" fillId="0" borderId="4" xfId="0" applyNumberFormat="1" applyFont="1" applyBorder="1" applyAlignment="1" applyProtection="1">
      <alignment horizontal="left" vertical="center" wrapText="1"/>
      <protection locked="0"/>
    </xf>
    <xf numFmtId="3" fontId="3" fillId="0" borderId="4" xfId="0" applyNumberFormat="1" applyFont="1" applyBorder="1" applyAlignment="1" applyProtection="1">
      <alignment horizontal="center" vertical="center" wrapText="1"/>
      <protection locked="0"/>
    </xf>
    <xf numFmtId="14" fontId="3" fillId="0" borderId="4" xfId="0" applyNumberFormat="1" applyFont="1" applyBorder="1" applyAlignment="1" applyProtection="1">
      <alignment horizontal="center" vertical="center" wrapText="1"/>
      <protection locked="0"/>
    </xf>
    <xf numFmtId="49" fontId="3" fillId="0" borderId="16" xfId="2" applyNumberFormat="1" applyFont="1" applyFill="1" applyBorder="1" applyAlignment="1" applyProtection="1">
      <alignment vertical="center"/>
      <protection locked="0"/>
    </xf>
    <xf numFmtId="4" fontId="3" fillId="0" borderId="0" xfId="0" applyNumberFormat="1" applyFont="1" applyAlignment="1">
      <alignment horizontal="left" vertical="center" wrapText="1"/>
    </xf>
    <xf numFmtId="168" fontId="4" fillId="10" borderId="0" xfId="2" applyNumberFormat="1" applyFont="1" applyFill="1" applyBorder="1" applyAlignment="1" applyProtection="1">
      <alignment horizontal="center" vertical="center"/>
    </xf>
    <xf numFmtId="0" fontId="3" fillId="0" borderId="4" xfId="0" applyFont="1" applyBorder="1" applyAlignment="1" applyProtection="1">
      <alignment vertical="center"/>
      <protection locked="0"/>
    </xf>
    <xf numFmtId="14" fontId="3" fillId="0" borderId="4" xfId="0" applyNumberFormat="1" applyFont="1" applyBorder="1" applyAlignment="1" applyProtection="1">
      <alignment vertical="center"/>
      <protection locked="0"/>
    </xf>
    <xf numFmtId="49" fontId="3" fillId="0" borderId="16" xfId="0" applyNumberFormat="1" applyFont="1" applyBorder="1" applyAlignment="1" applyProtection="1">
      <alignment vertical="center"/>
      <protection locked="0"/>
    </xf>
    <xf numFmtId="0" fontId="7" fillId="0" borderId="0" xfId="0" applyFont="1" applyAlignment="1">
      <alignment vertical="center"/>
    </xf>
    <xf numFmtId="0" fontId="5" fillId="0" borderId="19" xfId="0" applyFont="1" applyBorder="1" applyAlignment="1">
      <alignment horizontal="center" vertical="center"/>
    </xf>
    <xf numFmtId="0" fontId="5" fillId="0" borderId="20" xfId="0" applyFont="1" applyBorder="1" applyAlignment="1">
      <alignment horizontal="center" vertical="center"/>
    </xf>
    <xf numFmtId="0" fontId="5" fillId="0" borderId="12" xfId="0" applyFont="1" applyBorder="1" applyAlignment="1">
      <alignment horizontal="center" vertical="center"/>
    </xf>
    <xf numFmtId="0" fontId="0" fillId="0" borderId="0" xfId="0" applyAlignment="1">
      <alignment wrapText="1"/>
    </xf>
    <xf numFmtId="0" fontId="0" fillId="11" borderId="0" xfId="0" applyFill="1"/>
    <xf numFmtId="0" fontId="0" fillId="11" borderId="0" xfId="0" applyFill="1" applyAlignment="1">
      <alignment horizontal="right"/>
    </xf>
    <xf numFmtId="170" fontId="0" fillId="11" borderId="0" xfId="0" applyNumberFormat="1" applyFill="1" applyAlignment="1">
      <alignment horizontal="right"/>
    </xf>
    <xf numFmtId="0" fontId="12" fillId="11" borderId="0" xfId="0" applyFont="1" applyFill="1"/>
    <xf numFmtId="170" fontId="0" fillId="11" borderId="0" xfId="0" applyNumberFormat="1" applyFill="1"/>
    <xf numFmtId="170" fontId="0" fillId="0" borderId="0" xfId="0" applyNumberFormat="1"/>
    <xf numFmtId="171" fontId="0" fillId="0" borderId="0" xfId="0" applyNumberFormat="1" applyAlignment="1">
      <alignment wrapText="1"/>
    </xf>
    <xf numFmtId="14" fontId="0" fillId="0" borderId="0" xfId="0" applyNumberFormat="1"/>
    <xf numFmtId="172" fontId="0" fillId="0" borderId="0" xfId="0" applyNumberFormat="1"/>
    <xf numFmtId="0" fontId="0" fillId="0" borderId="0" xfId="0" pivotButton="1"/>
    <xf numFmtId="0" fontId="0" fillId="13" borderId="0" xfId="0" applyFill="1"/>
    <xf numFmtId="0" fontId="3" fillId="13" borderId="0" xfId="0" applyFont="1" applyFill="1" applyAlignment="1">
      <alignment vertical="center"/>
    </xf>
    <xf numFmtId="0" fontId="4" fillId="9" borderId="17" xfId="0" applyFont="1" applyFill="1" applyBorder="1" applyAlignment="1">
      <alignment horizontal="center" vertical="center" wrapText="1"/>
    </xf>
    <xf numFmtId="0" fontId="11" fillId="9" borderId="17" xfId="0" applyFont="1" applyFill="1" applyBorder="1" applyAlignment="1">
      <alignment horizontal="center" vertical="center" wrapText="1"/>
    </xf>
    <xf numFmtId="167" fontId="4" fillId="9" borderId="17" xfId="0" applyNumberFormat="1" applyFont="1" applyFill="1" applyBorder="1" applyAlignment="1">
      <alignment horizontal="center" vertical="center" wrapText="1"/>
    </xf>
    <xf numFmtId="0" fontId="11" fillId="9" borderId="4" xfId="0" applyFont="1" applyFill="1" applyBorder="1" applyAlignment="1">
      <alignment horizontal="center" vertical="center" wrapText="1"/>
    </xf>
    <xf numFmtId="166" fontId="3" fillId="9" borderId="4" xfId="0" applyNumberFormat="1" applyFont="1" applyFill="1" applyBorder="1" applyAlignment="1">
      <alignment horizontal="center" vertical="center" wrapText="1"/>
    </xf>
    <xf numFmtId="166" fontId="4" fillId="7" borderId="4" xfId="0" applyNumberFormat="1" applyFont="1" applyFill="1" applyBorder="1" applyAlignment="1">
      <alignment horizontal="center" vertical="center" wrapText="1"/>
    </xf>
    <xf numFmtId="0" fontId="4" fillId="7" borderId="4" xfId="0" applyFont="1" applyFill="1" applyBorder="1" applyAlignment="1">
      <alignment horizontal="center" vertical="center"/>
    </xf>
    <xf numFmtId="165" fontId="4" fillId="7" borderId="4" xfId="0" applyNumberFormat="1" applyFont="1" applyFill="1" applyBorder="1" applyAlignment="1">
      <alignment vertical="center"/>
    </xf>
    <xf numFmtId="165" fontId="4" fillId="7" borderId="23" xfId="0" applyNumberFormat="1" applyFont="1" applyFill="1" applyBorder="1" applyAlignment="1">
      <alignment vertical="center"/>
    </xf>
    <xf numFmtId="165" fontId="4" fillId="7" borderId="25" xfId="0" applyNumberFormat="1" applyFont="1" applyFill="1" applyBorder="1" applyAlignment="1">
      <alignment vertical="center"/>
    </xf>
    <xf numFmtId="165" fontId="4" fillId="7" borderId="24" xfId="0" applyNumberFormat="1" applyFont="1" applyFill="1" applyBorder="1" applyAlignment="1">
      <alignment vertical="center"/>
    </xf>
    <xf numFmtId="165" fontId="4" fillId="7" borderId="23" xfId="2" applyNumberFormat="1" applyFont="1" applyFill="1" applyBorder="1" applyAlignment="1" applyProtection="1">
      <alignment horizontal="right" vertical="center"/>
    </xf>
    <xf numFmtId="165" fontId="4" fillId="7" borderId="24" xfId="2" applyNumberFormat="1" applyFont="1" applyFill="1" applyBorder="1" applyAlignment="1" applyProtection="1">
      <alignment horizontal="right" vertical="center"/>
    </xf>
    <xf numFmtId="0" fontId="3" fillId="0" borderId="21" xfId="0" applyFont="1" applyBorder="1" applyAlignment="1">
      <alignment vertical="center"/>
    </xf>
    <xf numFmtId="0" fontId="3" fillId="0" borderId="25" xfId="0" applyFont="1" applyBorder="1" applyAlignment="1">
      <alignment vertical="center"/>
    </xf>
    <xf numFmtId="49" fontId="3" fillId="0" borderId="4" xfId="0" applyNumberFormat="1" applyFont="1" applyBorder="1" applyAlignment="1" applyProtection="1">
      <alignment horizontal="left" vertical="center" wrapText="1"/>
      <protection locked="0"/>
    </xf>
    <xf numFmtId="49" fontId="3" fillId="0" borderId="4" xfId="0" applyNumberFormat="1" applyFont="1" applyBorder="1" applyAlignment="1" applyProtection="1">
      <alignment vertical="center"/>
      <protection locked="0"/>
    </xf>
    <xf numFmtId="49" fontId="3" fillId="0" borderId="4" xfId="0" applyNumberFormat="1" applyFont="1" applyBorder="1" applyAlignment="1" applyProtection="1">
      <alignment horizontal="center" vertical="center" wrapText="1"/>
      <protection locked="0"/>
    </xf>
    <xf numFmtId="2" fontId="3" fillId="0" borderId="16" xfId="2" applyNumberFormat="1" applyFont="1" applyFill="1" applyBorder="1" applyAlignment="1" applyProtection="1">
      <alignment vertical="center"/>
      <protection locked="0"/>
    </xf>
    <xf numFmtId="2" fontId="3" fillId="0" borderId="16" xfId="0" applyNumberFormat="1" applyFont="1" applyBorder="1" applyAlignment="1" applyProtection="1">
      <alignment vertical="center"/>
      <protection locked="0"/>
    </xf>
    <xf numFmtId="0" fontId="3" fillId="0" borderId="0" xfId="0" applyFont="1" applyAlignment="1">
      <alignment horizontal="right" vertical="center"/>
    </xf>
    <xf numFmtId="49" fontId="4" fillId="0" borderId="5" xfId="0" applyNumberFormat="1" applyFont="1" applyBorder="1" applyAlignment="1">
      <alignment horizontal="center" vertical="center"/>
    </xf>
    <xf numFmtId="49" fontId="4" fillId="0" borderId="3" xfId="0" applyNumberFormat="1" applyFont="1" applyBorder="1" applyAlignment="1">
      <alignment horizontal="center" vertical="center" wrapText="1"/>
    </xf>
    <xf numFmtId="49" fontId="3" fillId="0" borderId="0" xfId="0" applyNumberFormat="1" applyFont="1" applyAlignment="1">
      <alignment vertical="center"/>
    </xf>
    <xf numFmtId="0" fontId="7" fillId="0" borderId="0" xfId="0" applyFont="1" applyAlignment="1" applyProtection="1">
      <alignment vertical="center"/>
      <protection locked="0"/>
    </xf>
    <xf numFmtId="0" fontId="4" fillId="2" borderId="0" xfId="0" applyFont="1" applyFill="1" applyAlignment="1">
      <alignment horizontal="center" vertical="center"/>
    </xf>
    <xf numFmtId="0" fontId="4" fillId="0" borderId="0" xfId="0" applyFont="1" applyAlignment="1">
      <alignment vertical="center"/>
    </xf>
    <xf numFmtId="0" fontId="4" fillId="2" borderId="0" xfId="0" applyFont="1" applyFill="1" applyAlignment="1">
      <alignment vertical="center"/>
    </xf>
    <xf numFmtId="0" fontId="4" fillId="9" borderId="11" xfId="0" applyFont="1" applyFill="1" applyBorder="1" applyAlignment="1">
      <alignment horizontal="center" vertical="center"/>
    </xf>
    <xf numFmtId="0" fontId="15" fillId="11" borderId="15" xfId="0" applyFont="1" applyFill="1" applyBorder="1" applyAlignment="1">
      <alignment vertical="center"/>
    </xf>
    <xf numFmtId="14" fontId="4" fillId="11" borderId="18" xfId="0" applyNumberFormat="1" applyFont="1" applyFill="1" applyBorder="1" applyAlignment="1">
      <alignment vertical="center"/>
    </xf>
    <xf numFmtId="0" fontId="15" fillId="0" borderId="17" xfId="0" applyFont="1" applyBorder="1" applyAlignment="1">
      <alignment vertical="center"/>
    </xf>
    <xf numFmtId="0" fontId="15" fillId="0" borderId="27" xfId="0" applyFont="1" applyBorder="1" applyAlignment="1">
      <alignment vertical="center"/>
    </xf>
    <xf numFmtId="0" fontId="15" fillId="0" borderId="16" xfId="0" applyFont="1" applyBorder="1" applyAlignment="1">
      <alignment vertical="center"/>
    </xf>
    <xf numFmtId="0" fontId="15" fillId="0" borderId="1" xfId="0" applyFont="1" applyBorder="1" applyAlignment="1">
      <alignment vertical="center"/>
    </xf>
    <xf numFmtId="0" fontId="15" fillId="0" borderId="6" xfId="0" applyFont="1" applyBorder="1" applyAlignment="1">
      <alignment vertical="center"/>
    </xf>
    <xf numFmtId="0" fontId="15" fillId="0" borderId="9" xfId="0" applyFont="1" applyBorder="1" applyAlignment="1">
      <alignment vertical="center"/>
    </xf>
    <xf numFmtId="165" fontId="15" fillId="12" borderId="16" xfId="2" applyNumberFormat="1" applyFont="1" applyFill="1" applyBorder="1" applyAlignment="1" applyProtection="1">
      <alignment vertical="center"/>
    </xf>
    <xf numFmtId="165" fontId="15" fillId="15" borderId="15" xfId="0" applyNumberFormat="1" applyFont="1" applyFill="1" applyBorder="1" applyAlignment="1">
      <alignment vertical="center"/>
    </xf>
    <xf numFmtId="3" fontId="16" fillId="0" borderId="17" xfId="0" applyNumberFormat="1" applyFont="1" applyBorder="1" applyAlignment="1">
      <alignment vertical="center"/>
    </xf>
    <xf numFmtId="3" fontId="18" fillId="0" borderId="17" xfId="0" applyNumberFormat="1" applyFont="1" applyBorder="1" applyAlignment="1">
      <alignment vertical="center"/>
    </xf>
    <xf numFmtId="3" fontId="17" fillId="15" borderId="4" xfId="0" applyNumberFormat="1" applyFont="1" applyFill="1" applyBorder="1" applyAlignment="1">
      <alignment vertical="center"/>
    </xf>
    <xf numFmtId="3" fontId="19" fillId="12" borderId="4" xfId="2" applyNumberFormat="1" applyFont="1" applyFill="1" applyBorder="1" applyAlignment="1" applyProtection="1">
      <alignment vertical="center"/>
    </xf>
    <xf numFmtId="173" fontId="3" fillId="0" borderId="0" xfId="0" applyNumberFormat="1" applyFont="1" applyAlignment="1">
      <alignment vertical="center"/>
    </xf>
    <xf numFmtId="10" fontId="3" fillId="0" borderId="4" xfId="0" applyNumberFormat="1" applyFont="1" applyBorder="1" applyAlignment="1">
      <alignment vertical="center"/>
    </xf>
    <xf numFmtId="0" fontId="3" fillId="16" borderId="2" xfId="0" applyFont="1" applyFill="1" applyBorder="1" applyAlignment="1">
      <alignment vertical="center"/>
    </xf>
    <xf numFmtId="0" fontId="3" fillId="0" borderId="2" xfId="0" applyFont="1" applyBorder="1" applyAlignment="1">
      <alignment vertical="center"/>
    </xf>
    <xf numFmtId="0" fontId="3" fillId="0" borderId="3" xfId="0" applyFont="1" applyBorder="1" applyAlignment="1">
      <alignment vertical="center"/>
    </xf>
    <xf numFmtId="49" fontId="4" fillId="0" borderId="0" xfId="0" applyNumberFormat="1" applyFont="1" applyAlignment="1">
      <alignment vertical="center"/>
    </xf>
    <xf numFmtId="0" fontId="3" fillId="0" borderId="1" xfId="0" applyFont="1" applyBorder="1" applyAlignment="1">
      <alignment vertical="center"/>
    </xf>
    <xf numFmtId="0" fontId="3" fillId="16" borderId="0" xfId="0" applyFont="1" applyFill="1" applyAlignment="1">
      <alignment vertical="center"/>
    </xf>
    <xf numFmtId="0" fontId="3" fillId="0" borderId="5" xfId="0" applyFont="1" applyBorder="1" applyAlignment="1">
      <alignment vertical="center"/>
    </xf>
    <xf numFmtId="0" fontId="3" fillId="0" borderId="6" xfId="0" applyFont="1" applyBorder="1" applyAlignment="1">
      <alignment vertical="center"/>
    </xf>
    <xf numFmtId="0" fontId="3" fillId="17" borderId="0" xfId="0" applyFont="1" applyFill="1" applyAlignment="1">
      <alignment vertical="center"/>
    </xf>
    <xf numFmtId="0" fontId="3" fillId="18" borderId="0" xfId="0" applyFont="1" applyFill="1" applyAlignment="1">
      <alignment vertical="center"/>
    </xf>
    <xf numFmtId="0" fontId="3" fillId="16" borderId="5" xfId="0" applyFont="1" applyFill="1" applyBorder="1" applyAlignment="1">
      <alignment vertical="center"/>
    </xf>
    <xf numFmtId="0" fontId="3" fillId="19" borderId="0" xfId="0" applyFont="1" applyFill="1" applyAlignment="1">
      <alignment vertical="center"/>
    </xf>
    <xf numFmtId="0" fontId="3" fillId="20" borderId="0" xfId="0" applyFont="1" applyFill="1" applyAlignment="1">
      <alignment vertical="center"/>
    </xf>
    <xf numFmtId="0" fontId="3" fillId="16" borderId="10" xfId="0" applyFont="1" applyFill="1" applyBorder="1" applyAlignment="1">
      <alignment vertical="center"/>
    </xf>
    <xf numFmtId="0" fontId="3" fillId="16" borderId="11" xfId="0" applyFont="1" applyFill="1" applyBorder="1" applyAlignment="1">
      <alignment vertical="center"/>
    </xf>
    <xf numFmtId="0" fontId="3" fillId="15" borderId="0" xfId="0" applyFont="1" applyFill="1" applyAlignment="1">
      <alignment vertical="center"/>
    </xf>
    <xf numFmtId="0" fontId="3" fillId="21" borderId="0" xfId="0" applyFont="1" applyFill="1" applyAlignment="1">
      <alignment vertical="center"/>
    </xf>
    <xf numFmtId="0" fontId="3" fillId="0" borderId="28" xfId="0" applyFont="1" applyBorder="1" applyAlignment="1">
      <alignment vertical="center"/>
    </xf>
    <xf numFmtId="0" fontId="3" fillId="22" borderId="0" xfId="0" applyFont="1" applyFill="1" applyAlignment="1">
      <alignment vertical="center"/>
    </xf>
    <xf numFmtId="0" fontId="3"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14" fontId="8" fillId="0" borderId="1" xfId="0" applyNumberFormat="1" applyFont="1" applyBorder="1" applyAlignment="1">
      <alignment horizontal="center" vertical="center" textRotation="90"/>
    </xf>
    <xf numFmtId="14" fontId="8" fillId="0" borderId="0" xfId="0" applyNumberFormat="1" applyFont="1" applyAlignment="1">
      <alignment horizontal="center" vertical="center" textRotation="90"/>
    </xf>
    <xf numFmtId="14" fontId="8" fillId="0" borderId="18" xfId="0" applyNumberFormat="1" applyFont="1" applyBorder="1" applyAlignment="1">
      <alignment horizontal="center" vertical="center" textRotation="90"/>
    </xf>
    <xf numFmtId="0" fontId="8" fillId="0" borderId="29" xfId="0" applyFont="1" applyBorder="1" applyAlignment="1">
      <alignment horizontal="center" vertical="center" textRotation="90"/>
    </xf>
    <xf numFmtId="0" fontId="8" fillId="0" borderId="30" xfId="0" applyFont="1" applyBorder="1" applyAlignment="1">
      <alignment horizontal="center" vertical="center" textRotation="90"/>
    </xf>
    <xf numFmtId="0" fontId="8" fillId="0" borderId="31" xfId="0" applyFont="1" applyBorder="1" applyAlignment="1">
      <alignment horizontal="center" vertical="center" textRotation="90"/>
    </xf>
    <xf numFmtId="0" fontId="3" fillId="0" borderId="32" xfId="0" applyFont="1" applyBorder="1" applyAlignment="1">
      <alignment vertical="center"/>
    </xf>
    <xf numFmtId="0" fontId="3" fillId="0" borderId="33" xfId="0" applyFont="1" applyBorder="1" applyAlignment="1">
      <alignment vertical="center"/>
    </xf>
    <xf numFmtId="0" fontId="3" fillId="0" borderId="34" xfId="0" applyFont="1" applyBorder="1" applyAlignment="1">
      <alignment vertical="center"/>
    </xf>
    <xf numFmtId="0" fontId="3" fillId="0" borderId="36" xfId="0" applyFont="1" applyBorder="1" applyAlignment="1">
      <alignment vertical="center"/>
    </xf>
    <xf numFmtId="0" fontId="3" fillId="0" borderId="37" xfId="0" applyFont="1" applyBorder="1" applyAlignment="1">
      <alignment vertical="center"/>
    </xf>
    <xf numFmtId="0" fontId="3" fillId="0" borderId="38" xfId="0" applyFont="1" applyBorder="1" applyAlignment="1">
      <alignment vertical="center"/>
    </xf>
    <xf numFmtId="0" fontId="3" fillId="0" borderId="40" xfId="0" applyFont="1" applyBorder="1" applyAlignment="1">
      <alignment vertical="center"/>
    </xf>
    <xf numFmtId="0" fontId="3" fillId="0" borderId="41" xfId="0" applyFont="1" applyBorder="1" applyAlignment="1">
      <alignment vertical="center"/>
    </xf>
    <xf numFmtId="0" fontId="3" fillId="0" borderId="42" xfId="0" applyFont="1" applyBorder="1" applyAlignment="1">
      <alignment vertical="center"/>
    </xf>
    <xf numFmtId="0" fontId="20" fillId="0" borderId="40" xfId="0" applyFont="1" applyBorder="1" applyAlignment="1">
      <alignment vertical="center"/>
    </xf>
    <xf numFmtId="0" fontId="20" fillId="0" borderId="41" xfId="0" applyFont="1" applyBorder="1" applyAlignment="1">
      <alignment vertical="center"/>
    </xf>
    <xf numFmtId="0" fontId="20" fillId="0" borderId="42" xfId="0" applyFont="1" applyBorder="1" applyAlignment="1">
      <alignment vertical="center"/>
    </xf>
    <xf numFmtId="0" fontId="22" fillId="0" borderId="40" xfId="0" applyFont="1" applyBorder="1" applyAlignment="1">
      <alignment vertical="center"/>
    </xf>
    <xf numFmtId="0" fontId="22" fillId="0" borderId="41" xfId="0" applyFont="1" applyBorder="1" applyAlignment="1">
      <alignment vertical="center"/>
    </xf>
    <xf numFmtId="0" fontId="23" fillId="0" borderId="41" xfId="0" applyFont="1" applyBorder="1" applyAlignment="1">
      <alignment vertical="center"/>
    </xf>
    <xf numFmtId="0" fontId="22" fillId="0" borderId="42" xfId="0" applyFont="1" applyBorder="1" applyAlignment="1">
      <alignment vertical="center"/>
    </xf>
    <xf numFmtId="0" fontId="20" fillId="0" borderId="43" xfId="0" applyFont="1" applyBorder="1" applyAlignment="1">
      <alignment vertical="center"/>
    </xf>
    <xf numFmtId="0" fontId="20" fillId="0" borderId="44" xfId="0" applyFont="1" applyBorder="1" applyAlignment="1">
      <alignment vertical="center"/>
    </xf>
    <xf numFmtId="0" fontId="20" fillId="0" borderId="45" xfId="0" applyFont="1" applyBorder="1" applyAlignment="1">
      <alignment vertical="center"/>
    </xf>
    <xf numFmtId="0" fontId="20" fillId="0" borderId="46" xfId="0" applyFont="1" applyBorder="1" applyAlignment="1">
      <alignment vertical="center"/>
    </xf>
    <xf numFmtId="0" fontId="20" fillId="0" borderId="47" xfId="0" applyFont="1" applyBorder="1" applyAlignment="1">
      <alignment vertical="center"/>
    </xf>
    <xf numFmtId="0" fontId="20" fillId="0" borderId="48" xfId="0" applyFont="1" applyBorder="1" applyAlignment="1">
      <alignment vertical="center"/>
    </xf>
    <xf numFmtId="49" fontId="3" fillId="16" borderId="2" xfId="0" applyNumberFormat="1" applyFont="1" applyFill="1" applyBorder="1" applyAlignment="1">
      <alignment vertical="center"/>
    </xf>
    <xf numFmtId="0" fontId="8" fillId="0" borderId="0" xfId="0" applyFont="1" applyAlignment="1">
      <alignment vertical="center"/>
    </xf>
    <xf numFmtId="0" fontId="24" fillId="0" borderId="0" xfId="0" applyFont="1" applyAlignment="1">
      <alignment vertical="center"/>
    </xf>
    <xf numFmtId="0" fontId="3" fillId="23" borderId="33" xfId="0" applyFont="1" applyFill="1" applyBorder="1" applyAlignment="1">
      <alignment vertical="center"/>
    </xf>
    <xf numFmtId="4" fontId="3" fillId="3" borderId="4" xfId="2" applyNumberFormat="1" applyFont="1" applyFill="1" applyBorder="1" applyAlignment="1" applyProtection="1">
      <alignment vertical="center"/>
    </xf>
    <xf numFmtId="0" fontId="0" fillId="0" borderId="0" xfId="0" applyAlignment="1">
      <alignment vertical="center"/>
    </xf>
    <xf numFmtId="0" fontId="0" fillId="0" borderId="4" xfId="0" applyBorder="1" applyAlignment="1">
      <alignment horizontal="center" vertical="center"/>
    </xf>
    <xf numFmtId="165" fontId="0" fillId="7" borderId="4" xfId="0" applyNumberFormat="1" applyFill="1" applyBorder="1" applyAlignment="1">
      <alignment vertical="center"/>
    </xf>
    <xf numFmtId="0" fontId="0" fillId="0" borderId="0" xfId="0" applyAlignment="1">
      <alignment horizontal="center" vertical="center"/>
    </xf>
    <xf numFmtId="0" fontId="0" fillId="0" borderId="40" xfId="0" applyBorder="1" applyAlignment="1">
      <alignment vertical="center"/>
    </xf>
    <xf numFmtId="0" fontId="0" fillId="0" borderId="41" xfId="0" applyBorder="1" applyAlignment="1">
      <alignment vertical="center"/>
    </xf>
    <xf numFmtId="0" fontId="0" fillId="0" borderId="42" xfId="0" applyBorder="1" applyAlignment="1">
      <alignment vertical="center"/>
    </xf>
    <xf numFmtId="49" fontId="4" fillId="0" borderId="0" xfId="0" applyNumberFormat="1" applyFont="1" applyAlignment="1">
      <alignment horizontal="center" vertical="center" wrapText="1"/>
    </xf>
    <xf numFmtId="49" fontId="4" fillId="0" borderId="0" xfId="0" applyNumberFormat="1" applyFont="1" applyAlignment="1">
      <alignment horizontal="center" vertical="center"/>
    </xf>
    <xf numFmtId="0" fontId="7" fillId="0" borderId="0" xfId="0" quotePrefix="1" applyFont="1" applyAlignment="1">
      <alignment horizontal="right" vertical="center"/>
    </xf>
    <xf numFmtId="0" fontId="7" fillId="0" borderId="0" xfId="0" applyFont="1" applyAlignment="1">
      <alignment horizontal="right" vertical="center"/>
    </xf>
    <xf numFmtId="49" fontId="3" fillId="16" borderId="0" xfId="0" applyNumberFormat="1" applyFont="1" applyFill="1" applyAlignment="1">
      <alignment vertical="center"/>
    </xf>
    <xf numFmtId="168" fontId="0" fillId="10" borderId="0" xfId="0" applyNumberFormat="1" applyFill="1" applyAlignment="1">
      <alignment horizontal="center" vertical="center"/>
    </xf>
    <xf numFmtId="0" fontId="7" fillId="8" borderId="4" xfId="0" applyFont="1" applyFill="1" applyBorder="1" applyAlignment="1" applyProtection="1">
      <alignment horizontal="center" vertical="center"/>
      <protection locked="0"/>
    </xf>
    <xf numFmtId="0" fontId="25" fillId="0" borderId="0" xfId="1" applyAlignment="1">
      <alignment vertical="center"/>
    </xf>
    <xf numFmtId="49" fontId="25" fillId="0" borderId="0" xfId="1" applyNumberFormat="1" applyAlignment="1">
      <alignment vertical="center"/>
    </xf>
    <xf numFmtId="0" fontId="25" fillId="0" borderId="0" xfId="1" applyAlignment="1">
      <alignment vertical="center" wrapText="1"/>
    </xf>
    <xf numFmtId="0" fontId="25" fillId="0" borderId="0" xfId="1"/>
    <xf numFmtId="0" fontId="25" fillId="9" borderId="17" xfId="1" applyFill="1" applyBorder="1" applyAlignment="1">
      <alignment horizontal="center" vertical="center" wrapText="1"/>
    </xf>
    <xf numFmtId="0" fontId="25" fillId="9" borderId="4" xfId="1" applyFill="1" applyBorder="1" applyAlignment="1">
      <alignment horizontal="center" vertical="center" wrapText="1"/>
    </xf>
    <xf numFmtId="0" fontId="25" fillId="9" borderId="11" xfId="1" applyFill="1" applyBorder="1" applyAlignment="1">
      <alignment vertical="center"/>
    </xf>
    <xf numFmtId="0" fontId="0" fillId="0" borderId="0" xfId="0" applyAlignment="1">
      <alignment horizontal="center"/>
    </xf>
    <xf numFmtId="49" fontId="3" fillId="0" borderId="4" xfId="0" applyNumberFormat="1" applyFont="1" applyBorder="1" applyAlignment="1" applyProtection="1">
      <alignment horizontal="center" vertical="center"/>
      <protection locked="0"/>
    </xf>
    <xf numFmtId="4" fontId="4" fillId="3" borderId="16" xfId="2" applyNumberFormat="1" applyFont="1" applyFill="1" applyBorder="1" applyAlignment="1" applyProtection="1">
      <alignment vertical="center"/>
    </xf>
    <xf numFmtId="0" fontId="27" fillId="0" borderId="0" xfId="0" applyFont="1" applyAlignment="1">
      <alignment vertical="center"/>
    </xf>
    <xf numFmtId="0" fontId="28" fillId="16" borderId="1" xfId="0" applyFont="1" applyFill="1" applyBorder="1" applyAlignment="1">
      <alignment vertical="center"/>
    </xf>
    <xf numFmtId="0" fontId="28" fillId="16" borderId="6" xfId="0" applyFont="1" applyFill="1" applyBorder="1" applyAlignment="1">
      <alignment vertical="center"/>
    </xf>
    <xf numFmtId="0" fontId="27" fillId="16" borderId="6" xfId="0" applyFont="1" applyFill="1" applyBorder="1" applyAlignment="1">
      <alignment vertical="center"/>
    </xf>
    <xf numFmtId="0" fontId="27" fillId="16" borderId="9" xfId="0" applyFont="1" applyFill="1" applyBorder="1" applyAlignment="1">
      <alignment vertical="center"/>
    </xf>
    <xf numFmtId="0" fontId="27" fillId="0" borderId="1" xfId="0" applyFont="1" applyBorder="1" applyAlignment="1">
      <alignment vertical="center"/>
    </xf>
    <xf numFmtId="0" fontId="27" fillId="0" borderId="15" xfId="0" applyFont="1" applyBorder="1" applyAlignment="1">
      <alignment vertical="center"/>
    </xf>
    <xf numFmtId="0" fontId="27" fillId="0" borderId="35" xfId="0" applyFont="1" applyBorder="1" applyAlignment="1">
      <alignment vertical="center"/>
    </xf>
    <xf numFmtId="4" fontId="26" fillId="0" borderId="39" xfId="0" applyNumberFormat="1" applyFont="1" applyBorder="1" applyAlignment="1">
      <alignment vertical="center"/>
    </xf>
    <xf numFmtId="4" fontId="26" fillId="0" borderId="39" xfId="0" applyNumberFormat="1" applyFont="1" applyBorder="1" applyAlignment="1">
      <alignment vertical="center" wrapText="1"/>
    </xf>
    <xf numFmtId="4" fontId="27" fillId="0" borderId="39" xfId="0" applyNumberFormat="1" applyFont="1" applyBorder="1" applyAlignment="1">
      <alignment vertical="center"/>
    </xf>
    <xf numFmtId="4" fontId="27" fillId="0" borderId="35" xfId="0" applyNumberFormat="1" applyFont="1" applyBorder="1" applyAlignment="1">
      <alignment vertical="center"/>
    </xf>
    <xf numFmtId="0" fontId="27" fillId="0" borderId="43" xfId="0" applyFont="1" applyBorder="1" applyAlignment="1">
      <alignment vertical="center"/>
    </xf>
    <xf numFmtId="0" fontId="27" fillId="0" borderId="46" xfId="0" applyFont="1" applyBorder="1" applyAlignment="1">
      <alignment vertical="center"/>
    </xf>
    <xf numFmtId="4" fontId="29" fillId="24" borderId="4" xfId="0" applyNumberFormat="1" applyFont="1" applyFill="1" applyBorder="1" applyAlignment="1" applyProtection="1">
      <alignment horizontal="left" vertical="center" wrapText="1"/>
      <protection locked="0"/>
    </xf>
    <xf numFmtId="49" fontId="29" fillId="24" borderId="4" xfId="0" applyNumberFormat="1" applyFont="1" applyFill="1" applyBorder="1" applyAlignment="1" applyProtection="1">
      <alignment horizontal="left" vertical="center" wrapText="1"/>
      <protection locked="0"/>
    </xf>
    <xf numFmtId="49" fontId="29" fillId="24" borderId="4" xfId="0" applyNumberFormat="1" applyFont="1" applyFill="1" applyBorder="1" applyAlignment="1" applyProtection="1">
      <alignment horizontal="center" vertical="center" wrapText="1"/>
      <protection locked="0"/>
    </xf>
    <xf numFmtId="3" fontId="29" fillId="24" borderId="4" xfId="0" applyNumberFormat="1" applyFont="1" applyFill="1" applyBorder="1" applyAlignment="1" applyProtection="1">
      <alignment horizontal="center" vertical="center" wrapText="1"/>
      <protection locked="0"/>
    </xf>
    <xf numFmtId="4" fontId="30" fillId="24" borderId="4" xfId="1" applyNumberFormat="1" applyFont="1" applyFill="1" applyBorder="1" applyAlignment="1" applyProtection="1">
      <alignment horizontal="left" vertical="center" wrapText="1"/>
      <protection locked="0"/>
    </xf>
    <xf numFmtId="14" fontId="29" fillId="24" borderId="4" xfId="0" applyNumberFormat="1" applyFont="1" applyFill="1" applyBorder="1" applyAlignment="1" applyProtection="1">
      <alignment horizontal="center" vertical="center" wrapText="1"/>
      <protection locked="0"/>
    </xf>
    <xf numFmtId="0" fontId="29" fillId="24" borderId="4" xfId="0" applyFont="1" applyFill="1" applyBorder="1" applyAlignment="1">
      <alignment vertical="center"/>
    </xf>
    <xf numFmtId="4" fontId="29" fillId="24" borderId="4" xfId="0" applyNumberFormat="1" applyFont="1" applyFill="1" applyBorder="1" applyAlignment="1" applyProtection="1">
      <alignment horizontal="center" vertical="center" wrapText="1"/>
      <protection locked="0"/>
    </xf>
    <xf numFmtId="174" fontId="29" fillId="24" borderId="4" xfId="0" applyNumberFormat="1" applyFont="1" applyFill="1" applyBorder="1" applyAlignment="1" applyProtection="1">
      <alignment vertical="center"/>
      <protection locked="0"/>
    </xf>
    <xf numFmtId="174" fontId="29" fillId="24" borderId="18" xfId="0" applyNumberFormat="1" applyFont="1" applyFill="1" applyBorder="1" applyAlignment="1" applyProtection="1">
      <alignment vertical="center"/>
      <protection locked="0"/>
    </xf>
    <xf numFmtId="4" fontId="13" fillId="3" borderId="16" xfId="0" applyNumberFormat="1" applyFont="1" applyFill="1" applyBorder="1" applyAlignment="1">
      <alignment vertical="center"/>
    </xf>
    <xf numFmtId="2" fontId="29" fillId="24" borderId="4" xfId="0" applyNumberFormat="1" applyFont="1" applyFill="1" applyBorder="1" applyAlignment="1" applyProtection="1">
      <alignment vertical="center"/>
      <protection locked="0"/>
    </xf>
    <xf numFmtId="49" fontId="29" fillId="24" borderId="16" xfId="0" applyNumberFormat="1" applyFont="1" applyFill="1" applyBorder="1" applyAlignment="1" applyProtection="1">
      <alignment vertical="center"/>
      <protection locked="0"/>
    </xf>
    <xf numFmtId="4" fontId="13" fillId="0" borderId="0" xfId="0" applyNumberFormat="1" applyFont="1" applyAlignment="1">
      <alignment horizontal="left" vertical="center" wrapText="1"/>
    </xf>
    <xf numFmtId="4" fontId="13" fillId="3" borderId="4" xfId="0" applyNumberFormat="1" applyFont="1" applyFill="1" applyBorder="1" applyAlignment="1">
      <alignment vertical="center"/>
    </xf>
    <xf numFmtId="49" fontId="31" fillId="0" borderId="4" xfId="0" applyNumberFormat="1" applyFont="1" applyBorder="1" applyAlignment="1" applyProtection="1">
      <alignment horizontal="left" vertical="center" wrapText="1"/>
      <protection locked="0"/>
    </xf>
    <xf numFmtId="49" fontId="31" fillId="0" borderId="4" xfId="0" applyNumberFormat="1" applyFont="1" applyBorder="1" applyAlignment="1" applyProtection="1">
      <alignment horizontal="center" vertical="center" wrapText="1"/>
      <protection locked="0"/>
    </xf>
    <xf numFmtId="3" fontId="31" fillId="0" borderId="4" xfId="0" applyNumberFormat="1" applyFont="1" applyBorder="1" applyAlignment="1" applyProtection="1">
      <alignment horizontal="center" vertical="center" wrapText="1"/>
      <protection locked="0"/>
    </xf>
    <xf numFmtId="4" fontId="13" fillId="0" borderId="4" xfId="1" applyNumberFormat="1" applyFont="1" applyFill="1" applyBorder="1" applyAlignment="1" applyProtection="1">
      <alignment horizontal="left" vertical="center" wrapText="1"/>
      <protection locked="0"/>
    </xf>
    <xf numFmtId="4" fontId="31" fillId="0" borderId="4" xfId="0" applyNumberFormat="1" applyFont="1" applyBorder="1" applyAlignment="1" applyProtection="1">
      <alignment horizontal="left" vertical="center" wrapText="1"/>
      <protection locked="0"/>
    </xf>
    <xf numFmtId="14" fontId="31" fillId="0" borderId="4" xfId="0" applyNumberFormat="1" applyFont="1" applyBorder="1" applyAlignment="1" applyProtection="1">
      <alignment horizontal="center" vertical="center" wrapText="1"/>
      <protection locked="0"/>
    </xf>
    <xf numFmtId="4" fontId="31" fillId="0" borderId="4" xfId="0" applyNumberFormat="1" applyFont="1" applyBorder="1" applyAlignment="1" applyProtection="1">
      <alignment horizontal="center" vertical="center" wrapText="1"/>
      <protection locked="0"/>
    </xf>
    <xf numFmtId="174" fontId="31" fillId="0" borderId="4" xfId="2" applyNumberFormat="1" applyFont="1" applyFill="1" applyBorder="1" applyAlignment="1" applyProtection="1">
      <alignment vertical="center"/>
      <protection locked="0"/>
    </xf>
    <xf numFmtId="174" fontId="31" fillId="0" borderId="18" xfId="2" applyNumberFormat="1" applyFont="1" applyFill="1" applyBorder="1" applyAlignment="1" applyProtection="1">
      <alignment vertical="center"/>
      <protection locked="0"/>
    </xf>
    <xf numFmtId="2" fontId="31" fillId="0" borderId="16" xfId="2" applyNumberFormat="1" applyFont="1" applyFill="1" applyBorder="1" applyAlignment="1" applyProtection="1">
      <alignment vertical="center"/>
      <protection locked="0"/>
    </xf>
    <xf numFmtId="49" fontId="31" fillId="0" borderId="16" xfId="2" applyNumberFormat="1" applyFont="1" applyFill="1" applyBorder="1" applyAlignment="1" applyProtection="1">
      <alignment vertical="center"/>
      <protection locked="0"/>
    </xf>
    <xf numFmtId="164" fontId="31" fillId="0" borderId="16" xfId="2" applyFont="1" applyFill="1" applyBorder="1" applyAlignment="1" applyProtection="1">
      <alignment vertical="center"/>
      <protection locked="0"/>
    </xf>
    <xf numFmtId="4" fontId="13" fillId="0" borderId="4" xfId="1" applyNumberFormat="1" applyFont="1" applyBorder="1" applyAlignment="1" applyProtection="1">
      <alignment horizontal="left" vertical="center" wrapText="1"/>
      <protection locked="0"/>
    </xf>
    <xf numFmtId="0" fontId="13" fillId="0" borderId="4" xfId="1" applyFont="1" applyBorder="1" applyAlignment="1" applyProtection="1">
      <alignment vertical="center"/>
      <protection locked="0"/>
    </xf>
    <xf numFmtId="0" fontId="13" fillId="0" borderId="0" xfId="1" applyFont="1" applyAlignment="1">
      <alignment vertical="center"/>
    </xf>
    <xf numFmtId="49" fontId="31" fillId="25" borderId="4" xfId="0" applyNumberFormat="1" applyFont="1" applyFill="1" applyBorder="1" applyAlignment="1" applyProtection="1">
      <alignment horizontal="left" vertical="center" wrapText="1"/>
      <protection locked="0"/>
    </xf>
    <xf numFmtId="49" fontId="31" fillId="25" borderId="4" xfId="0" applyNumberFormat="1" applyFont="1" applyFill="1" applyBorder="1" applyAlignment="1" applyProtection="1">
      <alignment horizontal="center" vertical="center" wrapText="1"/>
      <protection locked="0"/>
    </xf>
    <xf numFmtId="3" fontId="31" fillId="25" borderId="4" xfId="0" applyNumberFormat="1" applyFont="1" applyFill="1" applyBorder="1" applyAlignment="1" applyProtection="1">
      <alignment horizontal="center" vertical="center" wrapText="1"/>
      <protection locked="0"/>
    </xf>
    <xf numFmtId="4" fontId="13" fillId="25" borderId="4" xfId="1" applyNumberFormat="1" applyFont="1" applyFill="1" applyBorder="1" applyAlignment="1" applyProtection="1">
      <alignment horizontal="left" vertical="center" wrapText="1"/>
      <protection locked="0"/>
    </xf>
    <xf numFmtId="4" fontId="31" fillId="25" borderId="4" xfId="0" applyNumberFormat="1" applyFont="1" applyFill="1" applyBorder="1" applyAlignment="1" applyProtection="1">
      <alignment horizontal="left" vertical="center" wrapText="1"/>
      <protection locked="0"/>
    </xf>
    <xf numFmtId="14" fontId="31" fillId="25" borderId="4" xfId="0" applyNumberFormat="1" applyFont="1" applyFill="1" applyBorder="1" applyAlignment="1" applyProtection="1">
      <alignment horizontal="center" vertical="center" wrapText="1"/>
      <protection locked="0"/>
    </xf>
    <xf numFmtId="4" fontId="31" fillId="25" borderId="4" xfId="0" applyNumberFormat="1" applyFont="1" applyFill="1" applyBorder="1" applyAlignment="1" applyProtection="1">
      <alignment horizontal="center" vertical="center" wrapText="1"/>
      <protection locked="0"/>
    </xf>
    <xf numFmtId="174" fontId="31" fillId="25" borderId="4" xfId="2" applyNumberFormat="1" applyFont="1" applyFill="1" applyBorder="1" applyAlignment="1" applyProtection="1">
      <alignment vertical="center"/>
      <protection locked="0"/>
    </xf>
    <xf numFmtId="2" fontId="31" fillId="25" borderId="16" xfId="2" applyNumberFormat="1" applyFont="1" applyFill="1" applyBorder="1" applyAlignment="1" applyProtection="1">
      <alignment vertical="center"/>
      <protection locked="0"/>
    </xf>
    <xf numFmtId="164" fontId="31" fillId="25" borderId="16" xfId="2" applyFont="1" applyFill="1" applyBorder="1" applyAlignment="1" applyProtection="1">
      <alignment vertical="center"/>
      <protection locked="0"/>
    </xf>
    <xf numFmtId="2" fontId="31" fillId="26" borderId="16" xfId="2" applyNumberFormat="1" applyFont="1" applyFill="1" applyBorder="1" applyAlignment="1" applyProtection="1">
      <alignment vertical="center"/>
      <protection locked="0"/>
    </xf>
    <xf numFmtId="164" fontId="31" fillId="26" borderId="16" xfId="2" applyFont="1" applyFill="1" applyBorder="1" applyAlignment="1" applyProtection="1">
      <alignment vertical="center"/>
      <protection locked="0"/>
    </xf>
    <xf numFmtId="49" fontId="31" fillId="26" borderId="4" xfId="0" applyNumberFormat="1" applyFont="1" applyFill="1" applyBorder="1" applyAlignment="1" applyProtection="1">
      <alignment horizontal="left" vertical="center" wrapText="1"/>
      <protection locked="0"/>
    </xf>
    <xf numFmtId="49" fontId="31" fillId="26" borderId="4" xfId="0" applyNumberFormat="1" applyFont="1" applyFill="1" applyBorder="1" applyAlignment="1" applyProtection="1">
      <alignment horizontal="center" vertical="center" wrapText="1"/>
      <protection locked="0"/>
    </xf>
    <xf numFmtId="3" fontId="31" fillId="26" borderId="4" xfId="0" applyNumberFormat="1" applyFont="1" applyFill="1" applyBorder="1" applyAlignment="1" applyProtection="1">
      <alignment horizontal="center" vertical="center" wrapText="1"/>
      <protection locked="0"/>
    </xf>
    <xf numFmtId="4" fontId="13" fillId="26" borderId="4" xfId="1" applyNumberFormat="1" applyFont="1" applyFill="1" applyBorder="1" applyAlignment="1" applyProtection="1">
      <alignment horizontal="left" vertical="center" wrapText="1"/>
      <protection locked="0"/>
    </xf>
    <xf numFmtId="4" fontId="31" fillId="26" borderId="4" xfId="0" applyNumberFormat="1" applyFont="1" applyFill="1" applyBorder="1" applyAlignment="1" applyProtection="1">
      <alignment horizontal="left" vertical="center" wrapText="1"/>
      <protection locked="0"/>
    </xf>
    <xf numFmtId="14" fontId="31" fillId="26" borderId="4" xfId="0" applyNumberFormat="1" applyFont="1" applyFill="1" applyBorder="1" applyAlignment="1" applyProtection="1">
      <alignment horizontal="center" vertical="center" wrapText="1"/>
      <protection locked="0"/>
    </xf>
    <xf numFmtId="4" fontId="31" fillId="26" borderId="4" xfId="0" applyNumberFormat="1" applyFont="1" applyFill="1" applyBorder="1" applyAlignment="1" applyProtection="1">
      <alignment horizontal="center" vertical="center" wrapText="1"/>
      <protection locked="0"/>
    </xf>
    <xf numFmtId="174" fontId="31" fillId="26" borderId="4" xfId="2" applyNumberFormat="1" applyFont="1" applyFill="1" applyBorder="1" applyAlignment="1" applyProtection="1">
      <alignment vertical="center"/>
      <protection locked="0"/>
    </xf>
    <xf numFmtId="174" fontId="31" fillId="26" borderId="18" xfId="2" applyNumberFormat="1" applyFont="1" applyFill="1" applyBorder="1" applyAlignment="1" applyProtection="1">
      <alignment vertical="center"/>
      <protection locked="0"/>
    </xf>
    <xf numFmtId="49" fontId="4" fillId="2" borderId="1" xfId="0" applyNumberFormat="1" applyFont="1" applyFill="1" applyBorder="1" applyAlignment="1">
      <alignment horizontal="left" vertical="center"/>
    </xf>
    <xf numFmtId="49" fontId="4" fillId="2" borderId="6" xfId="0" applyNumberFormat="1" applyFont="1" applyFill="1" applyBorder="1" applyAlignment="1">
      <alignment horizontal="left" vertical="center"/>
    </xf>
    <xf numFmtId="49" fontId="4" fillId="2" borderId="6" xfId="0" applyNumberFormat="1" applyFont="1" applyFill="1" applyBorder="1" applyAlignment="1">
      <alignment vertical="center"/>
    </xf>
    <xf numFmtId="49" fontId="3" fillId="2" borderId="9" xfId="0" applyNumberFormat="1" applyFont="1" applyFill="1" applyBorder="1" applyAlignment="1">
      <alignment vertical="center"/>
    </xf>
    <xf numFmtId="49" fontId="4" fillId="0" borderId="0" xfId="0" applyNumberFormat="1" applyFont="1" applyAlignment="1">
      <alignment vertical="center" wrapText="1"/>
    </xf>
    <xf numFmtId="49" fontId="0" fillId="0" borderId="0" xfId="0" applyNumberFormat="1"/>
    <xf numFmtId="49" fontId="4" fillId="9" borderId="17" xfId="0" applyNumberFormat="1" applyFont="1" applyFill="1" applyBorder="1" applyAlignment="1">
      <alignment horizontal="center" vertical="center" wrapText="1"/>
    </xf>
    <xf numFmtId="49" fontId="4" fillId="9" borderId="16" xfId="0" applyNumberFormat="1" applyFont="1" applyFill="1" applyBorder="1" applyAlignment="1">
      <alignment vertical="center"/>
    </xf>
    <xf numFmtId="49" fontId="3" fillId="9" borderId="16" xfId="0" applyNumberFormat="1" applyFont="1" applyFill="1" applyBorder="1" applyAlignment="1">
      <alignment vertical="center"/>
    </xf>
    <xf numFmtId="49" fontId="29" fillId="24" borderId="4" xfId="0" quotePrefix="1" applyNumberFormat="1" applyFont="1" applyFill="1" applyBorder="1" applyAlignment="1" applyProtection="1">
      <alignment horizontal="center" vertical="center" wrapText="1"/>
      <protection locked="0"/>
    </xf>
    <xf numFmtId="49" fontId="31" fillId="0" borderId="4" xfId="0" quotePrefix="1" applyNumberFormat="1" applyFont="1" applyBorder="1" applyAlignment="1" applyProtection="1">
      <alignment horizontal="center" vertical="center" wrapText="1"/>
      <protection locked="0"/>
    </xf>
    <xf numFmtId="49" fontId="31" fillId="0" borderId="4" xfId="0" quotePrefix="1" applyNumberFormat="1" applyFont="1" applyBorder="1" applyAlignment="1" applyProtection="1">
      <alignment horizontal="left" vertical="center" wrapText="1"/>
      <protection locked="0"/>
    </xf>
    <xf numFmtId="49" fontId="3" fillId="0" borderId="4" xfId="0" quotePrefix="1" applyNumberFormat="1" applyFont="1" applyBorder="1" applyAlignment="1" applyProtection="1">
      <alignment horizontal="left" vertical="center" wrapText="1"/>
      <protection locked="0"/>
    </xf>
    <xf numFmtId="49" fontId="31" fillId="25" borderId="4" xfId="0" quotePrefix="1" applyNumberFormat="1" applyFont="1" applyFill="1" applyBorder="1" applyAlignment="1" applyProtection="1">
      <alignment horizontal="center" vertical="center" wrapText="1"/>
      <protection locked="0"/>
    </xf>
    <xf numFmtId="49" fontId="33" fillId="3" borderId="16" xfId="0" applyNumberFormat="1" applyFont="1" applyFill="1" applyBorder="1" applyAlignment="1">
      <alignment horizontal="center" vertical="center"/>
    </xf>
    <xf numFmtId="0" fontId="33" fillId="3" borderId="16" xfId="0" applyFont="1" applyFill="1" applyBorder="1" applyAlignment="1">
      <alignment horizontal="center" vertical="center"/>
    </xf>
    <xf numFmtId="0" fontId="33" fillId="3" borderId="11" xfId="0" applyFont="1" applyFill="1" applyBorder="1" applyAlignment="1">
      <alignment horizontal="center" vertical="center"/>
    </xf>
    <xf numFmtId="0" fontId="33" fillId="3" borderId="11" xfId="1" applyFont="1" applyFill="1" applyBorder="1" applyAlignment="1">
      <alignment horizontal="center" vertical="center"/>
    </xf>
    <xf numFmtId="167" fontId="33" fillId="3" borderId="16" xfId="0" applyNumberFormat="1" applyFont="1" applyFill="1" applyBorder="1" applyAlignment="1">
      <alignment horizontal="center" vertical="center"/>
    </xf>
    <xf numFmtId="167" fontId="33" fillId="3" borderId="16" xfId="0" applyNumberFormat="1" applyFont="1" applyFill="1" applyBorder="1" applyAlignment="1">
      <alignment horizontal="center" vertical="center" wrapText="1"/>
    </xf>
    <xf numFmtId="166" fontId="33" fillId="3" borderId="11" xfId="0" applyNumberFormat="1" applyFont="1" applyFill="1" applyBorder="1" applyAlignment="1">
      <alignment horizontal="center" vertical="center"/>
    </xf>
    <xf numFmtId="0" fontId="33" fillId="3" borderId="17" xfId="0" applyFont="1" applyFill="1" applyBorder="1" applyAlignment="1">
      <alignment horizontal="center" vertical="center"/>
    </xf>
    <xf numFmtId="0" fontId="33" fillId="3" borderId="4" xfId="0" applyFont="1" applyFill="1" applyBorder="1" applyAlignment="1">
      <alignment horizontal="center" vertical="center"/>
    </xf>
    <xf numFmtId="0" fontId="3" fillId="0" borderId="4" xfId="0" applyFont="1" applyBorder="1" applyAlignment="1" applyProtection="1">
      <alignment horizontal="center" vertical="center"/>
      <protection locked="0"/>
    </xf>
    <xf numFmtId="49" fontId="31" fillId="14" borderId="4" xfId="0" quotePrefix="1" applyNumberFormat="1" applyFont="1" applyFill="1" applyBorder="1" applyAlignment="1" applyProtection="1">
      <alignment horizontal="center" vertical="center" wrapText="1"/>
      <protection locked="0"/>
    </xf>
    <xf numFmtId="49" fontId="31" fillId="14" borderId="4" xfId="0" applyNumberFormat="1" applyFont="1" applyFill="1" applyBorder="1" applyAlignment="1" applyProtection="1">
      <alignment horizontal="left" vertical="center" wrapText="1"/>
      <protection locked="0"/>
    </xf>
    <xf numFmtId="49" fontId="31" fillId="14" borderId="4" xfId="0" applyNumberFormat="1" applyFont="1" applyFill="1" applyBorder="1" applyAlignment="1" applyProtection="1">
      <alignment horizontal="center" vertical="center" wrapText="1"/>
      <protection locked="0"/>
    </xf>
    <xf numFmtId="3" fontId="31" fillId="14" borderId="4" xfId="0" applyNumberFormat="1" applyFont="1" applyFill="1" applyBorder="1" applyAlignment="1" applyProtection="1">
      <alignment horizontal="center" vertical="center" wrapText="1"/>
      <protection locked="0"/>
    </xf>
    <xf numFmtId="4" fontId="13" fillId="14" borderId="4" xfId="1" applyNumberFormat="1" applyFont="1" applyFill="1" applyBorder="1" applyAlignment="1" applyProtection="1">
      <alignment horizontal="left" vertical="center" wrapText="1"/>
      <protection locked="0"/>
    </xf>
    <xf numFmtId="4" fontId="31" fillId="14" borderId="4" xfId="0" applyNumberFormat="1" applyFont="1" applyFill="1" applyBorder="1" applyAlignment="1" applyProtection="1">
      <alignment horizontal="left" vertical="center" wrapText="1"/>
      <protection locked="0"/>
    </xf>
    <xf numFmtId="14" fontId="31" fillId="14" borderId="4" xfId="0" applyNumberFormat="1" applyFont="1" applyFill="1" applyBorder="1" applyAlignment="1" applyProtection="1">
      <alignment horizontal="center" vertical="center" wrapText="1"/>
      <protection locked="0"/>
    </xf>
    <xf numFmtId="4" fontId="31" fillId="14" borderId="4" xfId="0" applyNumberFormat="1" applyFont="1" applyFill="1" applyBorder="1" applyAlignment="1" applyProtection="1">
      <alignment horizontal="center" vertical="center" wrapText="1"/>
      <protection locked="0"/>
    </xf>
    <xf numFmtId="174" fontId="31" fillId="14" borderId="4" xfId="2" applyNumberFormat="1" applyFont="1" applyFill="1" applyBorder="1" applyAlignment="1" applyProtection="1">
      <alignment vertical="center"/>
      <protection locked="0"/>
    </xf>
    <xf numFmtId="174" fontId="31" fillId="14" borderId="18" xfId="2" applyNumberFormat="1" applyFont="1" applyFill="1" applyBorder="1" applyAlignment="1" applyProtection="1">
      <alignment vertical="center"/>
      <protection locked="0"/>
    </xf>
    <xf numFmtId="2" fontId="31" fillId="14" borderId="16" xfId="2" applyNumberFormat="1" applyFont="1" applyFill="1" applyBorder="1" applyAlignment="1" applyProtection="1">
      <alignment vertical="center"/>
      <protection locked="0"/>
    </xf>
    <xf numFmtId="49" fontId="31" fillId="14" borderId="16" xfId="2" applyNumberFormat="1" applyFont="1" applyFill="1" applyBorder="1" applyAlignment="1" applyProtection="1">
      <alignment vertical="center"/>
      <protection locked="0"/>
    </xf>
    <xf numFmtId="164" fontId="0" fillId="0" borderId="0" xfId="2" applyFont="1"/>
    <xf numFmtId="4" fontId="3" fillId="3" borderId="16" xfId="2" applyNumberFormat="1" applyFont="1" applyFill="1" applyBorder="1" applyAlignment="1" applyProtection="1">
      <alignment vertical="center"/>
    </xf>
    <xf numFmtId="168" fontId="3" fillId="10" borderId="0" xfId="2" applyNumberFormat="1" applyFont="1" applyFill="1" applyBorder="1" applyAlignment="1" applyProtection="1">
      <alignment horizontal="center" vertical="center"/>
    </xf>
    <xf numFmtId="4" fontId="6" fillId="0" borderId="39" xfId="0" applyNumberFormat="1" applyFont="1" applyBorder="1" applyAlignment="1">
      <alignment vertical="center"/>
    </xf>
    <xf numFmtId="49" fontId="31" fillId="17" borderId="4" xfId="0" quotePrefix="1" applyNumberFormat="1" applyFont="1" applyFill="1" applyBorder="1" applyAlignment="1" applyProtection="1">
      <alignment horizontal="center" vertical="center" wrapText="1"/>
      <protection locked="0"/>
    </xf>
    <xf numFmtId="49" fontId="31" fillId="17" borderId="4" xfId="0" applyNumberFormat="1" applyFont="1" applyFill="1" applyBorder="1" applyAlignment="1" applyProtection="1">
      <alignment horizontal="left" vertical="center" wrapText="1"/>
      <protection locked="0"/>
    </xf>
    <xf numFmtId="49" fontId="31" fillId="17" borderId="4" xfId="0" applyNumberFormat="1" applyFont="1" applyFill="1" applyBorder="1" applyAlignment="1" applyProtection="1">
      <alignment horizontal="center" vertical="center" wrapText="1"/>
      <protection locked="0"/>
    </xf>
    <xf numFmtId="3" fontId="31" fillId="17" borderId="4" xfId="0" applyNumberFormat="1" applyFont="1" applyFill="1" applyBorder="1" applyAlignment="1" applyProtection="1">
      <alignment horizontal="center" vertical="center" wrapText="1"/>
      <protection locked="0"/>
    </xf>
    <xf numFmtId="4" fontId="13" fillId="17" borderId="4" xfId="1" applyNumberFormat="1" applyFont="1" applyFill="1" applyBorder="1" applyAlignment="1" applyProtection="1">
      <alignment horizontal="left" vertical="center" wrapText="1"/>
      <protection locked="0"/>
    </xf>
    <xf numFmtId="4" fontId="31" fillId="17" borderId="4" xfId="0" applyNumberFormat="1" applyFont="1" applyFill="1" applyBorder="1" applyAlignment="1" applyProtection="1">
      <alignment horizontal="left" vertical="center" wrapText="1"/>
      <protection locked="0"/>
    </xf>
    <xf numFmtId="14" fontId="31" fillId="17" borderId="4" xfId="0" applyNumberFormat="1" applyFont="1" applyFill="1" applyBorder="1" applyAlignment="1" applyProtection="1">
      <alignment horizontal="center" vertical="center" wrapText="1"/>
      <protection locked="0"/>
    </xf>
    <xf numFmtId="4" fontId="31" fillId="17" borderId="4" xfId="0" applyNumberFormat="1" applyFont="1" applyFill="1" applyBorder="1" applyAlignment="1" applyProtection="1">
      <alignment horizontal="center" vertical="center" wrapText="1"/>
      <protection locked="0"/>
    </xf>
    <xf numFmtId="174" fontId="31" fillId="17" borderId="4" xfId="2" applyNumberFormat="1" applyFont="1" applyFill="1" applyBorder="1" applyAlignment="1" applyProtection="1">
      <alignment vertical="center"/>
      <protection locked="0"/>
    </xf>
    <xf numFmtId="2" fontId="31" fillId="17" borderId="16" xfId="2" applyNumberFormat="1" applyFont="1" applyFill="1" applyBorder="1" applyAlignment="1" applyProtection="1">
      <alignment vertical="center"/>
      <protection locked="0"/>
    </xf>
    <xf numFmtId="164" fontId="31" fillId="17" borderId="16" xfId="2" applyFont="1" applyFill="1" applyBorder="1" applyAlignment="1" applyProtection="1">
      <alignment vertical="center"/>
      <protection locked="0"/>
    </xf>
    <xf numFmtId="164" fontId="31" fillId="14" borderId="16" xfId="2" applyFont="1" applyFill="1" applyBorder="1" applyAlignment="1" applyProtection="1">
      <alignment vertical="center"/>
      <protection locked="0"/>
    </xf>
    <xf numFmtId="49" fontId="31" fillId="14" borderId="16" xfId="2" applyNumberFormat="1" applyFont="1" applyFill="1" applyBorder="1" applyAlignment="1" applyProtection="1">
      <alignment vertical="center" wrapText="1"/>
      <protection locked="0"/>
    </xf>
    <xf numFmtId="49" fontId="31" fillId="11" borderId="4" xfId="0" quotePrefix="1" applyNumberFormat="1" applyFont="1" applyFill="1" applyBorder="1" applyAlignment="1" applyProtection="1">
      <alignment horizontal="center" vertical="center" wrapText="1"/>
      <protection locked="0"/>
    </xf>
    <xf numFmtId="49" fontId="31" fillId="11" borderId="4" xfId="0" applyNumberFormat="1" applyFont="1" applyFill="1" applyBorder="1" applyAlignment="1" applyProtection="1">
      <alignment horizontal="left" vertical="center" wrapText="1"/>
      <protection locked="0"/>
    </xf>
    <xf numFmtId="3" fontId="31" fillId="11" borderId="4" xfId="0" applyNumberFormat="1" applyFont="1" applyFill="1" applyBorder="1" applyAlignment="1" applyProtection="1">
      <alignment horizontal="center" vertical="center" wrapText="1"/>
      <protection locked="0"/>
    </xf>
    <xf numFmtId="4" fontId="13" fillId="11" borderId="4" xfId="1" applyNumberFormat="1" applyFont="1" applyFill="1" applyBorder="1" applyAlignment="1" applyProtection="1">
      <alignment horizontal="left" vertical="center" wrapText="1"/>
      <protection locked="0"/>
    </xf>
    <xf numFmtId="4" fontId="31" fillId="11" borderId="4" xfId="0" applyNumberFormat="1" applyFont="1" applyFill="1" applyBorder="1" applyAlignment="1" applyProtection="1">
      <alignment horizontal="left" vertical="center" wrapText="1"/>
      <protection locked="0"/>
    </xf>
    <xf numFmtId="14" fontId="31" fillId="11" borderId="4" xfId="0" applyNumberFormat="1" applyFont="1" applyFill="1" applyBorder="1" applyAlignment="1" applyProtection="1">
      <alignment horizontal="center" vertical="center" wrapText="1"/>
      <protection locked="0"/>
    </xf>
    <xf numFmtId="4" fontId="31" fillId="11" borderId="4" xfId="0" applyNumberFormat="1" applyFont="1" applyFill="1" applyBorder="1" applyAlignment="1" applyProtection="1">
      <alignment horizontal="center" vertical="center" wrapText="1"/>
      <protection locked="0"/>
    </xf>
    <xf numFmtId="174" fontId="31" fillId="11" borderId="4" xfId="2" applyNumberFormat="1" applyFont="1" applyFill="1" applyBorder="1" applyAlignment="1" applyProtection="1">
      <alignment vertical="center"/>
      <protection locked="0"/>
    </xf>
    <xf numFmtId="4" fontId="4" fillId="11" borderId="16" xfId="2" applyNumberFormat="1" applyFont="1" applyFill="1" applyBorder="1" applyAlignment="1" applyProtection="1">
      <alignment vertical="center"/>
    </xf>
    <xf numFmtId="2" fontId="31" fillId="11" borderId="16" xfId="2" applyNumberFormat="1" applyFont="1" applyFill="1" applyBorder="1" applyAlignment="1" applyProtection="1">
      <alignment vertical="center"/>
      <protection locked="0"/>
    </xf>
    <xf numFmtId="164" fontId="31" fillId="11" borderId="16" xfId="2" applyFont="1" applyFill="1" applyBorder="1" applyAlignment="1" applyProtection="1">
      <alignment vertical="center"/>
      <protection locked="0"/>
    </xf>
    <xf numFmtId="4" fontId="3" fillId="11" borderId="0" xfId="0" applyNumberFormat="1" applyFont="1" applyFill="1" applyAlignment="1">
      <alignment horizontal="left" vertical="center" wrapText="1"/>
    </xf>
    <xf numFmtId="4" fontId="3" fillId="11" borderId="4" xfId="2" applyNumberFormat="1" applyFont="1" applyFill="1" applyBorder="1" applyAlignment="1" applyProtection="1">
      <alignment vertical="center"/>
    </xf>
    <xf numFmtId="0" fontId="3" fillId="11" borderId="0" xfId="0" applyFont="1" applyFill="1" applyAlignment="1">
      <alignment vertical="center"/>
    </xf>
    <xf numFmtId="168" fontId="0" fillId="11" borderId="0" xfId="0" applyNumberFormat="1" applyFill="1" applyAlignment="1">
      <alignment horizontal="center" vertical="center"/>
    </xf>
    <xf numFmtId="4" fontId="27" fillId="11" borderId="39" xfId="0" applyNumberFormat="1" applyFont="1" applyFill="1" applyBorder="1" applyAlignment="1">
      <alignment vertical="center"/>
    </xf>
    <xf numFmtId="0" fontId="0" fillId="11" borderId="40" xfId="0" applyFill="1" applyBorder="1" applyAlignment="1">
      <alignment vertical="center"/>
    </xf>
    <xf numFmtId="0" fontId="0" fillId="11" borderId="41" xfId="0" applyFill="1" applyBorder="1" applyAlignment="1">
      <alignment vertical="center"/>
    </xf>
    <xf numFmtId="0" fontId="3" fillId="11" borderId="41" xfId="0" applyFont="1" applyFill="1" applyBorder="1" applyAlignment="1">
      <alignment vertical="center"/>
    </xf>
    <xf numFmtId="0" fontId="20" fillId="11" borderId="41" xfId="0" applyFont="1" applyFill="1" applyBorder="1" applyAlignment="1">
      <alignment vertical="center"/>
    </xf>
    <xf numFmtId="0" fontId="20" fillId="11" borderId="42" xfId="0" applyFont="1" applyFill="1" applyBorder="1" applyAlignment="1">
      <alignment vertical="center"/>
    </xf>
    <xf numFmtId="49" fontId="31" fillId="11" borderId="4" xfId="0" applyNumberFormat="1" applyFont="1" applyFill="1" applyBorder="1" applyAlignment="1" applyProtection="1">
      <alignment horizontal="center" vertical="center" wrapText="1"/>
      <protection locked="0"/>
    </xf>
    <xf numFmtId="49" fontId="31" fillId="11" borderId="16" xfId="2" applyNumberFormat="1" applyFont="1" applyFill="1" applyBorder="1" applyAlignment="1" applyProtection="1">
      <alignment vertical="center"/>
      <protection locked="0"/>
    </xf>
    <xf numFmtId="168" fontId="4" fillId="11" borderId="0" xfId="2" applyNumberFormat="1" applyFont="1" applyFill="1" applyBorder="1" applyAlignment="1" applyProtection="1">
      <alignment horizontal="center" vertical="center"/>
    </xf>
    <xf numFmtId="0" fontId="4" fillId="9" borderId="18"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2" borderId="0" xfId="0" applyFont="1" applyFill="1" applyAlignment="1">
      <alignment horizontal="center" vertical="center"/>
    </xf>
    <xf numFmtId="0" fontId="4" fillId="2" borderId="5"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26" xfId="0" applyFont="1" applyFill="1" applyBorder="1" applyAlignment="1">
      <alignment horizontal="center" vertical="center"/>
    </xf>
    <xf numFmtId="0" fontId="3" fillId="9" borderId="18" xfId="0" applyFont="1" applyFill="1" applyBorder="1" applyAlignment="1">
      <alignment horizontal="center" vertical="center"/>
    </xf>
    <xf numFmtId="0" fontId="21" fillId="0" borderId="1" xfId="0"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6" xfId="0" applyFont="1" applyBorder="1" applyAlignment="1">
      <alignment horizontal="center" vertical="center"/>
    </xf>
    <xf numFmtId="0" fontId="21" fillId="0" borderId="0" xfId="0" applyFont="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10" xfId="0" applyFont="1" applyBorder="1" applyAlignment="1">
      <alignment horizontal="center" vertical="center"/>
    </xf>
    <xf numFmtId="0" fontId="21" fillId="0" borderId="11" xfId="0" applyFont="1" applyBorder="1" applyAlignment="1">
      <alignment horizontal="center" vertical="center"/>
    </xf>
    <xf numFmtId="0" fontId="13" fillId="0" borderId="10" xfId="0" applyFont="1" applyBorder="1" applyAlignment="1">
      <alignment horizontal="center" vertical="center"/>
    </xf>
    <xf numFmtId="0" fontId="5" fillId="0" borderId="4" xfId="0"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12" xfId="0" applyFont="1" applyBorder="1" applyAlignment="1">
      <alignment horizontal="center" vertical="center"/>
    </xf>
    <xf numFmtId="0" fontId="5" fillId="0" borderId="13" xfId="0" applyFont="1" applyBorder="1" applyAlignment="1">
      <alignment horizontal="center" vertical="center"/>
    </xf>
    <xf numFmtId="0" fontId="5" fillId="0" borderId="22" xfId="0" applyFont="1" applyBorder="1" applyAlignment="1">
      <alignment horizontal="center" vertical="center"/>
    </xf>
    <xf numFmtId="0" fontId="5" fillId="0" borderId="14" xfId="0" applyFont="1" applyBorder="1" applyAlignment="1">
      <alignment horizontal="center" vertical="center"/>
    </xf>
    <xf numFmtId="9" fontId="3" fillId="0" borderId="5" xfId="9" applyFont="1" applyBorder="1" applyAlignment="1">
      <alignment horizontal="righ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0" fillId="0" borderId="0" xfId="0" applyNumberFormat="1"/>
  </cellXfs>
  <cellStyles count="10">
    <cellStyle name="ColLevel_1" xfId="1" builtinId="2" iLevel="0"/>
    <cellStyle name="Comma" xfId="2" builtinId="3"/>
    <cellStyle name="Komma 2" xfId="3" xr:uid="{00000000-0005-0000-0000-000006000000}"/>
    <cellStyle name="Komma 5" xfId="4" xr:uid="{00000000-0005-0000-0000-000007000000}"/>
    <cellStyle name="Normal" xfId="0" builtinId="0"/>
    <cellStyle name="Normalny 2" xfId="8" xr:uid="{3625D7E5-0F5A-4BE1-8564-FDABE5CF0B45}"/>
    <cellStyle name="Per cent" xfId="9" builtinId="5"/>
    <cellStyle name="Percent 2" xfId="5" xr:uid="{00000000-0005-0000-0000-000008000000}"/>
    <cellStyle name="Prozent 2" xfId="6" xr:uid="{00000000-0005-0000-0000-000009000000}"/>
    <cellStyle name="Standard 4" xfId="7" xr:uid="{00000000-0005-0000-0000-00000A000000}"/>
  </cellStyles>
  <dxfs count="46">
    <dxf>
      <fill>
        <patternFill>
          <bgColor rgb="FFC00000"/>
        </patternFill>
      </fill>
    </dxf>
    <dxf>
      <fill>
        <patternFill>
          <bgColor theme="3"/>
        </patternFill>
      </fill>
    </dxf>
    <dxf>
      <fill>
        <patternFill>
          <bgColor theme="3" tint="0.79998168889431442"/>
        </patternFill>
      </fill>
    </dxf>
    <dxf>
      <fill>
        <patternFill>
          <bgColor theme="6" tint="0.39994506668294322"/>
        </patternFill>
      </fill>
      <border>
        <vertical/>
        <horizontal/>
      </border>
    </dxf>
    <dxf>
      <fill>
        <patternFill>
          <bgColor theme="6" tint="0.59996337778862885"/>
        </patternFill>
      </fill>
    </dxf>
    <dxf>
      <fill>
        <patternFill>
          <bgColor theme="5" tint="0.39994506668294322"/>
        </patternFill>
      </fill>
    </dxf>
    <dxf>
      <fill>
        <patternFill>
          <bgColor theme="9" tint="0.59996337778862885"/>
        </patternFill>
      </fill>
    </dxf>
    <dxf>
      <border>
        <left style="thin">
          <color rgb="FFC00000"/>
        </left>
        <right style="thin">
          <color rgb="FFC00000"/>
        </right>
        <vertical/>
        <horizontal/>
      </border>
    </dxf>
    <dxf>
      <fill>
        <patternFill>
          <bgColor theme="0" tint="-0.14996795556505021"/>
        </patternFill>
      </fill>
    </dxf>
    <dxf>
      <fill>
        <patternFill>
          <bgColor theme="1"/>
        </patternFill>
      </fill>
    </dxf>
    <dxf>
      <font>
        <b/>
        <i val="0"/>
      </font>
    </dxf>
    <dxf>
      <font>
        <color rgb="FFFF0000"/>
      </font>
    </dxf>
    <dxf>
      <font>
        <b/>
        <i val="0"/>
      </font>
    </dxf>
    <dxf>
      <font>
        <b/>
        <i val="0"/>
        <color rgb="FFC00000"/>
      </font>
    </dxf>
    <dxf>
      <font>
        <color rgb="FFFF0000"/>
      </font>
    </dxf>
    <dxf>
      <font>
        <color theme="9" tint="-0.24994659260841701"/>
      </font>
    </dxf>
    <dxf>
      <font>
        <color theme="9" tint="-0.24994659260841701"/>
      </font>
    </dxf>
    <dxf>
      <font>
        <b/>
        <i val="0"/>
        <color rgb="FFC00000"/>
      </font>
    </dxf>
    <dxf>
      <font>
        <color rgb="FFFF0000"/>
      </font>
    </dxf>
    <dxf>
      <font>
        <color rgb="FFFF0000"/>
      </font>
    </dxf>
    <dxf>
      <font>
        <color theme="9" tint="-0.24994659260841701"/>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
      <font>
        <b/>
        <i val="0"/>
        <color rgb="FFC00000"/>
      </font>
    </dxf>
    <dxf>
      <font>
        <color rgb="FFFF0000"/>
      </font>
    </dxf>
    <dxf>
      <font>
        <color theme="9" tint="-0.24994659260841701"/>
      </font>
    </dxf>
    <dxf>
      <font>
        <color theme="9" tint="-0.24994659260841701"/>
      </font>
    </dxf>
    <dxf>
      <font>
        <color rgb="FFFF0000"/>
      </font>
    </dxf>
    <dxf>
      <font>
        <b/>
        <i val="0"/>
        <color rgb="FFC00000"/>
      </font>
    </dxf>
    <dxf>
      <font>
        <color rgb="FFFF0000"/>
      </font>
    </dxf>
    <dxf>
      <font>
        <color theme="9" tint="-0.24994659260841701"/>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s>
  <tableStyles count="1" defaultTableStyle="TableStyleMedium2" defaultPivotStyle="PivotStyleLight16">
    <tableStyle name="Invisible" pivot="0" table="0" count="0" xr9:uid="{4219EEAE-91CB-4553-8193-C73CB3C92CD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2.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eetMetadata" Target="metadata.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2</xdr:col>
      <xdr:colOff>50346</xdr:colOff>
      <xdr:row>13</xdr:row>
      <xdr:rowOff>72117</xdr:rowOff>
    </xdr:from>
    <xdr:to>
      <xdr:col>33</xdr:col>
      <xdr:colOff>602796</xdr:colOff>
      <xdr:row>48</xdr:row>
      <xdr:rowOff>80515</xdr:rowOff>
    </xdr:to>
    <xdr:pic>
      <xdr:nvPicPr>
        <xdr:cNvPr id="12" name="Obraz 1" descr="image003">
          <a:extLst>
            <a:ext uri="{FF2B5EF4-FFF2-40B4-BE49-F238E27FC236}">
              <a16:creationId xmlns:a16="http://schemas.microsoft.com/office/drawing/2014/main" id="{9BCA9383-0636-4AC2-86A4-E39FE2E914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61882" y="2262867"/>
          <a:ext cx="15574735" cy="572339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-1</xdr:colOff>
      <xdr:row>2</xdr:row>
      <xdr:rowOff>81643</xdr:rowOff>
    </xdr:from>
    <xdr:to>
      <xdr:col>15</xdr:col>
      <xdr:colOff>110217</xdr:colOff>
      <xdr:row>11</xdr:row>
      <xdr:rowOff>61232</xdr:rowOff>
    </xdr:to>
    <xdr:pic>
      <xdr:nvPicPr>
        <xdr:cNvPr id="4" name="Obraz 4">
          <a:extLst>
            <a:ext uri="{FF2B5EF4-FFF2-40B4-BE49-F238E27FC236}">
              <a16:creationId xmlns:a16="http://schemas.microsoft.com/office/drawing/2014/main" id="{D7C7FE1F-429C-4F32-9AE4-8D0540C3A6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11535" y="408214"/>
          <a:ext cx="8737146" cy="144916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57.667304050927" createdVersion="6" refreshedVersion="8" minRefreshableVersion="3" recordCount="1000" xr:uid="{A7EFAC7D-F764-41CF-9CFE-C55C4BBBF155}">
  <cacheSource type="worksheet">
    <worksheetSource ref="G1:K1048576" sheet="dane wykres"/>
  </cacheSource>
  <cacheFields count="5">
    <cacheField name="Budget AK0" numFmtId="0">
      <sharedItems containsBlank="1" containsMixedTypes="1" containsNumber="1" minValue="-261648.35640412569" maxValue="54332010.783500001"/>
    </cacheField>
    <cacheField name="Data zamknięcia procesu wyboru" numFmtId="0">
      <sharedItems containsDate="1" containsBlank="1" containsMixedTypes="1" minDate="1899-12-30T00:00:00" maxDate="2026-05-01T00:00:00"/>
    </cacheField>
    <cacheField name="miesiąc" numFmtId="0">
      <sharedItems containsBlank="1" containsMixedTypes="1" containsNumber="1" containsInteger="1" minValue="1" maxValue="12" count="11">
        <n v="1"/>
        <e v="#REF!"/>
        <n v="12"/>
        <n v="4"/>
        <n v="3"/>
        <n v="2"/>
        <m/>
        <n v="10" u="1"/>
        <n v="6" u="1"/>
        <n v="8" u="1"/>
        <n v="9" u="1"/>
      </sharedItems>
    </cacheField>
    <cacheField name="rok" numFmtId="0">
      <sharedItems containsBlank="1" containsMixedTypes="1" containsNumber="1" containsInteger="1" minValue="1900" maxValue="2026" count="7">
        <n v="1900"/>
        <e v="#REF!"/>
        <n v="2025"/>
        <n v="2026"/>
        <m/>
        <n v="2020" u="1"/>
        <n v="2021" u="1"/>
      </sharedItems>
    </cacheField>
    <cacheField name="data_new" numFmtId="0">
      <sharedItems containsBlank="1" count="20">
        <s v="1_1900"/>
        <e v="#REF!"/>
        <s v="12_2025"/>
        <s v="4_2026"/>
        <s v="3_2026"/>
        <s v="2_2026"/>
        <s v="1_2026"/>
        <m/>
        <s v="10_2025" u="1"/>
        <s v="3_2020" u="1"/>
        <s v="8_2020" u="1"/>
        <s v="1_2020" u="1"/>
        <s v="1_2021" u="1"/>
        <s v="6_2020" u="1"/>
        <s v="4_2020" u="1"/>
        <s v="9_2020" u="1"/>
        <s v="2_2020" u="1"/>
        <s v="2_2021" u="1"/>
        <s v="10_2020" u="1"/>
        <s v="12_2020"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57.667304166665" createdVersion="6" refreshedVersion="8" minRefreshableVersion="3" recordCount="1000" xr:uid="{B449C41B-E4C5-4BE2-B0C8-479E7EA886F7}">
  <cacheSource type="worksheet">
    <worksheetSource ref="A1:E1048576" sheet="dane wykres"/>
  </cacheSource>
  <cacheFields count="5">
    <cacheField name="Budget AK0" numFmtId="0">
      <sharedItems containsBlank="1" containsMixedTypes="1" containsNumber="1" minValue="-261648.35640412569" maxValue="54332010.783500001"/>
    </cacheField>
    <cacheField name="Wybór Końcowy - planowany termin zamknięcia procesu wyboru" numFmtId="0">
      <sharedItems containsDate="1" containsBlank="1" containsMixedTypes="1" minDate="1899-12-30T00:00:00" maxDate="2028-05-01T00:00:00"/>
    </cacheField>
    <cacheField name="miesiąc" numFmtId="0">
      <sharedItems containsBlank="1" containsMixedTypes="1" containsNumber="1" containsInteger="1" minValue="1" maxValue="12" count="14">
        <n v="1"/>
        <e v="#REF!"/>
        <n v="8"/>
        <n v="4"/>
        <n v="5"/>
        <n v="7"/>
        <n v="6"/>
        <n v="9"/>
        <n v="3"/>
        <n v="10"/>
        <n v="12"/>
        <n v="2"/>
        <m/>
        <n v="11" u="1"/>
      </sharedItems>
    </cacheField>
    <cacheField name="rok" numFmtId="0">
      <sharedItems containsBlank="1" containsMixedTypes="1" containsNumber="1" containsInteger="1" minValue="1900" maxValue="2028" count="9">
        <n v="1900"/>
        <e v="#REF!"/>
        <n v="2026"/>
        <n v="2028"/>
        <n v="2027"/>
        <n v="2025"/>
        <m/>
        <n v="2020" u="1"/>
        <n v="2021" u="1"/>
      </sharedItems>
    </cacheField>
    <cacheField name="data_new" numFmtId="0">
      <sharedItems containsBlank="1" count="35">
        <s v="1_1900"/>
        <e v="#REF!"/>
        <s v="8_2026"/>
        <s v="4_2026"/>
        <s v="5_2026"/>
        <s v="4_2028"/>
        <s v="7_2027"/>
        <s v="6_2026"/>
        <s v="9_2026"/>
        <s v="1_2026"/>
        <s v="7_2026"/>
        <s v="3_2026"/>
        <s v="10_2026"/>
        <s v="4_2027"/>
        <s v="12_2026"/>
        <s v="4_1900"/>
        <s v="2_2027"/>
        <s v="3_2027"/>
        <s v="12_2027"/>
        <s v="2_2026"/>
        <s v="12_2025"/>
        <s v="9_2027"/>
        <m/>
        <s v="11_2026" u="1"/>
        <s v="9_2025" u="1"/>
        <s v="9_2020" u="1"/>
        <s v="1_2020" u="1"/>
        <s v="1_2021" u="1"/>
        <s v="6_2020" u="1"/>
        <s v="2_2021" u="1"/>
        <s v="3_2020" u="1"/>
        <s v="10_2020" u="1"/>
        <s v="12_2020" u="1"/>
        <s v="8_2020" u="1"/>
        <s v="4_2020"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5-12-04T00:00:00"/>
    <x v="2"/>
    <x v="2"/>
    <x v="2"/>
  </r>
  <r>
    <n v="0"/>
    <d v="1899-12-30T00:00:00"/>
    <x v="0"/>
    <x v="0"/>
    <x v="0"/>
  </r>
  <r>
    <n v="1580000"/>
    <d v="2026-04-22T00:00:00"/>
    <x v="3"/>
    <x v="3"/>
    <x v="3"/>
  </r>
  <r>
    <e v="#REF!"/>
    <e v="#REF!"/>
    <x v="1"/>
    <x v="1"/>
    <x v="1"/>
  </r>
  <r>
    <n v="2000000"/>
    <d v="1899-12-30T00:00:00"/>
    <x v="0"/>
    <x v="0"/>
    <x v="0"/>
  </r>
  <r>
    <e v="#REF!"/>
    <e v="#REF!"/>
    <x v="1"/>
    <x v="1"/>
    <x v="1"/>
  </r>
  <r>
    <n v="300000"/>
    <d v="1899-12-30T00:00:00"/>
    <x v="0"/>
    <x v="0"/>
    <x v="0"/>
  </r>
  <r>
    <n v="100000"/>
    <d v="1899-12-30T00:00:00"/>
    <x v="0"/>
    <x v="0"/>
    <x v="0"/>
  </r>
  <r>
    <n v="250000"/>
    <d v="2026-03-21T00:00:00"/>
    <x v="4"/>
    <x v="3"/>
    <x v="4"/>
  </r>
  <r>
    <n v="100000"/>
    <d v="1899-12-30T00:00:00"/>
    <x v="0"/>
    <x v="0"/>
    <x v="0"/>
  </r>
  <r>
    <n v="120000"/>
    <d v="1899-12-30T00:00:00"/>
    <x v="0"/>
    <x v="0"/>
    <x v="0"/>
  </r>
  <r>
    <n v="100000"/>
    <d v="1899-12-30T00:00:00"/>
    <x v="0"/>
    <x v="0"/>
    <x v="0"/>
  </r>
  <r>
    <n v="350000"/>
    <d v="1899-12-30T00:00:00"/>
    <x v="0"/>
    <x v="0"/>
    <x v="0"/>
  </r>
  <r>
    <e v="#REF!"/>
    <e v="#REF!"/>
    <x v="1"/>
    <x v="1"/>
    <x v="1"/>
  </r>
  <r>
    <n v="250000"/>
    <d v="1899-12-30T00:00:00"/>
    <x v="0"/>
    <x v="0"/>
    <x v="0"/>
  </r>
  <r>
    <n v="0"/>
    <d v="1899-12-30T00:00:00"/>
    <x v="0"/>
    <x v="0"/>
    <x v="0"/>
  </r>
  <r>
    <n v="4613087.0199999996"/>
    <d v="2026-02-15T00:00:00"/>
    <x v="5"/>
    <x v="3"/>
    <x v="5"/>
  </r>
  <r>
    <n v="0"/>
    <d v="2026-02-15T00:00:00"/>
    <x v="5"/>
    <x v="3"/>
    <x v="5"/>
  </r>
  <r>
    <e v="#REF!"/>
    <e v="#REF!"/>
    <x v="1"/>
    <x v="1"/>
    <x v="1"/>
  </r>
  <r>
    <n v="2686634.0548568321"/>
    <d v="2026-01-15T00:00:00"/>
    <x v="0"/>
    <x v="3"/>
    <x v="6"/>
  </r>
  <r>
    <n v="0"/>
    <d v="2026-01-15T00:00:00"/>
    <x v="0"/>
    <x v="3"/>
    <x v="6"/>
  </r>
  <r>
    <e v="#REF!"/>
    <e v="#REF!"/>
    <x v="1"/>
    <x v="1"/>
    <x v="1"/>
  </r>
  <r>
    <e v="#REF!"/>
    <e v="#REF!"/>
    <x v="1"/>
    <x v="1"/>
    <x v="1"/>
  </r>
  <r>
    <n v="437599.45310412132"/>
    <d v="2026-04-17T00:00:00"/>
    <x v="3"/>
    <x v="3"/>
    <x v="3"/>
  </r>
  <r>
    <n v="1138973.3847357573"/>
    <d v="1899-12-30T00:00:00"/>
    <x v="0"/>
    <x v="0"/>
    <x v="0"/>
  </r>
  <r>
    <n v="0"/>
    <d v="1899-12-30T00:00:00"/>
    <x v="0"/>
    <x v="0"/>
    <x v="0"/>
  </r>
  <r>
    <n v="16024473.498635681"/>
    <d v="1899-12-30T00:00:00"/>
    <x v="0"/>
    <x v="0"/>
    <x v="0"/>
  </r>
  <r>
    <n v="0"/>
    <d v="1899-12-30T00:00:00"/>
    <x v="0"/>
    <x v="0"/>
    <x v="0"/>
  </r>
  <r>
    <e v="#REF!"/>
    <e v="#REF!"/>
    <x v="1"/>
    <x v="1"/>
    <x v="1"/>
  </r>
  <r>
    <n v="386500"/>
    <d v="1899-12-30T00:00:00"/>
    <x v="0"/>
    <x v="0"/>
    <x v="0"/>
  </r>
  <r>
    <n v="718448.41"/>
    <d v="1899-12-30T00:00:00"/>
    <x v="0"/>
    <x v="0"/>
    <x v="0"/>
  </r>
  <r>
    <n v="0"/>
    <d v="1899-12-30T00:00:00"/>
    <x v="0"/>
    <x v="0"/>
    <x v="0"/>
  </r>
  <r>
    <n v="23700875.699999999"/>
    <d v="1899-12-30T00:00:00"/>
    <x v="0"/>
    <x v="0"/>
    <x v="0"/>
  </r>
  <r>
    <n v="425469.4322980452"/>
    <d v="2026-04-30T00:00:00"/>
    <x v="3"/>
    <x v="3"/>
    <x v="3"/>
  </r>
  <r>
    <n v="687451.2464395162"/>
    <d v="1899-12-30T00:00:00"/>
    <x v="0"/>
    <x v="0"/>
    <x v="0"/>
  </r>
  <r>
    <n v="0"/>
    <d v="1899-12-30T00:00:00"/>
    <x v="0"/>
    <x v="0"/>
    <x v="0"/>
  </r>
  <r>
    <n v="0"/>
    <d v="1899-12-30T00:00:00"/>
    <x v="0"/>
    <x v="0"/>
    <x v="0"/>
  </r>
  <r>
    <n v="1169928.6779112776"/>
    <d v="1899-12-30T00:00:00"/>
    <x v="0"/>
    <x v="0"/>
    <x v="0"/>
  </r>
  <r>
    <n v="433041.85"/>
    <d v="1899-12-30T00:00:00"/>
    <x v="0"/>
    <x v="0"/>
    <x v="0"/>
  </r>
  <r>
    <n v="164458.6434"/>
    <d v="1899-12-30T00:00:00"/>
    <x v="0"/>
    <x v="0"/>
    <x v="0"/>
  </r>
  <r>
    <n v="366535.63100000005"/>
    <d v="1899-12-30T00:00:00"/>
    <x v="0"/>
    <x v="0"/>
    <x v="0"/>
  </r>
  <r>
    <n v="205428.18078865809"/>
    <d v="1899-12-30T00:00:00"/>
    <x v="0"/>
    <x v="0"/>
    <x v="0"/>
  </r>
  <r>
    <n v="327190.63904872013"/>
    <d v="1899-12-30T00:00:00"/>
    <x v="0"/>
    <x v="0"/>
    <x v="0"/>
  </r>
  <r>
    <n v="7198646.1321056634"/>
    <d v="1899-12-30T00:00:00"/>
    <x v="0"/>
    <x v="0"/>
    <x v="0"/>
  </r>
  <r>
    <n v="0"/>
    <d v="1899-12-30T00:00:00"/>
    <x v="0"/>
    <x v="0"/>
    <x v="0"/>
  </r>
  <r>
    <n v="0"/>
    <d v="1899-12-30T00:00:00"/>
    <x v="0"/>
    <x v="0"/>
    <x v="0"/>
  </r>
  <r>
    <n v="415350"/>
    <d v="1899-12-30T00:00:00"/>
    <x v="0"/>
    <x v="0"/>
    <x v="0"/>
  </r>
  <r>
    <n v="98643.6"/>
    <d v="1899-12-30T00:00:00"/>
    <x v="0"/>
    <x v="0"/>
    <x v="0"/>
  </r>
  <r>
    <n v="551900"/>
    <d v="1899-12-30T00:00:00"/>
    <x v="0"/>
    <x v="0"/>
    <x v="0"/>
  </r>
  <r>
    <n v="0"/>
    <d v="1899-12-30T00:00:00"/>
    <x v="0"/>
    <x v="0"/>
    <x v="0"/>
  </r>
  <r>
    <n v="4457840.2257410437"/>
    <d v="1899-12-30T00:00:00"/>
    <x v="0"/>
    <x v="0"/>
    <x v="0"/>
  </r>
  <r>
    <n v="1833166.2735684454"/>
    <d v="1899-12-30T00:00:00"/>
    <x v="0"/>
    <x v="0"/>
    <x v="0"/>
  </r>
  <r>
    <n v="1112964.7210705113"/>
    <d v="1899-12-30T00:00:00"/>
    <x v="0"/>
    <x v="0"/>
    <x v="0"/>
  </r>
  <r>
    <n v="1097187.355"/>
    <d v="1899-12-30T00:00:00"/>
    <x v="0"/>
    <x v="0"/>
    <x v="0"/>
  </r>
  <r>
    <n v="0"/>
    <d v="1899-12-30T00:00:00"/>
    <x v="0"/>
    <x v="0"/>
    <x v="0"/>
  </r>
  <r>
    <n v="321394.76"/>
    <d v="1899-12-30T00:00:00"/>
    <x v="0"/>
    <x v="0"/>
    <x v="0"/>
  </r>
  <r>
    <n v="416382.29399999999"/>
    <d v="1899-12-30T00:00:00"/>
    <x v="0"/>
    <x v="0"/>
    <x v="0"/>
  </r>
  <r>
    <n v="0"/>
    <d v="1899-12-30T00:00:00"/>
    <x v="0"/>
    <x v="0"/>
    <x v="0"/>
  </r>
  <r>
    <n v="0"/>
    <d v="1899-12-30T00:00:00"/>
    <x v="0"/>
    <x v="0"/>
    <x v="0"/>
  </r>
  <r>
    <n v="29982000"/>
    <d v="2026-04-22T00:00:00"/>
    <x v="3"/>
    <x v="3"/>
    <x v="3"/>
  </r>
  <r>
    <n v="742140"/>
    <d v="1899-12-30T00:00:00"/>
    <x v="0"/>
    <x v="0"/>
    <x v="0"/>
  </r>
  <r>
    <n v="140000"/>
    <d v="1899-12-30T00:00:00"/>
    <x v="0"/>
    <x v="0"/>
    <x v="0"/>
  </r>
  <r>
    <n v="980000"/>
    <d v="1899-12-30T00:00:00"/>
    <x v="0"/>
    <x v="0"/>
    <x v="0"/>
  </r>
  <r>
    <n v="175000"/>
    <d v="1899-12-30T00:00:00"/>
    <x v="0"/>
    <x v="0"/>
    <x v="0"/>
  </r>
  <r>
    <n v="13510000"/>
    <d v="1899-12-30T00:00:00"/>
    <x v="0"/>
    <x v="0"/>
    <x v="0"/>
  </r>
  <r>
    <e v="#REF!"/>
    <e v="#REF!"/>
    <x v="1"/>
    <x v="1"/>
    <x v="1"/>
  </r>
  <r>
    <n v="0"/>
    <d v="1899-12-30T00:00:00"/>
    <x v="0"/>
    <x v="0"/>
    <x v="0"/>
  </r>
  <r>
    <n v="5525000"/>
    <d v="2026-04-22T00:00:00"/>
    <x v="3"/>
    <x v="3"/>
    <x v="3"/>
  </r>
  <r>
    <n v="2752000"/>
    <d v="1899-12-30T00:00:00"/>
    <x v="0"/>
    <x v="0"/>
    <x v="0"/>
  </r>
  <r>
    <n v="1960000"/>
    <d v="1899-12-30T00:00:00"/>
    <x v="0"/>
    <x v="0"/>
    <x v="0"/>
  </r>
  <r>
    <n v="0"/>
    <d v="1899-12-30T00:00:00"/>
    <x v="0"/>
    <x v="0"/>
    <x v="0"/>
  </r>
  <r>
    <n v="1009700"/>
    <d v="1899-12-30T00:00:00"/>
    <x v="0"/>
    <x v="0"/>
    <x v="0"/>
  </r>
  <r>
    <n v="2211870"/>
    <d v="1899-12-30T00:00:00"/>
    <x v="0"/>
    <x v="0"/>
    <x v="0"/>
  </r>
  <r>
    <n v="275700"/>
    <d v="1899-12-30T00:00:00"/>
    <x v="0"/>
    <x v="0"/>
    <x v="0"/>
  </r>
  <r>
    <n v="715920"/>
    <d v="1899-12-30T00:00:00"/>
    <x v="0"/>
    <x v="0"/>
    <x v="0"/>
  </r>
  <r>
    <n v="821016"/>
    <d v="1899-12-30T00:00:00"/>
    <x v="0"/>
    <x v="0"/>
    <x v="0"/>
  </r>
  <r>
    <n v="240990"/>
    <d v="1899-12-30T00:00:00"/>
    <x v="0"/>
    <x v="0"/>
    <x v="0"/>
  </r>
  <r>
    <n v="45500"/>
    <d v="1899-12-30T00:00:00"/>
    <x v="0"/>
    <x v="0"/>
    <x v="0"/>
  </r>
  <r>
    <n v="542750"/>
    <d v="1899-12-30T00:00:00"/>
    <x v="0"/>
    <x v="0"/>
    <x v="0"/>
  </r>
  <r>
    <n v="1925350"/>
    <d v="1899-12-30T00:00:00"/>
    <x v="0"/>
    <x v="0"/>
    <x v="0"/>
  </r>
  <r>
    <n v="285000"/>
    <d v="1899-12-30T00:00:00"/>
    <x v="0"/>
    <x v="0"/>
    <x v="0"/>
  </r>
  <r>
    <n v="1178293"/>
    <d v="1899-12-30T00:00:00"/>
    <x v="0"/>
    <x v="0"/>
    <x v="0"/>
  </r>
  <r>
    <n v="800000"/>
    <d v="1899-12-30T00:00:00"/>
    <x v="0"/>
    <x v="0"/>
    <x v="0"/>
  </r>
  <r>
    <n v="3107033"/>
    <d v="1899-12-30T00:00:00"/>
    <x v="0"/>
    <x v="0"/>
    <x v="0"/>
  </r>
  <r>
    <n v="1548256"/>
    <d v="1899-12-30T00:00:00"/>
    <x v="0"/>
    <x v="0"/>
    <x v="0"/>
  </r>
  <r>
    <n v="1053444"/>
    <d v="1899-12-30T00:00:00"/>
    <x v="0"/>
    <x v="0"/>
    <x v="0"/>
  </r>
  <r>
    <n v="637613"/>
    <d v="1899-12-30T00:00:00"/>
    <x v="0"/>
    <x v="0"/>
    <x v="0"/>
  </r>
  <r>
    <e v="#REF!"/>
    <e v="#REF!"/>
    <x v="1"/>
    <x v="1"/>
    <x v="1"/>
  </r>
  <r>
    <n v="10000"/>
    <d v="1899-12-30T00:00:00"/>
    <x v="0"/>
    <x v="0"/>
    <x v="0"/>
  </r>
  <r>
    <n v="624272"/>
    <d v="1899-12-30T00:00:00"/>
    <x v="0"/>
    <x v="0"/>
    <x v="0"/>
  </r>
  <r>
    <n v="200969"/>
    <d v="1899-12-30T00:00:00"/>
    <x v="0"/>
    <x v="0"/>
    <x v="0"/>
  </r>
  <r>
    <n v="3359643"/>
    <d v="1899-12-30T00:00:00"/>
    <x v="0"/>
    <x v="0"/>
    <x v="0"/>
  </r>
  <r>
    <n v="0"/>
    <d v="1899-12-30T00:00:00"/>
    <x v="0"/>
    <x v="0"/>
    <x v="0"/>
  </r>
  <r>
    <n v="0"/>
    <d v="1899-12-30T00:00:00"/>
    <x v="0"/>
    <x v="0"/>
    <x v="0"/>
  </r>
  <r>
    <n v="185000"/>
    <d v="1899-12-30T00:00:00"/>
    <x v="0"/>
    <x v="0"/>
    <x v="0"/>
  </r>
  <r>
    <n v="0"/>
    <d v="1899-12-30T00:00:00"/>
    <x v="0"/>
    <x v="0"/>
    <x v="0"/>
  </r>
  <r>
    <n v="9072785"/>
    <d v="2026-04-13T00:00:00"/>
    <x v="3"/>
    <x v="3"/>
    <x v="3"/>
  </r>
  <r>
    <n v="81600"/>
    <d v="1899-12-30T00:00:00"/>
    <x v="0"/>
    <x v="0"/>
    <x v="0"/>
  </r>
  <r>
    <n v="0"/>
    <d v="1899-12-30T00:00:00"/>
    <x v="0"/>
    <x v="0"/>
    <x v="0"/>
  </r>
  <r>
    <n v="33755000"/>
    <d v="2025-12-04T00:00:00"/>
    <x v="2"/>
    <x v="2"/>
    <x v="2"/>
  </r>
  <r>
    <e v="#REF!"/>
    <e v="#REF!"/>
    <x v="1"/>
    <x v="1"/>
    <x v="1"/>
  </r>
  <r>
    <e v="#REF!"/>
    <e v="#REF!"/>
    <x v="1"/>
    <x v="1"/>
    <x v="1"/>
  </r>
  <r>
    <e v="#REF!"/>
    <e v="#REF!"/>
    <x v="1"/>
    <x v="1"/>
    <x v="1"/>
  </r>
  <r>
    <n v="595000"/>
    <d v="1899-12-30T00:00:00"/>
    <x v="0"/>
    <x v="0"/>
    <x v="0"/>
  </r>
  <r>
    <n v="1281400"/>
    <d v="1899-12-30T00:00:00"/>
    <x v="0"/>
    <x v="0"/>
    <x v="0"/>
  </r>
  <r>
    <n v="2502500"/>
    <d v="1899-12-30T00:00:00"/>
    <x v="0"/>
    <x v="0"/>
    <x v="0"/>
  </r>
  <r>
    <n v="220000"/>
    <d v="1899-12-30T00:00:00"/>
    <x v="0"/>
    <x v="0"/>
    <x v="0"/>
  </r>
  <r>
    <e v="#REF!"/>
    <e v="#REF!"/>
    <x v="1"/>
    <x v="1"/>
    <x v="1"/>
  </r>
  <r>
    <e v="#REF!"/>
    <e v="#REF!"/>
    <x v="1"/>
    <x v="1"/>
    <x v="1"/>
  </r>
  <r>
    <n v="40000"/>
    <d v="1899-12-30T00:00:00"/>
    <x v="0"/>
    <x v="0"/>
    <x v="0"/>
  </r>
  <r>
    <n v="51600"/>
    <d v="1899-12-30T00:00:00"/>
    <x v="0"/>
    <x v="0"/>
    <x v="0"/>
  </r>
  <r>
    <n v="0"/>
    <d v="1899-12-30T00:00:00"/>
    <x v="0"/>
    <x v="0"/>
    <x v="0"/>
  </r>
  <r>
    <n v="54332010.783500001"/>
    <d v="1899-12-30T00:00:00"/>
    <x v="0"/>
    <x v="0"/>
    <x v="0"/>
  </r>
  <r>
    <n v="6374146.5164999999"/>
    <d v="2026-04-30T00:00:00"/>
    <x v="3"/>
    <x v="3"/>
    <x v="3"/>
  </r>
  <r>
    <n v="4260000"/>
    <d v="1899-12-30T00:00:00"/>
    <x v="0"/>
    <x v="0"/>
    <x v="0"/>
  </r>
  <r>
    <n v="1010500"/>
    <d v="1899-12-30T00:00:00"/>
    <x v="0"/>
    <x v="0"/>
    <x v="0"/>
  </r>
  <r>
    <n v="223600"/>
    <d v="1899-12-30T00:00:00"/>
    <x v="0"/>
    <x v="0"/>
    <x v="0"/>
  </r>
  <r>
    <n v="129000"/>
    <d v="1899-12-30T00:00:00"/>
    <x v="0"/>
    <x v="0"/>
    <x v="0"/>
  </r>
  <r>
    <n v="3993000"/>
    <d v="1899-12-30T00:00:00"/>
    <x v="0"/>
    <x v="0"/>
    <x v="0"/>
  </r>
  <r>
    <e v="#REF!"/>
    <e v="#REF!"/>
    <x v="1"/>
    <x v="1"/>
    <x v="1"/>
  </r>
  <r>
    <e v="#REF!"/>
    <e v="#REF!"/>
    <x v="1"/>
    <x v="1"/>
    <x v="1"/>
  </r>
  <r>
    <n v="1062800"/>
    <d v="1899-12-30T00:00:00"/>
    <x v="0"/>
    <x v="0"/>
    <x v="0"/>
  </r>
  <r>
    <e v="#REF!"/>
    <e v="#REF!"/>
    <x v="1"/>
    <x v="1"/>
    <x v="1"/>
  </r>
  <r>
    <n v="1090000"/>
    <d v="1899-12-30T00:00:00"/>
    <x v="0"/>
    <x v="0"/>
    <x v="0"/>
  </r>
  <r>
    <n v="33755000"/>
    <d v="2025-12-04T00:00:00"/>
    <x v="2"/>
    <x v="2"/>
    <x v="2"/>
  </r>
  <r>
    <n v="0"/>
    <d v="1899-12-30T00:00:00"/>
    <x v="0"/>
    <x v="0"/>
    <x v="0"/>
  </r>
  <r>
    <n v="1567228"/>
    <d v="1899-12-30T00:00:00"/>
    <x v="0"/>
    <x v="0"/>
    <x v="0"/>
  </r>
  <r>
    <e v="#REF!"/>
    <e v="#REF!"/>
    <x v="1"/>
    <x v="1"/>
    <x v="1"/>
  </r>
  <r>
    <e v="#REF!"/>
    <e v="#REF!"/>
    <x v="1"/>
    <x v="1"/>
    <x v="1"/>
  </r>
  <r>
    <n v="2347800"/>
    <d v="1899-12-30T00:00:00"/>
    <x v="0"/>
    <x v="0"/>
    <x v="0"/>
  </r>
  <r>
    <n v="8271000"/>
    <d v="1899-12-30T00:00:00"/>
    <x v="0"/>
    <x v="0"/>
    <x v="0"/>
  </r>
  <r>
    <e v="#REF!"/>
    <e v="#REF!"/>
    <x v="1"/>
    <x v="1"/>
    <x v="1"/>
  </r>
  <r>
    <n v="0"/>
    <d v="1899-12-30T00:00:00"/>
    <x v="0"/>
    <x v="0"/>
    <x v="0"/>
  </r>
  <r>
    <n v="13374290"/>
    <d v="1899-12-30T00:00:00"/>
    <x v="0"/>
    <x v="0"/>
    <x v="0"/>
  </r>
  <r>
    <n v="300000"/>
    <d v="2026-04-13T00:00:00"/>
    <x v="3"/>
    <x v="3"/>
    <x v="3"/>
  </r>
  <r>
    <n v="9000000"/>
    <d v="1899-12-30T00:00:00"/>
    <x v="0"/>
    <x v="0"/>
    <x v="0"/>
  </r>
  <r>
    <e v="#REF!"/>
    <e v="#REF!"/>
    <x v="1"/>
    <x v="1"/>
    <x v="1"/>
  </r>
  <r>
    <e v="#REF!"/>
    <e v="#REF!"/>
    <x v="1"/>
    <x v="1"/>
    <x v="1"/>
  </r>
  <r>
    <n v="1000000"/>
    <d v="1899-12-30T00:00:00"/>
    <x v="0"/>
    <x v="0"/>
    <x v="0"/>
  </r>
  <r>
    <e v="#REF!"/>
    <e v="#REF!"/>
    <x v="1"/>
    <x v="1"/>
    <x v="1"/>
  </r>
  <r>
    <e v="#REF!"/>
    <e v="#REF!"/>
    <x v="1"/>
    <x v="1"/>
    <x v="1"/>
  </r>
  <r>
    <n v="18664194"/>
    <d v="1899-12-30T00:00:00"/>
    <x v="0"/>
    <x v="0"/>
    <x v="0"/>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2026-04-15T00:00:00"/>
    <x v="3"/>
    <x v="3"/>
    <x v="3"/>
  </r>
  <r>
    <e v="#REF!"/>
    <e v="#REF!"/>
    <x v="1"/>
    <x v="1"/>
    <x v="1"/>
  </r>
  <r>
    <n v="11000000"/>
    <d v="1899-12-30T00:00:00"/>
    <x v="0"/>
    <x v="0"/>
    <x v="0"/>
  </r>
  <r>
    <e v="#REF!"/>
    <e v="#REF!"/>
    <x v="1"/>
    <x v="1"/>
    <x v="1"/>
  </r>
  <r>
    <n v="1500000"/>
    <d v="1899-12-30T00:00:00"/>
    <x v="0"/>
    <x v="0"/>
    <x v="0"/>
  </r>
  <r>
    <e v="#REF!"/>
    <e v="#REF!"/>
    <x v="1"/>
    <x v="1"/>
    <x v="1"/>
  </r>
  <r>
    <n v="3337500"/>
    <d v="1899-12-30T00:00:00"/>
    <x v="0"/>
    <x v="0"/>
    <x v="0"/>
  </r>
  <r>
    <n v="2600000"/>
    <d v="1899-12-30T00:00:00"/>
    <x v="0"/>
    <x v="0"/>
    <x v="0"/>
  </r>
  <r>
    <n v="350000"/>
    <d v="1899-12-30T00:00:00"/>
    <x v="0"/>
    <x v="0"/>
    <x v="0"/>
  </r>
  <r>
    <n v="3010000"/>
    <d v="1899-12-30T00:00:00"/>
    <x v="0"/>
    <x v="0"/>
    <x v="0"/>
  </r>
  <r>
    <e v="#REF!"/>
    <e v="#REF!"/>
    <x v="1"/>
    <x v="1"/>
    <x v="1"/>
  </r>
  <r>
    <e v="#REF!"/>
    <e v="#REF!"/>
    <x v="1"/>
    <x v="1"/>
    <x v="1"/>
  </r>
  <r>
    <n v="838500"/>
    <d v="1899-12-30T00:00:00"/>
    <x v="0"/>
    <x v="0"/>
    <x v="0"/>
  </r>
  <r>
    <e v="#REF!"/>
    <e v="#REF!"/>
    <x v="1"/>
    <x v="1"/>
    <x v="1"/>
  </r>
  <r>
    <n v="731000"/>
    <d v="1899-12-30T00:00:00"/>
    <x v="0"/>
    <x v="0"/>
    <x v="0"/>
  </r>
  <r>
    <n v="0"/>
    <d v="1899-12-30T00:00:00"/>
    <x v="0"/>
    <x v="0"/>
    <x v="0"/>
  </r>
  <r>
    <n v="0"/>
    <d v="1899-12-30T00:00:00"/>
    <x v="0"/>
    <x v="0"/>
    <x v="0"/>
  </r>
  <r>
    <e v="#REF!"/>
    <e v="#REF!"/>
    <x v="1"/>
    <x v="1"/>
    <x v="1"/>
  </r>
  <r>
    <e v="#REF!"/>
    <e v="#REF!"/>
    <x v="1"/>
    <x v="1"/>
    <x v="1"/>
  </r>
  <r>
    <n v="500000"/>
    <d v="1899-12-30T00:00:00"/>
    <x v="0"/>
    <x v="0"/>
    <x v="0"/>
  </r>
  <r>
    <n v="500000"/>
    <d v="1899-12-30T00:00:00"/>
    <x v="0"/>
    <x v="0"/>
    <x v="0"/>
  </r>
  <r>
    <n v="500000"/>
    <d v="1899-12-30T00:00:00"/>
    <x v="0"/>
    <x v="0"/>
    <x v="0"/>
  </r>
  <r>
    <n v="-261648.35640412569"/>
    <d v="1899-12-30T00:00:00"/>
    <x v="0"/>
    <x v="0"/>
    <x v="0"/>
  </r>
  <r>
    <n v="0"/>
    <d v="1899-12-30T00:00:00"/>
    <x v="0"/>
    <x v="0"/>
    <x v="0"/>
  </r>
  <r>
    <n v="0"/>
    <d v="1899-12-30T00:00:00"/>
    <x v="0"/>
    <x v="0"/>
    <x v="0"/>
  </r>
  <r>
    <n v="96000"/>
    <d v="1899-12-30T00:00:00"/>
    <x v="0"/>
    <x v="0"/>
    <x v="0"/>
  </r>
  <r>
    <n v="90000"/>
    <d v="1899-12-30T00:00:00"/>
    <x v="0"/>
    <x v="0"/>
    <x v="0"/>
  </r>
  <r>
    <n v="314000"/>
    <d v="1899-12-30T00:00:00"/>
    <x v="0"/>
    <x v="0"/>
    <x v="0"/>
  </r>
  <r>
    <n v="544000"/>
    <d v="1899-12-30T00:00:00"/>
    <x v="0"/>
    <x v="0"/>
    <x v="0"/>
  </r>
  <r>
    <n v="1360000"/>
    <d v="2026-02-15T00:00:00"/>
    <x v="5"/>
    <x v="3"/>
    <x v="5"/>
  </r>
  <r>
    <n v="0"/>
    <d v="1899-12-30T00:00:00"/>
    <x v="0"/>
    <x v="0"/>
    <x v="0"/>
  </r>
  <r>
    <n v="1984000"/>
    <d v="1899-12-30T00:00:00"/>
    <x v="0"/>
    <x v="0"/>
    <x v="0"/>
  </r>
  <r>
    <n v="114240"/>
    <d v="1899-12-30T00:00:00"/>
    <x v="0"/>
    <x v="0"/>
    <x v="0"/>
  </r>
  <r>
    <n v="219130"/>
    <d v="1899-12-30T00:00:00"/>
    <x v="0"/>
    <x v="0"/>
    <x v="0"/>
  </r>
  <r>
    <n v="108800"/>
    <d v="1899-12-30T00:00:00"/>
    <x v="0"/>
    <x v="0"/>
    <x v="0"/>
  </r>
  <r>
    <n v="157760"/>
    <d v="1899-12-30T00:00:00"/>
    <x v="0"/>
    <x v="0"/>
    <x v="0"/>
  </r>
  <r>
    <n v="179520"/>
    <d v="1899-12-30T00:00:00"/>
    <x v="0"/>
    <x v="0"/>
    <x v="0"/>
  </r>
  <r>
    <n v="174080"/>
    <d v="1899-12-30T00:00:00"/>
    <x v="0"/>
    <x v="0"/>
    <x v="0"/>
  </r>
  <r>
    <n v="282880"/>
    <d v="1899-12-30T00:00:00"/>
    <x v="0"/>
    <x v="0"/>
    <x v="0"/>
  </r>
  <r>
    <n v="84320"/>
    <d v="1899-12-30T00:00:00"/>
    <x v="0"/>
    <x v="0"/>
    <x v="0"/>
  </r>
  <r>
    <n v="500480"/>
    <d v="1899-12-30T00:00:00"/>
    <x v="0"/>
    <x v="0"/>
    <x v="0"/>
  </r>
  <r>
    <n v="43520"/>
    <d v="1899-12-30T00:00:00"/>
    <x v="0"/>
    <x v="0"/>
    <x v="0"/>
  </r>
  <r>
    <n v="38080"/>
    <d v="1899-12-30T00:00:00"/>
    <x v="0"/>
    <x v="0"/>
    <x v="0"/>
  </r>
  <r>
    <n v="0"/>
    <d v="1899-12-30T00:00:00"/>
    <x v="0"/>
    <x v="0"/>
    <x v="0"/>
  </r>
  <r>
    <n v="1569780"/>
    <d v="1899-12-30T00:00:00"/>
    <x v="0"/>
    <x v="0"/>
    <x v="0"/>
  </r>
  <r>
    <n v="190400"/>
    <d v="1899-12-30T00:00:00"/>
    <x v="0"/>
    <x v="0"/>
    <x v="0"/>
  </r>
  <r>
    <n v="272000"/>
    <d v="1899-12-30T00:00:00"/>
    <x v="0"/>
    <x v="0"/>
    <x v="0"/>
  </r>
  <r>
    <n v="108800"/>
    <d v="1899-12-30T00:00:00"/>
    <x v="0"/>
    <x v="0"/>
    <x v="0"/>
  </r>
  <r>
    <n v="326400"/>
    <d v="2026-04-15T00:00:00"/>
    <x v="3"/>
    <x v="3"/>
    <x v="3"/>
  </r>
  <r>
    <n v="585600"/>
    <d v="2025-12-31T00:00:00"/>
    <x v="2"/>
    <x v="2"/>
    <x v="2"/>
  </r>
  <r>
    <n v="44030"/>
    <d v="2026-01-31T00:00:00"/>
    <x v="0"/>
    <x v="3"/>
    <x v="6"/>
  </r>
  <r>
    <e v="#REF!"/>
    <e v="#REF!"/>
    <x v="1"/>
    <x v="1"/>
    <x v="1"/>
  </r>
  <r>
    <n v="0"/>
    <d v="1899-12-30T00:00:00"/>
    <x v="0"/>
    <x v="0"/>
    <x v="0"/>
  </r>
  <r>
    <e v="#REF!"/>
    <e v="#REF!"/>
    <x v="1"/>
    <x v="1"/>
    <x v="1"/>
  </r>
  <r>
    <n v="160208"/>
    <d v="1899-12-30T00:00:00"/>
    <x v="0"/>
    <x v="0"/>
    <x v="0"/>
  </r>
  <r>
    <n v="50000"/>
    <d v="1899-12-30T00:00:00"/>
    <x v="0"/>
    <x v="0"/>
    <x v="0"/>
  </r>
  <r>
    <n v="1280000"/>
    <d v="1899-12-30T00:00:00"/>
    <x v="0"/>
    <x v="0"/>
    <x v="0"/>
  </r>
  <r>
    <n v="0"/>
    <d v="1899-12-30T00:00:00"/>
    <x v="0"/>
    <x v="0"/>
    <x v="0"/>
  </r>
  <r>
    <n v="25000"/>
    <d v="1899-12-30T00:00:00"/>
    <x v="0"/>
    <x v="0"/>
    <x v="0"/>
  </r>
  <r>
    <e v="#REF!"/>
    <e v="#REF!"/>
    <x v="1"/>
    <x v="1"/>
    <x v="1"/>
  </r>
  <r>
    <n v="50000"/>
    <d v="2026-01-31T00:00:00"/>
    <x v="0"/>
    <x v="3"/>
    <x v="6"/>
  </r>
  <r>
    <n v="158511.4"/>
    <d v="1899-12-30T00:00:00"/>
    <x v="0"/>
    <x v="0"/>
    <x v="0"/>
  </r>
  <r>
    <n v="50000"/>
    <d v="2025-12-31T00:00:00"/>
    <x v="2"/>
    <x v="2"/>
    <x v="2"/>
  </r>
  <r>
    <e v="#REF!"/>
    <e v="#REF!"/>
    <x v="1"/>
    <x v="1"/>
    <x v="1"/>
  </r>
  <r>
    <n v="12500"/>
    <d v="1899-12-30T00:00:00"/>
    <x v="0"/>
    <x v="0"/>
    <x v="0"/>
  </r>
  <r>
    <n v="0"/>
    <d v="1899-12-30T00:00:00"/>
    <x v="0"/>
    <x v="0"/>
    <x v="0"/>
  </r>
  <r>
    <n v="350000"/>
    <d v="2025-12-31T00:00:00"/>
    <x v="2"/>
    <x v="2"/>
    <x v="2"/>
  </r>
  <r>
    <n v="50000"/>
    <d v="1899-12-30T00:00:00"/>
    <x v="0"/>
    <x v="0"/>
    <x v="0"/>
  </r>
  <r>
    <e v="#REF!"/>
    <e v="#REF!"/>
    <x v="1"/>
    <x v="1"/>
    <x v="1"/>
  </r>
  <r>
    <n v="120000"/>
    <d v="1899-12-30T00:00:00"/>
    <x v="0"/>
    <x v="0"/>
    <x v="0"/>
  </r>
  <r>
    <n v="100000"/>
    <d v="1899-12-30T00:00:00"/>
    <x v="0"/>
    <x v="0"/>
    <x v="0"/>
  </r>
  <r>
    <e v="#REF!"/>
    <e v="#REF!"/>
    <x v="1"/>
    <x v="1"/>
    <x v="1"/>
  </r>
  <r>
    <n v="0"/>
    <d v="1899-12-30T00:00:00"/>
    <x v="0"/>
    <x v="0"/>
    <x v="0"/>
  </r>
  <r>
    <n v="834000"/>
    <d v="1899-12-30T00:00:00"/>
    <x v="0"/>
    <x v="0"/>
    <x v="0"/>
  </r>
  <r>
    <n v="1040000"/>
    <d v="1899-12-30T00:00:00"/>
    <x v="0"/>
    <x v="0"/>
    <x v="0"/>
  </r>
  <r>
    <e v="#REF!"/>
    <e v="#REF!"/>
    <x v="1"/>
    <x v="1"/>
    <x v="1"/>
  </r>
  <r>
    <e v="#REF!"/>
    <e v="#REF!"/>
    <x v="1"/>
    <x v="1"/>
    <x v="1"/>
  </r>
  <r>
    <n v="100000"/>
    <d v="1899-12-30T00:00:00"/>
    <x v="0"/>
    <x v="0"/>
    <x v="0"/>
  </r>
  <r>
    <n v="340000"/>
    <d v="1899-12-30T00:00:00"/>
    <x v="0"/>
    <x v="0"/>
    <x v="0"/>
  </r>
  <r>
    <n v="8000"/>
    <d v="1899-12-30T00:00:00"/>
    <x v="0"/>
    <x v="0"/>
    <x v="0"/>
  </r>
  <r>
    <e v="#REF!"/>
    <e v="#REF!"/>
    <x v="1"/>
    <x v="1"/>
    <x v="1"/>
  </r>
  <r>
    <n v="40160"/>
    <d v="1899-12-30T00:00:00"/>
    <x v="0"/>
    <x v="0"/>
    <x v="0"/>
  </r>
  <r>
    <e v="#REF!"/>
    <e v="#REF!"/>
    <x v="1"/>
    <x v="1"/>
    <x v="1"/>
  </r>
  <r>
    <n v="0"/>
    <d v="1899-12-30T00:00:00"/>
    <x v="0"/>
    <x v="0"/>
    <x v="0"/>
  </r>
  <r>
    <e v="#REF!"/>
    <e v="#REF!"/>
    <x v="1"/>
    <x v="1"/>
    <x v="1"/>
  </r>
  <r>
    <n v="50000"/>
    <d v="1899-12-30T00:00:00"/>
    <x v="0"/>
    <x v="0"/>
    <x v="0"/>
  </r>
  <r>
    <n v="20000"/>
    <d v="1899-12-30T00:00:00"/>
    <x v="0"/>
    <x v="0"/>
    <x v="0"/>
  </r>
  <r>
    <n v="20000"/>
    <d v="1899-12-30T00:00:00"/>
    <x v="0"/>
    <x v="0"/>
    <x v="0"/>
  </r>
  <r>
    <n v="20000"/>
    <d v="2026-04-10T00:00:00"/>
    <x v="3"/>
    <x v="3"/>
    <x v="3"/>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6-08-01T00:00:00"/>
    <x v="2"/>
    <x v="2"/>
    <x v="2"/>
  </r>
  <r>
    <n v="0"/>
    <d v="1899-12-30T00:00:00"/>
    <x v="0"/>
    <x v="0"/>
    <x v="0"/>
  </r>
  <r>
    <n v="1580000"/>
    <d v="2026-04-22T00:00:00"/>
    <x v="3"/>
    <x v="2"/>
    <x v="3"/>
  </r>
  <r>
    <e v="#REF!"/>
    <e v="#REF!"/>
    <x v="1"/>
    <x v="1"/>
    <x v="1"/>
  </r>
  <r>
    <n v="2000000"/>
    <d v="2026-05-15T00:00:00"/>
    <x v="4"/>
    <x v="2"/>
    <x v="4"/>
  </r>
  <r>
    <e v="#REF!"/>
    <e v="#REF!"/>
    <x v="1"/>
    <x v="1"/>
    <x v="1"/>
  </r>
  <r>
    <n v="300000"/>
    <d v="2028-04-30T00:00:00"/>
    <x v="3"/>
    <x v="3"/>
    <x v="5"/>
  </r>
  <r>
    <n v="100000"/>
    <d v="1899-12-30T00:00:00"/>
    <x v="0"/>
    <x v="0"/>
    <x v="0"/>
  </r>
  <r>
    <n v="250000"/>
    <d v="2026-04-07T00:00:00"/>
    <x v="3"/>
    <x v="2"/>
    <x v="3"/>
  </r>
  <r>
    <n v="100000"/>
    <d v="2027-07-30T00:00:00"/>
    <x v="5"/>
    <x v="4"/>
    <x v="6"/>
  </r>
  <r>
    <n v="120000"/>
    <d v="2026-06-01T00:00:00"/>
    <x v="6"/>
    <x v="2"/>
    <x v="7"/>
  </r>
  <r>
    <n v="100000"/>
    <d v="2026-09-30T00:00:00"/>
    <x v="7"/>
    <x v="2"/>
    <x v="8"/>
  </r>
  <r>
    <n v="350000"/>
    <d v="2026-06-28T00:00:00"/>
    <x v="6"/>
    <x v="2"/>
    <x v="7"/>
  </r>
  <r>
    <e v="#REF!"/>
    <e v="#REF!"/>
    <x v="1"/>
    <x v="1"/>
    <x v="1"/>
  </r>
  <r>
    <n v="250000"/>
    <d v="1899-12-30T00:00:00"/>
    <x v="0"/>
    <x v="0"/>
    <x v="0"/>
  </r>
  <r>
    <n v="0"/>
    <d v="1899-12-30T00:00:00"/>
    <x v="0"/>
    <x v="0"/>
    <x v="0"/>
  </r>
  <r>
    <n v="4613087.0199999996"/>
    <d v="1899-12-30T00:00:00"/>
    <x v="0"/>
    <x v="0"/>
    <x v="0"/>
  </r>
  <r>
    <n v="0"/>
    <d v="2026-01-31T00:00:00"/>
    <x v="0"/>
    <x v="2"/>
    <x v="9"/>
  </r>
  <r>
    <e v="#REF!"/>
    <e v="#REF!"/>
    <x v="1"/>
    <x v="1"/>
    <x v="1"/>
  </r>
  <r>
    <n v="2686634.0548568321"/>
    <d v="1899-12-30T00:00:00"/>
    <x v="0"/>
    <x v="0"/>
    <x v="0"/>
  </r>
  <r>
    <n v="0"/>
    <d v="2026-01-15T00:00:00"/>
    <x v="0"/>
    <x v="2"/>
    <x v="9"/>
  </r>
  <r>
    <e v="#REF!"/>
    <e v="#REF!"/>
    <x v="1"/>
    <x v="1"/>
    <x v="1"/>
  </r>
  <r>
    <e v="#REF!"/>
    <e v="#REF!"/>
    <x v="1"/>
    <x v="1"/>
    <x v="1"/>
  </r>
  <r>
    <n v="437599.45310412132"/>
    <d v="2026-07-31T00:00:00"/>
    <x v="5"/>
    <x v="2"/>
    <x v="10"/>
  </r>
  <r>
    <n v="1138973.3847357573"/>
    <d v="1899-12-30T00:00:00"/>
    <x v="0"/>
    <x v="0"/>
    <x v="0"/>
  </r>
  <r>
    <n v="0"/>
    <d v="1899-12-30T00:00:00"/>
    <x v="0"/>
    <x v="0"/>
    <x v="0"/>
  </r>
  <r>
    <n v="16024473.498635681"/>
    <d v="1899-12-30T00:00:00"/>
    <x v="0"/>
    <x v="0"/>
    <x v="0"/>
  </r>
  <r>
    <n v="0"/>
    <d v="1899-12-30T00:00:00"/>
    <x v="0"/>
    <x v="0"/>
    <x v="0"/>
  </r>
  <r>
    <e v="#REF!"/>
    <e v="#REF!"/>
    <x v="1"/>
    <x v="1"/>
    <x v="1"/>
  </r>
  <r>
    <n v="386500"/>
    <d v="2026-06-08T00:00:00"/>
    <x v="6"/>
    <x v="2"/>
    <x v="7"/>
  </r>
  <r>
    <n v="718448.41"/>
    <d v="2026-08-30T00:00:00"/>
    <x v="2"/>
    <x v="2"/>
    <x v="2"/>
  </r>
  <r>
    <n v="0"/>
    <d v="1899-12-30T00:00:00"/>
    <x v="0"/>
    <x v="0"/>
    <x v="0"/>
  </r>
  <r>
    <n v="23700875.699999999"/>
    <d v="2026-03-31T00:00:00"/>
    <x v="8"/>
    <x v="2"/>
    <x v="11"/>
  </r>
  <r>
    <n v="425469.4322980452"/>
    <d v="2026-06-28T00:00:00"/>
    <x v="6"/>
    <x v="2"/>
    <x v="7"/>
  </r>
  <r>
    <n v="687451.2464395162"/>
    <d v="2026-05-31T00:00:00"/>
    <x v="4"/>
    <x v="2"/>
    <x v="4"/>
  </r>
  <r>
    <n v="0"/>
    <d v="1899-12-30T00:00:00"/>
    <x v="0"/>
    <x v="0"/>
    <x v="0"/>
  </r>
  <r>
    <n v="0"/>
    <d v="1899-12-30T00:00:00"/>
    <x v="0"/>
    <x v="0"/>
    <x v="0"/>
  </r>
  <r>
    <n v="1169928.6779112776"/>
    <d v="2026-08-31T00:00:00"/>
    <x v="2"/>
    <x v="2"/>
    <x v="2"/>
  </r>
  <r>
    <n v="433041.85"/>
    <d v="2026-08-31T00:00:00"/>
    <x v="2"/>
    <x v="2"/>
    <x v="2"/>
  </r>
  <r>
    <n v="164458.6434"/>
    <d v="2026-08-31T00:00:00"/>
    <x v="2"/>
    <x v="2"/>
    <x v="2"/>
  </r>
  <r>
    <n v="366535.63100000005"/>
    <d v="2026-08-31T00:00:00"/>
    <x v="2"/>
    <x v="2"/>
    <x v="2"/>
  </r>
  <r>
    <n v="205428.18078865809"/>
    <d v="2026-08-31T00:00:00"/>
    <x v="2"/>
    <x v="2"/>
    <x v="2"/>
  </r>
  <r>
    <n v="327190.63904872013"/>
    <d v="2026-08-31T00:00:00"/>
    <x v="2"/>
    <x v="2"/>
    <x v="2"/>
  </r>
  <r>
    <n v="7198646.1321056634"/>
    <d v="2026-05-14T00:00:00"/>
    <x v="4"/>
    <x v="2"/>
    <x v="4"/>
  </r>
  <r>
    <n v="0"/>
    <d v="1899-12-30T00:00:00"/>
    <x v="0"/>
    <x v="0"/>
    <x v="0"/>
  </r>
  <r>
    <n v="0"/>
    <d v="1899-12-30T00:00:00"/>
    <x v="0"/>
    <x v="0"/>
    <x v="0"/>
  </r>
  <r>
    <n v="415350"/>
    <d v="2026-07-31T00:00:00"/>
    <x v="5"/>
    <x v="2"/>
    <x v="10"/>
  </r>
  <r>
    <n v="98643.6"/>
    <d v="2026-07-31T00:00:00"/>
    <x v="5"/>
    <x v="2"/>
    <x v="10"/>
  </r>
  <r>
    <n v="551900"/>
    <d v="2026-07-31T00:00:00"/>
    <x v="5"/>
    <x v="2"/>
    <x v="10"/>
  </r>
  <r>
    <n v="0"/>
    <d v="1899-12-30T00:00:00"/>
    <x v="0"/>
    <x v="0"/>
    <x v="0"/>
  </r>
  <r>
    <n v="4457840.2257410437"/>
    <d v="2026-10-31T00:00:00"/>
    <x v="9"/>
    <x v="2"/>
    <x v="12"/>
  </r>
  <r>
    <n v="1833166.2735684454"/>
    <d v="1899-12-30T00:00:00"/>
    <x v="0"/>
    <x v="0"/>
    <x v="0"/>
  </r>
  <r>
    <n v="1112964.7210705113"/>
    <d v="2026-10-31T00:00:00"/>
    <x v="9"/>
    <x v="2"/>
    <x v="12"/>
  </r>
  <r>
    <n v="1097187.355"/>
    <d v="2027-04-30T00:00:00"/>
    <x v="3"/>
    <x v="4"/>
    <x v="13"/>
  </r>
  <r>
    <n v="0"/>
    <d v="1899-12-30T00:00:00"/>
    <x v="0"/>
    <x v="0"/>
    <x v="0"/>
  </r>
  <r>
    <n v="321394.76"/>
    <d v="2026-09-17T00:00:00"/>
    <x v="7"/>
    <x v="2"/>
    <x v="8"/>
  </r>
  <r>
    <n v="416382.29399999999"/>
    <d v="2026-09-17T00:00:00"/>
    <x v="7"/>
    <x v="2"/>
    <x v="8"/>
  </r>
  <r>
    <n v="0"/>
    <d v="1899-12-30T00:00:00"/>
    <x v="0"/>
    <x v="0"/>
    <x v="0"/>
  </r>
  <r>
    <n v="0"/>
    <d v="1899-12-30T00:00:00"/>
    <x v="0"/>
    <x v="0"/>
    <x v="0"/>
  </r>
  <r>
    <n v="29982000"/>
    <d v="1899-12-30T00:00:00"/>
    <x v="0"/>
    <x v="0"/>
    <x v="0"/>
  </r>
  <r>
    <n v="742140"/>
    <d v="2026-12-31T00:00:00"/>
    <x v="10"/>
    <x v="2"/>
    <x v="14"/>
  </r>
  <r>
    <n v="140000"/>
    <d v="2026-05-05T00:00:00"/>
    <x v="4"/>
    <x v="2"/>
    <x v="4"/>
  </r>
  <r>
    <n v="980000"/>
    <d v="2026-08-31T00:00:00"/>
    <x v="2"/>
    <x v="2"/>
    <x v="2"/>
  </r>
  <r>
    <n v="175000"/>
    <d v="2026-08-31T00:00:00"/>
    <x v="2"/>
    <x v="2"/>
    <x v="2"/>
  </r>
  <r>
    <n v="13510000"/>
    <d v="2026-08-31T00:00:00"/>
    <x v="2"/>
    <x v="2"/>
    <x v="2"/>
  </r>
  <r>
    <e v="#REF!"/>
    <e v="#REF!"/>
    <x v="1"/>
    <x v="1"/>
    <x v="1"/>
  </r>
  <r>
    <n v="0"/>
    <d v="1899-12-30T00:00:00"/>
    <x v="0"/>
    <x v="0"/>
    <x v="0"/>
  </r>
  <r>
    <n v="5525000"/>
    <d v="1899-12-30T00:00:00"/>
    <x v="0"/>
    <x v="0"/>
    <x v="0"/>
  </r>
  <r>
    <n v="2752000"/>
    <d v="2026-08-16T00:00:00"/>
    <x v="2"/>
    <x v="2"/>
    <x v="2"/>
  </r>
  <r>
    <n v="1960000"/>
    <d v="2026-07-16T00:00:00"/>
    <x v="5"/>
    <x v="2"/>
    <x v="10"/>
  </r>
  <r>
    <n v="0"/>
    <d v="1899-12-30T00:00:00"/>
    <x v="0"/>
    <x v="0"/>
    <x v="0"/>
  </r>
  <r>
    <n v="1009700"/>
    <d v="2026-07-16T00:00:00"/>
    <x v="5"/>
    <x v="2"/>
    <x v="10"/>
  </r>
  <r>
    <n v="2211870"/>
    <d v="2026-09-19T00:00:00"/>
    <x v="7"/>
    <x v="2"/>
    <x v="8"/>
  </r>
  <r>
    <n v="275700"/>
    <d v="2026-08-01T00:00:00"/>
    <x v="2"/>
    <x v="2"/>
    <x v="2"/>
  </r>
  <r>
    <n v="715920"/>
    <d v="2026-09-22T00:00:00"/>
    <x v="7"/>
    <x v="2"/>
    <x v="8"/>
  </r>
  <r>
    <n v="821016"/>
    <d v="2026-09-22T00:00:00"/>
    <x v="7"/>
    <x v="2"/>
    <x v="8"/>
  </r>
  <r>
    <n v="240990"/>
    <d v="2026-10-21T00:00:00"/>
    <x v="9"/>
    <x v="2"/>
    <x v="12"/>
  </r>
  <r>
    <n v="45500"/>
    <d v="2026-09-19T00:00:00"/>
    <x v="7"/>
    <x v="2"/>
    <x v="8"/>
  </r>
  <r>
    <n v="542750"/>
    <d v="2026-09-22T00:00:00"/>
    <x v="7"/>
    <x v="2"/>
    <x v="8"/>
  </r>
  <r>
    <n v="1925350"/>
    <d v="2026-09-19T00:00:00"/>
    <x v="7"/>
    <x v="2"/>
    <x v="8"/>
  </r>
  <r>
    <n v="285000"/>
    <d v="1900-04-21T00:00:00"/>
    <x v="3"/>
    <x v="0"/>
    <x v="15"/>
  </r>
  <r>
    <n v="1178293"/>
    <d v="2026-08-29T00:00:00"/>
    <x v="2"/>
    <x v="2"/>
    <x v="2"/>
  </r>
  <r>
    <n v="800000"/>
    <d v="2026-10-17T00:00:00"/>
    <x v="9"/>
    <x v="2"/>
    <x v="12"/>
  </r>
  <r>
    <n v="3107033"/>
    <d v="2026-07-15T00:00:00"/>
    <x v="5"/>
    <x v="2"/>
    <x v="10"/>
  </r>
  <r>
    <n v="1548256"/>
    <d v="2026-07-15T00:00:00"/>
    <x v="5"/>
    <x v="2"/>
    <x v="10"/>
  </r>
  <r>
    <n v="1053444"/>
    <d v="2026-08-31T00:00:00"/>
    <x v="2"/>
    <x v="2"/>
    <x v="2"/>
  </r>
  <r>
    <n v="637613"/>
    <d v="2026-08-02T00:00:00"/>
    <x v="2"/>
    <x v="2"/>
    <x v="2"/>
  </r>
  <r>
    <e v="#REF!"/>
    <e v="#REF!"/>
    <x v="1"/>
    <x v="1"/>
    <x v="1"/>
  </r>
  <r>
    <n v="10000"/>
    <d v="2026-07-09T00:00:00"/>
    <x v="5"/>
    <x v="2"/>
    <x v="10"/>
  </r>
  <r>
    <n v="624272"/>
    <d v="2026-08-02T00:00:00"/>
    <x v="2"/>
    <x v="2"/>
    <x v="2"/>
  </r>
  <r>
    <n v="200969"/>
    <d v="2026-08-02T00:00:00"/>
    <x v="2"/>
    <x v="2"/>
    <x v="2"/>
  </r>
  <r>
    <n v="3359643"/>
    <d v="2026-08-02T00:00:00"/>
    <x v="2"/>
    <x v="2"/>
    <x v="2"/>
  </r>
  <r>
    <n v="0"/>
    <d v="1899-12-30T00:00:00"/>
    <x v="0"/>
    <x v="0"/>
    <x v="0"/>
  </r>
  <r>
    <n v="0"/>
    <d v="1899-12-30T00:00:00"/>
    <x v="0"/>
    <x v="0"/>
    <x v="0"/>
  </r>
  <r>
    <n v="185000"/>
    <d v="2026-09-13T00:00:00"/>
    <x v="7"/>
    <x v="2"/>
    <x v="8"/>
  </r>
  <r>
    <n v="0"/>
    <d v="1899-12-30T00:00:00"/>
    <x v="0"/>
    <x v="0"/>
    <x v="0"/>
  </r>
  <r>
    <n v="9072785"/>
    <d v="2026-04-22T00:00:00"/>
    <x v="3"/>
    <x v="2"/>
    <x v="3"/>
  </r>
  <r>
    <n v="81600"/>
    <d v="2026-05-31T00:00:00"/>
    <x v="4"/>
    <x v="2"/>
    <x v="4"/>
  </r>
  <r>
    <n v="0"/>
    <d v="1899-12-30T00:00:00"/>
    <x v="0"/>
    <x v="0"/>
    <x v="0"/>
  </r>
  <r>
    <n v="33755000"/>
    <d v="2026-06-01T00:00:00"/>
    <x v="6"/>
    <x v="2"/>
    <x v="7"/>
  </r>
  <r>
    <e v="#REF!"/>
    <e v="#REF!"/>
    <x v="1"/>
    <x v="1"/>
    <x v="1"/>
  </r>
  <r>
    <e v="#REF!"/>
    <e v="#REF!"/>
    <x v="1"/>
    <x v="1"/>
    <x v="1"/>
  </r>
  <r>
    <e v="#REF!"/>
    <e v="#REF!"/>
    <x v="1"/>
    <x v="1"/>
    <x v="1"/>
  </r>
  <r>
    <n v="595000"/>
    <d v="2026-05-01T00:00:00"/>
    <x v="4"/>
    <x v="2"/>
    <x v="4"/>
  </r>
  <r>
    <n v="1281400"/>
    <d v="2026-05-08T00:00:00"/>
    <x v="4"/>
    <x v="2"/>
    <x v="4"/>
  </r>
  <r>
    <n v="2502500"/>
    <d v="2026-09-01T00:00:00"/>
    <x v="7"/>
    <x v="2"/>
    <x v="8"/>
  </r>
  <r>
    <n v="220000"/>
    <d v="2026-09-01T00:00:00"/>
    <x v="7"/>
    <x v="2"/>
    <x v="8"/>
  </r>
  <r>
    <e v="#REF!"/>
    <e v="#REF!"/>
    <x v="1"/>
    <x v="1"/>
    <x v="1"/>
  </r>
  <r>
    <e v="#REF!"/>
    <e v="#REF!"/>
    <x v="1"/>
    <x v="1"/>
    <x v="1"/>
  </r>
  <r>
    <n v="40000"/>
    <d v="2026-09-01T00:00:00"/>
    <x v="7"/>
    <x v="2"/>
    <x v="8"/>
  </r>
  <r>
    <n v="51600"/>
    <d v="2026-12-02T00:00:00"/>
    <x v="10"/>
    <x v="2"/>
    <x v="14"/>
  </r>
  <r>
    <n v="0"/>
    <d v="1899-12-30T00:00:00"/>
    <x v="0"/>
    <x v="0"/>
    <x v="0"/>
  </r>
  <r>
    <n v="54332010.783500001"/>
    <d v="1899-12-30T00:00:00"/>
    <x v="0"/>
    <x v="0"/>
    <x v="0"/>
  </r>
  <r>
    <n v="6374146.5164999999"/>
    <d v="2026-04-17T00:00:00"/>
    <x v="3"/>
    <x v="2"/>
    <x v="3"/>
  </r>
  <r>
    <n v="4260000"/>
    <d v="2026-06-29T00:00:00"/>
    <x v="6"/>
    <x v="2"/>
    <x v="7"/>
  </r>
  <r>
    <n v="1010500"/>
    <d v="2026-10-13T00:00:00"/>
    <x v="9"/>
    <x v="2"/>
    <x v="12"/>
  </r>
  <r>
    <n v="223600"/>
    <d v="2026-08-17T00:00:00"/>
    <x v="2"/>
    <x v="2"/>
    <x v="2"/>
  </r>
  <r>
    <n v="129000"/>
    <d v="2026-07-31T00:00:00"/>
    <x v="5"/>
    <x v="2"/>
    <x v="10"/>
  </r>
  <r>
    <n v="3993000"/>
    <d v="2026-07-31T00:00:00"/>
    <x v="5"/>
    <x v="2"/>
    <x v="10"/>
  </r>
  <r>
    <e v="#REF!"/>
    <e v="#REF!"/>
    <x v="1"/>
    <x v="1"/>
    <x v="1"/>
  </r>
  <r>
    <e v="#REF!"/>
    <e v="#REF!"/>
    <x v="1"/>
    <x v="1"/>
    <x v="1"/>
  </r>
  <r>
    <n v="1062800"/>
    <d v="2026-05-16T00:00:00"/>
    <x v="4"/>
    <x v="2"/>
    <x v="4"/>
  </r>
  <r>
    <e v="#REF!"/>
    <e v="#REF!"/>
    <x v="1"/>
    <x v="1"/>
    <x v="1"/>
  </r>
  <r>
    <n v="1090000"/>
    <d v="2026-07-02T00:00:00"/>
    <x v="5"/>
    <x v="2"/>
    <x v="10"/>
  </r>
  <r>
    <n v="33755000"/>
    <d v="2026-03-30T00:00:00"/>
    <x v="8"/>
    <x v="2"/>
    <x v="11"/>
  </r>
  <r>
    <n v="0"/>
    <d v="1899-12-30T00:00:00"/>
    <x v="0"/>
    <x v="0"/>
    <x v="0"/>
  </r>
  <r>
    <n v="1567228"/>
    <d v="2026-04-25T00:00:00"/>
    <x v="3"/>
    <x v="2"/>
    <x v="3"/>
  </r>
  <r>
    <e v="#REF!"/>
    <e v="#REF!"/>
    <x v="1"/>
    <x v="1"/>
    <x v="1"/>
  </r>
  <r>
    <e v="#REF!"/>
    <e v="#REF!"/>
    <x v="1"/>
    <x v="1"/>
    <x v="1"/>
  </r>
  <r>
    <n v="2347800"/>
    <d v="2026-06-03T00:00:00"/>
    <x v="6"/>
    <x v="2"/>
    <x v="7"/>
  </r>
  <r>
    <n v="8271000"/>
    <d v="2026-06-02T00:00:00"/>
    <x v="6"/>
    <x v="2"/>
    <x v="7"/>
  </r>
  <r>
    <e v="#REF!"/>
    <e v="#REF!"/>
    <x v="1"/>
    <x v="1"/>
    <x v="1"/>
  </r>
  <r>
    <n v="0"/>
    <d v="1899-12-30T00:00:00"/>
    <x v="0"/>
    <x v="0"/>
    <x v="0"/>
  </r>
  <r>
    <n v="13374290"/>
    <d v="2026-04-25T00:00:00"/>
    <x v="3"/>
    <x v="2"/>
    <x v="3"/>
  </r>
  <r>
    <n v="300000"/>
    <d v="2026-04-22T00:00:00"/>
    <x v="3"/>
    <x v="2"/>
    <x v="3"/>
  </r>
  <r>
    <n v="9000000"/>
    <d v="2026-06-05T00:00:00"/>
    <x v="6"/>
    <x v="2"/>
    <x v="7"/>
  </r>
  <r>
    <e v="#REF!"/>
    <e v="#REF!"/>
    <x v="1"/>
    <x v="1"/>
    <x v="1"/>
  </r>
  <r>
    <e v="#REF!"/>
    <e v="#REF!"/>
    <x v="1"/>
    <x v="1"/>
    <x v="1"/>
  </r>
  <r>
    <n v="1000000"/>
    <d v="2026-06-01T00:00:00"/>
    <x v="6"/>
    <x v="2"/>
    <x v="7"/>
  </r>
  <r>
    <e v="#REF!"/>
    <e v="#REF!"/>
    <x v="1"/>
    <x v="1"/>
    <x v="1"/>
  </r>
  <r>
    <e v="#REF!"/>
    <e v="#REF!"/>
    <x v="1"/>
    <x v="1"/>
    <x v="1"/>
  </r>
  <r>
    <n v="18664194"/>
    <d v="2027-02-01T00:00:00"/>
    <x v="11"/>
    <x v="4"/>
    <x v="16"/>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2026-05-05T00:00:00"/>
    <x v="4"/>
    <x v="2"/>
    <x v="4"/>
  </r>
  <r>
    <e v="#REF!"/>
    <e v="#REF!"/>
    <x v="1"/>
    <x v="1"/>
    <x v="1"/>
  </r>
  <r>
    <n v="11000000"/>
    <d v="2027-02-17T00:00:00"/>
    <x v="11"/>
    <x v="4"/>
    <x v="16"/>
  </r>
  <r>
    <e v="#REF!"/>
    <e v="#REF!"/>
    <x v="1"/>
    <x v="1"/>
    <x v="1"/>
  </r>
  <r>
    <n v="1500000"/>
    <d v="2026-08-01T00:00:00"/>
    <x v="2"/>
    <x v="2"/>
    <x v="2"/>
  </r>
  <r>
    <e v="#REF!"/>
    <e v="#REF!"/>
    <x v="1"/>
    <x v="1"/>
    <x v="1"/>
  </r>
  <r>
    <n v="3337500"/>
    <d v="2026-07-28T00:00:00"/>
    <x v="5"/>
    <x v="2"/>
    <x v="10"/>
  </r>
  <r>
    <n v="2600000"/>
    <d v="2027-02-16T00:00:00"/>
    <x v="11"/>
    <x v="4"/>
    <x v="16"/>
  </r>
  <r>
    <n v="350000"/>
    <d v="2027-03-04T00:00:00"/>
    <x v="8"/>
    <x v="4"/>
    <x v="17"/>
  </r>
  <r>
    <n v="3010000"/>
    <d v="2026-05-27T00:00:00"/>
    <x v="4"/>
    <x v="2"/>
    <x v="4"/>
  </r>
  <r>
    <e v="#REF!"/>
    <e v="#REF!"/>
    <x v="1"/>
    <x v="1"/>
    <x v="1"/>
  </r>
  <r>
    <e v="#REF!"/>
    <e v="#REF!"/>
    <x v="1"/>
    <x v="1"/>
    <x v="1"/>
  </r>
  <r>
    <n v="838500"/>
    <d v="2026-09-02T00:00:00"/>
    <x v="7"/>
    <x v="2"/>
    <x v="8"/>
  </r>
  <r>
    <e v="#REF!"/>
    <e v="#REF!"/>
    <x v="1"/>
    <x v="1"/>
    <x v="1"/>
  </r>
  <r>
    <n v="731000"/>
    <d v="2026-08-02T00:00:00"/>
    <x v="2"/>
    <x v="2"/>
    <x v="2"/>
  </r>
  <r>
    <n v="0"/>
    <d v="1899-12-30T00:00:00"/>
    <x v="0"/>
    <x v="0"/>
    <x v="0"/>
  </r>
  <r>
    <n v="0"/>
    <d v="1899-12-30T00:00:00"/>
    <x v="0"/>
    <x v="0"/>
    <x v="0"/>
  </r>
  <r>
    <e v="#REF!"/>
    <e v="#REF!"/>
    <x v="1"/>
    <x v="1"/>
    <x v="1"/>
  </r>
  <r>
    <e v="#REF!"/>
    <e v="#REF!"/>
    <x v="1"/>
    <x v="1"/>
    <x v="1"/>
  </r>
  <r>
    <n v="500000"/>
    <d v="2027-04-30T00:00:00"/>
    <x v="3"/>
    <x v="4"/>
    <x v="13"/>
  </r>
  <r>
    <n v="500000"/>
    <d v="2027-04-30T00:00:00"/>
    <x v="3"/>
    <x v="4"/>
    <x v="13"/>
  </r>
  <r>
    <n v="500000"/>
    <d v="2027-04-30T00:00:00"/>
    <x v="3"/>
    <x v="4"/>
    <x v="13"/>
  </r>
  <r>
    <n v="-261648.35640412569"/>
    <d v="1899-12-30T00:00:00"/>
    <x v="0"/>
    <x v="0"/>
    <x v="0"/>
  </r>
  <r>
    <n v="0"/>
    <d v="1899-12-30T00:00:00"/>
    <x v="0"/>
    <x v="0"/>
    <x v="0"/>
  </r>
  <r>
    <n v="0"/>
    <d v="1899-12-30T00:00:00"/>
    <x v="0"/>
    <x v="0"/>
    <x v="0"/>
  </r>
  <r>
    <n v="96000"/>
    <d v="2027-12-31T00:00:00"/>
    <x v="10"/>
    <x v="4"/>
    <x v="18"/>
  </r>
  <r>
    <n v="90000"/>
    <d v="2027-12-31T00:00:00"/>
    <x v="10"/>
    <x v="4"/>
    <x v="18"/>
  </r>
  <r>
    <n v="314000"/>
    <d v="2027-12-31T00:00:00"/>
    <x v="10"/>
    <x v="4"/>
    <x v="18"/>
  </r>
  <r>
    <n v="544000"/>
    <d v="2027-12-31T00:00:00"/>
    <x v="10"/>
    <x v="4"/>
    <x v="18"/>
  </r>
  <r>
    <n v="1360000"/>
    <d v="2026-02-13T00:00:00"/>
    <x v="11"/>
    <x v="2"/>
    <x v="19"/>
  </r>
  <r>
    <n v="0"/>
    <d v="1899-12-30T00:00:00"/>
    <x v="0"/>
    <x v="0"/>
    <x v="0"/>
  </r>
  <r>
    <n v="1984000"/>
    <d v="2025-12-31T00:00:00"/>
    <x v="10"/>
    <x v="5"/>
    <x v="20"/>
  </r>
  <r>
    <n v="114240"/>
    <d v="2026-01-31T00:00:00"/>
    <x v="0"/>
    <x v="2"/>
    <x v="9"/>
  </r>
  <r>
    <n v="219130"/>
    <d v="2027-12-31T00:00:00"/>
    <x v="10"/>
    <x v="4"/>
    <x v="18"/>
  </r>
  <r>
    <n v="108800"/>
    <d v="2027-12-31T00:00:00"/>
    <x v="10"/>
    <x v="4"/>
    <x v="18"/>
  </r>
  <r>
    <n v="157760"/>
    <d v="2027-12-31T00:00:00"/>
    <x v="10"/>
    <x v="4"/>
    <x v="18"/>
  </r>
  <r>
    <n v="179520"/>
    <d v="2027-12-31T00:00:00"/>
    <x v="10"/>
    <x v="4"/>
    <x v="18"/>
  </r>
  <r>
    <n v="174080"/>
    <d v="2027-12-31T00:00:00"/>
    <x v="10"/>
    <x v="4"/>
    <x v="18"/>
  </r>
  <r>
    <n v="282880"/>
    <d v="2027-12-31T00:00:00"/>
    <x v="10"/>
    <x v="4"/>
    <x v="18"/>
  </r>
  <r>
    <n v="84320"/>
    <d v="2027-12-31T00:00:00"/>
    <x v="10"/>
    <x v="4"/>
    <x v="18"/>
  </r>
  <r>
    <n v="500480"/>
    <d v="2027-12-31T00:00:00"/>
    <x v="10"/>
    <x v="4"/>
    <x v="18"/>
  </r>
  <r>
    <n v="43520"/>
    <d v="2027-12-31T00:00:00"/>
    <x v="10"/>
    <x v="4"/>
    <x v="18"/>
  </r>
  <r>
    <n v="38080"/>
    <d v="2027-12-31T00:00:00"/>
    <x v="10"/>
    <x v="4"/>
    <x v="18"/>
  </r>
  <r>
    <n v="0"/>
    <d v="1899-12-30T00:00:00"/>
    <x v="0"/>
    <x v="0"/>
    <x v="0"/>
  </r>
  <r>
    <n v="1569780"/>
    <d v="2027-12-31T00:00:00"/>
    <x v="10"/>
    <x v="4"/>
    <x v="18"/>
  </r>
  <r>
    <n v="190400"/>
    <d v="2027-12-31T00:00:00"/>
    <x v="10"/>
    <x v="4"/>
    <x v="18"/>
  </r>
  <r>
    <n v="272000"/>
    <d v="2027-12-31T00:00:00"/>
    <x v="10"/>
    <x v="4"/>
    <x v="18"/>
  </r>
  <r>
    <n v="108800"/>
    <d v="2025-12-31T00:00:00"/>
    <x v="10"/>
    <x v="5"/>
    <x v="20"/>
  </r>
  <r>
    <n v="326400"/>
    <d v="2026-02-15T00:00:00"/>
    <x v="11"/>
    <x v="2"/>
    <x v="19"/>
  </r>
  <r>
    <n v="585600"/>
    <d v="2025-12-31T00:00:00"/>
    <x v="10"/>
    <x v="5"/>
    <x v="20"/>
  </r>
  <r>
    <n v="44030"/>
    <d v="2026-01-31T00:00:00"/>
    <x v="0"/>
    <x v="2"/>
    <x v="9"/>
  </r>
  <r>
    <e v="#REF!"/>
    <e v="#REF!"/>
    <x v="1"/>
    <x v="1"/>
    <x v="1"/>
  </r>
  <r>
    <n v="0"/>
    <d v="1899-12-30T00:00:00"/>
    <x v="0"/>
    <x v="0"/>
    <x v="0"/>
  </r>
  <r>
    <e v="#REF!"/>
    <e v="#REF!"/>
    <x v="1"/>
    <x v="1"/>
    <x v="1"/>
  </r>
  <r>
    <n v="160208"/>
    <d v="2027-12-31T00:00:00"/>
    <x v="10"/>
    <x v="4"/>
    <x v="18"/>
  </r>
  <r>
    <n v="50000"/>
    <d v="2027-09-30T00:00:00"/>
    <x v="7"/>
    <x v="4"/>
    <x v="21"/>
  </r>
  <r>
    <n v="1280000"/>
    <d v="2025-12-31T00:00:00"/>
    <x v="10"/>
    <x v="5"/>
    <x v="20"/>
  </r>
  <r>
    <n v="0"/>
    <d v="1899-12-30T00:00:00"/>
    <x v="0"/>
    <x v="0"/>
    <x v="0"/>
  </r>
  <r>
    <n v="25000"/>
    <d v="2026-02-20T00:00:00"/>
    <x v="11"/>
    <x v="2"/>
    <x v="19"/>
  </r>
  <r>
    <e v="#REF!"/>
    <e v="#REF!"/>
    <x v="1"/>
    <x v="1"/>
    <x v="1"/>
  </r>
  <r>
    <n v="50000"/>
    <d v="2026-01-31T00:00:00"/>
    <x v="0"/>
    <x v="2"/>
    <x v="9"/>
  </r>
  <r>
    <n v="158511.4"/>
    <d v="2026-01-31T00:00:00"/>
    <x v="0"/>
    <x v="2"/>
    <x v="9"/>
  </r>
  <r>
    <n v="50000"/>
    <d v="2025-12-31T00:00:00"/>
    <x v="10"/>
    <x v="5"/>
    <x v="20"/>
  </r>
  <r>
    <e v="#REF!"/>
    <e v="#REF!"/>
    <x v="1"/>
    <x v="1"/>
    <x v="1"/>
  </r>
  <r>
    <n v="12500"/>
    <d v="2025-12-31T00:00:00"/>
    <x v="10"/>
    <x v="5"/>
    <x v="20"/>
  </r>
  <r>
    <n v="0"/>
    <d v="1899-12-30T00:00:00"/>
    <x v="0"/>
    <x v="0"/>
    <x v="0"/>
  </r>
  <r>
    <n v="350000"/>
    <d v="2025-12-31T00:00:00"/>
    <x v="10"/>
    <x v="5"/>
    <x v="20"/>
  </r>
  <r>
    <n v="50000"/>
    <d v="2025-12-31T00:00:00"/>
    <x v="10"/>
    <x v="5"/>
    <x v="20"/>
  </r>
  <r>
    <e v="#REF!"/>
    <e v="#REF!"/>
    <x v="1"/>
    <x v="1"/>
    <x v="1"/>
  </r>
  <r>
    <n v="120000"/>
    <d v="2027-12-31T00:00:00"/>
    <x v="10"/>
    <x v="4"/>
    <x v="18"/>
  </r>
  <r>
    <n v="100000"/>
    <d v="2027-09-30T00:00:00"/>
    <x v="7"/>
    <x v="4"/>
    <x v="21"/>
  </r>
  <r>
    <e v="#REF!"/>
    <e v="#REF!"/>
    <x v="1"/>
    <x v="1"/>
    <x v="1"/>
  </r>
  <r>
    <n v="0"/>
    <d v="1899-12-30T00:00:00"/>
    <x v="0"/>
    <x v="0"/>
    <x v="0"/>
  </r>
  <r>
    <n v="834000"/>
    <d v="2026-01-31T00:00:00"/>
    <x v="0"/>
    <x v="2"/>
    <x v="9"/>
  </r>
  <r>
    <n v="1040000"/>
    <d v="2025-12-31T00:00:00"/>
    <x v="10"/>
    <x v="5"/>
    <x v="20"/>
  </r>
  <r>
    <e v="#REF!"/>
    <e v="#REF!"/>
    <x v="1"/>
    <x v="1"/>
    <x v="1"/>
  </r>
  <r>
    <e v="#REF!"/>
    <e v="#REF!"/>
    <x v="1"/>
    <x v="1"/>
    <x v="1"/>
  </r>
  <r>
    <n v="100000"/>
    <d v="2026-03-30T00:00:00"/>
    <x v="8"/>
    <x v="2"/>
    <x v="11"/>
  </r>
  <r>
    <n v="340000"/>
    <d v="2025-12-31T00:00:00"/>
    <x v="10"/>
    <x v="5"/>
    <x v="20"/>
  </r>
  <r>
    <n v="8000"/>
    <d v="2025-12-31T00:00:00"/>
    <x v="10"/>
    <x v="5"/>
    <x v="20"/>
  </r>
  <r>
    <e v="#REF!"/>
    <e v="#REF!"/>
    <x v="1"/>
    <x v="1"/>
    <x v="1"/>
  </r>
  <r>
    <n v="40160"/>
    <d v="1899-12-30T00:00:00"/>
    <x v="0"/>
    <x v="0"/>
    <x v="0"/>
  </r>
  <r>
    <e v="#REF!"/>
    <e v="#REF!"/>
    <x v="1"/>
    <x v="1"/>
    <x v="1"/>
  </r>
  <r>
    <n v="0"/>
    <d v="1899-12-30T00:00:00"/>
    <x v="0"/>
    <x v="0"/>
    <x v="0"/>
  </r>
  <r>
    <e v="#REF!"/>
    <e v="#REF!"/>
    <x v="1"/>
    <x v="1"/>
    <x v="1"/>
  </r>
  <r>
    <n v="50000"/>
    <d v="2026-02-28T00:00:00"/>
    <x v="11"/>
    <x v="2"/>
    <x v="19"/>
  </r>
  <r>
    <n v="20000"/>
    <d v="2026-02-28T00:00:00"/>
    <x v="11"/>
    <x v="2"/>
    <x v="19"/>
  </r>
  <r>
    <n v="20000"/>
    <d v="2026-02-28T00:00:00"/>
    <x v="11"/>
    <x v="2"/>
    <x v="19"/>
  </r>
  <r>
    <n v="20000"/>
    <d v="2026-04-10T00:00:00"/>
    <x v="3"/>
    <x v="2"/>
    <x v="3"/>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474768-C923-4624-A03C-DC631B8BDDA4}" name="Tabela przestawna13" cacheId="7"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W2:Z11" firstHeaderRow="2" firstDataRow="2" firstDataCol="3"/>
  <pivotFields count="5">
    <pivotField dataField="1" compact="0" outline="0" showAll="0"/>
    <pivotField compact="0" outline="0" showAll="0"/>
    <pivotField axis="axisRow" compact="0" outline="0" showAll="0" sortType="ascending" defaultSubtotal="0">
      <items count="11">
        <item x="0"/>
        <item x="5"/>
        <item x="4"/>
        <item x="3"/>
        <item m="1" x="8"/>
        <item m="1" x="9"/>
        <item m="1" x="10"/>
        <item m="1" x="7"/>
        <item x="2"/>
        <item x="1"/>
        <item x="6"/>
      </items>
    </pivotField>
    <pivotField axis="axisRow" compact="0" outline="0" showAll="0" sortType="ascending" defaultSubtotal="0">
      <items count="7">
        <item x="0"/>
        <item m="1" x="5"/>
        <item m="1" x="6"/>
        <item x="2"/>
        <item x="3"/>
        <item x="1"/>
        <item x="4"/>
      </items>
    </pivotField>
    <pivotField axis="axisRow" compact="0" outline="0" showAll="0" defaultSubtotal="0">
      <items count="20">
        <item x="0"/>
        <item m="1" x="12"/>
        <item m="1" x="18"/>
        <item m="1" x="19"/>
        <item m="1" x="10"/>
        <item m="1" x="15"/>
        <item x="7"/>
        <item m="1" x="11"/>
        <item m="1" x="14"/>
        <item m="1" x="16"/>
        <item m="1" x="9"/>
        <item m="1" x="13"/>
        <item m="1" x="17"/>
        <item m="1" x="8"/>
        <item x="1"/>
        <item x="2"/>
        <item x="6"/>
        <item x="5"/>
        <item x="4"/>
        <item x="3"/>
      </items>
    </pivotField>
  </pivotFields>
  <rowFields count="3">
    <field x="3"/>
    <field x="2"/>
    <field x="4"/>
  </rowFields>
  <rowItems count="8">
    <i>
      <x/>
      <x/>
      <x/>
    </i>
    <i>
      <x v="3"/>
      <x v="8"/>
      <x v="15"/>
    </i>
    <i>
      <x v="4"/>
      <x/>
      <x v="16"/>
    </i>
    <i r="1">
      <x v="1"/>
      <x v="17"/>
    </i>
    <i r="1">
      <x v="2"/>
      <x v="18"/>
    </i>
    <i r="1">
      <x v="3"/>
      <x v="19"/>
    </i>
    <i>
      <x v="5"/>
      <x v="9"/>
      <x v="14"/>
    </i>
    <i>
      <x v="6"/>
      <x v="10"/>
      <x v="6"/>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BA20B0-D093-41F1-827D-407618451527}" name="Tabela przestawna12" cacheId="13"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O2:R26" firstHeaderRow="2" firstDataRow="2" firstDataCol="3"/>
  <pivotFields count="5">
    <pivotField dataField="1" compact="0" outline="0" showAll="0"/>
    <pivotField compact="0" outline="0" showAll="0"/>
    <pivotField axis="axisRow" compact="0" outline="0" showAll="0" sortType="ascending" defaultSubtotal="0">
      <items count="14">
        <item x="0"/>
        <item x="11"/>
        <item x="8"/>
        <item x="3"/>
        <item x="4"/>
        <item x="6"/>
        <item x="5"/>
        <item x="2"/>
        <item x="7"/>
        <item x="9"/>
        <item m="1" x="13"/>
        <item x="10"/>
        <item x="1"/>
        <item x="12"/>
      </items>
    </pivotField>
    <pivotField axis="axisRow" compact="0" outline="0" showAll="0" sortType="ascending" defaultSubtotal="0">
      <items count="9">
        <item x="0"/>
        <item m="1" x="7"/>
        <item m="1" x="8"/>
        <item x="5"/>
        <item x="2"/>
        <item x="4"/>
        <item x="3"/>
        <item x="1"/>
        <item x="6"/>
      </items>
    </pivotField>
    <pivotField axis="axisRow" compact="0" outline="0" showAll="0" defaultSubtotal="0">
      <items count="35">
        <item x="0"/>
        <item m="1" x="27"/>
        <item m="1" x="31"/>
        <item m="1" x="33"/>
        <item m="1" x="25"/>
        <item x="22"/>
        <item m="1" x="26"/>
        <item m="1" x="30"/>
        <item m="1" x="28"/>
        <item m="1" x="34"/>
        <item m="1" x="32"/>
        <item m="1" x="29"/>
        <item m="1" x="24"/>
        <item x="1"/>
        <item x="20"/>
        <item x="9"/>
        <item x="4"/>
        <item x="5"/>
        <item x="11"/>
        <item x="6"/>
        <item x="8"/>
        <item x="7"/>
        <item x="19"/>
        <item x="2"/>
        <item x="10"/>
        <item x="12"/>
        <item x="13"/>
        <item x="14"/>
        <item x="3"/>
        <item m="1" x="23"/>
        <item x="18"/>
        <item x="21"/>
        <item x="15"/>
        <item x="16"/>
        <item x="17"/>
      </items>
    </pivotField>
  </pivotFields>
  <rowFields count="3">
    <field x="3"/>
    <field x="2"/>
    <field x="4"/>
  </rowFields>
  <rowItems count="23">
    <i>
      <x/>
      <x/>
      <x/>
    </i>
    <i r="1">
      <x v="3"/>
      <x v="32"/>
    </i>
    <i>
      <x v="3"/>
      <x v="11"/>
      <x v="14"/>
    </i>
    <i>
      <x v="4"/>
      <x/>
      <x v="15"/>
    </i>
    <i r="1">
      <x v="1"/>
      <x v="22"/>
    </i>
    <i r="1">
      <x v="2"/>
      <x v="18"/>
    </i>
    <i r="1">
      <x v="3"/>
      <x v="28"/>
    </i>
    <i r="1">
      <x v="4"/>
      <x v="16"/>
    </i>
    <i r="1">
      <x v="5"/>
      <x v="21"/>
    </i>
    <i r="1">
      <x v="6"/>
      <x v="24"/>
    </i>
    <i r="1">
      <x v="7"/>
      <x v="23"/>
    </i>
    <i r="1">
      <x v="8"/>
      <x v="20"/>
    </i>
    <i r="1">
      <x v="9"/>
      <x v="25"/>
    </i>
    <i r="1">
      <x v="11"/>
      <x v="27"/>
    </i>
    <i>
      <x v="5"/>
      <x v="1"/>
      <x v="33"/>
    </i>
    <i r="1">
      <x v="2"/>
      <x v="34"/>
    </i>
    <i r="1">
      <x v="3"/>
      <x v="26"/>
    </i>
    <i r="1">
      <x v="6"/>
      <x v="19"/>
    </i>
    <i r="1">
      <x v="8"/>
      <x v="31"/>
    </i>
    <i r="1">
      <x v="11"/>
      <x v="30"/>
    </i>
    <i>
      <x v="6"/>
      <x v="3"/>
      <x v="17"/>
    </i>
    <i>
      <x v="7"/>
      <x v="12"/>
      <x v="13"/>
    </i>
    <i>
      <x v="8"/>
      <x v="13"/>
      <x v="5"/>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B9B"/>
    <outlinePr applyStyles="1" summaryBelow="0" summaryRight="0"/>
    <pageSetUpPr fitToPage="1"/>
  </sheetPr>
  <dimension ref="A1:GG1103"/>
  <sheetViews>
    <sheetView showGridLines="0" tabSelected="1" zoomScale="70" zoomScaleNormal="70" zoomScaleSheetLayoutView="46" zoomScalePageLayoutView="70" workbookViewId="0">
      <selection activeCell="E9" sqref="E9"/>
    </sheetView>
  </sheetViews>
  <sheetFormatPr defaultColWidth="35.46484375" defaultRowHeight="13.9" outlineLevelCol="1" x14ac:dyDescent="0.35"/>
  <cols>
    <col min="1" max="1" width="9.46484375" style="91" customWidth="1"/>
    <col min="2" max="2" width="22.53125" style="2" customWidth="1"/>
    <col min="3" max="3" width="17.1328125" style="2" customWidth="1"/>
    <col min="4" max="4" width="22.53125" style="3" customWidth="1"/>
    <col min="5" max="6" width="36.53125" style="2" customWidth="1"/>
    <col min="7" max="7" width="10.33203125" style="2" customWidth="1"/>
    <col min="8" max="8" width="41.86328125" style="235" customWidth="1"/>
    <col min="9" max="9" width="29.86328125" style="2" hidden="1" customWidth="1" outlineLevel="1"/>
    <col min="10" max="10" width="25" style="2" hidden="1" customWidth="1" outlineLevel="1"/>
    <col min="11" max="11" width="29.86328125" style="2" hidden="1" customWidth="1" outlineLevel="1"/>
    <col min="12" max="12" width="17.53125" style="2" customWidth="1" outlineLevel="1"/>
    <col min="13" max="16" width="15.6640625" style="2" customWidth="1" outlineLevel="1"/>
    <col min="17" max="17" width="17.46484375" style="2" customWidth="1"/>
    <col min="18" max="18" width="17.46484375" style="88" bestFit="1" customWidth="1"/>
    <col min="19" max="19" width="19.1328125" style="2" bestFit="1" customWidth="1"/>
    <col min="20" max="20" width="18" style="2" customWidth="1"/>
    <col min="21" max="21" width="17.46484375" style="2" bestFit="1" customWidth="1"/>
    <col min="22" max="22" width="18" style="2" customWidth="1"/>
    <col min="23" max="23" width="37.53125" style="2" customWidth="1"/>
    <col min="24" max="24" width="4.53125" style="2" customWidth="1"/>
    <col min="25" max="26" width="19.86328125" style="2" customWidth="1"/>
    <col min="27" max="27" width="18.1328125" style="2" customWidth="1"/>
    <col min="28" max="28" width="18.53125" style="2" customWidth="1"/>
    <col min="29" max="29" width="19.86328125" style="2" customWidth="1"/>
    <col min="30" max="30" width="17.46484375" style="2" customWidth="1"/>
    <col min="31" max="31" width="11.86328125" style="2" customWidth="1"/>
    <col min="32" max="32" width="3.53125" style="3" customWidth="1"/>
    <col min="33" max="33" width="35.46484375" style="192"/>
    <col min="34" max="36" width="2" style="2" customWidth="1"/>
    <col min="37" max="37" width="2.6640625" style="2" customWidth="1"/>
    <col min="38" max="189" width="2" style="2" customWidth="1"/>
    <col min="190" max="16384" width="35.46484375" style="2"/>
  </cols>
  <sheetData>
    <row r="1" spans="1:189" ht="13.5" thickBot="1" x14ac:dyDescent="0.4">
      <c r="H1" s="182"/>
      <c r="R1" s="2"/>
    </row>
    <row r="2" spans="1:189" ht="69.75" customHeight="1" x14ac:dyDescent="0.35">
      <c r="A2" s="257" t="s">
        <v>0</v>
      </c>
      <c r="B2" s="4"/>
      <c r="C2" s="90" t="e">
        <f>#REF!</f>
        <v>#REF!</v>
      </c>
      <c r="D2" s="175"/>
      <c r="E2" s="175"/>
      <c r="G2" s="177" t="s">
        <v>1</v>
      </c>
      <c r="H2" s="182" t="s">
        <v>1413</v>
      </c>
      <c r="K2" s="350" t="s">
        <v>228</v>
      </c>
      <c r="L2" s="350"/>
      <c r="M2" s="94"/>
      <c r="N2" s="94"/>
      <c r="O2" s="94"/>
      <c r="Q2" s="3" t="str">
        <f>B10</f>
        <v>PLN</v>
      </c>
      <c r="R2" s="5" t="str">
        <f>R14</f>
        <v>Budget AK0/
Budżet 
startowy 
projektu AK0</v>
      </c>
      <c r="S2" s="5" t="s">
        <v>2</v>
      </c>
      <c r="T2" s="5" t="s">
        <v>3</v>
      </c>
      <c r="U2" s="5" t="s">
        <v>4</v>
      </c>
      <c r="V2" s="6" t="s">
        <v>5</v>
      </c>
      <c r="Y2" s="352" t="s">
        <v>6</v>
      </c>
      <c r="Z2" s="353"/>
      <c r="AA2" s="353"/>
      <c r="AB2" s="352" t="s">
        <v>7</v>
      </c>
      <c r="AC2" s="353"/>
      <c r="AD2" s="356"/>
      <c r="AF2" s="7"/>
      <c r="AG2" s="193" t="str">
        <f>A2</f>
        <v>Project/Projekt:</v>
      </c>
      <c r="AH2" s="113"/>
      <c r="AI2" s="163"/>
      <c r="AJ2" s="359" t="e">
        <f>C2</f>
        <v>#REF!</v>
      </c>
      <c r="AK2" s="359"/>
      <c r="AL2" s="359"/>
      <c r="AM2" s="359"/>
      <c r="AN2" s="359"/>
      <c r="AO2" s="359"/>
      <c r="AP2" s="359"/>
      <c r="AQ2" s="359"/>
      <c r="AR2" s="359"/>
      <c r="AS2" s="359"/>
      <c r="AT2" s="359"/>
      <c r="AU2" s="359"/>
      <c r="AV2" s="359"/>
      <c r="AW2" s="359"/>
      <c r="AX2" s="359"/>
      <c r="AY2" s="359"/>
      <c r="AZ2" s="360"/>
      <c r="BD2" s="94" t="str">
        <f>G2</f>
        <v>Editor / Sporządził:</v>
      </c>
      <c r="BL2" s="116"/>
      <c r="BN2" s="2" t="str">
        <f>H2</f>
        <v xml:space="preserve">Piotr Feliński </v>
      </c>
      <c r="DM2" s="117"/>
      <c r="DN2" s="114" t="s">
        <v>248</v>
      </c>
      <c r="DO2" s="114"/>
      <c r="DP2" s="114"/>
      <c r="DQ2" s="114"/>
      <c r="DR2" s="114"/>
      <c r="DS2" s="114"/>
      <c r="DT2" s="114"/>
      <c r="DU2" s="114"/>
      <c r="DV2" s="114"/>
      <c r="DW2" s="114"/>
      <c r="DX2" s="114"/>
      <c r="DY2" s="114"/>
      <c r="DZ2" s="114"/>
      <c r="EA2" s="114"/>
      <c r="EB2" s="114"/>
      <c r="EC2" s="114"/>
      <c r="ED2" s="114"/>
      <c r="EE2" s="114"/>
      <c r="EF2" s="114"/>
      <c r="EG2" s="114"/>
      <c r="EH2" s="114"/>
      <c r="EI2" s="114"/>
      <c r="EJ2" s="114"/>
      <c r="EK2" s="114"/>
      <c r="EL2" s="114"/>
      <c r="EM2" s="114"/>
      <c r="EN2" s="114"/>
      <c r="EO2" s="114"/>
      <c r="EP2" s="114"/>
      <c r="EQ2" s="114"/>
      <c r="ER2" s="114"/>
      <c r="ES2" s="114"/>
      <c r="ET2" s="114"/>
      <c r="EU2" s="114"/>
      <c r="EV2" s="114"/>
      <c r="EW2" s="114"/>
      <c r="EX2" s="114"/>
      <c r="EY2" s="114"/>
      <c r="EZ2" s="114"/>
      <c r="FA2" s="114"/>
      <c r="FB2" s="114"/>
      <c r="FC2" s="114"/>
      <c r="FD2" s="114"/>
      <c r="FE2" s="114"/>
      <c r="FF2" s="114"/>
      <c r="FG2" s="114"/>
      <c r="FH2" s="114"/>
      <c r="FI2" s="114"/>
      <c r="FJ2" s="114"/>
      <c r="FK2" s="114"/>
      <c r="FL2" s="114"/>
      <c r="FM2" s="114"/>
      <c r="FN2" s="114"/>
      <c r="FO2" s="114"/>
      <c r="FP2" s="114"/>
      <c r="FQ2" s="114"/>
      <c r="FR2" s="114"/>
      <c r="FS2" s="114"/>
      <c r="FT2" s="114"/>
      <c r="FU2" s="114"/>
      <c r="FV2" s="114"/>
      <c r="FW2" s="114"/>
      <c r="FX2" s="114"/>
      <c r="FY2" s="114"/>
      <c r="FZ2" s="114"/>
      <c r="GA2" s="114"/>
      <c r="GB2" s="114"/>
      <c r="GC2" s="114"/>
      <c r="GD2" s="114"/>
      <c r="GE2" s="114"/>
      <c r="GF2" s="114"/>
      <c r="GG2" s="115"/>
    </row>
    <row r="3" spans="1:189" ht="13.5" customHeight="1" thickBot="1" x14ac:dyDescent="0.4">
      <c r="A3" s="258" t="s">
        <v>8</v>
      </c>
      <c r="B3" s="93"/>
      <c r="C3" s="89" t="e">
        <f>#REF!</f>
        <v>#REF!</v>
      </c>
      <c r="D3" s="176"/>
      <c r="E3" s="176"/>
      <c r="G3" s="178" t="s">
        <v>9</v>
      </c>
      <c r="H3" s="183" t="e">
        <f>#REF!</f>
        <v>#REF!</v>
      </c>
      <c r="J3" s="91"/>
      <c r="K3" s="97" t="s">
        <v>235</v>
      </c>
      <c r="L3" s="98">
        <f ca="1">NOW()</f>
        <v>46157.667588078701</v>
      </c>
      <c r="P3" s="9" t="s">
        <v>44</v>
      </c>
      <c r="Q3" s="9" t="s">
        <v>45</v>
      </c>
      <c r="R3" s="10" cm="1">
        <f t="array" aca="1" ref="R3" ca="1">SUMPRODUCT(SUBTOTAL(9,INDIRECT("R"&amp;ROW($18:1103)))*($Q$18:$Q1103=$Q3))</f>
        <v>136763261.40198237</v>
      </c>
      <c r="S3" s="10" cm="1">
        <f t="array" aca="1" ref="S3" ca="1">SUMPRODUCT(SUBTOTAL(9,INDIRECT("S"&amp;ROW($18:1103)))*($Q$18:$Q1103=$Q3))</f>
        <v>138676130.15198237</v>
      </c>
      <c r="T3" s="10" cm="1">
        <f t="array" aca="1" ref="T3" ca="1">SUMPRODUCT(SUBTOTAL(9,INDIRECT("T"&amp;ROW($18:1103)))*($Q$18:$Q1103=$Q3))</f>
        <v>0</v>
      </c>
      <c r="U3" s="10" cm="1">
        <f t="array" aca="1" ref="U3" ca="1">SUMPRODUCT(SUBTOTAL(9,INDIRECT("U"&amp;ROW($18:1103)))*($Q$18:$Q1103=$Q3))</f>
        <v>0</v>
      </c>
      <c r="V3" s="10" cm="1">
        <f t="array" aca="1" ref="V3" ca="1">SUMPRODUCT(SUBTOTAL(9,INDIRECT("V"&amp;ROW($18:1103)))*($Q$18:$Q1103=$Q3))</f>
        <v>0</v>
      </c>
      <c r="Y3" s="354"/>
      <c r="Z3" s="355"/>
      <c r="AA3" s="355"/>
      <c r="AB3" s="354"/>
      <c r="AC3" s="355"/>
      <c r="AD3" s="357"/>
      <c r="AF3" s="12"/>
      <c r="AG3" s="194" t="str">
        <f>A3</f>
        <v xml:space="preserve">Cost center no/ Nr PSP.: </v>
      </c>
      <c r="AH3" s="118"/>
      <c r="AI3" s="179"/>
      <c r="AJ3" s="94" t="e">
        <f>C3</f>
        <v>#REF!</v>
      </c>
      <c r="AZ3" s="119"/>
      <c r="BD3" s="94" t="str">
        <f>G3</f>
        <v>Approver / Zatwierdził:</v>
      </c>
      <c r="BL3" s="116"/>
      <c r="BN3" s="91" t="e">
        <f>H3</f>
        <v>#REF!</v>
      </c>
      <c r="DM3" s="120"/>
      <c r="DN3" s="121"/>
      <c r="DO3" s="121"/>
      <c r="DP3" s="121"/>
      <c r="DQ3" s="121"/>
      <c r="DS3" s="164" t="s">
        <v>240</v>
      </c>
      <c r="DT3" s="164"/>
      <c r="DU3" s="164"/>
      <c r="EL3" s="164"/>
      <c r="EM3" s="164"/>
      <c r="EN3" s="164"/>
      <c r="EO3" s="164"/>
      <c r="EP3" s="164"/>
      <c r="EQ3" s="164"/>
      <c r="ER3" s="164"/>
      <c r="ES3" s="164"/>
      <c r="ET3" s="164"/>
      <c r="EU3" s="164"/>
      <c r="EV3" s="164"/>
      <c r="EW3" s="164"/>
      <c r="EX3" s="164"/>
      <c r="EY3" s="164"/>
      <c r="EZ3" s="164"/>
      <c r="FA3" s="164"/>
      <c r="FB3" s="164"/>
      <c r="FC3" s="164"/>
      <c r="FD3" s="164"/>
      <c r="FE3" s="164"/>
      <c r="FF3" s="164"/>
      <c r="FG3" s="164"/>
      <c r="FH3" s="164"/>
      <c r="FI3" s="164"/>
      <c r="FJ3" s="122"/>
      <c r="FK3" s="122"/>
      <c r="FL3" s="122"/>
      <c r="FM3" s="122"/>
      <c r="FO3" s="165" t="s">
        <v>243</v>
      </c>
      <c r="FP3" s="165"/>
      <c r="GG3" s="119"/>
    </row>
    <row r="4" spans="1:189" ht="13.5" customHeight="1" thickBot="1" x14ac:dyDescent="0.4">
      <c r="A4" s="335"/>
      <c r="B4" s="336"/>
      <c r="C4" s="337"/>
      <c r="D4" s="7"/>
      <c r="E4" s="7"/>
      <c r="F4" s="94"/>
      <c r="G4" s="178"/>
      <c r="H4" s="182"/>
      <c r="J4" s="111" cm="1">
        <f t="array" aca="1" ref="J4" ca="1">SUMPRODUCT(SUBTOTAL(2,INDIRECT("Q"&amp;ROW($18:602)))*($Q$18:Q602=Q4)*($M$18:M602&lt;$L$3))</f>
        <v>0</v>
      </c>
      <c r="K4" s="99" t="s">
        <v>233</v>
      </c>
      <c r="L4" s="107" cm="1">
        <f t="array" aca="1" ref="L4" ca="1">SUMPRODUCT(SUBTOTAL(9,INDIRECT("S"&amp;ROW($18:602)))*($Q$18:Q602=Q4)*($M$18:M602&lt;$L$3))</f>
        <v>17982545.500986584</v>
      </c>
      <c r="N4" s="67"/>
      <c r="P4" s="9" t="s">
        <v>10</v>
      </c>
      <c r="Q4" s="9" t="s">
        <v>11</v>
      </c>
      <c r="R4" s="10" cm="1">
        <f t="array" aca="1" ref="R4" ca="1">SUMPRODUCT(SUBTOTAL(9,INDIRECT("R"&amp;ROW($18:1104)))*($Q$18:$Q1104=$Q4))</f>
        <v>88741172.046415448</v>
      </c>
      <c r="S4" s="10" cm="1">
        <f t="array" aca="1" ref="S4" ca="1">SUMPRODUCT(SUBTOTAL(9,INDIRECT("S"&amp;ROW($18:1104)))*($Q$18:$Q1104=$Q4))</f>
        <v>67458810.616415471</v>
      </c>
      <c r="T4" s="10" cm="1">
        <f t="array" aca="1" ref="T4" ca="1">SUMPRODUCT(SUBTOTAL(9,INDIRECT("T"&amp;ROW($18:1104)))*($Q$18:$Q1104=$Q4))</f>
        <v>0</v>
      </c>
      <c r="U4" s="11" cm="1">
        <f t="array" aca="1" ref="U4" ca="1">SUMPRODUCT(SUBTOTAL(9,INDIRECT("U"&amp;ROW($18:1104)))*($Q$18:$Q1104=$Q4))</f>
        <v>0</v>
      </c>
      <c r="V4" s="10" cm="1">
        <f t="array" aca="1" ref="V4" ca="1">SUMPRODUCT(SUBTOTAL(9,INDIRECT("V"&amp;ROW($18:1104)))*($Q$18:$Q1104=$Q4))</f>
        <v>0</v>
      </c>
      <c r="Z4" s="7" t="s">
        <v>14</v>
      </c>
      <c r="AA4" s="7" t="s">
        <v>15</v>
      </c>
      <c r="AB4" s="81"/>
      <c r="AC4" s="7" t="str">
        <f>Z4</f>
        <v>acquisition</v>
      </c>
      <c r="AD4" s="7" t="str">
        <f>AA4</f>
        <v>result</v>
      </c>
      <c r="AF4" s="12"/>
      <c r="AG4" s="195"/>
      <c r="AH4" s="118"/>
      <c r="AI4" s="118"/>
      <c r="AJ4" s="118"/>
      <c r="AK4" s="118"/>
      <c r="AL4" s="118"/>
      <c r="AM4" s="118"/>
      <c r="AN4" s="118"/>
      <c r="AO4" s="118"/>
      <c r="AP4" s="118"/>
      <c r="AQ4" s="118"/>
      <c r="AR4" s="118"/>
      <c r="AS4" s="118"/>
      <c r="AT4" s="118"/>
      <c r="AU4" s="118"/>
      <c r="AV4" s="118"/>
      <c r="AW4" s="118"/>
      <c r="AX4" s="118"/>
      <c r="AY4" s="118"/>
      <c r="AZ4" s="123"/>
      <c r="BD4" s="94"/>
      <c r="BL4" s="94"/>
      <c r="DM4" s="120"/>
      <c r="DN4" s="124"/>
      <c r="DO4" s="124"/>
      <c r="DP4" s="124"/>
      <c r="DQ4" s="124"/>
      <c r="DS4" s="164" t="s">
        <v>241</v>
      </c>
      <c r="EL4" s="164"/>
      <c r="FJ4" s="118"/>
      <c r="FK4" s="118"/>
      <c r="FL4" s="118"/>
      <c r="FM4" s="118"/>
      <c r="FO4" s="165" t="s">
        <v>244</v>
      </c>
      <c r="FP4" s="165"/>
      <c r="GG4" s="119"/>
    </row>
    <row r="5" spans="1:189" ht="12.75" customHeight="1" x14ac:dyDescent="0.35">
      <c r="A5" s="259" t="s">
        <v>16</v>
      </c>
      <c r="B5" s="95"/>
      <c r="C5" s="8"/>
      <c r="D5" s="7"/>
      <c r="E5" s="7"/>
      <c r="G5" s="178" t="s">
        <v>17</v>
      </c>
      <c r="H5" s="182" t="s">
        <v>1051</v>
      </c>
      <c r="J5" s="111" cm="1">
        <f t="array" aca="1" ref="J5" ca="1">SUMPRODUCT(SUBTOTAL(2,INDIRECT("Q"&amp;ROW($18:602)))*($Q$18:Q602=Q5)*($M$18:M602&lt;$L$3))</f>
        <v>0</v>
      </c>
      <c r="K5" s="100" t="s">
        <v>229</v>
      </c>
      <c r="L5" s="107" cm="1">
        <f t="array" aca="1" ref="L5" ca="1">SUMPRODUCT(SUBTOTAL(9,INDIRECT("S"&amp;ROW($18:603)))*($Q$18:Q603=Q5)*($M$18:M603&lt;$L$3))</f>
        <v>6670885.6999999993</v>
      </c>
      <c r="P5" s="9" t="s">
        <v>12</v>
      </c>
      <c r="Q5" s="9" t="s">
        <v>13</v>
      </c>
      <c r="R5" s="10" cm="1">
        <f t="array" aca="1" ref="R5" ca="1">SUMPRODUCT(SUBTOTAL(9,INDIRECT("R"&amp;ROW($18:1105)))*($Q$18:$Q1105=$Q5))</f>
        <v>26113675.699999999</v>
      </c>
      <c r="S5" s="10" cm="1">
        <f t="array" aca="1" ref="S5" ca="1">SUMPRODUCT(SUBTOTAL(9,INDIRECT("S"&amp;ROW($18:1105)))*($Q$18:$Q1105=$Q5))</f>
        <v>9583685.6999999993</v>
      </c>
      <c r="T5" s="10" cm="1">
        <f t="array" aca="1" ref="T5" ca="1">SUMPRODUCT(SUBTOTAL(9,INDIRECT("T"&amp;ROW($18:1105)))*($Q$18:$Q1105=$Q5))</f>
        <v>0</v>
      </c>
      <c r="U5" s="11" cm="1">
        <f t="array" aca="1" ref="U5" ca="1">SUMPRODUCT(SUBTOTAL(9,INDIRECT("U"&amp;ROW($18:1105)))*($Q$18:$Q1105=$Q5))</f>
        <v>0</v>
      </c>
      <c r="V5" s="10" cm="1">
        <f t="array" aca="1" ref="V5" ca="1">SUMPRODUCT(SUBTOTAL(9,INDIRECT("V"&amp;ROW($18:1105)))*($Q$18:$Q1105=$Q5))</f>
        <v>0</v>
      </c>
      <c r="Y5" s="16" t="s">
        <v>203</v>
      </c>
      <c r="Z5" s="17">
        <f>SUMIF(Q18:Q1103,Q8,Z18:Z1103)+SUMIF(Q18:Q1103,Q9,Z18:Z1103)</f>
        <v>246074545.50929999</v>
      </c>
      <c r="AA5" s="76">
        <f>SUMIF(Q18:Q1103,Q8,AA18:AA1103)+SUMIF(Q18:Q1103,Q9,AA18:AA1103)</f>
        <v>12559192.993298257</v>
      </c>
      <c r="AB5" s="82"/>
      <c r="AC5" s="79">
        <f>SUMIF(Q18:Q1103,Q8,AC18:AC1103)+SUMIF(Q18:Q1103,Q9,AC18:AC1103)</f>
        <v>593773</v>
      </c>
      <c r="AD5" s="76">
        <f>SUMIF(Q18:Q1103,Q8,AD18:AD1103)+SUMIF(Q18:Q1103,Q9,AD18:AD1103)</f>
        <v>-85200</v>
      </c>
      <c r="AF5" s="12"/>
      <c r="AG5" s="195" t="str">
        <f>A5</f>
        <v>Quotation no/Wycena NR.:</v>
      </c>
      <c r="AH5" s="118"/>
      <c r="AI5" s="118"/>
      <c r="AJ5" s="94">
        <f>C5</f>
        <v>0</v>
      </c>
      <c r="AZ5" s="119"/>
      <c r="BD5" s="94" t="str">
        <f>G5</f>
        <v>Purchaser / Zakupowiec:</v>
      </c>
      <c r="BL5" s="94"/>
      <c r="BO5" s="2" t="str">
        <f>H5</f>
        <v>Roger Gołombek</v>
      </c>
      <c r="DM5" s="120"/>
      <c r="FJ5" s="125"/>
      <c r="FK5" s="125"/>
      <c r="FL5" s="125"/>
      <c r="FM5" s="125"/>
      <c r="FO5" s="165" t="s">
        <v>247</v>
      </c>
      <c r="FP5" s="165"/>
      <c r="GG5" s="119"/>
    </row>
    <row r="6" spans="1:189" ht="15.75" customHeight="1" thickBot="1" x14ac:dyDescent="0.4">
      <c r="A6" s="260" t="s">
        <v>21</v>
      </c>
      <c r="B6" s="18"/>
      <c r="C6" s="19"/>
      <c r="D6" s="7"/>
      <c r="E6" s="7"/>
      <c r="G6" s="51"/>
      <c r="H6" s="182"/>
      <c r="J6" s="111" cm="1">
        <f t="array" aca="1" ref="J6" ca="1">SUMPRODUCT(SUBTOTAL(2,INDIRECT("Q"&amp;ROW($18:603)))*($Q$18:Q603=Q6)*($M$18:M603&lt;$L$3))</f>
        <v>0</v>
      </c>
      <c r="K6" s="101" t="s">
        <v>230</v>
      </c>
      <c r="L6" s="107" cm="1">
        <f t="array" aca="1" ref="L6" ca="1">SUMPRODUCT(SUBTOTAL(9,INDIRECT("S"&amp;ROW($18:604)))*($Q$18:Q604=Q6)*($M$18:M604&lt;$L$3))</f>
        <v>16089298</v>
      </c>
      <c r="P6" s="13" t="s">
        <v>18</v>
      </c>
      <c r="Q6" s="13" t="s">
        <v>19</v>
      </c>
      <c r="R6" s="14" cm="1">
        <f t="array" aca="1" ref="R6" ca="1">SUMPRODUCT(SUBTOTAL(9,INDIRECT("R"&amp;ROW($18:1106)))*($Q$18:$Q1106=$Q6))</f>
        <v>16925518</v>
      </c>
      <c r="S6" s="14" cm="1">
        <f t="array" aca="1" ref="S6" ca="1">SUMPRODUCT(SUBTOTAL(9,INDIRECT("S"&amp;ROW($18:1106)))*($Q$18:$Q1106=$Q6))</f>
        <v>16089298</v>
      </c>
      <c r="T6" s="14" cm="1">
        <f t="array" aca="1" ref="T6" ca="1">SUMPRODUCT(SUBTOTAL(9,INDIRECT("T"&amp;ROW($18:1106)))*($Q$18:$Q1106=$Q6))</f>
        <v>1462000</v>
      </c>
      <c r="U6" s="15" cm="1">
        <f t="array" aca="1" ref="U6" ca="1">SUMPRODUCT(SUBTOTAL(9,INDIRECT("U"&amp;ROW($18:1106)))*($Q$18:$Q1106=$Q6))</f>
        <v>105228</v>
      </c>
      <c r="V6" s="14" cm="1">
        <f t="array" aca="1" ref="V6" ca="1">SUMPRODUCT(SUBTOTAL(9,INDIRECT("V"&amp;ROW($18:1106)))*($Q$18:$Q1106=$Q6))</f>
        <v>0</v>
      </c>
      <c r="Y6" s="20" t="s">
        <v>24</v>
      </c>
      <c r="Z6" s="21">
        <f>Z16-Z5</f>
        <v>20032569</v>
      </c>
      <c r="AA6" s="77">
        <f>AA16-AA5</f>
        <v>193693023.65719584</v>
      </c>
      <c r="AB6" s="82"/>
      <c r="AC6" s="80">
        <f>AC16-AC5</f>
        <v>9440336.0000000037</v>
      </c>
      <c r="AD6" s="77">
        <f>AD16-AD5</f>
        <v>36915811.759999998</v>
      </c>
      <c r="AF6" s="12"/>
      <c r="AG6" s="196" t="str">
        <f>A6</f>
        <v>(acquisition data base) / (baza akwizycyjna):</v>
      </c>
      <c r="AH6" s="126"/>
      <c r="AI6" s="126"/>
      <c r="AJ6" s="126"/>
      <c r="AK6" s="126"/>
      <c r="AL6" s="126"/>
      <c r="AM6" s="126"/>
      <c r="AN6" s="126"/>
      <c r="AO6" s="126"/>
      <c r="AP6" s="126"/>
      <c r="AQ6" s="126"/>
      <c r="AR6" s="126"/>
      <c r="AS6" s="126"/>
      <c r="AT6" s="126"/>
      <c r="AU6" s="126"/>
      <c r="AV6" s="126"/>
      <c r="AW6" s="126"/>
      <c r="AX6" s="126"/>
      <c r="AY6" s="126"/>
      <c r="AZ6" s="127"/>
      <c r="DM6" s="120"/>
      <c r="DP6" s="128"/>
      <c r="DQ6" s="128"/>
      <c r="DS6" s="165" t="s">
        <v>239</v>
      </c>
      <c r="FJ6" s="129"/>
      <c r="FK6" s="129"/>
      <c r="FL6" s="129"/>
      <c r="FM6" s="129"/>
      <c r="FO6" s="165" t="s">
        <v>245</v>
      </c>
      <c r="FP6" s="165"/>
      <c r="GG6" s="119"/>
    </row>
    <row r="7" spans="1:189" ht="12.75" customHeight="1" x14ac:dyDescent="0.35">
      <c r="A7" s="261"/>
      <c r="F7" s="22"/>
      <c r="H7" s="182"/>
      <c r="J7" s="111" cm="1">
        <f t="array" aca="1" ref="J7" ca="1">SUMPRODUCT(SUBTOTAL(2,INDIRECT("Q"&amp;ROW($18:604)))*($Q$18:Q604=Q7)*($M$18:M604&lt;$L$3))</f>
        <v>0</v>
      </c>
      <c r="K7" s="102" t="s">
        <v>234</v>
      </c>
      <c r="L7" s="108" cm="1">
        <f t="array" aca="1" ref="L7" ca="1">SUMPRODUCT(SUBTOTAL(9,INDIRECT("S"&amp;ROW($18:605)))*($Q$18:Q605=Q7)*($M$18:M605&lt;$L$3))</f>
        <v>28648346.5165</v>
      </c>
      <c r="P7" s="13" t="s">
        <v>22</v>
      </c>
      <c r="Q7" s="13" t="s">
        <v>23</v>
      </c>
      <c r="R7" s="14" cm="1">
        <f t="array" aca="1" ref="R7" ca="1">SUMPRODUCT(SUBTOTAL(9,INDIRECT("R"&amp;ROW($18:1107)))*($Q$18:$Q1107=$Q7))</f>
        <v>7049615.9487980455</v>
      </c>
      <c r="S7" s="14" cm="1">
        <f t="array" aca="1" ref="S7" ca="1">SUMPRODUCT(SUBTOTAL(9,INDIRECT("S"&amp;ROW($18:1107)))*($Q$18:$Q1107=$Q7))</f>
        <v>29073815.948798046</v>
      </c>
      <c r="T7" s="14" cm="1">
        <f t="array" aca="1" ref="T7" ca="1">SUMPRODUCT(SUBTOTAL(9,INDIRECT("T"&amp;ROW($18:1107)))*($Q$18:$Q1107=$Q7))</f>
        <v>28010905.000000004</v>
      </c>
      <c r="U7" s="15" cm="1">
        <f t="array" aca="1" ref="U7" ca="1">SUMPRODUCT(SUBTOTAL(9,INDIRECT("U"&amp;ROW($18:1107)))*($Q$18:$Q1107=$Q7))</f>
        <v>1062910.9487980413</v>
      </c>
      <c r="V7" s="14" cm="1">
        <f t="array" aca="1" ref="V7" ca="1">SUMPRODUCT(SUBTOTAL(9,INDIRECT("V"&amp;ROW($18:1107)))*($Q$18:$Q1107=$Q7))</f>
        <v>0</v>
      </c>
      <c r="Z7" s="53" t="s">
        <v>19</v>
      </c>
      <c r="AA7" s="76">
        <f>SUMIF(Q18:Q1103,"PCT/approval",AA18:AA1103)</f>
        <v>14522070</v>
      </c>
      <c r="AC7" s="53" t="s">
        <v>19</v>
      </c>
      <c r="AD7" s="76">
        <f>SUMIF(Q18:Q1103,"PCT/approval",AD18:AD1103)</f>
        <v>105228</v>
      </c>
      <c r="AF7" s="12"/>
      <c r="DM7" s="120"/>
      <c r="DQ7" s="130"/>
      <c r="DS7" s="165" t="s">
        <v>249</v>
      </c>
      <c r="EJ7" s="130"/>
      <c r="FJ7" s="131"/>
      <c r="FK7" s="131"/>
      <c r="FL7" s="131"/>
      <c r="FM7" s="131"/>
      <c r="FO7" s="165" t="s">
        <v>246</v>
      </c>
      <c r="FP7" s="165"/>
      <c r="GG7" s="119"/>
    </row>
    <row r="8" spans="1:189" ht="12.75" customHeight="1" x14ac:dyDescent="0.35">
      <c r="A8" s="261"/>
      <c r="F8" s="22"/>
      <c r="H8" s="182"/>
      <c r="J8" s="111" cm="1">
        <f t="array" aca="1" ref="J8" ca="1">SUMPRODUCT(SUBTOTAL(2,INDIRECT("Q"&amp;ROW($18:605)))*($Q$18:Q605=Q8)*($M$18:M605&lt;$L$3))</f>
        <v>0</v>
      </c>
      <c r="K8" s="103" t="s">
        <v>231</v>
      </c>
      <c r="L8" s="108" cm="1">
        <f t="array" aca="1" ref="L8" ca="1">SUMPRODUCT(SUBTOTAL(9,INDIRECT("S"&amp;ROW($18:606)))*($Q$18:Q606=Q8)*($M$18:M606&lt;$L$3))</f>
        <v>178949880.04949412</v>
      </c>
      <c r="P8" s="13" t="s">
        <v>25</v>
      </c>
      <c r="Q8" s="13" t="s">
        <v>20</v>
      </c>
      <c r="R8" s="14" cm="1">
        <f t="array" aca="1" ref="R8" ca="1">SUMPRODUCT(SUBTOTAL(9,INDIRECT("R"&amp;ROW($18:1108)))*($Q$18:$Q1108=$Q8))</f>
        <v>244430808.82259825</v>
      </c>
      <c r="S8" s="14" cm="1">
        <f t="array" aca="1" ref="S8" ca="1">SUMPRODUCT(SUBTOTAL(9,INDIRECT("S"&amp;ROW($18:1108)))*($Q$18:$Q1108=$Q8))</f>
        <v>259142311.50259826</v>
      </c>
      <c r="T8" s="14" cm="1">
        <f t="array" aca="1" ref="T8" ca="1">SUMPRODUCT(SUBTOTAL(9,INDIRECT("T"&amp;ROW($18:1108)))*($Q$18:$Q1108=$Q8))</f>
        <v>246668318.50929999</v>
      </c>
      <c r="U8" s="15" cm="1">
        <f t="array" aca="1" ref="U8" ca="1">SUMPRODUCT(SUBTOTAL(9,INDIRECT("U"&amp;ROW($18:1108)))*($Q$18:$Q1108=$Q8))</f>
        <v>6343866.5201941375</v>
      </c>
      <c r="V8" s="14" cm="1">
        <f t="array" aca="1" ref="V8" ca="1">SUMPRODUCT(SUBTOTAL(9,INDIRECT("V"&amp;ROW($18:1108)))*($Q$18:$Q1108=$Q8))</f>
        <v>0</v>
      </c>
      <c r="Z8" s="52"/>
      <c r="AA8" s="77"/>
      <c r="AC8" s="52"/>
      <c r="AD8" s="77"/>
      <c r="AF8" s="12"/>
      <c r="DM8" s="132"/>
      <c r="DN8" s="133"/>
      <c r="DO8" s="133"/>
      <c r="DP8" s="133"/>
      <c r="DQ8" s="133"/>
      <c r="DR8" s="133"/>
      <c r="DS8" s="133"/>
      <c r="DT8" s="133"/>
      <c r="DU8" s="133"/>
      <c r="DV8" s="133"/>
      <c r="DW8" s="133"/>
      <c r="DX8" s="133"/>
      <c r="DY8" s="133"/>
      <c r="DZ8" s="133"/>
      <c r="EA8" s="133"/>
      <c r="EB8" s="133"/>
      <c r="EC8" s="133"/>
      <c r="ED8" s="133"/>
      <c r="EE8" s="133"/>
      <c r="EF8" s="133"/>
      <c r="EG8" s="133"/>
      <c r="EH8" s="133"/>
      <c r="EI8" s="133"/>
      <c r="EJ8" s="133"/>
      <c r="EK8" s="133"/>
      <c r="EL8" s="133"/>
      <c r="EM8" s="133"/>
      <c r="EN8" s="133"/>
      <c r="EO8" s="133"/>
      <c r="EP8" s="133"/>
      <c r="EQ8" s="133"/>
      <c r="ER8" s="133"/>
      <c r="ES8" s="133"/>
      <c r="ET8" s="133"/>
      <c r="EU8" s="133"/>
      <c r="EV8" s="133"/>
      <c r="EW8" s="133"/>
      <c r="EX8" s="133"/>
      <c r="EY8" s="133"/>
      <c r="EZ8" s="133"/>
      <c r="FA8" s="133"/>
      <c r="FB8" s="133"/>
      <c r="FC8" s="133"/>
      <c r="FD8" s="133"/>
      <c r="FE8" s="133"/>
      <c r="FF8" s="133"/>
      <c r="FG8" s="133"/>
      <c r="FH8" s="133"/>
      <c r="FI8" s="133"/>
      <c r="FJ8" s="133"/>
      <c r="FK8" s="133"/>
      <c r="FL8" s="133"/>
      <c r="FM8" s="133"/>
      <c r="FN8" s="133"/>
      <c r="FO8" s="133"/>
      <c r="FP8" s="133"/>
      <c r="FQ8" s="133"/>
      <c r="FR8" s="133"/>
      <c r="FS8" s="133"/>
      <c r="FT8" s="133"/>
      <c r="FU8" s="133"/>
      <c r="FV8" s="133"/>
      <c r="FW8" s="133"/>
      <c r="FX8" s="133"/>
      <c r="FY8" s="133"/>
      <c r="FZ8" s="133"/>
      <c r="GA8" s="133"/>
      <c r="GB8" s="133"/>
      <c r="GC8" s="133"/>
      <c r="GD8" s="133"/>
      <c r="GE8" s="133"/>
      <c r="GF8" s="133"/>
      <c r="GG8" s="134"/>
    </row>
    <row r="9" spans="1:189" ht="13.5" customHeight="1" thickBot="1" x14ac:dyDescent="0.4">
      <c r="A9" s="261"/>
      <c r="B9" s="7" t="s">
        <v>26</v>
      </c>
      <c r="C9" s="7"/>
      <c r="D9" s="7"/>
      <c r="E9" s="7"/>
      <c r="F9" s="22"/>
      <c r="H9" s="182"/>
      <c r="J9" s="111" cm="1">
        <f t="array" aca="1" ref="J9" ca="1">SUMPRODUCT(SUBTOTAL(2,INDIRECT("Q"&amp;ROW($18:606)))*($Q$18:Q606=Q9)*($M$18:M606&lt;$L$3))</f>
        <v>0</v>
      </c>
      <c r="K9" s="104" t="s">
        <v>232</v>
      </c>
      <c r="L9" s="108" cm="1">
        <f t="array" aca="1" ref="L9" ca="1">SUMPRODUCT(SUBTOTAL(9,INDIRECT("S"&amp;ROW($18:607)))*($Q$18:Q607=Q9)*($M$18:M607&lt;$L$3))</f>
        <v>0</v>
      </c>
      <c r="P9" s="13" t="s">
        <v>200</v>
      </c>
      <c r="Q9" s="13" t="s">
        <v>201</v>
      </c>
      <c r="R9" s="14" cm="1">
        <f t="array" aca="1" ref="R9" ca="1">SUMPRODUCT(SUBTOTAL(9,INDIRECT("R"&amp;ROW($18:1109)))*($Q$18:$Q1109=$Q9))</f>
        <v>0</v>
      </c>
      <c r="S9" s="14" cm="1">
        <f t="array" aca="1" ref="S9" ca="1">SUMPRODUCT(SUBTOTAL(9,INDIRECT("S"&amp;ROW($18:1109)))*($Q$18:$Q1109=$Q9))</f>
        <v>0</v>
      </c>
      <c r="T9" s="14" cm="1">
        <f t="array" aca="1" ref="T9" ca="1">SUMPRODUCT(SUBTOTAL(9,INDIRECT("T"&amp;ROW($18:1109)))*($Q$18:$Q1109=$Q9))</f>
        <v>0</v>
      </c>
      <c r="U9" s="15" cm="1">
        <f t="array" aca="1" ref="U9" ca="1">SUMPRODUCT(SUBTOTAL(9,INDIRECT("U"&amp;ROW($18:1109)))*($Q$18:$Q1109=$Q9))</f>
        <v>0</v>
      </c>
      <c r="V9" s="14" cm="1">
        <f t="array" aca="1" ref="V9" ca="1">SUMPRODUCT(SUBTOTAL(9,INDIRECT("V"&amp;ROW($18:1109)))*($Q$18:$Q1109=$Q9))</f>
        <v>0</v>
      </c>
      <c r="Z9" s="54" t="s">
        <v>23</v>
      </c>
      <c r="AA9" s="78">
        <f>SUMIF(Q18:Q1103,"contract prep.",AA18:AA1103)</f>
        <v>1017046.9487980451</v>
      </c>
      <c r="AC9" s="54" t="s">
        <v>23</v>
      </c>
      <c r="AD9" s="78">
        <f>SUMIF(Q18:Q1103,"contract prep.",AD18:AD1103)</f>
        <v>45863.999999996275</v>
      </c>
      <c r="AF9" s="12"/>
    </row>
    <row r="10" spans="1:189" ht="15" customHeight="1" x14ac:dyDescent="0.35">
      <c r="B10" s="181" t="s">
        <v>29</v>
      </c>
      <c r="C10" s="23"/>
      <c r="D10" s="7"/>
      <c r="E10" s="23"/>
      <c r="F10" s="23"/>
      <c r="H10" s="184"/>
      <c r="I10" s="24"/>
      <c r="J10" s="358" t="e">
        <f ca="1">SUM(J7:J9)/SUM(J4:J9)</f>
        <v>#DIV/0!</v>
      </c>
      <c r="K10" s="105" t="s">
        <v>242</v>
      </c>
      <c r="L10" s="110">
        <f ca="1">SUM(L7:L9)</f>
        <v>207598226.56599411</v>
      </c>
      <c r="P10" s="9" t="s">
        <v>27</v>
      </c>
      <c r="Q10" s="9" t="s">
        <v>28</v>
      </c>
      <c r="R10" s="10" cm="1">
        <f t="array" aca="1" ref="R10" ca="1">SUMPRODUCT(SUBTOTAL(9,INDIRECT("R"&amp;ROW($18:1110)))*($Q$18:$Q1110=$Q10))</f>
        <v>0</v>
      </c>
      <c r="S10" s="10" cm="1">
        <f t="array" aca="1" ref="S10" ca="1">SUMPRODUCT(SUBTOTAL(9,INDIRECT("S"&amp;ROW($18:1110)))*($Q$18:$Q1110=$Q10))</f>
        <v>0</v>
      </c>
      <c r="T10" s="10" cm="1">
        <f t="array" aca="1" ref="T10" ca="1">SUMPRODUCT(SUBTOTAL(9,INDIRECT("T"&amp;ROW($18:1110)))*($Q$18:$Q1110=$Q10))</f>
        <v>0</v>
      </c>
      <c r="U10" s="11" cm="1">
        <f t="array" aca="1" ref="U10" ca="1">SUMPRODUCT(SUBTOTAL(9,INDIRECT("U"&amp;ROW($18:1110)))*($Q$18:$Q1110=$Q10))</f>
        <v>0</v>
      </c>
      <c r="V10" s="10" cm="1">
        <f t="array" aca="1" ref="V10" ca="1">SUMPRODUCT(SUBTOTAL(9,INDIRECT("V"&amp;ROW($18:1110)))*($Q$18:$Q1110=$Q10))</f>
        <v>0</v>
      </c>
      <c r="Y10" s="27" t="str">
        <f>B10</f>
        <v>PLN</v>
      </c>
      <c r="Z10" s="27" t="str">
        <f>Y10</f>
        <v>PLN</v>
      </c>
      <c r="AA10" s="27" t="str">
        <f t="shared" ref="AA10:AD10" si="0">Z10</f>
        <v>PLN</v>
      </c>
      <c r="AB10" s="27" t="str">
        <f t="shared" si="0"/>
        <v>PLN</v>
      </c>
      <c r="AC10" s="27" t="str">
        <f t="shared" si="0"/>
        <v>PLN</v>
      </c>
      <c r="AD10" s="27" t="str">
        <f t="shared" si="0"/>
        <v>PLN</v>
      </c>
      <c r="AF10" s="28"/>
      <c r="AG10" s="341" t="s">
        <v>238</v>
      </c>
      <c r="AH10" s="342"/>
      <c r="AI10" s="342"/>
      <c r="AJ10" s="342"/>
      <c r="AK10" s="342"/>
      <c r="AL10" s="342"/>
      <c r="AM10" s="342"/>
      <c r="AN10" s="342"/>
      <c r="AO10" s="342"/>
      <c r="AP10" s="342"/>
      <c r="AQ10" s="342"/>
      <c r="AR10" s="342"/>
      <c r="AS10" s="342"/>
      <c r="AT10" s="342"/>
      <c r="AU10" s="342"/>
      <c r="AV10" s="342"/>
      <c r="AW10" s="342"/>
      <c r="AX10" s="342"/>
      <c r="AY10" s="342"/>
      <c r="AZ10" s="342"/>
      <c r="BA10" s="342"/>
      <c r="BB10" s="342"/>
      <c r="BC10" s="342"/>
      <c r="BD10" s="342"/>
      <c r="BE10" s="342"/>
      <c r="BF10" s="342"/>
      <c r="BG10" s="342"/>
      <c r="BH10" s="342"/>
      <c r="BI10" s="342"/>
      <c r="BJ10" s="342"/>
      <c r="BK10" s="342"/>
      <c r="BL10" s="342"/>
      <c r="BM10" s="342"/>
      <c r="BN10" s="342"/>
      <c r="BO10" s="342"/>
      <c r="BP10" s="342"/>
      <c r="BQ10" s="342"/>
      <c r="BR10" s="342"/>
      <c r="BS10" s="342"/>
      <c r="BT10" s="342"/>
      <c r="BU10" s="342"/>
      <c r="BV10" s="342"/>
      <c r="BW10" s="342"/>
      <c r="BX10" s="342"/>
      <c r="BY10" s="342"/>
      <c r="BZ10" s="342"/>
      <c r="CA10" s="342"/>
      <c r="CB10" s="342"/>
      <c r="CC10" s="342"/>
      <c r="CD10" s="342"/>
      <c r="CE10" s="342"/>
      <c r="CF10" s="342"/>
      <c r="CG10" s="342"/>
      <c r="CH10" s="342"/>
      <c r="CI10" s="342"/>
      <c r="CJ10" s="342"/>
      <c r="CK10" s="342"/>
      <c r="CL10" s="342"/>
      <c r="CM10" s="342"/>
      <c r="CN10" s="342"/>
      <c r="CO10" s="342"/>
      <c r="CP10" s="342"/>
      <c r="CQ10" s="342"/>
      <c r="CR10" s="342"/>
      <c r="CS10" s="342"/>
      <c r="CT10" s="342"/>
      <c r="CU10" s="342"/>
      <c r="CV10" s="342"/>
      <c r="CW10" s="342"/>
      <c r="CX10" s="342"/>
      <c r="CY10" s="342"/>
      <c r="CZ10" s="342"/>
      <c r="DA10" s="342"/>
      <c r="DB10" s="342"/>
      <c r="DC10" s="342"/>
      <c r="DD10" s="342"/>
      <c r="DE10" s="342"/>
      <c r="DF10" s="342"/>
      <c r="DG10" s="342"/>
      <c r="DH10" s="342"/>
      <c r="DI10" s="342"/>
      <c r="DJ10" s="342"/>
      <c r="DK10" s="342"/>
      <c r="DL10" s="342"/>
      <c r="DM10" s="342"/>
      <c r="DN10" s="342"/>
      <c r="DO10" s="342"/>
      <c r="DP10" s="342"/>
      <c r="DQ10" s="342"/>
      <c r="DR10" s="342"/>
      <c r="DS10" s="342"/>
      <c r="DT10" s="342"/>
      <c r="DU10" s="342"/>
      <c r="DV10" s="342"/>
      <c r="DW10" s="342"/>
      <c r="DX10" s="342"/>
      <c r="DY10" s="342"/>
      <c r="DZ10" s="342"/>
      <c r="EA10" s="342"/>
      <c r="EB10" s="342"/>
      <c r="EC10" s="342"/>
      <c r="ED10" s="342"/>
      <c r="EE10" s="342"/>
      <c r="EF10" s="342"/>
      <c r="EG10" s="342"/>
      <c r="EH10" s="342"/>
      <c r="EI10" s="342"/>
      <c r="EJ10" s="342"/>
      <c r="EK10" s="342"/>
      <c r="EL10" s="342"/>
      <c r="EM10" s="342"/>
      <c r="EN10" s="342"/>
      <c r="EO10" s="342"/>
      <c r="EP10" s="342"/>
      <c r="EQ10" s="342"/>
      <c r="ER10" s="342"/>
      <c r="ES10" s="342"/>
      <c r="ET10" s="342"/>
      <c r="EU10" s="342"/>
      <c r="EV10" s="342"/>
      <c r="EW10" s="342"/>
      <c r="EX10" s="342"/>
      <c r="EY10" s="342"/>
      <c r="EZ10" s="342"/>
      <c r="FA10" s="342"/>
      <c r="FB10" s="342"/>
      <c r="FC10" s="342"/>
      <c r="FD10" s="342"/>
      <c r="FE10" s="342"/>
      <c r="FF10" s="342"/>
      <c r="FG10" s="342"/>
      <c r="FH10" s="342"/>
      <c r="FI10" s="342"/>
      <c r="FJ10" s="342"/>
      <c r="FK10" s="342"/>
      <c r="FL10" s="342"/>
      <c r="FM10" s="342"/>
      <c r="FN10" s="342"/>
      <c r="FO10" s="342"/>
      <c r="FP10" s="342"/>
      <c r="FQ10" s="342"/>
      <c r="FR10" s="342"/>
      <c r="FS10" s="342"/>
      <c r="FT10" s="342"/>
      <c r="FU10" s="342"/>
      <c r="FV10" s="342"/>
      <c r="FW10" s="342"/>
      <c r="FX10" s="342"/>
      <c r="FY10" s="342"/>
      <c r="FZ10" s="342"/>
      <c r="GA10" s="342"/>
      <c r="GB10" s="342"/>
      <c r="GC10" s="342"/>
      <c r="GD10" s="342"/>
      <c r="GE10" s="342"/>
      <c r="GF10" s="342"/>
      <c r="GG10" s="343"/>
    </row>
    <row r="11" spans="1:189" ht="15" customHeight="1" x14ac:dyDescent="0.35">
      <c r="B11" s="92"/>
      <c r="C11" s="23"/>
      <c r="D11" s="7"/>
      <c r="E11" s="23"/>
      <c r="F11" s="23"/>
      <c r="H11" s="184"/>
      <c r="I11" s="24"/>
      <c r="J11" s="358"/>
      <c r="K11" s="106" t="s">
        <v>236</v>
      </c>
      <c r="L11" s="109">
        <f ca="1">SUM(L4:L6)+L10</f>
        <v>248340955.76698071</v>
      </c>
      <c r="M11" s="112">
        <f ca="1">+L10/L11</f>
        <v>0.83594035436017389</v>
      </c>
      <c r="R11" s="25">
        <f ca="1">SUM(R3:R10)</f>
        <v>520024051.91979408</v>
      </c>
      <c r="S11" s="25">
        <f ca="1">SUM(S3:S10)</f>
        <v>520024051.91979408</v>
      </c>
      <c r="T11" s="25">
        <f ca="1">SUM(T3:T10)</f>
        <v>276141223.50929999</v>
      </c>
      <c r="U11" s="26">
        <f ca="1">SUM(U3:U10)</f>
        <v>7512005.4689921793</v>
      </c>
      <c r="V11" s="26">
        <f ca="1">SUM(V3:V10)</f>
        <v>0</v>
      </c>
      <c r="Y11" s="27"/>
      <c r="Z11" s="27"/>
      <c r="AA11" s="27"/>
      <c r="AB11" s="27"/>
      <c r="AC11" s="27"/>
      <c r="AD11" s="27"/>
      <c r="AF11" s="28"/>
      <c r="AG11" s="344"/>
      <c r="AH11" s="345"/>
      <c r="AI11" s="345"/>
      <c r="AJ11" s="345"/>
      <c r="AK11" s="345"/>
      <c r="AL11" s="345"/>
      <c r="AM11" s="345"/>
      <c r="AN11" s="345"/>
      <c r="AO11" s="345"/>
      <c r="AP11" s="345"/>
      <c r="AQ11" s="345"/>
      <c r="AR11" s="345"/>
      <c r="AS11" s="345"/>
      <c r="AT11" s="345"/>
      <c r="AU11" s="345"/>
      <c r="AV11" s="345"/>
      <c r="AW11" s="345"/>
      <c r="AX11" s="345"/>
      <c r="AY11" s="345"/>
      <c r="AZ11" s="345"/>
      <c r="BA11" s="345"/>
      <c r="BB11" s="345"/>
      <c r="BC11" s="345"/>
      <c r="BD11" s="345"/>
      <c r="BE11" s="345"/>
      <c r="BF11" s="345"/>
      <c r="BG11" s="345"/>
      <c r="BH11" s="345"/>
      <c r="BI11" s="345"/>
      <c r="BJ11" s="345"/>
      <c r="BK11" s="345"/>
      <c r="BL11" s="345"/>
      <c r="BM11" s="345"/>
      <c r="BN11" s="345"/>
      <c r="BO11" s="345"/>
      <c r="BP11" s="345"/>
      <c r="BQ11" s="345"/>
      <c r="BR11" s="345"/>
      <c r="BS11" s="345"/>
      <c r="BT11" s="345"/>
      <c r="BU11" s="345"/>
      <c r="BV11" s="345"/>
      <c r="BW11" s="345"/>
      <c r="BX11" s="345"/>
      <c r="BY11" s="345"/>
      <c r="BZ11" s="345"/>
      <c r="CA11" s="345"/>
      <c r="CB11" s="345"/>
      <c r="CC11" s="345"/>
      <c r="CD11" s="345"/>
      <c r="CE11" s="345"/>
      <c r="CF11" s="345"/>
      <c r="CG11" s="345"/>
      <c r="CH11" s="345"/>
      <c r="CI11" s="345"/>
      <c r="CJ11" s="345"/>
      <c r="CK11" s="345"/>
      <c r="CL11" s="345"/>
      <c r="CM11" s="345"/>
      <c r="CN11" s="345"/>
      <c r="CO11" s="345"/>
      <c r="CP11" s="345"/>
      <c r="CQ11" s="345"/>
      <c r="CR11" s="345"/>
      <c r="CS11" s="345"/>
      <c r="CT11" s="345"/>
      <c r="CU11" s="345"/>
      <c r="CV11" s="345"/>
      <c r="CW11" s="345"/>
      <c r="CX11" s="345"/>
      <c r="CY11" s="345"/>
      <c r="CZ11" s="345"/>
      <c r="DA11" s="345"/>
      <c r="DB11" s="345"/>
      <c r="DC11" s="345"/>
      <c r="DD11" s="345"/>
      <c r="DE11" s="345"/>
      <c r="DF11" s="345"/>
      <c r="DG11" s="345"/>
      <c r="DH11" s="345"/>
      <c r="DI11" s="345"/>
      <c r="DJ11" s="345"/>
      <c r="DK11" s="345"/>
      <c r="DL11" s="345"/>
      <c r="DM11" s="345"/>
      <c r="DN11" s="345"/>
      <c r="DO11" s="345"/>
      <c r="DP11" s="345"/>
      <c r="DQ11" s="345"/>
      <c r="DR11" s="345"/>
      <c r="DS11" s="345"/>
      <c r="DT11" s="345"/>
      <c r="DU11" s="345"/>
      <c r="DV11" s="345"/>
      <c r="DW11" s="345"/>
      <c r="DX11" s="345"/>
      <c r="DY11" s="345"/>
      <c r="DZ11" s="345"/>
      <c r="EA11" s="345"/>
      <c r="EB11" s="345"/>
      <c r="EC11" s="345"/>
      <c r="ED11" s="345"/>
      <c r="EE11" s="345"/>
      <c r="EF11" s="345"/>
      <c r="EG11" s="345"/>
      <c r="EH11" s="345"/>
      <c r="EI11" s="345"/>
      <c r="EJ11" s="345"/>
      <c r="EK11" s="345"/>
      <c r="EL11" s="345"/>
      <c r="EM11" s="345"/>
      <c r="EN11" s="345"/>
      <c r="EO11" s="345"/>
      <c r="EP11" s="345"/>
      <c r="EQ11" s="345"/>
      <c r="ER11" s="345"/>
      <c r="ES11" s="345"/>
      <c r="ET11" s="345"/>
      <c r="EU11" s="345"/>
      <c r="EV11" s="345"/>
      <c r="EW11" s="345"/>
      <c r="EX11" s="345"/>
      <c r="EY11" s="345"/>
      <c r="EZ11" s="345"/>
      <c r="FA11" s="345"/>
      <c r="FB11" s="345"/>
      <c r="FC11" s="345"/>
      <c r="FD11" s="345"/>
      <c r="FE11" s="345"/>
      <c r="FF11" s="345"/>
      <c r="FG11" s="345"/>
      <c r="FH11" s="345"/>
      <c r="FI11" s="345"/>
      <c r="FJ11" s="345"/>
      <c r="FK11" s="345"/>
      <c r="FL11" s="345"/>
      <c r="FM11" s="345"/>
      <c r="FN11" s="345"/>
      <c r="FO11" s="345"/>
      <c r="FP11" s="345"/>
      <c r="FQ11" s="345"/>
      <c r="FR11" s="345"/>
      <c r="FS11" s="345"/>
      <c r="FT11" s="345"/>
      <c r="FU11" s="345"/>
      <c r="FV11" s="345"/>
      <c r="FW11" s="345"/>
      <c r="FX11" s="345"/>
      <c r="FY11" s="345"/>
      <c r="FZ11" s="345"/>
      <c r="GA11" s="345"/>
      <c r="GB11" s="345"/>
      <c r="GC11" s="345"/>
      <c r="GD11" s="345"/>
      <c r="GE11" s="345"/>
      <c r="GF11" s="345"/>
      <c r="GG11" s="346"/>
    </row>
    <row r="12" spans="1:189" customFormat="1" ht="13.15" x14ac:dyDescent="0.4">
      <c r="A12" s="262"/>
      <c r="D12" s="189"/>
      <c r="H12" s="185"/>
      <c r="Q12" s="293"/>
      <c r="AG12" s="347"/>
      <c r="AH12" s="348"/>
      <c r="AI12" s="348"/>
      <c r="AJ12" s="348"/>
      <c r="AK12" s="348"/>
      <c r="AL12" s="348"/>
      <c r="AM12" s="348"/>
      <c r="AN12" s="348"/>
      <c r="AO12" s="348"/>
      <c r="AP12" s="348"/>
      <c r="AQ12" s="348"/>
      <c r="AR12" s="348"/>
      <c r="AS12" s="348"/>
      <c r="AT12" s="348"/>
      <c r="AU12" s="348"/>
      <c r="AV12" s="348"/>
      <c r="AW12" s="348"/>
      <c r="AX12" s="348"/>
      <c r="AY12" s="348"/>
      <c r="AZ12" s="348"/>
      <c r="BA12" s="348"/>
      <c r="BB12" s="348"/>
      <c r="BC12" s="348"/>
      <c r="BD12" s="348"/>
      <c r="BE12" s="348"/>
      <c r="BF12" s="348"/>
      <c r="BG12" s="348"/>
      <c r="BH12" s="348"/>
      <c r="BI12" s="348"/>
      <c r="BJ12" s="348"/>
      <c r="BK12" s="348"/>
      <c r="BL12" s="348"/>
      <c r="BM12" s="348"/>
      <c r="BN12" s="348"/>
      <c r="BO12" s="348"/>
      <c r="BP12" s="348"/>
      <c r="BQ12" s="348"/>
      <c r="BR12" s="348"/>
      <c r="BS12" s="348"/>
      <c r="BT12" s="348"/>
      <c r="BU12" s="348"/>
      <c r="BV12" s="348"/>
      <c r="BW12" s="348"/>
      <c r="BX12" s="348"/>
      <c r="BY12" s="348"/>
      <c r="BZ12" s="348"/>
      <c r="CA12" s="348"/>
      <c r="CB12" s="348"/>
      <c r="CC12" s="348"/>
      <c r="CD12" s="348"/>
      <c r="CE12" s="348"/>
      <c r="CF12" s="348"/>
      <c r="CG12" s="348"/>
      <c r="CH12" s="348"/>
      <c r="CI12" s="348"/>
      <c r="CJ12" s="348"/>
      <c r="CK12" s="348"/>
      <c r="CL12" s="348"/>
      <c r="CM12" s="348"/>
      <c r="CN12" s="348"/>
      <c r="CO12" s="348"/>
      <c r="CP12" s="348"/>
      <c r="CQ12" s="348"/>
      <c r="CR12" s="348"/>
      <c r="CS12" s="348"/>
      <c r="CT12" s="348"/>
      <c r="CU12" s="348"/>
      <c r="CV12" s="348"/>
      <c r="CW12" s="348"/>
      <c r="CX12" s="348"/>
      <c r="CY12" s="348"/>
      <c r="CZ12" s="348"/>
      <c r="DA12" s="348"/>
      <c r="DB12" s="348"/>
      <c r="DC12" s="348"/>
      <c r="DD12" s="348"/>
      <c r="DE12" s="348"/>
      <c r="DF12" s="348"/>
      <c r="DG12" s="348"/>
      <c r="DH12" s="348"/>
      <c r="DI12" s="348"/>
      <c r="DJ12" s="348"/>
      <c r="DK12" s="348"/>
      <c r="DL12" s="348"/>
      <c r="DM12" s="348"/>
      <c r="DN12" s="348"/>
      <c r="DO12" s="348"/>
      <c r="DP12" s="348"/>
      <c r="DQ12" s="348"/>
      <c r="DR12" s="348"/>
      <c r="DS12" s="348"/>
      <c r="DT12" s="348"/>
      <c r="DU12" s="348"/>
      <c r="DV12" s="348"/>
      <c r="DW12" s="348"/>
      <c r="DX12" s="348"/>
      <c r="DY12" s="348"/>
      <c r="DZ12" s="348"/>
      <c r="EA12" s="348"/>
      <c r="EB12" s="348"/>
      <c r="EC12" s="348"/>
      <c r="ED12" s="348"/>
      <c r="EE12" s="348"/>
      <c r="EF12" s="348"/>
      <c r="EG12" s="348"/>
      <c r="EH12" s="348"/>
      <c r="EI12" s="348"/>
      <c r="EJ12" s="348"/>
      <c r="EK12" s="348"/>
      <c r="EL12" s="348"/>
      <c r="EM12" s="348"/>
      <c r="EN12" s="348"/>
      <c r="EO12" s="348"/>
      <c r="EP12" s="348"/>
      <c r="EQ12" s="348"/>
      <c r="ER12" s="348"/>
      <c r="ES12" s="348"/>
      <c r="ET12" s="348"/>
      <c r="EU12" s="348"/>
      <c r="EV12" s="348"/>
      <c r="EW12" s="348"/>
      <c r="EX12" s="348"/>
      <c r="EY12" s="348"/>
      <c r="EZ12" s="348"/>
      <c r="FA12" s="348"/>
      <c r="FB12" s="348"/>
      <c r="FC12" s="348"/>
      <c r="FD12" s="348"/>
      <c r="FE12" s="348"/>
      <c r="FF12" s="348"/>
      <c r="FG12" s="348"/>
      <c r="FH12" s="348"/>
      <c r="FI12" s="348"/>
      <c r="FJ12" s="348"/>
      <c r="FK12" s="348"/>
      <c r="FL12" s="348"/>
      <c r="FM12" s="348"/>
      <c r="FN12" s="348"/>
      <c r="FO12" s="348"/>
      <c r="FP12" s="348"/>
      <c r="FQ12" s="348"/>
      <c r="FR12" s="348"/>
      <c r="FS12" s="348"/>
      <c r="FT12" s="348"/>
      <c r="FU12" s="348"/>
      <c r="FV12" s="348"/>
      <c r="FW12" s="348"/>
      <c r="FX12" s="348"/>
      <c r="FY12" s="348"/>
      <c r="FZ12" s="348"/>
      <c r="GA12" s="348"/>
      <c r="GB12" s="348"/>
      <c r="GC12" s="348"/>
      <c r="GD12" s="348"/>
      <c r="GE12" s="348"/>
      <c r="GF12" s="348"/>
      <c r="GG12" s="349"/>
    </row>
    <row r="13" spans="1:189" ht="46.5" customHeight="1" x14ac:dyDescent="0.35">
      <c r="A13" s="263" t="s">
        <v>204</v>
      </c>
      <c r="B13" s="68" t="s">
        <v>205</v>
      </c>
      <c r="C13" s="68" t="s">
        <v>206</v>
      </c>
      <c r="D13" s="68" t="s">
        <v>250</v>
      </c>
      <c r="E13" s="68" t="s">
        <v>251</v>
      </c>
      <c r="F13" s="68" t="s">
        <v>252</v>
      </c>
      <c r="G13" s="68" t="s">
        <v>207</v>
      </c>
      <c r="H13" s="186" t="s">
        <v>208</v>
      </c>
      <c r="I13" s="68" t="s">
        <v>209</v>
      </c>
      <c r="J13" s="68" t="s">
        <v>210</v>
      </c>
      <c r="K13" s="29" t="s">
        <v>211</v>
      </c>
      <c r="L13" s="68" t="s">
        <v>216</v>
      </c>
      <c r="M13" s="68" t="s">
        <v>217</v>
      </c>
      <c r="N13" s="68" t="s">
        <v>218</v>
      </c>
      <c r="O13" s="68" t="s">
        <v>219</v>
      </c>
      <c r="P13" s="68" t="s">
        <v>220</v>
      </c>
      <c r="Q13" s="68" t="s">
        <v>221</v>
      </c>
      <c r="R13" s="68" t="s">
        <v>222</v>
      </c>
      <c r="S13" s="68" t="s">
        <v>225</v>
      </c>
      <c r="T13" s="68" t="s">
        <v>223</v>
      </c>
      <c r="U13" s="68" t="s">
        <v>224</v>
      </c>
      <c r="V13" s="68" t="s">
        <v>226</v>
      </c>
      <c r="W13" s="68" t="s">
        <v>227</v>
      </c>
      <c r="Y13" s="27"/>
      <c r="Z13" s="27"/>
      <c r="AA13" s="27"/>
      <c r="AB13" s="27"/>
      <c r="AC13" s="27"/>
      <c r="AD13" s="27"/>
      <c r="AF13" s="28"/>
      <c r="AH13" s="135">
        <f>DATE(YEAR(MIN(L17:L322)),MONTH(MIN(L17:L322)),7)-WEEKDAY(DATE(YEAR(MIN(L17:L322)),MONTH(MIN(L17:L322)),7),3)</f>
        <v>2</v>
      </c>
      <c r="AI13" s="136">
        <f>DATE(YEAR(AH13),MONTH(AH13),DAY(AH13)+7)</f>
        <v>9</v>
      </c>
      <c r="AJ13" s="136">
        <f t="shared" ref="AJ13:CU13" si="1">DATE(YEAR(AI13),MONTH(AI13),DAY(AI13)+7)</f>
        <v>16</v>
      </c>
      <c r="AK13" s="136">
        <f t="shared" si="1"/>
        <v>23</v>
      </c>
      <c r="AL13" s="136">
        <f t="shared" si="1"/>
        <v>30</v>
      </c>
      <c r="AM13" s="136">
        <f t="shared" si="1"/>
        <v>37</v>
      </c>
      <c r="AN13" s="136">
        <f t="shared" si="1"/>
        <v>44</v>
      </c>
      <c r="AO13" s="136">
        <f t="shared" si="1"/>
        <v>51</v>
      </c>
      <c r="AP13" s="136">
        <f t="shared" si="1"/>
        <v>58</v>
      </c>
      <c r="AQ13" s="136">
        <f t="shared" si="1"/>
        <v>65</v>
      </c>
      <c r="AR13" s="136">
        <f t="shared" si="1"/>
        <v>72</v>
      </c>
      <c r="AS13" s="136">
        <f t="shared" si="1"/>
        <v>79</v>
      </c>
      <c r="AT13" s="136">
        <f t="shared" si="1"/>
        <v>86</v>
      </c>
      <c r="AU13" s="136">
        <f t="shared" si="1"/>
        <v>93</v>
      </c>
      <c r="AV13" s="136">
        <f t="shared" si="1"/>
        <v>100</v>
      </c>
      <c r="AW13" s="136">
        <f t="shared" si="1"/>
        <v>107</v>
      </c>
      <c r="AX13" s="136">
        <f t="shared" si="1"/>
        <v>114</v>
      </c>
      <c r="AY13" s="136">
        <f t="shared" si="1"/>
        <v>121</v>
      </c>
      <c r="AZ13" s="136">
        <f t="shared" si="1"/>
        <v>128</v>
      </c>
      <c r="BA13" s="136">
        <f t="shared" si="1"/>
        <v>135</v>
      </c>
      <c r="BB13" s="136">
        <f t="shared" si="1"/>
        <v>142</v>
      </c>
      <c r="BC13" s="136">
        <f t="shared" si="1"/>
        <v>149</v>
      </c>
      <c r="BD13" s="136">
        <f t="shared" si="1"/>
        <v>156</v>
      </c>
      <c r="BE13" s="136">
        <f t="shared" si="1"/>
        <v>163</v>
      </c>
      <c r="BF13" s="136">
        <f t="shared" si="1"/>
        <v>170</v>
      </c>
      <c r="BG13" s="136">
        <f t="shared" si="1"/>
        <v>177</v>
      </c>
      <c r="BH13" s="136">
        <f t="shared" si="1"/>
        <v>184</v>
      </c>
      <c r="BI13" s="136">
        <f t="shared" si="1"/>
        <v>191</v>
      </c>
      <c r="BJ13" s="136">
        <f t="shared" si="1"/>
        <v>198</v>
      </c>
      <c r="BK13" s="136">
        <f t="shared" si="1"/>
        <v>205</v>
      </c>
      <c r="BL13" s="136">
        <f t="shared" si="1"/>
        <v>212</v>
      </c>
      <c r="BM13" s="136">
        <f t="shared" si="1"/>
        <v>219</v>
      </c>
      <c r="BN13" s="136">
        <f t="shared" si="1"/>
        <v>226</v>
      </c>
      <c r="BO13" s="136">
        <f t="shared" si="1"/>
        <v>233</v>
      </c>
      <c r="BP13" s="136">
        <f t="shared" si="1"/>
        <v>240</v>
      </c>
      <c r="BQ13" s="136">
        <f t="shared" si="1"/>
        <v>247</v>
      </c>
      <c r="BR13" s="136">
        <f t="shared" si="1"/>
        <v>254</v>
      </c>
      <c r="BS13" s="136">
        <f t="shared" si="1"/>
        <v>261</v>
      </c>
      <c r="BT13" s="136">
        <f t="shared" si="1"/>
        <v>268</v>
      </c>
      <c r="BU13" s="136">
        <f t="shared" si="1"/>
        <v>275</v>
      </c>
      <c r="BV13" s="136">
        <f t="shared" si="1"/>
        <v>282</v>
      </c>
      <c r="BW13" s="136">
        <f t="shared" si="1"/>
        <v>289</v>
      </c>
      <c r="BX13" s="136">
        <f t="shared" si="1"/>
        <v>296</v>
      </c>
      <c r="BY13" s="136">
        <f t="shared" si="1"/>
        <v>303</v>
      </c>
      <c r="BZ13" s="136">
        <f t="shared" si="1"/>
        <v>310</v>
      </c>
      <c r="CA13" s="136">
        <f t="shared" si="1"/>
        <v>317</v>
      </c>
      <c r="CB13" s="136">
        <f t="shared" si="1"/>
        <v>324</v>
      </c>
      <c r="CC13" s="136">
        <f t="shared" si="1"/>
        <v>331</v>
      </c>
      <c r="CD13" s="136">
        <f t="shared" si="1"/>
        <v>338</v>
      </c>
      <c r="CE13" s="136">
        <f t="shared" si="1"/>
        <v>345</v>
      </c>
      <c r="CF13" s="136">
        <f t="shared" si="1"/>
        <v>352</v>
      </c>
      <c r="CG13" s="136">
        <f t="shared" si="1"/>
        <v>359</v>
      </c>
      <c r="CH13" s="136">
        <f t="shared" si="1"/>
        <v>366</v>
      </c>
      <c r="CI13" s="136">
        <f t="shared" si="1"/>
        <v>373</v>
      </c>
      <c r="CJ13" s="136">
        <f t="shared" si="1"/>
        <v>380</v>
      </c>
      <c r="CK13" s="136">
        <f t="shared" si="1"/>
        <v>387</v>
      </c>
      <c r="CL13" s="136">
        <f t="shared" si="1"/>
        <v>394</v>
      </c>
      <c r="CM13" s="136">
        <f t="shared" si="1"/>
        <v>401</v>
      </c>
      <c r="CN13" s="136">
        <f t="shared" si="1"/>
        <v>408</v>
      </c>
      <c r="CO13" s="136">
        <f t="shared" si="1"/>
        <v>415</v>
      </c>
      <c r="CP13" s="136">
        <f t="shared" si="1"/>
        <v>422</v>
      </c>
      <c r="CQ13" s="136">
        <f t="shared" si="1"/>
        <v>429</v>
      </c>
      <c r="CR13" s="136">
        <f t="shared" si="1"/>
        <v>436</v>
      </c>
      <c r="CS13" s="136">
        <f t="shared" si="1"/>
        <v>443</v>
      </c>
      <c r="CT13" s="136">
        <f t="shared" si="1"/>
        <v>450</v>
      </c>
      <c r="CU13" s="136">
        <f t="shared" si="1"/>
        <v>457</v>
      </c>
      <c r="CV13" s="136">
        <f t="shared" ref="CV13:FG13" si="2">DATE(YEAR(CU13),MONTH(CU13),DAY(CU13)+7)</f>
        <v>464</v>
      </c>
      <c r="CW13" s="136">
        <f t="shared" si="2"/>
        <v>471</v>
      </c>
      <c r="CX13" s="136">
        <f t="shared" si="2"/>
        <v>478</v>
      </c>
      <c r="CY13" s="136">
        <f t="shared" si="2"/>
        <v>485</v>
      </c>
      <c r="CZ13" s="136">
        <f t="shared" si="2"/>
        <v>492</v>
      </c>
      <c r="DA13" s="136">
        <f t="shared" si="2"/>
        <v>499</v>
      </c>
      <c r="DB13" s="136">
        <f t="shared" si="2"/>
        <v>506</v>
      </c>
      <c r="DC13" s="136">
        <f t="shared" si="2"/>
        <v>513</v>
      </c>
      <c r="DD13" s="136">
        <f t="shared" si="2"/>
        <v>520</v>
      </c>
      <c r="DE13" s="136">
        <f t="shared" si="2"/>
        <v>527</v>
      </c>
      <c r="DF13" s="136">
        <f t="shared" si="2"/>
        <v>534</v>
      </c>
      <c r="DG13" s="136">
        <f t="shared" si="2"/>
        <v>541</v>
      </c>
      <c r="DH13" s="136">
        <f t="shared" si="2"/>
        <v>548</v>
      </c>
      <c r="DI13" s="136">
        <f t="shared" si="2"/>
        <v>555</v>
      </c>
      <c r="DJ13" s="136">
        <f t="shared" si="2"/>
        <v>562</v>
      </c>
      <c r="DK13" s="136">
        <f t="shared" si="2"/>
        <v>569</v>
      </c>
      <c r="DL13" s="136">
        <f t="shared" si="2"/>
        <v>576</v>
      </c>
      <c r="DM13" s="136">
        <f t="shared" si="2"/>
        <v>583</v>
      </c>
      <c r="DN13" s="136">
        <f t="shared" si="2"/>
        <v>590</v>
      </c>
      <c r="DO13" s="136">
        <f t="shared" si="2"/>
        <v>597</v>
      </c>
      <c r="DP13" s="136">
        <f t="shared" si="2"/>
        <v>604</v>
      </c>
      <c r="DQ13" s="136">
        <f t="shared" si="2"/>
        <v>611</v>
      </c>
      <c r="DR13" s="136">
        <f t="shared" si="2"/>
        <v>618</v>
      </c>
      <c r="DS13" s="136">
        <f t="shared" si="2"/>
        <v>625</v>
      </c>
      <c r="DT13" s="136">
        <f t="shared" si="2"/>
        <v>632</v>
      </c>
      <c r="DU13" s="136">
        <f t="shared" si="2"/>
        <v>639</v>
      </c>
      <c r="DV13" s="136">
        <f t="shared" si="2"/>
        <v>646</v>
      </c>
      <c r="DW13" s="136">
        <f t="shared" si="2"/>
        <v>653</v>
      </c>
      <c r="DX13" s="136">
        <f t="shared" si="2"/>
        <v>660</v>
      </c>
      <c r="DY13" s="136">
        <f t="shared" si="2"/>
        <v>667</v>
      </c>
      <c r="DZ13" s="136">
        <f t="shared" si="2"/>
        <v>674</v>
      </c>
      <c r="EA13" s="136">
        <f t="shared" si="2"/>
        <v>681</v>
      </c>
      <c r="EB13" s="136">
        <f t="shared" si="2"/>
        <v>688</v>
      </c>
      <c r="EC13" s="136">
        <f t="shared" si="2"/>
        <v>695</v>
      </c>
      <c r="ED13" s="136">
        <f t="shared" si="2"/>
        <v>702</v>
      </c>
      <c r="EE13" s="136">
        <f t="shared" si="2"/>
        <v>709</v>
      </c>
      <c r="EF13" s="136">
        <f t="shared" si="2"/>
        <v>716</v>
      </c>
      <c r="EG13" s="136">
        <f t="shared" si="2"/>
        <v>723</v>
      </c>
      <c r="EH13" s="136">
        <f t="shared" si="2"/>
        <v>730</v>
      </c>
      <c r="EI13" s="136">
        <f t="shared" si="2"/>
        <v>737</v>
      </c>
      <c r="EJ13" s="136">
        <f t="shared" si="2"/>
        <v>744</v>
      </c>
      <c r="EK13" s="136">
        <f t="shared" si="2"/>
        <v>751</v>
      </c>
      <c r="EL13" s="136">
        <f t="shared" si="2"/>
        <v>758</v>
      </c>
      <c r="EM13" s="136">
        <f t="shared" si="2"/>
        <v>765</v>
      </c>
      <c r="EN13" s="136">
        <f t="shared" si="2"/>
        <v>772</v>
      </c>
      <c r="EO13" s="136">
        <f t="shared" si="2"/>
        <v>779</v>
      </c>
      <c r="EP13" s="136">
        <f t="shared" si="2"/>
        <v>786</v>
      </c>
      <c r="EQ13" s="136">
        <f t="shared" si="2"/>
        <v>793</v>
      </c>
      <c r="ER13" s="136">
        <f t="shared" si="2"/>
        <v>800</v>
      </c>
      <c r="ES13" s="136">
        <f t="shared" si="2"/>
        <v>807</v>
      </c>
      <c r="ET13" s="136">
        <f t="shared" si="2"/>
        <v>814</v>
      </c>
      <c r="EU13" s="136">
        <f t="shared" si="2"/>
        <v>821</v>
      </c>
      <c r="EV13" s="136">
        <f t="shared" si="2"/>
        <v>828</v>
      </c>
      <c r="EW13" s="136">
        <f t="shared" si="2"/>
        <v>835</v>
      </c>
      <c r="EX13" s="136">
        <f t="shared" si="2"/>
        <v>842</v>
      </c>
      <c r="EY13" s="136">
        <f t="shared" si="2"/>
        <v>849</v>
      </c>
      <c r="EZ13" s="136">
        <f t="shared" si="2"/>
        <v>856</v>
      </c>
      <c r="FA13" s="136">
        <f t="shared" si="2"/>
        <v>863</v>
      </c>
      <c r="FB13" s="136">
        <f t="shared" si="2"/>
        <v>870</v>
      </c>
      <c r="FC13" s="136">
        <f t="shared" si="2"/>
        <v>877</v>
      </c>
      <c r="FD13" s="136">
        <f t="shared" si="2"/>
        <v>884</v>
      </c>
      <c r="FE13" s="136">
        <f t="shared" si="2"/>
        <v>891</v>
      </c>
      <c r="FF13" s="136">
        <f t="shared" si="2"/>
        <v>898</v>
      </c>
      <c r="FG13" s="136">
        <f t="shared" si="2"/>
        <v>905</v>
      </c>
      <c r="FH13" s="136">
        <f t="shared" ref="FH13:GG13" si="3">DATE(YEAR(FG13),MONTH(FG13),DAY(FG13)+7)</f>
        <v>912</v>
      </c>
      <c r="FI13" s="136">
        <f t="shared" si="3"/>
        <v>919</v>
      </c>
      <c r="FJ13" s="136">
        <f t="shared" si="3"/>
        <v>926</v>
      </c>
      <c r="FK13" s="136">
        <f t="shared" si="3"/>
        <v>933</v>
      </c>
      <c r="FL13" s="136">
        <f t="shared" si="3"/>
        <v>940</v>
      </c>
      <c r="FM13" s="136">
        <f t="shared" si="3"/>
        <v>947</v>
      </c>
      <c r="FN13" s="136">
        <f t="shared" si="3"/>
        <v>954</v>
      </c>
      <c r="FO13" s="136">
        <f t="shared" si="3"/>
        <v>961</v>
      </c>
      <c r="FP13" s="136">
        <f t="shared" si="3"/>
        <v>968</v>
      </c>
      <c r="FQ13" s="136">
        <f t="shared" si="3"/>
        <v>975</v>
      </c>
      <c r="FR13" s="136">
        <f t="shared" si="3"/>
        <v>982</v>
      </c>
      <c r="FS13" s="136">
        <f t="shared" si="3"/>
        <v>989</v>
      </c>
      <c r="FT13" s="136">
        <f t="shared" si="3"/>
        <v>996</v>
      </c>
      <c r="FU13" s="136">
        <f t="shared" si="3"/>
        <v>1003</v>
      </c>
      <c r="FV13" s="136">
        <f t="shared" si="3"/>
        <v>1010</v>
      </c>
      <c r="FW13" s="136">
        <f t="shared" si="3"/>
        <v>1017</v>
      </c>
      <c r="FX13" s="136">
        <f t="shared" si="3"/>
        <v>1024</v>
      </c>
      <c r="FY13" s="136">
        <f t="shared" si="3"/>
        <v>1031</v>
      </c>
      <c r="FZ13" s="136">
        <f t="shared" si="3"/>
        <v>1038</v>
      </c>
      <c r="GA13" s="136">
        <f t="shared" si="3"/>
        <v>1045</v>
      </c>
      <c r="GB13" s="136">
        <f t="shared" si="3"/>
        <v>1052</v>
      </c>
      <c r="GC13" s="136">
        <f t="shared" si="3"/>
        <v>1059</v>
      </c>
      <c r="GD13" s="136">
        <f t="shared" si="3"/>
        <v>1066</v>
      </c>
      <c r="GE13" s="136">
        <f t="shared" si="3"/>
        <v>1073</v>
      </c>
      <c r="GF13" s="136">
        <f t="shared" si="3"/>
        <v>1080</v>
      </c>
      <c r="GG13" s="137">
        <f t="shared" si="3"/>
        <v>1087</v>
      </c>
    </row>
    <row r="14" spans="1:189" ht="123.75" x14ac:dyDescent="0.35">
      <c r="A14" s="263" t="s">
        <v>30</v>
      </c>
      <c r="B14" s="69" t="s">
        <v>46</v>
      </c>
      <c r="C14" s="69" t="s">
        <v>66</v>
      </c>
      <c r="D14" s="69" t="s">
        <v>378</v>
      </c>
      <c r="E14" s="68" t="s">
        <v>31</v>
      </c>
      <c r="F14" s="68" t="s">
        <v>31</v>
      </c>
      <c r="G14" s="1" t="s">
        <v>199</v>
      </c>
      <c r="H14" s="334"/>
      <c r="I14" s="29" t="s">
        <v>214</v>
      </c>
      <c r="J14" s="29" t="s">
        <v>215</v>
      </c>
      <c r="K14" s="96" t="s">
        <v>213</v>
      </c>
      <c r="L14" s="68" t="s">
        <v>43</v>
      </c>
      <c r="M14" s="70" t="s">
        <v>53</v>
      </c>
      <c r="N14" s="70" t="s">
        <v>197</v>
      </c>
      <c r="O14" s="70" t="s">
        <v>32</v>
      </c>
      <c r="P14" s="70" t="s">
        <v>33</v>
      </c>
      <c r="Q14" s="68" t="s">
        <v>202</v>
      </c>
      <c r="R14" s="71" t="s">
        <v>47</v>
      </c>
      <c r="S14" s="72" t="s">
        <v>34</v>
      </c>
      <c r="T14" s="29" t="s">
        <v>35</v>
      </c>
      <c r="U14" s="29" t="s">
        <v>36</v>
      </c>
      <c r="V14" s="29" t="s">
        <v>37</v>
      </c>
      <c r="W14" s="29" t="s">
        <v>38</v>
      </c>
      <c r="Y14" s="73" t="str">
        <f>S14</f>
        <v>Awarding-
Budget - AK 
(incl. procurement target)/
Wybór - 
Budżet realizacyjny - AK
(wł. cel zakupowy)</v>
      </c>
      <c r="Z14" s="73" t="str">
        <f>T14</f>
        <v>Awarded Contract Value (excluding cash discount)
/
Wartość kontraktu (bez upustów)</v>
      </c>
      <c r="AA14" s="74" t="str">
        <f>U14</f>
        <v>Result
/
Wynik</v>
      </c>
      <c r="AB14" s="73" t="str">
        <f>S14</f>
        <v>Awarding-
Budget - AK 
(incl. procurement target)/
Wybór - 
Budżet realizacyjny - AK
(wł. cel zakupowy)</v>
      </c>
      <c r="AC14" s="73" t="str">
        <f>T14</f>
        <v>Awarded Contract Value (excluding cash discount)
/
Wartość kontraktu (bez upustów)</v>
      </c>
      <c r="AD14" s="74" t="str">
        <f>U14</f>
        <v>Result
/
Wynik</v>
      </c>
      <c r="AG14" s="197" t="s">
        <v>237</v>
      </c>
      <c r="AH14" s="138">
        <f>WEEKNUM(AH13)</f>
        <v>1</v>
      </c>
      <c r="AI14" s="139">
        <f t="shared" ref="AI14:CT14" si="4">WEEKNUM(AI13)</f>
        <v>2</v>
      </c>
      <c r="AJ14" s="139">
        <f t="shared" si="4"/>
        <v>3</v>
      </c>
      <c r="AK14" s="139">
        <f t="shared" si="4"/>
        <v>4</v>
      </c>
      <c r="AL14" s="139">
        <f t="shared" si="4"/>
        <v>5</v>
      </c>
      <c r="AM14" s="139">
        <f t="shared" si="4"/>
        <v>6</v>
      </c>
      <c r="AN14" s="139">
        <f t="shared" si="4"/>
        <v>7</v>
      </c>
      <c r="AO14" s="139">
        <f t="shared" si="4"/>
        <v>8</v>
      </c>
      <c r="AP14" s="139">
        <f t="shared" si="4"/>
        <v>9</v>
      </c>
      <c r="AQ14" s="139">
        <f t="shared" si="4"/>
        <v>10</v>
      </c>
      <c r="AR14" s="139">
        <f t="shared" si="4"/>
        <v>11</v>
      </c>
      <c r="AS14" s="139">
        <f t="shared" si="4"/>
        <v>12</v>
      </c>
      <c r="AT14" s="139">
        <f t="shared" si="4"/>
        <v>13</v>
      </c>
      <c r="AU14" s="139">
        <f t="shared" si="4"/>
        <v>14</v>
      </c>
      <c r="AV14" s="139">
        <f t="shared" si="4"/>
        <v>15</v>
      </c>
      <c r="AW14" s="139">
        <f t="shared" si="4"/>
        <v>16</v>
      </c>
      <c r="AX14" s="139">
        <f t="shared" si="4"/>
        <v>17</v>
      </c>
      <c r="AY14" s="139">
        <f t="shared" si="4"/>
        <v>18</v>
      </c>
      <c r="AZ14" s="139">
        <f t="shared" si="4"/>
        <v>19</v>
      </c>
      <c r="BA14" s="139">
        <f t="shared" si="4"/>
        <v>20</v>
      </c>
      <c r="BB14" s="139">
        <f t="shared" si="4"/>
        <v>21</v>
      </c>
      <c r="BC14" s="139">
        <f t="shared" si="4"/>
        <v>22</v>
      </c>
      <c r="BD14" s="139">
        <f t="shared" si="4"/>
        <v>23</v>
      </c>
      <c r="BE14" s="139">
        <f t="shared" si="4"/>
        <v>24</v>
      </c>
      <c r="BF14" s="139">
        <f t="shared" si="4"/>
        <v>25</v>
      </c>
      <c r="BG14" s="139">
        <f t="shared" si="4"/>
        <v>26</v>
      </c>
      <c r="BH14" s="139">
        <f t="shared" si="4"/>
        <v>27</v>
      </c>
      <c r="BI14" s="139">
        <f t="shared" si="4"/>
        <v>28</v>
      </c>
      <c r="BJ14" s="139">
        <f t="shared" si="4"/>
        <v>29</v>
      </c>
      <c r="BK14" s="139">
        <f t="shared" si="4"/>
        <v>30</v>
      </c>
      <c r="BL14" s="139">
        <f t="shared" si="4"/>
        <v>31</v>
      </c>
      <c r="BM14" s="139">
        <f t="shared" si="4"/>
        <v>32</v>
      </c>
      <c r="BN14" s="139">
        <f t="shared" si="4"/>
        <v>33</v>
      </c>
      <c r="BO14" s="139">
        <f t="shared" si="4"/>
        <v>34</v>
      </c>
      <c r="BP14" s="139">
        <f t="shared" si="4"/>
        <v>35</v>
      </c>
      <c r="BQ14" s="139">
        <f t="shared" si="4"/>
        <v>36</v>
      </c>
      <c r="BR14" s="139">
        <f t="shared" si="4"/>
        <v>37</v>
      </c>
      <c r="BS14" s="139">
        <f t="shared" si="4"/>
        <v>38</v>
      </c>
      <c r="BT14" s="139">
        <f t="shared" si="4"/>
        <v>39</v>
      </c>
      <c r="BU14" s="139">
        <f t="shared" si="4"/>
        <v>40</v>
      </c>
      <c r="BV14" s="139">
        <f t="shared" si="4"/>
        <v>41</v>
      </c>
      <c r="BW14" s="139">
        <f t="shared" si="4"/>
        <v>42</v>
      </c>
      <c r="BX14" s="139">
        <f t="shared" si="4"/>
        <v>43</v>
      </c>
      <c r="BY14" s="139">
        <f t="shared" si="4"/>
        <v>44</v>
      </c>
      <c r="BZ14" s="139">
        <f t="shared" si="4"/>
        <v>45</v>
      </c>
      <c r="CA14" s="139">
        <f t="shared" si="4"/>
        <v>46</v>
      </c>
      <c r="CB14" s="139">
        <f t="shared" si="4"/>
        <v>47</v>
      </c>
      <c r="CC14" s="139">
        <f t="shared" si="4"/>
        <v>48</v>
      </c>
      <c r="CD14" s="139">
        <f t="shared" si="4"/>
        <v>49</v>
      </c>
      <c r="CE14" s="139">
        <f t="shared" si="4"/>
        <v>50</v>
      </c>
      <c r="CF14" s="139">
        <f t="shared" si="4"/>
        <v>51</v>
      </c>
      <c r="CG14" s="139">
        <f t="shared" si="4"/>
        <v>52</v>
      </c>
      <c r="CH14" s="139">
        <f t="shared" si="4"/>
        <v>53</v>
      </c>
      <c r="CI14" s="139">
        <f t="shared" si="4"/>
        <v>2</v>
      </c>
      <c r="CJ14" s="139">
        <f t="shared" si="4"/>
        <v>3</v>
      </c>
      <c r="CK14" s="139">
        <f t="shared" si="4"/>
        <v>4</v>
      </c>
      <c r="CL14" s="139">
        <f t="shared" si="4"/>
        <v>5</v>
      </c>
      <c r="CM14" s="139">
        <f t="shared" si="4"/>
        <v>6</v>
      </c>
      <c r="CN14" s="139">
        <f t="shared" si="4"/>
        <v>7</v>
      </c>
      <c r="CO14" s="139">
        <f t="shared" si="4"/>
        <v>8</v>
      </c>
      <c r="CP14" s="139">
        <f t="shared" si="4"/>
        <v>9</v>
      </c>
      <c r="CQ14" s="139">
        <f t="shared" si="4"/>
        <v>10</v>
      </c>
      <c r="CR14" s="139">
        <f t="shared" si="4"/>
        <v>11</v>
      </c>
      <c r="CS14" s="139">
        <f t="shared" si="4"/>
        <v>12</v>
      </c>
      <c r="CT14" s="139">
        <f t="shared" si="4"/>
        <v>13</v>
      </c>
      <c r="CU14" s="139">
        <f t="shared" ref="CU14:FF14" si="5">WEEKNUM(CU13)</f>
        <v>14</v>
      </c>
      <c r="CV14" s="139">
        <f t="shared" si="5"/>
        <v>15</v>
      </c>
      <c r="CW14" s="139">
        <f t="shared" si="5"/>
        <v>16</v>
      </c>
      <c r="CX14" s="139">
        <f t="shared" si="5"/>
        <v>17</v>
      </c>
      <c r="CY14" s="139">
        <f t="shared" si="5"/>
        <v>18</v>
      </c>
      <c r="CZ14" s="139">
        <f t="shared" si="5"/>
        <v>19</v>
      </c>
      <c r="DA14" s="139">
        <f t="shared" si="5"/>
        <v>20</v>
      </c>
      <c r="DB14" s="139">
        <f t="shared" si="5"/>
        <v>21</v>
      </c>
      <c r="DC14" s="139">
        <f t="shared" si="5"/>
        <v>22</v>
      </c>
      <c r="DD14" s="139">
        <f t="shared" si="5"/>
        <v>23</v>
      </c>
      <c r="DE14" s="139">
        <f t="shared" si="5"/>
        <v>24</v>
      </c>
      <c r="DF14" s="139">
        <f t="shared" si="5"/>
        <v>25</v>
      </c>
      <c r="DG14" s="139">
        <f t="shared" si="5"/>
        <v>26</v>
      </c>
      <c r="DH14" s="139">
        <f t="shared" si="5"/>
        <v>27</v>
      </c>
      <c r="DI14" s="139">
        <f t="shared" si="5"/>
        <v>28</v>
      </c>
      <c r="DJ14" s="139">
        <f t="shared" si="5"/>
        <v>29</v>
      </c>
      <c r="DK14" s="139">
        <f t="shared" si="5"/>
        <v>30</v>
      </c>
      <c r="DL14" s="139">
        <f t="shared" si="5"/>
        <v>31</v>
      </c>
      <c r="DM14" s="139">
        <f t="shared" si="5"/>
        <v>32</v>
      </c>
      <c r="DN14" s="139">
        <f t="shared" si="5"/>
        <v>33</v>
      </c>
      <c r="DO14" s="139">
        <f t="shared" si="5"/>
        <v>34</v>
      </c>
      <c r="DP14" s="139">
        <f t="shared" si="5"/>
        <v>35</v>
      </c>
      <c r="DQ14" s="139">
        <f t="shared" si="5"/>
        <v>36</v>
      </c>
      <c r="DR14" s="139">
        <f t="shared" si="5"/>
        <v>37</v>
      </c>
      <c r="DS14" s="139">
        <f t="shared" si="5"/>
        <v>38</v>
      </c>
      <c r="DT14" s="139">
        <f t="shared" si="5"/>
        <v>39</v>
      </c>
      <c r="DU14" s="139">
        <f t="shared" si="5"/>
        <v>40</v>
      </c>
      <c r="DV14" s="139">
        <f t="shared" si="5"/>
        <v>41</v>
      </c>
      <c r="DW14" s="139">
        <f t="shared" si="5"/>
        <v>42</v>
      </c>
      <c r="DX14" s="139">
        <f t="shared" si="5"/>
        <v>43</v>
      </c>
      <c r="DY14" s="139">
        <f t="shared" si="5"/>
        <v>44</v>
      </c>
      <c r="DZ14" s="139">
        <f t="shared" si="5"/>
        <v>45</v>
      </c>
      <c r="EA14" s="139">
        <f t="shared" si="5"/>
        <v>46</v>
      </c>
      <c r="EB14" s="139">
        <f t="shared" si="5"/>
        <v>47</v>
      </c>
      <c r="EC14" s="139">
        <f t="shared" si="5"/>
        <v>48</v>
      </c>
      <c r="ED14" s="139">
        <f t="shared" si="5"/>
        <v>49</v>
      </c>
      <c r="EE14" s="139">
        <f t="shared" si="5"/>
        <v>50</v>
      </c>
      <c r="EF14" s="139">
        <f t="shared" si="5"/>
        <v>51</v>
      </c>
      <c r="EG14" s="139">
        <f t="shared" si="5"/>
        <v>52</v>
      </c>
      <c r="EH14" s="139">
        <f t="shared" si="5"/>
        <v>53</v>
      </c>
      <c r="EI14" s="139">
        <f t="shared" si="5"/>
        <v>2</v>
      </c>
      <c r="EJ14" s="139">
        <f t="shared" si="5"/>
        <v>3</v>
      </c>
      <c r="EK14" s="139">
        <f t="shared" si="5"/>
        <v>4</v>
      </c>
      <c r="EL14" s="139">
        <f t="shared" si="5"/>
        <v>5</v>
      </c>
      <c r="EM14" s="139">
        <f t="shared" si="5"/>
        <v>6</v>
      </c>
      <c r="EN14" s="139">
        <f t="shared" si="5"/>
        <v>7</v>
      </c>
      <c r="EO14" s="139">
        <f t="shared" si="5"/>
        <v>8</v>
      </c>
      <c r="EP14" s="139">
        <f t="shared" si="5"/>
        <v>9</v>
      </c>
      <c r="EQ14" s="139">
        <f t="shared" si="5"/>
        <v>10</v>
      </c>
      <c r="ER14" s="139">
        <f t="shared" si="5"/>
        <v>11</v>
      </c>
      <c r="ES14" s="139">
        <f t="shared" si="5"/>
        <v>12</v>
      </c>
      <c r="ET14" s="139">
        <f t="shared" si="5"/>
        <v>13</v>
      </c>
      <c r="EU14" s="139">
        <f t="shared" si="5"/>
        <v>14</v>
      </c>
      <c r="EV14" s="139">
        <f t="shared" si="5"/>
        <v>15</v>
      </c>
      <c r="EW14" s="139">
        <f t="shared" si="5"/>
        <v>16</v>
      </c>
      <c r="EX14" s="139">
        <f t="shared" si="5"/>
        <v>17</v>
      </c>
      <c r="EY14" s="139">
        <f t="shared" si="5"/>
        <v>18</v>
      </c>
      <c r="EZ14" s="139">
        <f t="shared" si="5"/>
        <v>19</v>
      </c>
      <c r="FA14" s="139">
        <f t="shared" si="5"/>
        <v>20</v>
      </c>
      <c r="FB14" s="139">
        <f t="shared" si="5"/>
        <v>21</v>
      </c>
      <c r="FC14" s="139">
        <f t="shared" si="5"/>
        <v>22</v>
      </c>
      <c r="FD14" s="139">
        <f t="shared" si="5"/>
        <v>23</v>
      </c>
      <c r="FE14" s="139">
        <f t="shared" si="5"/>
        <v>24</v>
      </c>
      <c r="FF14" s="139">
        <f t="shared" si="5"/>
        <v>25</v>
      </c>
      <c r="FG14" s="139">
        <f t="shared" ref="FG14:GG14" si="6">WEEKNUM(FG13)</f>
        <v>26</v>
      </c>
      <c r="FH14" s="139">
        <f t="shared" si="6"/>
        <v>27</v>
      </c>
      <c r="FI14" s="139">
        <f t="shared" si="6"/>
        <v>28</v>
      </c>
      <c r="FJ14" s="139">
        <f t="shared" si="6"/>
        <v>29</v>
      </c>
      <c r="FK14" s="139">
        <f t="shared" si="6"/>
        <v>30</v>
      </c>
      <c r="FL14" s="139">
        <f t="shared" si="6"/>
        <v>31</v>
      </c>
      <c r="FM14" s="139">
        <f t="shared" si="6"/>
        <v>32</v>
      </c>
      <c r="FN14" s="139">
        <f t="shared" si="6"/>
        <v>33</v>
      </c>
      <c r="FO14" s="139">
        <f t="shared" si="6"/>
        <v>34</v>
      </c>
      <c r="FP14" s="139">
        <f t="shared" si="6"/>
        <v>35</v>
      </c>
      <c r="FQ14" s="139">
        <f t="shared" si="6"/>
        <v>36</v>
      </c>
      <c r="FR14" s="139">
        <f t="shared" si="6"/>
        <v>37</v>
      </c>
      <c r="FS14" s="139">
        <f t="shared" si="6"/>
        <v>38</v>
      </c>
      <c r="FT14" s="139">
        <f t="shared" si="6"/>
        <v>39</v>
      </c>
      <c r="FU14" s="139">
        <f t="shared" si="6"/>
        <v>40</v>
      </c>
      <c r="FV14" s="139">
        <f t="shared" si="6"/>
        <v>41</v>
      </c>
      <c r="FW14" s="139">
        <f t="shared" si="6"/>
        <v>42</v>
      </c>
      <c r="FX14" s="139">
        <f t="shared" si="6"/>
        <v>43</v>
      </c>
      <c r="FY14" s="139">
        <f t="shared" si="6"/>
        <v>44</v>
      </c>
      <c r="FZ14" s="139">
        <f t="shared" si="6"/>
        <v>45</v>
      </c>
      <c r="GA14" s="139">
        <f t="shared" si="6"/>
        <v>46</v>
      </c>
      <c r="GB14" s="139">
        <f t="shared" si="6"/>
        <v>47</v>
      </c>
      <c r="GC14" s="139">
        <f t="shared" si="6"/>
        <v>48</v>
      </c>
      <c r="GD14" s="139">
        <f t="shared" si="6"/>
        <v>49</v>
      </c>
      <c r="GE14" s="139">
        <f t="shared" si="6"/>
        <v>50</v>
      </c>
      <c r="GF14" s="139">
        <f t="shared" si="6"/>
        <v>51</v>
      </c>
      <c r="GG14" s="140">
        <f t="shared" si="6"/>
        <v>52</v>
      </c>
    </row>
    <row r="15" spans="1:189" ht="26.25" x14ac:dyDescent="0.35">
      <c r="A15" s="264"/>
      <c r="B15" s="30"/>
      <c r="C15" s="30"/>
      <c r="D15" s="31"/>
      <c r="E15" s="31" t="s">
        <v>253</v>
      </c>
      <c r="F15" s="31" t="s">
        <v>254</v>
      </c>
      <c r="G15" s="29" t="s">
        <v>39</v>
      </c>
      <c r="H15" s="187" t="s">
        <v>40</v>
      </c>
      <c r="I15" s="338" t="s">
        <v>212</v>
      </c>
      <c r="J15" s="339"/>
      <c r="K15" s="340"/>
      <c r="L15" s="31"/>
      <c r="M15" s="32"/>
      <c r="N15" s="32"/>
      <c r="O15" s="33"/>
      <c r="P15" s="33"/>
      <c r="Q15" s="33"/>
      <c r="R15" s="34" t="str">
        <f>"SUM "&amp;B10</f>
        <v>SUM PLN</v>
      </c>
      <c r="S15" s="34" t="str">
        <f>"SUM "&amp;B10</f>
        <v>SUM PLN</v>
      </c>
      <c r="T15" s="34" t="str">
        <f>"SUM "&amp;B10</f>
        <v>SUM PLN</v>
      </c>
      <c r="U15" s="34" t="str">
        <f>"SUM "&amp;B10</f>
        <v>SUM PLN</v>
      </c>
      <c r="V15" s="34" t="str">
        <f>"SUM "&amp;B10</f>
        <v>SUM PLN</v>
      </c>
      <c r="W15" s="34"/>
      <c r="Y15" s="351" t="s">
        <v>41</v>
      </c>
      <c r="Z15" s="351"/>
      <c r="AA15" s="351"/>
      <c r="AB15" s="351" t="s">
        <v>41</v>
      </c>
      <c r="AC15" s="351"/>
      <c r="AD15" s="351"/>
      <c r="AE15" s="27">
        <f>IF(ISTEXT(O16),MIN(O18:O606),O16)</f>
        <v>42412</v>
      </c>
      <c r="AF15" s="27"/>
      <c r="AG15" s="198"/>
      <c r="AH15" s="141"/>
      <c r="AI15" s="142"/>
      <c r="AJ15" s="142"/>
      <c r="AK15" s="142"/>
      <c r="AL15" s="142"/>
      <c r="AM15" s="142"/>
      <c r="AN15" s="142"/>
      <c r="AO15" s="142"/>
      <c r="AP15" s="142"/>
      <c r="AQ15" s="142"/>
      <c r="AR15" s="142"/>
      <c r="AS15" s="142"/>
      <c r="AT15" s="142"/>
      <c r="AU15" s="142"/>
      <c r="AV15" s="142"/>
      <c r="AW15" s="142"/>
      <c r="AX15" s="142"/>
      <c r="AY15" s="142"/>
      <c r="AZ15" s="142"/>
      <c r="BA15" s="142"/>
      <c r="BB15" s="142"/>
      <c r="BC15" s="142"/>
      <c r="BD15" s="142"/>
      <c r="BE15" s="142"/>
      <c r="BF15" s="142"/>
      <c r="BG15" s="142"/>
      <c r="BH15" s="142"/>
      <c r="BI15" s="142"/>
      <c r="BJ15" s="142"/>
      <c r="BK15" s="142"/>
      <c r="BL15" s="142"/>
      <c r="BM15" s="142"/>
      <c r="BN15" s="142"/>
      <c r="BO15" s="142"/>
      <c r="BP15" s="142"/>
      <c r="BQ15" s="142"/>
      <c r="BR15" s="142"/>
      <c r="BS15" s="142"/>
      <c r="BT15" s="142"/>
      <c r="BU15" s="142"/>
      <c r="BV15" s="142"/>
      <c r="BW15" s="142"/>
      <c r="BX15" s="142"/>
      <c r="BY15" s="142"/>
      <c r="BZ15" s="142"/>
      <c r="CA15" s="142"/>
      <c r="CB15" s="142"/>
      <c r="CC15" s="142"/>
      <c r="CD15" s="142"/>
      <c r="CE15" s="142"/>
      <c r="CF15" s="142"/>
      <c r="CG15" s="166"/>
      <c r="CH15" s="166"/>
      <c r="CI15" s="142"/>
      <c r="CJ15" s="142"/>
      <c r="CK15" s="142"/>
      <c r="CL15" s="142"/>
      <c r="CM15" s="142"/>
      <c r="CN15" s="142"/>
      <c r="CO15" s="142"/>
      <c r="CP15" s="142"/>
      <c r="CQ15" s="142"/>
      <c r="CR15" s="142"/>
      <c r="CS15" s="142"/>
      <c r="CT15" s="142"/>
      <c r="CU15" s="142"/>
      <c r="CV15" s="142"/>
      <c r="CW15" s="142"/>
      <c r="CX15" s="142"/>
      <c r="CY15" s="142"/>
      <c r="CZ15" s="142"/>
      <c r="DA15" s="142"/>
      <c r="DB15" s="142"/>
      <c r="DC15" s="142"/>
      <c r="DD15" s="142"/>
      <c r="DE15" s="142"/>
      <c r="DF15" s="142"/>
      <c r="DG15" s="142"/>
      <c r="DH15" s="142"/>
      <c r="DI15" s="142"/>
      <c r="DJ15" s="142"/>
      <c r="DK15" s="142"/>
      <c r="DL15" s="142"/>
      <c r="DM15" s="142"/>
      <c r="DN15" s="142"/>
      <c r="DO15" s="142"/>
      <c r="DP15" s="142"/>
      <c r="DQ15" s="142"/>
      <c r="DR15" s="142"/>
      <c r="DS15" s="142"/>
      <c r="DT15" s="142"/>
      <c r="DU15" s="142"/>
      <c r="DV15" s="142"/>
      <c r="DW15" s="142"/>
      <c r="DX15" s="142"/>
      <c r="DY15" s="142"/>
      <c r="DZ15" s="142"/>
      <c r="EA15" s="142"/>
      <c r="EB15" s="142"/>
      <c r="EC15" s="142"/>
      <c r="ED15" s="142"/>
      <c r="EE15" s="142"/>
      <c r="EF15" s="142"/>
      <c r="EG15" s="142"/>
      <c r="EH15" s="142"/>
      <c r="EI15" s="142"/>
      <c r="EJ15" s="142"/>
      <c r="EK15" s="142"/>
      <c r="EL15" s="142"/>
      <c r="EM15" s="142"/>
      <c r="EN15" s="142"/>
      <c r="EO15" s="142"/>
      <c r="EP15" s="142"/>
      <c r="EQ15" s="142"/>
      <c r="ER15" s="142"/>
      <c r="ES15" s="142"/>
      <c r="ET15" s="142"/>
      <c r="EU15" s="142"/>
      <c r="EV15" s="142"/>
      <c r="EW15" s="142"/>
      <c r="EX15" s="142"/>
      <c r="EY15" s="142"/>
      <c r="EZ15" s="142"/>
      <c r="FA15" s="142"/>
      <c r="FB15" s="142"/>
      <c r="FC15" s="142"/>
      <c r="FD15" s="142"/>
      <c r="FE15" s="142"/>
      <c r="FF15" s="142"/>
      <c r="FG15" s="142"/>
      <c r="FH15" s="142"/>
      <c r="FI15" s="142"/>
      <c r="FJ15" s="142"/>
      <c r="FK15" s="142"/>
      <c r="FL15" s="142"/>
      <c r="FM15" s="142"/>
      <c r="FN15" s="142"/>
      <c r="FO15" s="142"/>
      <c r="FP15" s="142"/>
      <c r="FQ15" s="142"/>
      <c r="FR15" s="142"/>
      <c r="FS15" s="142"/>
      <c r="FT15" s="142"/>
      <c r="FU15" s="142"/>
      <c r="FV15" s="142"/>
      <c r="FW15" s="142"/>
      <c r="FX15" s="142"/>
      <c r="FY15" s="142"/>
      <c r="FZ15" s="142"/>
      <c r="GA15" s="142"/>
      <c r="GB15" s="142"/>
      <c r="GC15" s="142"/>
      <c r="GD15" s="142"/>
      <c r="GE15" s="142"/>
      <c r="GF15" s="142"/>
      <c r="GG15" s="143"/>
    </row>
    <row r="16" spans="1:189" ht="14.45" customHeight="1" x14ac:dyDescent="0.35">
      <c r="A16" s="265"/>
      <c r="B16" s="35"/>
      <c r="C16" s="35"/>
      <c r="D16" s="38"/>
      <c r="E16" s="35"/>
      <c r="F16" s="36"/>
      <c r="G16" s="37"/>
      <c r="H16" s="188"/>
      <c r="I16" s="37"/>
      <c r="J16" s="37"/>
      <c r="K16" s="37"/>
      <c r="L16" s="38" t="s">
        <v>42</v>
      </c>
      <c r="M16" s="38" t="s">
        <v>42</v>
      </c>
      <c r="N16" s="38" t="s">
        <v>42</v>
      </c>
      <c r="O16" s="38" t="s">
        <v>42</v>
      </c>
      <c r="P16" s="38" t="s">
        <v>42</v>
      </c>
      <c r="Q16" s="39"/>
      <c r="R16" s="40">
        <f>SUBTOTAL(9,R18:R1103)</f>
        <v>520024051.91979408</v>
      </c>
      <c r="S16" s="40">
        <f>SUBTOTAL(9,S18:S1103)</f>
        <v>520024051.91979408</v>
      </c>
      <c r="T16" s="40">
        <f>SUMIF(AF18:AF1103,1,T18:T1103)</f>
        <v>276141223.50929993</v>
      </c>
      <c r="U16" s="40">
        <f>SUMIF(AF18:AF1103,1,U18:U1103)</f>
        <v>7512005.4689921793</v>
      </c>
      <c r="V16" s="40">
        <f>SUBTOTAL(9,V18:V1103)</f>
        <v>0</v>
      </c>
      <c r="W16" s="34"/>
      <c r="Y16" s="75">
        <f t="shared" ref="Y16:AD16" si="7">SUM(Y18:Y1103)</f>
        <v>472359331.15979409</v>
      </c>
      <c r="Z16" s="75">
        <f t="shared" si="7"/>
        <v>266107114.50929999</v>
      </c>
      <c r="AA16" s="75">
        <f t="shared" si="7"/>
        <v>206252216.6504941</v>
      </c>
      <c r="AB16" s="75">
        <f t="shared" si="7"/>
        <v>46864720.759999998</v>
      </c>
      <c r="AC16" s="75">
        <f t="shared" si="7"/>
        <v>10034109.000000004</v>
      </c>
      <c r="AD16" s="75">
        <f t="shared" si="7"/>
        <v>36830611.759999998</v>
      </c>
      <c r="AE16" s="41">
        <f>MAX(O18:P606)</f>
        <v>46934</v>
      </c>
      <c r="AF16" s="41"/>
      <c r="AG16" s="199"/>
      <c r="AH16" s="144"/>
      <c r="AI16" s="145"/>
      <c r="AJ16" s="145"/>
      <c r="AK16" s="145"/>
      <c r="AL16" s="145"/>
      <c r="AM16" s="145"/>
      <c r="AN16" s="145"/>
      <c r="AO16" s="145"/>
      <c r="AP16" s="145"/>
      <c r="AQ16" s="145"/>
      <c r="AR16" s="145"/>
      <c r="AS16" s="145"/>
      <c r="AT16" s="145"/>
      <c r="AU16" s="145"/>
      <c r="AV16" s="145"/>
      <c r="AW16" s="145"/>
      <c r="AX16" s="145"/>
      <c r="AY16" s="145"/>
      <c r="AZ16" s="145"/>
      <c r="BA16" s="145"/>
      <c r="BB16" s="145"/>
      <c r="BC16" s="145"/>
      <c r="BD16" s="145"/>
      <c r="BE16" s="145"/>
      <c r="BF16" s="145"/>
      <c r="BG16" s="145"/>
      <c r="BH16" s="145"/>
      <c r="BI16" s="145"/>
      <c r="BJ16" s="145"/>
      <c r="BK16" s="145"/>
      <c r="BL16" s="145"/>
      <c r="BM16" s="145"/>
      <c r="BN16" s="145"/>
      <c r="BO16" s="145"/>
      <c r="BP16" s="145"/>
      <c r="BQ16" s="145"/>
      <c r="BR16" s="145"/>
      <c r="BS16" s="145"/>
      <c r="BT16" s="145"/>
      <c r="BU16" s="145"/>
      <c r="BV16" s="145"/>
      <c r="BW16" s="145"/>
      <c r="BX16" s="145"/>
      <c r="BY16" s="145"/>
      <c r="BZ16" s="145"/>
      <c r="CA16" s="145"/>
      <c r="CB16" s="145"/>
      <c r="CC16" s="145"/>
      <c r="CD16" s="145"/>
      <c r="CE16" s="145"/>
      <c r="CF16" s="145"/>
      <c r="CG16" s="145"/>
      <c r="CH16" s="145"/>
      <c r="CI16" s="145"/>
      <c r="CJ16" s="145"/>
      <c r="CK16" s="145"/>
      <c r="CL16" s="145"/>
      <c r="CM16" s="145"/>
      <c r="CN16" s="145"/>
      <c r="CO16" s="145"/>
      <c r="CP16" s="145"/>
      <c r="CQ16" s="145"/>
      <c r="CR16" s="145"/>
      <c r="CS16" s="145"/>
      <c r="CT16" s="145"/>
      <c r="CU16" s="145"/>
      <c r="CV16" s="145"/>
      <c r="CW16" s="145"/>
      <c r="CX16" s="145"/>
      <c r="CY16" s="145"/>
      <c r="CZ16" s="145"/>
      <c r="DA16" s="145"/>
      <c r="DB16" s="145"/>
      <c r="DC16" s="145"/>
      <c r="DD16" s="145"/>
      <c r="DE16" s="145"/>
      <c r="DF16" s="145"/>
      <c r="DG16" s="145"/>
      <c r="DH16" s="145"/>
      <c r="DI16" s="145"/>
      <c r="DJ16" s="145"/>
      <c r="DK16" s="145"/>
      <c r="DL16" s="145"/>
      <c r="DM16" s="145"/>
      <c r="DN16" s="145"/>
      <c r="DO16" s="145"/>
      <c r="DP16" s="145"/>
      <c r="DQ16" s="145"/>
      <c r="DR16" s="145"/>
      <c r="DS16" s="145"/>
      <c r="DT16" s="145"/>
      <c r="DU16" s="145"/>
      <c r="DV16" s="145"/>
      <c r="DW16" s="145"/>
      <c r="DX16" s="145"/>
      <c r="DY16" s="145"/>
      <c r="DZ16" s="145"/>
      <c r="EA16" s="145"/>
      <c r="EB16" s="145"/>
      <c r="EC16" s="145"/>
      <c r="ED16" s="145"/>
      <c r="EE16" s="145"/>
      <c r="EF16" s="145"/>
      <c r="EG16" s="145"/>
      <c r="EH16" s="145"/>
      <c r="EI16" s="145"/>
      <c r="EJ16" s="145"/>
      <c r="EK16" s="145"/>
      <c r="EL16" s="145"/>
      <c r="EM16" s="145"/>
      <c r="EN16" s="145"/>
      <c r="EO16" s="145"/>
      <c r="EP16" s="145"/>
      <c r="EQ16" s="145"/>
      <c r="ER16" s="145"/>
      <c r="ES16" s="145"/>
      <c r="ET16" s="145"/>
      <c r="EU16" s="145"/>
      <c r="EV16" s="145"/>
      <c r="EW16" s="145"/>
      <c r="EX16" s="145"/>
      <c r="EY16" s="145"/>
      <c r="EZ16" s="145"/>
      <c r="FA16" s="145"/>
      <c r="FB16" s="145"/>
      <c r="FC16" s="145"/>
      <c r="FD16" s="145"/>
      <c r="FE16" s="145"/>
      <c r="FF16" s="145"/>
      <c r="FG16" s="145"/>
      <c r="FH16" s="145"/>
      <c r="FI16" s="145"/>
      <c r="FJ16" s="145"/>
      <c r="FK16" s="145"/>
      <c r="FL16" s="145"/>
      <c r="FM16" s="145"/>
      <c r="FN16" s="145"/>
      <c r="FO16" s="145"/>
      <c r="FP16" s="145"/>
      <c r="FQ16" s="145"/>
      <c r="FR16" s="145"/>
      <c r="FS16" s="145"/>
      <c r="FT16" s="145"/>
      <c r="FU16" s="145"/>
      <c r="FV16" s="145"/>
      <c r="FW16" s="145"/>
      <c r="FX16" s="145"/>
      <c r="FY16" s="145"/>
      <c r="FZ16" s="145"/>
      <c r="GA16" s="145"/>
      <c r="GB16" s="145"/>
      <c r="GC16" s="145"/>
      <c r="GD16" s="145"/>
      <c r="GE16" s="145"/>
      <c r="GF16" s="145"/>
      <c r="GG16" s="146"/>
    </row>
    <row r="17" spans="1:189" s="168" customFormat="1" ht="15" customHeight="1" x14ac:dyDescent="0.35">
      <c r="A17" s="271" t="s">
        <v>961</v>
      </c>
      <c r="B17" s="272" t="s">
        <v>940</v>
      </c>
      <c r="C17" s="272" t="s">
        <v>941</v>
      </c>
      <c r="D17" s="272" t="s">
        <v>942</v>
      </c>
      <c r="E17" s="272" t="s">
        <v>943</v>
      </c>
      <c r="F17" s="272" t="s">
        <v>944</v>
      </c>
      <c r="G17" s="273" t="s">
        <v>945</v>
      </c>
      <c r="H17" s="274" t="s">
        <v>946</v>
      </c>
      <c r="I17" s="273" t="s">
        <v>947</v>
      </c>
      <c r="J17" s="273" t="s">
        <v>948</v>
      </c>
      <c r="K17" s="273" t="s">
        <v>213</v>
      </c>
      <c r="L17" s="272" t="s">
        <v>949</v>
      </c>
      <c r="M17" s="275" t="s">
        <v>950</v>
      </c>
      <c r="N17" s="275" t="s">
        <v>951</v>
      </c>
      <c r="O17" s="276" t="s">
        <v>952</v>
      </c>
      <c r="P17" s="276" t="s">
        <v>953</v>
      </c>
      <c r="Q17" s="272" t="s">
        <v>954</v>
      </c>
      <c r="R17" s="272" t="s">
        <v>955</v>
      </c>
      <c r="S17" s="277" t="s">
        <v>956</v>
      </c>
      <c r="T17" s="278" t="s">
        <v>957</v>
      </c>
      <c r="U17" s="279" t="s">
        <v>958</v>
      </c>
      <c r="V17" s="278" t="s">
        <v>959</v>
      </c>
      <c r="W17" s="279" t="s">
        <v>960</v>
      </c>
      <c r="Y17" s="169" t="s">
        <v>203</v>
      </c>
      <c r="Z17" s="170">
        <f>SUMIF(Q18:Q1103,Q8,Z18:Z1103)+SUMIF(Q18:Q1103,Q9,Z18:Z1103)</f>
        <v>246074545.50929999</v>
      </c>
      <c r="AA17" s="170">
        <f>SUMIF(Q18:Q1103,Q8,AA18:AA1103)+SUMIF(Q18:Q1103,Q9,AA18:AA1103)</f>
        <v>12559192.993298257</v>
      </c>
      <c r="AB17" s="169" t="s">
        <v>203</v>
      </c>
      <c r="AC17" s="170">
        <f>SUMIF(Q18:Q1103,Q8,AC18:AC1103)+SUMIF(Q18:Q1103,Q9,AC18:AC1103)</f>
        <v>593773</v>
      </c>
      <c r="AD17" s="170">
        <f>SUMIF(Q18:Q1103,Q8,AD18:AD1103)+SUMIF(Q18:Q1103,Q9,AD18:AD1103)</f>
        <v>-85200</v>
      </c>
      <c r="AF17" s="171"/>
      <c r="AG17" s="200" t="str">
        <f>B17&amp;" "&amp;F17</f>
        <v>Resp. Buyer Description EN</v>
      </c>
      <c r="AH17" s="172"/>
      <c r="AI17" s="173"/>
      <c r="AJ17" s="173"/>
      <c r="AK17" s="173"/>
      <c r="AL17" s="173"/>
      <c r="AM17" s="173"/>
      <c r="AN17" s="173"/>
      <c r="AO17" s="173"/>
      <c r="AP17" s="173"/>
      <c r="AQ17" s="173"/>
      <c r="AR17" s="173"/>
      <c r="AS17" s="173"/>
      <c r="AT17" s="173"/>
      <c r="AU17" s="173"/>
      <c r="AV17" s="173"/>
      <c r="AW17" s="173"/>
      <c r="AX17" s="173"/>
      <c r="AY17" s="173"/>
      <c r="AZ17" s="173"/>
      <c r="BA17" s="173"/>
      <c r="BB17" s="173"/>
      <c r="BC17" s="173"/>
      <c r="BD17" s="173"/>
      <c r="BE17" s="173"/>
      <c r="BF17" s="173"/>
      <c r="BG17" s="173"/>
      <c r="BH17" s="173"/>
      <c r="BI17" s="173"/>
      <c r="BJ17" s="173"/>
      <c r="BK17" s="173"/>
      <c r="BL17" s="173"/>
      <c r="BM17" s="173"/>
      <c r="BN17" s="173"/>
      <c r="BO17" s="173"/>
      <c r="BP17" s="173"/>
      <c r="BQ17" s="173"/>
      <c r="BR17" s="173"/>
      <c r="BS17" s="173"/>
      <c r="BT17" s="173"/>
      <c r="BU17" s="173"/>
      <c r="BV17" s="173"/>
      <c r="BW17" s="173"/>
      <c r="BX17" s="173"/>
      <c r="BY17" s="173"/>
      <c r="BZ17" s="173"/>
      <c r="CA17" s="173"/>
      <c r="CB17" s="173"/>
      <c r="CC17" s="173"/>
      <c r="CD17" s="173"/>
      <c r="CE17" s="173"/>
      <c r="CF17" s="173"/>
      <c r="CG17" s="173"/>
      <c r="CH17" s="173"/>
      <c r="CI17" s="173"/>
      <c r="CJ17" s="173"/>
      <c r="CK17" s="173"/>
      <c r="CL17" s="173"/>
      <c r="CM17" s="173"/>
      <c r="CN17" s="173"/>
      <c r="CO17" s="173"/>
      <c r="CP17" s="173"/>
      <c r="CQ17" s="173"/>
      <c r="CR17" s="173"/>
      <c r="CS17" s="173"/>
      <c r="CT17" s="173"/>
      <c r="CU17" s="173"/>
      <c r="CV17" s="173"/>
      <c r="CW17" s="173"/>
      <c r="CX17" s="173"/>
      <c r="CY17" s="173"/>
      <c r="CZ17" s="173"/>
      <c r="DA17" s="173"/>
      <c r="DB17" s="173"/>
      <c r="DC17" s="173"/>
      <c r="DD17" s="173"/>
      <c r="DE17" s="173"/>
      <c r="DF17" s="173"/>
      <c r="DG17" s="173"/>
      <c r="DH17" s="173"/>
      <c r="DI17" s="173"/>
      <c r="DJ17" s="173"/>
      <c r="DK17" s="173"/>
      <c r="DL17" s="173"/>
      <c r="DM17" s="173"/>
      <c r="DN17" s="173"/>
      <c r="DO17" s="173"/>
      <c r="DP17" s="173"/>
      <c r="DQ17" s="173"/>
      <c r="DR17" s="173"/>
      <c r="DS17" s="173"/>
      <c r="DT17" s="173"/>
      <c r="DU17" s="173"/>
      <c r="DV17" s="173"/>
      <c r="DW17" s="173"/>
      <c r="DX17" s="173"/>
      <c r="DY17" s="173"/>
      <c r="DZ17" s="173"/>
      <c r="EA17" s="173"/>
      <c r="EB17" s="173"/>
      <c r="EC17" s="173"/>
      <c r="ED17" s="173"/>
      <c r="EE17" s="173"/>
      <c r="EF17" s="173"/>
      <c r="EG17" s="173"/>
      <c r="EH17" s="173"/>
      <c r="EI17" s="173"/>
      <c r="EJ17" s="173"/>
      <c r="EK17" s="173"/>
      <c r="EL17" s="173"/>
      <c r="EM17" s="173"/>
      <c r="EN17" s="173"/>
      <c r="EO17" s="173"/>
      <c r="EP17" s="173"/>
      <c r="EQ17" s="173"/>
      <c r="ER17" s="173"/>
      <c r="ES17" s="173"/>
      <c r="ET17" s="173"/>
      <c r="EU17" s="173"/>
      <c r="EV17" s="173"/>
      <c r="EW17" s="173"/>
      <c r="EX17" s="173"/>
      <c r="EY17" s="173"/>
      <c r="EZ17" s="173"/>
      <c r="FA17" s="173"/>
      <c r="FB17" s="173"/>
      <c r="FC17" s="173"/>
      <c r="FD17" s="173"/>
      <c r="FE17" s="173"/>
      <c r="FF17" s="173"/>
      <c r="FG17" s="173"/>
      <c r="FH17" s="173"/>
      <c r="FI17" s="173"/>
      <c r="FJ17" s="173"/>
      <c r="FK17" s="173"/>
      <c r="FL17" s="173"/>
      <c r="FM17" s="173"/>
      <c r="FN17" s="173"/>
      <c r="FO17" s="173"/>
      <c r="FP17" s="173"/>
      <c r="FQ17" s="173"/>
      <c r="FR17" s="173"/>
      <c r="FS17" s="173"/>
      <c r="FT17" s="173"/>
      <c r="FU17" s="173"/>
      <c r="FV17" s="173"/>
      <c r="FW17" s="173"/>
      <c r="FX17" s="173"/>
      <c r="FY17" s="173"/>
      <c r="FZ17" s="173"/>
      <c r="GA17" s="173"/>
      <c r="GB17" s="173"/>
      <c r="GC17" s="173"/>
      <c r="GD17" s="173"/>
      <c r="GE17" s="173"/>
      <c r="GF17" s="173"/>
      <c r="GG17" s="174"/>
    </row>
    <row r="18" spans="1:189" s="168" customFormat="1" ht="14.25" x14ac:dyDescent="0.35">
      <c r="A18" s="266">
        <v>1</v>
      </c>
      <c r="B18" s="206"/>
      <c r="C18" s="207"/>
      <c r="D18" s="208"/>
      <c r="E18" s="207" t="s">
        <v>255</v>
      </c>
      <c r="F18" s="206" t="s">
        <v>256</v>
      </c>
      <c r="G18" s="209"/>
      <c r="H18" s="210"/>
      <c r="I18" s="206"/>
      <c r="J18" s="207"/>
      <c r="K18" s="206"/>
      <c r="L18" s="211"/>
      <c r="M18" s="211"/>
      <c r="N18" s="212"/>
      <c r="O18" s="211"/>
      <c r="P18" s="211"/>
      <c r="Q18" s="213"/>
      <c r="R18" s="214"/>
      <c r="S18" s="215"/>
      <c r="T18" s="214"/>
      <c r="U18" s="216">
        <f>IF(Q18="",0,IF(T18="",0,+S18-T18))</f>
        <v>0</v>
      </c>
      <c r="V18" s="217"/>
      <c r="W18" s="218"/>
      <c r="X18" s="219"/>
      <c r="Y18" s="220">
        <f>IF(G18=2,S18,0)</f>
        <v>0</v>
      </c>
      <c r="Z18" s="220">
        <f t="shared" ref="Z18" si="8">IF(Q18="",0,IF(G18=2,T18,0))</f>
        <v>0</v>
      </c>
      <c r="AA18" s="220">
        <f t="shared" ref="AA18" si="9">Y18-Z18</f>
        <v>0</v>
      </c>
      <c r="AB18" s="220">
        <f t="shared" ref="AB18" si="10">IF(G18=1,S18,0)</f>
        <v>0</v>
      </c>
      <c r="AC18" s="220">
        <f t="shared" ref="AC18" si="11">IF(Q18="",0,IF(G18=1,T18,0))</f>
        <v>0</v>
      </c>
      <c r="AD18" s="220">
        <f t="shared" ref="AD18" si="12">AB18-AC18</f>
        <v>0</v>
      </c>
      <c r="AF18" s="180">
        <f>IF(S18&lt;&gt;"",1,0)</f>
        <v>0</v>
      </c>
      <c r="AG18" s="202" t="str">
        <f t="shared" ref="AG18:AG134" si="13">B18&amp;" "&amp;F18</f>
        <v xml:space="preserve"> Design and documentation</v>
      </c>
      <c r="AH18" s="172"/>
      <c r="AI18" s="173"/>
      <c r="AJ18" s="173"/>
      <c r="AK18" s="173"/>
      <c r="AL18" s="173"/>
      <c r="AM18" s="173"/>
      <c r="AN18" s="173"/>
      <c r="AO18" s="173"/>
      <c r="AP18" s="173"/>
      <c r="AQ18" s="173"/>
      <c r="AR18" s="173"/>
      <c r="AS18" s="173"/>
      <c r="AT18" s="173"/>
      <c r="AU18" s="173"/>
      <c r="AV18" s="173"/>
      <c r="AW18" s="173"/>
      <c r="AX18" s="173"/>
      <c r="AY18" s="173"/>
      <c r="AZ18" s="173"/>
      <c r="BA18" s="173"/>
      <c r="BB18" s="173"/>
      <c r="BC18" s="173"/>
      <c r="BD18" s="173"/>
      <c r="BE18" s="173"/>
      <c r="BF18" s="173"/>
      <c r="BG18" s="173"/>
      <c r="BH18" s="173"/>
      <c r="BI18" s="173"/>
      <c r="BJ18" s="173"/>
      <c r="BK18" s="173"/>
      <c r="BL18" s="173"/>
      <c r="BM18" s="173"/>
      <c r="BN18" s="173"/>
      <c r="BO18" s="173"/>
      <c r="BP18" s="173"/>
      <c r="BQ18" s="173"/>
      <c r="BR18" s="173"/>
      <c r="BS18" s="173"/>
      <c r="BT18" s="173"/>
      <c r="BU18" s="173"/>
      <c r="BV18" s="173"/>
      <c r="BW18" s="173"/>
      <c r="BX18" s="173"/>
      <c r="BY18" s="173"/>
      <c r="BZ18" s="173"/>
      <c r="CA18" s="173"/>
      <c r="CB18" s="173"/>
      <c r="CC18" s="173"/>
      <c r="CD18" s="173"/>
      <c r="CE18" s="173"/>
      <c r="CF18" s="173"/>
      <c r="CG18" s="173"/>
      <c r="CH18" s="173"/>
      <c r="CI18" s="173"/>
      <c r="CJ18" s="173"/>
      <c r="CK18" s="173"/>
      <c r="CL18" s="173"/>
      <c r="CM18" s="173"/>
      <c r="CN18" s="173"/>
      <c r="CO18" s="173"/>
      <c r="CP18" s="173"/>
      <c r="CQ18" s="173"/>
      <c r="CR18" s="173"/>
      <c r="CS18" s="173"/>
      <c r="CT18" s="173"/>
      <c r="CU18" s="173"/>
      <c r="CV18" s="173"/>
      <c r="CW18" s="173"/>
      <c r="CX18" s="173"/>
      <c r="CY18" s="151"/>
      <c r="CZ18" s="173"/>
      <c r="DA18" s="173"/>
      <c r="DB18" s="173"/>
      <c r="DC18" s="173"/>
      <c r="DD18" s="173"/>
      <c r="DE18" s="173"/>
      <c r="DF18" s="173"/>
      <c r="DG18" s="173"/>
      <c r="DH18" s="173"/>
      <c r="DI18" s="173"/>
      <c r="DJ18" s="173"/>
      <c r="DK18" s="173"/>
      <c r="DL18" s="173"/>
      <c r="DM18" s="173"/>
      <c r="DN18" s="173"/>
      <c r="DO18" s="173"/>
      <c r="DP18" s="173"/>
      <c r="DQ18" s="173"/>
      <c r="DR18" s="173"/>
      <c r="DS18" s="173"/>
      <c r="DT18" s="173"/>
      <c r="DU18" s="173"/>
      <c r="DV18" s="173"/>
      <c r="DW18" s="173"/>
      <c r="DX18" s="173"/>
      <c r="DY18" s="173"/>
      <c r="DZ18" s="173"/>
      <c r="EA18" s="173"/>
      <c r="EB18" s="173"/>
      <c r="EC18" s="173"/>
      <c r="ED18" s="173"/>
      <c r="EE18" s="173"/>
      <c r="EF18" s="173"/>
      <c r="EG18" s="173"/>
      <c r="EH18" s="173"/>
      <c r="EI18" s="173"/>
      <c r="EJ18" s="173"/>
      <c r="EK18" s="173"/>
      <c r="EL18" s="173"/>
      <c r="EM18" s="173"/>
      <c r="EN18" s="173"/>
      <c r="EO18" s="173"/>
      <c r="EP18" s="173"/>
      <c r="EQ18" s="173"/>
      <c r="ER18" s="173"/>
      <c r="ES18" s="173"/>
      <c r="ET18" s="173"/>
      <c r="EU18" s="173"/>
      <c r="EV18" s="173"/>
      <c r="EW18" s="173"/>
      <c r="EX18" s="173"/>
      <c r="EY18" s="173"/>
      <c r="EZ18" s="173"/>
      <c r="FA18" s="173"/>
      <c r="FB18" s="173"/>
      <c r="FC18" s="173"/>
      <c r="FD18" s="173"/>
      <c r="FE18" s="173"/>
      <c r="FF18" s="173"/>
      <c r="FG18" s="173"/>
      <c r="FH18" s="173"/>
      <c r="FI18" s="173"/>
      <c r="FJ18" s="173"/>
      <c r="FK18" s="173"/>
      <c r="FL18" s="173"/>
      <c r="FM18" s="173"/>
      <c r="FN18" s="173"/>
      <c r="FO18" s="173"/>
      <c r="FP18" s="173"/>
      <c r="FQ18" s="173"/>
      <c r="FR18" s="173"/>
      <c r="FS18" s="173"/>
      <c r="FT18" s="173"/>
      <c r="FU18" s="173"/>
      <c r="FV18" s="173"/>
      <c r="FW18" s="173"/>
      <c r="FX18" s="173"/>
      <c r="FY18" s="173"/>
      <c r="FZ18" s="173"/>
      <c r="GA18" s="173"/>
      <c r="GB18" s="173"/>
      <c r="GC18" s="173"/>
      <c r="GD18" s="173"/>
      <c r="GE18" s="173"/>
      <c r="GF18" s="173"/>
      <c r="GG18" s="174"/>
    </row>
    <row r="19" spans="1:189" ht="27.75" x14ac:dyDescent="0.35">
      <c r="A19" s="249" t="s">
        <v>446</v>
      </c>
      <c r="B19" s="248"/>
      <c r="C19" s="248"/>
      <c r="D19" s="248" t="s">
        <v>1083</v>
      </c>
      <c r="E19" s="248" t="s">
        <v>652</v>
      </c>
      <c r="F19" s="248" t="s">
        <v>379</v>
      </c>
      <c r="G19" s="250">
        <v>2</v>
      </c>
      <c r="H19" s="251" t="s">
        <v>276</v>
      </c>
      <c r="I19" s="252"/>
      <c r="J19" s="252"/>
      <c r="K19" s="252"/>
      <c r="L19" s="253">
        <v>45995</v>
      </c>
      <c r="M19" s="253">
        <v>46235</v>
      </c>
      <c r="N19" s="253">
        <v>45995</v>
      </c>
      <c r="O19" s="253">
        <v>45995</v>
      </c>
      <c r="P19" s="253">
        <v>46934</v>
      </c>
      <c r="Q19" s="254" t="s">
        <v>20</v>
      </c>
      <c r="R19" s="255">
        <v>9890000</v>
      </c>
      <c r="S19" s="255">
        <v>9890000</v>
      </c>
      <c r="T19" s="255">
        <v>9890000</v>
      </c>
      <c r="U19" s="191">
        <f t="shared" ref="U19:U20" si="14">IF(Q19="",0,IF(T19="",0,+S19-T19))</f>
        <v>0</v>
      </c>
      <c r="V19" s="246"/>
      <c r="W19" s="247"/>
      <c r="X19" s="46"/>
      <c r="Y19" s="167">
        <f t="shared" ref="Y19" si="15">IF(G19=2,S19,0)</f>
        <v>9890000</v>
      </c>
      <c r="Z19" s="167">
        <f t="shared" ref="Z19" si="16">IF(Q19="",0,IF(G19=2,T19,0))</f>
        <v>9890000</v>
      </c>
      <c r="AA19" s="167">
        <f t="shared" ref="AA19" si="17">Y19-Z19</f>
        <v>0</v>
      </c>
      <c r="AB19" s="167">
        <f t="shared" ref="AB19" si="18">IF(G19=1,S19,0)</f>
        <v>0</v>
      </c>
      <c r="AC19" s="167">
        <f t="shared" ref="AC19" si="19">IF(Q19="",0,IF(G19=1,T19,0))</f>
        <v>0</v>
      </c>
      <c r="AD19" s="167">
        <f t="shared" ref="AD19" si="20">AB19-AC19</f>
        <v>0</v>
      </c>
      <c r="AF19" s="47">
        <f t="shared" ref="AF19:AF135" si="21">IF(S19&lt;&gt;"",1,0)</f>
        <v>1</v>
      </c>
      <c r="AG19" s="202" t="str">
        <f t="shared" si="13"/>
        <v xml:space="preserve"> Multi-discipline detailed design with specialist studies - TME</v>
      </c>
      <c r="AH19" s="153"/>
      <c r="AI19" s="154"/>
      <c r="AJ19" s="154"/>
      <c r="AK19" s="154"/>
      <c r="AL19" s="154"/>
      <c r="AM19" s="154"/>
      <c r="AN19" s="154"/>
      <c r="AO19" s="154"/>
      <c r="AP19" s="154"/>
      <c r="AQ19" s="154"/>
      <c r="AR19" s="154"/>
      <c r="AS19" s="154"/>
      <c r="AT19" s="154"/>
      <c r="AU19" s="154"/>
      <c r="AV19" s="154"/>
      <c r="AW19" s="154"/>
      <c r="AX19" s="154"/>
      <c r="AY19" s="154"/>
      <c r="AZ19" s="154"/>
      <c r="BA19" s="151"/>
      <c r="BB19" s="151"/>
      <c r="BC19" s="151"/>
      <c r="BD19" s="151"/>
      <c r="BE19" s="151"/>
      <c r="BF19" s="151"/>
      <c r="BG19" s="151"/>
      <c r="BH19" s="151"/>
      <c r="BI19" s="151"/>
      <c r="BJ19" s="151"/>
      <c r="BK19" s="151"/>
      <c r="BL19" s="151"/>
      <c r="BM19" s="151"/>
      <c r="BN19" s="151"/>
      <c r="BO19" s="151"/>
      <c r="BP19" s="151"/>
      <c r="BQ19" s="151"/>
      <c r="BR19" s="151"/>
      <c r="BS19" s="151"/>
      <c r="BT19" s="151"/>
      <c r="BU19" s="151"/>
      <c r="BV19" s="151"/>
      <c r="BW19" s="151"/>
      <c r="BX19" s="151"/>
      <c r="BY19" s="151"/>
      <c r="BZ19" s="151"/>
      <c r="CA19" s="151"/>
      <c r="CB19" s="151"/>
      <c r="CC19" s="151"/>
      <c r="CD19" s="151"/>
      <c r="CE19" s="151"/>
      <c r="CF19" s="151"/>
      <c r="CG19" s="151"/>
      <c r="CH19" s="151"/>
      <c r="CI19" s="151"/>
      <c r="CJ19" s="151"/>
      <c r="CK19" s="151"/>
      <c r="CL19" s="151"/>
      <c r="CM19" s="151"/>
      <c r="CN19" s="151"/>
      <c r="CO19" s="151"/>
      <c r="CP19" s="151"/>
      <c r="CQ19" s="151"/>
      <c r="CR19" s="151"/>
      <c r="CS19" s="151"/>
      <c r="CT19" s="151"/>
      <c r="CU19" s="151"/>
      <c r="CV19" s="151"/>
      <c r="CW19" s="151"/>
      <c r="CX19" s="151"/>
      <c r="CY19" s="151"/>
      <c r="CZ19" s="151"/>
      <c r="DA19" s="151"/>
      <c r="DB19" s="151"/>
      <c r="DC19" s="151"/>
      <c r="DD19" s="151"/>
      <c r="DE19" s="151"/>
      <c r="DF19" s="151"/>
      <c r="DG19" s="151"/>
      <c r="DH19" s="151"/>
      <c r="DI19" s="151"/>
      <c r="DJ19" s="151"/>
      <c r="DK19" s="151"/>
      <c r="DL19" s="151"/>
      <c r="DM19" s="151"/>
      <c r="DN19" s="151"/>
      <c r="DO19" s="151"/>
      <c r="DP19" s="151"/>
      <c r="DQ19" s="151"/>
      <c r="DR19" s="151"/>
      <c r="DS19" s="151"/>
      <c r="DT19" s="151"/>
      <c r="DU19" s="151"/>
      <c r="DV19" s="151"/>
      <c r="DW19" s="151"/>
      <c r="DX19" s="151"/>
      <c r="DY19" s="151"/>
      <c r="DZ19" s="151"/>
      <c r="EA19" s="151"/>
      <c r="EB19" s="151"/>
      <c r="EC19" s="151"/>
      <c r="ED19" s="151"/>
      <c r="EE19" s="151"/>
      <c r="EF19" s="151"/>
      <c r="EG19" s="151"/>
      <c r="EH19" s="151"/>
      <c r="EI19" s="151"/>
      <c r="EJ19" s="151"/>
      <c r="EK19" s="151"/>
      <c r="EL19" s="151"/>
      <c r="EM19" s="151"/>
      <c r="EN19" s="151"/>
      <c r="EO19" s="151"/>
      <c r="EP19" s="151"/>
      <c r="EQ19" s="151"/>
      <c r="ER19" s="151"/>
      <c r="ES19" s="151"/>
      <c r="ET19" s="151"/>
      <c r="EU19" s="151"/>
      <c r="EV19" s="151"/>
      <c r="EW19" s="151"/>
      <c r="EX19" s="151"/>
      <c r="EY19" s="151"/>
      <c r="EZ19" s="151"/>
      <c r="FA19" s="151"/>
      <c r="FB19" s="151"/>
      <c r="FC19" s="151"/>
      <c r="FD19" s="151"/>
      <c r="FE19" s="151"/>
      <c r="FF19" s="151"/>
      <c r="FG19" s="151"/>
      <c r="FH19" s="151"/>
      <c r="FI19" s="151"/>
      <c r="FJ19" s="151"/>
      <c r="FK19" s="151"/>
      <c r="FL19" s="151"/>
      <c r="FM19" s="151"/>
      <c r="FN19" s="151"/>
      <c r="FO19" s="151"/>
      <c r="FP19" s="151"/>
      <c r="FQ19" s="151"/>
      <c r="FR19" s="151"/>
      <c r="FS19" s="151"/>
      <c r="FT19" s="151"/>
      <c r="FU19" s="151"/>
      <c r="FV19" s="151"/>
      <c r="FW19" s="151"/>
      <c r="FX19" s="151"/>
      <c r="FY19" s="151"/>
      <c r="FZ19" s="151"/>
      <c r="GA19" s="151"/>
      <c r="GB19" s="151"/>
      <c r="GC19" s="151"/>
      <c r="GD19" s="151"/>
      <c r="GE19" s="151"/>
      <c r="GF19" s="151"/>
      <c r="GG19" s="152"/>
    </row>
    <row r="20" spans="1:189" ht="27.75" x14ac:dyDescent="0.35">
      <c r="A20" s="249" t="s">
        <v>655</v>
      </c>
      <c r="B20" s="248"/>
      <c r="C20" s="248"/>
      <c r="D20" s="249"/>
      <c r="E20" s="248" t="s">
        <v>653</v>
      </c>
      <c r="F20" s="248" t="s">
        <v>380</v>
      </c>
      <c r="G20" s="250">
        <v>2</v>
      </c>
      <c r="H20" s="251"/>
      <c r="I20" s="252"/>
      <c r="J20" s="252"/>
      <c r="K20" s="252"/>
      <c r="L20" s="253"/>
      <c r="M20" s="253"/>
      <c r="N20" s="253"/>
      <c r="O20" s="253"/>
      <c r="P20" s="253"/>
      <c r="Q20" s="254"/>
      <c r="R20" s="255"/>
      <c r="S20" s="255"/>
      <c r="T20" s="255"/>
      <c r="U20" s="191">
        <f t="shared" si="14"/>
        <v>0</v>
      </c>
      <c r="V20" s="246"/>
      <c r="W20" s="247"/>
      <c r="X20" s="46"/>
      <c r="Y20" s="167">
        <f t="shared" ref="Y20:Y135" si="22">IF(G20=2,S20,0)</f>
        <v>0</v>
      </c>
      <c r="Z20" s="167">
        <f t="shared" ref="Z20:Z135" si="23">IF(Q20="",0,IF(G20=2,T20,0))</f>
        <v>0</v>
      </c>
      <c r="AA20" s="167">
        <f t="shared" ref="AA20:AA135" si="24">Y20-Z20</f>
        <v>0</v>
      </c>
      <c r="AB20" s="167">
        <f t="shared" ref="AB20:AB135" si="25">IF(G20=1,S20,0)</f>
        <v>0</v>
      </c>
      <c r="AC20" s="167">
        <f t="shared" ref="AC20:AC135" si="26">IF(Q20="",0,IF(G20=1,T20,0))</f>
        <v>0</v>
      </c>
      <c r="AD20" s="167">
        <f t="shared" ref="AD20:AD135" si="27">AB20-AC20</f>
        <v>0</v>
      </c>
      <c r="AF20" s="180">
        <f t="shared" si="21"/>
        <v>0</v>
      </c>
      <c r="AG20" s="202" t="str">
        <f t="shared" si="13"/>
        <v xml:space="preserve"> Multi-discipline detailed design with specialist studies</v>
      </c>
      <c r="AH20" s="172"/>
      <c r="AI20" s="173"/>
      <c r="AJ20" s="173"/>
      <c r="AK20" s="173"/>
      <c r="AL20" s="173"/>
      <c r="AM20" s="173"/>
      <c r="AN20" s="173"/>
      <c r="AO20" s="173"/>
      <c r="AP20" s="173"/>
      <c r="AQ20" s="173"/>
      <c r="AR20" s="173"/>
      <c r="AS20" s="173"/>
      <c r="AT20" s="173"/>
      <c r="AU20" s="173"/>
      <c r="AV20" s="173"/>
      <c r="AW20" s="173"/>
      <c r="AX20" s="173"/>
      <c r="AY20" s="173"/>
      <c r="AZ20" s="173"/>
      <c r="BA20" s="173"/>
      <c r="BB20" s="173"/>
      <c r="BC20" s="173"/>
      <c r="BD20" s="173"/>
      <c r="BE20" s="173"/>
      <c r="BF20" s="173"/>
      <c r="BG20" s="173"/>
      <c r="BH20" s="173"/>
      <c r="BI20" s="173"/>
      <c r="BJ20" s="173"/>
      <c r="BK20" s="173"/>
      <c r="BL20" s="173"/>
      <c r="BM20" s="173"/>
      <c r="BN20" s="173"/>
      <c r="BO20" s="173"/>
      <c r="BP20" s="173"/>
      <c r="BQ20" s="173"/>
      <c r="BR20" s="173"/>
      <c r="BS20" s="173"/>
      <c r="BT20" s="173"/>
      <c r="BU20" s="173"/>
      <c r="BV20" s="173"/>
      <c r="BW20" s="173"/>
      <c r="BX20" s="173"/>
      <c r="BY20" s="173"/>
      <c r="BZ20" s="173"/>
      <c r="CA20" s="173"/>
      <c r="CB20" s="173"/>
      <c r="CC20" s="173"/>
      <c r="CD20" s="173"/>
      <c r="CE20" s="173"/>
      <c r="CF20" s="173"/>
      <c r="CG20" s="173"/>
      <c r="CH20" s="173"/>
      <c r="CI20" s="173"/>
      <c r="CJ20" s="173"/>
      <c r="CK20" s="173"/>
      <c r="CL20" s="173"/>
      <c r="CM20" s="173"/>
      <c r="CN20" s="173"/>
      <c r="CO20" s="173"/>
      <c r="CP20" s="173"/>
      <c r="CQ20" s="173"/>
      <c r="CR20" s="173"/>
      <c r="CS20" s="173"/>
      <c r="CT20" s="173"/>
      <c r="CU20" s="173"/>
      <c r="CV20" s="173"/>
      <c r="CW20" s="173"/>
      <c r="CX20" s="173"/>
      <c r="CY20" s="151"/>
      <c r="CZ20" s="151"/>
      <c r="DA20" s="151"/>
      <c r="DB20" s="151"/>
      <c r="DC20" s="151"/>
      <c r="DD20" s="151"/>
      <c r="DE20" s="151"/>
      <c r="DF20" s="151"/>
      <c r="DG20" s="151"/>
      <c r="DH20" s="151"/>
      <c r="DI20" s="151"/>
      <c r="DJ20" s="151"/>
      <c r="DK20" s="151"/>
      <c r="DL20" s="151"/>
      <c r="DM20" s="151"/>
      <c r="DN20" s="151"/>
      <c r="DO20" s="151"/>
      <c r="DP20" s="151"/>
      <c r="DQ20" s="151"/>
      <c r="DR20" s="151"/>
      <c r="DS20" s="151"/>
      <c r="DT20" s="151"/>
      <c r="DU20" s="151"/>
      <c r="DV20" s="151"/>
      <c r="DW20" s="151"/>
      <c r="DX20" s="151"/>
      <c r="DY20" s="151"/>
      <c r="DZ20" s="151"/>
      <c r="EA20" s="151"/>
      <c r="EB20" s="151"/>
      <c r="EC20" s="151"/>
      <c r="ED20" s="151"/>
      <c r="EE20" s="151"/>
      <c r="EF20" s="151"/>
      <c r="EG20" s="151"/>
      <c r="EH20" s="151"/>
      <c r="EI20" s="151"/>
      <c r="EJ20" s="151"/>
      <c r="EK20" s="151"/>
      <c r="EL20" s="151"/>
      <c r="EM20" s="151"/>
      <c r="EN20" s="151"/>
      <c r="EO20" s="151"/>
      <c r="EP20" s="151"/>
      <c r="EQ20" s="151"/>
      <c r="ER20" s="151"/>
      <c r="ES20" s="151"/>
      <c r="ET20" s="151"/>
      <c r="EU20" s="151"/>
      <c r="EV20" s="151"/>
      <c r="EW20" s="151"/>
      <c r="EX20" s="151"/>
      <c r="EY20" s="151"/>
      <c r="EZ20" s="151"/>
      <c r="FA20" s="151"/>
      <c r="FB20" s="151"/>
      <c r="FC20" s="151"/>
      <c r="FD20" s="151"/>
      <c r="FE20" s="151"/>
      <c r="FF20" s="151"/>
      <c r="FG20" s="151"/>
      <c r="FH20" s="151"/>
      <c r="FI20" s="151"/>
      <c r="FJ20" s="151"/>
      <c r="FK20" s="151"/>
      <c r="FL20" s="151"/>
      <c r="FM20" s="151"/>
      <c r="FN20" s="151"/>
      <c r="FO20" s="151"/>
      <c r="FP20" s="151"/>
      <c r="FQ20" s="151"/>
      <c r="FR20" s="151"/>
      <c r="FS20" s="151"/>
      <c r="FT20" s="151"/>
      <c r="FU20" s="151"/>
      <c r="FV20" s="151"/>
      <c r="FW20" s="151"/>
      <c r="FX20" s="151"/>
      <c r="FY20" s="151"/>
      <c r="FZ20" s="151"/>
      <c r="GA20" s="151"/>
      <c r="GB20" s="151"/>
      <c r="GC20" s="151"/>
      <c r="GD20" s="151"/>
      <c r="GE20" s="151"/>
      <c r="GF20" s="151"/>
      <c r="GG20" s="152"/>
    </row>
    <row r="21" spans="1:189" ht="27.75" x14ac:dyDescent="0.35">
      <c r="A21" s="281" t="s">
        <v>656</v>
      </c>
      <c r="B21" s="282"/>
      <c r="C21" s="282" t="s">
        <v>1084</v>
      </c>
      <c r="D21" s="283"/>
      <c r="E21" s="282" t="s">
        <v>1087</v>
      </c>
      <c r="F21" s="282" t="s">
        <v>1088</v>
      </c>
      <c r="G21" s="284">
        <v>2</v>
      </c>
      <c r="H21" s="285" t="s">
        <v>264</v>
      </c>
      <c r="I21" s="286"/>
      <c r="J21" s="282"/>
      <c r="K21" s="286"/>
      <c r="L21" s="287">
        <v>45962</v>
      </c>
      <c r="M21" s="287">
        <v>46022</v>
      </c>
      <c r="N21" s="287">
        <v>46022</v>
      </c>
      <c r="O21" s="287">
        <v>45995</v>
      </c>
      <c r="P21" s="287">
        <v>46934</v>
      </c>
      <c r="Q21" s="288" t="s">
        <v>20</v>
      </c>
      <c r="R21" s="289">
        <v>12200000</v>
      </c>
      <c r="S21" s="290">
        <v>12200000</v>
      </c>
      <c r="T21" s="289">
        <v>12100000</v>
      </c>
      <c r="U21" s="191">
        <f t="shared" ref="U21:U136" si="28">IF(Q21="",0,IF(T21="",0,+S21-T21))</f>
        <v>100000</v>
      </c>
      <c r="V21" s="291"/>
      <c r="W21" s="292"/>
      <c r="X21" s="46"/>
      <c r="Y21" s="167">
        <f t="shared" si="22"/>
        <v>12200000</v>
      </c>
      <c r="Z21" s="167">
        <f t="shared" si="23"/>
        <v>12100000</v>
      </c>
      <c r="AA21" s="167">
        <f t="shared" si="24"/>
        <v>100000</v>
      </c>
      <c r="AB21" s="167">
        <f t="shared" si="25"/>
        <v>0</v>
      </c>
      <c r="AC21" s="167">
        <f t="shared" si="26"/>
        <v>0</v>
      </c>
      <c r="AD21" s="167">
        <f t="shared" si="27"/>
        <v>0</v>
      </c>
      <c r="AF21" s="47">
        <f t="shared" si="21"/>
        <v>1</v>
      </c>
      <c r="AG21" s="202" t="str">
        <f t="shared" si="13"/>
        <v xml:space="preserve"> Detailed architectural, structural, sanitary and road designs BoRd_01</v>
      </c>
      <c r="AH21" s="150"/>
      <c r="AI21" s="151"/>
      <c r="AJ21" s="151"/>
      <c r="AK21" s="151"/>
      <c r="AL21" s="151"/>
      <c r="AM21" s="151"/>
      <c r="AN21" s="151"/>
      <c r="AO21" s="151"/>
      <c r="AP21" s="151"/>
      <c r="AQ21" s="151"/>
      <c r="AR21" s="151"/>
      <c r="AS21" s="151"/>
      <c r="AT21" s="151"/>
      <c r="AU21" s="151"/>
      <c r="AV21" s="151"/>
      <c r="AW21" s="151"/>
      <c r="AX21" s="151"/>
      <c r="AY21" s="151"/>
      <c r="AZ21" s="151"/>
      <c r="BA21" s="151"/>
      <c r="BB21" s="151"/>
      <c r="BC21" s="151"/>
      <c r="BD21" s="151"/>
      <c r="BE21" s="151"/>
      <c r="BF21" s="151"/>
      <c r="BG21" s="151"/>
      <c r="BH21" s="151"/>
      <c r="BI21" s="151"/>
      <c r="BJ21" s="151"/>
      <c r="BK21" s="151"/>
      <c r="BL21" s="151"/>
      <c r="BM21" s="151"/>
      <c r="BN21" s="151"/>
      <c r="BO21" s="151"/>
      <c r="BP21" s="151"/>
      <c r="BQ21" s="151"/>
      <c r="BR21" s="151"/>
      <c r="BS21" s="151"/>
      <c r="BT21" s="151"/>
      <c r="BU21" s="151"/>
      <c r="BV21" s="151"/>
      <c r="BW21" s="151"/>
      <c r="BX21" s="151"/>
      <c r="BY21" s="151"/>
      <c r="BZ21" s="151"/>
      <c r="CA21" s="151"/>
      <c r="CB21" s="151"/>
      <c r="CC21" s="151"/>
      <c r="CD21" s="151"/>
      <c r="CE21" s="151"/>
      <c r="CF21" s="151"/>
      <c r="CG21" s="151"/>
      <c r="CH21" s="151"/>
      <c r="CI21" s="151"/>
      <c r="CJ21" s="151"/>
      <c r="CK21" s="151"/>
      <c r="CL21" s="151"/>
      <c r="CM21" s="151"/>
      <c r="CN21" s="151"/>
      <c r="CO21" s="151"/>
      <c r="CP21" s="151"/>
      <c r="CQ21" s="151"/>
      <c r="CR21" s="151"/>
      <c r="CS21" s="151"/>
      <c r="CT21" s="151"/>
      <c r="CU21" s="151"/>
      <c r="CV21" s="151"/>
      <c r="CW21" s="151"/>
      <c r="CX21" s="151"/>
      <c r="CY21" s="151"/>
      <c r="CZ21" s="151"/>
      <c r="DA21" s="151"/>
      <c r="DB21" s="151"/>
      <c r="DC21" s="151"/>
      <c r="DD21" s="151"/>
      <c r="DE21" s="151"/>
      <c r="DF21" s="151"/>
      <c r="DG21" s="151"/>
      <c r="DH21" s="151"/>
      <c r="DI21" s="151"/>
      <c r="DJ21" s="151"/>
      <c r="DK21" s="151"/>
      <c r="DL21" s="151"/>
      <c r="DM21" s="151"/>
      <c r="DN21" s="151"/>
      <c r="DO21" s="151"/>
      <c r="DP21" s="151"/>
      <c r="DQ21" s="151"/>
      <c r="DR21" s="151"/>
      <c r="DS21" s="151"/>
      <c r="DT21" s="151"/>
      <c r="DU21" s="151"/>
      <c r="DV21" s="151"/>
      <c r="DW21" s="151"/>
      <c r="DX21" s="151"/>
      <c r="DY21" s="151"/>
      <c r="DZ21" s="151"/>
      <c r="EA21" s="151"/>
      <c r="EB21" s="151"/>
      <c r="EC21" s="151"/>
      <c r="ED21" s="151"/>
      <c r="EE21" s="151"/>
      <c r="EF21" s="151"/>
      <c r="EG21" s="151"/>
      <c r="EH21" s="151"/>
      <c r="EI21" s="151"/>
      <c r="EJ21" s="151"/>
      <c r="EK21" s="151"/>
      <c r="EL21" s="151"/>
      <c r="EM21" s="151"/>
      <c r="EN21" s="151"/>
      <c r="EO21" s="151"/>
      <c r="EP21" s="151"/>
      <c r="EQ21" s="151"/>
      <c r="ER21" s="151"/>
      <c r="ES21" s="151"/>
      <c r="ET21" s="151"/>
      <c r="EU21" s="151"/>
      <c r="EV21" s="151"/>
      <c r="EW21" s="151"/>
      <c r="EX21" s="151"/>
      <c r="EY21" s="151"/>
      <c r="EZ21" s="151"/>
      <c r="FA21" s="151"/>
      <c r="FB21" s="151"/>
      <c r="FC21" s="151"/>
      <c r="FD21" s="151"/>
      <c r="FE21" s="151"/>
      <c r="FF21" s="151"/>
      <c r="FG21" s="151"/>
      <c r="FH21" s="151"/>
      <c r="FI21" s="151"/>
      <c r="FJ21" s="151"/>
      <c r="FK21" s="151"/>
      <c r="FL21" s="151"/>
      <c r="FM21" s="151"/>
      <c r="FN21" s="151"/>
      <c r="FO21" s="151"/>
      <c r="FP21" s="151"/>
      <c r="FQ21" s="151"/>
      <c r="FR21" s="151"/>
      <c r="FS21" s="151"/>
      <c r="FT21" s="151"/>
      <c r="FU21" s="151"/>
      <c r="FV21" s="151"/>
      <c r="FW21" s="151"/>
      <c r="FX21" s="151"/>
      <c r="FY21" s="151"/>
      <c r="FZ21" s="151"/>
      <c r="GA21" s="151"/>
      <c r="GB21" s="151"/>
      <c r="GC21" s="151"/>
      <c r="GD21" s="151"/>
      <c r="GE21" s="151"/>
      <c r="GF21" s="151"/>
      <c r="GG21" s="152"/>
    </row>
    <row r="22" spans="1:189" ht="41.65" x14ac:dyDescent="0.35">
      <c r="A22" s="281" t="s">
        <v>657</v>
      </c>
      <c r="B22" s="282"/>
      <c r="C22" s="282" t="s">
        <v>1085</v>
      </c>
      <c r="D22" s="283"/>
      <c r="E22" s="282" t="s">
        <v>1337</v>
      </c>
      <c r="F22" s="282" t="s">
        <v>1338</v>
      </c>
      <c r="G22" s="284">
        <v>2</v>
      </c>
      <c r="H22" s="285" t="s">
        <v>1324</v>
      </c>
      <c r="I22" s="286"/>
      <c r="J22" s="282"/>
      <c r="K22" s="286"/>
      <c r="L22" s="287">
        <v>46068</v>
      </c>
      <c r="M22" s="287">
        <v>46129</v>
      </c>
      <c r="N22" s="287">
        <v>46080</v>
      </c>
      <c r="O22" s="287">
        <v>46068</v>
      </c>
      <c r="P22" s="287">
        <v>46752</v>
      </c>
      <c r="Q22" s="288" t="s">
        <v>20</v>
      </c>
      <c r="R22" s="289">
        <v>500000</v>
      </c>
      <c r="S22" s="290">
        <f>500000+443000</f>
        <v>943000</v>
      </c>
      <c r="T22" s="289">
        <v>943000</v>
      </c>
      <c r="U22" s="191">
        <f t="shared" si="28"/>
        <v>0</v>
      </c>
      <c r="V22" s="291"/>
      <c r="W22" s="309" t="s">
        <v>1325</v>
      </c>
      <c r="X22" s="46"/>
      <c r="Y22" s="167">
        <f t="shared" si="22"/>
        <v>943000</v>
      </c>
      <c r="Z22" s="167">
        <f t="shared" si="23"/>
        <v>943000</v>
      </c>
      <c r="AA22" s="167">
        <f t="shared" si="24"/>
        <v>0</v>
      </c>
      <c r="AB22" s="167">
        <f t="shared" si="25"/>
        <v>0</v>
      </c>
      <c r="AC22" s="167">
        <f t="shared" si="26"/>
        <v>0</v>
      </c>
      <c r="AD22" s="167">
        <f t="shared" si="27"/>
        <v>0</v>
      </c>
      <c r="AF22" s="180">
        <f t="shared" si="21"/>
        <v>1</v>
      </c>
      <c r="AG22" s="202" t="str">
        <f t="shared" si="13"/>
        <v xml:space="preserve"> Detailed design: boiler support steel structure and equipment support structures ECd_41</v>
      </c>
      <c r="AH22" s="150"/>
      <c r="AI22" s="151"/>
      <c r="AJ22" s="151"/>
      <c r="AK22" s="151"/>
      <c r="AL22" s="151"/>
      <c r="AM22" s="151"/>
      <c r="AN22" s="151"/>
      <c r="AO22" s="151"/>
      <c r="AP22" s="151"/>
      <c r="AQ22" s="151"/>
      <c r="AR22" s="151"/>
      <c r="AS22" s="151"/>
      <c r="AT22" s="151"/>
      <c r="AU22" s="151"/>
      <c r="AV22" s="151"/>
      <c r="AW22" s="151"/>
      <c r="AX22" s="151"/>
      <c r="AY22" s="151"/>
      <c r="AZ22" s="151"/>
      <c r="BA22" s="151"/>
      <c r="BB22" s="151"/>
      <c r="BC22" s="151"/>
      <c r="BD22" s="151"/>
      <c r="BE22" s="151"/>
      <c r="BF22" s="151"/>
      <c r="BG22" s="151"/>
      <c r="BH22" s="151"/>
      <c r="BI22" s="151"/>
      <c r="BJ22" s="151"/>
      <c r="BK22" s="151"/>
      <c r="BL22" s="151"/>
      <c r="BM22" s="151"/>
      <c r="BN22" s="151"/>
      <c r="BO22" s="151"/>
      <c r="BP22" s="151"/>
      <c r="BQ22" s="151"/>
      <c r="BR22" s="151"/>
      <c r="BS22" s="151"/>
      <c r="BT22" s="151"/>
      <c r="BU22" s="151"/>
      <c r="BV22" s="151"/>
      <c r="BW22" s="151"/>
      <c r="BX22" s="151"/>
      <c r="BY22" s="151"/>
      <c r="BZ22" s="151"/>
      <c r="CA22" s="151"/>
      <c r="CB22" s="151"/>
      <c r="CC22" s="151"/>
      <c r="CD22" s="151"/>
      <c r="CE22" s="151"/>
      <c r="CF22" s="151"/>
      <c r="CG22" s="151"/>
      <c r="CH22" s="151"/>
      <c r="CI22" s="151"/>
      <c r="CJ22" s="151"/>
      <c r="CK22" s="151"/>
      <c r="CL22" s="151"/>
      <c r="CM22" s="151"/>
      <c r="CN22" s="151"/>
      <c r="CO22" s="151"/>
      <c r="CP22" s="151"/>
      <c r="CQ22" s="151"/>
      <c r="CR22" s="151"/>
      <c r="CS22" s="151"/>
      <c r="CT22" s="151"/>
      <c r="CU22" s="151"/>
      <c r="CV22" s="151"/>
      <c r="CW22" s="151"/>
      <c r="CX22" s="151"/>
      <c r="CY22" s="151"/>
      <c r="CZ22" s="151"/>
      <c r="DA22" s="151"/>
      <c r="DB22" s="151"/>
      <c r="DC22" s="151"/>
      <c r="DD22" s="151"/>
      <c r="DE22" s="151"/>
      <c r="DF22" s="151"/>
      <c r="DG22" s="151"/>
      <c r="DH22" s="151"/>
      <c r="DI22" s="151"/>
      <c r="DJ22" s="151"/>
      <c r="DK22" s="151"/>
      <c r="DL22" s="151"/>
      <c r="DM22" s="151"/>
      <c r="DN22" s="151"/>
      <c r="DO22" s="151"/>
      <c r="DP22" s="151"/>
      <c r="DQ22" s="151"/>
      <c r="DR22" s="151"/>
      <c r="DS22" s="151"/>
      <c r="DT22" s="151"/>
      <c r="DU22" s="151"/>
      <c r="DV22" s="151"/>
      <c r="DW22" s="151"/>
      <c r="DX22" s="151"/>
      <c r="DY22" s="151"/>
      <c r="DZ22" s="151"/>
      <c r="EA22" s="151"/>
      <c r="EB22" s="151"/>
      <c r="EC22" s="151"/>
      <c r="ED22" s="151"/>
      <c r="EE22" s="151"/>
      <c r="EF22" s="151"/>
      <c r="EG22" s="151"/>
      <c r="EH22" s="151"/>
      <c r="EI22" s="151"/>
      <c r="EJ22" s="151"/>
      <c r="EK22" s="151"/>
      <c r="EL22" s="151"/>
      <c r="EM22" s="151"/>
      <c r="EN22" s="151"/>
      <c r="EO22" s="151"/>
      <c r="EP22" s="151"/>
      <c r="EQ22" s="151"/>
      <c r="ER22" s="151"/>
      <c r="ES22" s="151"/>
      <c r="ET22" s="151"/>
      <c r="EU22" s="151"/>
      <c r="EV22" s="151"/>
      <c r="EW22" s="151"/>
      <c r="EX22" s="151"/>
      <c r="EY22" s="151"/>
      <c r="EZ22" s="151"/>
      <c r="FA22" s="151"/>
      <c r="FB22" s="151"/>
      <c r="FC22" s="151"/>
      <c r="FD22" s="151"/>
      <c r="FE22" s="151"/>
      <c r="FF22" s="151"/>
      <c r="FG22" s="151"/>
      <c r="FH22" s="151"/>
      <c r="FI22" s="151"/>
      <c r="FJ22" s="151"/>
      <c r="FK22" s="151"/>
      <c r="FL22" s="151"/>
      <c r="FM22" s="151"/>
      <c r="FN22" s="151"/>
      <c r="FO22" s="151"/>
      <c r="FP22" s="151"/>
      <c r="FQ22" s="151"/>
      <c r="FR22" s="151"/>
      <c r="FS22" s="151"/>
      <c r="FT22" s="151"/>
      <c r="FU22" s="151"/>
      <c r="FV22" s="151"/>
      <c r="FW22" s="151"/>
      <c r="FX22" s="151"/>
      <c r="FY22" s="151"/>
      <c r="FZ22" s="151"/>
      <c r="GA22" s="151"/>
      <c r="GB22" s="151"/>
      <c r="GC22" s="151"/>
      <c r="GD22" s="151"/>
      <c r="GE22" s="151"/>
      <c r="GF22" s="151"/>
      <c r="GG22" s="152"/>
    </row>
    <row r="23" spans="1:189" x14ac:dyDescent="0.35">
      <c r="A23" s="281" t="s">
        <v>658</v>
      </c>
      <c r="B23" s="282"/>
      <c r="C23" s="282"/>
      <c r="D23" s="283"/>
      <c r="E23" s="282" t="s">
        <v>381</v>
      </c>
      <c r="F23" s="282" t="s">
        <v>265</v>
      </c>
      <c r="G23" s="284">
        <v>2</v>
      </c>
      <c r="H23" s="285"/>
      <c r="I23" s="286"/>
      <c r="J23" s="282"/>
      <c r="K23" s="286"/>
      <c r="L23" s="287">
        <v>46173</v>
      </c>
      <c r="M23" s="287">
        <v>46218</v>
      </c>
      <c r="N23" s="287"/>
      <c r="O23" s="287">
        <v>46204</v>
      </c>
      <c r="P23" s="287">
        <v>46934</v>
      </c>
      <c r="Q23" s="288" t="s">
        <v>45</v>
      </c>
      <c r="R23" s="289">
        <v>260000</v>
      </c>
      <c r="S23" s="290">
        <v>260000</v>
      </c>
      <c r="T23" s="289"/>
      <c r="U23" s="191">
        <f t="shared" si="28"/>
        <v>0</v>
      </c>
      <c r="V23" s="291"/>
      <c r="W23" s="292"/>
      <c r="X23" s="46"/>
      <c r="Y23" s="167">
        <f t="shared" si="22"/>
        <v>260000</v>
      </c>
      <c r="Z23" s="167">
        <f t="shared" si="23"/>
        <v>0</v>
      </c>
      <c r="AA23" s="167">
        <f t="shared" si="24"/>
        <v>260000</v>
      </c>
      <c r="AB23" s="167">
        <f t="shared" si="25"/>
        <v>0</v>
      </c>
      <c r="AC23" s="167">
        <f t="shared" si="26"/>
        <v>0</v>
      </c>
      <c r="AD23" s="167">
        <f t="shared" si="27"/>
        <v>0</v>
      </c>
      <c r="AF23" s="47">
        <f t="shared" si="21"/>
        <v>1</v>
      </c>
      <c r="AG23" s="202" t="str">
        <f t="shared" si="13"/>
        <v xml:space="preserve"> Detailed design: fire-fighting system</v>
      </c>
      <c r="AH23" s="172"/>
      <c r="AI23" s="173"/>
      <c r="AJ23" s="173"/>
      <c r="AK23" s="173"/>
      <c r="AL23" s="173"/>
      <c r="AM23" s="173"/>
      <c r="AN23" s="173"/>
      <c r="AO23" s="173"/>
      <c r="AP23" s="173"/>
      <c r="AQ23" s="173"/>
      <c r="AR23" s="173"/>
      <c r="AS23" s="173"/>
      <c r="AT23" s="173"/>
      <c r="AU23" s="173"/>
      <c r="AV23" s="173"/>
      <c r="AW23" s="173"/>
      <c r="AX23" s="173"/>
      <c r="AY23" s="173"/>
      <c r="AZ23" s="173"/>
      <c r="BA23" s="173"/>
      <c r="BB23" s="173"/>
      <c r="BC23" s="173"/>
      <c r="BD23" s="173"/>
      <c r="BE23" s="173"/>
      <c r="BF23" s="173"/>
      <c r="BG23" s="173"/>
      <c r="BH23" s="173"/>
      <c r="BI23" s="173"/>
      <c r="BJ23" s="173"/>
      <c r="BK23" s="173"/>
      <c r="BL23" s="173"/>
      <c r="BM23" s="173"/>
      <c r="BN23" s="173"/>
      <c r="BO23" s="173"/>
      <c r="BP23" s="173"/>
      <c r="BQ23" s="173"/>
      <c r="BR23" s="173"/>
      <c r="BS23" s="173"/>
      <c r="BT23" s="173"/>
      <c r="BU23" s="173"/>
      <c r="BV23" s="173"/>
      <c r="BW23" s="173"/>
      <c r="BX23" s="173"/>
      <c r="BY23" s="173"/>
      <c r="BZ23" s="173"/>
      <c r="CA23" s="173"/>
      <c r="CB23" s="173"/>
      <c r="CC23" s="173"/>
      <c r="CD23" s="173"/>
      <c r="CE23" s="173"/>
      <c r="CF23" s="173"/>
      <c r="CG23" s="173"/>
      <c r="CH23" s="173"/>
      <c r="CI23" s="173"/>
      <c r="CJ23" s="173"/>
      <c r="CK23" s="173"/>
      <c r="CL23" s="173"/>
      <c r="CM23" s="173"/>
      <c r="CN23" s="173"/>
      <c r="CO23" s="173"/>
      <c r="CP23" s="173"/>
      <c r="CQ23" s="173"/>
      <c r="CR23" s="173"/>
      <c r="CS23" s="173"/>
      <c r="CT23" s="173"/>
      <c r="CU23" s="173"/>
      <c r="CV23" s="173"/>
      <c r="CW23" s="173"/>
      <c r="CX23" s="173"/>
      <c r="CY23" s="151"/>
      <c r="CZ23" s="151"/>
      <c r="DA23" s="151"/>
      <c r="DB23" s="151"/>
      <c r="DC23" s="151"/>
      <c r="DD23" s="151"/>
      <c r="DE23" s="151"/>
      <c r="DF23" s="151"/>
      <c r="DG23" s="151"/>
      <c r="DH23" s="151"/>
      <c r="DI23" s="151"/>
      <c r="DJ23" s="151"/>
      <c r="DK23" s="151"/>
      <c r="DL23" s="151"/>
      <c r="DM23" s="151"/>
      <c r="DN23" s="151"/>
      <c r="DO23" s="151"/>
      <c r="DP23" s="151"/>
      <c r="DQ23" s="151"/>
      <c r="DR23" s="151"/>
      <c r="DS23" s="151"/>
      <c r="DT23" s="151"/>
      <c r="DU23" s="151"/>
      <c r="DV23" s="151"/>
      <c r="DW23" s="151"/>
      <c r="DX23" s="151"/>
      <c r="DY23" s="151"/>
      <c r="DZ23" s="151"/>
      <c r="EA23" s="151"/>
      <c r="EB23" s="151"/>
      <c r="EC23" s="151"/>
      <c r="ED23" s="151"/>
      <c r="EE23" s="151"/>
      <c r="EF23" s="151"/>
      <c r="EG23" s="151"/>
      <c r="EH23" s="151"/>
      <c r="EI23" s="151"/>
      <c r="EJ23" s="151"/>
      <c r="EK23" s="151"/>
      <c r="EL23" s="151"/>
      <c r="EM23" s="151"/>
      <c r="EN23" s="151"/>
      <c r="EO23" s="151"/>
      <c r="EP23" s="151"/>
      <c r="EQ23" s="151"/>
      <c r="ER23" s="151"/>
      <c r="ES23" s="151"/>
      <c r="ET23" s="151"/>
      <c r="EU23" s="151"/>
      <c r="EV23" s="151"/>
      <c r="EW23" s="151"/>
      <c r="EX23" s="151"/>
      <c r="EY23" s="151"/>
      <c r="EZ23" s="151"/>
      <c r="FA23" s="151"/>
      <c r="FB23" s="151"/>
      <c r="FC23" s="151"/>
      <c r="FD23" s="151"/>
      <c r="FE23" s="151"/>
      <c r="FF23" s="151"/>
      <c r="FG23" s="151"/>
      <c r="FH23" s="151"/>
      <c r="FI23" s="151"/>
      <c r="FJ23" s="151"/>
      <c r="FK23" s="151"/>
      <c r="FL23" s="151"/>
      <c r="FM23" s="151"/>
      <c r="FN23" s="151"/>
      <c r="FO23" s="151"/>
      <c r="FP23" s="151"/>
      <c r="FQ23" s="151"/>
      <c r="FR23" s="151"/>
      <c r="FS23" s="151"/>
      <c r="FT23" s="151"/>
      <c r="FU23" s="151"/>
      <c r="FV23" s="151"/>
      <c r="FW23" s="151"/>
      <c r="FX23" s="151"/>
      <c r="FY23" s="151"/>
      <c r="FZ23" s="151"/>
      <c r="GA23" s="151"/>
      <c r="GB23" s="151"/>
      <c r="GC23" s="151"/>
      <c r="GD23" s="151"/>
      <c r="GE23" s="151"/>
      <c r="GF23" s="151"/>
      <c r="GG23" s="152"/>
    </row>
    <row r="24" spans="1:189" ht="27.75" x14ac:dyDescent="0.35">
      <c r="A24" s="281" t="s">
        <v>659</v>
      </c>
      <c r="B24" s="282"/>
      <c r="C24" s="282" t="s">
        <v>1187</v>
      </c>
      <c r="D24" s="283"/>
      <c r="E24" s="282" t="s">
        <v>383</v>
      </c>
      <c r="F24" s="282" t="s">
        <v>257</v>
      </c>
      <c r="G24" s="284">
        <v>2</v>
      </c>
      <c r="H24" s="285" t="s">
        <v>1050</v>
      </c>
      <c r="I24" s="286"/>
      <c r="J24" s="282"/>
      <c r="K24" s="286"/>
      <c r="L24" s="287">
        <v>46096</v>
      </c>
      <c r="M24" s="287">
        <v>46134</v>
      </c>
      <c r="N24" s="287">
        <v>46134</v>
      </c>
      <c r="O24" s="287">
        <v>46054</v>
      </c>
      <c r="P24" s="287">
        <v>46934</v>
      </c>
      <c r="Q24" s="288" t="s">
        <v>20</v>
      </c>
      <c r="R24" s="289">
        <v>1580000</v>
      </c>
      <c r="S24" s="290">
        <v>1580000</v>
      </c>
      <c r="T24" s="289">
        <v>1620000</v>
      </c>
      <c r="U24" s="191">
        <f t="shared" si="28"/>
        <v>-40000</v>
      </c>
      <c r="V24" s="291"/>
      <c r="W24" s="292"/>
      <c r="X24" s="46"/>
      <c r="Y24" s="167">
        <f t="shared" si="22"/>
        <v>1580000</v>
      </c>
      <c r="Z24" s="167">
        <f t="shared" si="23"/>
        <v>1620000</v>
      </c>
      <c r="AA24" s="167">
        <f t="shared" si="24"/>
        <v>-40000</v>
      </c>
      <c r="AB24" s="167">
        <f t="shared" si="25"/>
        <v>0</v>
      </c>
      <c r="AC24" s="167">
        <f t="shared" si="26"/>
        <v>0</v>
      </c>
      <c r="AD24" s="167">
        <f t="shared" si="27"/>
        <v>0</v>
      </c>
      <c r="AF24" s="180">
        <f t="shared" si="21"/>
        <v>1</v>
      </c>
      <c r="AG24" s="202" t="str">
        <f t="shared" si="13"/>
        <v xml:space="preserve"> Electrical &amp; I/C detailed design </v>
      </c>
      <c r="AH24" s="172"/>
      <c r="AI24" s="173"/>
      <c r="AJ24" s="173"/>
      <c r="AK24" s="173"/>
      <c r="AL24" s="173"/>
      <c r="AM24" s="173"/>
      <c r="AN24" s="173"/>
      <c r="AO24" s="173"/>
      <c r="AP24" s="173"/>
      <c r="AQ24" s="173"/>
      <c r="AR24" s="173"/>
      <c r="AS24" s="173"/>
      <c r="AT24" s="173"/>
      <c r="AU24" s="173"/>
      <c r="AV24" s="173"/>
      <c r="AW24" s="173"/>
      <c r="AX24" s="173"/>
      <c r="AY24" s="173"/>
      <c r="AZ24" s="173"/>
      <c r="BA24" s="173"/>
      <c r="BB24" s="173"/>
      <c r="BC24" s="173"/>
      <c r="BD24" s="173"/>
      <c r="BE24" s="173"/>
      <c r="BF24" s="173"/>
      <c r="BG24" s="173"/>
      <c r="BH24" s="173"/>
      <c r="BI24" s="173"/>
      <c r="BJ24" s="173"/>
      <c r="BK24" s="173"/>
      <c r="BL24" s="173"/>
      <c r="BM24" s="173"/>
      <c r="BN24" s="173"/>
      <c r="BO24" s="173"/>
      <c r="BP24" s="173"/>
      <c r="BQ24" s="173"/>
      <c r="BR24" s="173"/>
      <c r="BS24" s="173"/>
      <c r="BT24" s="173"/>
      <c r="BU24" s="173"/>
      <c r="BV24" s="173"/>
      <c r="BW24" s="173"/>
      <c r="BX24" s="173"/>
      <c r="BY24" s="173"/>
      <c r="BZ24" s="173"/>
      <c r="CA24" s="173"/>
      <c r="CB24" s="173"/>
      <c r="CC24" s="173"/>
      <c r="CD24" s="173"/>
      <c r="CE24" s="173"/>
      <c r="CF24" s="173"/>
      <c r="CG24" s="173"/>
      <c r="CH24" s="173"/>
      <c r="CI24" s="173"/>
      <c r="CJ24" s="173"/>
      <c r="CK24" s="173"/>
      <c r="CL24" s="173"/>
      <c r="CM24" s="173"/>
      <c r="CN24" s="173"/>
      <c r="CO24" s="173"/>
      <c r="CP24" s="173"/>
      <c r="CQ24" s="173"/>
      <c r="CR24" s="173"/>
      <c r="CS24" s="173"/>
      <c r="CT24" s="173"/>
      <c r="CU24" s="173"/>
      <c r="CV24" s="173"/>
      <c r="CW24" s="173"/>
      <c r="CX24" s="173"/>
      <c r="CY24" s="151"/>
      <c r="CZ24" s="151"/>
      <c r="DA24" s="151"/>
      <c r="DB24" s="151"/>
      <c r="DC24" s="151"/>
      <c r="DD24" s="151"/>
      <c r="DE24" s="151"/>
      <c r="DF24" s="151"/>
      <c r="DG24" s="151"/>
      <c r="DH24" s="151"/>
      <c r="DI24" s="151"/>
      <c r="DJ24" s="151"/>
      <c r="DK24" s="151"/>
      <c r="DL24" s="151"/>
      <c r="DM24" s="151"/>
      <c r="DN24" s="151"/>
      <c r="DO24" s="151"/>
      <c r="DP24" s="151"/>
      <c r="DQ24" s="151"/>
      <c r="DR24" s="151"/>
      <c r="DS24" s="151"/>
      <c r="DT24" s="151"/>
      <c r="DU24" s="151"/>
      <c r="DV24" s="151"/>
      <c r="DW24" s="151"/>
      <c r="DX24" s="151"/>
      <c r="DY24" s="151"/>
      <c r="DZ24" s="151"/>
      <c r="EA24" s="151"/>
      <c r="EB24" s="151"/>
      <c r="EC24" s="151"/>
      <c r="ED24" s="151"/>
      <c r="EE24" s="151"/>
      <c r="EF24" s="151"/>
      <c r="EG24" s="151"/>
      <c r="EH24" s="151"/>
      <c r="EI24" s="151"/>
      <c r="EJ24" s="151"/>
      <c r="EK24" s="151"/>
      <c r="EL24" s="151"/>
      <c r="EM24" s="151"/>
      <c r="EN24" s="151"/>
      <c r="EO24" s="151"/>
      <c r="EP24" s="151"/>
      <c r="EQ24" s="151"/>
      <c r="ER24" s="151"/>
      <c r="ES24" s="151"/>
      <c r="ET24" s="151"/>
      <c r="EU24" s="151"/>
      <c r="EV24" s="151"/>
      <c r="EW24" s="151"/>
      <c r="EX24" s="151"/>
      <c r="EY24" s="151"/>
      <c r="EZ24" s="151"/>
      <c r="FA24" s="151"/>
      <c r="FB24" s="151"/>
      <c r="FC24" s="151"/>
      <c r="FD24" s="151"/>
      <c r="FE24" s="151"/>
      <c r="FF24" s="151"/>
      <c r="FG24" s="151"/>
      <c r="FH24" s="151"/>
      <c r="FI24" s="151"/>
      <c r="FJ24" s="151"/>
      <c r="FK24" s="151"/>
      <c r="FL24" s="151"/>
      <c r="FM24" s="151"/>
      <c r="FN24" s="151"/>
      <c r="FO24" s="151"/>
      <c r="FP24" s="151"/>
      <c r="FQ24" s="151"/>
      <c r="FR24" s="151"/>
      <c r="FS24" s="151"/>
      <c r="FT24" s="151"/>
      <c r="FU24" s="151"/>
      <c r="FV24" s="151"/>
      <c r="FW24" s="151"/>
      <c r="FX24" s="151"/>
      <c r="FY24" s="151"/>
      <c r="FZ24" s="151"/>
      <c r="GA24" s="151"/>
      <c r="GB24" s="151"/>
      <c r="GC24" s="151"/>
      <c r="GD24" s="151"/>
      <c r="GE24" s="151"/>
      <c r="GF24" s="151"/>
      <c r="GG24" s="152"/>
    </row>
    <row r="25" spans="1:189" ht="41.65" x14ac:dyDescent="0.35">
      <c r="A25" s="281" t="s">
        <v>660</v>
      </c>
      <c r="B25" s="282"/>
      <c r="C25" s="282" t="s">
        <v>1086</v>
      </c>
      <c r="D25" s="283"/>
      <c r="E25" s="282" t="s">
        <v>1171</v>
      </c>
      <c r="F25" s="282" t="s">
        <v>1172</v>
      </c>
      <c r="G25" s="284">
        <v>2</v>
      </c>
      <c r="H25" s="285" t="s">
        <v>1089</v>
      </c>
      <c r="I25" s="286"/>
      <c r="J25" s="282"/>
      <c r="K25" s="286"/>
      <c r="L25" s="287">
        <v>46031</v>
      </c>
      <c r="M25" s="287">
        <v>46052</v>
      </c>
      <c r="N25" s="287"/>
      <c r="O25" s="287">
        <v>46054</v>
      </c>
      <c r="P25" s="287">
        <v>46934</v>
      </c>
      <c r="Q25" s="288" t="s">
        <v>20</v>
      </c>
      <c r="R25" s="289">
        <v>440000</v>
      </c>
      <c r="S25" s="290">
        <v>440000</v>
      </c>
      <c r="T25" s="289">
        <v>390000</v>
      </c>
      <c r="U25" s="191">
        <f t="shared" si="28"/>
        <v>50000</v>
      </c>
      <c r="V25" s="291"/>
      <c r="W25" s="292"/>
      <c r="X25" s="46"/>
      <c r="Y25" s="167">
        <f t="shared" si="22"/>
        <v>440000</v>
      </c>
      <c r="Z25" s="167">
        <f t="shared" si="23"/>
        <v>390000</v>
      </c>
      <c r="AA25" s="167">
        <f t="shared" si="24"/>
        <v>50000</v>
      </c>
      <c r="AB25" s="167">
        <f t="shared" si="25"/>
        <v>0</v>
      </c>
      <c r="AC25" s="167">
        <f t="shared" si="26"/>
        <v>0</v>
      </c>
      <c r="AD25" s="167">
        <f t="shared" si="27"/>
        <v>0</v>
      </c>
      <c r="AF25" s="47">
        <f t="shared" si="21"/>
        <v>1</v>
      </c>
      <c r="AG25" s="202" t="str">
        <f t="shared" si="13"/>
        <v xml:space="preserve"> Building and detailed design of the GPO/GPZ station ECd_13</v>
      </c>
      <c r="AH25" s="150"/>
      <c r="AI25" s="151"/>
      <c r="AJ25" s="151"/>
      <c r="AK25" s="151"/>
      <c r="AL25" s="151"/>
      <c r="AM25" s="151"/>
      <c r="AN25" s="151"/>
      <c r="AO25" s="151"/>
      <c r="AP25" s="151"/>
      <c r="AQ25" s="151"/>
      <c r="AR25" s="151"/>
      <c r="AS25" s="151"/>
      <c r="AT25" s="151"/>
      <c r="AU25" s="151"/>
      <c r="AV25" s="151"/>
      <c r="AW25" s="151"/>
      <c r="AX25" s="151"/>
      <c r="AY25" s="151"/>
      <c r="AZ25" s="151"/>
      <c r="BA25" s="151"/>
      <c r="BB25" s="151"/>
      <c r="BC25" s="151"/>
      <c r="BD25" s="151"/>
      <c r="BE25" s="151"/>
      <c r="BF25" s="151"/>
      <c r="BG25" s="151"/>
      <c r="BH25" s="151"/>
      <c r="BI25" s="151"/>
      <c r="BJ25" s="151"/>
      <c r="BK25" s="151"/>
      <c r="BL25" s="151"/>
      <c r="BM25" s="151"/>
      <c r="BN25" s="151"/>
      <c r="BO25" s="151"/>
      <c r="BP25" s="151"/>
      <c r="BQ25" s="151"/>
      <c r="BR25" s="151"/>
      <c r="BS25" s="151"/>
      <c r="BT25" s="151"/>
      <c r="BU25" s="151"/>
      <c r="BV25" s="151"/>
      <c r="BW25" s="151"/>
      <c r="BX25" s="151"/>
      <c r="BY25" s="151"/>
      <c r="BZ25" s="151"/>
      <c r="CA25" s="151"/>
      <c r="CB25" s="151"/>
      <c r="CC25" s="151"/>
      <c r="CD25" s="151"/>
      <c r="CE25" s="151"/>
      <c r="CF25" s="151"/>
      <c r="CG25" s="151"/>
      <c r="CH25" s="151"/>
      <c r="CI25" s="151"/>
      <c r="CJ25" s="151"/>
      <c r="CK25" s="151"/>
      <c r="CL25" s="151"/>
      <c r="CM25" s="151"/>
      <c r="CN25" s="151"/>
      <c r="CO25" s="151"/>
      <c r="CP25" s="151"/>
      <c r="CQ25" s="151"/>
      <c r="CR25" s="151"/>
      <c r="CS25" s="151"/>
      <c r="CT25" s="151"/>
      <c r="CU25" s="151"/>
      <c r="CV25" s="151"/>
      <c r="CW25" s="151"/>
      <c r="CX25" s="151"/>
      <c r="CY25" s="151"/>
      <c r="CZ25" s="151"/>
      <c r="DA25" s="151"/>
      <c r="DB25" s="151"/>
      <c r="DC25" s="151"/>
      <c r="DD25" s="151"/>
      <c r="DE25" s="151"/>
      <c r="DF25" s="151"/>
      <c r="DG25" s="151"/>
      <c r="DH25" s="151"/>
      <c r="DI25" s="151"/>
      <c r="DJ25" s="151"/>
      <c r="DK25" s="151"/>
      <c r="DL25" s="151"/>
      <c r="DM25" s="151"/>
      <c r="DN25" s="151"/>
      <c r="DO25" s="151"/>
      <c r="DP25" s="151"/>
      <c r="DQ25" s="151"/>
      <c r="DR25" s="151"/>
      <c r="DS25" s="151"/>
      <c r="DT25" s="151"/>
      <c r="DU25" s="151"/>
      <c r="DV25" s="151"/>
      <c r="DW25" s="151"/>
      <c r="DX25" s="151"/>
      <c r="DY25" s="151"/>
      <c r="DZ25" s="151"/>
      <c r="EA25" s="151"/>
      <c r="EB25" s="151"/>
      <c r="EC25" s="151"/>
      <c r="ED25" s="151"/>
      <c r="EE25" s="151"/>
      <c r="EF25" s="151"/>
      <c r="EG25" s="151"/>
      <c r="EH25" s="151"/>
      <c r="EI25" s="151"/>
      <c r="EJ25" s="151"/>
      <c r="EK25" s="151"/>
      <c r="EL25" s="151"/>
      <c r="EM25" s="151"/>
      <c r="EN25" s="151"/>
      <c r="EO25" s="151"/>
      <c r="EP25" s="151"/>
      <c r="EQ25" s="151"/>
      <c r="ER25" s="151"/>
      <c r="ES25" s="151"/>
      <c r="ET25" s="151"/>
      <c r="EU25" s="151"/>
      <c r="EV25" s="151"/>
      <c r="EW25" s="151"/>
      <c r="EX25" s="151"/>
      <c r="EY25" s="151"/>
      <c r="EZ25" s="151"/>
      <c r="FA25" s="151"/>
      <c r="FB25" s="151"/>
      <c r="FC25" s="151"/>
      <c r="FD25" s="151"/>
      <c r="FE25" s="151"/>
      <c r="FF25" s="151"/>
      <c r="FG25" s="151"/>
      <c r="FH25" s="151"/>
      <c r="FI25" s="151"/>
      <c r="FJ25" s="151"/>
      <c r="FK25" s="151"/>
      <c r="FL25" s="151"/>
      <c r="FM25" s="151"/>
      <c r="FN25" s="151"/>
      <c r="FO25" s="151"/>
      <c r="FP25" s="151"/>
      <c r="FQ25" s="151"/>
      <c r="FR25" s="151"/>
      <c r="FS25" s="151"/>
      <c r="FT25" s="151"/>
      <c r="FU25" s="151"/>
      <c r="FV25" s="151"/>
      <c r="FW25" s="151"/>
      <c r="FX25" s="151"/>
      <c r="FY25" s="151"/>
      <c r="FZ25" s="151"/>
      <c r="GA25" s="151"/>
      <c r="GB25" s="151"/>
      <c r="GC25" s="151"/>
      <c r="GD25" s="151"/>
      <c r="GE25" s="151"/>
      <c r="GF25" s="151"/>
      <c r="GG25" s="152"/>
    </row>
    <row r="26" spans="1:189" ht="20" customHeight="1" x14ac:dyDescent="0.35">
      <c r="A26" s="281" t="s">
        <v>661</v>
      </c>
      <c r="B26" s="282"/>
      <c r="C26" s="282"/>
      <c r="D26" s="283"/>
      <c r="E26" s="282" t="s">
        <v>1061</v>
      </c>
      <c r="F26" s="282" t="s">
        <v>1056</v>
      </c>
      <c r="G26" s="284">
        <v>2</v>
      </c>
      <c r="H26" s="285"/>
      <c r="I26" s="286"/>
      <c r="J26" s="282"/>
      <c r="K26" s="286"/>
      <c r="L26" s="287">
        <v>46080</v>
      </c>
      <c r="M26" s="287">
        <v>46157</v>
      </c>
      <c r="N26" s="287"/>
      <c r="O26" s="287">
        <f>O27</f>
        <v>46157</v>
      </c>
      <c r="P26" s="287">
        <f>P28</f>
        <v>46387</v>
      </c>
      <c r="Q26" s="288" t="s">
        <v>45</v>
      </c>
      <c r="R26" s="289">
        <v>2000000</v>
      </c>
      <c r="S26" s="290">
        <v>2000000</v>
      </c>
      <c r="T26" s="289"/>
      <c r="U26" s="191">
        <f t="shared" si="28"/>
        <v>0</v>
      </c>
      <c r="V26" s="291"/>
      <c r="W26" s="292"/>
      <c r="X26" s="46"/>
      <c r="Y26" s="167">
        <f t="shared" si="22"/>
        <v>2000000</v>
      </c>
      <c r="Z26" s="167">
        <f t="shared" si="23"/>
        <v>0</v>
      </c>
      <c r="AA26" s="167">
        <f t="shared" si="24"/>
        <v>2000000</v>
      </c>
      <c r="AB26" s="167">
        <f t="shared" si="25"/>
        <v>0</v>
      </c>
      <c r="AC26" s="167">
        <f t="shared" si="26"/>
        <v>0</v>
      </c>
      <c r="AD26" s="167">
        <f t="shared" si="27"/>
        <v>0</v>
      </c>
      <c r="AF26" s="180">
        <f t="shared" si="21"/>
        <v>1</v>
      </c>
      <c r="AG26" s="202" t="str">
        <f t="shared" si="13"/>
        <v xml:space="preserve"> Ducts and piping design</v>
      </c>
      <c r="AH26" s="172"/>
      <c r="AI26" s="173"/>
      <c r="AJ26" s="173"/>
      <c r="AK26" s="173"/>
      <c r="AL26" s="173"/>
      <c r="AM26" s="173"/>
      <c r="AN26" s="173"/>
      <c r="AO26" s="173"/>
      <c r="AP26" s="173"/>
      <c r="AQ26" s="173"/>
      <c r="AR26" s="173"/>
      <c r="AS26" s="173"/>
      <c r="AT26" s="173"/>
      <c r="AU26" s="173"/>
      <c r="AV26" s="173"/>
      <c r="AW26" s="173"/>
      <c r="AX26" s="173"/>
      <c r="AY26" s="173"/>
      <c r="AZ26" s="173"/>
      <c r="BA26" s="173"/>
      <c r="BB26" s="173"/>
      <c r="BC26" s="173"/>
      <c r="BD26" s="173"/>
      <c r="BE26" s="173"/>
      <c r="BF26" s="173"/>
      <c r="BG26" s="173"/>
      <c r="BH26" s="173"/>
      <c r="BI26" s="173"/>
      <c r="BJ26" s="173"/>
      <c r="BK26" s="173"/>
      <c r="BL26" s="173"/>
      <c r="BM26" s="173"/>
      <c r="BN26" s="173"/>
      <c r="BO26" s="173"/>
      <c r="BP26" s="173"/>
      <c r="BQ26" s="173"/>
      <c r="BR26" s="173"/>
      <c r="BS26" s="173"/>
      <c r="BT26" s="173"/>
      <c r="BU26" s="173"/>
      <c r="BV26" s="173"/>
      <c r="BW26" s="173"/>
      <c r="BX26" s="173"/>
      <c r="BY26" s="173"/>
      <c r="BZ26" s="173"/>
      <c r="CA26" s="173"/>
      <c r="CB26" s="173"/>
      <c r="CC26" s="173"/>
      <c r="CD26" s="173"/>
      <c r="CE26" s="173"/>
      <c r="CF26" s="173"/>
      <c r="CG26" s="173"/>
      <c r="CH26" s="173"/>
      <c r="CI26" s="173"/>
      <c r="CJ26" s="173"/>
      <c r="CK26" s="173"/>
      <c r="CL26" s="173"/>
      <c r="CM26" s="173"/>
      <c r="CN26" s="173"/>
      <c r="CO26" s="173"/>
      <c r="CP26" s="173"/>
      <c r="CQ26" s="173"/>
      <c r="CR26" s="173"/>
      <c r="CS26" s="173"/>
      <c r="CT26" s="173"/>
      <c r="CU26" s="173"/>
      <c r="CV26" s="173"/>
      <c r="CW26" s="173"/>
      <c r="CX26" s="173"/>
      <c r="CY26" s="151"/>
      <c r="CZ26" s="151"/>
      <c r="DA26" s="151"/>
      <c r="DB26" s="151"/>
      <c r="DC26" s="151"/>
      <c r="DD26" s="151"/>
      <c r="DE26" s="151"/>
      <c r="DF26" s="151"/>
      <c r="DG26" s="151"/>
      <c r="DH26" s="151"/>
      <c r="DI26" s="151"/>
      <c r="DJ26" s="151"/>
      <c r="DK26" s="151"/>
      <c r="DL26" s="151"/>
      <c r="DM26" s="151"/>
      <c r="DN26" s="151"/>
      <c r="DO26" s="151"/>
      <c r="DP26" s="151"/>
      <c r="DQ26" s="151"/>
      <c r="DR26" s="151"/>
      <c r="DS26" s="151"/>
      <c r="DT26" s="151"/>
      <c r="DU26" s="151"/>
      <c r="DV26" s="151"/>
      <c r="DW26" s="151"/>
      <c r="DX26" s="151"/>
      <c r="DY26" s="151"/>
      <c r="DZ26" s="151"/>
      <c r="EA26" s="151"/>
      <c r="EB26" s="151"/>
      <c r="EC26" s="151"/>
      <c r="ED26" s="151"/>
      <c r="EE26" s="151"/>
      <c r="EF26" s="151"/>
      <c r="EG26" s="151"/>
      <c r="EH26" s="151"/>
      <c r="EI26" s="151"/>
      <c r="EJ26" s="151"/>
      <c r="EK26" s="151"/>
      <c r="EL26" s="151"/>
      <c r="EM26" s="151"/>
      <c r="EN26" s="151"/>
      <c r="EO26" s="151"/>
      <c r="EP26" s="151"/>
      <c r="EQ26" s="151"/>
      <c r="ER26" s="151"/>
      <c r="ES26" s="151"/>
      <c r="ET26" s="151"/>
      <c r="EU26" s="151"/>
      <c r="EV26" s="151"/>
      <c r="EW26" s="151"/>
      <c r="EX26" s="151"/>
      <c r="EY26" s="151"/>
      <c r="EZ26" s="151"/>
      <c r="FA26" s="151"/>
      <c r="FB26" s="151"/>
      <c r="FC26" s="151"/>
      <c r="FD26" s="151"/>
      <c r="FE26" s="151"/>
      <c r="FF26" s="151"/>
      <c r="FG26" s="151"/>
      <c r="FH26" s="151"/>
      <c r="FI26" s="151"/>
      <c r="FJ26" s="151"/>
      <c r="FK26" s="151"/>
      <c r="FL26" s="151"/>
      <c r="FM26" s="151"/>
      <c r="FN26" s="151"/>
      <c r="FO26" s="151"/>
      <c r="FP26" s="151"/>
      <c r="FQ26" s="151"/>
      <c r="FR26" s="151"/>
      <c r="FS26" s="151"/>
      <c r="FT26" s="151"/>
      <c r="FU26" s="151"/>
      <c r="FV26" s="151"/>
      <c r="FW26" s="151"/>
      <c r="FX26" s="151"/>
      <c r="FY26" s="151"/>
      <c r="FZ26" s="151"/>
      <c r="GA26" s="151"/>
      <c r="GB26" s="151"/>
      <c r="GC26" s="151"/>
      <c r="GD26" s="151"/>
      <c r="GE26" s="151"/>
      <c r="GF26" s="151"/>
      <c r="GG26" s="152"/>
    </row>
    <row r="27" spans="1:189" ht="20" customHeight="1" x14ac:dyDescent="0.35">
      <c r="A27" s="267" t="s">
        <v>1057</v>
      </c>
      <c r="B27" s="221"/>
      <c r="C27" s="221"/>
      <c r="D27" s="222"/>
      <c r="E27" s="221" t="s">
        <v>1060</v>
      </c>
      <c r="F27" s="221" t="s">
        <v>1052</v>
      </c>
      <c r="G27" s="223">
        <v>2</v>
      </c>
      <c r="H27" s="224" t="s">
        <v>1324</v>
      </c>
      <c r="I27" s="225"/>
      <c r="J27" s="221"/>
      <c r="K27" s="225"/>
      <c r="L27" s="226">
        <v>46143</v>
      </c>
      <c r="M27" s="226">
        <v>46174</v>
      </c>
      <c r="N27" s="226"/>
      <c r="O27" s="226">
        <v>46157</v>
      </c>
      <c r="P27" s="226">
        <v>46295</v>
      </c>
      <c r="Q27" s="227" t="s">
        <v>11</v>
      </c>
      <c r="R27" s="228"/>
      <c r="S27" s="229"/>
      <c r="T27" s="228"/>
      <c r="U27" s="191">
        <f t="shared" si="28"/>
        <v>0</v>
      </c>
      <c r="V27" s="230"/>
      <c r="W27" s="231"/>
      <c r="X27" s="46"/>
      <c r="Y27" s="167">
        <f t="shared" si="22"/>
        <v>0</v>
      </c>
      <c r="Z27" s="167">
        <f t="shared" si="23"/>
        <v>0</v>
      </c>
      <c r="AA27" s="167">
        <f t="shared" si="24"/>
        <v>0</v>
      </c>
      <c r="AB27" s="167">
        <f t="shared" si="25"/>
        <v>0</v>
      </c>
      <c r="AC27" s="167">
        <f t="shared" si="26"/>
        <v>0</v>
      </c>
      <c r="AD27" s="167">
        <f t="shared" si="27"/>
        <v>0</v>
      </c>
      <c r="AF27" s="47">
        <f t="shared" si="21"/>
        <v>0</v>
      </c>
      <c r="AG27" s="202" t="str">
        <f t="shared" si="13"/>
        <v xml:space="preserve"> Ducts design</v>
      </c>
      <c r="AH27" s="172"/>
      <c r="AI27" s="173"/>
      <c r="AJ27" s="173"/>
      <c r="AK27" s="173"/>
      <c r="AL27" s="173"/>
      <c r="AM27" s="173"/>
      <c r="AN27" s="173"/>
      <c r="AO27" s="173"/>
      <c r="AP27" s="173"/>
      <c r="AQ27" s="173"/>
      <c r="AR27" s="173"/>
      <c r="AS27" s="173"/>
      <c r="AT27" s="173"/>
      <c r="AU27" s="173"/>
      <c r="AV27" s="173"/>
      <c r="AW27" s="173"/>
      <c r="AX27" s="173"/>
      <c r="AY27" s="173"/>
      <c r="AZ27" s="173"/>
      <c r="BA27" s="173"/>
      <c r="BB27" s="173"/>
      <c r="BC27" s="173"/>
      <c r="BD27" s="173"/>
      <c r="BE27" s="173"/>
      <c r="BF27" s="173"/>
      <c r="BG27" s="173"/>
      <c r="BH27" s="173"/>
      <c r="BI27" s="173"/>
      <c r="BJ27" s="173"/>
      <c r="BK27" s="173"/>
      <c r="BL27" s="173"/>
      <c r="BM27" s="173"/>
      <c r="BN27" s="173"/>
      <c r="BO27" s="173"/>
      <c r="BP27" s="173"/>
      <c r="BQ27" s="173"/>
      <c r="BR27" s="173"/>
      <c r="BS27" s="173"/>
      <c r="BT27" s="173"/>
      <c r="BU27" s="173"/>
      <c r="BV27" s="173"/>
      <c r="BW27" s="173"/>
      <c r="BX27" s="173"/>
      <c r="BY27" s="173"/>
      <c r="BZ27" s="173"/>
      <c r="CA27" s="173"/>
      <c r="CB27" s="173"/>
      <c r="CC27" s="173"/>
      <c r="CD27" s="173"/>
      <c r="CE27" s="173"/>
      <c r="CF27" s="173"/>
      <c r="CG27" s="173"/>
      <c r="CH27" s="173"/>
      <c r="CI27" s="173"/>
      <c r="CJ27" s="173"/>
      <c r="CK27" s="173"/>
      <c r="CL27" s="173"/>
      <c r="CM27" s="173"/>
      <c r="CN27" s="173"/>
      <c r="CO27" s="173"/>
      <c r="CP27" s="173"/>
      <c r="CQ27" s="173"/>
      <c r="CR27" s="173"/>
      <c r="CS27" s="173"/>
      <c r="CT27" s="173"/>
      <c r="CU27" s="173"/>
      <c r="CV27" s="173"/>
      <c r="CW27" s="173"/>
      <c r="CX27" s="173"/>
      <c r="CY27" s="151"/>
      <c r="CZ27" s="151"/>
      <c r="DA27" s="151"/>
      <c r="DB27" s="151"/>
      <c r="DC27" s="151"/>
      <c r="DD27" s="151"/>
      <c r="DE27" s="151"/>
      <c r="DF27" s="151"/>
      <c r="DG27" s="151"/>
      <c r="DH27" s="151"/>
      <c r="DI27" s="151"/>
      <c r="DJ27" s="151"/>
      <c r="DK27" s="151"/>
      <c r="DL27" s="151"/>
      <c r="DM27" s="151"/>
      <c r="DN27" s="151"/>
      <c r="DO27" s="151"/>
      <c r="DP27" s="151"/>
      <c r="DQ27" s="151"/>
      <c r="DR27" s="151"/>
      <c r="DS27" s="151"/>
      <c r="DT27" s="151"/>
      <c r="DU27" s="151"/>
      <c r="DV27" s="151"/>
      <c r="DW27" s="151"/>
      <c r="DX27" s="151"/>
      <c r="DY27" s="151"/>
      <c r="DZ27" s="151"/>
      <c r="EA27" s="151"/>
      <c r="EB27" s="151"/>
      <c r="EC27" s="151"/>
      <c r="ED27" s="151"/>
      <c r="EE27" s="151"/>
      <c r="EF27" s="151"/>
      <c r="EG27" s="151"/>
      <c r="EH27" s="151"/>
      <c r="EI27" s="151"/>
      <c r="EJ27" s="151"/>
      <c r="EK27" s="151"/>
      <c r="EL27" s="151"/>
      <c r="EM27" s="151"/>
      <c r="EN27" s="151"/>
      <c r="EO27" s="151"/>
      <c r="EP27" s="151"/>
      <c r="EQ27" s="151"/>
      <c r="ER27" s="151"/>
      <c r="ES27" s="151"/>
      <c r="ET27" s="151"/>
      <c r="EU27" s="151"/>
      <c r="EV27" s="151"/>
      <c r="EW27" s="151"/>
      <c r="EX27" s="151"/>
      <c r="EY27" s="151"/>
      <c r="EZ27" s="151"/>
      <c r="FA27" s="151"/>
      <c r="FB27" s="151"/>
      <c r="FC27" s="151"/>
      <c r="FD27" s="151"/>
      <c r="FE27" s="151"/>
      <c r="FF27" s="151"/>
      <c r="FG27" s="151"/>
      <c r="FH27" s="151"/>
      <c r="FI27" s="151"/>
      <c r="FJ27" s="151"/>
      <c r="FK27" s="151"/>
      <c r="FL27" s="151"/>
      <c r="FM27" s="151"/>
      <c r="FN27" s="151"/>
      <c r="FO27" s="151"/>
      <c r="FP27" s="151"/>
      <c r="FQ27" s="151"/>
      <c r="FR27" s="151"/>
      <c r="FS27" s="151"/>
      <c r="FT27" s="151"/>
      <c r="FU27" s="151"/>
      <c r="FV27" s="151"/>
      <c r="FW27" s="151"/>
      <c r="FX27" s="151"/>
      <c r="FY27" s="151"/>
      <c r="FZ27" s="151"/>
      <c r="GA27" s="151"/>
      <c r="GB27" s="151"/>
      <c r="GC27" s="151"/>
      <c r="GD27" s="151"/>
      <c r="GE27" s="151"/>
      <c r="GF27" s="151"/>
      <c r="GG27" s="152"/>
    </row>
    <row r="28" spans="1:189" ht="20" customHeight="1" x14ac:dyDescent="0.35">
      <c r="A28" s="267" t="s">
        <v>1058</v>
      </c>
      <c r="B28" s="221"/>
      <c r="C28" s="221"/>
      <c r="D28" s="222"/>
      <c r="E28" s="221" t="s">
        <v>1059</v>
      </c>
      <c r="F28" s="221" t="s">
        <v>1053</v>
      </c>
      <c r="G28" s="223">
        <v>2</v>
      </c>
      <c r="H28" s="224"/>
      <c r="I28" s="225"/>
      <c r="J28" s="221"/>
      <c r="K28" s="225"/>
      <c r="L28" s="226">
        <v>46174</v>
      </c>
      <c r="M28" s="226">
        <v>46205</v>
      </c>
      <c r="N28" s="226"/>
      <c r="O28" s="226">
        <v>46204</v>
      </c>
      <c r="P28" s="226">
        <v>46387</v>
      </c>
      <c r="Q28" s="227" t="s">
        <v>45</v>
      </c>
      <c r="R28" s="228"/>
      <c r="S28" s="229"/>
      <c r="T28" s="228"/>
      <c r="U28" s="191">
        <f t="shared" si="28"/>
        <v>0</v>
      </c>
      <c r="V28" s="230"/>
      <c r="W28" s="231"/>
      <c r="X28" s="46"/>
      <c r="Y28" s="167">
        <f t="shared" si="22"/>
        <v>0</v>
      </c>
      <c r="Z28" s="167">
        <f t="shared" si="23"/>
        <v>0</v>
      </c>
      <c r="AA28" s="167">
        <f t="shared" si="24"/>
        <v>0</v>
      </c>
      <c r="AB28" s="167">
        <f t="shared" si="25"/>
        <v>0</v>
      </c>
      <c r="AC28" s="167">
        <f t="shared" si="26"/>
        <v>0</v>
      </c>
      <c r="AD28" s="167">
        <f t="shared" si="27"/>
        <v>0</v>
      </c>
      <c r="AF28" s="47">
        <f t="shared" si="21"/>
        <v>0</v>
      </c>
      <c r="AG28" s="202" t="str">
        <f t="shared" si="13"/>
        <v xml:space="preserve"> Piping design</v>
      </c>
      <c r="AH28" s="172"/>
      <c r="AI28" s="173"/>
      <c r="AJ28" s="173"/>
      <c r="AK28" s="173"/>
      <c r="AL28" s="173"/>
      <c r="AM28" s="173"/>
      <c r="AN28" s="173"/>
      <c r="AO28" s="173"/>
      <c r="AP28" s="173"/>
      <c r="AQ28" s="173"/>
      <c r="AR28" s="173"/>
      <c r="AS28" s="173"/>
      <c r="AT28" s="173"/>
      <c r="AU28" s="173"/>
      <c r="AV28" s="173"/>
      <c r="AW28" s="173"/>
      <c r="AX28" s="173"/>
      <c r="AY28" s="173"/>
      <c r="AZ28" s="173"/>
      <c r="BA28" s="173"/>
      <c r="BB28" s="173"/>
      <c r="BC28" s="173"/>
      <c r="BD28" s="173"/>
      <c r="BE28" s="173"/>
      <c r="BF28" s="173"/>
      <c r="BG28" s="173"/>
      <c r="BH28" s="173"/>
      <c r="BI28" s="173"/>
      <c r="BJ28" s="173"/>
      <c r="BK28" s="173"/>
      <c r="BL28" s="173"/>
      <c r="BM28" s="173"/>
      <c r="BN28" s="173"/>
      <c r="BO28" s="173"/>
      <c r="BP28" s="173"/>
      <c r="BQ28" s="173"/>
      <c r="BR28" s="173"/>
      <c r="BS28" s="173"/>
      <c r="BT28" s="173"/>
      <c r="BU28" s="173"/>
      <c r="BV28" s="173"/>
      <c r="BW28" s="173"/>
      <c r="BX28" s="173"/>
      <c r="BY28" s="173"/>
      <c r="BZ28" s="173"/>
      <c r="CA28" s="173"/>
      <c r="CB28" s="173"/>
      <c r="CC28" s="173"/>
      <c r="CD28" s="173"/>
      <c r="CE28" s="173"/>
      <c r="CF28" s="173"/>
      <c r="CG28" s="173"/>
      <c r="CH28" s="173"/>
      <c r="CI28" s="173"/>
      <c r="CJ28" s="173"/>
      <c r="CK28" s="173"/>
      <c r="CL28" s="173"/>
      <c r="CM28" s="173"/>
      <c r="CN28" s="173"/>
      <c r="CO28" s="173"/>
      <c r="CP28" s="173"/>
      <c r="CQ28" s="173"/>
      <c r="CR28" s="173"/>
      <c r="CS28" s="173"/>
      <c r="CT28" s="173"/>
      <c r="CU28" s="173"/>
      <c r="CV28" s="173"/>
      <c r="CW28" s="173"/>
      <c r="CX28" s="173"/>
      <c r="CY28" s="151"/>
      <c r="CZ28" s="151"/>
      <c r="DA28" s="151"/>
      <c r="DB28" s="151"/>
      <c r="DC28" s="151"/>
      <c r="DD28" s="151"/>
      <c r="DE28" s="151"/>
      <c r="DF28" s="151"/>
      <c r="DG28" s="151"/>
      <c r="DH28" s="151"/>
      <c r="DI28" s="151"/>
      <c r="DJ28" s="151"/>
      <c r="DK28" s="151"/>
      <c r="DL28" s="151"/>
      <c r="DM28" s="151"/>
      <c r="DN28" s="151"/>
      <c r="DO28" s="151"/>
      <c r="DP28" s="151"/>
      <c r="DQ28" s="151"/>
      <c r="DR28" s="151"/>
      <c r="DS28" s="151"/>
      <c r="DT28" s="151"/>
      <c r="DU28" s="151"/>
      <c r="DV28" s="151"/>
      <c r="DW28" s="151"/>
      <c r="DX28" s="151"/>
      <c r="DY28" s="151"/>
      <c r="DZ28" s="151"/>
      <c r="EA28" s="151"/>
      <c r="EB28" s="151"/>
      <c r="EC28" s="151"/>
      <c r="ED28" s="151"/>
      <c r="EE28" s="151"/>
      <c r="EF28" s="151"/>
      <c r="EG28" s="151"/>
      <c r="EH28" s="151"/>
      <c r="EI28" s="151"/>
      <c r="EJ28" s="151"/>
      <c r="EK28" s="151"/>
      <c r="EL28" s="151"/>
      <c r="EM28" s="151"/>
      <c r="EN28" s="151"/>
      <c r="EO28" s="151"/>
      <c r="EP28" s="151"/>
      <c r="EQ28" s="151"/>
      <c r="ER28" s="151"/>
      <c r="ES28" s="151"/>
      <c r="ET28" s="151"/>
      <c r="EU28" s="151"/>
      <c r="EV28" s="151"/>
      <c r="EW28" s="151"/>
      <c r="EX28" s="151"/>
      <c r="EY28" s="151"/>
      <c r="EZ28" s="151"/>
      <c r="FA28" s="151"/>
      <c r="FB28" s="151"/>
      <c r="FC28" s="151"/>
      <c r="FD28" s="151"/>
      <c r="FE28" s="151"/>
      <c r="FF28" s="151"/>
      <c r="FG28" s="151"/>
      <c r="FH28" s="151"/>
      <c r="FI28" s="151"/>
      <c r="FJ28" s="151"/>
      <c r="FK28" s="151"/>
      <c r="FL28" s="151"/>
      <c r="FM28" s="151"/>
      <c r="FN28" s="151"/>
      <c r="FO28" s="151"/>
      <c r="FP28" s="151"/>
      <c r="FQ28" s="151"/>
      <c r="FR28" s="151"/>
      <c r="FS28" s="151"/>
      <c r="FT28" s="151"/>
      <c r="FU28" s="151"/>
      <c r="FV28" s="151"/>
      <c r="FW28" s="151"/>
      <c r="FX28" s="151"/>
      <c r="FY28" s="151"/>
      <c r="FZ28" s="151"/>
      <c r="GA28" s="151"/>
      <c r="GB28" s="151"/>
      <c r="GC28" s="151"/>
      <c r="GD28" s="151"/>
      <c r="GE28" s="151"/>
      <c r="GF28" s="151"/>
      <c r="GG28" s="152"/>
    </row>
    <row r="29" spans="1:189" ht="165.6" customHeight="1" x14ac:dyDescent="0.35">
      <c r="A29" s="281" t="s">
        <v>662</v>
      </c>
      <c r="B29" s="282"/>
      <c r="C29" s="282"/>
      <c r="D29" s="283"/>
      <c r="E29" s="282" t="s">
        <v>388</v>
      </c>
      <c r="F29" s="282" t="s">
        <v>258</v>
      </c>
      <c r="G29" s="284">
        <v>2</v>
      </c>
      <c r="H29" s="285"/>
      <c r="I29" s="286"/>
      <c r="J29" s="282"/>
      <c r="K29" s="286"/>
      <c r="L29" s="287">
        <v>46034</v>
      </c>
      <c r="M29" s="287">
        <v>46873</v>
      </c>
      <c r="N29" s="287"/>
      <c r="O29" s="287">
        <f>O30</f>
        <v>46066</v>
      </c>
      <c r="P29" s="287">
        <v>46934</v>
      </c>
      <c r="Q29" s="288" t="s">
        <v>45</v>
      </c>
      <c r="R29" s="289">
        <v>300000</v>
      </c>
      <c r="S29" s="290">
        <f>300000-SUM(S30)</f>
        <v>187000</v>
      </c>
      <c r="T29" s="289"/>
      <c r="U29" s="191">
        <f t="shared" si="28"/>
        <v>0</v>
      </c>
      <c r="V29" s="291"/>
      <c r="W29" s="292"/>
      <c r="X29" s="46"/>
      <c r="Y29" s="167">
        <f t="shared" si="22"/>
        <v>187000</v>
      </c>
      <c r="Z29" s="167">
        <f t="shared" si="23"/>
        <v>0</v>
      </c>
      <c r="AA29" s="167">
        <f t="shared" si="24"/>
        <v>187000</v>
      </c>
      <c r="AB29" s="167">
        <f t="shared" si="25"/>
        <v>0</v>
      </c>
      <c r="AC29" s="167">
        <f t="shared" si="26"/>
        <v>0</v>
      </c>
      <c r="AD29" s="167">
        <f t="shared" si="27"/>
        <v>0</v>
      </c>
      <c r="AF29" s="47">
        <f t="shared" si="21"/>
        <v>1</v>
      </c>
      <c r="AG29" s="202" t="str">
        <f t="shared" si="13"/>
        <v xml:space="preserve"> 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AH29" s="172"/>
      <c r="AI29" s="173"/>
      <c r="AJ29" s="173"/>
      <c r="AK29" s="173"/>
      <c r="AL29" s="173"/>
      <c r="AM29" s="173"/>
      <c r="AN29" s="173"/>
      <c r="AO29" s="173"/>
      <c r="AP29" s="173"/>
      <c r="AQ29" s="173"/>
      <c r="AR29" s="173"/>
      <c r="AS29" s="173"/>
      <c r="AT29" s="173"/>
      <c r="AU29" s="173"/>
      <c r="AV29" s="173"/>
      <c r="AW29" s="173"/>
      <c r="AX29" s="173"/>
      <c r="AY29" s="173"/>
      <c r="AZ29" s="173"/>
      <c r="BA29" s="173"/>
      <c r="BB29" s="173"/>
      <c r="BC29" s="173"/>
      <c r="BD29" s="173"/>
      <c r="BE29" s="173"/>
      <c r="BF29" s="173"/>
      <c r="BG29" s="173"/>
      <c r="BH29" s="173"/>
      <c r="BI29" s="173"/>
      <c r="BJ29" s="173"/>
      <c r="BK29" s="173"/>
      <c r="BL29" s="173"/>
      <c r="BM29" s="173"/>
      <c r="BN29" s="173"/>
      <c r="BO29" s="173"/>
      <c r="BP29" s="173"/>
      <c r="BQ29" s="173"/>
      <c r="BR29" s="173"/>
      <c r="BS29" s="173"/>
      <c r="BT29" s="173"/>
      <c r="BU29" s="173"/>
      <c r="BV29" s="173"/>
      <c r="BW29" s="173"/>
      <c r="BX29" s="173"/>
      <c r="BY29" s="173"/>
      <c r="BZ29" s="173"/>
      <c r="CA29" s="173"/>
      <c r="CB29" s="173"/>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51"/>
      <c r="CZ29" s="151"/>
      <c r="DA29" s="151"/>
      <c r="DB29" s="151"/>
      <c r="DC29" s="151"/>
      <c r="DD29" s="151"/>
      <c r="DE29" s="151"/>
      <c r="DF29" s="151"/>
      <c r="DG29" s="151"/>
      <c r="DH29" s="151"/>
      <c r="DI29" s="151"/>
      <c r="DJ29" s="151"/>
      <c r="DK29" s="151"/>
      <c r="DL29" s="151"/>
      <c r="DM29" s="151"/>
      <c r="DN29" s="151"/>
      <c r="DO29" s="151"/>
      <c r="DP29" s="151"/>
      <c r="DQ29" s="151"/>
      <c r="DR29" s="151"/>
      <c r="DS29" s="151"/>
      <c r="DT29" s="151"/>
      <c r="DU29" s="151"/>
      <c r="DV29" s="151"/>
      <c r="DW29" s="151"/>
      <c r="DX29" s="151"/>
      <c r="DY29" s="151"/>
      <c r="DZ29" s="151"/>
      <c r="EA29" s="151"/>
      <c r="EB29" s="151"/>
      <c r="EC29" s="151"/>
      <c r="ED29" s="151"/>
      <c r="EE29" s="151"/>
      <c r="EF29" s="151"/>
      <c r="EG29" s="151"/>
      <c r="EH29" s="151"/>
      <c r="EI29" s="151"/>
      <c r="EJ29" s="151"/>
      <c r="EK29" s="151"/>
      <c r="EL29" s="151"/>
      <c r="EM29" s="151"/>
      <c r="EN29" s="151"/>
      <c r="EO29" s="151"/>
      <c r="EP29" s="151"/>
      <c r="EQ29" s="151"/>
      <c r="ER29" s="151"/>
      <c r="ES29" s="151"/>
      <c r="ET29" s="151"/>
      <c r="EU29" s="151"/>
      <c r="EV29" s="151"/>
      <c r="EW29" s="151"/>
      <c r="EX29" s="151"/>
      <c r="EY29" s="151"/>
      <c r="EZ29" s="151"/>
      <c r="FA29" s="151"/>
      <c r="FB29" s="151"/>
      <c r="FC29" s="151"/>
      <c r="FD29" s="151"/>
      <c r="FE29" s="151"/>
      <c r="FF29" s="151"/>
      <c r="FG29" s="151"/>
      <c r="FH29" s="151"/>
      <c r="FI29" s="151"/>
      <c r="FJ29" s="151"/>
      <c r="FK29" s="151"/>
      <c r="FL29" s="151"/>
      <c r="FM29" s="151"/>
      <c r="FN29" s="151"/>
      <c r="FO29" s="151"/>
      <c r="FP29" s="151"/>
      <c r="FQ29" s="151"/>
      <c r="FR29" s="151"/>
      <c r="FS29" s="151"/>
      <c r="FT29" s="151"/>
      <c r="FU29" s="151"/>
      <c r="FV29" s="151"/>
      <c r="FW29" s="151"/>
      <c r="FX29" s="151"/>
      <c r="FY29" s="151"/>
      <c r="FZ29" s="151"/>
      <c r="GA29" s="151"/>
      <c r="GB29" s="151"/>
      <c r="GC29" s="151"/>
      <c r="GD29" s="151"/>
      <c r="GE29" s="151"/>
      <c r="GF29" s="151"/>
      <c r="GG29" s="152"/>
    </row>
    <row r="30" spans="1:189" x14ac:dyDescent="0.35">
      <c r="A30" s="267" t="s">
        <v>1090</v>
      </c>
      <c r="B30" s="221"/>
      <c r="C30" s="221" t="s">
        <v>1091</v>
      </c>
      <c r="D30" s="222"/>
      <c r="E30" s="221" t="s">
        <v>1212</v>
      </c>
      <c r="F30" s="221" t="s">
        <v>1213</v>
      </c>
      <c r="G30" s="223">
        <v>2</v>
      </c>
      <c r="H30" s="224" t="s">
        <v>1196</v>
      </c>
      <c r="I30" s="225"/>
      <c r="J30" s="221"/>
      <c r="K30" s="225"/>
      <c r="L30" s="226">
        <v>46034</v>
      </c>
      <c r="M30" s="226">
        <v>46066</v>
      </c>
      <c r="N30" s="226">
        <v>46066</v>
      </c>
      <c r="O30" s="226">
        <v>46066</v>
      </c>
      <c r="P30" s="226">
        <v>46752</v>
      </c>
      <c r="Q30" s="227" t="s">
        <v>20</v>
      </c>
      <c r="R30" s="228"/>
      <c r="S30" s="229">
        <v>113000</v>
      </c>
      <c r="T30" s="228">
        <v>113000</v>
      </c>
      <c r="U30" s="191">
        <f t="shared" ref="U30" si="29">IF(Q30="",0,IF(T30="",0,+S30-T30))</f>
        <v>0</v>
      </c>
      <c r="V30" s="230"/>
      <c r="W30" s="231"/>
      <c r="X30" s="46"/>
      <c r="Y30" s="167">
        <f t="shared" ref="Y30" si="30">IF(G30=2,S30,0)</f>
        <v>113000</v>
      </c>
      <c r="Z30" s="167">
        <f t="shared" ref="Z30" si="31">IF(Q30="",0,IF(G30=2,T30,0))</f>
        <v>113000</v>
      </c>
      <c r="AA30" s="167">
        <f t="shared" ref="AA30" si="32">Y30-Z30</f>
        <v>0</v>
      </c>
      <c r="AB30" s="167">
        <f t="shared" ref="AB30" si="33">IF(G30=1,S30,0)</f>
        <v>0</v>
      </c>
      <c r="AC30" s="167">
        <f t="shared" ref="AC30" si="34">IF(Q30="",0,IF(G30=1,T30,0))</f>
        <v>0</v>
      </c>
      <c r="AD30" s="167">
        <f t="shared" ref="AD30" si="35">AB30-AC30</f>
        <v>0</v>
      </c>
      <c r="AF30" s="47">
        <f t="shared" ref="AF30" si="36">IF(S30&lt;&gt;"",1,0)</f>
        <v>1</v>
      </c>
      <c r="AG30" s="202" t="str">
        <f t="shared" ref="AG30" si="37">B30&amp;" "&amp;F30</f>
        <v xml:space="preserve"> Integrated permit ECd_27</v>
      </c>
      <c r="AH30" s="150"/>
      <c r="AI30" s="151"/>
      <c r="AJ30" s="151"/>
      <c r="AK30" s="151"/>
      <c r="AL30" s="151"/>
      <c r="AM30" s="151"/>
      <c r="AN30" s="151"/>
      <c r="AO30" s="151"/>
      <c r="AP30" s="151"/>
      <c r="AQ30" s="151"/>
      <c r="AR30" s="151"/>
      <c r="AS30" s="151"/>
      <c r="AT30" s="151"/>
      <c r="AU30" s="151"/>
      <c r="AV30" s="151"/>
      <c r="AW30" s="151"/>
      <c r="AX30" s="151"/>
      <c r="AY30" s="151"/>
      <c r="AZ30" s="151"/>
      <c r="BA30" s="151"/>
      <c r="BB30" s="151"/>
      <c r="BC30" s="151"/>
      <c r="BD30" s="151"/>
      <c r="BE30" s="151"/>
      <c r="BF30" s="151"/>
      <c r="BG30" s="151"/>
      <c r="BH30" s="151"/>
      <c r="BI30" s="151"/>
      <c r="BJ30" s="151"/>
      <c r="BK30" s="151"/>
      <c r="BL30" s="151"/>
      <c r="BM30" s="151"/>
      <c r="BN30" s="151"/>
      <c r="BO30" s="151"/>
      <c r="BP30" s="151"/>
      <c r="BQ30" s="151"/>
      <c r="BR30" s="151"/>
      <c r="BS30" s="151"/>
      <c r="BT30" s="151"/>
      <c r="BU30" s="151"/>
      <c r="BV30" s="151"/>
      <c r="BW30" s="151"/>
      <c r="BX30" s="151"/>
      <c r="BY30" s="151"/>
      <c r="BZ30" s="151"/>
      <c r="CA30" s="151"/>
      <c r="CB30" s="151"/>
      <c r="CC30" s="151"/>
      <c r="CD30" s="151"/>
      <c r="CE30" s="151"/>
      <c r="CF30" s="151"/>
      <c r="CG30" s="151"/>
      <c r="CH30" s="151"/>
      <c r="CI30" s="151"/>
      <c r="CJ30" s="151"/>
      <c r="CK30" s="151"/>
      <c r="CL30" s="151"/>
      <c r="CM30" s="151"/>
      <c r="CN30" s="151"/>
      <c r="CO30" s="151"/>
      <c r="CP30" s="151"/>
      <c r="CQ30" s="151"/>
      <c r="CR30" s="151"/>
      <c r="CS30" s="151"/>
      <c r="CT30" s="151"/>
      <c r="CU30" s="151"/>
      <c r="CV30" s="151"/>
      <c r="CW30" s="151"/>
      <c r="CX30" s="151"/>
      <c r="CY30" s="151"/>
      <c r="CZ30" s="151"/>
      <c r="DA30" s="151"/>
      <c r="DB30" s="151"/>
      <c r="DC30" s="151"/>
      <c r="DD30" s="151"/>
      <c r="DE30" s="151"/>
      <c r="DF30" s="151"/>
      <c r="DG30" s="151"/>
      <c r="DH30" s="151"/>
      <c r="DI30" s="151"/>
      <c r="DJ30" s="151"/>
      <c r="DK30" s="151"/>
      <c r="DL30" s="151"/>
      <c r="DM30" s="151"/>
      <c r="DN30" s="151"/>
      <c r="DO30" s="151"/>
      <c r="DP30" s="151"/>
      <c r="DQ30" s="151"/>
      <c r="DR30" s="151"/>
      <c r="DS30" s="151"/>
      <c r="DT30" s="151"/>
      <c r="DU30" s="151"/>
      <c r="DV30" s="151"/>
      <c r="DW30" s="151"/>
      <c r="DX30" s="151"/>
      <c r="DY30" s="151"/>
      <c r="DZ30" s="151"/>
      <c r="EA30" s="151"/>
      <c r="EB30" s="151"/>
      <c r="EC30" s="151"/>
      <c r="ED30" s="151"/>
      <c r="EE30" s="151"/>
      <c r="EF30" s="151"/>
      <c r="EG30" s="151"/>
      <c r="EH30" s="151"/>
      <c r="EI30" s="151"/>
      <c r="EJ30" s="151"/>
      <c r="EK30" s="151"/>
      <c r="EL30" s="151"/>
      <c r="EM30" s="151"/>
      <c r="EN30" s="151"/>
      <c r="EO30" s="151"/>
      <c r="EP30" s="151"/>
      <c r="EQ30" s="151"/>
      <c r="ER30" s="151"/>
      <c r="ES30" s="151"/>
      <c r="ET30" s="151"/>
      <c r="EU30" s="151"/>
      <c r="EV30" s="151"/>
      <c r="EW30" s="151"/>
      <c r="EX30" s="151"/>
      <c r="EY30" s="151"/>
      <c r="EZ30" s="151"/>
      <c r="FA30" s="151"/>
      <c r="FB30" s="151"/>
      <c r="FC30" s="151"/>
      <c r="FD30" s="151"/>
      <c r="FE30" s="151"/>
      <c r="FF30" s="151"/>
      <c r="FG30" s="151"/>
      <c r="FH30" s="151"/>
      <c r="FI30" s="151"/>
      <c r="FJ30" s="151"/>
      <c r="FK30" s="151"/>
      <c r="FL30" s="151"/>
      <c r="FM30" s="151"/>
      <c r="FN30" s="151"/>
      <c r="FO30" s="151"/>
      <c r="FP30" s="151"/>
      <c r="FQ30" s="151"/>
      <c r="FR30" s="151"/>
      <c r="FS30" s="151"/>
      <c r="FT30" s="151"/>
      <c r="FU30" s="151"/>
      <c r="FV30" s="151"/>
      <c r="FW30" s="151"/>
      <c r="FX30" s="151"/>
      <c r="FY30" s="151"/>
      <c r="FZ30" s="151"/>
      <c r="GA30" s="151"/>
      <c r="GB30" s="151"/>
      <c r="GC30" s="151"/>
      <c r="GD30" s="151"/>
      <c r="GE30" s="151"/>
      <c r="GF30" s="151"/>
      <c r="GG30" s="152"/>
    </row>
    <row r="31" spans="1:189" ht="27.75" x14ac:dyDescent="0.35">
      <c r="A31" s="249" t="s">
        <v>663</v>
      </c>
      <c r="B31" s="248"/>
      <c r="C31" s="248"/>
      <c r="D31" s="249"/>
      <c r="E31" s="248" t="s">
        <v>387</v>
      </c>
      <c r="F31" s="248" t="s">
        <v>259</v>
      </c>
      <c r="G31" s="250">
        <v>2</v>
      </c>
      <c r="H31" s="251"/>
      <c r="I31" s="252"/>
      <c r="J31" s="252"/>
      <c r="K31" s="252"/>
      <c r="L31" s="253"/>
      <c r="M31" s="253"/>
      <c r="N31" s="253"/>
      <c r="O31" s="253"/>
      <c r="P31" s="253"/>
      <c r="Q31" s="254" t="s">
        <v>45</v>
      </c>
      <c r="R31" s="255">
        <v>100000</v>
      </c>
      <c r="S31" s="255">
        <v>100000</v>
      </c>
      <c r="T31" s="255"/>
      <c r="U31" s="191">
        <f t="shared" si="28"/>
        <v>0</v>
      </c>
      <c r="V31" s="246"/>
      <c r="W31" s="247"/>
      <c r="X31" s="46"/>
      <c r="Y31" s="167">
        <f t="shared" si="22"/>
        <v>100000</v>
      </c>
      <c r="Z31" s="167">
        <f t="shared" si="23"/>
        <v>0</v>
      </c>
      <c r="AA31" s="167">
        <f t="shared" si="24"/>
        <v>100000</v>
      </c>
      <c r="AB31" s="167">
        <f t="shared" si="25"/>
        <v>0</v>
      </c>
      <c r="AC31" s="167">
        <f t="shared" si="26"/>
        <v>0</v>
      </c>
      <c r="AD31" s="167">
        <f t="shared" si="27"/>
        <v>0</v>
      </c>
      <c r="AF31" s="180">
        <f t="shared" si="21"/>
        <v>1</v>
      </c>
      <c r="AG31" s="202" t="str">
        <f t="shared" si="13"/>
        <v xml:space="preserve"> Noise Analysis and noise protection design</v>
      </c>
      <c r="AH31" s="172"/>
      <c r="AI31" s="173"/>
      <c r="AJ31" s="173"/>
      <c r="AK31" s="173"/>
      <c r="AL31" s="173"/>
      <c r="AM31" s="173"/>
      <c r="AN31" s="173"/>
      <c r="AO31" s="173"/>
      <c r="AP31" s="173"/>
      <c r="AQ31" s="173"/>
      <c r="AR31" s="173"/>
      <c r="AS31" s="173"/>
      <c r="AT31" s="173"/>
      <c r="AU31" s="173"/>
      <c r="AV31" s="173"/>
      <c r="AW31" s="173"/>
      <c r="AX31" s="173"/>
      <c r="AY31" s="173"/>
      <c r="AZ31" s="173"/>
      <c r="BA31" s="173"/>
      <c r="BB31" s="173"/>
      <c r="BC31" s="173"/>
      <c r="BD31" s="173"/>
      <c r="BE31" s="173"/>
      <c r="BF31" s="173"/>
      <c r="BG31" s="173"/>
      <c r="BH31" s="173"/>
      <c r="BI31" s="173"/>
      <c r="BJ31" s="173"/>
      <c r="BK31" s="173"/>
      <c r="BL31" s="173"/>
      <c r="BM31" s="173"/>
      <c r="BN31" s="173"/>
      <c r="BO31" s="173"/>
      <c r="BP31" s="173"/>
      <c r="BQ31" s="173"/>
      <c r="BR31" s="173"/>
      <c r="BS31" s="173"/>
      <c r="BT31" s="173"/>
      <c r="BU31" s="173"/>
      <c r="BV31" s="173"/>
      <c r="BW31" s="173"/>
      <c r="BX31" s="173"/>
      <c r="BY31" s="173"/>
      <c r="BZ31" s="173"/>
      <c r="CA31" s="173"/>
      <c r="CB31" s="173"/>
      <c r="CC31" s="173"/>
      <c r="CD31" s="173"/>
      <c r="CE31" s="173"/>
      <c r="CF31" s="173"/>
      <c r="CG31" s="173"/>
      <c r="CH31" s="173"/>
      <c r="CI31" s="173"/>
      <c r="CJ31" s="173"/>
      <c r="CK31" s="173"/>
      <c r="CL31" s="173"/>
      <c r="CM31" s="173"/>
      <c r="CN31" s="173"/>
      <c r="CO31" s="173"/>
      <c r="CP31" s="173"/>
      <c r="CQ31" s="173"/>
      <c r="CR31" s="173"/>
      <c r="CS31" s="173"/>
      <c r="CT31" s="173"/>
      <c r="CU31" s="173"/>
      <c r="CV31" s="173"/>
      <c r="CW31" s="173"/>
      <c r="CX31" s="173"/>
      <c r="CY31" s="151"/>
      <c r="CZ31" s="151"/>
      <c r="DA31" s="151"/>
      <c r="DB31" s="151"/>
      <c r="DC31" s="151"/>
      <c r="DD31" s="151"/>
      <c r="DE31" s="151"/>
      <c r="DF31" s="151"/>
      <c r="DG31" s="151"/>
      <c r="DH31" s="151"/>
      <c r="DI31" s="151"/>
      <c r="DJ31" s="151"/>
      <c r="DK31" s="151"/>
      <c r="DL31" s="151"/>
      <c r="DM31" s="151"/>
      <c r="DN31" s="151"/>
      <c r="DO31" s="151"/>
      <c r="DP31" s="151"/>
      <c r="DQ31" s="151"/>
      <c r="DR31" s="151"/>
      <c r="DS31" s="151"/>
      <c r="DT31" s="151"/>
      <c r="DU31" s="151"/>
      <c r="DV31" s="151"/>
      <c r="DW31" s="151"/>
      <c r="DX31" s="151"/>
      <c r="DY31" s="151"/>
      <c r="DZ31" s="151"/>
      <c r="EA31" s="151"/>
      <c r="EB31" s="151"/>
      <c r="EC31" s="151"/>
      <c r="ED31" s="151"/>
      <c r="EE31" s="151"/>
      <c r="EF31" s="151"/>
      <c r="EG31" s="151"/>
      <c r="EH31" s="151"/>
      <c r="EI31" s="151"/>
      <c r="EJ31" s="151"/>
      <c r="EK31" s="151"/>
      <c r="EL31" s="151"/>
      <c r="EM31" s="151"/>
      <c r="EN31" s="151"/>
      <c r="EO31" s="151"/>
      <c r="EP31" s="151"/>
      <c r="EQ31" s="151"/>
      <c r="ER31" s="151"/>
      <c r="ES31" s="151"/>
      <c r="ET31" s="151"/>
      <c r="EU31" s="151"/>
      <c r="EV31" s="151"/>
      <c r="EW31" s="151"/>
      <c r="EX31" s="151"/>
      <c r="EY31" s="151"/>
      <c r="EZ31" s="151"/>
      <c r="FA31" s="151"/>
      <c r="FB31" s="151"/>
      <c r="FC31" s="151"/>
      <c r="FD31" s="151"/>
      <c r="FE31" s="151"/>
      <c r="FF31" s="151"/>
      <c r="FG31" s="151"/>
      <c r="FH31" s="151"/>
      <c r="FI31" s="151"/>
      <c r="FJ31" s="151"/>
      <c r="FK31" s="151"/>
      <c r="FL31" s="151"/>
      <c r="FM31" s="151"/>
      <c r="FN31" s="151"/>
      <c r="FO31" s="151"/>
      <c r="FP31" s="151"/>
      <c r="FQ31" s="151"/>
      <c r="FR31" s="151"/>
      <c r="FS31" s="151"/>
      <c r="FT31" s="151"/>
      <c r="FU31" s="151"/>
      <c r="FV31" s="151"/>
      <c r="FW31" s="151"/>
      <c r="FX31" s="151"/>
      <c r="FY31" s="151"/>
      <c r="FZ31" s="151"/>
      <c r="GA31" s="151"/>
      <c r="GB31" s="151"/>
      <c r="GC31" s="151"/>
      <c r="GD31" s="151"/>
      <c r="GE31" s="151"/>
      <c r="GF31" s="151"/>
      <c r="GG31" s="152"/>
    </row>
    <row r="32" spans="1:189" ht="41.65" x14ac:dyDescent="0.35">
      <c r="A32" s="249" t="s">
        <v>664</v>
      </c>
      <c r="B32" s="248"/>
      <c r="C32" s="248"/>
      <c r="D32" s="249"/>
      <c r="E32" s="248" t="s">
        <v>1339</v>
      </c>
      <c r="F32" s="248" t="s">
        <v>1340</v>
      </c>
      <c r="G32" s="250">
        <v>2</v>
      </c>
      <c r="H32" s="251" t="s">
        <v>1330</v>
      </c>
      <c r="I32" s="252"/>
      <c r="J32" s="252"/>
      <c r="K32" s="252"/>
      <c r="L32" s="253">
        <v>46089</v>
      </c>
      <c r="M32" s="253">
        <v>46119</v>
      </c>
      <c r="N32" s="253">
        <v>46102</v>
      </c>
      <c r="O32" s="253">
        <v>46113</v>
      </c>
      <c r="P32" s="253">
        <v>46387</v>
      </c>
      <c r="Q32" s="254" t="s">
        <v>23</v>
      </c>
      <c r="R32" s="255">
        <v>250000</v>
      </c>
      <c r="S32" s="255">
        <v>250000</v>
      </c>
      <c r="T32" s="255">
        <v>214974</v>
      </c>
      <c r="U32" s="191">
        <f t="shared" si="28"/>
        <v>35026</v>
      </c>
      <c r="V32" s="246"/>
      <c r="W32" s="247"/>
      <c r="X32" s="46"/>
      <c r="Y32" s="167">
        <f t="shared" si="22"/>
        <v>250000</v>
      </c>
      <c r="Z32" s="167">
        <f t="shared" si="23"/>
        <v>214974</v>
      </c>
      <c r="AA32" s="167">
        <f t="shared" si="24"/>
        <v>35026</v>
      </c>
      <c r="AB32" s="167">
        <f t="shared" si="25"/>
        <v>0</v>
      </c>
      <c r="AC32" s="167">
        <f t="shared" si="26"/>
        <v>0</v>
      </c>
      <c r="AD32" s="167">
        <f t="shared" si="27"/>
        <v>0</v>
      </c>
      <c r="AF32" s="47">
        <f t="shared" si="21"/>
        <v>1</v>
      </c>
      <c r="AG32" s="202" t="str">
        <f t="shared" si="13"/>
        <v xml:space="preserve"> HAZOP study and SIL analysis, ATEX classification, explosion protection documentation ECd_47</v>
      </c>
      <c r="AH32" s="172"/>
      <c r="AI32" s="173"/>
      <c r="AJ32" s="173"/>
      <c r="AK32" s="173"/>
      <c r="AL32" s="173"/>
      <c r="AM32" s="173"/>
      <c r="AN32" s="173"/>
      <c r="AO32" s="173"/>
      <c r="AP32" s="173"/>
      <c r="AQ32" s="173"/>
      <c r="AR32" s="173"/>
      <c r="AS32" s="173"/>
      <c r="AT32" s="173"/>
      <c r="AU32" s="173"/>
      <c r="AV32" s="173"/>
      <c r="AW32" s="173"/>
      <c r="AX32" s="173"/>
      <c r="AY32" s="173"/>
      <c r="AZ32" s="173"/>
      <c r="BA32" s="173"/>
      <c r="BB32" s="173"/>
      <c r="BC32" s="173"/>
      <c r="BD32" s="173"/>
      <c r="BE32" s="173"/>
      <c r="BF32" s="173"/>
      <c r="BG32" s="173"/>
      <c r="BH32" s="173"/>
      <c r="BI32" s="173"/>
      <c r="BJ32" s="173"/>
      <c r="BK32" s="173"/>
      <c r="BL32" s="173"/>
      <c r="BM32" s="173"/>
      <c r="BN32" s="173"/>
      <c r="BO32" s="173"/>
      <c r="BP32" s="173"/>
      <c r="BQ32" s="173"/>
      <c r="BR32" s="173"/>
      <c r="BS32" s="173"/>
      <c r="BT32" s="173"/>
      <c r="BU32" s="173"/>
      <c r="BV32" s="173"/>
      <c r="BW32" s="173"/>
      <c r="BX32" s="173"/>
      <c r="BY32" s="173"/>
      <c r="BZ32" s="173"/>
      <c r="CA32" s="173"/>
      <c r="CB32" s="173"/>
      <c r="CC32" s="173"/>
      <c r="CD32" s="173"/>
      <c r="CE32" s="173"/>
      <c r="CF32" s="173"/>
      <c r="CG32" s="173"/>
      <c r="CH32" s="173"/>
      <c r="CI32" s="173"/>
      <c r="CJ32" s="173"/>
      <c r="CK32" s="173"/>
      <c r="CL32" s="173"/>
      <c r="CM32" s="173"/>
      <c r="CN32" s="173"/>
      <c r="CO32" s="173"/>
      <c r="CP32" s="173"/>
      <c r="CQ32" s="173"/>
      <c r="CR32" s="173"/>
      <c r="CS32" s="173"/>
      <c r="CT32" s="173"/>
      <c r="CU32" s="173"/>
      <c r="CV32" s="173"/>
      <c r="CW32" s="173"/>
      <c r="CX32" s="173"/>
      <c r="CY32" s="151"/>
      <c r="CZ32" s="151"/>
      <c r="DA32" s="151"/>
      <c r="DB32" s="151"/>
      <c r="DC32" s="151"/>
      <c r="DD32" s="151"/>
      <c r="DE32" s="151"/>
      <c r="DF32" s="151"/>
      <c r="DG32" s="151"/>
      <c r="DH32" s="151"/>
      <c r="DI32" s="151"/>
      <c r="DJ32" s="151"/>
      <c r="DK32" s="151"/>
      <c r="DL32" s="151"/>
      <c r="DM32" s="151"/>
      <c r="DN32" s="151"/>
      <c r="DO32" s="151"/>
      <c r="DP32" s="151"/>
      <c r="DQ32" s="151"/>
      <c r="DR32" s="151"/>
      <c r="DS32" s="151"/>
      <c r="DT32" s="151"/>
      <c r="DU32" s="151"/>
      <c r="DV32" s="151"/>
      <c r="DW32" s="151"/>
      <c r="DX32" s="151"/>
      <c r="DY32" s="151"/>
      <c r="DZ32" s="151"/>
      <c r="EA32" s="151"/>
      <c r="EB32" s="151"/>
      <c r="EC32" s="151"/>
      <c r="ED32" s="151"/>
      <c r="EE32" s="151"/>
      <c r="EF32" s="151"/>
      <c r="EG32" s="151"/>
      <c r="EH32" s="151"/>
      <c r="EI32" s="151"/>
      <c r="EJ32" s="151"/>
      <c r="EK32" s="151"/>
      <c r="EL32" s="151"/>
      <c r="EM32" s="151"/>
      <c r="EN32" s="151"/>
      <c r="EO32" s="151"/>
      <c r="EP32" s="151"/>
      <c r="EQ32" s="151"/>
      <c r="ER32" s="151"/>
      <c r="ES32" s="151"/>
      <c r="ET32" s="151"/>
      <c r="EU32" s="151"/>
      <c r="EV32" s="151"/>
      <c r="EW32" s="151"/>
      <c r="EX32" s="151"/>
      <c r="EY32" s="151"/>
      <c r="EZ32" s="151"/>
      <c r="FA32" s="151"/>
      <c r="FB32" s="151"/>
      <c r="FC32" s="151"/>
      <c r="FD32" s="151"/>
      <c r="FE32" s="151"/>
      <c r="FF32" s="151"/>
      <c r="FG32" s="151"/>
      <c r="FH32" s="151"/>
      <c r="FI32" s="151"/>
      <c r="FJ32" s="151"/>
      <c r="FK32" s="151"/>
      <c r="FL32" s="151"/>
      <c r="FM32" s="151"/>
      <c r="FN32" s="151"/>
      <c r="FO32" s="151"/>
      <c r="FP32" s="151"/>
      <c r="FQ32" s="151"/>
      <c r="FR32" s="151"/>
      <c r="FS32" s="151"/>
      <c r="FT32" s="151"/>
      <c r="FU32" s="151"/>
      <c r="FV32" s="151"/>
      <c r="FW32" s="151"/>
      <c r="FX32" s="151"/>
      <c r="FY32" s="151"/>
      <c r="FZ32" s="151"/>
      <c r="GA32" s="151"/>
      <c r="GB32" s="151"/>
      <c r="GC32" s="151"/>
      <c r="GD32" s="151"/>
      <c r="GE32" s="151"/>
      <c r="GF32" s="151"/>
      <c r="GG32" s="152"/>
    </row>
    <row r="33" spans="1:189" x14ac:dyDescent="0.35">
      <c r="A33" s="249" t="s">
        <v>665</v>
      </c>
      <c r="B33" s="248"/>
      <c r="C33" s="248"/>
      <c r="D33" s="249"/>
      <c r="E33" s="248" t="s">
        <v>962</v>
      </c>
      <c r="F33" s="248" t="s">
        <v>384</v>
      </c>
      <c r="G33" s="250">
        <v>2</v>
      </c>
      <c r="H33" s="251"/>
      <c r="I33" s="252"/>
      <c r="J33" s="252"/>
      <c r="K33" s="252"/>
      <c r="L33" s="253">
        <v>46568</v>
      </c>
      <c r="M33" s="253">
        <v>46598</v>
      </c>
      <c r="N33" s="253"/>
      <c r="O33" s="253">
        <v>46598</v>
      </c>
      <c r="P33" s="253">
        <v>46843</v>
      </c>
      <c r="Q33" s="254" t="s">
        <v>45</v>
      </c>
      <c r="R33" s="255">
        <v>100000</v>
      </c>
      <c r="S33" s="255">
        <v>100000</v>
      </c>
      <c r="T33" s="255"/>
      <c r="U33" s="191">
        <f t="shared" si="28"/>
        <v>0</v>
      </c>
      <c r="V33" s="246"/>
      <c r="W33" s="247"/>
      <c r="X33" s="46"/>
      <c r="Y33" s="167">
        <f t="shared" si="22"/>
        <v>100000</v>
      </c>
      <c r="Z33" s="167">
        <f t="shared" si="23"/>
        <v>0</v>
      </c>
      <c r="AA33" s="167">
        <f t="shared" si="24"/>
        <v>100000</v>
      </c>
      <c r="AB33" s="167">
        <f t="shared" si="25"/>
        <v>0</v>
      </c>
      <c r="AC33" s="167">
        <f t="shared" si="26"/>
        <v>0</v>
      </c>
      <c r="AD33" s="167">
        <f t="shared" si="27"/>
        <v>0</v>
      </c>
      <c r="AF33" s="180">
        <f t="shared" si="21"/>
        <v>1</v>
      </c>
      <c r="AG33" s="202" t="str">
        <f t="shared" si="13"/>
        <v xml:space="preserve"> Fire safety instructions</v>
      </c>
      <c r="AH33" s="172"/>
      <c r="AI33" s="173"/>
      <c r="AJ33" s="173"/>
      <c r="AK33" s="173"/>
      <c r="AL33" s="173"/>
      <c r="AM33" s="173"/>
      <c r="AN33" s="173"/>
      <c r="AO33" s="173"/>
      <c r="AP33" s="173"/>
      <c r="AQ33" s="173"/>
      <c r="AR33" s="173"/>
      <c r="AS33" s="173"/>
      <c r="AT33" s="173"/>
      <c r="AU33" s="173"/>
      <c r="AV33" s="173"/>
      <c r="AW33" s="173"/>
      <c r="AX33" s="173"/>
      <c r="AY33" s="173"/>
      <c r="AZ33" s="173"/>
      <c r="BA33" s="173"/>
      <c r="BB33" s="173"/>
      <c r="BC33" s="173"/>
      <c r="BD33" s="173"/>
      <c r="BE33" s="173"/>
      <c r="BF33" s="173"/>
      <c r="BG33" s="173"/>
      <c r="BH33" s="173"/>
      <c r="BI33" s="173"/>
      <c r="BJ33" s="173"/>
      <c r="BK33" s="173"/>
      <c r="BL33" s="173"/>
      <c r="BM33" s="173"/>
      <c r="BN33" s="173"/>
      <c r="BO33" s="173"/>
      <c r="BP33" s="173"/>
      <c r="BQ33" s="173"/>
      <c r="BR33" s="173"/>
      <c r="BS33" s="173"/>
      <c r="BT33" s="173"/>
      <c r="BU33" s="173"/>
      <c r="BV33" s="173"/>
      <c r="BW33" s="173"/>
      <c r="BX33" s="173"/>
      <c r="BY33" s="173"/>
      <c r="BZ33" s="173"/>
      <c r="CA33" s="173"/>
      <c r="CB33" s="173"/>
      <c r="CC33" s="173"/>
      <c r="CD33" s="173"/>
      <c r="CE33" s="173"/>
      <c r="CF33" s="173"/>
      <c r="CG33" s="173"/>
      <c r="CH33" s="173"/>
      <c r="CI33" s="173"/>
      <c r="CJ33" s="173"/>
      <c r="CK33" s="173"/>
      <c r="CL33" s="173"/>
      <c r="CM33" s="173"/>
      <c r="CN33" s="173"/>
      <c r="CO33" s="173"/>
      <c r="CP33" s="173"/>
      <c r="CQ33" s="173"/>
      <c r="CR33" s="173"/>
      <c r="CS33" s="173"/>
      <c r="CT33" s="173"/>
      <c r="CU33" s="173"/>
      <c r="CV33" s="173"/>
      <c r="CW33" s="173"/>
      <c r="CX33" s="173"/>
      <c r="CY33" s="151"/>
      <c r="CZ33" s="151"/>
      <c r="DA33" s="151"/>
      <c r="DB33" s="151"/>
      <c r="DC33" s="151"/>
      <c r="DD33" s="151"/>
      <c r="DE33" s="151"/>
      <c r="DF33" s="151"/>
      <c r="DG33" s="151"/>
      <c r="DH33" s="151"/>
      <c r="DI33" s="151"/>
      <c r="DJ33" s="151"/>
      <c r="DK33" s="151"/>
      <c r="DL33" s="151"/>
      <c r="DM33" s="151"/>
      <c r="DN33" s="151"/>
      <c r="DO33" s="151"/>
      <c r="DP33" s="151"/>
      <c r="DQ33" s="151"/>
      <c r="DR33" s="151"/>
      <c r="DS33" s="151"/>
      <c r="DT33" s="151"/>
      <c r="DU33" s="151"/>
      <c r="DV33" s="151"/>
      <c r="DW33" s="151"/>
      <c r="DX33" s="151"/>
      <c r="DY33" s="151"/>
      <c r="DZ33" s="151"/>
      <c r="EA33" s="151"/>
      <c r="EB33" s="151"/>
      <c r="EC33" s="151"/>
      <c r="ED33" s="151"/>
      <c r="EE33" s="151"/>
      <c r="EF33" s="151"/>
      <c r="EG33" s="151"/>
      <c r="EH33" s="151"/>
      <c r="EI33" s="151"/>
      <c r="EJ33" s="151"/>
      <c r="EK33" s="151"/>
      <c r="EL33" s="151"/>
      <c r="EM33" s="151"/>
      <c r="EN33" s="151"/>
      <c r="EO33" s="151"/>
      <c r="EP33" s="151"/>
      <c r="EQ33" s="151"/>
      <c r="ER33" s="151"/>
      <c r="ES33" s="151"/>
      <c r="ET33" s="151"/>
      <c r="EU33" s="151"/>
      <c r="EV33" s="151"/>
      <c r="EW33" s="151"/>
      <c r="EX33" s="151"/>
      <c r="EY33" s="151"/>
      <c r="EZ33" s="151"/>
      <c r="FA33" s="151"/>
      <c r="FB33" s="151"/>
      <c r="FC33" s="151"/>
      <c r="FD33" s="151"/>
      <c r="FE33" s="151"/>
      <c r="FF33" s="151"/>
      <c r="FG33" s="151"/>
      <c r="FH33" s="151"/>
      <c r="FI33" s="151"/>
      <c r="FJ33" s="151"/>
      <c r="FK33" s="151"/>
      <c r="FL33" s="151"/>
      <c r="FM33" s="151"/>
      <c r="FN33" s="151"/>
      <c r="FO33" s="151"/>
      <c r="FP33" s="151"/>
      <c r="FQ33" s="151"/>
      <c r="FR33" s="151"/>
      <c r="FS33" s="151"/>
      <c r="FT33" s="151"/>
      <c r="FU33" s="151"/>
      <c r="FV33" s="151"/>
      <c r="FW33" s="151"/>
      <c r="FX33" s="151"/>
      <c r="FY33" s="151"/>
      <c r="FZ33" s="151"/>
      <c r="GA33" s="151"/>
      <c r="GB33" s="151"/>
      <c r="GC33" s="151"/>
      <c r="GD33" s="151"/>
      <c r="GE33" s="151"/>
      <c r="GF33" s="151"/>
      <c r="GG33" s="152"/>
    </row>
    <row r="34" spans="1:189" x14ac:dyDescent="0.35">
      <c r="A34" s="249" t="s">
        <v>666</v>
      </c>
      <c r="B34" s="248"/>
      <c r="C34" s="248"/>
      <c r="D34" s="249"/>
      <c r="E34" s="248" t="s">
        <v>386</v>
      </c>
      <c r="F34" s="248" t="s">
        <v>260</v>
      </c>
      <c r="G34" s="250">
        <v>2</v>
      </c>
      <c r="H34" s="251"/>
      <c r="I34" s="252"/>
      <c r="J34" s="252"/>
      <c r="K34" s="252"/>
      <c r="L34" s="253">
        <v>46144</v>
      </c>
      <c r="M34" s="253">
        <v>46174</v>
      </c>
      <c r="N34" s="253"/>
      <c r="O34" s="253">
        <v>46082</v>
      </c>
      <c r="P34" s="253">
        <v>46843</v>
      </c>
      <c r="Q34" s="254" t="s">
        <v>45</v>
      </c>
      <c r="R34" s="255">
        <v>120000</v>
      </c>
      <c r="S34" s="255">
        <v>120000</v>
      </c>
      <c r="T34" s="255"/>
      <c r="U34" s="191">
        <f t="shared" si="28"/>
        <v>0</v>
      </c>
      <c r="V34" s="246"/>
      <c r="W34" s="247"/>
      <c r="X34" s="46"/>
      <c r="Y34" s="167">
        <f t="shared" si="22"/>
        <v>120000</v>
      </c>
      <c r="Z34" s="167">
        <f t="shared" si="23"/>
        <v>0</v>
      </c>
      <c r="AA34" s="167">
        <f t="shared" si="24"/>
        <v>120000</v>
      </c>
      <c r="AB34" s="167">
        <f t="shared" si="25"/>
        <v>0</v>
      </c>
      <c r="AC34" s="167">
        <f t="shared" si="26"/>
        <v>0</v>
      </c>
      <c r="AD34" s="167">
        <f t="shared" si="27"/>
        <v>0</v>
      </c>
      <c r="AF34" s="47">
        <f t="shared" si="21"/>
        <v>1</v>
      </c>
      <c r="AG34" s="202" t="str">
        <f t="shared" si="13"/>
        <v xml:space="preserve"> Explosion hazard assessment </v>
      </c>
      <c r="AH34" s="172"/>
      <c r="AI34" s="173"/>
      <c r="AJ34" s="173"/>
      <c r="AK34" s="173"/>
      <c r="AL34" s="173"/>
      <c r="AM34" s="173"/>
      <c r="AN34" s="173"/>
      <c r="AO34" s="173"/>
      <c r="AP34" s="173"/>
      <c r="AQ34" s="173"/>
      <c r="AR34" s="173"/>
      <c r="AS34" s="173"/>
      <c r="AT34" s="173"/>
      <c r="AU34" s="173"/>
      <c r="AV34" s="173"/>
      <c r="AW34" s="173"/>
      <c r="AX34" s="173"/>
      <c r="AY34" s="173"/>
      <c r="AZ34" s="173"/>
      <c r="BA34" s="173"/>
      <c r="BB34" s="173"/>
      <c r="BC34" s="173"/>
      <c r="BD34" s="173"/>
      <c r="BE34" s="173"/>
      <c r="BF34" s="173"/>
      <c r="BG34" s="173"/>
      <c r="BH34" s="173"/>
      <c r="BI34" s="173"/>
      <c r="BJ34" s="173"/>
      <c r="BK34" s="173"/>
      <c r="BL34" s="173"/>
      <c r="BM34" s="173"/>
      <c r="BN34" s="173"/>
      <c r="BO34" s="173"/>
      <c r="BP34" s="173"/>
      <c r="BQ34" s="173"/>
      <c r="BR34" s="173"/>
      <c r="BS34" s="173"/>
      <c r="BT34" s="173"/>
      <c r="BU34" s="173"/>
      <c r="BV34" s="173"/>
      <c r="BW34" s="173"/>
      <c r="BX34" s="173"/>
      <c r="BY34" s="173"/>
      <c r="BZ34" s="173"/>
      <c r="CA34" s="173"/>
      <c r="CB34" s="173"/>
      <c r="CC34" s="173"/>
      <c r="CD34" s="173"/>
      <c r="CE34" s="173"/>
      <c r="CF34" s="173"/>
      <c r="CG34" s="173"/>
      <c r="CH34" s="173"/>
      <c r="CI34" s="173"/>
      <c r="CJ34" s="173"/>
      <c r="CK34" s="173"/>
      <c r="CL34" s="173"/>
      <c r="CM34" s="173"/>
      <c r="CN34" s="173"/>
      <c r="CO34" s="173"/>
      <c r="CP34" s="173"/>
      <c r="CQ34" s="173"/>
      <c r="CR34" s="173"/>
      <c r="CS34" s="173"/>
      <c r="CT34" s="173"/>
      <c r="CU34" s="173"/>
      <c r="CV34" s="173"/>
      <c r="CW34" s="173"/>
      <c r="CX34" s="173"/>
      <c r="CY34" s="151"/>
      <c r="CZ34" s="151"/>
      <c r="DA34" s="151"/>
      <c r="DB34" s="151"/>
      <c r="DC34" s="151"/>
      <c r="DD34" s="151"/>
      <c r="DE34" s="151"/>
      <c r="DF34" s="151"/>
      <c r="DG34" s="151"/>
      <c r="DH34" s="151"/>
      <c r="DI34" s="151"/>
      <c r="DJ34" s="151"/>
      <c r="DK34" s="151"/>
      <c r="DL34" s="151"/>
      <c r="DM34" s="151"/>
      <c r="DN34" s="151"/>
      <c r="DO34" s="151"/>
      <c r="DP34" s="151"/>
      <c r="DQ34" s="151"/>
      <c r="DR34" s="151"/>
      <c r="DS34" s="151"/>
      <c r="DT34" s="151"/>
      <c r="DU34" s="151"/>
      <c r="DV34" s="151"/>
      <c r="DW34" s="151"/>
      <c r="DX34" s="151"/>
      <c r="DY34" s="151"/>
      <c r="DZ34" s="151"/>
      <c r="EA34" s="151"/>
      <c r="EB34" s="151"/>
      <c r="EC34" s="151"/>
      <c r="ED34" s="151"/>
      <c r="EE34" s="151"/>
      <c r="EF34" s="151"/>
      <c r="EG34" s="151"/>
      <c r="EH34" s="151"/>
      <c r="EI34" s="151"/>
      <c r="EJ34" s="151"/>
      <c r="EK34" s="151"/>
      <c r="EL34" s="151"/>
      <c r="EM34" s="151"/>
      <c r="EN34" s="151"/>
      <c r="EO34" s="151"/>
      <c r="EP34" s="151"/>
      <c r="EQ34" s="151"/>
      <c r="ER34" s="151"/>
      <c r="ES34" s="151"/>
      <c r="ET34" s="151"/>
      <c r="EU34" s="151"/>
      <c r="EV34" s="151"/>
      <c r="EW34" s="151"/>
      <c r="EX34" s="151"/>
      <c r="EY34" s="151"/>
      <c r="EZ34" s="151"/>
      <c r="FA34" s="151"/>
      <c r="FB34" s="151"/>
      <c r="FC34" s="151"/>
      <c r="FD34" s="151"/>
      <c r="FE34" s="151"/>
      <c r="FF34" s="151"/>
      <c r="FG34" s="151"/>
      <c r="FH34" s="151"/>
      <c r="FI34" s="151"/>
      <c r="FJ34" s="151"/>
      <c r="FK34" s="151"/>
      <c r="FL34" s="151"/>
      <c r="FM34" s="151"/>
      <c r="FN34" s="151"/>
      <c r="FO34" s="151"/>
      <c r="FP34" s="151"/>
      <c r="FQ34" s="151"/>
      <c r="FR34" s="151"/>
      <c r="FS34" s="151"/>
      <c r="FT34" s="151"/>
      <c r="FU34" s="151"/>
      <c r="FV34" s="151"/>
      <c r="FW34" s="151"/>
      <c r="FX34" s="151"/>
      <c r="FY34" s="151"/>
      <c r="FZ34" s="151"/>
      <c r="GA34" s="151"/>
      <c r="GB34" s="151"/>
      <c r="GC34" s="151"/>
      <c r="GD34" s="151"/>
      <c r="GE34" s="151"/>
      <c r="GF34" s="151"/>
      <c r="GG34" s="152"/>
    </row>
    <row r="35" spans="1:189" ht="27.75" x14ac:dyDescent="0.35">
      <c r="A35" s="249" t="s">
        <v>667</v>
      </c>
      <c r="B35" s="248"/>
      <c r="C35" s="248"/>
      <c r="D35" s="249"/>
      <c r="E35" s="248" t="s">
        <v>385</v>
      </c>
      <c r="F35" s="248" t="s">
        <v>261</v>
      </c>
      <c r="G35" s="250">
        <v>2</v>
      </c>
      <c r="H35" s="251"/>
      <c r="I35" s="252"/>
      <c r="J35" s="252"/>
      <c r="K35" s="252"/>
      <c r="L35" s="253">
        <v>46265</v>
      </c>
      <c r="M35" s="253">
        <v>46295</v>
      </c>
      <c r="N35" s="253"/>
      <c r="O35" s="253">
        <v>46295</v>
      </c>
      <c r="P35" s="253">
        <v>46934</v>
      </c>
      <c r="Q35" s="254" t="s">
        <v>45</v>
      </c>
      <c r="R35" s="255">
        <v>100000</v>
      </c>
      <c r="S35" s="255">
        <v>100000</v>
      </c>
      <c r="T35" s="255"/>
      <c r="U35" s="191">
        <f t="shared" si="28"/>
        <v>0</v>
      </c>
      <c r="V35" s="246"/>
      <c r="W35" s="247"/>
      <c r="X35" s="46"/>
      <c r="Y35" s="167">
        <f t="shared" si="22"/>
        <v>100000</v>
      </c>
      <c r="Z35" s="167">
        <f t="shared" si="23"/>
        <v>0</v>
      </c>
      <c r="AA35" s="167">
        <f t="shared" si="24"/>
        <v>100000</v>
      </c>
      <c r="AB35" s="167">
        <f t="shared" si="25"/>
        <v>0</v>
      </c>
      <c r="AC35" s="167">
        <f t="shared" si="26"/>
        <v>0</v>
      </c>
      <c r="AD35" s="167">
        <f t="shared" si="27"/>
        <v>0</v>
      </c>
      <c r="AF35" s="180">
        <f t="shared" si="21"/>
        <v>1</v>
      </c>
      <c r="AG35" s="202" t="str">
        <f t="shared" si="13"/>
        <v xml:space="preserve"> Technical Consultant for certification and for complying with European Directives</v>
      </c>
      <c r="AH35" s="172"/>
      <c r="AI35" s="173"/>
      <c r="AJ35" s="173"/>
      <c r="AK35" s="173"/>
      <c r="AL35" s="173"/>
      <c r="AM35" s="173"/>
      <c r="AN35" s="173"/>
      <c r="AO35" s="173"/>
      <c r="AP35" s="173"/>
      <c r="AQ35" s="173"/>
      <c r="AR35" s="173"/>
      <c r="AS35" s="173"/>
      <c r="AT35" s="173"/>
      <c r="AU35" s="173"/>
      <c r="AV35" s="173"/>
      <c r="AW35" s="173"/>
      <c r="AX35" s="173"/>
      <c r="AY35" s="173"/>
      <c r="AZ35" s="173"/>
      <c r="BA35" s="173"/>
      <c r="BB35" s="173"/>
      <c r="BC35" s="173"/>
      <c r="BD35" s="173"/>
      <c r="BE35" s="173"/>
      <c r="BF35" s="173"/>
      <c r="BG35" s="173"/>
      <c r="BH35" s="173"/>
      <c r="BI35" s="173"/>
      <c r="BJ35" s="173"/>
      <c r="BK35" s="173"/>
      <c r="BL35" s="173"/>
      <c r="BM35" s="173"/>
      <c r="BN35" s="173"/>
      <c r="BO35" s="173"/>
      <c r="BP35" s="173"/>
      <c r="BQ35" s="173"/>
      <c r="BR35" s="173"/>
      <c r="BS35" s="173"/>
      <c r="BT35" s="173"/>
      <c r="BU35" s="173"/>
      <c r="BV35" s="173"/>
      <c r="BW35" s="173"/>
      <c r="BX35" s="173"/>
      <c r="BY35" s="173"/>
      <c r="BZ35" s="173"/>
      <c r="CA35" s="173"/>
      <c r="CB35" s="173"/>
      <c r="CC35" s="173"/>
      <c r="CD35" s="173"/>
      <c r="CE35" s="173"/>
      <c r="CF35" s="173"/>
      <c r="CG35" s="173"/>
      <c r="CH35" s="173"/>
      <c r="CI35" s="173"/>
      <c r="CJ35" s="173"/>
      <c r="CK35" s="173"/>
      <c r="CL35" s="173"/>
      <c r="CM35" s="173"/>
      <c r="CN35" s="173"/>
      <c r="CO35" s="173"/>
      <c r="CP35" s="173"/>
      <c r="CQ35" s="173"/>
      <c r="CR35" s="173"/>
      <c r="CS35" s="173"/>
      <c r="CT35" s="173"/>
      <c r="CU35" s="173"/>
      <c r="CV35" s="173"/>
      <c r="CW35" s="173"/>
      <c r="CX35" s="173"/>
      <c r="CY35" s="151"/>
      <c r="CZ35" s="151"/>
      <c r="DA35" s="151"/>
      <c r="DB35" s="151"/>
      <c r="DC35" s="151"/>
      <c r="DD35" s="151"/>
      <c r="DE35" s="151"/>
      <c r="DF35" s="151"/>
      <c r="DG35" s="151"/>
      <c r="DH35" s="151"/>
      <c r="DI35" s="151"/>
      <c r="DJ35" s="151"/>
      <c r="DK35" s="151"/>
      <c r="DL35" s="151"/>
      <c r="DM35" s="151"/>
      <c r="DN35" s="151"/>
      <c r="DO35" s="151"/>
      <c r="DP35" s="151"/>
      <c r="DQ35" s="151"/>
      <c r="DR35" s="151"/>
      <c r="DS35" s="151"/>
      <c r="DT35" s="151"/>
      <c r="DU35" s="151"/>
      <c r="DV35" s="151"/>
      <c r="DW35" s="151"/>
      <c r="DX35" s="151"/>
      <c r="DY35" s="151"/>
      <c r="DZ35" s="151"/>
      <c r="EA35" s="151"/>
      <c r="EB35" s="151"/>
      <c r="EC35" s="151"/>
      <c r="ED35" s="151"/>
      <c r="EE35" s="151"/>
      <c r="EF35" s="151"/>
      <c r="EG35" s="151"/>
      <c r="EH35" s="151"/>
      <c r="EI35" s="151"/>
      <c r="EJ35" s="151"/>
      <c r="EK35" s="151"/>
      <c r="EL35" s="151"/>
      <c r="EM35" s="151"/>
      <c r="EN35" s="151"/>
      <c r="EO35" s="151"/>
      <c r="EP35" s="151"/>
      <c r="EQ35" s="151"/>
      <c r="ER35" s="151"/>
      <c r="ES35" s="151"/>
      <c r="ET35" s="151"/>
      <c r="EU35" s="151"/>
      <c r="EV35" s="151"/>
      <c r="EW35" s="151"/>
      <c r="EX35" s="151"/>
      <c r="EY35" s="151"/>
      <c r="EZ35" s="151"/>
      <c r="FA35" s="151"/>
      <c r="FB35" s="151"/>
      <c r="FC35" s="151"/>
      <c r="FD35" s="151"/>
      <c r="FE35" s="151"/>
      <c r="FF35" s="151"/>
      <c r="FG35" s="151"/>
      <c r="FH35" s="151"/>
      <c r="FI35" s="151"/>
      <c r="FJ35" s="151"/>
      <c r="FK35" s="151"/>
      <c r="FL35" s="151"/>
      <c r="FM35" s="151"/>
      <c r="FN35" s="151"/>
      <c r="FO35" s="151"/>
      <c r="FP35" s="151"/>
      <c r="FQ35" s="151"/>
      <c r="FR35" s="151"/>
      <c r="FS35" s="151"/>
      <c r="FT35" s="151"/>
      <c r="FU35" s="151"/>
      <c r="FV35" s="151"/>
      <c r="FW35" s="151"/>
      <c r="FX35" s="151"/>
      <c r="FY35" s="151"/>
      <c r="FZ35" s="151"/>
      <c r="GA35" s="151"/>
      <c r="GB35" s="151"/>
      <c r="GC35" s="151"/>
      <c r="GD35" s="151"/>
      <c r="GE35" s="151"/>
      <c r="GF35" s="151"/>
      <c r="GG35" s="152"/>
    </row>
    <row r="36" spans="1:189" x14ac:dyDescent="0.35">
      <c r="A36" s="249" t="s">
        <v>668</v>
      </c>
      <c r="B36" s="248"/>
      <c r="C36" s="248"/>
      <c r="D36" s="249"/>
      <c r="E36" s="248" t="s">
        <v>382</v>
      </c>
      <c r="F36" s="248" t="s">
        <v>262</v>
      </c>
      <c r="G36" s="250">
        <v>2</v>
      </c>
      <c r="H36" s="251"/>
      <c r="I36" s="252"/>
      <c r="J36" s="252"/>
      <c r="K36" s="252"/>
      <c r="L36" s="253">
        <v>46171</v>
      </c>
      <c r="M36" s="253">
        <v>46201</v>
      </c>
      <c r="N36" s="253"/>
      <c r="O36" s="253">
        <v>46201</v>
      </c>
      <c r="P36" s="253">
        <v>46934</v>
      </c>
      <c r="Q36" s="254" t="s">
        <v>45</v>
      </c>
      <c r="R36" s="255">
        <v>350000</v>
      </c>
      <c r="S36" s="255">
        <v>350000</v>
      </c>
      <c r="T36" s="255"/>
      <c r="U36" s="191">
        <f t="shared" si="28"/>
        <v>0</v>
      </c>
      <c r="V36" s="246"/>
      <c r="W36" s="247"/>
      <c r="X36" s="46"/>
      <c r="Y36" s="167">
        <f t="shared" si="22"/>
        <v>350000</v>
      </c>
      <c r="Z36" s="167">
        <f t="shared" si="23"/>
        <v>0</v>
      </c>
      <c r="AA36" s="167">
        <f t="shared" si="24"/>
        <v>350000</v>
      </c>
      <c r="AB36" s="167">
        <f t="shared" si="25"/>
        <v>0</v>
      </c>
      <c r="AC36" s="167">
        <f t="shared" si="26"/>
        <v>0</v>
      </c>
      <c r="AD36" s="167">
        <f t="shared" si="27"/>
        <v>0</v>
      </c>
      <c r="AF36" s="47">
        <f t="shared" si="21"/>
        <v>1</v>
      </c>
      <c r="AG36" s="202" t="str">
        <f t="shared" si="13"/>
        <v xml:space="preserve"> Notification Bodies</v>
      </c>
      <c r="AH36" s="172"/>
      <c r="AI36" s="173"/>
      <c r="AJ36" s="173"/>
      <c r="AK36" s="173"/>
      <c r="AL36" s="173"/>
      <c r="AM36" s="173"/>
      <c r="AN36" s="173"/>
      <c r="AO36" s="173"/>
      <c r="AP36" s="173"/>
      <c r="AQ36" s="173"/>
      <c r="AR36" s="173"/>
      <c r="AS36" s="173"/>
      <c r="AT36" s="173"/>
      <c r="AU36" s="173"/>
      <c r="AV36" s="173"/>
      <c r="AW36" s="173"/>
      <c r="AX36" s="173"/>
      <c r="AY36" s="173"/>
      <c r="AZ36" s="173"/>
      <c r="BA36" s="173"/>
      <c r="BB36" s="173"/>
      <c r="BC36" s="173"/>
      <c r="BD36" s="173"/>
      <c r="BE36" s="173"/>
      <c r="BF36" s="173"/>
      <c r="BG36" s="173"/>
      <c r="BH36" s="173"/>
      <c r="BI36" s="173"/>
      <c r="BJ36" s="173"/>
      <c r="BK36" s="173"/>
      <c r="BL36" s="173"/>
      <c r="BM36" s="173"/>
      <c r="BN36" s="173"/>
      <c r="BO36" s="173"/>
      <c r="BP36" s="173"/>
      <c r="BQ36" s="173"/>
      <c r="BR36" s="173"/>
      <c r="BS36" s="173"/>
      <c r="BT36" s="173"/>
      <c r="BU36" s="173"/>
      <c r="BV36" s="173"/>
      <c r="BW36" s="173"/>
      <c r="BX36" s="173"/>
      <c r="BY36" s="173"/>
      <c r="BZ36" s="173"/>
      <c r="CA36" s="173"/>
      <c r="CB36" s="173"/>
      <c r="CC36" s="173"/>
      <c r="CD36" s="173"/>
      <c r="CE36" s="173"/>
      <c r="CF36" s="173"/>
      <c r="CG36" s="173"/>
      <c r="CH36" s="173"/>
      <c r="CI36" s="173"/>
      <c r="CJ36" s="173"/>
      <c r="CK36" s="173"/>
      <c r="CL36" s="173"/>
      <c r="CM36" s="173"/>
      <c r="CN36" s="173"/>
      <c r="CO36" s="173"/>
      <c r="CP36" s="173"/>
      <c r="CQ36" s="173"/>
      <c r="CR36" s="173"/>
      <c r="CS36" s="173"/>
      <c r="CT36" s="173"/>
      <c r="CU36" s="173"/>
      <c r="CV36" s="173"/>
      <c r="CW36" s="173"/>
      <c r="CX36" s="173"/>
      <c r="CY36" s="151"/>
      <c r="CZ36" s="151"/>
      <c r="DA36" s="151"/>
      <c r="DB36" s="151"/>
      <c r="DC36" s="151"/>
      <c r="DD36" s="151"/>
      <c r="DE36" s="151"/>
      <c r="DF36" s="151"/>
      <c r="DG36" s="151"/>
      <c r="DH36" s="151"/>
      <c r="DI36" s="151"/>
      <c r="DJ36" s="151"/>
      <c r="DK36" s="151"/>
      <c r="DL36" s="151"/>
      <c r="DM36" s="151"/>
      <c r="DN36" s="151"/>
      <c r="DO36" s="151"/>
      <c r="DP36" s="151"/>
      <c r="DQ36" s="151"/>
      <c r="DR36" s="151"/>
      <c r="DS36" s="151"/>
      <c r="DT36" s="151"/>
      <c r="DU36" s="151"/>
      <c r="DV36" s="151"/>
      <c r="DW36" s="151"/>
      <c r="DX36" s="151"/>
      <c r="DY36" s="151"/>
      <c r="DZ36" s="151"/>
      <c r="EA36" s="151"/>
      <c r="EB36" s="151"/>
      <c r="EC36" s="151"/>
      <c r="ED36" s="151"/>
      <c r="EE36" s="151"/>
      <c r="EF36" s="151"/>
      <c r="EG36" s="151"/>
      <c r="EH36" s="151"/>
      <c r="EI36" s="151"/>
      <c r="EJ36" s="151"/>
      <c r="EK36" s="151"/>
      <c r="EL36" s="151"/>
      <c r="EM36" s="151"/>
      <c r="EN36" s="151"/>
      <c r="EO36" s="151"/>
      <c r="EP36" s="151"/>
      <c r="EQ36" s="151"/>
      <c r="ER36" s="151"/>
      <c r="ES36" s="151"/>
      <c r="ET36" s="151"/>
      <c r="EU36" s="151"/>
      <c r="EV36" s="151"/>
      <c r="EW36" s="151"/>
      <c r="EX36" s="151"/>
      <c r="EY36" s="151"/>
      <c r="EZ36" s="151"/>
      <c r="FA36" s="151"/>
      <c r="FB36" s="151"/>
      <c r="FC36" s="151"/>
      <c r="FD36" s="151"/>
      <c r="FE36" s="151"/>
      <c r="FF36" s="151"/>
      <c r="FG36" s="151"/>
      <c r="FH36" s="151"/>
      <c r="FI36" s="151"/>
      <c r="FJ36" s="151"/>
      <c r="FK36" s="151"/>
      <c r="FL36" s="151"/>
      <c r="FM36" s="151"/>
      <c r="FN36" s="151"/>
      <c r="FO36" s="151"/>
      <c r="FP36" s="151"/>
      <c r="FQ36" s="151"/>
      <c r="FR36" s="151"/>
      <c r="FS36" s="151"/>
      <c r="FT36" s="151"/>
      <c r="FU36" s="151"/>
      <c r="FV36" s="151"/>
      <c r="FW36" s="151"/>
      <c r="FX36" s="151"/>
      <c r="FY36" s="151"/>
      <c r="FZ36" s="151"/>
      <c r="GA36" s="151"/>
      <c r="GB36" s="151"/>
      <c r="GC36" s="151"/>
      <c r="GD36" s="151"/>
      <c r="GE36" s="151"/>
      <c r="GF36" s="151"/>
      <c r="GG36" s="152"/>
    </row>
    <row r="37" spans="1:189" x14ac:dyDescent="0.35">
      <c r="A37" s="249" t="s">
        <v>669</v>
      </c>
      <c r="B37" s="248"/>
      <c r="C37" s="248"/>
      <c r="D37" s="249"/>
      <c r="E37" s="248" t="s">
        <v>654</v>
      </c>
      <c r="F37" s="248" t="s">
        <v>263</v>
      </c>
      <c r="G37" s="250">
        <v>2</v>
      </c>
      <c r="H37" s="251"/>
      <c r="I37" s="252"/>
      <c r="J37" s="252"/>
      <c r="K37" s="252"/>
      <c r="L37" s="253"/>
      <c r="M37" s="253"/>
      <c r="N37" s="253"/>
      <c r="O37" s="253"/>
      <c r="P37" s="253"/>
      <c r="Q37" s="254" t="s">
        <v>45</v>
      </c>
      <c r="R37" s="255">
        <v>250000</v>
      </c>
      <c r="S37" s="255">
        <v>250000</v>
      </c>
      <c r="T37" s="255"/>
      <c r="U37" s="191">
        <f t="shared" si="28"/>
        <v>0</v>
      </c>
      <c r="V37" s="246"/>
      <c r="W37" s="247"/>
      <c r="X37" s="46"/>
      <c r="Y37" s="167">
        <f t="shared" si="22"/>
        <v>250000</v>
      </c>
      <c r="Z37" s="167">
        <f t="shared" si="23"/>
        <v>0</v>
      </c>
      <c r="AA37" s="167">
        <f t="shared" si="24"/>
        <v>250000</v>
      </c>
      <c r="AB37" s="167">
        <f t="shared" si="25"/>
        <v>0</v>
      </c>
      <c r="AC37" s="167">
        <f t="shared" si="26"/>
        <v>0</v>
      </c>
      <c r="AD37" s="167">
        <f t="shared" si="27"/>
        <v>0</v>
      </c>
      <c r="AF37" s="180">
        <f t="shared" si="21"/>
        <v>1</v>
      </c>
      <c r="AG37" s="202" t="str">
        <f t="shared" si="13"/>
        <v xml:space="preserve"> Translations (Polish / English)</v>
      </c>
      <c r="AH37" s="172"/>
      <c r="AI37" s="173"/>
      <c r="AJ37" s="173"/>
      <c r="AK37" s="173"/>
      <c r="AL37" s="173"/>
      <c r="AM37" s="173"/>
      <c r="AN37" s="173"/>
      <c r="AO37" s="173"/>
      <c r="AP37" s="173"/>
      <c r="AQ37" s="173"/>
      <c r="AR37" s="173"/>
      <c r="AS37" s="173"/>
      <c r="AT37" s="173"/>
      <c r="AU37" s="173"/>
      <c r="AV37" s="173"/>
      <c r="AW37" s="173"/>
      <c r="AX37" s="173"/>
      <c r="AY37" s="173"/>
      <c r="AZ37" s="173"/>
      <c r="BA37" s="173"/>
      <c r="BB37" s="173"/>
      <c r="BC37" s="173"/>
      <c r="BD37" s="173"/>
      <c r="BE37" s="173"/>
      <c r="BF37" s="173"/>
      <c r="BG37" s="173"/>
      <c r="BH37" s="173"/>
      <c r="BI37" s="173"/>
      <c r="BJ37" s="173"/>
      <c r="BK37" s="173"/>
      <c r="BL37" s="173"/>
      <c r="BM37" s="173"/>
      <c r="BN37" s="173"/>
      <c r="BO37" s="173"/>
      <c r="BP37" s="173"/>
      <c r="BQ37" s="173"/>
      <c r="BR37" s="173"/>
      <c r="BS37" s="173"/>
      <c r="BT37" s="173"/>
      <c r="BU37" s="173"/>
      <c r="BV37" s="173"/>
      <c r="BW37" s="173"/>
      <c r="BX37" s="173"/>
      <c r="BY37" s="173"/>
      <c r="BZ37" s="173"/>
      <c r="CA37" s="173"/>
      <c r="CB37" s="173"/>
      <c r="CC37" s="173"/>
      <c r="CD37" s="173"/>
      <c r="CE37" s="173"/>
      <c r="CF37" s="173"/>
      <c r="CG37" s="173"/>
      <c r="CH37" s="173"/>
      <c r="CI37" s="173"/>
      <c r="CJ37" s="173"/>
      <c r="CK37" s="173"/>
      <c r="CL37" s="173"/>
      <c r="CM37" s="173"/>
      <c r="CN37" s="173"/>
      <c r="CO37" s="173"/>
      <c r="CP37" s="173"/>
      <c r="CQ37" s="173"/>
      <c r="CR37" s="173"/>
      <c r="CS37" s="173"/>
      <c r="CT37" s="173"/>
      <c r="CU37" s="173"/>
      <c r="CV37" s="173"/>
      <c r="CW37" s="173"/>
      <c r="CX37" s="173"/>
      <c r="CY37" s="151"/>
      <c r="CZ37" s="151"/>
      <c r="DA37" s="151"/>
      <c r="DB37" s="151"/>
      <c r="DC37" s="151"/>
      <c r="DD37" s="151"/>
      <c r="DE37" s="151"/>
      <c r="DF37" s="151"/>
      <c r="DG37" s="151"/>
      <c r="DH37" s="151"/>
      <c r="DI37" s="151"/>
      <c r="DJ37" s="151"/>
      <c r="DK37" s="151"/>
      <c r="DL37" s="151"/>
      <c r="DM37" s="151"/>
      <c r="DN37" s="151"/>
      <c r="DO37" s="151"/>
      <c r="DP37" s="151"/>
      <c r="DQ37" s="151"/>
      <c r="DR37" s="151"/>
      <c r="DS37" s="151"/>
      <c r="DT37" s="151"/>
      <c r="DU37" s="151"/>
      <c r="DV37" s="151"/>
      <c r="DW37" s="151"/>
      <c r="DX37" s="151"/>
      <c r="DY37" s="151"/>
      <c r="DZ37" s="151"/>
      <c r="EA37" s="151"/>
      <c r="EB37" s="151"/>
      <c r="EC37" s="151"/>
      <c r="ED37" s="151"/>
      <c r="EE37" s="151"/>
      <c r="EF37" s="151"/>
      <c r="EG37" s="151"/>
      <c r="EH37" s="151"/>
      <c r="EI37" s="151"/>
      <c r="EJ37" s="151"/>
      <c r="EK37" s="151"/>
      <c r="EL37" s="151"/>
      <c r="EM37" s="151"/>
      <c r="EN37" s="151"/>
      <c r="EO37" s="151"/>
      <c r="EP37" s="151"/>
      <c r="EQ37" s="151"/>
      <c r="ER37" s="151"/>
      <c r="ES37" s="151"/>
      <c r="ET37" s="151"/>
      <c r="EU37" s="151"/>
      <c r="EV37" s="151"/>
      <c r="EW37" s="151"/>
      <c r="EX37" s="151"/>
      <c r="EY37" s="151"/>
      <c r="EZ37" s="151"/>
      <c r="FA37" s="151"/>
      <c r="FB37" s="151"/>
      <c r="FC37" s="151"/>
      <c r="FD37" s="151"/>
      <c r="FE37" s="151"/>
      <c r="FF37" s="151"/>
      <c r="FG37" s="151"/>
      <c r="FH37" s="151"/>
      <c r="FI37" s="151"/>
      <c r="FJ37" s="151"/>
      <c r="FK37" s="151"/>
      <c r="FL37" s="151"/>
      <c r="FM37" s="151"/>
      <c r="FN37" s="151"/>
      <c r="FO37" s="151"/>
      <c r="FP37" s="151"/>
      <c r="FQ37" s="151"/>
      <c r="FR37" s="151"/>
      <c r="FS37" s="151"/>
      <c r="FT37" s="151"/>
      <c r="FU37" s="151"/>
      <c r="FV37" s="151"/>
      <c r="FW37" s="151"/>
      <c r="FX37" s="151"/>
      <c r="FY37" s="151"/>
      <c r="FZ37" s="151"/>
      <c r="GA37" s="151"/>
      <c r="GB37" s="151"/>
      <c r="GC37" s="151"/>
      <c r="GD37" s="151"/>
      <c r="GE37" s="151"/>
      <c r="GF37" s="151"/>
      <c r="GG37" s="152"/>
    </row>
    <row r="38" spans="1:189" x14ac:dyDescent="0.35">
      <c r="A38" s="249" t="s">
        <v>670</v>
      </c>
      <c r="B38" s="248"/>
      <c r="C38" s="248"/>
      <c r="D38" s="249"/>
      <c r="E38" s="248" t="s">
        <v>389</v>
      </c>
      <c r="F38" s="248" t="s">
        <v>390</v>
      </c>
      <c r="G38" s="250">
        <v>2</v>
      </c>
      <c r="H38" s="251"/>
      <c r="I38" s="252"/>
      <c r="J38" s="252"/>
      <c r="K38" s="252"/>
      <c r="L38" s="253"/>
      <c r="M38" s="253"/>
      <c r="N38" s="253"/>
      <c r="O38" s="253"/>
      <c r="P38" s="253"/>
      <c r="Q38" s="254" t="s">
        <v>45</v>
      </c>
      <c r="R38" s="255">
        <v>150000</v>
      </c>
      <c r="S38" s="256">
        <v>150000</v>
      </c>
      <c r="T38" s="255"/>
      <c r="U38" s="191">
        <f t="shared" si="28"/>
        <v>0</v>
      </c>
      <c r="V38" s="246"/>
      <c r="W38" s="247"/>
      <c r="X38" s="46"/>
      <c r="Y38" s="167">
        <f t="shared" si="22"/>
        <v>150000</v>
      </c>
      <c r="Z38" s="167">
        <f t="shared" si="23"/>
        <v>0</v>
      </c>
      <c r="AA38" s="167">
        <f t="shared" si="24"/>
        <v>150000</v>
      </c>
      <c r="AB38" s="167">
        <f t="shared" si="25"/>
        <v>0</v>
      </c>
      <c r="AC38" s="167">
        <f t="shared" si="26"/>
        <v>0</v>
      </c>
      <c r="AD38" s="167">
        <f t="shared" si="27"/>
        <v>0</v>
      </c>
      <c r="AF38" s="47">
        <f t="shared" si="21"/>
        <v>1</v>
      </c>
      <c r="AG38" s="202" t="str">
        <f t="shared" si="13"/>
        <v xml:space="preserve"> NC Rfg certification</v>
      </c>
      <c r="AH38" s="172"/>
      <c r="AI38" s="173"/>
      <c r="AJ38" s="173"/>
      <c r="AK38" s="173"/>
      <c r="AL38" s="173"/>
      <c r="AM38" s="173"/>
      <c r="AN38" s="173"/>
      <c r="AO38" s="173"/>
      <c r="AP38" s="173"/>
      <c r="AQ38" s="173"/>
      <c r="AR38" s="173"/>
      <c r="AS38" s="173"/>
      <c r="AT38" s="173"/>
      <c r="AU38" s="173"/>
      <c r="AV38" s="173"/>
      <c r="AW38" s="173"/>
      <c r="AX38" s="173"/>
      <c r="AY38" s="173"/>
      <c r="AZ38" s="173"/>
      <c r="BA38" s="173"/>
      <c r="BB38" s="173"/>
      <c r="BC38" s="173"/>
      <c r="BD38" s="173"/>
      <c r="BE38" s="173"/>
      <c r="BF38" s="173"/>
      <c r="BG38" s="173"/>
      <c r="BH38" s="173"/>
      <c r="BI38" s="173"/>
      <c r="BJ38" s="173"/>
      <c r="BK38" s="173"/>
      <c r="BL38" s="173"/>
      <c r="BM38" s="173"/>
      <c r="BN38" s="173"/>
      <c r="BO38" s="173"/>
      <c r="BP38" s="173"/>
      <c r="BQ38" s="173"/>
      <c r="BR38" s="173"/>
      <c r="BS38" s="173"/>
      <c r="BT38" s="173"/>
      <c r="BU38" s="173"/>
      <c r="BV38" s="173"/>
      <c r="BW38" s="173"/>
      <c r="BX38" s="173"/>
      <c r="BY38" s="173"/>
      <c r="BZ38" s="173"/>
      <c r="CA38" s="173"/>
      <c r="CB38" s="173"/>
      <c r="CC38" s="173"/>
      <c r="CD38" s="173"/>
      <c r="CE38" s="173"/>
      <c r="CF38" s="173"/>
      <c r="CG38" s="173"/>
      <c r="CH38" s="173"/>
      <c r="CI38" s="173"/>
      <c r="CJ38" s="173"/>
      <c r="CK38" s="173"/>
      <c r="CL38" s="173"/>
      <c r="CM38" s="173"/>
      <c r="CN38" s="173"/>
      <c r="CO38" s="173"/>
      <c r="CP38" s="173"/>
      <c r="CQ38" s="173"/>
      <c r="CR38" s="173"/>
      <c r="CS38" s="173"/>
      <c r="CT38" s="173"/>
      <c r="CU38" s="173"/>
      <c r="CV38" s="173"/>
      <c r="CW38" s="173"/>
      <c r="CX38" s="173"/>
      <c r="CY38" s="151"/>
      <c r="CZ38" s="151"/>
      <c r="DA38" s="151"/>
      <c r="DB38" s="151"/>
      <c r="DC38" s="151"/>
      <c r="DD38" s="151"/>
      <c r="DE38" s="151"/>
      <c r="DF38" s="151"/>
      <c r="DG38" s="151"/>
      <c r="DH38" s="151"/>
      <c r="DI38" s="151"/>
      <c r="DJ38" s="151"/>
      <c r="DK38" s="151"/>
      <c r="DL38" s="151"/>
      <c r="DM38" s="151"/>
      <c r="DN38" s="151"/>
      <c r="DO38" s="151"/>
      <c r="DP38" s="151"/>
      <c r="DQ38" s="151"/>
      <c r="DR38" s="151"/>
      <c r="DS38" s="151"/>
      <c r="DT38" s="151"/>
      <c r="DU38" s="151"/>
      <c r="DV38" s="151"/>
      <c r="DW38" s="151"/>
      <c r="DX38" s="151"/>
      <c r="DY38" s="151"/>
      <c r="DZ38" s="151"/>
      <c r="EA38" s="151"/>
      <c r="EB38" s="151"/>
      <c r="EC38" s="151"/>
      <c r="ED38" s="151"/>
      <c r="EE38" s="151"/>
      <c r="EF38" s="151"/>
      <c r="EG38" s="151"/>
      <c r="EH38" s="151"/>
      <c r="EI38" s="151"/>
      <c r="EJ38" s="151"/>
      <c r="EK38" s="151"/>
      <c r="EL38" s="151"/>
      <c r="EM38" s="151"/>
      <c r="EN38" s="151"/>
      <c r="EO38" s="151"/>
      <c r="EP38" s="151"/>
      <c r="EQ38" s="151"/>
      <c r="ER38" s="151"/>
      <c r="ES38" s="151"/>
      <c r="ET38" s="151"/>
      <c r="EU38" s="151"/>
      <c r="EV38" s="151"/>
      <c r="EW38" s="151"/>
      <c r="EX38" s="151"/>
      <c r="EY38" s="151"/>
      <c r="EZ38" s="151"/>
      <c r="FA38" s="151"/>
      <c r="FB38" s="151"/>
      <c r="FC38" s="151"/>
      <c r="FD38" s="151"/>
      <c r="FE38" s="151"/>
      <c r="FF38" s="151"/>
      <c r="FG38" s="151"/>
      <c r="FH38" s="151"/>
      <c r="FI38" s="151"/>
      <c r="FJ38" s="151"/>
      <c r="FK38" s="151"/>
      <c r="FL38" s="151"/>
      <c r="FM38" s="151"/>
      <c r="FN38" s="151"/>
      <c r="FO38" s="151"/>
      <c r="FP38" s="151"/>
      <c r="FQ38" s="151"/>
      <c r="FR38" s="151"/>
      <c r="FS38" s="151"/>
      <c r="FT38" s="151"/>
      <c r="FU38" s="151"/>
      <c r="FV38" s="151"/>
      <c r="FW38" s="151"/>
      <c r="FX38" s="151"/>
      <c r="FY38" s="151"/>
      <c r="FZ38" s="151"/>
      <c r="GA38" s="151"/>
      <c r="GB38" s="151"/>
      <c r="GC38" s="151"/>
      <c r="GD38" s="151"/>
      <c r="GE38" s="151"/>
      <c r="GF38" s="151"/>
      <c r="GG38" s="152"/>
    </row>
    <row r="39" spans="1:189" x14ac:dyDescent="0.35">
      <c r="A39" s="249" t="s">
        <v>963</v>
      </c>
      <c r="B39" s="248"/>
      <c r="C39" s="248" t="s">
        <v>1092</v>
      </c>
      <c r="D39" s="249"/>
      <c r="E39" s="248" t="s">
        <v>1094</v>
      </c>
      <c r="F39" s="248" t="s">
        <v>1095</v>
      </c>
      <c r="G39" s="250">
        <v>2</v>
      </c>
      <c r="H39" s="251" t="s">
        <v>1093</v>
      </c>
      <c r="I39" s="252"/>
      <c r="J39" s="252"/>
      <c r="K39" s="252"/>
      <c r="L39" s="253">
        <v>45962</v>
      </c>
      <c r="M39" s="253">
        <v>45995</v>
      </c>
      <c r="N39" s="253">
        <v>45995</v>
      </c>
      <c r="O39" s="253">
        <v>45995</v>
      </c>
      <c r="P39" s="253">
        <v>46934</v>
      </c>
      <c r="Q39" s="254" t="s">
        <v>20</v>
      </c>
      <c r="R39" s="255">
        <v>17000000</v>
      </c>
      <c r="S39" s="256">
        <v>17000000</v>
      </c>
      <c r="T39" s="255">
        <v>17400000</v>
      </c>
      <c r="U39" s="191">
        <f t="shared" ref="U39" si="38">IF(Q39="",0,IF(T39="",0,+S39-T39))</f>
        <v>-400000</v>
      </c>
      <c r="V39" s="246"/>
      <c r="W39" s="247"/>
      <c r="X39" s="46"/>
      <c r="Y39" s="167">
        <f t="shared" ref="Y39" si="39">IF(G39=2,S39,0)</f>
        <v>17000000</v>
      </c>
      <c r="Z39" s="167">
        <f t="shared" ref="Z39" si="40">IF(Q39="",0,IF(G39=2,T39,0))</f>
        <v>17400000</v>
      </c>
      <c r="AA39" s="167">
        <f t="shared" ref="AA39" si="41">Y39-Z39</f>
        <v>-400000</v>
      </c>
      <c r="AB39" s="167">
        <f t="shared" ref="AB39" si="42">IF(G39=1,S39,0)</f>
        <v>0</v>
      </c>
      <c r="AC39" s="167">
        <f t="shared" ref="AC39" si="43">IF(Q39="",0,IF(G39=1,T39,0))</f>
        <v>0</v>
      </c>
      <c r="AD39" s="167">
        <f t="shared" ref="AD39" si="44">AB39-AC39</f>
        <v>0</v>
      </c>
      <c r="AF39" s="47">
        <f t="shared" ref="AF39" si="45">IF(S39&lt;&gt;"",1,0)</f>
        <v>1</v>
      </c>
      <c r="AG39" s="202" t="str">
        <f t="shared" ref="AG39" si="46">B39&amp;" "&amp;F39</f>
        <v xml:space="preserve"> Obtaining decisions and permits BoRd_04</v>
      </c>
      <c r="AH39" s="153"/>
      <c r="AI39" s="154"/>
      <c r="AJ39" s="154"/>
      <c r="AK39" s="154"/>
      <c r="AL39" s="154"/>
      <c r="AM39" s="154"/>
      <c r="AN39" s="154"/>
      <c r="AO39" s="154"/>
      <c r="AP39" s="154"/>
      <c r="AQ39" s="154"/>
      <c r="AR39" s="154"/>
      <c r="AS39" s="154"/>
      <c r="AT39" s="154"/>
      <c r="AU39" s="154"/>
      <c r="AV39" s="154"/>
      <c r="AW39" s="154"/>
      <c r="AX39" s="154"/>
      <c r="AY39" s="154"/>
      <c r="AZ39" s="154"/>
      <c r="BA39" s="151"/>
      <c r="BB39" s="151"/>
      <c r="BC39" s="151"/>
      <c r="BD39" s="151"/>
      <c r="BE39" s="151"/>
      <c r="BF39" s="151"/>
      <c r="BG39" s="151"/>
      <c r="BH39" s="151"/>
      <c r="BI39" s="151"/>
      <c r="BJ39" s="151"/>
      <c r="BK39" s="151"/>
      <c r="BL39" s="151"/>
      <c r="BM39" s="151"/>
      <c r="BN39" s="151"/>
      <c r="BO39" s="151"/>
      <c r="BP39" s="151"/>
      <c r="BQ39" s="151"/>
      <c r="BR39" s="151"/>
      <c r="BS39" s="151"/>
      <c r="BT39" s="151"/>
      <c r="BU39" s="151"/>
      <c r="BV39" s="151"/>
      <c r="BW39" s="151"/>
      <c r="BX39" s="151"/>
      <c r="BY39" s="151"/>
      <c r="BZ39" s="151"/>
      <c r="CA39" s="151"/>
      <c r="CB39" s="151"/>
      <c r="CC39" s="151"/>
      <c r="CD39" s="151"/>
      <c r="CE39" s="151"/>
      <c r="CF39" s="151"/>
      <c r="CG39" s="151"/>
      <c r="CH39" s="151"/>
      <c r="CI39" s="151"/>
      <c r="CJ39" s="151"/>
      <c r="CK39" s="151"/>
      <c r="CL39" s="151"/>
      <c r="CM39" s="151"/>
      <c r="CN39" s="151"/>
      <c r="CO39" s="151"/>
      <c r="CP39" s="151"/>
      <c r="CQ39" s="151"/>
      <c r="CR39" s="151"/>
      <c r="CS39" s="151"/>
      <c r="CT39" s="151"/>
      <c r="CU39" s="151"/>
      <c r="CV39" s="151"/>
      <c r="CW39" s="151"/>
      <c r="CX39" s="151"/>
      <c r="CY39" s="151"/>
      <c r="CZ39" s="151"/>
      <c r="DA39" s="151"/>
      <c r="DB39" s="151"/>
      <c r="DC39" s="151"/>
      <c r="DD39" s="151"/>
      <c r="DE39" s="151"/>
      <c r="DF39" s="151"/>
      <c r="DG39" s="151"/>
      <c r="DH39" s="151"/>
      <c r="DI39" s="151"/>
      <c r="DJ39" s="151"/>
      <c r="DK39" s="151"/>
      <c r="DL39" s="151"/>
      <c r="DM39" s="151"/>
      <c r="DN39" s="151"/>
      <c r="DO39" s="151"/>
      <c r="DP39" s="151"/>
      <c r="DQ39" s="151"/>
      <c r="DR39" s="151"/>
      <c r="DS39" s="151"/>
      <c r="DT39" s="151"/>
      <c r="DU39" s="151"/>
      <c r="DV39" s="151"/>
      <c r="DW39" s="151"/>
      <c r="DX39" s="151"/>
      <c r="DY39" s="151"/>
      <c r="DZ39" s="151"/>
      <c r="EA39" s="151"/>
      <c r="EB39" s="151"/>
      <c r="EC39" s="151"/>
      <c r="ED39" s="151"/>
      <c r="EE39" s="151"/>
      <c r="EF39" s="151"/>
      <c r="EG39" s="151"/>
      <c r="EH39" s="151"/>
      <c r="EI39" s="151"/>
      <c r="EJ39" s="151"/>
      <c r="EK39" s="151"/>
      <c r="EL39" s="151"/>
      <c r="EM39" s="151"/>
      <c r="EN39" s="151"/>
      <c r="EO39" s="151"/>
      <c r="EP39" s="151"/>
      <c r="EQ39" s="151"/>
      <c r="ER39" s="151"/>
      <c r="ES39" s="151"/>
      <c r="ET39" s="151"/>
      <c r="EU39" s="151"/>
      <c r="EV39" s="151"/>
      <c r="EW39" s="151"/>
      <c r="EX39" s="151"/>
      <c r="EY39" s="151"/>
      <c r="EZ39" s="151"/>
      <c r="FA39" s="151"/>
      <c r="FB39" s="151"/>
      <c r="FC39" s="151"/>
      <c r="FD39" s="151"/>
      <c r="FE39" s="151"/>
      <c r="FF39" s="151"/>
      <c r="FG39" s="151"/>
      <c r="FH39" s="151"/>
      <c r="FI39" s="151"/>
      <c r="FJ39" s="151"/>
      <c r="FK39" s="151"/>
      <c r="FL39" s="151"/>
      <c r="FM39" s="151"/>
      <c r="FN39" s="151"/>
      <c r="FO39" s="151"/>
      <c r="FP39" s="151"/>
      <c r="FQ39" s="151"/>
      <c r="FR39" s="151"/>
      <c r="FS39" s="151"/>
      <c r="FT39" s="151"/>
      <c r="FU39" s="151"/>
      <c r="FV39" s="151"/>
      <c r="FW39" s="151"/>
      <c r="FX39" s="151"/>
      <c r="FY39" s="151"/>
      <c r="FZ39" s="151"/>
      <c r="GA39" s="151"/>
      <c r="GB39" s="151"/>
      <c r="GC39" s="151"/>
      <c r="GD39" s="151"/>
      <c r="GE39" s="151"/>
      <c r="GF39" s="151"/>
      <c r="GG39" s="152"/>
    </row>
    <row r="40" spans="1:189" s="168" customFormat="1" ht="28.5" x14ac:dyDescent="0.35">
      <c r="A40" s="266">
        <v>2</v>
      </c>
      <c r="B40" s="206"/>
      <c r="C40" s="207"/>
      <c r="D40" s="208"/>
      <c r="E40" s="207" t="s">
        <v>266</v>
      </c>
      <c r="F40" s="206" t="s">
        <v>267</v>
      </c>
      <c r="G40" s="209"/>
      <c r="H40" s="210"/>
      <c r="I40" s="206"/>
      <c r="J40" s="207"/>
      <c r="K40" s="206"/>
      <c r="L40" s="211"/>
      <c r="M40" s="211"/>
      <c r="N40" s="212"/>
      <c r="O40" s="211"/>
      <c r="P40" s="211"/>
      <c r="Q40" s="213"/>
      <c r="R40" s="214"/>
      <c r="S40" s="215"/>
      <c r="T40" s="214"/>
      <c r="U40" s="191">
        <f t="shared" si="28"/>
        <v>0</v>
      </c>
      <c r="V40" s="217"/>
      <c r="W40" s="218"/>
      <c r="X40" s="219"/>
      <c r="Y40" s="167">
        <f t="shared" si="22"/>
        <v>0</v>
      </c>
      <c r="Z40" s="167">
        <f t="shared" si="23"/>
        <v>0</v>
      </c>
      <c r="AA40" s="167">
        <f t="shared" si="24"/>
        <v>0</v>
      </c>
      <c r="AB40" s="167">
        <f t="shared" si="25"/>
        <v>0</v>
      </c>
      <c r="AC40" s="167">
        <f t="shared" si="26"/>
        <v>0</v>
      </c>
      <c r="AD40" s="167">
        <f t="shared" si="27"/>
        <v>0</v>
      </c>
      <c r="AF40" s="180">
        <f t="shared" si="21"/>
        <v>0</v>
      </c>
      <c r="AG40" s="202" t="str">
        <f t="shared" si="13"/>
        <v xml:space="preserve"> Civil works</v>
      </c>
      <c r="AH40" s="172"/>
      <c r="AI40" s="173"/>
      <c r="AJ40" s="173"/>
      <c r="AK40" s="173"/>
      <c r="AL40" s="173"/>
      <c r="AM40" s="173"/>
      <c r="AN40" s="173"/>
      <c r="AO40" s="173"/>
      <c r="AP40" s="173"/>
      <c r="AQ40" s="173"/>
      <c r="AR40" s="173"/>
      <c r="AS40" s="173"/>
      <c r="AT40" s="173"/>
      <c r="AU40" s="173"/>
      <c r="AV40" s="173"/>
      <c r="AW40" s="173"/>
      <c r="AX40" s="173"/>
      <c r="AY40" s="173"/>
      <c r="AZ40" s="173"/>
      <c r="BA40" s="173"/>
      <c r="BB40" s="173"/>
      <c r="BC40" s="173"/>
      <c r="BD40" s="173"/>
      <c r="BE40" s="173"/>
      <c r="BF40" s="173"/>
      <c r="BG40" s="173"/>
      <c r="BH40" s="173"/>
      <c r="BI40" s="173"/>
      <c r="BJ40" s="173"/>
      <c r="BK40" s="173"/>
      <c r="BL40" s="173"/>
      <c r="BM40" s="173"/>
      <c r="BN40" s="173"/>
      <c r="BO40" s="173"/>
      <c r="BP40" s="173"/>
      <c r="BQ40" s="173"/>
      <c r="BR40" s="173"/>
      <c r="BS40" s="173"/>
      <c r="BT40" s="173"/>
      <c r="BU40" s="173"/>
      <c r="BV40" s="173"/>
      <c r="BW40" s="173"/>
      <c r="BX40" s="173"/>
      <c r="BY40" s="173"/>
      <c r="BZ40" s="173"/>
      <c r="CA40" s="173"/>
      <c r="CB40" s="173"/>
      <c r="CC40" s="173"/>
      <c r="CD40" s="173"/>
      <c r="CE40" s="173"/>
      <c r="CF40" s="173"/>
      <c r="CG40" s="173"/>
      <c r="CH40" s="173"/>
      <c r="CI40" s="173"/>
      <c r="CJ40" s="173"/>
      <c r="CK40" s="173"/>
      <c r="CL40" s="173"/>
      <c r="CM40" s="173"/>
      <c r="CN40" s="173"/>
      <c r="CO40" s="173"/>
      <c r="CP40" s="173"/>
      <c r="CQ40" s="173"/>
      <c r="CR40" s="173"/>
      <c r="CS40" s="173"/>
      <c r="CT40" s="173"/>
      <c r="CU40" s="173"/>
      <c r="CV40" s="173"/>
      <c r="CW40" s="173"/>
      <c r="CX40" s="173"/>
      <c r="CY40" s="151"/>
      <c r="CZ40" s="173"/>
      <c r="DA40" s="173"/>
      <c r="DB40" s="173"/>
      <c r="DC40" s="173"/>
      <c r="DD40" s="173"/>
      <c r="DE40" s="173"/>
      <c r="DF40" s="173"/>
      <c r="DG40" s="173"/>
      <c r="DH40" s="173"/>
      <c r="DI40" s="173"/>
      <c r="DJ40" s="173"/>
      <c r="DK40" s="173"/>
      <c r="DL40" s="173"/>
      <c r="DM40" s="173"/>
      <c r="DN40" s="173"/>
      <c r="DO40" s="173"/>
      <c r="DP40" s="173"/>
      <c r="DQ40" s="173"/>
      <c r="DR40" s="173"/>
      <c r="DS40" s="173"/>
      <c r="DT40" s="173"/>
      <c r="DU40" s="173"/>
      <c r="DV40" s="173"/>
      <c r="DW40" s="173"/>
      <c r="DX40" s="173"/>
      <c r="DY40" s="173"/>
      <c r="DZ40" s="173"/>
      <c r="EA40" s="173"/>
      <c r="EB40" s="173"/>
      <c r="EC40" s="173"/>
      <c r="ED40" s="173"/>
      <c r="EE40" s="173"/>
      <c r="EF40" s="173"/>
      <c r="EG40" s="173"/>
      <c r="EH40" s="173"/>
      <c r="EI40" s="173"/>
      <c r="EJ40" s="173"/>
      <c r="EK40" s="173"/>
      <c r="EL40" s="173"/>
      <c r="EM40" s="173"/>
      <c r="EN40" s="173"/>
      <c r="EO40" s="173"/>
      <c r="EP40" s="173"/>
      <c r="EQ40" s="173"/>
      <c r="ER40" s="173"/>
      <c r="ES40" s="173"/>
      <c r="ET40" s="173"/>
      <c r="EU40" s="173"/>
      <c r="EV40" s="173"/>
      <c r="EW40" s="173"/>
      <c r="EX40" s="173"/>
      <c r="EY40" s="173"/>
      <c r="EZ40" s="173"/>
      <c r="FA40" s="173"/>
      <c r="FB40" s="173"/>
      <c r="FC40" s="173"/>
      <c r="FD40" s="173"/>
      <c r="FE40" s="173"/>
      <c r="FF40" s="173"/>
      <c r="FG40" s="173"/>
      <c r="FH40" s="173"/>
      <c r="FI40" s="173"/>
      <c r="FJ40" s="173"/>
      <c r="FK40" s="173"/>
      <c r="FL40" s="173"/>
      <c r="FM40" s="173"/>
      <c r="FN40" s="173"/>
      <c r="FO40" s="173"/>
      <c r="FP40" s="173"/>
      <c r="FQ40" s="173"/>
      <c r="FR40" s="173"/>
      <c r="FS40" s="173"/>
      <c r="FT40" s="173"/>
      <c r="FU40" s="173"/>
      <c r="FV40" s="173"/>
      <c r="FW40" s="173"/>
      <c r="FX40" s="173"/>
      <c r="FY40" s="173"/>
      <c r="FZ40" s="173"/>
      <c r="GA40" s="173"/>
      <c r="GB40" s="173"/>
      <c r="GC40" s="173"/>
      <c r="GD40" s="173"/>
      <c r="GE40" s="173"/>
      <c r="GF40" s="173"/>
      <c r="GG40" s="174"/>
    </row>
    <row r="41" spans="1:189" x14ac:dyDescent="0.35">
      <c r="A41" s="237" t="s">
        <v>671</v>
      </c>
      <c r="B41" s="236"/>
      <c r="C41" s="236"/>
      <c r="D41" s="237"/>
      <c r="E41" s="236" t="s">
        <v>268</v>
      </c>
      <c r="F41" s="236" t="s">
        <v>741</v>
      </c>
      <c r="G41" s="238">
        <v>2</v>
      </c>
      <c r="H41" s="239"/>
      <c r="I41" s="240"/>
      <c r="J41" s="240"/>
      <c r="K41" s="240"/>
      <c r="L41" s="241"/>
      <c r="M41" s="241"/>
      <c r="N41" s="241">
        <v>46068</v>
      </c>
      <c r="O41" s="241">
        <v>46048</v>
      </c>
      <c r="P41" s="241">
        <v>46096</v>
      </c>
      <c r="Q41" s="242" t="s">
        <v>20</v>
      </c>
      <c r="R41" s="243">
        <v>4613087.0199999996</v>
      </c>
      <c r="S41" s="243">
        <f>4613087.02-SUM(S42:S43)</f>
        <v>313087.01999999955</v>
      </c>
      <c r="T41" s="243"/>
      <c r="U41" s="191">
        <f t="shared" si="28"/>
        <v>0</v>
      </c>
      <c r="V41" s="244"/>
      <c r="W41" s="245"/>
      <c r="X41" s="46"/>
      <c r="Y41" s="167">
        <f t="shared" si="22"/>
        <v>313087.01999999955</v>
      </c>
      <c r="Z41" s="167">
        <f t="shared" si="23"/>
        <v>0</v>
      </c>
      <c r="AA41" s="167">
        <f t="shared" si="24"/>
        <v>313087.01999999955</v>
      </c>
      <c r="AB41" s="167">
        <f t="shared" si="25"/>
        <v>0</v>
      </c>
      <c r="AC41" s="167">
        <f t="shared" si="26"/>
        <v>0</v>
      </c>
      <c r="AD41" s="167">
        <f t="shared" si="27"/>
        <v>0</v>
      </c>
      <c r="AF41" s="47">
        <f t="shared" si="21"/>
        <v>1</v>
      </c>
      <c r="AG41" s="202" t="str">
        <f t="shared" si="13"/>
        <v xml:space="preserve"> Foundation works</v>
      </c>
      <c r="AH41" s="153"/>
      <c r="AI41" s="154"/>
      <c r="AJ41" s="154"/>
      <c r="AK41" s="154"/>
      <c r="AL41" s="154"/>
      <c r="AM41" s="154"/>
      <c r="AN41" s="154"/>
      <c r="AO41" s="154"/>
      <c r="AP41" s="154"/>
      <c r="AQ41" s="154"/>
      <c r="AR41" s="154"/>
      <c r="AS41" s="154"/>
      <c r="AT41" s="154"/>
      <c r="AU41" s="154"/>
      <c r="AV41" s="154"/>
      <c r="AW41" s="154"/>
      <c r="AX41" s="154"/>
      <c r="AY41" s="154"/>
      <c r="AZ41" s="154"/>
      <c r="BA41" s="151"/>
      <c r="BB41" s="151"/>
      <c r="BC41" s="151"/>
      <c r="BD41" s="151"/>
      <c r="BE41" s="151"/>
      <c r="BF41" s="151"/>
      <c r="BG41" s="151"/>
      <c r="BH41" s="151"/>
      <c r="BI41" s="151"/>
      <c r="BJ41" s="151"/>
      <c r="BK41" s="151"/>
      <c r="BL41" s="151"/>
      <c r="BM41" s="151"/>
      <c r="BN41" s="151"/>
      <c r="BO41" s="151"/>
      <c r="BP41" s="151"/>
      <c r="BQ41" s="151"/>
      <c r="BR41" s="151"/>
      <c r="BS41" s="151"/>
      <c r="BT41" s="151"/>
      <c r="BU41" s="151"/>
      <c r="BV41" s="151"/>
      <c r="BW41" s="151"/>
      <c r="BX41" s="151"/>
      <c r="BY41" s="151"/>
      <c r="BZ41" s="151"/>
      <c r="CA41" s="151"/>
      <c r="CB41" s="151"/>
      <c r="CC41" s="151"/>
      <c r="CD41" s="151"/>
      <c r="CE41" s="151"/>
      <c r="CF41" s="151"/>
      <c r="CG41" s="151"/>
      <c r="CH41" s="151"/>
      <c r="CI41" s="151"/>
      <c r="CJ41" s="151"/>
      <c r="CK41" s="151"/>
      <c r="CL41" s="151"/>
      <c r="CM41" s="151"/>
      <c r="CN41" s="151"/>
      <c r="CO41" s="151"/>
      <c r="CP41" s="151"/>
      <c r="CQ41" s="151"/>
      <c r="CR41" s="151"/>
      <c r="CS41" s="151"/>
      <c r="CT41" s="151"/>
      <c r="CU41" s="151"/>
      <c r="CV41" s="151"/>
      <c r="CW41" s="151"/>
      <c r="CX41" s="151"/>
      <c r="CY41" s="151"/>
      <c r="CZ41" s="151"/>
      <c r="DA41" s="151"/>
      <c r="DB41" s="151"/>
      <c r="DC41" s="151"/>
      <c r="DD41" s="151"/>
      <c r="DE41" s="151"/>
      <c r="DF41" s="151"/>
      <c r="DG41" s="151"/>
      <c r="DH41" s="151"/>
      <c r="DI41" s="151"/>
      <c r="DJ41" s="151"/>
      <c r="DK41" s="151"/>
      <c r="DL41" s="151"/>
      <c r="DM41" s="151"/>
      <c r="DN41" s="151"/>
      <c r="DO41" s="151"/>
      <c r="DP41" s="151"/>
      <c r="DQ41" s="151"/>
      <c r="DR41" s="151"/>
      <c r="DS41" s="151"/>
      <c r="DT41" s="151"/>
      <c r="DU41" s="151"/>
      <c r="DV41" s="151"/>
      <c r="DW41" s="151"/>
      <c r="DX41" s="151"/>
      <c r="DY41" s="151"/>
      <c r="DZ41" s="151"/>
      <c r="EA41" s="151"/>
      <c r="EB41" s="151"/>
      <c r="EC41" s="151"/>
      <c r="ED41" s="151"/>
      <c r="EE41" s="151"/>
      <c r="EF41" s="151"/>
      <c r="EG41" s="151"/>
      <c r="EH41" s="151"/>
      <c r="EI41" s="151"/>
      <c r="EJ41" s="151"/>
      <c r="EK41" s="151"/>
      <c r="EL41" s="151"/>
      <c r="EM41" s="151"/>
      <c r="EN41" s="151"/>
      <c r="EO41" s="151"/>
      <c r="EP41" s="151"/>
      <c r="EQ41" s="151"/>
      <c r="ER41" s="151"/>
      <c r="ES41" s="151"/>
      <c r="ET41" s="151"/>
      <c r="EU41" s="151"/>
      <c r="EV41" s="151"/>
      <c r="EW41" s="151"/>
      <c r="EX41" s="151"/>
      <c r="EY41" s="151"/>
      <c r="EZ41" s="151"/>
      <c r="FA41" s="151"/>
      <c r="FB41" s="151"/>
      <c r="FC41" s="151"/>
      <c r="FD41" s="151"/>
      <c r="FE41" s="151"/>
      <c r="FF41" s="151"/>
      <c r="FG41" s="151"/>
      <c r="FH41" s="151"/>
      <c r="FI41" s="151"/>
      <c r="FJ41" s="151"/>
      <c r="FK41" s="151"/>
      <c r="FL41" s="151"/>
      <c r="FM41" s="151"/>
      <c r="FN41" s="151"/>
      <c r="FO41" s="151"/>
      <c r="FP41" s="151"/>
      <c r="FQ41" s="151"/>
      <c r="FR41" s="151"/>
      <c r="FS41" s="151"/>
      <c r="FT41" s="151"/>
      <c r="FU41" s="151"/>
      <c r="FV41" s="151"/>
      <c r="FW41" s="151"/>
      <c r="FX41" s="151"/>
      <c r="FY41" s="151"/>
      <c r="FZ41" s="151"/>
      <c r="GA41" s="151"/>
      <c r="GB41" s="151"/>
      <c r="GC41" s="151"/>
      <c r="GD41" s="151"/>
      <c r="GE41" s="151"/>
      <c r="GF41" s="151"/>
      <c r="GG41" s="152"/>
    </row>
    <row r="42" spans="1:189" ht="27.75" x14ac:dyDescent="0.35">
      <c r="A42" s="267" t="s">
        <v>672</v>
      </c>
      <c r="B42" s="221" t="s">
        <v>1065</v>
      </c>
      <c r="C42" s="221" t="s">
        <v>1064</v>
      </c>
      <c r="D42" s="222"/>
      <c r="E42" s="221" t="s">
        <v>1244</v>
      </c>
      <c r="F42" s="221" t="s">
        <v>1246</v>
      </c>
      <c r="G42" s="223">
        <v>2</v>
      </c>
      <c r="H42" s="224" t="s">
        <v>269</v>
      </c>
      <c r="I42" s="225"/>
      <c r="J42" s="225"/>
      <c r="K42" s="225"/>
      <c r="L42" s="226">
        <v>45962</v>
      </c>
      <c r="M42" s="226">
        <v>46053</v>
      </c>
      <c r="N42" s="226">
        <v>46068</v>
      </c>
      <c r="O42" s="226">
        <v>46048</v>
      </c>
      <c r="P42" s="226">
        <v>46081</v>
      </c>
      <c r="Q42" s="227" t="s">
        <v>20</v>
      </c>
      <c r="R42" s="228"/>
      <c r="S42" s="228">
        <v>3176000</v>
      </c>
      <c r="T42" s="228">
        <v>3176000</v>
      </c>
      <c r="U42" s="191">
        <f t="shared" si="28"/>
        <v>0</v>
      </c>
      <c r="V42" s="230"/>
      <c r="W42" s="232"/>
      <c r="X42" s="46"/>
      <c r="Y42" s="167">
        <f t="shared" si="22"/>
        <v>3176000</v>
      </c>
      <c r="Z42" s="167">
        <f t="shared" si="23"/>
        <v>3176000</v>
      </c>
      <c r="AA42" s="167">
        <f t="shared" si="24"/>
        <v>0</v>
      </c>
      <c r="AB42" s="167">
        <f t="shared" si="25"/>
        <v>0</v>
      </c>
      <c r="AC42" s="167">
        <f t="shared" si="26"/>
        <v>0</v>
      </c>
      <c r="AD42" s="167">
        <f t="shared" si="27"/>
        <v>0</v>
      </c>
      <c r="AF42" s="180">
        <f t="shared" si="21"/>
        <v>1</v>
      </c>
      <c r="AG42" s="202" t="str">
        <f t="shared" si="13"/>
        <v>Jank Szczubiał Diaphragm wall 100 cm thick and 6 adjacent barrettes</v>
      </c>
      <c r="AH42" s="147"/>
      <c r="AI42" s="148"/>
      <c r="AJ42" s="148"/>
      <c r="AK42" s="148"/>
      <c r="AL42" s="148"/>
      <c r="AM42" s="148"/>
      <c r="AN42" s="148"/>
      <c r="AO42" s="148"/>
      <c r="AP42" s="148"/>
      <c r="AQ42" s="148"/>
      <c r="AR42" s="148"/>
      <c r="AS42" s="148"/>
      <c r="AT42" s="148"/>
      <c r="AU42" s="148"/>
      <c r="AV42" s="148"/>
      <c r="AW42" s="148"/>
      <c r="AX42" s="148"/>
      <c r="AY42" s="148"/>
      <c r="AZ42" s="148"/>
      <c r="BA42" s="148"/>
      <c r="BB42" s="148"/>
      <c r="BC42" s="148"/>
      <c r="BD42" s="148"/>
      <c r="BE42" s="148"/>
      <c r="BF42" s="148"/>
      <c r="BG42" s="148"/>
      <c r="BH42" s="148"/>
      <c r="BI42" s="148"/>
      <c r="BJ42" s="148"/>
      <c r="BK42" s="148"/>
      <c r="BL42" s="148"/>
      <c r="BM42" s="148"/>
      <c r="BN42" s="148"/>
      <c r="BO42" s="148"/>
      <c r="BP42" s="148"/>
      <c r="BQ42" s="148"/>
      <c r="BR42" s="148"/>
      <c r="BS42" s="148"/>
      <c r="BT42" s="148"/>
      <c r="BU42" s="148"/>
      <c r="BV42" s="148"/>
      <c r="BW42" s="148"/>
      <c r="BX42" s="148"/>
      <c r="BY42" s="148"/>
      <c r="BZ42" s="148"/>
      <c r="CA42" s="148"/>
      <c r="CB42" s="148"/>
      <c r="CC42" s="148"/>
      <c r="CD42" s="148"/>
      <c r="CE42" s="148"/>
      <c r="CF42" s="148"/>
      <c r="CG42" s="148"/>
      <c r="CH42" s="148"/>
      <c r="CI42" s="148"/>
      <c r="CJ42" s="148"/>
      <c r="CK42" s="148"/>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48"/>
      <c r="DY42" s="148"/>
      <c r="DZ42" s="148"/>
      <c r="EA42" s="148"/>
      <c r="EB42" s="148"/>
      <c r="EC42" s="148"/>
      <c r="ED42" s="148"/>
      <c r="EE42" s="148"/>
      <c r="EF42" s="148"/>
      <c r="EG42" s="148"/>
      <c r="EH42" s="148"/>
      <c r="EI42" s="148"/>
      <c r="EJ42" s="148"/>
      <c r="EK42" s="148"/>
      <c r="EL42" s="148"/>
      <c r="EM42" s="148"/>
      <c r="EN42" s="148"/>
      <c r="EO42" s="148"/>
      <c r="EP42" s="148"/>
      <c r="EQ42" s="148"/>
      <c r="ER42" s="148"/>
      <c r="ES42" s="148"/>
      <c r="ET42" s="148"/>
      <c r="EU42" s="148"/>
      <c r="EV42" s="148"/>
      <c r="EW42" s="148"/>
      <c r="EX42" s="148"/>
      <c r="EY42" s="148"/>
      <c r="EZ42" s="148"/>
      <c r="FA42" s="148"/>
      <c r="FB42" s="148"/>
      <c r="FC42" s="148"/>
      <c r="FD42" s="148"/>
      <c r="FE42" s="148"/>
      <c r="FF42" s="148"/>
      <c r="FG42" s="148"/>
      <c r="FH42" s="148"/>
      <c r="FI42" s="148"/>
      <c r="FJ42" s="148"/>
      <c r="FK42" s="148"/>
      <c r="FL42" s="148"/>
      <c r="FM42" s="148"/>
      <c r="FN42" s="148"/>
      <c r="FO42" s="148"/>
      <c r="FP42" s="148"/>
      <c r="FQ42" s="148"/>
      <c r="FR42" s="148"/>
      <c r="FS42" s="148"/>
      <c r="FT42" s="148"/>
      <c r="FU42" s="148"/>
      <c r="FV42" s="148"/>
      <c r="FW42" s="148"/>
      <c r="FX42" s="148"/>
      <c r="FY42" s="148"/>
      <c r="FZ42" s="148"/>
      <c r="GA42" s="148"/>
      <c r="GB42" s="148"/>
      <c r="GC42" s="148"/>
      <c r="GD42" s="148"/>
      <c r="GE42" s="148"/>
      <c r="GF42" s="148"/>
      <c r="GG42" s="149"/>
    </row>
    <row r="43" spans="1:189" ht="41.65" x14ac:dyDescent="0.35">
      <c r="A43" s="267" t="s">
        <v>673</v>
      </c>
      <c r="B43" s="221" t="s">
        <v>1065</v>
      </c>
      <c r="C43" s="221" t="s">
        <v>1064</v>
      </c>
      <c r="D43" s="222"/>
      <c r="E43" s="221" t="s">
        <v>1245</v>
      </c>
      <c r="F43" s="221" t="s">
        <v>1247</v>
      </c>
      <c r="G43" s="223">
        <v>2</v>
      </c>
      <c r="H43" s="224" t="s">
        <v>269</v>
      </c>
      <c r="I43" s="225"/>
      <c r="J43" s="225"/>
      <c r="K43" s="225"/>
      <c r="L43" s="226">
        <v>45962</v>
      </c>
      <c r="M43" s="226">
        <v>46068</v>
      </c>
      <c r="N43" s="226">
        <v>46068</v>
      </c>
      <c r="O43" s="226">
        <v>46082</v>
      </c>
      <c r="P43" s="226">
        <v>46096</v>
      </c>
      <c r="Q43" s="227" t="s">
        <v>20</v>
      </c>
      <c r="R43" s="228"/>
      <c r="S43" s="228">
        <v>1124000</v>
      </c>
      <c r="T43" s="228">
        <v>1124000</v>
      </c>
      <c r="U43" s="191">
        <f t="shared" ref="U43" si="47">IF(Q43="",0,IF(T43="",0,+S43-T43))</f>
        <v>0</v>
      </c>
      <c r="V43" s="230"/>
      <c r="W43" s="231"/>
      <c r="X43" s="46"/>
      <c r="Y43" s="167">
        <f t="shared" ref="Y43" si="48">IF(G43=2,S43,0)</f>
        <v>1124000</v>
      </c>
      <c r="Z43" s="167">
        <f t="shared" ref="Z43" si="49">IF(Q43="",0,IF(G43=2,T43,0))</f>
        <v>1124000</v>
      </c>
      <c r="AA43" s="167">
        <f t="shared" ref="AA43" si="50">Y43-Z43</f>
        <v>0</v>
      </c>
      <c r="AB43" s="167">
        <f t="shared" ref="AB43" si="51">IF(G43=1,S43,0)</f>
        <v>0</v>
      </c>
      <c r="AC43" s="167">
        <f t="shared" ref="AC43" si="52">IF(Q43="",0,IF(G43=1,T43,0))</f>
        <v>0</v>
      </c>
      <c r="AD43" s="167">
        <f t="shared" ref="AD43" si="53">AB43-AC43</f>
        <v>0</v>
      </c>
      <c r="AF43" s="47">
        <f t="shared" ref="AF43" si="54">IF(S43&lt;&gt;"",1,0)</f>
        <v>1</v>
      </c>
      <c r="AG43" s="202" t="str">
        <f t="shared" ref="AG43" si="55">B43&amp;" "&amp;F43</f>
        <v>Jank Szczubiał Execution of barrettes - 19 pcs. within the facility B1.1, B1.2, B1.3, B1.4 and 4 pcs. barrettes for the stack</v>
      </c>
      <c r="AH43" s="153"/>
      <c r="AI43" s="154"/>
      <c r="AJ43" s="154"/>
      <c r="AK43" s="154"/>
      <c r="AL43" s="154"/>
      <c r="AM43" s="154"/>
      <c r="AN43" s="154"/>
      <c r="AO43" s="154"/>
      <c r="AP43" s="154"/>
      <c r="AQ43" s="154"/>
      <c r="AR43" s="154"/>
      <c r="AS43" s="154"/>
      <c r="AT43" s="154"/>
      <c r="AU43" s="154"/>
      <c r="AV43" s="154"/>
      <c r="AW43" s="154"/>
      <c r="AX43" s="154"/>
      <c r="AY43" s="154"/>
      <c r="AZ43" s="154"/>
      <c r="BA43" s="151"/>
      <c r="BB43" s="151"/>
      <c r="BC43" s="151"/>
      <c r="BD43" s="151"/>
      <c r="BE43" s="151"/>
      <c r="BF43" s="151"/>
      <c r="BG43" s="151"/>
      <c r="BH43" s="151"/>
      <c r="BI43" s="151"/>
      <c r="BJ43" s="151"/>
      <c r="BK43" s="151"/>
      <c r="BL43" s="151"/>
      <c r="BM43" s="151"/>
      <c r="BN43" s="151"/>
      <c r="BO43" s="151"/>
      <c r="BP43" s="151"/>
      <c r="BQ43" s="151"/>
      <c r="BR43" s="151"/>
      <c r="BS43" s="151"/>
      <c r="BT43" s="151"/>
      <c r="BU43" s="151"/>
      <c r="BV43" s="151"/>
      <c r="BW43" s="151"/>
      <c r="BX43" s="151"/>
      <c r="BY43" s="151"/>
      <c r="BZ43" s="151"/>
      <c r="CA43" s="151"/>
      <c r="CB43" s="151"/>
      <c r="CC43" s="151"/>
      <c r="CD43" s="151"/>
      <c r="CE43" s="151"/>
      <c r="CF43" s="151"/>
      <c r="CG43" s="151"/>
      <c r="CH43" s="151"/>
      <c r="CI43" s="151"/>
      <c r="CJ43" s="151"/>
      <c r="CK43" s="151"/>
      <c r="CL43" s="151"/>
      <c r="CM43" s="151"/>
      <c r="CN43" s="151"/>
      <c r="CO43" s="151"/>
      <c r="CP43" s="151"/>
      <c r="CQ43" s="151"/>
      <c r="CR43" s="151"/>
      <c r="CS43" s="151"/>
      <c r="CT43" s="151"/>
      <c r="CU43" s="151"/>
      <c r="CV43" s="151"/>
      <c r="CW43" s="151"/>
      <c r="CX43" s="151"/>
      <c r="CY43" s="151"/>
      <c r="CZ43" s="151"/>
      <c r="DA43" s="151"/>
      <c r="DB43" s="151"/>
      <c r="DC43" s="151"/>
      <c r="DD43" s="151"/>
      <c r="DE43" s="151"/>
      <c r="DF43" s="151"/>
      <c r="DG43" s="151"/>
      <c r="DH43" s="151"/>
      <c r="DI43" s="151"/>
      <c r="DJ43" s="151"/>
      <c r="DK43" s="151"/>
      <c r="DL43" s="151"/>
      <c r="DM43" s="151"/>
      <c r="DN43" s="151"/>
      <c r="DO43" s="151"/>
      <c r="DP43" s="151"/>
      <c r="DQ43" s="151"/>
      <c r="DR43" s="151"/>
      <c r="DS43" s="151"/>
      <c r="DT43" s="151"/>
      <c r="DU43" s="151"/>
      <c r="DV43" s="151"/>
      <c r="DW43" s="151"/>
      <c r="DX43" s="151"/>
      <c r="DY43" s="151"/>
      <c r="DZ43" s="151"/>
      <c r="EA43" s="151"/>
      <c r="EB43" s="151"/>
      <c r="EC43" s="151"/>
      <c r="ED43" s="151"/>
      <c r="EE43" s="151"/>
      <c r="EF43" s="151"/>
      <c r="EG43" s="151"/>
      <c r="EH43" s="151"/>
      <c r="EI43" s="151"/>
      <c r="EJ43" s="151"/>
      <c r="EK43" s="151"/>
      <c r="EL43" s="151"/>
      <c r="EM43" s="151"/>
      <c r="EN43" s="151"/>
      <c r="EO43" s="151"/>
      <c r="EP43" s="151"/>
      <c r="EQ43" s="151"/>
      <c r="ER43" s="151"/>
      <c r="ES43" s="151"/>
      <c r="ET43" s="151"/>
      <c r="EU43" s="151"/>
      <c r="EV43" s="151"/>
      <c r="EW43" s="151"/>
      <c r="EX43" s="151"/>
      <c r="EY43" s="151"/>
      <c r="EZ43" s="151"/>
      <c r="FA43" s="151"/>
      <c r="FB43" s="151"/>
      <c r="FC43" s="151"/>
      <c r="FD43" s="151"/>
      <c r="FE43" s="151"/>
      <c r="FF43" s="151"/>
      <c r="FG43" s="151"/>
      <c r="FH43" s="151"/>
      <c r="FI43" s="151"/>
      <c r="FJ43" s="151"/>
      <c r="FK43" s="151"/>
      <c r="FL43" s="151"/>
      <c r="FM43" s="151"/>
      <c r="FN43" s="151"/>
      <c r="FO43" s="151"/>
      <c r="FP43" s="151"/>
      <c r="FQ43" s="151"/>
      <c r="FR43" s="151"/>
      <c r="FS43" s="151"/>
      <c r="FT43" s="151"/>
      <c r="FU43" s="151"/>
      <c r="FV43" s="151"/>
      <c r="FW43" s="151"/>
      <c r="FX43" s="151"/>
      <c r="FY43" s="151"/>
      <c r="FZ43" s="151"/>
      <c r="GA43" s="151"/>
      <c r="GB43" s="151"/>
      <c r="GC43" s="151"/>
      <c r="GD43" s="151"/>
      <c r="GE43" s="151"/>
      <c r="GF43" s="151"/>
      <c r="GG43" s="152"/>
    </row>
    <row r="44" spans="1:189" x14ac:dyDescent="0.35">
      <c r="A44" s="237" t="s">
        <v>674</v>
      </c>
      <c r="B44" s="236"/>
      <c r="C44" s="236"/>
      <c r="D44" s="237"/>
      <c r="E44" s="236" t="s">
        <v>270</v>
      </c>
      <c r="F44" s="236" t="s">
        <v>742</v>
      </c>
      <c r="G44" s="238">
        <v>2</v>
      </c>
      <c r="H44" s="239"/>
      <c r="I44" s="240"/>
      <c r="J44" s="240"/>
      <c r="K44" s="240"/>
      <c r="L44" s="241"/>
      <c r="M44" s="241"/>
      <c r="N44" s="241">
        <v>46037</v>
      </c>
      <c r="O44" s="241">
        <v>45995</v>
      </c>
      <c r="P44" s="241">
        <v>46387</v>
      </c>
      <c r="Q44" s="242" t="s">
        <v>20</v>
      </c>
      <c r="R44" s="243">
        <f>176673.376175162+2196541.97868167+313418.7</f>
        <v>2686634.0548568321</v>
      </c>
      <c r="S44" s="243">
        <f>176673.376175162+2196541.97868167+313418.7-SUM(S45)</f>
        <v>0</v>
      </c>
      <c r="T44" s="243">
        <v>0</v>
      </c>
      <c r="U44" s="191">
        <f t="shared" si="28"/>
        <v>0</v>
      </c>
      <c r="V44" s="244"/>
      <c r="W44" s="245"/>
      <c r="X44" s="46"/>
      <c r="Y44" s="167">
        <f t="shared" si="22"/>
        <v>0</v>
      </c>
      <c r="Z44" s="167">
        <f t="shared" si="23"/>
        <v>0</v>
      </c>
      <c r="AA44" s="167">
        <f t="shared" si="24"/>
        <v>0</v>
      </c>
      <c r="AB44" s="167">
        <f t="shared" si="25"/>
        <v>0</v>
      </c>
      <c r="AC44" s="167">
        <f t="shared" si="26"/>
        <v>0</v>
      </c>
      <c r="AD44" s="167">
        <f t="shared" si="27"/>
        <v>0</v>
      </c>
      <c r="AF44" s="180">
        <f t="shared" si="21"/>
        <v>1</v>
      </c>
      <c r="AG44" s="202" t="str">
        <f t="shared" si="13"/>
        <v xml:space="preserve"> Earthworks</v>
      </c>
      <c r="AH44" s="153"/>
      <c r="AI44" s="154"/>
      <c r="AJ44" s="154"/>
      <c r="AK44" s="154"/>
      <c r="AL44" s="154"/>
      <c r="AM44" s="154"/>
      <c r="AN44" s="154"/>
      <c r="AO44" s="154"/>
      <c r="AP44" s="154"/>
      <c r="AQ44" s="154"/>
      <c r="AR44" s="154"/>
      <c r="AS44" s="154"/>
      <c r="AT44" s="154"/>
      <c r="AU44" s="154"/>
      <c r="AV44" s="154"/>
      <c r="AW44" s="154"/>
      <c r="AX44" s="154"/>
      <c r="AY44" s="154"/>
      <c r="AZ44" s="154"/>
      <c r="BA44" s="151"/>
      <c r="BB44" s="151"/>
      <c r="BC44" s="151"/>
      <c r="BD44" s="151"/>
      <c r="BE44" s="151"/>
      <c r="BF44" s="151"/>
      <c r="BG44" s="151"/>
      <c r="BH44" s="151"/>
      <c r="BI44" s="151"/>
      <c r="BJ44" s="151"/>
      <c r="BK44" s="151"/>
      <c r="BL44" s="151"/>
      <c r="BM44" s="151"/>
      <c r="BN44" s="151"/>
      <c r="BO44" s="151"/>
      <c r="BP44" s="151"/>
      <c r="BQ44" s="151"/>
      <c r="BR44" s="151"/>
      <c r="BS44" s="151"/>
      <c r="BT44" s="151"/>
      <c r="BU44" s="151"/>
      <c r="BV44" s="151"/>
      <c r="BW44" s="151"/>
      <c r="BX44" s="151"/>
      <c r="BY44" s="151"/>
      <c r="BZ44" s="151"/>
      <c r="CA44" s="151"/>
      <c r="CB44" s="151"/>
      <c r="CC44" s="151"/>
      <c r="CD44" s="151"/>
      <c r="CE44" s="151"/>
      <c r="CF44" s="151"/>
      <c r="CG44" s="151"/>
      <c r="CH44" s="151"/>
      <c r="CI44" s="151"/>
      <c r="CJ44" s="151"/>
      <c r="CK44" s="151"/>
      <c r="CL44" s="151"/>
      <c r="CM44" s="151"/>
      <c r="CN44" s="151"/>
      <c r="CO44" s="151"/>
      <c r="CP44" s="151"/>
      <c r="CQ44" s="151"/>
      <c r="CR44" s="151"/>
      <c r="CS44" s="151"/>
      <c r="CT44" s="151"/>
      <c r="CU44" s="151"/>
      <c r="CV44" s="151"/>
      <c r="CW44" s="151"/>
      <c r="CX44" s="151"/>
      <c r="CY44" s="151"/>
      <c r="CZ44" s="151"/>
      <c r="DA44" s="151"/>
      <c r="DB44" s="151"/>
      <c r="DC44" s="151"/>
      <c r="DD44" s="151"/>
      <c r="DE44" s="151"/>
      <c r="DF44" s="151"/>
      <c r="DG44" s="151"/>
      <c r="DH44" s="151"/>
      <c r="DI44" s="151"/>
      <c r="DJ44" s="151"/>
      <c r="DK44" s="151"/>
      <c r="DL44" s="151"/>
      <c r="DM44" s="151"/>
      <c r="DN44" s="151"/>
      <c r="DO44" s="151"/>
      <c r="DP44" s="151"/>
      <c r="DQ44" s="151"/>
      <c r="DR44" s="151"/>
      <c r="DS44" s="151"/>
      <c r="DT44" s="151"/>
      <c r="DU44" s="151"/>
      <c r="DV44" s="151"/>
      <c r="DW44" s="151"/>
      <c r="DX44" s="151"/>
      <c r="DY44" s="151"/>
      <c r="DZ44" s="151"/>
      <c r="EA44" s="151"/>
      <c r="EB44" s="151"/>
      <c r="EC44" s="151"/>
      <c r="ED44" s="151"/>
      <c r="EE44" s="151"/>
      <c r="EF44" s="151"/>
      <c r="EG44" s="151"/>
      <c r="EH44" s="151"/>
      <c r="EI44" s="151"/>
      <c r="EJ44" s="151"/>
      <c r="EK44" s="151"/>
      <c r="EL44" s="151"/>
      <c r="EM44" s="151"/>
      <c r="EN44" s="151"/>
      <c r="EO44" s="151"/>
      <c r="EP44" s="151"/>
      <c r="EQ44" s="151"/>
      <c r="ER44" s="151"/>
      <c r="ES44" s="151"/>
      <c r="ET44" s="151"/>
      <c r="EU44" s="151"/>
      <c r="EV44" s="151"/>
      <c r="EW44" s="151"/>
      <c r="EX44" s="151"/>
      <c r="EY44" s="151"/>
      <c r="EZ44" s="151"/>
      <c r="FA44" s="151"/>
      <c r="FB44" s="151"/>
      <c r="FC44" s="151"/>
      <c r="FD44" s="151"/>
      <c r="FE44" s="151"/>
      <c r="FF44" s="151"/>
      <c r="FG44" s="151"/>
      <c r="FH44" s="151"/>
      <c r="FI44" s="151"/>
      <c r="FJ44" s="151"/>
      <c r="FK44" s="151"/>
      <c r="FL44" s="151"/>
      <c r="FM44" s="151"/>
      <c r="FN44" s="151"/>
      <c r="FO44" s="151"/>
      <c r="FP44" s="151"/>
      <c r="FQ44" s="151"/>
      <c r="FR44" s="151"/>
      <c r="FS44" s="151"/>
      <c r="FT44" s="151"/>
      <c r="FU44" s="151"/>
      <c r="FV44" s="151"/>
      <c r="FW44" s="151"/>
      <c r="FX44" s="151"/>
      <c r="FY44" s="151"/>
      <c r="FZ44" s="151"/>
      <c r="GA44" s="151"/>
      <c r="GB44" s="151"/>
      <c r="GC44" s="151"/>
      <c r="GD44" s="151"/>
      <c r="GE44" s="151"/>
      <c r="GF44" s="151"/>
      <c r="GG44" s="152"/>
    </row>
    <row r="45" spans="1:189" ht="41.65" x14ac:dyDescent="0.35">
      <c r="A45" s="267" t="s">
        <v>675</v>
      </c>
      <c r="B45" s="221" t="s">
        <v>1063</v>
      </c>
      <c r="C45" s="221" t="s">
        <v>1064</v>
      </c>
      <c r="D45" s="222"/>
      <c r="E45" s="221" t="s">
        <v>1099</v>
      </c>
      <c r="F45" s="221" t="s">
        <v>1100</v>
      </c>
      <c r="G45" s="223">
        <v>2</v>
      </c>
      <c r="H45" s="224" t="s">
        <v>877</v>
      </c>
      <c r="I45" s="225"/>
      <c r="J45" s="225"/>
      <c r="K45" s="225"/>
      <c r="L45" s="226">
        <v>45962</v>
      </c>
      <c r="M45" s="226">
        <v>46037</v>
      </c>
      <c r="N45" s="226">
        <v>46037</v>
      </c>
      <c r="O45" s="226">
        <v>45995</v>
      </c>
      <c r="P45" s="226">
        <v>46387</v>
      </c>
      <c r="Q45" s="227" t="s">
        <v>20</v>
      </c>
      <c r="R45" s="228"/>
      <c r="S45" s="228">
        <f>176673.376175162+2196541.97868167+313418.7</f>
        <v>2686634.0548568321</v>
      </c>
      <c r="T45" s="228">
        <f>(3143491.4-134644.59)*0+2328438.4912</f>
        <v>2328438.4912</v>
      </c>
      <c r="U45" s="191">
        <f t="shared" si="28"/>
        <v>358195.56365683209</v>
      </c>
      <c r="V45" s="230"/>
      <c r="W45" s="231"/>
      <c r="X45" s="46"/>
      <c r="Y45" s="167">
        <f t="shared" si="22"/>
        <v>2686634.0548568321</v>
      </c>
      <c r="Z45" s="167">
        <f t="shared" si="23"/>
        <v>2328438.4912</v>
      </c>
      <c r="AA45" s="167">
        <f t="shared" si="24"/>
        <v>358195.56365683209</v>
      </c>
      <c r="AB45" s="167">
        <f t="shared" si="25"/>
        <v>0</v>
      </c>
      <c r="AC45" s="167">
        <f t="shared" si="26"/>
        <v>0</v>
      </c>
      <c r="AD45" s="167">
        <f t="shared" si="27"/>
        <v>0</v>
      </c>
      <c r="AF45" s="47">
        <f t="shared" si="21"/>
        <v>1</v>
      </c>
      <c r="AG45" s="202" t="str">
        <f t="shared" si="13"/>
        <v>Agnieszka Zając Working platform for foundation works, earthworks, backfilling of retaining wall BoRd_03</v>
      </c>
      <c r="AH45" s="153"/>
      <c r="AI45" s="154"/>
      <c r="AJ45" s="154"/>
      <c r="AK45" s="154"/>
      <c r="AL45" s="154"/>
      <c r="AM45" s="154"/>
      <c r="AN45" s="154"/>
      <c r="AO45" s="154"/>
      <c r="AP45" s="154"/>
      <c r="AQ45" s="154"/>
      <c r="AR45" s="154"/>
      <c r="AS45" s="154"/>
      <c r="AT45" s="154"/>
      <c r="AU45" s="154"/>
      <c r="AV45" s="154"/>
      <c r="AW45" s="154"/>
      <c r="AX45" s="154"/>
      <c r="AY45" s="154"/>
      <c r="AZ45" s="154"/>
      <c r="BA45" s="151"/>
      <c r="BB45" s="151"/>
      <c r="BC45" s="151"/>
      <c r="BD45" s="151"/>
      <c r="BE45" s="151"/>
      <c r="BF45" s="151"/>
      <c r="BG45" s="151"/>
      <c r="BH45" s="151"/>
      <c r="BI45" s="151"/>
      <c r="BJ45" s="151"/>
      <c r="BK45" s="151"/>
      <c r="BL45" s="151"/>
      <c r="BM45" s="151"/>
      <c r="BN45" s="151"/>
      <c r="BO45" s="151"/>
      <c r="BP45" s="151"/>
      <c r="BQ45" s="151"/>
      <c r="BR45" s="151"/>
      <c r="BS45" s="151"/>
      <c r="BT45" s="151"/>
      <c r="BU45" s="151"/>
      <c r="BV45" s="151"/>
      <c r="BW45" s="151"/>
      <c r="BX45" s="151"/>
      <c r="BY45" s="151"/>
      <c r="BZ45" s="151"/>
      <c r="CA45" s="151"/>
      <c r="CB45" s="151"/>
      <c r="CC45" s="151"/>
      <c r="CD45" s="151"/>
      <c r="CE45" s="151"/>
      <c r="CF45" s="151"/>
      <c r="CG45" s="151"/>
      <c r="CH45" s="151"/>
      <c r="CI45" s="151"/>
      <c r="CJ45" s="151"/>
      <c r="CK45" s="151"/>
      <c r="CL45" s="151"/>
      <c r="CM45" s="151"/>
      <c r="CN45" s="151"/>
      <c r="CO45" s="151"/>
      <c r="CP45" s="151"/>
      <c r="CQ45" s="151"/>
      <c r="CR45" s="151"/>
      <c r="CS45" s="151"/>
      <c r="CT45" s="151"/>
      <c r="CU45" s="151"/>
      <c r="CV45" s="151"/>
      <c r="CW45" s="151"/>
      <c r="CX45" s="151"/>
      <c r="CY45" s="151"/>
      <c r="CZ45" s="151"/>
      <c r="DA45" s="151"/>
      <c r="DB45" s="151"/>
      <c r="DC45" s="151"/>
      <c r="DD45" s="151"/>
      <c r="DE45" s="151"/>
      <c r="DF45" s="151"/>
      <c r="DG45" s="151"/>
      <c r="DH45" s="151"/>
      <c r="DI45" s="151"/>
      <c r="DJ45" s="151"/>
      <c r="DK45" s="151"/>
      <c r="DL45" s="151"/>
      <c r="DM45" s="151"/>
      <c r="DN45" s="151"/>
      <c r="DO45" s="151"/>
      <c r="DP45" s="151"/>
      <c r="DQ45" s="151"/>
      <c r="DR45" s="151"/>
      <c r="DS45" s="151"/>
      <c r="DT45" s="151"/>
      <c r="DU45" s="151"/>
      <c r="DV45" s="151"/>
      <c r="DW45" s="151"/>
      <c r="DX45" s="151"/>
      <c r="DY45" s="151"/>
      <c r="DZ45" s="151"/>
      <c r="EA45" s="151"/>
      <c r="EB45" s="151"/>
      <c r="EC45" s="151"/>
      <c r="ED45" s="151"/>
      <c r="EE45" s="151"/>
      <c r="EF45" s="151"/>
      <c r="EG45" s="151"/>
      <c r="EH45" s="151"/>
      <c r="EI45" s="151"/>
      <c r="EJ45" s="151"/>
      <c r="EK45" s="151"/>
      <c r="EL45" s="151"/>
      <c r="EM45" s="151"/>
      <c r="EN45" s="151"/>
      <c r="EO45" s="151"/>
      <c r="EP45" s="151"/>
      <c r="EQ45" s="151"/>
      <c r="ER45" s="151"/>
      <c r="ES45" s="151"/>
      <c r="ET45" s="151"/>
      <c r="EU45" s="151"/>
      <c r="EV45" s="151"/>
      <c r="EW45" s="151"/>
      <c r="EX45" s="151"/>
      <c r="EY45" s="151"/>
      <c r="EZ45" s="151"/>
      <c r="FA45" s="151"/>
      <c r="FB45" s="151"/>
      <c r="FC45" s="151"/>
      <c r="FD45" s="151"/>
      <c r="FE45" s="151"/>
      <c r="FF45" s="151"/>
      <c r="FG45" s="151"/>
      <c r="FH45" s="151"/>
      <c r="FI45" s="151"/>
      <c r="FJ45" s="151"/>
      <c r="FK45" s="151"/>
      <c r="FL45" s="151"/>
      <c r="FM45" s="151"/>
      <c r="FN45" s="151"/>
      <c r="FO45" s="151"/>
      <c r="FP45" s="151"/>
      <c r="FQ45" s="151"/>
      <c r="FR45" s="151"/>
      <c r="FS45" s="151"/>
      <c r="FT45" s="151"/>
      <c r="FU45" s="151"/>
      <c r="FV45" s="151"/>
      <c r="FW45" s="151"/>
      <c r="FX45" s="151"/>
      <c r="FY45" s="151"/>
      <c r="FZ45" s="151"/>
      <c r="GA45" s="151"/>
      <c r="GB45" s="151"/>
      <c r="GC45" s="151"/>
      <c r="GD45" s="151"/>
      <c r="GE45" s="151"/>
      <c r="GF45" s="151"/>
      <c r="GG45" s="152"/>
    </row>
    <row r="46" spans="1:189" ht="27.75" x14ac:dyDescent="0.35">
      <c r="A46" s="237" t="s">
        <v>676</v>
      </c>
      <c r="B46" s="236"/>
      <c r="C46" s="236" t="s">
        <v>1105</v>
      </c>
      <c r="D46" s="237"/>
      <c r="E46" s="236" t="s">
        <v>271</v>
      </c>
      <c r="F46" s="236" t="s">
        <v>743</v>
      </c>
      <c r="G46" s="238">
        <v>2</v>
      </c>
      <c r="H46" s="239"/>
      <c r="I46" s="240"/>
      <c r="J46" s="240"/>
      <c r="K46" s="240"/>
      <c r="L46" s="241">
        <v>46176</v>
      </c>
      <c r="M46" s="241">
        <v>46234</v>
      </c>
      <c r="N46" s="241">
        <v>46129</v>
      </c>
      <c r="O46" s="241">
        <v>46129</v>
      </c>
      <c r="P46" s="241">
        <v>46387</v>
      </c>
      <c r="Q46" s="242" t="s">
        <v>20</v>
      </c>
      <c r="R46" s="243">
        <v>437599.45310412132</v>
      </c>
      <c r="S46" s="243">
        <f>437599.453104121-SUM(S47:S48)</f>
        <v>362999.45310412103</v>
      </c>
      <c r="T46" s="243"/>
      <c r="U46" s="191">
        <f t="shared" si="28"/>
        <v>0</v>
      </c>
      <c r="V46" s="244"/>
      <c r="W46" s="245"/>
      <c r="X46" s="46"/>
      <c r="Y46" s="167">
        <f t="shared" si="22"/>
        <v>362999.45310412103</v>
      </c>
      <c r="Z46" s="167">
        <f t="shared" si="23"/>
        <v>0</v>
      </c>
      <c r="AA46" s="167">
        <f t="shared" si="24"/>
        <v>362999.45310412103</v>
      </c>
      <c r="AB46" s="167">
        <f t="shared" si="25"/>
        <v>0</v>
      </c>
      <c r="AC46" s="167">
        <f t="shared" si="26"/>
        <v>0</v>
      </c>
      <c r="AD46" s="167">
        <f t="shared" si="27"/>
        <v>0</v>
      </c>
      <c r="AF46" s="180">
        <f t="shared" si="21"/>
        <v>1</v>
      </c>
      <c r="AG46" s="202" t="str">
        <f t="shared" si="13"/>
        <v xml:space="preserve"> Drainage</v>
      </c>
      <c r="AH46" s="172"/>
      <c r="AI46" s="173"/>
      <c r="AJ46" s="173"/>
      <c r="AK46" s="173"/>
      <c r="AL46" s="173"/>
      <c r="AM46" s="173"/>
      <c r="AN46" s="173"/>
      <c r="AO46" s="173"/>
      <c r="AP46" s="173"/>
      <c r="AQ46" s="173"/>
      <c r="AR46" s="173"/>
      <c r="AS46" s="173"/>
      <c r="AT46" s="173"/>
      <c r="AU46" s="173"/>
      <c r="AV46" s="173"/>
      <c r="AW46" s="173"/>
      <c r="AX46" s="173"/>
      <c r="AY46" s="173"/>
      <c r="AZ46" s="173"/>
      <c r="BA46" s="173"/>
      <c r="BB46" s="173"/>
      <c r="BC46" s="173"/>
      <c r="BD46" s="173"/>
      <c r="BE46" s="173"/>
      <c r="BF46" s="173"/>
      <c r="BG46" s="173"/>
      <c r="BH46" s="173"/>
      <c r="BI46" s="173"/>
      <c r="BJ46" s="173"/>
      <c r="BK46" s="173"/>
      <c r="BL46" s="173"/>
      <c r="BM46" s="173"/>
      <c r="BN46" s="173"/>
      <c r="BO46" s="173"/>
      <c r="BP46" s="173"/>
      <c r="BQ46" s="173"/>
      <c r="BR46" s="173"/>
      <c r="BS46" s="173"/>
      <c r="BT46" s="173"/>
      <c r="BU46" s="173"/>
      <c r="BV46" s="173"/>
      <c r="BW46" s="173"/>
      <c r="BX46" s="173"/>
      <c r="BY46" s="173"/>
      <c r="BZ46" s="173"/>
      <c r="CA46" s="173"/>
      <c r="CB46" s="173"/>
      <c r="CC46" s="173"/>
      <c r="CD46" s="173"/>
      <c r="CE46" s="173"/>
      <c r="CF46" s="173"/>
      <c r="CG46" s="173"/>
      <c r="CH46" s="173"/>
      <c r="CI46" s="173"/>
      <c r="CJ46" s="173"/>
      <c r="CK46" s="173"/>
      <c r="CL46" s="173"/>
      <c r="CM46" s="173"/>
      <c r="CN46" s="173"/>
      <c r="CO46" s="173"/>
      <c r="CP46" s="173"/>
      <c r="CQ46" s="173"/>
      <c r="CR46" s="173"/>
      <c r="CS46" s="173"/>
      <c r="CT46" s="173"/>
      <c r="CU46" s="173"/>
      <c r="CV46" s="173"/>
      <c r="CW46" s="173"/>
      <c r="CX46" s="173"/>
      <c r="CY46" s="151"/>
      <c r="CZ46" s="151"/>
      <c r="DA46" s="151"/>
      <c r="DB46" s="151"/>
      <c r="DC46" s="151"/>
      <c r="DD46" s="151"/>
      <c r="DE46" s="151"/>
      <c r="DF46" s="151"/>
      <c r="DG46" s="151"/>
      <c r="DH46" s="151"/>
      <c r="DI46" s="151"/>
      <c r="DJ46" s="151"/>
      <c r="DK46" s="151"/>
      <c r="DL46" s="151"/>
      <c r="DM46" s="151"/>
      <c r="DN46" s="151"/>
      <c r="DO46" s="151"/>
      <c r="DP46" s="151"/>
      <c r="DQ46" s="151"/>
      <c r="DR46" s="151"/>
      <c r="DS46" s="151"/>
      <c r="DT46" s="151"/>
      <c r="DU46" s="151"/>
      <c r="DV46" s="151"/>
      <c r="DW46" s="151"/>
      <c r="DX46" s="151"/>
      <c r="DY46" s="151"/>
      <c r="DZ46" s="151"/>
      <c r="EA46" s="151"/>
      <c r="EB46" s="151"/>
      <c r="EC46" s="151"/>
      <c r="ED46" s="151"/>
      <c r="EE46" s="151"/>
      <c r="EF46" s="151"/>
      <c r="EG46" s="151"/>
      <c r="EH46" s="151"/>
      <c r="EI46" s="151"/>
      <c r="EJ46" s="151"/>
      <c r="EK46" s="151"/>
      <c r="EL46" s="151"/>
      <c r="EM46" s="151"/>
      <c r="EN46" s="151"/>
      <c r="EO46" s="151"/>
      <c r="EP46" s="151"/>
      <c r="EQ46" s="151"/>
      <c r="ER46" s="151"/>
      <c r="ES46" s="151"/>
      <c r="ET46" s="151"/>
      <c r="EU46" s="151"/>
      <c r="EV46" s="151"/>
      <c r="EW46" s="151"/>
      <c r="EX46" s="151"/>
      <c r="EY46" s="151"/>
      <c r="EZ46" s="151"/>
      <c r="FA46" s="151"/>
      <c r="FB46" s="151"/>
      <c r="FC46" s="151"/>
      <c r="FD46" s="151"/>
      <c r="FE46" s="151"/>
      <c r="FF46" s="151"/>
      <c r="FG46" s="151"/>
      <c r="FH46" s="151"/>
      <c r="FI46" s="151"/>
      <c r="FJ46" s="151"/>
      <c r="FK46" s="151"/>
      <c r="FL46" s="151"/>
      <c r="FM46" s="151"/>
      <c r="FN46" s="151"/>
      <c r="FO46" s="151"/>
      <c r="FP46" s="151"/>
      <c r="FQ46" s="151"/>
      <c r="FR46" s="151"/>
      <c r="FS46" s="151"/>
      <c r="FT46" s="151"/>
      <c r="FU46" s="151"/>
      <c r="FV46" s="151"/>
      <c r="FW46" s="151"/>
      <c r="FX46" s="151"/>
      <c r="FY46" s="151"/>
      <c r="FZ46" s="151"/>
      <c r="GA46" s="151"/>
      <c r="GB46" s="151"/>
      <c r="GC46" s="151"/>
      <c r="GD46" s="151"/>
      <c r="GE46" s="151"/>
      <c r="GF46" s="151"/>
      <c r="GG46" s="152"/>
    </row>
    <row r="47" spans="1:189" x14ac:dyDescent="0.35">
      <c r="A47" s="267" t="s">
        <v>1403</v>
      </c>
      <c r="B47" s="221"/>
      <c r="C47" s="221" t="s">
        <v>1352</v>
      </c>
      <c r="D47" s="222"/>
      <c r="E47" s="221" t="s">
        <v>1405</v>
      </c>
      <c r="F47" s="221" t="s">
        <v>1407</v>
      </c>
      <c r="G47" s="223">
        <v>2</v>
      </c>
      <c r="H47" s="224" t="s">
        <v>1409</v>
      </c>
      <c r="I47" s="225"/>
      <c r="J47" s="225"/>
      <c r="K47" s="225"/>
      <c r="L47" s="226">
        <v>46113</v>
      </c>
      <c r="M47" s="226">
        <v>46129</v>
      </c>
      <c r="N47" s="226">
        <v>46129</v>
      </c>
      <c r="O47" s="226">
        <v>46129</v>
      </c>
      <c r="P47" s="226">
        <v>46203</v>
      </c>
      <c r="Q47" s="227" t="s">
        <v>20</v>
      </c>
      <c r="R47" s="228"/>
      <c r="S47" s="228">
        <v>4600</v>
      </c>
      <c r="T47" s="228">
        <v>4600</v>
      </c>
      <c r="U47" s="191">
        <f t="shared" si="28"/>
        <v>0</v>
      </c>
      <c r="V47" s="230"/>
      <c r="W47" s="231"/>
      <c r="X47" s="46"/>
      <c r="Y47" s="167">
        <f t="shared" si="22"/>
        <v>4600</v>
      </c>
      <c r="Z47" s="167">
        <f t="shared" si="23"/>
        <v>4600</v>
      </c>
      <c r="AA47" s="167">
        <f t="shared" si="24"/>
        <v>0</v>
      </c>
      <c r="AB47" s="167">
        <f t="shared" si="25"/>
        <v>0</v>
      </c>
      <c r="AC47" s="167">
        <f t="shared" si="26"/>
        <v>0</v>
      </c>
      <c r="AD47" s="167">
        <f t="shared" si="27"/>
        <v>0</v>
      </c>
      <c r="AF47" s="180">
        <f t="shared" si="21"/>
        <v>1</v>
      </c>
      <c r="AG47" s="202" t="str">
        <f t="shared" si="13"/>
        <v xml:space="preserve"> Rental of an drainage pump ECd_49</v>
      </c>
      <c r="AH47" s="153"/>
      <c r="AI47" s="154"/>
      <c r="AJ47" s="154"/>
      <c r="AK47" s="154"/>
      <c r="AL47" s="154"/>
      <c r="AM47" s="154"/>
      <c r="AN47" s="154"/>
      <c r="AO47" s="154"/>
      <c r="AP47" s="154"/>
      <c r="AQ47" s="154"/>
      <c r="AR47" s="154"/>
      <c r="AS47" s="154"/>
      <c r="AT47" s="154"/>
      <c r="AU47" s="154"/>
      <c r="AV47" s="154"/>
      <c r="AW47" s="154"/>
      <c r="AX47" s="154"/>
      <c r="AY47" s="154"/>
      <c r="AZ47" s="154"/>
      <c r="BA47" s="151"/>
      <c r="BB47" s="151"/>
      <c r="BC47" s="151"/>
      <c r="BD47" s="151"/>
      <c r="BE47" s="151"/>
      <c r="BF47" s="151"/>
      <c r="BG47" s="151"/>
      <c r="BH47" s="151"/>
      <c r="BI47" s="151"/>
      <c r="BJ47" s="151"/>
      <c r="BK47" s="151"/>
      <c r="BL47" s="151"/>
      <c r="BM47" s="151"/>
      <c r="BN47" s="151"/>
      <c r="BO47" s="151"/>
      <c r="BP47" s="151"/>
      <c r="BQ47" s="151"/>
      <c r="BR47" s="151"/>
      <c r="BS47" s="151"/>
      <c r="BT47" s="151"/>
      <c r="BU47" s="151"/>
      <c r="BV47" s="151"/>
      <c r="BW47" s="151"/>
      <c r="BX47" s="151"/>
      <c r="BY47" s="151"/>
      <c r="BZ47" s="151"/>
      <c r="CA47" s="151"/>
      <c r="CB47" s="151"/>
      <c r="CC47" s="151"/>
      <c r="CD47" s="151"/>
      <c r="CE47" s="151"/>
      <c r="CF47" s="151"/>
      <c r="CG47" s="151"/>
      <c r="CH47" s="151"/>
      <c r="CI47" s="151"/>
      <c r="CJ47" s="151"/>
      <c r="CK47" s="151"/>
      <c r="CL47" s="151"/>
      <c r="CM47" s="151"/>
      <c r="CN47" s="151"/>
      <c r="CO47" s="151"/>
      <c r="CP47" s="151"/>
      <c r="CQ47" s="151"/>
      <c r="CR47" s="151"/>
      <c r="CS47" s="151"/>
      <c r="CT47" s="151"/>
      <c r="CU47" s="151"/>
      <c r="CV47" s="151"/>
      <c r="CW47" s="151"/>
      <c r="CX47" s="151"/>
      <c r="CY47" s="151"/>
      <c r="CZ47" s="151"/>
      <c r="DA47" s="151"/>
      <c r="DB47" s="151"/>
      <c r="DC47" s="151"/>
      <c r="DD47" s="151"/>
      <c r="DE47" s="151"/>
      <c r="DF47" s="151"/>
      <c r="DG47" s="151"/>
      <c r="DH47" s="151"/>
      <c r="DI47" s="151"/>
      <c r="DJ47" s="151"/>
      <c r="DK47" s="151"/>
      <c r="DL47" s="151"/>
      <c r="DM47" s="151"/>
      <c r="DN47" s="151"/>
      <c r="DO47" s="151"/>
      <c r="DP47" s="151"/>
      <c r="DQ47" s="151"/>
      <c r="DR47" s="151"/>
      <c r="DS47" s="151"/>
      <c r="DT47" s="151"/>
      <c r="DU47" s="151"/>
      <c r="DV47" s="151"/>
      <c r="DW47" s="151"/>
      <c r="DX47" s="151"/>
      <c r="DY47" s="151"/>
      <c r="DZ47" s="151"/>
      <c r="EA47" s="151"/>
      <c r="EB47" s="151"/>
      <c r="EC47" s="151"/>
      <c r="ED47" s="151"/>
      <c r="EE47" s="151"/>
      <c r="EF47" s="151"/>
      <c r="EG47" s="151"/>
      <c r="EH47" s="151"/>
      <c r="EI47" s="151"/>
      <c r="EJ47" s="151"/>
      <c r="EK47" s="151"/>
      <c r="EL47" s="151"/>
      <c r="EM47" s="151"/>
      <c r="EN47" s="151"/>
      <c r="EO47" s="151"/>
      <c r="EP47" s="151"/>
      <c r="EQ47" s="151"/>
      <c r="ER47" s="151"/>
      <c r="ES47" s="151"/>
      <c r="ET47" s="151"/>
      <c r="EU47" s="151"/>
      <c r="EV47" s="151"/>
      <c r="EW47" s="151"/>
      <c r="EX47" s="151"/>
      <c r="EY47" s="151"/>
      <c r="EZ47" s="151"/>
      <c r="FA47" s="151"/>
      <c r="FB47" s="151"/>
      <c r="FC47" s="151"/>
      <c r="FD47" s="151"/>
      <c r="FE47" s="151"/>
      <c r="FF47" s="151"/>
      <c r="FG47" s="151"/>
      <c r="FH47" s="151"/>
      <c r="FI47" s="151"/>
      <c r="FJ47" s="151"/>
      <c r="FK47" s="151"/>
      <c r="FL47" s="151"/>
      <c r="FM47" s="151"/>
      <c r="FN47" s="151"/>
      <c r="FO47" s="151"/>
      <c r="FP47" s="151"/>
      <c r="FQ47" s="151"/>
      <c r="FR47" s="151"/>
      <c r="FS47" s="151"/>
      <c r="FT47" s="151"/>
      <c r="FU47" s="151"/>
      <c r="FV47" s="151"/>
      <c r="FW47" s="151"/>
      <c r="FX47" s="151"/>
      <c r="FY47" s="151"/>
      <c r="FZ47" s="151"/>
      <c r="GA47" s="151"/>
      <c r="GB47" s="151"/>
      <c r="GC47" s="151"/>
      <c r="GD47" s="151"/>
      <c r="GE47" s="151"/>
      <c r="GF47" s="151"/>
      <c r="GG47" s="152"/>
    </row>
    <row r="48" spans="1:189" ht="27.75" x14ac:dyDescent="0.35">
      <c r="A48" s="267" t="s">
        <v>1404</v>
      </c>
      <c r="B48" s="221"/>
      <c r="C48" s="221" t="s">
        <v>1352</v>
      </c>
      <c r="D48" s="222"/>
      <c r="E48" s="221" t="s">
        <v>1406</v>
      </c>
      <c r="F48" s="221" t="s">
        <v>1408</v>
      </c>
      <c r="G48" s="223">
        <v>2</v>
      </c>
      <c r="H48" s="224" t="s">
        <v>1410</v>
      </c>
      <c r="I48" s="225"/>
      <c r="J48" s="225"/>
      <c r="K48" s="225"/>
      <c r="L48" s="226">
        <v>46113</v>
      </c>
      <c r="M48" s="226">
        <v>46129</v>
      </c>
      <c r="N48" s="226">
        <v>46129</v>
      </c>
      <c r="O48" s="226">
        <v>46129</v>
      </c>
      <c r="P48" s="226">
        <v>46203</v>
      </c>
      <c r="Q48" s="227" t="s">
        <v>20</v>
      </c>
      <c r="R48" s="228"/>
      <c r="S48" s="228">
        <v>70000</v>
      </c>
      <c r="T48" s="228">
        <v>70000</v>
      </c>
      <c r="U48" s="191">
        <f t="shared" si="28"/>
        <v>0</v>
      </c>
      <c r="V48" s="230"/>
      <c r="W48" s="231"/>
      <c r="X48" s="46"/>
      <c r="Y48" s="167">
        <f t="shared" si="22"/>
        <v>70000</v>
      </c>
      <c r="Z48" s="167">
        <f t="shared" si="23"/>
        <v>70000</v>
      </c>
      <c r="AA48" s="167">
        <f t="shared" si="24"/>
        <v>0</v>
      </c>
      <c r="AB48" s="167">
        <f t="shared" si="25"/>
        <v>0</v>
      </c>
      <c r="AC48" s="167">
        <f t="shared" si="26"/>
        <v>0</v>
      </c>
      <c r="AD48" s="167">
        <f t="shared" si="27"/>
        <v>0</v>
      </c>
      <c r="AF48" s="180">
        <f t="shared" si="21"/>
        <v>1</v>
      </c>
      <c r="AG48" s="202" t="str">
        <f t="shared" si="13"/>
        <v xml:space="preserve"> Mobilization, installation and leasing of a wellpoint system including pumps ECd_50 </v>
      </c>
      <c r="AH48" s="172"/>
      <c r="AI48" s="173"/>
      <c r="AJ48" s="173"/>
      <c r="AK48" s="173"/>
      <c r="AL48" s="173"/>
      <c r="AM48" s="173"/>
      <c r="AN48" s="173"/>
      <c r="AO48" s="173"/>
      <c r="AP48" s="173"/>
      <c r="AQ48" s="173"/>
      <c r="AR48" s="173"/>
      <c r="AS48" s="173"/>
      <c r="AT48" s="173"/>
      <c r="AU48" s="173"/>
      <c r="AV48" s="173"/>
      <c r="AW48" s="173"/>
      <c r="AX48" s="173"/>
      <c r="AY48" s="173"/>
      <c r="AZ48" s="173"/>
      <c r="BA48" s="173"/>
      <c r="BB48" s="173"/>
      <c r="BC48" s="173"/>
      <c r="BD48" s="173"/>
      <c r="BE48" s="173"/>
      <c r="BF48" s="173"/>
      <c r="BG48" s="173"/>
      <c r="BH48" s="173"/>
      <c r="BI48" s="173"/>
      <c r="BJ48" s="173"/>
      <c r="BK48" s="173"/>
      <c r="BL48" s="173"/>
      <c r="BM48" s="173"/>
      <c r="BN48" s="173"/>
      <c r="BO48" s="173"/>
      <c r="BP48" s="173"/>
      <c r="BQ48" s="173"/>
      <c r="BR48" s="173"/>
      <c r="BS48" s="173"/>
      <c r="BT48" s="173"/>
      <c r="BU48" s="173"/>
      <c r="BV48" s="173"/>
      <c r="BW48" s="173"/>
      <c r="BX48" s="173"/>
      <c r="BY48" s="173"/>
      <c r="BZ48" s="173"/>
      <c r="CA48" s="173"/>
      <c r="CB48" s="173"/>
      <c r="CC48" s="173"/>
      <c r="CD48" s="173"/>
      <c r="CE48" s="173"/>
      <c r="CF48" s="173"/>
      <c r="CG48" s="173"/>
      <c r="CH48" s="173"/>
      <c r="CI48" s="173"/>
      <c r="CJ48" s="173"/>
      <c r="CK48" s="173"/>
      <c r="CL48" s="173"/>
      <c r="CM48" s="173"/>
      <c r="CN48" s="173"/>
      <c r="CO48" s="173"/>
      <c r="CP48" s="173"/>
      <c r="CQ48" s="173"/>
      <c r="CR48" s="173"/>
      <c r="CS48" s="173"/>
      <c r="CT48" s="173"/>
      <c r="CU48" s="173"/>
      <c r="CV48" s="173"/>
      <c r="CW48" s="173"/>
      <c r="CX48" s="173"/>
      <c r="CY48" s="151"/>
      <c r="CZ48" s="151"/>
      <c r="DA48" s="151"/>
      <c r="DB48" s="151"/>
      <c r="DC48" s="151"/>
      <c r="DD48" s="151"/>
      <c r="DE48" s="151"/>
      <c r="DF48" s="151"/>
      <c r="DG48" s="151"/>
      <c r="DH48" s="151"/>
      <c r="DI48" s="151"/>
      <c r="DJ48" s="151"/>
      <c r="DK48" s="151"/>
      <c r="DL48" s="151"/>
      <c r="DM48" s="151"/>
      <c r="DN48" s="151"/>
      <c r="DO48" s="151"/>
      <c r="DP48" s="151"/>
      <c r="DQ48" s="151"/>
      <c r="DR48" s="151"/>
      <c r="DS48" s="151"/>
      <c r="DT48" s="151"/>
      <c r="DU48" s="151"/>
      <c r="DV48" s="151"/>
      <c r="DW48" s="151"/>
      <c r="DX48" s="151"/>
      <c r="DY48" s="151"/>
      <c r="DZ48" s="151"/>
      <c r="EA48" s="151"/>
      <c r="EB48" s="151"/>
      <c r="EC48" s="151"/>
      <c r="ED48" s="151"/>
      <c r="EE48" s="151"/>
      <c r="EF48" s="151"/>
      <c r="EG48" s="151"/>
      <c r="EH48" s="151"/>
      <c r="EI48" s="151"/>
      <c r="EJ48" s="151"/>
      <c r="EK48" s="151"/>
      <c r="EL48" s="151"/>
      <c r="EM48" s="151"/>
      <c r="EN48" s="151"/>
      <c r="EO48" s="151"/>
      <c r="EP48" s="151"/>
      <c r="EQ48" s="151"/>
      <c r="ER48" s="151"/>
      <c r="ES48" s="151"/>
      <c r="ET48" s="151"/>
      <c r="EU48" s="151"/>
      <c r="EV48" s="151"/>
      <c r="EW48" s="151"/>
      <c r="EX48" s="151"/>
      <c r="EY48" s="151"/>
      <c r="EZ48" s="151"/>
      <c r="FA48" s="151"/>
      <c r="FB48" s="151"/>
      <c r="FC48" s="151"/>
      <c r="FD48" s="151"/>
      <c r="FE48" s="151"/>
      <c r="FF48" s="151"/>
      <c r="FG48" s="151"/>
      <c r="FH48" s="151"/>
      <c r="FI48" s="151"/>
      <c r="FJ48" s="151"/>
      <c r="FK48" s="151"/>
      <c r="FL48" s="151"/>
      <c r="FM48" s="151"/>
      <c r="FN48" s="151"/>
      <c r="FO48" s="151"/>
      <c r="FP48" s="151"/>
      <c r="FQ48" s="151"/>
      <c r="FR48" s="151"/>
      <c r="FS48" s="151"/>
      <c r="FT48" s="151"/>
      <c r="FU48" s="151"/>
      <c r="FV48" s="151"/>
      <c r="FW48" s="151"/>
      <c r="FX48" s="151"/>
      <c r="FY48" s="151"/>
      <c r="FZ48" s="151"/>
      <c r="GA48" s="151"/>
      <c r="GB48" s="151"/>
      <c r="GC48" s="151"/>
      <c r="GD48" s="151"/>
      <c r="GE48" s="151"/>
      <c r="GF48" s="151"/>
      <c r="GG48" s="152"/>
    </row>
    <row r="49" spans="1:189" ht="41.65" x14ac:dyDescent="0.35">
      <c r="A49" s="237" t="s">
        <v>677</v>
      </c>
      <c r="B49" s="236"/>
      <c r="C49" s="236" t="s">
        <v>1096</v>
      </c>
      <c r="D49" s="237"/>
      <c r="E49" s="236" t="s">
        <v>272</v>
      </c>
      <c r="F49" s="236" t="s">
        <v>731</v>
      </c>
      <c r="G49" s="238">
        <v>2</v>
      </c>
      <c r="H49" s="239"/>
      <c r="I49" s="240"/>
      <c r="J49" s="240"/>
      <c r="K49" s="240"/>
      <c r="L49" s="241"/>
      <c r="M49" s="241"/>
      <c r="N49" s="241"/>
      <c r="O49" s="241">
        <v>46113</v>
      </c>
      <c r="P49" s="241">
        <v>46234</v>
      </c>
      <c r="Q49" s="242" t="s">
        <v>11</v>
      </c>
      <c r="R49" s="243">
        <v>1138973.3847357573</v>
      </c>
      <c r="S49" s="243">
        <f>1138973.38473576-SUM(S50:S52)</f>
        <v>345021.38473576005</v>
      </c>
      <c r="T49" s="243"/>
      <c r="U49" s="191">
        <f t="shared" si="28"/>
        <v>0</v>
      </c>
      <c r="V49" s="244"/>
      <c r="W49" s="245"/>
      <c r="X49" s="46"/>
      <c r="Y49" s="167">
        <f t="shared" si="22"/>
        <v>345021.38473576005</v>
      </c>
      <c r="Z49" s="167">
        <f t="shared" si="23"/>
        <v>0</v>
      </c>
      <c r="AA49" s="167">
        <f t="shared" si="24"/>
        <v>345021.38473576005</v>
      </c>
      <c r="AB49" s="167">
        <f t="shared" si="25"/>
        <v>0</v>
      </c>
      <c r="AC49" s="167">
        <f t="shared" si="26"/>
        <v>0</v>
      </c>
      <c r="AD49" s="167">
        <f t="shared" si="27"/>
        <v>0</v>
      </c>
      <c r="AF49" s="47">
        <f t="shared" si="21"/>
        <v>1</v>
      </c>
      <c r="AG49" s="202" t="str">
        <f t="shared" si="13"/>
        <v xml:space="preserve"> Insulation</v>
      </c>
      <c r="AH49" s="172"/>
      <c r="AI49" s="173"/>
      <c r="AJ49" s="173"/>
      <c r="AK49" s="173"/>
      <c r="AL49" s="173"/>
      <c r="AM49" s="173"/>
      <c r="AN49" s="173"/>
      <c r="AO49" s="173"/>
      <c r="AP49" s="173"/>
      <c r="AQ49" s="173"/>
      <c r="AR49" s="173"/>
      <c r="AS49" s="173"/>
      <c r="AT49" s="173"/>
      <c r="AU49" s="173"/>
      <c r="AV49" s="173"/>
      <c r="AW49" s="173"/>
      <c r="AX49" s="173"/>
      <c r="AY49" s="173"/>
      <c r="AZ49" s="173"/>
      <c r="BA49" s="173"/>
      <c r="BB49" s="173"/>
      <c r="BC49" s="173"/>
      <c r="BD49" s="173"/>
      <c r="BE49" s="173"/>
      <c r="BF49" s="173"/>
      <c r="BG49" s="173"/>
      <c r="BH49" s="173"/>
      <c r="BI49" s="173"/>
      <c r="BJ49" s="173"/>
      <c r="BK49" s="173"/>
      <c r="BL49" s="173"/>
      <c r="BM49" s="173"/>
      <c r="BN49" s="173"/>
      <c r="BO49" s="173"/>
      <c r="BP49" s="173"/>
      <c r="BQ49" s="173"/>
      <c r="BR49" s="173"/>
      <c r="BS49" s="173"/>
      <c r="BT49" s="173"/>
      <c r="BU49" s="173"/>
      <c r="BV49" s="173"/>
      <c r="BW49" s="173"/>
      <c r="BX49" s="173"/>
      <c r="BY49" s="173"/>
      <c r="BZ49" s="173"/>
      <c r="CA49" s="173"/>
      <c r="CB49" s="173"/>
      <c r="CC49" s="173"/>
      <c r="CD49" s="173"/>
      <c r="CE49" s="173"/>
      <c r="CF49" s="173"/>
      <c r="CG49" s="173"/>
      <c r="CH49" s="173"/>
      <c r="CI49" s="173"/>
      <c r="CJ49" s="173"/>
      <c r="CK49" s="173"/>
      <c r="CL49" s="173"/>
      <c r="CM49" s="173"/>
      <c r="CN49" s="173"/>
      <c r="CO49" s="173"/>
      <c r="CP49" s="173"/>
      <c r="CQ49" s="173"/>
      <c r="CR49" s="173"/>
      <c r="CS49" s="173"/>
      <c r="CT49" s="173"/>
      <c r="CU49" s="173"/>
      <c r="CV49" s="173"/>
      <c r="CW49" s="173"/>
      <c r="CX49" s="173"/>
      <c r="CY49" s="151"/>
      <c r="CZ49" s="151"/>
      <c r="DA49" s="151"/>
      <c r="DB49" s="151"/>
      <c r="DC49" s="151"/>
      <c r="DD49" s="151"/>
      <c r="DE49" s="151"/>
      <c r="DF49" s="151"/>
      <c r="DG49" s="151"/>
      <c r="DH49" s="151"/>
      <c r="DI49" s="151"/>
      <c r="DJ49" s="151"/>
      <c r="DK49" s="151"/>
      <c r="DL49" s="151"/>
      <c r="DM49" s="151"/>
      <c r="DN49" s="151"/>
      <c r="DO49" s="151"/>
      <c r="DP49" s="151"/>
      <c r="DQ49" s="151"/>
      <c r="DR49" s="151"/>
      <c r="DS49" s="151"/>
      <c r="DT49" s="151"/>
      <c r="DU49" s="151"/>
      <c r="DV49" s="151"/>
      <c r="DW49" s="151"/>
      <c r="DX49" s="151"/>
      <c r="DY49" s="151"/>
      <c r="DZ49" s="151"/>
      <c r="EA49" s="151"/>
      <c r="EB49" s="151"/>
      <c r="EC49" s="151"/>
      <c r="ED49" s="151"/>
      <c r="EE49" s="151"/>
      <c r="EF49" s="151"/>
      <c r="EG49" s="151"/>
      <c r="EH49" s="151"/>
      <c r="EI49" s="151"/>
      <c r="EJ49" s="151"/>
      <c r="EK49" s="151"/>
      <c r="EL49" s="151"/>
      <c r="EM49" s="151"/>
      <c r="EN49" s="151"/>
      <c r="EO49" s="151"/>
      <c r="EP49" s="151"/>
      <c r="EQ49" s="151"/>
      <c r="ER49" s="151"/>
      <c r="ES49" s="151"/>
      <c r="ET49" s="151"/>
      <c r="EU49" s="151"/>
      <c r="EV49" s="151"/>
      <c r="EW49" s="151"/>
      <c r="EX49" s="151"/>
      <c r="EY49" s="151"/>
      <c r="EZ49" s="151"/>
      <c r="FA49" s="151"/>
      <c r="FB49" s="151"/>
      <c r="FC49" s="151"/>
      <c r="FD49" s="151"/>
      <c r="FE49" s="151"/>
      <c r="FF49" s="151"/>
      <c r="FG49" s="151"/>
      <c r="FH49" s="151"/>
      <c r="FI49" s="151"/>
      <c r="FJ49" s="151"/>
      <c r="FK49" s="151"/>
      <c r="FL49" s="151"/>
      <c r="FM49" s="151"/>
      <c r="FN49" s="151"/>
      <c r="FO49" s="151"/>
      <c r="FP49" s="151"/>
      <c r="FQ49" s="151"/>
      <c r="FR49" s="151"/>
      <c r="FS49" s="151"/>
      <c r="FT49" s="151"/>
      <c r="FU49" s="151"/>
      <c r="FV49" s="151"/>
      <c r="FW49" s="151"/>
      <c r="FX49" s="151"/>
      <c r="FY49" s="151"/>
      <c r="FZ49" s="151"/>
      <c r="GA49" s="151"/>
      <c r="GB49" s="151"/>
      <c r="GC49" s="151"/>
      <c r="GD49" s="151"/>
      <c r="GE49" s="151"/>
      <c r="GF49" s="151"/>
      <c r="GG49" s="152"/>
    </row>
    <row r="50" spans="1:189" ht="41.65" x14ac:dyDescent="0.35">
      <c r="A50" s="267" t="s">
        <v>1264</v>
      </c>
      <c r="B50" s="221" t="s">
        <v>1063</v>
      </c>
      <c r="C50" s="221" t="s">
        <v>1096</v>
      </c>
      <c r="D50" s="222"/>
      <c r="E50" s="221" t="s">
        <v>1266</v>
      </c>
      <c r="F50" s="221" t="s">
        <v>1267</v>
      </c>
      <c r="G50" s="223">
        <v>2</v>
      </c>
      <c r="H50" s="224" t="s">
        <v>1326</v>
      </c>
      <c r="I50" s="225"/>
      <c r="J50" s="225"/>
      <c r="K50" s="225"/>
      <c r="L50" s="226">
        <v>46045</v>
      </c>
      <c r="M50" s="226">
        <v>46106</v>
      </c>
      <c r="N50" s="226">
        <v>46106</v>
      </c>
      <c r="O50" s="226">
        <v>46111</v>
      </c>
      <c r="P50" s="226">
        <v>46234</v>
      </c>
      <c r="Q50" s="227" t="s">
        <v>20</v>
      </c>
      <c r="R50" s="228"/>
      <c r="S50" s="228">
        <v>735000</v>
      </c>
      <c r="T50" s="228">
        <v>733045.25249999994</v>
      </c>
      <c r="U50" s="191">
        <f t="shared" ref="U50:U51" si="56">IF(Q50="",0,IF(T50="",0,+S50-T50))</f>
        <v>1954.7475000000559</v>
      </c>
      <c r="V50" s="230"/>
      <c r="W50" s="231"/>
      <c r="X50" s="46"/>
      <c r="Y50" s="167">
        <f t="shared" ref="Y50:Y51" si="57">IF(G50=2,S50,0)</f>
        <v>735000</v>
      </c>
      <c r="Z50" s="167">
        <f t="shared" ref="Z50:Z51" si="58">IF(Q50="",0,IF(G50=2,T50,0))</f>
        <v>733045.25249999994</v>
      </c>
      <c r="AA50" s="167">
        <f t="shared" ref="AA50:AA51" si="59">Y50-Z50</f>
        <v>1954.7475000000559</v>
      </c>
      <c r="AB50" s="167">
        <f t="shared" ref="AB50:AB51" si="60">IF(G50=1,S50,0)</f>
        <v>0</v>
      </c>
      <c r="AC50" s="167">
        <f t="shared" ref="AC50:AC51" si="61">IF(Q50="",0,IF(G50=1,T50,0))</f>
        <v>0</v>
      </c>
      <c r="AD50" s="167">
        <f t="shared" ref="AD50:AD51" si="62">AB50-AC50</f>
        <v>0</v>
      </c>
      <c r="AF50" s="180">
        <f t="shared" ref="AF50:AF51" si="63">IF(S50&lt;&gt;"",1,0)</f>
        <v>1</v>
      </c>
      <c r="AG50" s="202" t="str">
        <f t="shared" ref="AG50:AG51" si="64">B50&amp;" "&amp;F50</f>
        <v>Agnieszka Zając Insulation - work</v>
      </c>
      <c r="AH50" s="153"/>
      <c r="AI50" s="154"/>
      <c r="AJ50" s="154"/>
      <c r="AK50" s="154"/>
      <c r="AL50" s="154"/>
      <c r="AM50" s="154"/>
      <c r="AN50" s="154"/>
      <c r="AO50" s="154"/>
      <c r="AP50" s="154"/>
      <c r="AQ50" s="154"/>
      <c r="AR50" s="154"/>
      <c r="AS50" s="154"/>
      <c r="AT50" s="154"/>
      <c r="AU50" s="154"/>
      <c r="AV50" s="154"/>
      <c r="AW50" s="154"/>
      <c r="AX50" s="154"/>
      <c r="AY50" s="154"/>
      <c r="AZ50" s="154"/>
      <c r="BA50" s="151"/>
      <c r="BB50" s="151"/>
      <c r="BC50" s="151"/>
      <c r="BD50" s="151"/>
      <c r="BE50" s="151"/>
      <c r="BF50" s="151"/>
      <c r="BG50" s="151"/>
      <c r="BH50" s="151"/>
      <c r="BI50" s="151"/>
      <c r="BJ50" s="151"/>
      <c r="BK50" s="151"/>
      <c r="BL50" s="151"/>
      <c r="BM50" s="151"/>
      <c r="BN50" s="151"/>
      <c r="BO50" s="151"/>
      <c r="BP50" s="151"/>
      <c r="BQ50" s="151"/>
      <c r="BR50" s="151"/>
      <c r="BS50" s="151"/>
      <c r="BT50" s="151"/>
      <c r="BU50" s="151"/>
      <c r="BV50" s="151"/>
      <c r="BW50" s="151"/>
      <c r="BX50" s="151"/>
      <c r="BY50" s="151"/>
      <c r="BZ50" s="151"/>
      <c r="CA50" s="151"/>
      <c r="CB50" s="151"/>
      <c r="CC50" s="151"/>
      <c r="CD50" s="151"/>
      <c r="CE50" s="151"/>
      <c r="CF50" s="151"/>
      <c r="CG50" s="151"/>
      <c r="CH50" s="151"/>
      <c r="CI50" s="151"/>
      <c r="CJ50" s="151"/>
      <c r="CK50" s="151"/>
      <c r="CL50" s="151"/>
      <c r="CM50" s="151"/>
      <c r="CN50" s="151"/>
      <c r="CO50" s="151"/>
      <c r="CP50" s="151"/>
      <c r="CQ50" s="151"/>
      <c r="CR50" s="151"/>
      <c r="CS50" s="151"/>
      <c r="CT50" s="151"/>
      <c r="CU50" s="151"/>
      <c r="CV50" s="151"/>
      <c r="CW50" s="151"/>
      <c r="CX50" s="151"/>
      <c r="CY50" s="151"/>
      <c r="CZ50" s="151"/>
      <c r="DA50" s="151"/>
      <c r="DB50" s="151"/>
      <c r="DC50" s="151"/>
      <c r="DD50" s="151"/>
      <c r="DE50" s="151"/>
      <c r="DF50" s="151"/>
      <c r="DG50" s="151"/>
      <c r="DH50" s="151"/>
      <c r="DI50" s="151"/>
      <c r="DJ50" s="151"/>
      <c r="DK50" s="151"/>
      <c r="DL50" s="151"/>
      <c r="DM50" s="151"/>
      <c r="DN50" s="151"/>
      <c r="DO50" s="151"/>
      <c r="DP50" s="151"/>
      <c r="DQ50" s="151"/>
      <c r="DR50" s="151"/>
      <c r="DS50" s="151"/>
      <c r="DT50" s="151"/>
      <c r="DU50" s="151"/>
      <c r="DV50" s="151"/>
      <c r="DW50" s="151"/>
      <c r="DX50" s="151"/>
      <c r="DY50" s="151"/>
      <c r="DZ50" s="151"/>
      <c r="EA50" s="151"/>
      <c r="EB50" s="151"/>
      <c r="EC50" s="151"/>
      <c r="ED50" s="151"/>
      <c r="EE50" s="151"/>
      <c r="EF50" s="151"/>
      <c r="EG50" s="151"/>
      <c r="EH50" s="151"/>
      <c r="EI50" s="151"/>
      <c r="EJ50" s="151"/>
      <c r="EK50" s="151"/>
      <c r="EL50" s="151"/>
      <c r="EM50" s="151"/>
      <c r="EN50" s="151"/>
      <c r="EO50" s="151"/>
      <c r="EP50" s="151"/>
      <c r="EQ50" s="151"/>
      <c r="ER50" s="151"/>
      <c r="ES50" s="151"/>
      <c r="ET50" s="151"/>
      <c r="EU50" s="151"/>
      <c r="EV50" s="151"/>
      <c r="EW50" s="151"/>
      <c r="EX50" s="151"/>
      <c r="EY50" s="151"/>
      <c r="EZ50" s="151"/>
      <c r="FA50" s="151"/>
      <c r="FB50" s="151"/>
      <c r="FC50" s="151"/>
      <c r="FD50" s="151"/>
      <c r="FE50" s="151"/>
      <c r="FF50" s="151"/>
      <c r="FG50" s="151"/>
      <c r="FH50" s="151"/>
      <c r="FI50" s="151"/>
      <c r="FJ50" s="151"/>
      <c r="FK50" s="151"/>
      <c r="FL50" s="151"/>
      <c r="FM50" s="151"/>
      <c r="FN50" s="151"/>
      <c r="FO50" s="151"/>
      <c r="FP50" s="151"/>
      <c r="FQ50" s="151"/>
      <c r="FR50" s="151"/>
      <c r="FS50" s="151"/>
      <c r="FT50" s="151"/>
      <c r="FU50" s="151"/>
      <c r="FV50" s="151"/>
      <c r="FW50" s="151"/>
      <c r="FX50" s="151"/>
      <c r="FY50" s="151"/>
      <c r="FZ50" s="151"/>
      <c r="GA50" s="151"/>
      <c r="GB50" s="151"/>
      <c r="GC50" s="151"/>
      <c r="GD50" s="151"/>
      <c r="GE50" s="151"/>
      <c r="GF50" s="151"/>
      <c r="GG50" s="152"/>
    </row>
    <row r="51" spans="1:189" x14ac:dyDescent="0.35">
      <c r="A51" s="267" t="s">
        <v>1265</v>
      </c>
      <c r="B51" s="221"/>
      <c r="C51" s="221" t="s">
        <v>1402</v>
      </c>
      <c r="D51" s="222"/>
      <c r="E51" s="221" t="s">
        <v>1398</v>
      </c>
      <c r="F51" s="221" t="s">
        <v>1400</v>
      </c>
      <c r="G51" s="223">
        <v>1</v>
      </c>
      <c r="H51" s="224" t="s">
        <v>1397</v>
      </c>
      <c r="I51" s="225"/>
      <c r="J51" s="225"/>
      <c r="K51" s="225"/>
      <c r="L51" s="226">
        <v>46173</v>
      </c>
      <c r="M51" s="226">
        <v>46190</v>
      </c>
      <c r="N51" s="226">
        <v>46142</v>
      </c>
      <c r="O51" s="226">
        <v>46113</v>
      </c>
      <c r="P51" s="226">
        <v>46203</v>
      </c>
      <c r="Q51" s="227" t="s">
        <v>20</v>
      </c>
      <c r="R51" s="228"/>
      <c r="S51" s="228">
        <v>31352</v>
      </c>
      <c r="T51" s="228">
        <v>31352</v>
      </c>
      <c r="U51" s="191">
        <f t="shared" si="56"/>
        <v>0</v>
      </c>
      <c r="V51" s="230"/>
      <c r="W51" s="231"/>
      <c r="X51" s="46"/>
      <c r="Y51" s="167">
        <f t="shared" si="57"/>
        <v>0</v>
      </c>
      <c r="Z51" s="167">
        <f t="shared" si="58"/>
        <v>0</v>
      </c>
      <c r="AA51" s="167">
        <f t="shared" si="59"/>
        <v>0</v>
      </c>
      <c r="AB51" s="167">
        <f t="shared" si="60"/>
        <v>31352</v>
      </c>
      <c r="AC51" s="167">
        <f t="shared" si="61"/>
        <v>31352</v>
      </c>
      <c r="AD51" s="167">
        <f t="shared" si="62"/>
        <v>0</v>
      </c>
      <c r="AF51" s="180">
        <f t="shared" si="63"/>
        <v>1</v>
      </c>
      <c r="AG51" s="202" t="str">
        <f t="shared" si="64"/>
        <v xml:space="preserve"> Insulation – supply – Hydrostop ECd_51</v>
      </c>
      <c r="AH51" s="172"/>
      <c r="AI51" s="173"/>
      <c r="AJ51" s="173"/>
      <c r="AK51" s="173"/>
      <c r="AL51" s="173"/>
      <c r="AM51" s="173"/>
      <c r="AN51" s="173"/>
      <c r="AO51" s="173"/>
      <c r="AP51" s="173"/>
      <c r="AQ51" s="173"/>
      <c r="AR51" s="173"/>
      <c r="AS51" s="173"/>
      <c r="AT51" s="173"/>
      <c r="AU51" s="173"/>
      <c r="AV51" s="173"/>
      <c r="AW51" s="173"/>
      <c r="AX51" s="173"/>
      <c r="AY51" s="173"/>
      <c r="AZ51" s="173"/>
      <c r="BA51" s="173"/>
      <c r="BB51" s="173"/>
      <c r="BC51" s="173"/>
      <c r="BD51" s="173"/>
      <c r="BE51" s="173"/>
      <c r="BF51" s="173"/>
      <c r="BG51" s="173"/>
      <c r="BH51" s="173"/>
      <c r="BI51" s="173"/>
      <c r="BJ51" s="173"/>
      <c r="BK51" s="173"/>
      <c r="BL51" s="173"/>
      <c r="BM51" s="173"/>
      <c r="BN51" s="173"/>
      <c r="BO51" s="173"/>
      <c r="BP51" s="173"/>
      <c r="BQ51" s="173"/>
      <c r="BR51" s="173"/>
      <c r="BS51" s="173"/>
      <c r="BT51" s="173"/>
      <c r="BU51" s="173"/>
      <c r="BV51" s="173"/>
      <c r="BW51" s="173"/>
      <c r="BX51" s="173"/>
      <c r="BY51" s="173"/>
      <c r="BZ51" s="173"/>
      <c r="CA51" s="173"/>
      <c r="CB51" s="173"/>
      <c r="CC51" s="173"/>
      <c r="CD51" s="173"/>
      <c r="CE51" s="173"/>
      <c r="CF51" s="173"/>
      <c r="CG51" s="173"/>
      <c r="CH51" s="173"/>
      <c r="CI51" s="173"/>
      <c r="CJ51" s="173"/>
      <c r="CK51" s="173"/>
      <c r="CL51" s="173"/>
      <c r="CM51" s="173"/>
      <c r="CN51" s="173"/>
      <c r="CO51" s="173"/>
      <c r="CP51" s="173"/>
      <c r="CQ51" s="173"/>
      <c r="CR51" s="173"/>
      <c r="CS51" s="173"/>
      <c r="CT51" s="173"/>
      <c r="CU51" s="173"/>
      <c r="CV51" s="173"/>
      <c r="CW51" s="173"/>
      <c r="CX51" s="173"/>
      <c r="CY51" s="151"/>
      <c r="CZ51" s="151"/>
      <c r="DA51" s="151"/>
      <c r="DB51" s="151"/>
      <c r="DC51" s="151"/>
      <c r="DD51" s="151"/>
      <c r="DE51" s="151"/>
      <c r="DF51" s="151"/>
      <c r="DG51" s="151"/>
      <c r="DH51" s="151"/>
      <c r="DI51" s="151"/>
      <c r="DJ51" s="151"/>
      <c r="DK51" s="151"/>
      <c r="DL51" s="151"/>
      <c r="DM51" s="151"/>
      <c r="DN51" s="151"/>
      <c r="DO51" s="151"/>
      <c r="DP51" s="151"/>
      <c r="DQ51" s="151"/>
      <c r="DR51" s="151"/>
      <c r="DS51" s="151"/>
      <c r="DT51" s="151"/>
      <c r="DU51" s="151"/>
      <c r="DV51" s="151"/>
      <c r="DW51" s="151"/>
      <c r="DX51" s="151"/>
      <c r="DY51" s="151"/>
      <c r="DZ51" s="151"/>
      <c r="EA51" s="151"/>
      <c r="EB51" s="151"/>
      <c r="EC51" s="151"/>
      <c r="ED51" s="151"/>
      <c r="EE51" s="151"/>
      <c r="EF51" s="151"/>
      <c r="EG51" s="151"/>
      <c r="EH51" s="151"/>
      <c r="EI51" s="151"/>
      <c r="EJ51" s="151"/>
      <c r="EK51" s="151"/>
      <c r="EL51" s="151"/>
      <c r="EM51" s="151"/>
      <c r="EN51" s="151"/>
      <c r="EO51" s="151"/>
      <c r="EP51" s="151"/>
      <c r="EQ51" s="151"/>
      <c r="ER51" s="151"/>
      <c r="ES51" s="151"/>
      <c r="ET51" s="151"/>
      <c r="EU51" s="151"/>
      <c r="EV51" s="151"/>
      <c r="EW51" s="151"/>
      <c r="EX51" s="151"/>
      <c r="EY51" s="151"/>
      <c r="EZ51" s="151"/>
      <c r="FA51" s="151"/>
      <c r="FB51" s="151"/>
      <c r="FC51" s="151"/>
      <c r="FD51" s="151"/>
      <c r="FE51" s="151"/>
      <c r="FF51" s="151"/>
      <c r="FG51" s="151"/>
      <c r="FH51" s="151"/>
      <c r="FI51" s="151"/>
      <c r="FJ51" s="151"/>
      <c r="FK51" s="151"/>
      <c r="FL51" s="151"/>
      <c r="FM51" s="151"/>
      <c r="FN51" s="151"/>
      <c r="FO51" s="151"/>
      <c r="FP51" s="151"/>
      <c r="FQ51" s="151"/>
      <c r="FR51" s="151"/>
      <c r="FS51" s="151"/>
      <c r="FT51" s="151"/>
      <c r="FU51" s="151"/>
      <c r="FV51" s="151"/>
      <c r="FW51" s="151"/>
      <c r="FX51" s="151"/>
      <c r="FY51" s="151"/>
      <c r="FZ51" s="151"/>
      <c r="GA51" s="151"/>
      <c r="GB51" s="151"/>
      <c r="GC51" s="151"/>
      <c r="GD51" s="151"/>
      <c r="GE51" s="151"/>
      <c r="GF51" s="151"/>
      <c r="GG51" s="152"/>
    </row>
    <row r="52" spans="1:189" ht="27.75" x14ac:dyDescent="0.35">
      <c r="A52" s="267" t="s">
        <v>1396</v>
      </c>
      <c r="B52" s="221"/>
      <c r="C52" s="221" t="s">
        <v>1353</v>
      </c>
      <c r="D52" s="222"/>
      <c r="E52" s="221" t="s">
        <v>1399</v>
      </c>
      <c r="F52" s="221" t="s">
        <v>1401</v>
      </c>
      <c r="G52" s="223">
        <v>1</v>
      </c>
      <c r="H52" s="224" t="s">
        <v>1142</v>
      </c>
      <c r="I52" s="225"/>
      <c r="J52" s="225"/>
      <c r="K52" s="225"/>
      <c r="L52" s="226">
        <v>46077</v>
      </c>
      <c r="M52" s="226">
        <v>46142</v>
      </c>
      <c r="N52" s="226">
        <v>46142</v>
      </c>
      <c r="O52" s="226">
        <v>46113</v>
      </c>
      <c r="P52" s="226">
        <v>46203</v>
      </c>
      <c r="Q52" s="227" t="s">
        <v>20</v>
      </c>
      <c r="R52" s="228"/>
      <c r="S52" s="228">
        <v>27600</v>
      </c>
      <c r="T52" s="228">
        <v>27600</v>
      </c>
      <c r="U52" s="191">
        <f t="shared" si="28"/>
        <v>0</v>
      </c>
      <c r="V52" s="230"/>
      <c r="W52" s="231"/>
      <c r="X52" s="46"/>
      <c r="Y52" s="167">
        <f t="shared" si="22"/>
        <v>0</v>
      </c>
      <c r="Z52" s="167">
        <f t="shared" si="23"/>
        <v>0</v>
      </c>
      <c r="AA52" s="167">
        <f t="shared" si="24"/>
        <v>0</v>
      </c>
      <c r="AB52" s="167">
        <f t="shared" si="25"/>
        <v>27600</v>
      </c>
      <c r="AC52" s="167">
        <f t="shared" si="26"/>
        <v>27600</v>
      </c>
      <c r="AD52" s="167">
        <f t="shared" si="27"/>
        <v>0</v>
      </c>
      <c r="AF52" s="180">
        <f t="shared" si="21"/>
        <v>1</v>
      </c>
      <c r="AG52" s="202" t="str">
        <f t="shared" si="13"/>
        <v xml:space="preserve"> Insulation – supply – foil, compound ECd_14</v>
      </c>
      <c r="AH52" s="172"/>
      <c r="AI52" s="173"/>
      <c r="AJ52" s="173"/>
      <c r="AK52" s="173"/>
      <c r="AL52" s="173"/>
      <c r="AM52" s="173"/>
      <c r="AN52" s="173"/>
      <c r="AO52" s="173"/>
      <c r="AP52" s="173"/>
      <c r="AQ52" s="173"/>
      <c r="AR52" s="173"/>
      <c r="AS52" s="173"/>
      <c r="AT52" s="173"/>
      <c r="AU52" s="173"/>
      <c r="AV52" s="173"/>
      <c r="AW52" s="173"/>
      <c r="AX52" s="173"/>
      <c r="AY52" s="173"/>
      <c r="AZ52" s="173"/>
      <c r="BA52" s="173"/>
      <c r="BB52" s="173"/>
      <c r="BC52" s="173"/>
      <c r="BD52" s="173"/>
      <c r="BE52" s="173"/>
      <c r="BF52" s="173"/>
      <c r="BG52" s="173"/>
      <c r="BH52" s="173"/>
      <c r="BI52" s="173"/>
      <c r="BJ52" s="173"/>
      <c r="BK52" s="173"/>
      <c r="BL52" s="173"/>
      <c r="BM52" s="173"/>
      <c r="BN52" s="173"/>
      <c r="BO52" s="173"/>
      <c r="BP52" s="173"/>
      <c r="BQ52" s="173"/>
      <c r="BR52" s="173"/>
      <c r="BS52" s="173"/>
      <c r="BT52" s="173"/>
      <c r="BU52" s="173"/>
      <c r="BV52" s="173"/>
      <c r="BW52" s="173"/>
      <c r="BX52" s="173"/>
      <c r="BY52" s="173"/>
      <c r="BZ52" s="173"/>
      <c r="CA52" s="173"/>
      <c r="CB52" s="173"/>
      <c r="CC52" s="173"/>
      <c r="CD52" s="173"/>
      <c r="CE52" s="173"/>
      <c r="CF52" s="173"/>
      <c r="CG52" s="173"/>
      <c r="CH52" s="173"/>
      <c r="CI52" s="173"/>
      <c r="CJ52" s="173"/>
      <c r="CK52" s="173"/>
      <c r="CL52" s="173"/>
      <c r="CM52" s="173"/>
      <c r="CN52" s="173"/>
      <c r="CO52" s="173"/>
      <c r="CP52" s="173"/>
      <c r="CQ52" s="173"/>
      <c r="CR52" s="173"/>
      <c r="CS52" s="173"/>
      <c r="CT52" s="173"/>
      <c r="CU52" s="173"/>
      <c r="CV52" s="173"/>
      <c r="CW52" s="173"/>
      <c r="CX52" s="173"/>
      <c r="CY52" s="151"/>
      <c r="CZ52" s="151"/>
      <c r="DA52" s="151"/>
      <c r="DB52" s="151"/>
      <c r="DC52" s="151"/>
      <c r="DD52" s="151"/>
      <c r="DE52" s="151"/>
      <c r="DF52" s="151"/>
      <c r="DG52" s="151"/>
      <c r="DH52" s="151"/>
      <c r="DI52" s="151"/>
      <c r="DJ52" s="151"/>
      <c r="DK52" s="151"/>
      <c r="DL52" s="151"/>
      <c r="DM52" s="151"/>
      <c r="DN52" s="151"/>
      <c r="DO52" s="151"/>
      <c r="DP52" s="151"/>
      <c r="DQ52" s="151"/>
      <c r="DR52" s="151"/>
      <c r="DS52" s="151"/>
      <c r="DT52" s="151"/>
      <c r="DU52" s="151"/>
      <c r="DV52" s="151"/>
      <c r="DW52" s="151"/>
      <c r="DX52" s="151"/>
      <c r="DY52" s="151"/>
      <c r="DZ52" s="151"/>
      <c r="EA52" s="151"/>
      <c r="EB52" s="151"/>
      <c r="EC52" s="151"/>
      <c r="ED52" s="151"/>
      <c r="EE52" s="151"/>
      <c r="EF52" s="151"/>
      <c r="EG52" s="151"/>
      <c r="EH52" s="151"/>
      <c r="EI52" s="151"/>
      <c r="EJ52" s="151"/>
      <c r="EK52" s="151"/>
      <c r="EL52" s="151"/>
      <c r="EM52" s="151"/>
      <c r="EN52" s="151"/>
      <c r="EO52" s="151"/>
      <c r="EP52" s="151"/>
      <c r="EQ52" s="151"/>
      <c r="ER52" s="151"/>
      <c r="ES52" s="151"/>
      <c r="ET52" s="151"/>
      <c r="EU52" s="151"/>
      <c r="EV52" s="151"/>
      <c r="EW52" s="151"/>
      <c r="EX52" s="151"/>
      <c r="EY52" s="151"/>
      <c r="EZ52" s="151"/>
      <c r="FA52" s="151"/>
      <c r="FB52" s="151"/>
      <c r="FC52" s="151"/>
      <c r="FD52" s="151"/>
      <c r="FE52" s="151"/>
      <c r="FF52" s="151"/>
      <c r="FG52" s="151"/>
      <c r="FH52" s="151"/>
      <c r="FI52" s="151"/>
      <c r="FJ52" s="151"/>
      <c r="FK52" s="151"/>
      <c r="FL52" s="151"/>
      <c r="FM52" s="151"/>
      <c r="FN52" s="151"/>
      <c r="FO52" s="151"/>
      <c r="FP52" s="151"/>
      <c r="FQ52" s="151"/>
      <c r="FR52" s="151"/>
      <c r="FS52" s="151"/>
      <c r="FT52" s="151"/>
      <c r="FU52" s="151"/>
      <c r="FV52" s="151"/>
      <c r="FW52" s="151"/>
      <c r="FX52" s="151"/>
      <c r="FY52" s="151"/>
      <c r="FZ52" s="151"/>
      <c r="GA52" s="151"/>
      <c r="GB52" s="151"/>
      <c r="GC52" s="151"/>
      <c r="GD52" s="151"/>
      <c r="GE52" s="151"/>
      <c r="GF52" s="151"/>
      <c r="GG52" s="152"/>
    </row>
    <row r="53" spans="1:189" x14ac:dyDescent="0.35">
      <c r="A53" s="237" t="s">
        <v>678</v>
      </c>
      <c r="B53" s="236"/>
      <c r="C53" s="236"/>
      <c r="D53" s="237"/>
      <c r="E53" s="236" t="s">
        <v>273</v>
      </c>
      <c r="F53" s="236" t="s">
        <v>732</v>
      </c>
      <c r="G53" s="238">
        <v>2</v>
      </c>
      <c r="H53" s="239"/>
      <c r="I53" s="240"/>
      <c r="J53" s="240"/>
      <c r="K53" s="240"/>
      <c r="L53" s="241"/>
      <c r="M53" s="241"/>
      <c r="N53" s="241"/>
      <c r="O53" s="241"/>
      <c r="P53" s="241"/>
      <c r="Q53" s="242"/>
      <c r="R53" s="243"/>
      <c r="S53" s="243"/>
      <c r="T53" s="243"/>
      <c r="U53" s="191">
        <f t="shared" si="28"/>
        <v>0</v>
      </c>
      <c r="V53" s="244"/>
      <c r="W53" s="245"/>
      <c r="X53" s="46"/>
      <c r="Y53" s="167">
        <f t="shared" si="22"/>
        <v>0</v>
      </c>
      <c r="Z53" s="167">
        <f t="shared" si="23"/>
        <v>0</v>
      </c>
      <c r="AA53" s="167">
        <f t="shared" si="24"/>
        <v>0</v>
      </c>
      <c r="AB53" s="167">
        <f t="shared" si="25"/>
        <v>0</v>
      </c>
      <c r="AC53" s="167">
        <f t="shared" si="26"/>
        <v>0</v>
      </c>
      <c r="AD53" s="167">
        <f t="shared" si="27"/>
        <v>0</v>
      </c>
      <c r="AF53" s="180">
        <f t="shared" si="21"/>
        <v>0</v>
      </c>
      <c r="AG53" s="202" t="str">
        <f t="shared" si="13"/>
        <v xml:space="preserve"> Reinforced concrete structure</v>
      </c>
      <c r="AH53" s="172"/>
      <c r="AI53" s="173"/>
      <c r="AJ53" s="173"/>
      <c r="AK53" s="173"/>
      <c r="AL53" s="173"/>
      <c r="AM53" s="173"/>
      <c r="AN53" s="173"/>
      <c r="AO53" s="173"/>
      <c r="AP53" s="173"/>
      <c r="AQ53" s="173"/>
      <c r="AR53" s="173"/>
      <c r="AS53" s="173"/>
      <c r="AT53" s="173"/>
      <c r="AU53" s="173"/>
      <c r="AV53" s="173"/>
      <c r="AW53" s="173"/>
      <c r="AX53" s="173"/>
      <c r="AY53" s="173"/>
      <c r="AZ53" s="173"/>
      <c r="BA53" s="173"/>
      <c r="BB53" s="173"/>
      <c r="BC53" s="173"/>
      <c r="BD53" s="173"/>
      <c r="BE53" s="173"/>
      <c r="BF53" s="173"/>
      <c r="BG53" s="173"/>
      <c r="BH53" s="173"/>
      <c r="BI53" s="173"/>
      <c r="BJ53" s="173"/>
      <c r="BK53" s="173"/>
      <c r="BL53" s="173"/>
      <c r="BM53" s="173"/>
      <c r="BN53" s="173"/>
      <c r="BO53" s="173"/>
      <c r="BP53" s="173"/>
      <c r="BQ53" s="173"/>
      <c r="BR53" s="173"/>
      <c r="BS53" s="173"/>
      <c r="BT53" s="173"/>
      <c r="BU53" s="173"/>
      <c r="BV53" s="173"/>
      <c r="BW53" s="173"/>
      <c r="BX53" s="173"/>
      <c r="BY53" s="173"/>
      <c r="BZ53" s="173"/>
      <c r="CA53" s="173"/>
      <c r="CB53" s="173"/>
      <c r="CC53" s="173"/>
      <c r="CD53" s="173"/>
      <c r="CE53" s="173"/>
      <c r="CF53" s="173"/>
      <c r="CG53" s="173"/>
      <c r="CH53" s="173"/>
      <c r="CI53" s="173"/>
      <c r="CJ53" s="173"/>
      <c r="CK53" s="173"/>
      <c r="CL53" s="173"/>
      <c r="CM53" s="173"/>
      <c r="CN53" s="173"/>
      <c r="CO53" s="173"/>
      <c r="CP53" s="173"/>
      <c r="CQ53" s="173"/>
      <c r="CR53" s="173"/>
      <c r="CS53" s="173"/>
      <c r="CT53" s="173"/>
      <c r="CU53" s="173"/>
      <c r="CV53" s="173"/>
      <c r="CW53" s="173"/>
      <c r="CX53" s="173"/>
      <c r="CY53" s="151"/>
      <c r="CZ53" s="151"/>
      <c r="DA53" s="151"/>
      <c r="DB53" s="151"/>
      <c r="DC53" s="151"/>
      <c r="DD53" s="151"/>
      <c r="DE53" s="151"/>
      <c r="DF53" s="151"/>
      <c r="DG53" s="151"/>
      <c r="DH53" s="151"/>
      <c r="DI53" s="151"/>
      <c r="DJ53" s="151"/>
      <c r="DK53" s="151"/>
      <c r="DL53" s="151"/>
      <c r="DM53" s="151"/>
      <c r="DN53" s="151"/>
      <c r="DO53" s="151"/>
      <c r="DP53" s="151"/>
      <c r="DQ53" s="151"/>
      <c r="DR53" s="151"/>
      <c r="DS53" s="151"/>
      <c r="DT53" s="151"/>
      <c r="DU53" s="151"/>
      <c r="DV53" s="151"/>
      <c r="DW53" s="151"/>
      <c r="DX53" s="151"/>
      <c r="DY53" s="151"/>
      <c r="DZ53" s="151"/>
      <c r="EA53" s="151"/>
      <c r="EB53" s="151"/>
      <c r="EC53" s="151"/>
      <c r="ED53" s="151"/>
      <c r="EE53" s="151"/>
      <c r="EF53" s="151"/>
      <c r="EG53" s="151"/>
      <c r="EH53" s="151"/>
      <c r="EI53" s="151"/>
      <c r="EJ53" s="151"/>
      <c r="EK53" s="151"/>
      <c r="EL53" s="151"/>
      <c r="EM53" s="151"/>
      <c r="EN53" s="151"/>
      <c r="EO53" s="151"/>
      <c r="EP53" s="151"/>
      <c r="EQ53" s="151"/>
      <c r="ER53" s="151"/>
      <c r="ES53" s="151"/>
      <c r="ET53" s="151"/>
      <c r="EU53" s="151"/>
      <c r="EV53" s="151"/>
      <c r="EW53" s="151"/>
      <c r="EX53" s="151"/>
      <c r="EY53" s="151"/>
      <c r="EZ53" s="151"/>
      <c r="FA53" s="151"/>
      <c r="FB53" s="151"/>
      <c r="FC53" s="151"/>
      <c r="FD53" s="151"/>
      <c r="FE53" s="151"/>
      <c r="FF53" s="151"/>
      <c r="FG53" s="151"/>
      <c r="FH53" s="151"/>
      <c r="FI53" s="151"/>
      <c r="FJ53" s="151"/>
      <c r="FK53" s="151"/>
      <c r="FL53" s="151"/>
      <c r="FM53" s="151"/>
      <c r="FN53" s="151"/>
      <c r="FO53" s="151"/>
      <c r="FP53" s="151"/>
      <c r="FQ53" s="151"/>
      <c r="FR53" s="151"/>
      <c r="FS53" s="151"/>
      <c r="FT53" s="151"/>
      <c r="FU53" s="151"/>
      <c r="FV53" s="151"/>
      <c r="FW53" s="151"/>
      <c r="FX53" s="151"/>
      <c r="FY53" s="151"/>
      <c r="FZ53" s="151"/>
      <c r="GA53" s="151"/>
      <c r="GB53" s="151"/>
      <c r="GC53" s="151"/>
      <c r="GD53" s="151"/>
      <c r="GE53" s="151"/>
      <c r="GF53" s="151"/>
      <c r="GG53" s="152"/>
    </row>
    <row r="54" spans="1:189" ht="41.65" x14ac:dyDescent="0.35">
      <c r="A54" s="249" t="s">
        <v>679</v>
      </c>
      <c r="B54" s="248"/>
      <c r="C54" s="248" t="s">
        <v>1096</v>
      </c>
      <c r="D54" s="249"/>
      <c r="E54" s="248" t="s">
        <v>274</v>
      </c>
      <c r="F54" s="248" t="s">
        <v>733</v>
      </c>
      <c r="G54" s="250">
        <v>2</v>
      </c>
      <c r="H54" s="251"/>
      <c r="I54" s="252"/>
      <c r="J54" s="252"/>
      <c r="K54" s="252"/>
      <c r="L54" s="253"/>
      <c r="M54" s="253"/>
      <c r="N54" s="253"/>
      <c r="O54" s="253">
        <v>46073</v>
      </c>
      <c r="P54" s="253">
        <v>46234</v>
      </c>
      <c r="Q54" s="254" t="s">
        <v>11</v>
      </c>
      <c r="R54" s="255">
        <v>16024473.498635681</v>
      </c>
      <c r="S54" s="255">
        <f>16024473.4986357-SUM(S55:S59)</f>
        <v>4299513.4986357</v>
      </c>
      <c r="T54" s="255"/>
      <c r="U54" s="191">
        <f t="shared" si="28"/>
        <v>0</v>
      </c>
      <c r="V54" s="246"/>
      <c r="W54" s="247"/>
      <c r="X54" s="46"/>
      <c r="Y54" s="167">
        <f t="shared" si="22"/>
        <v>4299513.4986357</v>
      </c>
      <c r="Z54" s="167">
        <f t="shared" si="23"/>
        <v>0</v>
      </c>
      <c r="AA54" s="167">
        <f t="shared" si="24"/>
        <v>4299513.4986357</v>
      </c>
      <c r="AB54" s="167">
        <f t="shared" si="25"/>
        <v>0</v>
      </c>
      <c r="AC54" s="167">
        <f t="shared" si="26"/>
        <v>0</v>
      </c>
      <c r="AD54" s="167">
        <f t="shared" si="27"/>
        <v>0</v>
      </c>
      <c r="AF54" s="47">
        <f t="shared" si="21"/>
        <v>1</v>
      </c>
      <c r="AG54" s="202" t="str">
        <f t="shared" si="13"/>
        <v xml:space="preserve"> Reinforced concrete foundation structure</v>
      </c>
      <c r="AH54" s="172"/>
      <c r="AI54" s="173"/>
      <c r="AJ54" s="173"/>
      <c r="AK54" s="173"/>
      <c r="AL54" s="173"/>
      <c r="AM54" s="173"/>
      <c r="AN54" s="173"/>
      <c r="AO54" s="173"/>
      <c r="AP54" s="173"/>
      <c r="AQ54" s="173"/>
      <c r="AR54" s="173"/>
      <c r="AS54" s="173"/>
      <c r="AT54" s="173"/>
      <c r="AU54" s="173"/>
      <c r="AV54" s="173"/>
      <c r="AW54" s="173"/>
      <c r="AX54" s="173"/>
      <c r="AY54" s="173"/>
      <c r="AZ54" s="173"/>
      <c r="BA54" s="173"/>
      <c r="BB54" s="173"/>
      <c r="BC54" s="173"/>
      <c r="BD54" s="173"/>
      <c r="BE54" s="173"/>
      <c r="BF54" s="173"/>
      <c r="BG54" s="173"/>
      <c r="BH54" s="173"/>
      <c r="BI54" s="173"/>
      <c r="BJ54" s="173"/>
      <c r="BK54" s="173"/>
      <c r="BL54" s="173"/>
      <c r="BM54" s="173"/>
      <c r="BN54" s="173"/>
      <c r="BO54" s="173"/>
      <c r="BP54" s="173"/>
      <c r="BQ54" s="173"/>
      <c r="BR54" s="173"/>
      <c r="BS54" s="173"/>
      <c r="BT54" s="173"/>
      <c r="BU54" s="173"/>
      <c r="BV54" s="173"/>
      <c r="BW54" s="173"/>
      <c r="BX54" s="173"/>
      <c r="BY54" s="173"/>
      <c r="BZ54" s="173"/>
      <c r="CA54" s="173"/>
      <c r="CB54" s="173"/>
      <c r="CC54" s="173"/>
      <c r="CD54" s="173"/>
      <c r="CE54" s="173"/>
      <c r="CF54" s="173"/>
      <c r="CG54" s="173"/>
      <c r="CH54" s="173"/>
      <c r="CI54" s="173"/>
      <c r="CJ54" s="173"/>
      <c r="CK54" s="173"/>
      <c r="CL54" s="173"/>
      <c r="CM54" s="173"/>
      <c r="CN54" s="173"/>
      <c r="CO54" s="173"/>
      <c r="CP54" s="173"/>
      <c r="CQ54" s="173"/>
      <c r="CR54" s="173"/>
      <c r="CS54" s="173"/>
      <c r="CT54" s="173"/>
      <c r="CU54" s="173"/>
      <c r="CV54" s="173"/>
      <c r="CW54" s="173"/>
      <c r="CX54" s="173"/>
      <c r="CY54" s="151"/>
      <c r="CZ54" s="151"/>
      <c r="DA54" s="151"/>
      <c r="DB54" s="151"/>
      <c r="DC54" s="151"/>
      <c r="DD54" s="151"/>
      <c r="DE54" s="151"/>
      <c r="DF54" s="151"/>
      <c r="DG54" s="151"/>
      <c r="DH54" s="151"/>
      <c r="DI54" s="151"/>
      <c r="DJ54" s="151"/>
      <c r="DK54" s="151"/>
      <c r="DL54" s="151"/>
      <c r="DM54" s="151"/>
      <c r="DN54" s="151"/>
      <c r="DO54" s="151"/>
      <c r="DP54" s="151"/>
      <c r="DQ54" s="151"/>
      <c r="DR54" s="151"/>
      <c r="DS54" s="151"/>
      <c r="DT54" s="151"/>
      <c r="DU54" s="151"/>
      <c r="DV54" s="151"/>
      <c r="DW54" s="151"/>
      <c r="DX54" s="151"/>
      <c r="DY54" s="151"/>
      <c r="DZ54" s="151"/>
      <c r="EA54" s="151"/>
      <c r="EB54" s="151"/>
      <c r="EC54" s="151"/>
      <c r="ED54" s="151"/>
      <c r="EE54" s="151"/>
      <c r="EF54" s="151"/>
      <c r="EG54" s="151"/>
      <c r="EH54" s="151"/>
      <c r="EI54" s="151"/>
      <c r="EJ54" s="151"/>
      <c r="EK54" s="151"/>
      <c r="EL54" s="151"/>
      <c r="EM54" s="151"/>
      <c r="EN54" s="151"/>
      <c r="EO54" s="151"/>
      <c r="EP54" s="151"/>
      <c r="EQ54" s="151"/>
      <c r="ER54" s="151"/>
      <c r="ES54" s="151"/>
      <c r="ET54" s="151"/>
      <c r="EU54" s="151"/>
      <c r="EV54" s="151"/>
      <c r="EW54" s="151"/>
      <c r="EX54" s="151"/>
      <c r="EY54" s="151"/>
      <c r="EZ54" s="151"/>
      <c r="FA54" s="151"/>
      <c r="FB54" s="151"/>
      <c r="FC54" s="151"/>
      <c r="FD54" s="151"/>
      <c r="FE54" s="151"/>
      <c r="FF54" s="151"/>
      <c r="FG54" s="151"/>
      <c r="FH54" s="151"/>
      <c r="FI54" s="151"/>
      <c r="FJ54" s="151"/>
      <c r="FK54" s="151"/>
      <c r="FL54" s="151"/>
      <c r="FM54" s="151"/>
      <c r="FN54" s="151"/>
      <c r="FO54" s="151"/>
      <c r="FP54" s="151"/>
      <c r="FQ54" s="151"/>
      <c r="FR54" s="151"/>
      <c r="FS54" s="151"/>
      <c r="FT54" s="151"/>
      <c r="FU54" s="151"/>
      <c r="FV54" s="151"/>
      <c r="FW54" s="151"/>
      <c r="FX54" s="151"/>
      <c r="FY54" s="151"/>
      <c r="FZ54" s="151"/>
      <c r="GA54" s="151"/>
      <c r="GB54" s="151"/>
      <c r="GC54" s="151"/>
      <c r="GD54" s="151"/>
      <c r="GE54" s="151"/>
      <c r="GF54" s="151"/>
      <c r="GG54" s="152"/>
    </row>
    <row r="55" spans="1:189" ht="27.75" x14ac:dyDescent="0.35">
      <c r="A55" s="267" t="s">
        <v>681</v>
      </c>
      <c r="B55" s="221" t="s">
        <v>1068</v>
      </c>
      <c r="C55" s="221" t="s">
        <v>1113</v>
      </c>
      <c r="D55" s="222"/>
      <c r="E55" s="221" t="s">
        <v>1097</v>
      </c>
      <c r="F55" s="221" t="s">
        <v>1098</v>
      </c>
      <c r="G55" s="223">
        <v>1</v>
      </c>
      <c r="H55" s="224" t="s">
        <v>874</v>
      </c>
      <c r="I55" s="225"/>
      <c r="J55" s="225"/>
      <c r="K55" s="225"/>
      <c r="L55" s="226">
        <v>45995</v>
      </c>
      <c r="M55" s="226">
        <v>46022</v>
      </c>
      <c r="N55" s="226">
        <v>46022</v>
      </c>
      <c r="O55" s="226">
        <v>46073</v>
      </c>
      <c r="P55" s="226">
        <v>46234</v>
      </c>
      <c r="Q55" s="227" t="s">
        <v>23</v>
      </c>
      <c r="R55" s="228"/>
      <c r="S55" s="228">
        <v>2432900</v>
      </c>
      <c r="T55" s="228">
        <v>2432900</v>
      </c>
      <c r="U55" s="191">
        <f t="shared" si="28"/>
        <v>0</v>
      </c>
      <c r="V55" s="230"/>
      <c r="W55" s="231"/>
      <c r="X55" s="46"/>
      <c r="Y55" s="167">
        <f t="shared" si="22"/>
        <v>0</v>
      </c>
      <c r="Z55" s="167">
        <f t="shared" si="23"/>
        <v>0</v>
      </c>
      <c r="AA55" s="167">
        <f t="shared" si="24"/>
        <v>0</v>
      </c>
      <c r="AB55" s="167">
        <f t="shared" si="25"/>
        <v>2432900</v>
      </c>
      <c r="AC55" s="167">
        <f t="shared" si="26"/>
        <v>2432900</v>
      </c>
      <c r="AD55" s="167">
        <f t="shared" si="27"/>
        <v>0</v>
      </c>
      <c r="AF55" s="180">
        <f t="shared" si="21"/>
        <v>1</v>
      </c>
      <c r="AG55" s="202" t="str">
        <f t="shared" si="13"/>
        <v>Robert Klimczak Supply of reinforcing steel BoRd_02</v>
      </c>
      <c r="AH55" s="172"/>
      <c r="AI55" s="173"/>
      <c r="AJ55" s="173"/>
      <c r="AK55" s="173"/>
      <c r="AL55" s="173"/>
      <c r="AM55" s="173"/>
      <c r="AN55" s="173"/>
      <c r="AO55" s="173"/>
      <c r="AP55" s="173"/>
      <c r="AQ55" s="173"/>
      <c r="AR55" s="173"/>
      <c r="AS55" s="173"/>
      <c r="AT55" s="173"/>
      <c r="AU55" s="173"/>
      <c r="AV55" s="173"/>
      <c r="AW55" s="173"/>
      <c r="AX55" s="173"/>
      <c r="AY55" s="173"/>
      <c r="AZ55" s="173"/>
      <c r="BA55" s="173"/>
      <c r="BB55" s="173"/>
      <c r="BC55" s="173"/>
      <c r="BD55" s="173"/>
      <c r="BE55" s="173"/>
      <c r="BF55" s="173"/>
      <c r="BG55" s="173"/>
      <c r="BH55" s="173"/>
      <c r="BI55" s="173"/>
      <c r="BJ55" s="173"/>
      <c r="BK55" s="173"/>
      <c r="BL55" s="173"/>
      <c r="BM55" s="173"/>
      <c r="BN55" s="173"/>
      <c r="BO55" s="173"/>
      <c r="BP55" s="173"/>
      <c r="BQ55" s="173"/>
      <c r="BR55" s="173"/>
      <c r="BS55" s="173"/>
      <c r="BT55" s="173"/>
      <c r="BU55" s="173"/>
      <c r="BV55" s="173"/>
      <c r="BW55" s="173"/>
      <c r="BX55" s="173"/>
      <c r="BY55" s="173"/>
      <c r="BZ55" s="173"/>
      <c r="CA55" s="173"/>
      <c r="CB55" s="173"/>
      <c r="CC55" s="173"/>
      <c r="CD55" s="173"/>
      <c r="CE55" s="173"/>
      <c r="CF55" s="173"/>
      <c r="CG55" s="173"/>
      <c r="CH55" s="173"/>
      <c r="CI55" s="173"/>
      <c r="CJ55" s="173"/>
      <c r="CK55" s="173"/>
      <c r="CL55" s="173"/>
      <c r="CM55" s="173"/>
      <c r="CN55" s="173"/>
      <c r="CO55" s="173"/>
      <c r="CP55" s="173"/>
      <c r="CQ55" s="173"/>
      <c r="CR55" s="173"/>
      <c r="CS55" s="173"/>
      <c r="CT55" s="173"/>
      <c r="CU55" s="173"/>
      <c r="CV55" s="173"/>
      <c r="CW55" s="173"/>
      <c r="CX55" s="173"/>
      <c r="CY55" s="151"/>
      <c r="CZ55" s="151"/>
      <c r="DA55" s="151"/>
      <c r="DB55" s="151"/>
      <c r="DC55" s="151"/>
      <c r="DD55" s="151"/>
      <c r="DE55" s="151"/>
      <c r="DF55" s="151"/>
      <c r="DG55" s="151"/>
      <c r="DH55" s="151"/>
      <c r="DI55" s="151"/>
      <c r="DJ55" s="151"/>
      <c r="DK55" s="151"/>
      <c r="DL55" s="151"/>
      <c r="DM55" s="151"/>
      <c r="DN55" s="151"/>
      <c r="DO55" s="151"/>
      <c r="DP55" s="151"/>
      <c r="DQ55" s="151"/>
      <c r="DR55" s="151"/>
      <c r="DS55" s="151"/>
      <c r="DT55" s="151"/>
      <c r="DU55" s="151"/>
      <c r="DV55" s="151"/>
      <c r="DW55" s="151"/>
      <c r="DX55" s="151"/>
      <c r="DY55" s="151"/>
      <c r="DZ55" s="151"/>
      <c r="EA55" s="151"/>
      <c r="EB55" s="151"/>
      <c r="EC55" s="151"/>
      <c r="ED55" s="151"/>
      <c r="EE55" s="151"/>
      <c r="EF55" s="151"/>
      <c r="EG55" s="151"/>
      <c r="EH55" s="151"/>
      <c r="EI55" s="151"/>
      <c r="EJ55" s="151"/>
      <c r="EK55" s="151"/>
      <c r="EL55" s="151"/>
      <c r="EM55" s="151"/>
      <c r="EN55" s="151"/>
      <c r="EO55" s="151"/>
      <c r="EP55" s="151"/>
      <c r="EQ55" s="151"/>
      <c r="ER55" s="151"/>
      <c r="ES55" s="151"/>
      <c r="ET55" s="151"/>
      <c r="EU55" s="151"/>
      <c r="EV55" s="151"/>
      <c r="EW55" s="151"/>
      <c r="EX55" s="151"/>
      <c r="EY55" s="151"/>
      <c r="EZ55" s="151"/>
      <c r="FA55" s="151"/>
      <c r="FB55" s="151"/>
      <c r="FC55" s="151"/>
      <c r="FD55" s="151"/>
      <c r="FE55" s="151"/>
      <c r="FF55" s="151"/>
      <c r="FG55" s="151"/>
      <c r="FH55" s="151"/>
      <c r="FI55" s="151"/>
      <c r="FJ55" s="151"/>
      <c r="FK55" s="151"/>
      <c r="FL55" s="151"/>
      <c r="FM55" s="151"/>
      <c r="FN55" s="151"/>
      <c r="FO55" s="151"/>
      <c r="FP55" s="151"/>
      <c r="FQ55" s="151"/>
      <c r="FR55" s="151"/>
      <c r="FS55" s="151"/>
      <c r="FT55" s="151"/>
      <c r="FU55" s="151"/>
      <c r="FV55" s="151"/>
      <c r="FW55" s="151"/>
      <c r="FX55" s="151"/>
      <c r="FY55" s="151"/>
      <c r="FZ55" s="151"/>
      <c r="GA55" s="151"/>
      <c r="GB55" s="151"/>
      <c r="GC55" s="151"/>
      <c r="GD55" s="151"/>
      <c r="GE55" s="151"/>
      <c r="GF55" s="151"/>
      <c r="GG55" s="152"/>
    </row>
    <row r="56" spans="1:189" ht="41.65" x14ac:dyDescent="0.35">
      <c r="A56" s="267" t="s">
        <v>683</v>
      </c>
      <c r="B56" s="221" t="s">
        <v>1069</v>
      </c>
      <c r="C56" s="221" t="s">
        <v>1096</v>
      </c>
      <c r="D56" s="222"/>
      <c r="E56" s="221" t="s">
        <v>1260</v>
      </c>
      <c r="F56" s="221" t="s">
        <v>1261</v>
      </c>
      <c r="G56" s="223">
        <v>1</v>
      </c>
      <c r="H56" s="224" t="s">
        <v>1361</v>
      </c>
      <c r="I56" s="225"/>
      <c r="J56" s="225"/>
      <c r="K56" s="225"/>
      <c r="L56" s="226">
        <v>45995</v>
      </c>
      <c r="M56" s="226">
        <v>46053</v>
      </c>
      <c r="N56" s="226">
        <v>46068</v>
      </c>
      <c r="O56" s="226">
        <v>46073</v>
      </c>
      <c r="P56" s="226">
        <v>46234</v>
      </c>
      <c r="Q56" s="227" t="s">
        <v>23</v>
      </c>
      <c r="R56" s="228"/>
      <c r="S56" s="228">
        <f>ROUND(3152493.50874466,-4)+10000</f>
        <v>3160000</v>
      </c>
      <c r="T56" s="228">
        <v>3152493.5087446598</v>
      </c>
      <c r="U56" s="191">
        <f t="shared" si="28"/>
        <v>7506.4912553401664</v>
      </c>
      <c r="V56" s="230"/>
      <c r="W56" s="231"/>
      <c r="X56" s="46"/>
      <c r="Y56" s="167">
        <f t="shared" si="22"/>
        <v>0</v>
      </c>
      <c r="Z56" s="167">
        <f t="shared" si="23"/>
        <v>0</v>
      </c>
      <c r="AA56" s="167">
        <f t="shared" si="24"/>
        <v>0</v>
      </c>
      <c r="AB56" s="167">
        <f t="shared" si="25"/>
        <v>3160000</v>
      </c>
      <c r="AC56" s="167">
        <f t="shared" si="26"/>
        <v>3152493.5087446598</v>
      </c>
      <c r="AD56" s="167">
        <f t="shared" si="27"/>
        <v>7506.4912553401664</v>
      </c>
      <c r="AF56" s="47">
        <f t="shared" si="21"/>
        <v>1</v>
      </c>
      <c r="AG56" s="202" t="str">
        <f t="shared" si="13"/>
        <v>Alicja Romanowska Supply of concrete mix with pumping service / foundation</v>
      </c>
      <c r="AH56" s="172"/>
      <c r="AI56" s="173"/>
      <c r="AJ56" s="173"/>
      <c r="AK56" s="173"/>
      <c r="AL56" s="173"/>
      <c r="AM56" s="173"/>
      <c r="AN56" s="173"/>
      <c r="AO56" s="173"/>
      <c r="AP56" s="173"/>
      <c r="AQ56" s="173"/>
      <c r="AR56" s="173"/>
      <c r="AS56" s="173"/>
      <c r="AT56" s="173"/>
      <c r="AU56" s="173"/>
      <c r="AV56" s="173"/>
      <c r="AW56" s="173"/>
      <c r="AX56" s="173"/>
      <c r="AY56" s="173"/>
      <c r="AZ56" s="173"/>
      <c r="BA56" s="173"/>
      <c r="BB56" s="173"/>
      <c r="BC56" s="173"/>
      <c r="BD56" s="173"/>
      <c r="BE56" s="173"/>
      <c r="BF56" s="173"/>
      <c r="BG56" s="173"/>
      <c r="BH56" s="173"/>
      <c r="BI56" s="173"/>
      <c r="BJ56" s="173"/>
      <c r="BK56" s="173"/>
      <c r="BL56" s="173"/>
      <c r="BM56" s="173"/>
      <c r="BN56" s="173"/>
      <c r="BO56" s="173"/>
      <c r="BP56" s="173"/>
      <c r="BQ56" s="173"/>
      <c r="BR56" s="173"/>
      <c r="BS56" s="173"/>
      <c r="BT56" s="173"/>
      <c r="BU56" s="173"/>
      <c r="BV56" s="173"/>
      <c r="BW56" s="173"/>
      <c r="BX56" s="173"/>
      <c r="BY56" s="173"/>
      <c r="BZ56" s="173"/>
      <c r="CA56" s="173"/>
      <c r="CB56" s="173"/>
      <c r="CC56" s="173"/>
      <c r="CD56" s="173"/>
      <c r="CE56" s="173"/>
      <c r="CF56" s="173"/>
      <c r="CG56" s="173"/>
      <c r="CH56" s="173"/>
      <c r="CI56" s="173"/>
      <c r="CJ56" s="173"/>
      <c r="CK56" s="173"/>
      <c r="CL56" s="173"/>
      <c r="CM56" s="173"/>
      <c r="CN56" s="173"/>
      <c r="CO56" s="173"/>
      <c r="CP56" s="173"/>
      <c r="CQ56" s="173"/>
      <c r="CR56" s="173"/>
      <c r="CS56" s="173"/>
      <c r="CT56" s="173"/>
      <c r="CU56" s="173"/>
      <c r="CV56" s="173"/>
      <c r="CW56" s="173"/>
      <c r="CX56" s="173"/>
      <c r="CY56" s="151"/>
      <c r="CZ56" s="151"/>
      <c r="DA56" s="151"/>
      <c r="DB56" s="151"/>
      <c r="DC56" s="151"/>
      <c r="DD56" s="151"/>
      <c r="DE56" s="151"/>
      <c r="DF56" s="151"/>
      <c r="DG56" s="151"/>
      <c r="DH56" s="151"/>
      <c r="DI56" s="151"/>
      <c r="DJ56" s="151"/>
      <c r="DK56" s="151"/>
      <c r="DL56" s="151"/>
      <c r="DM56" s="151"/>
      <c r="DN56" s="151"/>
      <c r="DO56" s="151"/>
      <c r="DP56" s="151"/>
      <c r="DQ56" s="151"/>
      <c r="DR56" s="151"/>
      <c r="DS56" s="151"/>
      <c r="DT56" s="151"/>
      <c r="DU56" s="151"/>
      <c r="DV56" s="151"/>
      <c r="DW56" s="151"/>
      <c r="DX56" s="151"/>
      <c r="DY56" s="151"/>
      <c r="DZ56" s="151"/>
      <c r="EA56" s="151"/>
      <c r="EB56" s="151"/>
      <c r="EC56" s="151"/>
      <c r="ED56" s="151"/>
      <c r="EE56" s="151"/>
      <c r="EF56" s="151"/>
      <c r="EG56" s="151"/>
      <c r="EH56" s="151"/>
      <c r="EI56" s="151"/>
      <c r="EJ56" s="151"/>
      <c r="EK56" s="151"/>
      <c r="EL56" s="151"/>
      <c r="EM56" s="151"/>
      <c r="EN56" s="151"/>
      <c r="EO56" s="151"/>
      <c r="EP56" s="151"/>
      <c r="EQ56" s="151"/>
      <c r="ER56" s="151"/>
      <c r="ES56" s="151"/>
      <c r="ET56" s="151"/>
      <c r="EU56" s="151"/>
      <c r="EV56" s="151"/>
      <c r="EW56" s="151"/>
      <c r="EX56" s="151"/>
      <c r="EY56" s="151"/>
      <c r="EZ56" s="151"/>
      <c r="FA56" s="151"/>
      <c r="FB56" s="151"/>
      <c r="FC56" s="151"/>
      <c r="FD56" s="151"/>
      <c r="FE56" s="151"/>
      <c r="FF56" s="151"/>
      <c r="FG56" s="151"/>
      <c r="FH56" s="151"/>
      <c r="FI56" s="151"/>
      <c r="FJ56" s="151"/>
      <c r="FK56" s="151"/>
      <c r="FL56" s="151"/>
      <c r="FM56" s="151"/>
      <c r="FN56" s="151"/>
      <c r="FO56" s="151"/>
      <c r="FP56" s="151"/>
      <c r="FQ56" s="151"/>
      <c r="FR56" s="151"/>
      <c r="FS56" s="151"/>
      <c r="FT56" s="151"/>
      <c r="FU56" s="151"/>
      <c r="FV56" s="151"/>
      <c r="FW56" s="151"/>
      <c r="FX56" s="151"/>
      <c r="FY56" s="151"/>
      <c r="FZ56" s="151"/>
      <c r="GA56" s="151"/>
      <c r="GB56" s="151"/>
      <c r="GC56" s="151"/>
      <c r="GD56" s="151"/>
      <c r="GE56" s="151"/>
      <c r="GF56" s="151"/>
      <c r="GG56" s="152"/>
    </row>
    <row r="57" spans="1:189" ht="41.65" x14ac:dyDescent="0.35">
      <c r="A57" s="267" t="s">
        <v>684</v>
      </c>
      <c r="B57" s="221" t="s">
        <v>1063</v>
      </c>
      <c r="C57" s="221" t="s">
        <v>1096</v>
      </c>
      <c r="D57" s="222"/>
      <c r="E57" s="221" t="s">
        <v>301</v>
      </c>
      <c r="F57" s="221" t="s">
        <v>735</v>
      </c>
      <c r="G57" s="223">
        <v>2</v>
      </c>
      <c r="H57" s="224" t="s">
        <v>1326</v>
      </c>
      <c r="I57" s="225"/>
      <c r="J57" s="225"/>
      <c r="K57" s="225"/>
      <c r="L57" s="226">
        <v>46045</v>
      </c>
      <c r="M57" s="226">
        <v>46106</v>
      </c>
      <c r="N57" s="226">
        <v>46106</v>
      </c>
      <c r="O57" s="226">
        <v>46111</v>
      </c>
      <c r="P57" s="226">
        <v>46234</v>
      </c>
      <c r="Q57" s="227" t="s">
        <v>20</v>
      </c>
      <c r="R57" s="228"/>
      <c r="S57" s="228">
        <v>5500000</v>
      </c>
      <c r="T57" s="228">
        <v>5276959.3656000001</v>
      </c>
      <c r="U57" s="191">
        <f t="shared" ref="U57:U59" si="65">IF(Q57="",0,IF(T57="",0,+S57-T57))</f>
        <v>223040.63439999986</v>
      </c>
      <c r="V57" s="230"/>
      <c r="W57" s="231"/>
      <c r="X57" s="46"/>
      <c r="Y57" s="167">
        <f t="shared" ref="Y57:Y59" si="66">IF(G57=2,S57,0)</f>
        <v>5500000</v>
      </c>
      <c r="Z57" s="167">
        <f t="shared" ref="Z57:Z59" si="67">IF(Q57="",0,IF(G57=2,T57,0))</f>
        <v>5276959.3656000001</v>
      </c>
      <c r="AA57" s="167">
        <f t="shared" ref="AA57:AA59" si="68">Y57-Z57</f>
        <v>223040.63439999986</v>
      </c>
      <c r="AB57" s="167">
        <f t="shared" ref="AB57:AB59" si="69">IF(G57=1,S57,0)</f>
        <v>0</v>
      </c>
      <c r="AC57" s="167">
        <f t="shared" ref="AC57:AC59" si="70">IF(Q57="",0,IF(G57=1,T57,0))</f>
        <v>0</v>
      </c>
      <c r="AD57" s="167">
        <f t="shared" ref="AD57:AD59" si="71">AB57-AC57</f>
        <v>0</v>
      </c>
      <c r="AF57" s="180">
        <f t="shared" ref="AF57:AF59" si="72">IF(S57&lt;&gt;"",1,0)</f>
        <v>1</v>
      </c>
      <c r="AG57" s="202" t="str">
        <f t="shared" ref="AG57:AG59" si="73">B57&amp;" "&amp;F57</f>
        <v>Agnieszka Zając Construction of reinforced concrete foundations and underground structures</v>
      </c>
      <c r="AH57" s="153"/>
      <c r="AI57" s="154"/>
      <c r="AJ57" s="154"/>
      <c r="AK57" s="154"/>
      <c r="AL57" s="154"/>
      <c r="AM57" s="154"/>
      <c r="AN57" s="154"/>
      <c r="AO57" s="154"/>
      <c r="AP57" s="154"/>
      <c r="AQ57" s="154"/>
      <c r="AR57" s="154"/>
      <c r="AS57" s="154"/>
      <c r="AT57" s="154"/>
      <c r="AU57" s="154"/>
      <c r="AV57" s="154"/>
      <c r="AW57" s="154"/>
      <c r="AX57" s="154"/>
      <c r="AY57" s="154"/>
      <c r="AZ57" s="154"/>
      <c r="BA57" s="151"/>
      <c r="BB57" s="151"/>
      <c r="BC57" s="151"/>
      <c r="BD57" s="151"/>
      <c r="BE57" s="151"/>
      <c r="BF57" s="151"/>
      <c r="BG57" s="151"/>
      <c r="BH57" s="151"/>
      <c r="BI57" s="151"/>
      <c r="BJ57" s="151"/>
      <c r="BK57" s="151"/>
      <c r="BL57" s="151"/>
      <c r="BM57" s="151"/>
      <c r="BN57" s="151"/>
      <c r="BO57" s="151"/>
      <c r="BP57" s="151"/>
      <c r="BQ57" s="151"/>
      <c r="BR57" s="151"/>
      <c r="BS57" s="151"/>
      <c r="BT57" s="151"/>
      <c r="BU57" s="151"/>
      <c r="BV57" s="151"/>
      <c r="BW57" s="151"/>
      <c r="BX57" s="151"/>
      <c r="BY57" s="151"/>
      <c r="BZ57" s="151"/>
      <c r="CA57" s="151"/>
      <c r="CB57" s="151"/>
      <c r="CC57" s="151"/>
      <c r="CD57" s="151"/>
      <c r="CE57" s="151"/>
      <c r="CF57" s="151"/>
      <c r="CG57" s="151"/>
      <c r="CH57" s="151"/>
      <c r="CI57" s="151"/>
      <c r="CJ57" s="151"/>
      <c r="CK57" s="151"/>
      <c r="CL57" s="151"/>
      <c r="CM57" s="151"/>
      <c r="CN57" s="151"/>
      <c r="CO57" s="151"/>
      <c r="CP57" s="151"/>
      <c r="CQ57" s="151"/>
      <c r="CR57" s="151"/>
      <c r="CS57" s="151"/>
      <c r="CT57" s="151"/>
      <c r="CU57" s="151"/>
      <c r="CV57" s="151"/>
      <c r="CW57" s="151"/>
      <c r="CX57" s="151"/>
      <c r="CY57" s="151"/>
      <c r="CZ57" s="151"/>
      <c r="DA57" s="151"/>
      <c r="DB57" s="151"/>
      <c r="DC57" s="151"/>
      <c r="DD57" s="151"/>
      <c r="DE57" s="151"/>
      <c r="DF57" s="151"/>
      <c r="DG57" s="151"/>
      <c r="DH57" s="151"/>
      <c r="DI57" s="151"/>
      <c r="DJ57" s="151"/>
      <c r="DK57" s="151"/>
      <c r="DL57" s="151"/>
      <c r="DM57" s="151"/>
      <c r="DN57" s="151"/>
      <c r="DO57" s="151"/>
      <c r="DP57" s="151"/>
      <c r="DQ57" s="151"/>
      <c r="DR57" s="151"/>
      <c r="DS57" s="151"/>
      <c r="DT57" s="151"/>
      <c r="DU57" s="151"/>
      <c r="DV57" s="151"/>
      <c r="DW57" s="151"/>
      <c r="DX57" s="151"/>
      <c r="DY57" s="151"/>
      <c r="DZ57" s="151"/>
      <c r="EA57" s="151"/>
      <c r="EB57" s="151"/>
      <c r="EC57" s="151"/>
      <c r="ED57" s="151"/>
      <c r="EE57" s="151"/>
      <c r="EF57" s="151"/>
      <c r="EG57" s="151"/>
      <c r="EH57" s="151"/>
      <c r="EI57" s="151"/>
      <c r="EJ57" s="151"/>
      <c r="EK57" s="151"/>
      <c r="EL57" s="151"/>
      <c r="EM57" s="151"/>
      <c r="EN57" s="151"/>
      <c r="EO57" s="151"/>
      <c r="EP57" s="151"/>
      <c r="EQ57" s="151"/>
      <c r="ER57" s="151"/>
      <c r="ES57" s="151"/>
      <c r="ET57" s="151"/>
      <c r="EU57" s="151"/>
      <c r="EV57" s="151"/>
      <c r="EW57" s="151"/>
      <c r="EX57" s="151"/>
      <c r="EY57" s="151"/>
      <c r="EZ57" s="151"/>
      <c r="FA57" s="151"/>
      <c r="FB57" s="151"/>
      <c r="FC57" s="151"/>
      <c r="FD57" s="151"/>
      <c r="FE57" s="151"/>
      <c r="FF57" s="151"/>
      <c r="FG57" s="151"/>
      <c r="FH57" s="151"/>
      <c r="FI57" s="151"/>
      <c r="FJ57" s="151"/>
      <c r="FK57" s="151"/>
      <c r="FL57" s="151"/>
      <c r="FM57" s="151"/>
      <c r="FN57" s="151"/>
      <c r="FO57" s="151"/>
      <c r="FP57" s="151"/>
      <c r="FQ57" s="151"/>
      <c r="FR57" s="151"/>
      <c r="FS57" s="151"/>
      <c r="FT57" s="151"/>
      <c r="FU57" s="151"/>
      <c r="FV57" s="151"/>
      <c r="FW57" s="151"/>
      <c r="FX57" s="151"/>
      <c r="FY57" s="151"/>
      <c r="FZ57" s="151"/>
      <c r="GA57" s="151"/>
      <c r="GB57" s="151"/>
      <c r="GC57" s="151"/>
      <c r="GD57" s="151"/>
      <c r="GE57" s="151"/>
      <c r="GF57" s="151"/>
      <c r="GG57" s="152"/>
    </row>
    <row r="58" spans="1:189" ht="41.65" x14ac:dyDescent="0.35">
      <c r="A58" s="267" t="s">
        <v>1248</v>
      </c>
      <c r="B58" s="221"/>
      <c r="C58" s="221" t="s">
        <v>1096</v>
      </c>
      <c r="D58" s="222"/>
      <c r="E58" s="221" t="s">
        <v>1249</v>
      </c>
      <c r="F58" s="221" t="s">
        <v>1250</v>
      </c>
      <c r="G58" s="223">
        <v>2</v>
      </c>
      <c r="H58" s="224"/>
      <c r="I58" s="225"/>
      <c r="J58" s="225"/>
      <c r="K58" s="225"/>
      <c r="L58" s="226">
        <v>46173</v>
      </c>
      <c r="M58" s="226">
        <v>46201</v>
      </c>
      <c r="N58" s="226"/>
      <c r="O58" s="226">
        <v>46157</v>
      </c>
      <c r="P58" s="226">
        <v>46234</v>
      </c>
      <c r="Q58" s="227" t="s">
        <v>13</v>
      </c>
      <c r="R58" s="228"/>
      <c r="S58" s="228">
        <v>500000</v>
      </c>
      <c r="T58" s="228"/>
      <c r="U58" s="191">
        <f t="shared" si="65"/>
        <v>0</v>
      </c>
      <c r="V58" s="230"/>
      <c r="W58" s="231"/>
      <c r="X58" s="46"/>
      <c r="Y58" s="167">
        <f t="shared" si="66"/>
        <v>500000</v>
      </c>
      <c r="Z58" s="167">
        <f t="shared" si="67"/>
        <v>0</v>
      </c>
      <c r="AA58" s="167">
        <f t="shared" si="68"/>
        <v>500000</v>
      </c>
      <c r="AB58" s="167">
        <f t="shared" si="69"/>
        <v>0</v>
      </c>
      <c r="AC58" s="167">
        <f t="shared" si="70"/>
        <v>0</v>
      </c>
      <c r="AD58" s="167">
        <f t="shared" si="71"/>
        <v>0</v>
      </c>
      <c r="AF58" s="180">
        <f t="shared" si="72"/>
        <v>1</v>
      </c>
      <c r="AG58" s="202" t="str">
        <f t="shared" si="73"/>
        <v xml:space="preserve"> Execution of pre-wall insulation</v>
      </c>
      <c r="AH58" s="172"/>
      <c r="AI58" s="173"/>
      <c r="AJ58" s="173"/>
      <c r="AK58" s="173"/>
      <c r="AL58" s="173"/>
      <c r="AM58" s="173"/>
      <c r="AN58" s="173"/>
      <c r="AO58" s="173"/>
      <c r="AP58" s="173"/>
      <c r="AQ58" s="173"/>
      <c r="AR58" s="173"/>
      <c r="AS58" s="173"/>
      <c r="AT58" s="173"/>
      <c r="AU58" s="173"/>
      <c r="AV58" s="173"/>
      <c r="AW58" s="173"/>
      <c r="AX58" s="173"/>
      <c r="AY58" s="173"/>
      <c r="AZ58" s="173"/>
      <c r="BA58" s="173"/>
      <c r="BB58" s="173"/>
      <c r="BC58" s="173"/>
      <c r="BD58" s="173"/>
      <c r="BE58" s="173"/>
      <c r="BF58" s="173"/>
      <c r="BG58" s="173"/>
      <c r="BH58" s="173"/>
      <c r="BI58" s="173"/>
      <c r="BJ58" s="173"/>
      <c r="BK58" s="173"/>
      <c r="BL58" s="173"/>
      <c r="BM58" s="173"/>
      <c r="BN58" s="173"/>
      <c r="BO58" s="173"/>
      <c r="BP58" s="173"/>
      <c r="BQ58" s="173"/>
      <c r="BR58" s="173"/>
      <c r="BS58" s="173"/>
      <c r="BT58" s="173"/>
      <c r="BU58" s="173"/>
      <c r="BV58" s="173"/>
      <c r="BW58" s="173"/>
      <c r="BX58" s="173"/>
      <c r="BY58" s="173"/>
      <c r="BZ58" s="173"/>
      <c r="CA58" s="173"/>
      <c r="CB58" s="173"/>
      <c r="CC58" s="173"/>
      <c r="CD58" s="173"/>
      <c r="CE58" s="173"/>
      <c r="CF58" s="173"/>
      <c r="CG58" s="173"/>
      <c r="CH58" s="173"/>
      <c r="CI58" s="173"/>
      <c r="CJ58" s="173"/>
      <c r="CK58" s="173"/>
      <c r="CL58" s="173"/>
      <c r="CM58" s="173"/>
      <c r="CN58" s="173"/>
      <c r="CO58" s="173"/>
      <c r="CP58" s="173"/>
      <c r="CQ58" s="173"/>
      <c r="CR58" s="173"/>
      <c r="CS58" s="173"/>
      <c r="CT58" s="173"/>
      <c r="CU58" s="173"/>
      <c r="CV58" s="173"/>
      <c r="CW58" s="173"/>
      <c r="CX58" s="173"/>
      <c r="CY58" s="151"/>
      <c r="CZ58" s="151"/>
      <c r="DA58" s="151"/>
      <c r="DB58" s="151"/>
      <c r="DC58" s="151"/>
      <c r="DD58" s="151"/>
      <c r="DE58" s="151"/>
      <c r="DF58" s="151"/>
      <c r="DG58" s="151"/>
      <c r="DH58" s="151"/>
      <c r="DI58" s="151"/>
      <c r="DJ58" s="151"/>
      <c r="DK58" s="151"/>
      <c r="DL58" s="151"/>
      <c r="DM58" s="151"/>
      <c r="DN58" s="151"/>
      <c r="DO58" s="151"/>
      <c r="DP58" s="151"/>
      <c r="DQ58" s="151"/>
      <c r="DR58" s="151"/>
      <c r="DS58" s="151"/>
      <c r="DT58" s="151"/>
      <c r="DU58" s="151"/>
      <c r="DV58" s="151"/>
      <c r="DW58" s="151"/>
      <c r="DX58" s="151"/>
      <c r="DY58" s="151"/>
      <c r="DZ58" s="151"/>
      <c r="EA58" s="151"/>
      <c r="EB58" s="151"/>
      <c r="EC58" s="151"/>
      <c r="ED58" s="151"/>
      <c r="EE58" s="151"/>
      <c r="EF58" s="151"/>
      <c r="EG58" s="151"/>
      <c r="EH58" s="151"/>
      <c r="EI58" s="151"/>
      <c r="EJ58" s="151"/>
      <c r="EK58" s="151"/>
      <c r="EL58" s="151"/>
      <c r="EM58" s="151"/>
      <c r="EN58" s="151"/>
      <c r="EO58" s="151"/>
      <c r="EP58" s="151"/>
      <c r="EQ58" s="151"/>
      <c r="ER58" s="151"/>
      <c r="ES58" s="151"/>
      <c r="ET58" s="151"/>
      <c r="EU58" s="151"/>
      <c r="EV58" s="151"/>
      <c r="EW58" s="151"/>
      <c r="EX58" s="151"/>
      <c r="EY58" s="151"/>
      <c r="EZ58" s="151"/>
      <c r="FA58" s="151"/>
      <c r="FB58" s="151"/>
      <c r="FC58" s="151"/>
      <c r="FD58" s="151"/>
      <c r="FE58" s="151"/>
      <c r="FF58" s="151"/>
      <c r="FG58" s="151"/>
      <c r="FH58" s="151"/>
      <c r="FI58" s="151"/>
      <c r="FJ58" s="151"/>
      <c r="FK58" s="151"/>
      <c r="FL58" s="151"/>
      <c r="FM58" s="151"/>
      <c r="FN58" s="151"/>
      <c r="FO58" s="151"/>
      <c r="FP58" s="151"/>
      <c r="FQ58" s="151"/>
      <c r="FR58" s="151"/>
      <c r="FS58" s="151"/>
      <c r="FT58" s="151"/>
      <c r="FU58" s="151"/>
      <c r="FV58" s="151"/>
      <c r="FW58" s="151"/>
      <c r="FX58" s="151"/>
      <c r="FY58" s="151"/>
      <c r="FZ58" s="151"/>
      <c r="GA58" s="151"/>
      <c r="GB58" s="151"/>
      <c r="GC58" s="151"/>
      <c r="GD58" s="151"/>
      <c r="GE58" s="151"/>
      <c r="GF58" s="151"/>
      <c r="GG58" s="152"/>
    </row>
    <row r="59" spans="1:189" ht="41.65" x14ac:dyDescent="0.35">
      <c r="A59" s="267" t="s">
        <v>1285</v>
      </c>
      <c r="B59" s="221"/>
      <c r="C59" s="221"/>
      <c r="D59" s="222"/>
      <c r="E59" s="221" t="s">
        <v>1287</v>
      </c>
      <c r="F59" s="221" t="s">
        <v>1286</v>
      </c>
      <c r="G59" s="223">
        <v>2</v>
      </c>
      <c r="H59" s="224" t="s">
        <v>1284</v>
      </c>
      <c r="I59" s="225"/>
      <c r="J59" s="225"/>
      <c r="K59" s="225"/>
      <c r="L59" s="226">
        <v>46023</v>
      </c>
      <c r="M59" s="226">
        <v>46063</v>
      </c>
      <c r="N59" s="226">
        <v>46063</v>
      </c>
      <c r="O59" s="226">
        <v>46063</v>
      </c>
      <c r="P59" s="226">
        <v>46934</v>
      </c>
      <c r="Q59" s="227" t="s">
        <v>20</v>
      </c>
      <c r="R59" s="228"/>
      <c r="S59" s="228">
        <v>132060</v>
      </c>
      <c r="T59" s="228">
        <v>132060</v>
      </c>
      <c r="U59" s="191">
        <f t="shared" si="65"/>
        <v>0</v>
      </c>
      <c r="V59" s="230"/>
      <c r="W59" s="231"/>
      <c r="X59" s="46"/>
      <c r="Y59" s="167">
        <f t="shared" si="66"/>
        <v>132060</v>
      </c>
      <c r="Z59" s="167">
        <f t="shared" si="67"/>
        <v>132060</v>
      </c>
      <c r="AA59" s="167">
        <f t="shared" si="68"/>
        <v>0</v>
      </c>
      <c r="AB59" s="167">
        <f t="shared" si="69"/>
        <v>0</v>
      </c>
      <c r="AC59" s="167">
        <f t="shared" si="70"/>
        <v>0</v>
      </c>
      <c r="AD59" s="167">
        <f t="shared" si="71"/>
        <v>0</v>
      </c>
      <c r="AF59" s="47">
        <f t="shared" si="72"/>
        <v>1</v>
      </c>
      <c r="AG59" s="202" t="str">
        <f t="shared" si="73"/>
        <v xml:space="preserve"> Laboratory services - testing of concrete mix and hardened concrete ECd_31</v>
      </c>
      <c r="AH59" s="147"/>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c r="EF59" s="148"/>
      <c r="EG59" s="148"/>
      <c r="EH59" s="148"/>
      <c r="EI59" s="148"/>
      <c r="EJ59" s="148"/>
      <c r="EK59" s="148"/>
      <c r="EL59" s="148"/>
      <c r="EM59" s="148"/>
      <c r="EN59" s="148"/>
      <c r="EO59" s="148"/>
      <c r="EP59" s="148"/>
      <c r="EQ59" s="148"/>
      <c r="ER59" s="148"/>
      <c r="ES59" s="148"/>
      <c r="ET59" s="148"/>
      <c r="EU59" s="148"/>
      <c r="EV59" s="148"/>
      <c r="EW59" s="148"/>
      <c r="EX59" s="148"/>
      <c r="EY59" s="148"/>
      <c r="EZ59" s="148"/>
      <c r="FA59" s="148"/>
      <c r="FB59" s="148"/>
      <c r="FC59" s="148"/>
      <c r="FD59" s="148"/>
      <c r="FE59" s="148"/>
      <c r="FF59" s="148"/>
      <c r="FG59" s="148"/>
      <c r="FH59" s="148"/>
      <c r="FI59" s="148"/>
      <c r="FJ59" s="148"/>
      <c r="FK59" s="148"/>
      <c r="FL59" s="148"/>
      <c r="FM59" s="148"/>
      <c r="FN59" s="148"/>
      <c r="FO59" s="148"/>
      <c r="FP59" s="148"/>
      <c r="FQ59" s="148"/>
      <c r="FR59" s="148"/>
      <c r="FS59" s="148"/>
      <c r="FT59" s="148"/>
      <c r="FU59" s="148"/>
      <c r="FV59" s="148"/>
      <c r="FW59" s="148"/>
      <c r="FX59" s="148"/>
      <c r="FY59" s="148"/>
      <c r="FZ59" s="148"/>
      <c r="GA59" s="148"/>
      <c r="GB59" s="148"/>
      <c r="GC59" s="148"/>
      <c r="GD59" s="148"/>
      <c r="GE59" s="148"/>
      <c r="GF59" s="148"/>
      <c r="GG59" s="149"/>
    </row>
    <row r="60" spans="1:189" ht="42.6" customHeight="1" x14ac:dyDescent="0.35">
      <c r="A60" s="249" t="s">
        <v>680</v>
      </c>
      <c r="B60" s="248"/>
      <c r="C60" s="248"/>
      <c r="D60" s="249"/>
      <c r="E60" s="248" t="s">
        <v>275</v>
      </c>
      <c r="F60" s="248" t="s">
        <v>736</v>
      </c>
      <c r="G60" s="250">
        <v>2</v>
      </c>
      <c r="H60" s="251"/>
      <c r="I60" s="252"/>
      <c r="J60" s="252"/>
      <c r="K60" s="252"/>
      <c r="L60" s="253"/>
      <c r="M60" s="253"/>
      <c r="N60" s="253"/>
      <c r="O60" s="253"/>
      <c r="P60" s="253"/>
      <c r="Q60" s="254"/>
      <c r="R60" s="255"/>
      <c r="S60" s="255"/>
      <c r="T60" s="255"/>
      <c r="U60" s="191">
        <f t="shared" si="28"/>
        <v>0</v>
      </c>
      <c r="V60" s="246"/>
      <c r="W60" s="247"/>
      <c r="X60" s="46"/>
      <c r="Y60" s="167">
        <f t="shared" si="22"/>
        <v>0</v>
      </c>
      <c r="Z60" s="167">
        <f t="shared" si="23"/>
        <v>0</v>
      </c>
      <c r="AA60" s="167">
        <f t="shared" si="24"/>
        <v>0</v>
      </c>
      <c r="AB60" s="167">
        <f t="shared" si="25"/>
        <v>0</v>
      </c>
      <c r="AC60" s="167">
        <f t="shared" si="26"/>
        <v>0</v>
      </c>
      <c r="AD60" s="167">
        <f t="shared" si="27"/>
        <v>0</v>
      </c>
      <c r="AF60" s="47">
        <f t="shared" si="21"/>
        <v>0</v>
      </c>
      <c r="AG60" s="202" t="str">
        <f t="shared" si="13"/>
        <v xml:space="preserve"> Reinforced concrete structure of the above-ground part, including prefabricated elements</v>
      </c>
      <c r="AH60" s="172"/>
      <c r="AI60" s="173"/>
      <c r="AJ60" s="173"/>
      <c r="AK60" s="173"/>
      <c r="AL60" s="173"/>
      <c r="AM60" s="173"/>
      <c r="AN60" s="173"/>
      <c r="AO60" s="173"/>
      <c r="AP60" s="173"/>
      <c r="AQ60" s="173"/>
      <c r="AR60" s="173"/>
      <c r="AS60" s="173"/>
      <c r="AT60" s="173"/>
      <c r="AU60" s="173"/>
      <c r="AV60" s="173"/>
      <c r="AW60" s="173"/>
      <c r="AX60" s="173"/>
      <c r="AY60" s="173"/>
      <c r="AZ60" s="173"/>
      <c r="BA60" s="173"/>
      <c r="BB60" s="173"/>
      <c r="BC60" s="173"/>
      <c r="BD60" s="173"/>
      <c r="BE60" s="173"/>
      <c r="BF60" s="173"/>
      <c r="BG60" s="173"/>
      <c r="BH60" s="173"/>
      <c r="BI60" s="173"/>
      <c r="BJ60" s="173"/>
      <c r="BK60" s="173"/>
      <c r="BL60" s="173"/>
      <c r="BM60" s="173"/>
      <c r="BN60" s="173"/>
      <c r="BO60" s="173"/>
      <c r="BP60" s="173"/>
      <c r="BQ60" s="173"/>
      <c r="BR60" s="173"/>
      <c r="BS60" s="173"/>
      <c r="BT60" s="173"/>
      <c r="BU60" s="173"/>
      <c r="BV60" s="173"/>
      <c r="BW60" s="173"/>
      <c r="BX60" s="173"/>
      <c r="BY60" s="173"/>
      <c r="BZ60" s="173"/>
      <c r="CA60" s="173"/>
      <c r="CB60" s="173"/>
      <c r="CC60" s="173"/>
      <c r="CD60" s="173"/>
      <c r="CE60" s="173"/>
      <c r="CF60" s="173"/>
      <c r="CG60" s="173"/>
      <c r="CH60" s="173"/>
      <c r="CI60" s="173"/>
      <c r="CJ60" s="173"/>
      <c r="CK60" s="173"/>
      <c r="CL60" s="173"/>
      <c r="CM60" s="173"/>
      <c r="CN60" s="173"/>
      <c r="CO60" s="173"/>
      <c r="CP60" s="173"/>
      <c r="CQ60" s="173"/>
      <c r="CR60" s="173"/>
      <c r="CS60" s="173"/>
      <c r="CT60" s="173"/>
      <c r="CU60" s="173"/>
      <c r="CV60" s="173"/>
      <c r="CW60" s="173"/>
      <c r="CX60" s="173"/>
      <c r="CY60" s="151"/>
      <c r="CZ60" s="151"/>
      <c r="DA60" s="151"/>
      <c r="DB60" s="151"/>
      <c r="DC60" s="151"/>
      <c r="DD60" s="151"/>
      <c r="DE60" s="151"/>
      <c r="DF60" s="151"/>
      <c r="DG60" s="151"/>
      <c r="DH60" s="151"/>
      <c r="DI60" s="151"/>
      <c r="DJ60" s="151"/>
      <c r="DK60" s="151"/>
      <c r="DL60" s="151"/>
      <c r="DM60" s="151"/>
      <c r="DN60" s="151"/>
      <c r="DO60" s="151"/>
      <c r="DP60" s="151"/>
      <c r="DQ60" s="151"/>
      <c r="DR60" s="151"/>
      <c r="DS60" s="151"/>
      <c r="DT60" s="151"/>
      <c r="DU60" s="151"/>
      <c r="DV60" s="151"/>
      <c r="DW60" s="151"/>
      <c r="DX60" s="151"/>
      <c r="DY60" s="151"/>
      <c r="DZ60" s="151"/>
      <c r="EA60" s="151"/>
      <c r="EB60" s="151"/>
      <c r="EC60" s="151"/>
      <c r="ED60" s="151"/>
      <c r="EE60" s="151"/>
      <c r="EF60" s="151"/>
      <c r="EG60" s="151"/>
      <c r="EH60" s="151"/>
      <c r="EI60" s="151"/>
      <c r="EJ60" s="151"/>
      <c r="EK60" s="151"/>
      <c r="EL60" s="151"/>
      <c r="EM60" s="151"/>
      <c r="EN60" s="151"/>
      <c r="EO60" s="151"/>
      <c r="EP60" s="151"/>
      <c r="EQ60" s="151"/>
      <c r="ER60" s="151"/>
      <c r="ES60" s="151"/>
      <c r="ET60" s="151"/>
      <c r="EU60" s="151"/>
      <c r="EV60" s="151"/>
      <c r="EW60" s="151"/>
      <c r="EX60" s="151"/>
      <c r="EY60" s="151"/>
      <c r="EZ60" s="151"/>
      <c r="FA60" s="151"/>
      <c r="FB60" s="151"/>
      <c r="FC60" s="151"/>
      <c r="FD60" s="151"/>
      <c r="FE60" s="151"/>
      <c r="FF60" s="151"/>
      <c r="FG60" s="151"/>
      <c r="FH60" s="151"/>
      <c r="FI60" s="151"/>
      <c r="FJ60" s="151"/>
      <c r="FK60" s="151"/>
      <c r="FL60" s="151"/>
      <c r="FM60" s="151"/>
      <c r="FN60" s="151"/>
      <c r="FO60" s="151"/>
      <c r="FP60" s="151"/>
      <c r="FQ60" s="151"/>
      <c r="FR60" s="151"/>
      <c r="FS60" s="151"/>
      <c r="FT60" s="151"/>
      <c r="FU60" s="151"/>
      <c r="FV60" s="151"/>
      <c r="FW60" s="151"/>
      <c r="FX60" s="151"/>
      <c r="FY60" s="151"/>
      <c r="FZ60" s="151"/>
      <c r="GA60" s="151"/>
      <c r="GB60" s="151"/>
      <c r="GC60" s="151"/>
      <c r="GD60" s="151"/>
      <c r="GE60" s="151"/>
      <c r="GF60" s="151"/>
      <c r="GG60" s="152"/>
    </row>
    <row r="61" spans="1:189" ht="55.5" x14ac:dyDescent="0.35">
      <c r="A61" s="281" t="s">
        <v>685</v>
      </c>
      <c r="B61" s="282" t="s">
        <v>1070</v>
      </c>
      <c r="C61" s="282" t="s">
        <v>1113</v>
      </c>
      <c r="D61" s="283"/>
      <c r="E61" s="282" t="s">
        <v>774</v>
      </c>
      <c r="F61" s="282" t="s">
        <v>778</v>
      </c>
      <c r="G61" s="284">
        <v>2</v>
      </c>
      <c r="H61" s="285" t="s">
        <v>1106</v>
      </c>
      <c r="I61" s="286"/>
      <c r="J61" s="286"/>
      <c r="K61" s="286"/>
      <c r="L61" s="287">
        <v>45995</v>
      </c>
      <c r="M61" s="287">
        <v>46053</v>
      </c>
      <c r="N61" s="287">
        <v>46106</v>
      </c>
      <c r="O61" s="287">
        <v>46054</v>
      </c>
      <c r="P61" s="287">
        <v>46234</v>
      </c>
      <c r="Q61" s="288" t="s">
        <v>20</v>
      </c>
      <c r="R61" s="289">
        <v>18708793.991343223</v>
      </c>
      <c r="S61" s="289">
        <v>18708793.991343223</v>
      </c>
      <c r="T61" s="289">
        <v>16616880</v>
      </c>
      <c r="U61" s="191">
        <f t="shared" ref="U61:U66" si="74">IF(Q61="",0,IF(T61="",0,+S61-T61))</f>
        <v>2091913.9913432226</v>
      </c>
      <c r="V61" s="291"/>
      <c r="W61" s="292"/>
      <c r="X61" s="46"/>
      <c r="Y61" s="167">
        <f t="shared" ref="Y61:Y66" si="75">IF(G61=2,S61,0)</f>
        <v>18708793.991343223</v>
      </c>
      <c r="Z61" s="167">
        <f t="shared" ref="Z61:Z66" si="76">IF(Q61="",0,IF(G61=2,T61,0))</f>
        <v>16616880</v>
      </c>
      <c r="AA61" s="167">
        <f t="shared" ref="AA61:AA66" si="77">Y61-Z61</f>
        <v>2091913.9913432226</v>
      </c>
      <c r="AB61" s="167">
        <f t="shared" ref="AB61:AB66" si="78">IF(G61=1,S61,0)</f>
        <v>0</v>
      </c>
      <c r="AC61" s="167">
        <f t="shared" ref="AC61:AC66" si="79">IF(Q61="",0,IF(G61=1,T61,0))</f>
        <v>0</v>
      </c>
      <c r="AD61" s="167">
        <f t="shared" ref="AD61:AD66" si="80">AB61-AC61</f>
        <v>0</v>
      </c>
      <c r="AF61" s="180">
        <f t="shared" ref="AF61:AF66" si="81">IF(S61&lt;&gt;"",1,0)</f>
        <v>1</v>
      </c>
      <c r="AG61" s="202" t="str">
        <f t="shared" ref="AG61:AG66" si="82">B61&amp;" "&amp;F61</f>
        <v>Jan Szczubiał Reinforced concrete structure of the above-ground part of the B1 building - delivery and assembly of prefabricated elements</v>
      </c>
      <c r="AH61" s="153"/>
      <c r="AI61" s="154"/>
      <c r="AJ61" s="154"/>
      <c r="AK61" s="154"/>
      <c r="AL61" s="154"/>
      <c r="AM61" s="154"/>
      <c r="AN61" s="154"/>
      <c r="AO61" s="154"/>
      <c r="AP61" s="154"/>
      <c r="AQ61" s="154"/>
      <c r="AR61" s="154"/>
      <c r="AS61" s="154"/>
      <c r="AT61" s="154"/>
      <c r="AU61" s="154"/>
      <c r="AV61" s="154"/>
      <c r="AW61" s="154"/>
      <c r="AX61" s="154"/>
      <c r="AY61" s="154"/>
      <c r="AZ61" s="154"/>
      <c r="BA61" s="151"/>
      <c r="BB61" s="151"/>
      <c r="BC61" s="151"/>
      <c r="BD61" s="151"/>
      <c r="BE61" s="151"/>
      <c r="BF61" s="151"/>
      <c r="BG61" s="151"/>
      <c r="BH61" s="151"/>
      <c r="BI61" s="151"/>
      <c r="BJ61" s="151"/>
      <c r="BK61" s="151"/>
      <c r="BL61" s="151"/>
      <c r="BM61" s="151"/>
      <c r="BN61" s="151"/>
      <c r="BO61" s="151"/>
      <c r="BP61" s="151"/>
      <c r="BQ61" s="151"/>
      <c r="BR61" s="151"/>
      <c r="BS61" s="151"/>
      <c r="BT61" s="151"/>
      <c r="BU61" s="151"/>
      <c r="BV61" s="151"/>
      <c r="BW61" s="151"/>
      <c r="BX61" s="151"/>
      <c r="BY61" s="151"/>
      <c r="BZ61" s="151"/>
      <c r="CA61" s="151"/>
      <c r="CB61" s="151"/>
      <c r="CC61" s="151"/>
      <c r="CD61" s="151"/>
      <c r="CE61" s="151"/>
      <c r="CF61" s="151"/>
      <c r="CG61" s="151"/>
      <c r="CH61" s="151"/>
      <c r="CI61" s="151"/>
      <c r="CJ61" s="151"/>
      <c r="CK61" s="151"/>
      <c r="CL61" s="151"/>
      <c r="CM61" s="151"/>
      <c r="CN61" s="151"/>
      <c r="CO61" s="151"/>
      <c r="CP61" s="151"/>
      <c r="CQ61" s="151"/>
      <c r="CR61" s="151"/>
      <c r="CS61" s="151"/>
      <c r="CT61" s="151"/>
      <c r="CU61" s="151"/>
      <c r="CV61" s="151"/>
      <c r="CW61" s="151"/>
      <c r="CX61" s="151"/>
      <c r="CY61" s="151"/>
      <c r="CZ61" s="151"/>
      <c r="DA61" s="151"/>
      <c r="DB61" s="151"/>
      <c r="DC61" s="151"/>
      <c r="DD61" s="151"/>
      <c r="DE61" s="151"/>
      <c r="DF61" s="151"/>
      <c r="DG61" s="151"/>
      <c r="DH61" s="151"/>
      <c r="DI61" s="151"/>
      <c r="DJ61" s="151"/>
      <c r="DK61" s="151"/>
      <c r="DL61" s="151"/>
      <c r="DM61" s="151"/>
      <c r="DN61" s="151"/>
      <c r="DO61" s="151"/>
      <c r="DP61" s="151"/>
      <c r="DQ61" s="151"/>
      <c r="DR61" s="151"/>
      <c r="DS61" s="151"/>
      <c r="DT61" s="151"/>
      <c r="DU61" s="151"/>
      <c r="DV61" s="151"/>
      <c r="DW61" s="151"/>
      <c r="DX61" s="151"/>
      <c r="DY61" s="151"/>
      <c r="DZ61" s="151"/>
      <c r="EA61" s="151"/>
      <c r="EB61" s="151"/>
      <c r="EC61" s="151"/>
      <c r="ED61" s="151"/>
      <c r="EE61" s="151"/>
      <c r="EF61" s="151"/>
      <c r="EG61" s="151"/>
      <c r="EH61" s="151"/>
      <c r="EI61" s="151"/>
      <c r="EJ61" s="151"/>
      <c r="EK61" s="151"/>
      <c r="EL61" s="151"/>
      <c r="EM61" s="151"/>
      <c r="EN61" s="151"/>
      <c r="EO61" s="151"/>
      <c r="EP61" s="151"/>
      <c r="EQ61" s="151"/>
      <c r="ER61" s="151"/>
      <c r="ES61" s="151"/>
      <c r="ET61" s="151"/>
      <c r="EU61" s="151"/>
      <c r="EV61" s="151"/>
      <c r="EW61" s="151"/>
      <c r="EX61" s="151"/>
      <c r="EY61" s="151"/>
      <c r="EZ61" s="151"/>
      <c r="FA61" s="151"/>
      <c r="FB61" s="151"/>
      <c r="FC61" s="151"/>
      <c r="FD61" s="151"/>
      <c r="FE61" s="151"/>
      <c r="FF61" s="151"/>
      <c r="FG61" s="151"/>
      <c r="FH61" s="151"/>
      <c r="FI61" s="151"/>
      <c r="FJ61" s="151"/>
      <c r="FK61" s="151"/>
      <c r="FL61" s="151"/>
      <c r="FM61" s="151"/>
      <c r="FN61" s="151"/>
      <c r="FO61" s="151"/>
      <c r="FP61" s="151"/>
      <c r="FQ61" s="151"/>
      <c r="FR61" s="151"/>
      <c r="FS61" s="151"/>
      <c r="FT61" s="151"/>
      <c r="FU61" s="151"/>
      <c r="FV61" s="151"/>
      <c r="FW61" s="151"/>
      <c r="FX61" s="151"/>
      <c r="FY61" s="151"/>
      <c r="FZ61" s="151"/>
      <c r="GA61" s="151"/>
      <c r="GB61" s="151"/>
      <c r="GC61" s="151"/>
      <c r="GD61" s="151"/>
      <c r="GE61" s="151"/>
      <c r="GF61" s="151"/>
      <c r="GG61" s="152"/>
    </row>
    <row r="62" spans="1:189" ht="55.5" x14ac:dyDescent="0.35">
      <c r="A62" s="281" t="s">
        <v>682</v>
      </c>
      <c r="B62" s="282" t="s">
        <v>1063</v>
      </c>
      <c r="C62" s="282" t="s">
        <v>1096</v>
      </c>
      <c r="D62" s="283"/>
      <c r="E62" s="282" t="s">
        <v>775</v>
      </c>
      <c r="F62" s="282" t="s">
        <v>779</v>
      </c>
      <c r="G62" s="284">
        <v>2</v>
      </c>
      <c r="H62" s="285"/>
      <c r="I62" s="286"/>
      <c r="J62" s="286"/>
      <c r="K62" s="286"/>
      <c r="L62" s="287"/>
      <c r="M62" s="287"/>
      <c r="N62" s="287"/>
      <c r="O62" s="287">
        <v>46073</v>
      </c>
      <c r="P62" s="287">
        <v>46234</v>
      </c>
      <c r="Q62" s="288" t="s">
        <v>11</v>
      </c>
      <c r="R62" s="289">
        <v>3426647.64194101</v>
      </c>
      <c r="S62" s="289">
        <f>3426647.64194101-SUM(S63:S66)</f>
        <v>591078.21194101032</v>
      </c>
      <c r="T62" s="289"/>
      <c r="U62" s="191">
        <f t="shared" si="74"/>
        <v>0</v>
      </c>
      <c r="V62" s="291"/>
      <c r="W62" s="292"/>
      <c r="X62" s="46"/>
      <c r="Y62" s="167">
        <f t="shared" si="75"/>
        <v>591078.21194101032</v>
      </c>
      <c r="Z62" s="167">
        <f t="shared" si="76"/>
        <v>0</v>
      </c>
      <c r="AA62" s="167">
        <f t="shared" si="77"/>
        <v>591078.21194101032</v>
      </c>
      <c r="AB62" s="167">
        <f t="shared" si="78"/>
        <v>0</v>
      </c>
      <c r="AC62" s="167">
        <f t="shared" si="79"/>
        <v>0</v>
      </c>
      <c r="AD62" s="167">
        <f t="shared" si="80"/>
        <v>0</v>
      </c>
      <c r="AF62" s="180">
        <f t="shared" si="81"/>
        <v>1</v>
      </c>
      <c r="AG62" s="202" t="str">
        <f t="shared" si="82"/>
        <v>Agnieszka Zając Reinforced concrete structure of the above-ground part of the remaining buildings, including prefabricated elements</v>
      </c>
      <c r="AH62" s="172"/>
      <c r="AI62" s="173"/>
      <c r="AJ62" s="173"/>
      <c r="AK62" s="173"/>
      <c r="AL62" s="173"/>
      <c r="AM62" s="173"/>
      <c r="AN62" s="173"/>
      <c r="AO62" s="173"/>
      <c r="AP62" s="173"/>
      <c r="AQ62" s="173"/>
      <c r="AR62" s="173"/>
      <c r="AS62" s="173"/>
      <c r="AT62" s="173"/>
      <c r="AU62" s="173"/>
      <c r="AV62" s="173"/>
      <c r="AW62" s="173"/>
      <c r="AX62" s="173"/>
      <c r="AY62" s="173"/>
      <c r="AZ62" s="173"/>
      <c r="BA62" s="173"/>
      <c r="BB62" s="173"/>
      <c r="BC62" s="173"/>
      <c r="BD62" s="173"/>
      <c r="BE62" s="173"/>
      <c r="BF62" s="173"/>
      <c r="BG62" s="173"/>
      <c r="BH62" s="173"/>
      <c r="BI62" s="173"/>
      <c r="BJ62" s="173"/>
      <c r="BK62" s="173"/>
      <c r="BL62" s="173"/>
      <c r="BM62" s="173"/>
      <c r="BN62" s="173"/>
      <c r="BO62" s="173"/>
      <c r="BP62" s="173"/>
      <c r="BQ62" s="173"/>
      <c r="BR62" s="173"/>
      <c r="BS62" s="173"/>
      <c r="BT62" s="173"/>
      <c r="BU62" s="173"/>
      <c r="BV62" s="173"/>
      <c r="BW62" s="173"/>
      <c r="BX62" s="173"/>
      <c r="BY62" s="173"/>
      <c r="BZ62" s="173"/>
      <c r="CA62" s="173"/>
      <c r="CB62" s="173"/>
      <c r="CC62" s="173"/>
      <c r="CD62" s="173"/>
      <c r="CE62" s="173"/>
      <c r="CF62" s="173"/>
      <c r="CG62" s="173"/>
      <c r="CH62" s="173"/>
      <c r="CI62" s="173"/>
      <c r="CJ62" s="173"/>
      <c r="CK62" s="173"/>
      <c r="CL62" s="173"/>
      <c r="CM62" s="173"/>
      <c r="CN62" s="173"/>
      <c r="CO62" s="173"/>
      <c r="CP62" s="173"/>
      <c r="CQ62" s="173"/>
      <c r="CR62" s="173"/>
      <c r="CS62" s="173"/>
      <c r="CT62" s="173"/>
      <c r="CU62" s="173"/>
      <c r="CV62" s="173"/>
      <c r="CW62" s="173"/>
      <c r="CX62" s="173"/>
      <c r="CY62" s="151"/>
      <c r="CZ62" s="151"/>
      <c r="DA62" s="151"/>
      <c r="DB62" s="151"/>
      <c r="DC62" s="151"/>
      <c r="DD62" s="151"/>
      <c r="DE62" s="151"/>
      <c r="DF62" s="151"/>
      <c r="DG62" s="151"/>
      <c r="DH62" s="151"/>
      <c r="DI62" s="151"/>
      <c r="DJ62" s="151"/>
      <c r="DK62" s="151"/>
      <c r="DL62" s="151"/>
      <c r="DM62" s="151"/>
      <c r="DN62" s="151"/>
      <c r="DO62" s="151"/>
      <c r="DP62" s="151"/>
      <c r="DQ62" s="151"/>
      <c r="DR62" s="151"/>
      <c r="DS62" s="151"/>
      <c r="DT62" s="151"/>
      <c r="DU62" s="151"/>
      <c r="DV62" s="151"/>
      <c r="DW62" s="151"/>
      <c r="DX62" s="151"/>
      <c r="DY62" s="151"/>
      <c r="DZ62" s="151"/>
      <c r="EA62" s="151"/>
      <c r="EB62" s="151"/>
      <c r="EC62" s="151"/>
      <c r="ED62" s="151"/>
      <c r="EE62" s="151"/>
      <c r="EF62" s="151"/>
      <c r="EG62" s="151"/>
      <c r="EH62" s="151"/>
      <c r="EI62" s="151"/>
      <c r="EJ62" s="151"/>
      <c r="EK62" s="151"/>
      <c r="EL62" s="151"/>
      <c r="EM62" s="151"/>
      <c r="EN62" s="151"/>
      <c r="EO62" s="151"/>
      <c r="EP62" s="151"/>
      <c r="EQ62" s="151"/>
      <c r="ER62" s="151"/>
      <c r="ES62" s="151"/>
      <c r="ET62" s="151"/>
      <c r="EU62" s="151"/>
      <c r="EV62" s="151"/>
      <c r="EW62" s="151"/>
      <c r="EX62" s="151"/>
      <c r="EY62" s="151"/>
      <c r="EZ62" s="151"/>
      <c r="FA62" s="151"/>
      <c r="FB62" s="151"/>
      <c r="FC62" s="151"/>
      <c r="FD62" s="151"/>
      <c r="FE62" s="151"/>
      <c r="FF62" s="151"/>
      <c r="FG62" s="151"/>
      <c r="FH62" s="151"/>
      <c r="FI62" s="151"/>
      <c r="FJ62" s="151"/>
      <c r="FK62" s="151"/>
      <c r="FL62" s="151"/>
      <c r="FM62" s="151"/>
      <c r="FN62" s="151"/>
      <c r="FO62" s="151"/>
      <c r="FP62" s="151"/>
      <c r="FQ62" s="151"/>
      <c r="FR62" s="151"/>
      <c r="FS62" s="151"/>
      <c r="FT62" s="151"/>
      <c r="FU62" s="151"/>
      <c r="FV62" s="151"/>
      <c r="FW62" s="151"/>
      <c r="FX62" s="151"/>
      <c r="FY62" s="151"/>
      <c r="FZ62" s="151"/>
      <c r="GA62" s="151"/>
      <c r="GB62" s="151"/>
      <c r="GC62" s="151"/>
      <c r="GD62" s="151"/>
      <c r="GE62" s="151"/>
      <c r="GF62" s="151"/>
      <c r="GG62" s="152"/>
    </row>
    <row r="63" spans="1:189" ht="27.75" x14ac:dyDescent="0.35">
      <c r="A63" s="267" t="s">
        <v>1107</v>
      </c>
      <c r="B63" s="221" t="s">
        <v>1068</v>
      </c>
      <c r="C63" s="221" t="s">
        <v>1113</v>
      </c>
      <c r="D63" s="222"/>
      <c r="E63" s="221" t="s">
        <v>300</v>
      </c>
      <c r="F63" s="221" t="s">
        <v>734</v>
      </c>
      <c r="G63" s="223">
        <v>1</v>
      </c>
      <c r="H63" s="224" t="s">
        <v>874</v>
      </c>
      <c r="I63" s="225"/>
      <c r="J63" s="225"/>
      <c r="K63" s="225"/>
      <c r="L63" s="226">
        <v>45995</v>
      </c>
      <c r="M63" s="226">
        <v>46022</v>
      </c>
      <c r="N63" s="226">
        <v>46022</v>
      </c>
      <c r="O63" s="226">
        <v>46073</v>
      </c>
      <c r="P63" s="226">
        <v>46234</v>
      </c>
      <c r="Q63" s="227" t="s">
        <v>23</v>
      </c>
      <c r="R63" s="228"/>
      <c r="S63" s="228">
        <v>219700</v>
      </c>
      <c r="T63" s="228">
        <v>219700</v>
      </c>
      <c r="U63" s="191">
        <f t="shared" si="74"/>
        <v>0</v>
      </c>
      <c r="V63" s="230"/>
      <c r="W63" s="231"/>
      <c r="X63" s="46"/>
      <c r="Y63" s="167">
        <f t="shared" si="75"/>
        <v>0</v>
      </c>
      <c r="Z63" s="167">
        <f t="shared" si="76"/>
        <v>0</v>
      </c>
      <c r="AA63" s="167">
        <f t="shared" si="77"/>
        <v>0</v>
      </c>
      <c r="AB63" s="167">
        <f t="shared" si="78"/>
        <v>219700</v>
      </c>
      <c r="AC63" s="167">
        <f t="shared" si="79"/>
        <v>219700</v>
      </c>
      <c r="AD63" s="167">
        <f t="shared" si="80"/>
        <v>0</v>
      </c>
      <c r="AF63" s="180">
        <f t="shared" si="81"/>
        <v>1</v>
      </c>
      <c r="AG63" s="202" t="str">
        <f t="shared" si="82"/>
        <v>Robert Klimczak Supply of reinforcing steel</v>
      </c>
      <c r="AH63" s="172"/>
      <c r="AI63" s="173"/>
      <c r="AJ63" s="173"/>
      <c r="AK63" s="173"/>
      <c r="AL63" s="173"/>
      <c r="AM63" s="173"/>
      <c r="AN63" s="173"/>
      <c r="AO63" s="173"/>
      <c r="AP63" s="173"/>
      <c r="AQ63" s="173"/>
      <c r="AR63" s="173"/>
      <c r="AS63" s="173"/>
      <c r="AT63" s="173"/>
      <c r="AU63" s="173"/>
      <c r="AV63" s="173"/>
      <c r="AW63" s="173"/>
      <c r="AX63" s="173"/>
      <c r="AY63" s="173"/>
      <c r="AZ63" s="173"/>
      <c r="BA63" s="173"/>
      <c r="BB63" s="173"/>
      <c r="BC63" s="173"/>
      <c r="BD63" s="173"/>
      <c r="BE63" s="173"/>
      <c r="BF63" s="173"/>
      <c r="BG63" s="173"/>
      <c r="BH63" s="173"/>
      <c r="BI63" s="173"/>
      <c r="BJ63" s="173"/>
      <c r="BK63" s="173"/>
      <c r="BL63" s="173"/>
      <c r="BM63" s="173"/>
      <c r="BN63" s="173"/>
      <c r="BO63" s="173"/>
      <c r="BP63" s="173"/>
      <c r="BQ63" s="173"/>
      <c r="BR63" s="173"/>
      <c r="BS63" s="173"/>
      <c r="BT63" s="173"/>
      <c r="BU63" s="173"/>
      <c r="BV63" s="173"/>
      <c r="BW63" s="173"/>
      <c r="BX63" s="173"/>
      <c r="BY63" s="173"/>
      <c r="BZ63" s="173"/>
      <c r="CA63" s="173"/>
      <c r="CB63" s="173"/>
      <c r="CC63" s="173"/>
      <c r="CD63" s="173"/>
      <c r="CE63" s="173"/>
      <c r="CF63" s="173"/>
      <c r="CG63" s="173"/>
      <c r="CH63" s="173"/>
      <c r="CI63" s="173"/>
      <c r="CJ63" s="173"/>
      <c r="CK63" s="173"/>
      <c r="CL63" s="173"/>
      <c r="CM63" s="173"/>
      <c r="CN63" s="173"/>
      <c r="CO63" s="173"/>
      <c r="CP63" s="173"/>
      <c r="CQ63" s="173"/>
      <c r="CR63" s="173"/>
      <c r="CS63" s="173"/>
      <c r="CT63" s="173"/>
      <c r="CU63" s="173"/>
      <c r="CV63" s="173"/>
      <c r="CW63" s="173"/>
      <c r="CX63" s="173"/>
      <c r="CY63" s="151"/>
      <c r="CZ63" s="151"/>
      <c r="DA63" s="151"/>
      <c r="DB63" s="151"/>
      <c r="DC63" s="151"/>
      <c r="DD63" s="151"/>
      <c r="DE63" s="151"/>
      <c r="DF63" s="151"/>
      <c r="DG63" s="151"/>
      <c r="DH63" s="151"/>
      <c r="DI63" s="151"/>
      <c r="DJ63" s="151"/>
      <c r="DK63" s="151"/>
      <c r="DL63" s="151"/>
      <c r="DM63" s="151"/>
      <c r="DN63" s="151"/>
      <c r="DO63" s="151"/>
      <c r="DP63" s="151"/>
      <c r="DQ63" s="151"/>
      <c r="DR63" s="151"/>
      <c r="DS63" s="151"/>
      <c r="DT63" s="151"/>
      <c r="DU63" s="151"/>
      <c r="DV63" s="151"/>
      <c r="DW63" s="151"/>
      <c r="DX63" s="151"/>
      <c r="DY63" s="151"/>
      <c r="DZ63" s="151"/>
      <c r="EA63" s="151"/>
      <c r="EB63" s="151"/>
      <c r="EC63" s="151"/>
      <c r="ED63" s="151"/>
      <c r="EE63" s="151"/>
      <c r="EF63" s="151"/>
      <c r="EG63" s="151"/>
      <c r="EH63" s="151"/>
      <c r="EI63" s="151"/>
      <c r="EJ63" s="151"/>
      <c r="EK63" s="151"/>
      <c r="EL63" s="151"/>
      <c r="EM63" s="151"/>
      <c r="EN63" s="151"/>
      <c r="EO63" s="151"/>
      <c r="EP63" s="151"/>
      <c r="EQ63" s="151"/>
      <c r="ER63" s="151"/>
      <c r="ES63" s="151"/>
      <c r="ET63" s="151"/>
      <c r="EU63" s="151"/>
      <c r="EV63" s="151"/>
      <c r="EW63" s="151"/>
      <c r="EX63" s="151"/>
      <c r="EY63" s="151"/>
      <c r="EZ63" s="151"/>
      <c r="FA63" s="151"/>
      <c r="FB63" s="151"/>
      <c r="FC63" s="151"/>
      <c r="FD63" s="151"/>
      <c r="FE63" s="151"/>
      <c r="FF63" s="151"/>
      <c r="FG63" s="151"/>
      <c r="FH63" s="151"/>
      <c r="FI63" s="151"/>
      <c r="FJ63" s="151"/>
      <c r="FK63" s="151"/>
      <c r="FL63" s="151"/>
      <c r="FM63" s="151"/>
      <c r="FN63" s="151"/>
      <c r="FO63" s="151"/>
      <c r="FP63" s="151"/>
      <c r="FQ63" s="151"/>
      <c r="FR63" s="151"/>
      <c r="FS63" s="151"/>
      <c r="FT63" s="151"/>
      <c r="FU63" s="151"/>
      <c r="FV63" s="151"/>
      <c r="FW63" s="151"/>
      <c r="FX63" s="151"/>
      <c r="FY63" s="151"/>
      <c r="FZ63" s="151"/>
      <c r="GA63" s="151"/>
      <c r="GB63" s="151"/>
      <c r="GC63" s="151"/>
      <c r="GD63" s="151"/>
      <c r="GE63" s="151"/>
      <c r="GF63" s="151"/>
      <c r="GG63" s="152"/>
    </row>
    <row r="64" spans="1:189" ht="41.65" x14ac:dyDescent="0.35">
      <c r="A64" s="267" t="s">
        <v>1108</v>
      </c>
      <c r="B64" s="221" t="s">
        <v>1069</v>
      </c>
      <c r="C64" s="221" t="s">
        <v>1096</v>
      </c>
      <c r="D64" s="222"/>
      <c r="E64" s="221" t="s">
        <v>1262</v>
      </c>
      <c r="F64" s="221" t="s">
        <v>1263</v>
      </c>
      <c r="G64" s="223">
        <v>1</v>
      </c>
      <c r="H64" s="224" t="s">
        <v>1361</v>
      </c>
      <c r="I64" s="225"/>
      <c r="J64" s="225"/>
      <c r="K64" s="225"/>
      <c r="L64" s="226">
        <v>45995</v>
      </c>
      <c r="M64" s="226">
        <v>46053</v>
      </c>
      <c r="N64" s="226">
        <v>46068</v>
      </c>
      <c r="O64" s="226">
        <v>46073</v>
      </c>
      <c r="P64" s="226">
        <v>46234</v>
      </c>
      <c r="Q64" s="227" t="s">
        <v>23</v>
      </c>
      <c r="R64" s="228"/>
      <c r="S64" s="228">
        <f>ROUND(115575+335/10292*527206,-4)+10000</f>
        <v>140000</v>
      </c>
      <c r="T64" s="228">
        <f>115575+335/10292*527206</f>
        <v>132735.3196657598</v>
      </c>
      <c r="U64" s="191">
        <f t="shared" ref="U64:U65" si="83">IF(Q64="",0,IF(T64="",0,+S64-T64))</f>
        <v>7264.6803342401981</v>
      </c>
      <c r="V64" s="230"/>
      <c r="W64" s="231"/>
      <c r="X64" s="46"/>
      <c r="Y64" s="167">
        <f t="shared" ref="Y64:Y65" si="84">IF(G64=2,S64,0)</f>
        <v>0</v>
      </c>
      <c r="Z64" s="167">
        <f t="shared" ref="Z64:Z65" si="85">IF(Q64="",0,IF(G64=2,T64,0))</f>
        <v>0</v>
      </c>
      <c r="AA64" s="167">
        <f t="shared" ref="AA64:AA65" si="86">Y64-Z64</f>
        <v>0</v>
      </c>
      <c r="AB64" s="167">
        <f t="shared" ref="AB64:AB65" si="87">IF(G64=1,S64,0)</f>
        <v>140000</v>
      </c>
      <c r="AC64" s="167">
        <f t="shared" ref="AC64:AC65" si="88">IF(Q64="",0,IF(G64=1,T64,0))</f>
        <v>132735.3196657598</v>
      </c>
      <c r="AD64" s="167">
        <f t="shared" ref="AD64:AD65" si="89">AB64-AC64</f>
        <v>7264.6803342401981</v>
      </c>
      <c r="AF64" s="47">
        <f t="shared" ref="AF64:AF65" si="90">IF(S64&lt;&gt;"",1,0)</f>
        <v>1</v>
      </c>
      <c r="AG64" s="202" t="str">
        <f t="shared" ref="AG64:AG65" si="91">B64&amp;" "&amp;F64</f>
        <v>Alicja Romanowska Supply of concrete mix with pumping service / above-ground part of buildings</v>
      </c>
      <c r="AH64" s="172"/>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c r="BY64" s="173"/>
      <c r="BZ64" s="173"/>
      <c r="CA64" s="173"/>
      <c r="CB64" s="173"/>
      <c r="CC64" s="173"/>
      <c r="CD64" s="173"/>
      <c r="CE64" s="173"/>
      <c r="CF64" s="173"/>
      <c r="CG64" s="173"/>
      <c r="CH64" s="173"/>
      <c r="CI64" s="173"/>
      <c r="CJ64" s="173"/>
      <c r="CK64" s="173"/>
      <c r="CL64" s="173"/>
      <c r="CM64" s="173"/>
      <c r="CN64" s="173"/>
      <c r="CO64" s="173"/>
      <c r="CP64" s="173"/>
      <c r="CQ64" s="173"/>
      <c r="CR64" s="173"/>
      <c r="CS64" s="173"/>
      <c r="CT64" s="173"/>
      <c r="CU64" s="173"/>
      <c r="CV64" s="173"/>
      <c r="CW64" s="173"/>
      <c r="CX64" s="173"/>
      <c r="CY64" s="151"/>
      <c r="CZ64" s="151"/>
      <c r="DA64" s="151"/>
      <c r="DB64" s="151"/>
      <c r="DC64" s="151"/>
      <c r="DD64" s="151"/>
      <c r="DE64" s="151"/>
      <c r="DF64" s="151"/>
      <c r="DG64" s="151"/>
      <c r="DH64" s="151"/>
      <c r="DI64" s="151"/>
      <c r="DJ64" s="151"/>
      <c r="DK64" s="151"/>
      <c r="DL64" s="151"/>
      <c r="DM64" s="151"/>
      <c r="DN64" s="151"/>
      <c r="DO64" s="151"/>
      <c r="DP64" s="151"/>
      <c r="DQ64" s="151"/>
      <c r="DR64" s="151"/>
      <c r="DS64" s="151"/>
      <c r="DT64" s="151"/>
      <c r="DU64" s="151"/>
      <c r="DV64" s="151"/>
      <c r="DW64" s="151"/>
      <c r="DX64" s="151"/>
      <c r="DY64" s="151"/>
      <c r="DZ64" s="151"/>
      <c r="EA64" s="151"/>
      <c r="EB64" s="151"/>
      <c r="EC64" s="151"/>
      <c r="ED64" s="151"/>
      <c r="EE64" s="151"/>
      <c r="EF64" s="151"/>
      <c r="EG64" s="151"/>
      <c r="EH64" s="151"/>
      <c r="EI64" s="151"/>
      <c r="EJ64" s="151"/>
      <c r="EK64" s="151"/>
      <c r="EL64" s="151"/>
      <c r="EM64" s="151"/>
      <c r="EN64" s="151"/>
      <c r="EO64" s="151"/>
      <c r="EP64" s="151"/>
      <c r="EQ64" s="151"/>
      <c r="ER64" s="151"/>
      <c r="ES64" s="151"/>
      <c r="ET64" s="151"/>
      <c r="EU64" s="151"/>
      <c r="EV64" s="151"/>
      <c r="EW64" s="151"/>
      <c r="EX64" s="151"/>
      <c r="EY64" s="151"/>
      <c r="EZ64" s="151"/>
      <c r="FA64" s="151"/>
      <c r="FB64" s="151"/>
      <c r="FC64" s="151"/>
      <c r="FD64" s="151"/>
      <c r="FE64" s="151"/>
      <c r="FF64" s="151"/>
      <c r="FG64" s="151"/>
      <c r="FH64" s="151"/>
      <c r="FI64" s="151"/>
      <c r="FJ64" s="151"/>
      <c r="FK64" s="151"/>
      <c r="FL64" s="151"/>
      <c r="FM64" s="151"/>
      <c r="FN64" s="151"/>
      <c r="FO64" s="151"/>
      <c r="FP64" s="151"/>
      <c r="FQ64" s="151"/>
      <c r="FR64" s="151"/>
      <c r="FS64" s="151"/>
      <c r="FT64" s="151"/>
      <c r="FU64" s="151"/>
      <c r="FV64" s="151"/>
      <c r="FW64" s="151"/>
      <c r="FX64" s="151"/>
      <c r="FY64" s="151"/>
      <c r="FZ64" s="151"/>
      <c r="GA64" s="151"/>
      <c r="GB64" s="151"/>
      <c r="GC64" s="151"/>
      <c r="GD64" s="151"/>
      <c r="GE64" s="151"/>
      <c r="GF64" s="151"/>
      <c r="GG64" s="152"/>
    </row>
    <row r="65" spans="1:189" ht="55.5" x14ac:dyDescent="0.35">
      <c r="A65" s="267" t="s">
        <v>1109</v>
      </c>
      <c r="B65" s="221" t="s">
        <v>1070</v>
      </c>
      <c r="C65" s="221" t="s">
        <v>1113</v>
      </c>
      <c r="D65" s="222"/>
      <c r="E65" s="221" t="s">
        <v>1111</v>
      </c>
      <c r="F65" s="221" t="s">
        <v>1112</v>
      </c>
      <c r="G65" s="223">
        <v>2</v>
      </c>
      <c r="H65" s="224" t="s">
        <v>1106</v>
      </c>
      <c r="I65" s="225"/>
      <c r="J65" s="225"/>
      <c r="K65" s="225"/>
      <c r="L65" s="226">
        <v>45995</v>
      </c>
      <c r="M65" s="226">
        <v>46053</v>
      </c>
      <c r="N65" s="226">
        <v>46106</v>
      </c>
      <c r="O65" s="226">
        <v>46073</v>
      </c>
      <c r="P65" s="226">
        <v>46234</v>
      </c>
      <c r="Q65" s="227" t="s">
        <v>20</v>
      </c>
      <c r="R65" s="228"/>
      <c r="S65" s="228">
        <v>1725869.43</v>
      </c>
      <c r="T65" s="228">
        <v>2115950</v>
      </c>
      <c r="U65" s="191">
        <f t="shared" si="83"/>
        <v>-390080.57000000007</v>
      </c>
      <c r="V65" s="230"/>
      <c r="W65" s="231"/>
      <c r="X65" s="46"/>
      <c r="Y65" s="167">
        <f t="shared" si="84"/>
        <v>1725869.43</v>
      </c>
      <c r="Z65" s="167">
        <f t="shared" si="85"/>
        <v>2115950</v>
      </c>
      <c r="AA65" s="167">
        <f t="shared" si="86"/>
        <v>-390080.57000000007</v>
      </c>
      <c r="AB65" s="167">
        <f t="shared" si="87"/>
        <v>0</v>
      </c>
      <c r="AC65" s="167">
        <f t="shared" si="88"/>
        <v>0</v>
      </c>
      <c r="AD65" s="167">
        <f t="shared" si="89"/>
        <v>0</v>
      </c>
      <c r="AF65" s="47">
        <f t="shared" si="90"/>
        <v>1</v>
      </c>
      <c r="AG65" s="202" t="str">
        <f t="shared" si="91"/>
        <v>Jan Szczubiał Reinforced concrete structure of the above-ground part of the B3 building - delivery and assembly of prefabricated elements</v>
      </c>
      <c r="AH65" s="153"/>
      <c r="AI65" s="154"/>
      <c r="AJ65" s="154"/>
      <c r="AK65" s="154"/>
      <c r="AL65" s="154"/>
      <c r="AM65" s="154"/>
      <c r="AN65" s="154"/>
      <c r="AO65" s="154"/>
      <c r="AP65" s="154"/>
      <c r="AQ65" s="154"/>
      <c r="AR65" s="154"/>
      <c r="AS65" s="154"/>
      <c r="AT65" s="154"/>
      <c r="AU65" s="154"/>
      <c r="AV65" s="154"/>
      <c r="AW65" s="154"/>
      <c r="AX65" s="154"/>
      <c r="AY65" s="154"/>
      <c r="AZ65" s="154"/>
      <c r="BA65" s="151"/>
      <c r="BB65" s="151"/>
      <c r="BC65" s="151"/>
      <c r="BD65" s="151"/>
      <c r="BE65" s="151"/>
      <c r="BF65" s="151"/>
      <c r="BG65" s="151"/>
      <c r="BH65" s="151"/>
      <c r="BI65" s="151"/>
      <c r="BJ65" s="151"/>
      <c r="BK65" s="151"/>
      <c r="BL65" s="151"/>
      <c r="BM65" s="151"/>
      <c r="BN65" s="151"/>
      <c r="BO65" s="151"/>
      <c r="BP65" s="151"/>
      <c r="BQ65" s="151"/>
      <c r="BR65" s="151"/>
      <c r="BS65" s="151"/>
      <c r="BT65" s="151"/>
      <c r="BU65" s="151"/>
      <c r="BV65" s="151"/>
      <c r="BW65" s="151"/>
      <c r="BX65" s="151"/>
      <c r="BY65" s="151"/>
      <c r="BZ65" s="151"/>
      <c r="CA65" s="151"/>
      <c r="CB65" s="151"/>
      <c r="CC65" s="151"/>
      <c r="CD65" s="151"/>
      <c r="CE65" s="151"/>
      <c r="CF65" s="151"/>
      <c r="CG65" s="151"/>
      <c r="CH65" s="151"/>
      <c r="CI65" s="151"/>
      <c r="CJ65" s="151"/>
      <c r="CK65" s="151"/>
      <c r="CL65" s="151"/>
      <c r="CM65" s="151"/>
      <c r="CN65" s="151"/>
      <c r="CO65" s="151"/>
      <c r="CP65" s="151"/>
      <c r="CQ65" s="151"/>
      <c r="CR65" s="151"/>
      <c r="CS65" s="151"/>
      <c r="CT65" s="151"/>
      <c r="CU65" s="151"/>
      <c r="CV65" s="151"/>
      <c r="CW65" s="151"/>
      <c r="CX65" s="151"/>
      <c r="CY65" s="151"/>
      <c r="CZ65" s="151"/>
      <c r="DA65" s="151"/>
      <c r="DB65" s="151"/>
      <c r="DC65" s="151"/>
      <c r="DD65" s="151"/>
      <c r="DE65" s="151"/>
      <c r="DF65" s="151"/>
      <c r="DG65" s="151"/>
      <c r="DH65" s="151"/>
      <c r="DI65" s="151"/>
      <c r="DJ65" s="151"/>
      <c r="DK65" s="151"/>
      <c r="DL65" s="151"/>
      <c r="DM65" s="151"/>
      <c r="DN65" s="151"/>
      <c r="DO65" s="151"/>
      <c r="DP65" s="151"/>
      <c r="DQ65" s="151"/>
      <c r="DR65" s="151"/>
      <c r="DS65" s="151"/>
      <c r="DT65" s="151"/>
      <c r="DU65" s="151"/>
      <c r="DV65" s="151"/>
      <c r="DW65" s="151"/>
      <c r="DX65" s="151"/>
      <c r="DY65" s="151"/>
      <c r="DZ65" s="151"/>
      <c r="EA65" s="151"/>
      <c r="EB65" s="151"/>
      <c r="EC65" s="151"/>
      <c r="ED65" s="151"/>
      <c r="EE65" s="151"/>
      <c r="EF65" s="151"/>
      <c r="EG65" s="151"/>
      <c r="EH65" s="151"/>
      <c r="EI65" s="151"/>
      <c r="EJ65" s="151"/>
      <c r="EK65" s="151"/>
      <c r="EL65" s="151"/>
      <c r="EM65" s="151"/>
      <c r="EN65" s="151"/>
      <c r="EO65" s="151"/>
      <c r="EP65" s="151"/>
      <c r="EQ65" s="151"/>
      <c r="ER65" s="151"/>
      <c r="ES65" s="151"/>
      <c r="ET65" s="151"/>
      <c r="EU65" s="151"/>
      <c r="EV65" s="151"/>
      <c r="EW65" s="151"/>
      <c r="EX65" s="151"/>
      <c r="EY65" s="151"/>
      <c r="EZ65" s="151"/>
      <c r="FA65" s="151"/>
      <c r="FB65" s="151"/>
      <c r="FC65" s="151"/>
      <c r="FD65" s="151"/>
      <c r="FE65" s="151"/>
      <c r="FF65" s="151"/>
      <c r="FG65" s="151"/>
      <c r="FH65" s="151"/>
      <c r="FI65" s="151"/>
      <c r="FJ65" s="151"/>
      <c r="FK65" s="151"/>
      <c r="FL65" s="151"/>
      <c r="FM65" s="151"/>
      <c r="FN65" s="151"/>
      <c r="FO65" s="151"/>
      <c r="FP65" s="151"/>
      <c r="FQ65" s="151"/>
      <c r="FR65" s="151"/>
      <c r="FS65" s="151"/>
      <c r="FT65" s="151"/>
      <c r="FU65" s="151"/>
      <c r="FV65" s="151"/>
      <c r="FW65" s="151"/>
      <c r="FX65" s="151"/>
      <c r="FY65" s="151"/>
      <c r="FZ65" s="151"/>
      <c r="GA65" s="151"/>
      <c r="GB65" s="151"/>
      <c r="GC65" s="151"/>
      <c r="GD65" s="151"/>
      <c r="GE65" s="151"/>
      <c r="GF65" s="151"/>
      <c r="GG65" s="152"/>
    </row>
    <row r="66" spans="1:189" ht="27.75" x14ac:dyDescent="0.35">
      <c r="A66" s="267" t="s">
        <v>1110</v>
      </c>
      <c r="B66" s="221" t="s">
        <v>1070</v>
      </c>
      <c r="C66" s="221" t="s">
        <v>1113</v>
      </c>
      <c r="D66" s="222"/>
      <c r="E66" s="221" t="s">
        <v>1114</v>
      </c>
      <c r="F66" s="221" t="s">
        <v>1200</v>
      </c>
      <c r="G66" s="223">
        <v>2</v>
      </c>
      <c r="H66" s="224" t="s">
        <v>1326</v>
      </c>
      <c r="I66" s="225"/>
      <c r="J66" s="225"/>
      <c r="K66" s="225"/>
      <c r="L66" s="226">
        <v>45995</v>
      </c>
      <c r="M66" s="226">
        <v>46106</v>
      </c>
      <c r="N66" s="226">
        <v>46106</v>
      </c>
      <c r="O66" s="226">
        <v>46111</v>
      </c>
      <c r="P66" s="226">
        <v>46234</v>
      </c>
      <c r="Q66" s="227" t="s">
        <v>20</v>
      </c>
      <c r="R66" s="228"/>
      <c r="S66" s="228">
        <v>750000</v>
      </c>
      <c r="T66" s="228">
        <v>708072.75</v>
      </c>
      <c r="U66" s="191">
        <f t="shared" si="74"/>
        <v>41927.25</v>
      </c>
      <c r="V66" s="230"/>
      <c r="W66" s="231"/>
      <c r="X66" s="46"/>
      <c r="Y66" s="167">
        <f t="shared" si="75"/>
        <v>750000</v>
      </c>
      <c r="Z66" s="167">
        <f t="shared" si="76"/>
        <v>708072.75</v>
      </c>
      <c r="AA66" s="167">
        <f t="shared" si="77"/>
        <v>41927.25</v>
      </c>
      <c r="AB66" s="167">
        <f t="shared" si="78"/>
        <v>0</v>
      </c>
      <c r="AC66" s="167">
        <f t="shared" si="79"/>
        <v>0</v>
      </c>
      <c r="AD66" s="167">
        <f t="shared" si="80"/>
        <v>0</v>
      </c>
      <c r="AF66" s="47">
        <f t="shared" si="81"/>
        <v>1</v>
      </c>
      <c r="AG66" s="202" t="str">
        <f t="shared" si="82"/>
        <v>Jan Szczubiał Reinforced concrete structure of the above-ground part of the other buildings</v>
      </c>
      <c r="AH66" s="153"/>
      <c r="AI66" s="154"/>
      <c r="AJ66" s="154"/>
      <c r="AK66" s="154"/>
      <c r="AL66" s="154"/>
      <c r="AM66" s="154"/>
      <c r="AN66" s="154"/>
      <c r="AO66" s="154"/>
      <c r="AP66" s="154"/>
      <c r="AQ66" s="154"/>
      <c r="AR66" s="154"/>
      <c r="AS66" s="154"/>
      <c r="AT66" s="154"/>
      <c r="AU66" s="154"/>
      <c r="AV66" s="154"/>
      <c r="AW66" s="154"/>
      <c r="AX66" s="154"/>
      <c r="AY66" s="154"/>
      <c r="AZ66" s="154"/>
      <c r="BA66" s="151"/>
      <c r="BB66" s="151"/>
      <c r="BC66" s="151"/>
      <c r="BD66" s="151"/>
      <c r="BE66" s="151"/>
      <c r="BF66" s="151"/>
      <c r="BG66" s="151"/>
      <c r="BH66" s="151"/>
      <c r="BI66" s="151"/>
      <c r="BJ66" s="151"/>
      <c r="BK66" s="151"/>
      <c r="BL66" s="151"/>
      <c r="BM66" s="151"/>
      <c r="BN66" s="151"/>
      <c r="BO66" s="151"/>
      <c r="BP66" s="151"/>
      <c r="BQ66" s="151"/>
      <c r="BR66" s="151"/>
      <c r="BS66" s="151"/>
      <c r="BT66" s="151"/>
      <c r="BU66" s="151"/>
      <c r="BV66" s="151"/>
      <c r="BW66" s="151"/>
      <c r="BX66" s="151"/>
      <c r="BY66" s="151"/>
      <c r="BZ66" s="151"/>
      <c r="CA66" s="151"/>
      <c r="CB66" s="151"/>
      <c r="CC66" s="151"/>
      <c r="CD66" s="151"/>
      <c r="CE66" s="151"/>
      <c r="CF66" s="151"/>
      <c r="CG66" s="151"/>
      <c r="CH66" s="151"/>
      <c r="CI66" s="151"/>
      <c r="CJ66" s="151"/>
      <c r="CK66" s="151"/>
      <c r="CL66" s="151"/>
      <c r="CM66" s="151"/>
      <c r="CN66" s="151"/>
      <c r="CO66" s="151"/>
      <c r="CP66" s="151"/>
      <c r="CQ66" s="151"/>
      <c r="CR66" s="151"/>
      <c r="CS66" s="151"/>
      <c r="CT66" s="151"/>
      <c r="CU66" s="151"/>
      <c r="CV66" s="151"/>
      <c r="CW66" s="151"/>
      <c r="CX66" s="151"/>
      <c r="CY66" s="151"/>
      <c r="CZ66" s="151"/>
      <c r="DA66" s="151"/>
      <c r="DB66" s="151"/>
      <c r="DC66" s="151"/>
      <c r="DD66" s="151"/>
      <c r="DE66" s="151"/>
      <c r="DF66" s="151"/>
      <c r="DG66" s="151"/>
      <c r="DH66" s="151"/>
      <c r="DI66" s="151"/>
      <c r="DJ66" s="151"/>
      <c r="DK66" s="151"/>
      <c r="DL66" s="151"/>
      <c r="DM66" s="151"/>
      <c r="DN66" s="151"/>
      <c r="DO66" s="151"/>
      <c r="DP66" s="151"/>
      <c r="DQ66" s="151"/>
      <c r="DR66" s="151"/>
      <c r="DS66" s="151"/>
      <c r="DT66" s="151"/>
      <c r="DU66" s="151"/>
      <c r="DV66" s="151"/>
      <c r="DW66" s="151"/>
      <c r="DX66" s="151"/>
      <c r="DY66" s="151"/>
      <c r="DZ66" s="151"/>
      <c r="EA66" s="151"/>
      <c r="EB66" s="151"/>
      <c r="EC66" s="151"/>
      <c r="ED66" s="151"/>
      <c r="EE66" s="151"/>
      <c r="EF66" s="151"/>
      <c r="EG66" s="151"/>
      <c r="EH66" s="151"/>
      <c r="EI66" s="151"/>
      <c r="EJ66" s="151"/>
      <c r="EK66" s="151"/>
      <c r="EL66" s="151"/>
      <c r="EM66" s="151"/>
      <c r="EN66" s="151"/>
      <c r="EO66" s="151"/>
      <c r="EP66" s="151"/>
      <c r="EQ66" s="151"/>
      <c r="ER66" s="151"/>
      <c r="ES66" s="151"/>
      <c r="ET66" s="151"/>
      <c r="EU66" s="151"/>
      <c r="EV66" s="151"/>
      <c r="EW66" s="151"/>
      <c r="EX66" s="151"/>
      <c r="EY66" s="151"/>
      <c r="EZ66" s="151"/>
      <c r="FA66" s="151"/>
      <c r="FB66" s="151"/>
      <c r="FC66" s="151"/>
      <c r="FD66" s="151"/>
      <c r="FE66" s="151"/>
      <c r="FF66" s="151"/>
      <c r="FG66" s="151"/>
      <c r="FH66" s="151"/>
      <c r="FI66" s="151"/>
      <c r="FJ66" s="151"/>
      <c r="FK66" s="151"/>
      <c r="FL66" s="151"/>
      <c r="FM66" s="151"/>
      <c r="FN66" s="151"/>
      <c r="FO66" s="151"/>
      <c r="FP66" s="151"/>
      <c r="FQ66" s="151"/>
      <c r="FR66" s="151"/>
      <c r="FS66" s="151"/>
      <c r="FT66" s="151"/>
      <c r="FU66" s="151"/>
      <c r="FV66" s="151"/>
      <c r="FW66" s="151"/>
      <c r="FX66" s="151"/>
      <c r="FY66" s="151"/>
      <c r="FZ66" s="151"/>
      <c r="GA66" s="151"/>
      <c r="GB66" s="151"/>
      <c r="GC66" s="151"/>
      <c r="GD66" s="151"/>
      <c r="GE66" s="151"/>
      <c r="GF66" s="151"/>
      <c r="GG66" s="152"/>
    </row>
    <row r="67" spans="1:189" ht="41.65" x14ac:dyDescent="0.35">
      <c r="A67" s="281" t="s">
        <v>686</v>
      </c>
      <c r="B67" s="282" t="s">
        <v>1063</v>
      </c>
      <c r="C67" s="282" t="s">
        <v>1096</v>
      </c>
      <c r="D67" s="283"/>
      <c r="E67" s="282" t="s">
        <v>277</v>
      </c>
      <c r="F67" s="282" t="s">
        <v>737</v>
      </c>
      <c r="G67" s="284">
        <v>2</v>
      </c>
      <c r="H67" s="285"/>
      <c r="I67" s="286"/>
      <c r="J67" s="286"/>
      <c r="K67" s="286"/>
      <c r="L67" s="287">
        <v>46153</v>
      </c>
      <c r="M67" s="287">
        <v>46181</v>
      </c>
      <c r="N67" s="287"/>
      <c r="O67" s="287">
        <v>46204</v>
      </c>
      <c r="P67" s="287">
        <v>46265</v>
      </c>
      <c r="Q67" s="288" t="s">
        <v>11</v>
      </c>
      <c r="R67" s="289">
        <v>386500</v>
      </c>
      <c r="S67" s="289">
        <v>386500</v>
      </c>
      <c r="T67" s="289"/>
      <c r="U67" s="191">
        <f t="shared" si="28"/>
        <v>0</v>
      </c>
      <c r="V67" s="291"/>
      <c r="W67" s="292"/>
      <c r="X67" s="46"/>
      <c r="Y67" s="167">
        <f t="shared" si="22"/>
        <v>386500</v>
      </c>
      <c r="Z67" s="167">
        <f t="shared" si="23"/>
        <v>0</v>
      </c>
      <c r="AA67" s="167">
        <f t="shared" si="24"/>
        <v>386500</v>
      </c>
      <c r="AB67" s="167">
        <f t="shared" si="25"/>
        <v>0</v>
      </c>
      <c r="AC67" s="167">
        <f t="shared" si="26"/>
        <v>0</v>
      </c>
      <c r="AD67" s="167">
        <f t="shared" si="27"/>
        <v>0</v>
      </c>
      <c r="AF67" s="47">
        <f t="shared" si="21"/>
        <v>1</v>
      </c>
      <c r="AG67" s="202" t="str">
        <f t="shared" si="13"/>
        <v>Agnieszka Zając Flyover for belt conveyor</v>
      </c>
      <c r="AH67" s="172"/>
      <c r="AI67" s="173"/>
      <c r="AJ67" s="173"/>
      <c r="AK67" s="173"/>
      <c r="AL67" s="173"/>
      <c r="AM67" s="173"/>
      <c r="AN67" s="173"/>
      <c r="AO67" s="173"/>
      <c r="AP67" s="173"/>
      <c r="AQ67" s="173"/>
      <c r="AR67" s="173"/>
      <c r="AS67" s="173"/>
      <c r="AT67" s="173"/>
      <c r="AU67" s="173"/>
      <c r="AV67" s="173"/>
      <c r="AW67" s="173"/>
      <c r="AX67" s="173"/>
      <c r="AY67" s="173"/>
      <c r="AZ67" s="173"/>
      <c r="BA67" s="173"/>
      <c r="BB67" s="173"/>
      <c r="BC67" s="173"/>
      <c r="BD67" s="173"/>
      <c r="BE67" s="173"/>
      <c r="BF67" s="173"/>
      <c r="BG67" s="173"/>
      <c r="BH67" s="173"/>
      <c r="BI67" s="173"/>
      <c r="BJ67" s="173"/>
      <c r="BK67" s="173"/>
      <c r="BL67" s="173"/>
      <c r="BM67" s="173"/>
      <c r="BN67" s="173"/>
      <c r="BO67" s="173"/>
      <c r="BP67" s="173"/>
      <c r="BQ67" s="173"/>
      <c r="BR67" s="173"/>
      <c r="BS67" s="173"/>
      <c r="BT67" s="173"/>
      <c r="BU67" s="173"/>
      <c r="BV67" s="173"/>
      <c r="BW67" s="173"/>
      <c r="BX67" s="173"/>
      <c r="BY67" s="173"/>
      <c r="BZ67" s="173"/>
      <c r="CA67" s="173"/>
      <c r="CB67" s="173"/>
      <c r="CC67" s="173"/>
      <c r="CD67" s="173"/>
      <c r="CE67" s="173"/>
      <c r="CF67" s="173"/>
      <c r="CG67" s="173"/>
      <c r="CH67" s="173"/>
      <c r="CI67" s="173"/>
      <c r="CJ67" s="173"/>
      <c r="CK67" s="173"/>
      <c r="CL67" s="173"/>
      <c r="CM67" s="173"/>
      <c r="CN67" s="173"/>
      <c r="CO67" s="173"/>
      <c r="CP67" s="173"/>
      <c r="CQ67" s="173"/>
      <c r="CR67" s="173"/>
      <c r="CS67" s="173"/>
      <c r="CT67" s="173"/>
      <c r="CU67" s="173"/>
      <c r="CV67" s="173"/>
      <c r="CW67" s="173"/>
      <c r="CX67" s="173"/>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c r="EF67" s="148"/>
      <c r="EG67" s="148"/>
      <c r="EH67" s="148"/>
      <c r="EI67" s="148"/>
      <c r="EJ67" s="148"/>
      <c r="EK67" s="148"/>
      <c r="EL67" s="148"/>
      <c r="EM67" s="148"/>
      <c r="EN67" s="148"/>
      <c r="EO67" s="148"/>
      <c r="EP67" s="148"/>
      <c r="EQ67" s="148"/>
      <c r="ER67" s="148"/>
      <c r="ES67" s="148"/>
      <c r="ET67" s="148"/>
      <c r="EU67" s="148"/>
      <c r="EV67" s="148"/>
      <c r="EW67" s="148"/>
      <c r="EX67" s="148"/>
      <c r="EY67" s="148"/>
      <c r="EZ67" s="148"/>
      <c r="FA67" s="148"/>
      <c r="FB67" s="148"/>
      <c r="FC67" s="148"/>
      <c r="FD67" s="148"/>
      <c r="FE67" s="148"/>
      <c r="FF67" s="148"/>
      <c r="FG67" s="148"/>
      <c r="FH67" s="148"/>
      <c r="FI67" s="148"/>
      <c r="FJ67" s="148"/>
      <c r="FK67" s="148"/>
      <c r="FL67" s="148"/>
      <c r="FM67" s="148"/>
      <c r="FN67" s="148"/>
      <c r="FO67" s="148"/>
      <c r="FP67" s="148"/>
      <c r="FQ67" s="148"/>
      <c r="FR67" s="148"/>
      <c r="FS67" s="148"/>
      <c r="FT67" s="148"/>
      <c r="FU67" s="148"/>
      <c r="FV67" s="148"/>
      <c r="FW67" s="148"/>
      <c r="FX67" s="148"/>
      <c r="FY67" s="148"/>
      <c r="FZ67" s="148"/>
      <c r="GA67" s="148"/>
      <c r="GB67" s="148"/>
      <c r="GC67" s="148"/>
      <c r="GD67" s="148"/>
      <c r="GE67" s="148"/>
      <c r="GF67" s="148"/>
      <c r="GG67" s="149"/>
    </row>
    <row r="68" spans="1:189" ht="41.65" x14ac:dyDescent="0.35">
      <c r="A68" s="281" t="s">
        <v>777</v>
      </c>
      <c r="B68" s="282" t="s">
        <v>1063</v>
      </c>
      <c r="C68" s="282" t="s">
        <v>1096</v>
      </c>
      <c r="D68" s="283"/>
      <c r="E68" s="282" t="s">
        <v>278</v>
      </c>
      <c r="F68" s="282" t="s">
        <v>738</v>
      </c>
      <c r="G68" s="284">
        <v>2</v>
      </c>
      <c r="H68" s="285"/>
      <c r="I68" s="286"/>
      <c r="J68" s="286"/>
      <c r="K68" s="286"/>
      <c r="L68" s="287">
        <v>46236</v>
      </c>
      <c r="M68" s="287">
        <v>46264</v>
      </c>
      <c r="N68" s="287"/>
      <c r="O68" s="287">
        <v>46204</v>
      </c>
      <c r="P68" s="287">
        <v>46265</v>
      </c>
      <c r="Q68" s="288" t="s">
        <v>11</v>
      </c>
      <c r="R68" s="289">
        <v>718448.41</v>
      </c>
      <c r="S68" s="289">
        <v>718448.41</v>
      </c>
      <c r="T68" s="289"/>
      <c r="U68" s="191">
        <f t="shared" si="28"/>
        <v>0</v>
      </c>
      <c r="V68" s="291"/>
      <c r="W68" s="308"/>
      <c r="X68" s="46"/>
      <c r="Y68" s="167">
        <f t="shared" si="22"/>
        <v>718448.41</v>
      </c>
      <c r="Z68" s="167">
        <f t="shared" si="23"/>
        <v>0</v>
      </c>
      <c r="AA68" s="167">
        <f t="shared" si="24"/>
        <v>718448.41</v>
      </c>
      <c r="AB68" s="167">
        <f t="shared" si="25"/>
        <v>0</v>
      </c>
      <c r="AC68" s="167">
        <f t="shared" si="26"/>
        <v>0</v>
      </c>
      <c r="AD68" s="167">
        <f t="shared" si="27"/>
        <v>0</v>
      </c>
      <c r="AF68" s="180">
        <f t="shared" si="21"/>
        <v>1</v>
      </c>
      <c r="AG68" s="202" t="str">
        <f t="shared" si="13"/>
        <v>Agnieszka Zając Retaining wall</v>
      </c>
      <c r="AH68" s="172"/>
      <c r="AI68" s="173"/>
      <c r="AJ68" s="173"/>
      <c r="AK68" s="173"/>
      <c r="AL68" s="173"/>
      <c r="AM68" s="173"/>
      <c r="AN68" s="173"/>
      <c r="AO68" s="173"/>
      <c r="AP68" s="173"/>
      <c r="AQ68" s="173"/>
      <c r="AR68" s="173"/>
      <c r="AS68" s="173"/>
      <c r="AT68" s="173"/>
      <c r="AU68" s="173"/>
      <c r="AV68" s="173"/>
      <c r="AW68" s="173"/>
      <c r="AX68" s="173"/>
      <c r="AY68" s="173"/>
      <c r="AZ68" s="173"/>
      <c r="BA68" s="173"/>
      <c r="BB68" s="173"/>
      <c r="BC68" s="173"/>
      <c r="BD68" s="173"/>
      <c r="BE68" s="173"/>
      <c r="BF68" s="173"/>
      <c r="BG68" s="173"/>
      <c r="BH68" s="173"/>
      <c r="BI68" s="173"/>
      <c r="BJ68" s="173"/>
      <c r="BK68" s="173"/>
      <c r="BL68" s="173"/>
      <c r="BM68" s="173"/>
      <c r="BN68" s="173"/>
      <c r="BO68" s="173"/>
      <c r="BP68" s="173"/>
      <c r="BQ68" s="173"/>
      <c r="BR68" s="173"/>
      <c r="BS68" s="173"/>
      <c r="BT68" s="173"/>
      <c r="BU68" s="173"/>
      <c r="BV68" s="173"/>
      <c r="BW68" s="173"/>
      <c r="BX68" s="173"/>
      <c r="BY68" s="173"/>
      <c r="BZ68" s="173"/>
      <c r="CA68" s="173"/>
      <c r="CB68" s="173"/>
      <c r="CC68" s="173"/>
      <c r="CD68" s="173"/>
      <c r="CE68" s="173"/>
      <c r="CF68" s="173"/>
      <c r="CG68" s="173"/>
      <c r="CH68" s="173"/>
      <c r="CI68" s="173"/>
      <c r="CJ68" s="173"/>
      <c r="CK68" s="173"/>
      <c r="CL68" s="173"/>
      <c r="CM68" s="173"/>
      <c r="CN68" s="173"/>
      <c r="CO68" s="173"/>
      <c r="CP68" s="173"/>
      <c r="CQ68" s="173"/>
      <c r="CR68" s="173"/>
      <c r="CS68" s="173"/>
      <c r="CT68" s="173"/>
      <c r="CU68" s="173"/>
      <c r="CV68" s="173"/>
      <c r="CW68" s="173"/>
      <c r="CX68" s="173"/>
      <c r="CY68" s="151"/>
      <c r="CZ68" s="151"/>
      <c r="DA68" s="151"/>
      <c r="DB68" s="151"/>
      <c r="DC68" s="151"/>
      <c r="DD68" s="151"/>
      <c r="DE68" s="151"/>
      <c r="DF68" s="151"/>
      <c r="DG68" s="151"/>
      <c r="DH68" s="151"/>
      <c r="DI68" s="151"/>
      <c r="DJ68" s="151"/>
      <c r="DK68" s="151"/>
      <c r="DL68" s="151"/>
      <c r="DM68" s="151"/>
      <c r="DN68" s="151"/>
      <c r="DO68" s="151"/>
      <c r="DP68" s="151"/>
      <c r="DQ68" s="151"/>
      <c r="DR68" s="151"/>
      <c r="DS68" s="151"/>
      <c r="DT68" s="151"/>
      <c r="DU68" s="151"/>
      <c r="DV68" s="151"/>
      <c r="DW68" s="151"/>
      <c r="DX68" s="151"/>
      <c r="DY68" s="151"/>
      <c r="DZ68" s="151"/>
      <c r="EA68" s="151"/>
      <c r="EB68" s="151"/>
      <c r="EC68" s="151"/>
      <c r="ED68" s="151"/>
      <c r="EE68" s="151"/>
      <c r="EF68" s="151"/>
      <c r="EG68" s="151"/>
      <c r="EH68" s="151"/>
      <c r="EI68" s="151"/>
      <c r="EJ68" s="151"/>
      <c r="EK68" s="151"/>
      <c r="EL68" s="151"/>
      <c r="EM68" s="151"/>
      <c r="EN68" s="151"/>
      <c r="EO68" s="151"/>
      <c r="EP68" s="151"/>
      <c r="EQ68" s="151"/>
      <c r="ER68" s="151"/>
      <c r="ES68" s="151"/>
      <c r="ET68" s="151"/>
      <c r="EU68" s="151"/>
      <c r="EV68" s="151"/>
      <c r="EW68" s="151"/>
      <c r="EX68" s="151"/>
      <c r="EY68" s="151"/>
      <c r="EZ68" s="151"/>
      <c r="FA68" s="151"/>
      <c r="FB68" s="151"/>
      <c r="FC68" s="151"/>
      <c r="FD68" s="151"/>
      <c r="FE68" s="151"/>
      <c r="FF68" s="151"/>
      <c r="FG68" s="151"/>
      <c r="FH68" s="151"/>
      <c r="FI68" s="151"/>
      <c r="FJ68" s="151"/>
      <c r="FK68" s="151"/>
      <c r="FL68" s="151"/>
      <c r="FM68" s="151"/>
      <c r="FN68" s="151"/>
      <c r="FO68" s="151"/>
      <c r="FP68" s="151"/>
      <c r="FQ68" s="151"/>
      <c r="FR68" s="151"/>
      <c r="FS68" s="151"/>
      <c r="FT68" s="151"/>
      <c r="FU68" s="151"/>
      <c r="FV68" s="151"/>
      <c r="FW68" s="151"/>
      <c r="FX68" s="151"/>
      <c r="FY68" s="151"/>
      <c r="FZ68" s="151"/>
      <c r="GA68" s="151"/>
      <c r="GB68" s="151"/>
      <c r="GC68" s="151"/>
      <c r="GD68" s="151"/>
      <c r="GE68" s="151"/>
      <c r="GF68" s="151"/>
      <c r="GG68" s="152"/>
    </row>
    <row r="69" spans="1:189" x14ac:dyDescent="0.35">
      <c r="A69" s="237" t="s">
        <v>687</v>
      </c>
      <c r="B69" s="236"/>
      <c r="C69" s="236"/>
      <c r="D69" s="237"/>
      <c r="E69" s="236" t="s">
        <v>279</v>
      </c>
      <c r="F69" s="236" t="s">
        <v>739</v>
      </c>
      <c r="G69" s="238">
        <v>2</v>
      </c>
      <c r="H69" s="239"/>
      <c r="I69" s="240"/>
      <c r="J69" s="240"/>
      <c r="K69" s="240"/>
      <c r="L69" s="241"/>
      <c r="M69" s="241"/>
      <c r="N69" s="241"/>
      <c r="O69" s="241"/>
      <c r="P69" s="241"/>
      <c r="Q69" s="242"/>
      <c r="R69" s="243"/>
      <c r="S69" s="243"/>
      <c r="T69" s="243"/>
      <c r="U69" s="191">
        <f t="shared" si="28"/>
        <v>0</v>
      </c>
      <c r="V69" s="244"/>
      <c r="W69" s="245"/>
      <c r="X69" s="46"/>
      <c r="Y69" s="167">
        <f t="shared" si="22"/>
        <v>0</v>
      </c>
      <c r="Z69" s="167">
        <f t="shared" si="23"/>
        <v>0</v>
      </c>
      <c r="AA69" s="167">
        <f t="shared" si="24"/>
        <v>0</v>
      </c>
      <c r="AB69" s="167">
        <f t="shared" si="25"/>
        <v>0</v>
      </c>
      <c r="AC69" s="167">
        <f t="shared" si="26"/>
        <v>0</v>
      </c>
      <c r="AD69" s="167">
        <f t="shared" si="27"/>
        <v>0</v>
      </c>
      <c r="AF69" s="47">
        <f t="shared" si="21"/>
        <v>0</v>
      </c>
      <c r="AG69" s="202" t="str">
        <f t="shared" si="13"/>
        <v xml:space="preserve"> Steel structures</v>
      </c>
      <c r="AH69" s="172"/>
      <c r="AI69" s="173"/>
      <c r="AJ69" s="173"/>
      <c r="AK69" s="173"/>
      <c r="AL69" s="173"/>
      <c r="AM69" s="173"/>
      <c r="AN69" s="173"/>
      <c r="AO69" s="173"/>
      <c r="AP69" s="173"/>
      <c r="AQ69" s="173"/>
      <c r="AR69" s="173"/>
      <c r="AS69" s="173"/>
      <c r="AT69" s="173"/>
      <c r="AU69" s="173"/>
      <c r="AV69" s="173"/>
      <c r="AW69" s="173"/>
      <c r="AX69" s="173"/>
      <c r="AY69" s="173"/>
      <c r="AZ69" s="173"/>
      <c r="BA69" s="173"/>
      <c r="BB69" s="173"/>
      <c r="BC69" s="173"/>
      <c r="BD69" s="173"/>
      <c r="BE69" s="173"/>
      <c r="BF69" s="173"/>
      <c r="BG69" s="173"/>
      <c r="BH69" s="173"/>
      <c r="BI69" s="173"/>
      <c r="BJ69" s="173"/>
      <c r="BK69" s="173"/>
      <c r="BL69" s="173"/>
      <c r="BM69" s="173"/>
      <c r="BN69" s="173"/>
      <c r="BO69" s="173"/>
      <c r="BP69" s="173"/>
      <c r="BQ69" s="173"/>
      <c r="BR69" s="173"/>
      <c r="BS69" s="173"/>
      <c r="BT69" s="173"/>
      <c r="BU69" s="173"/>
      <c r="BV69" s="173"/>
      <c r="BW69" s="173"/>
      <c r="BX69" s="173"/>
      <c r="BY69" s="173"/>
      <c r="BZ69" s="173"/>
      <c r="CA69" s="173"/>
      <c r="CB69" s="173"/>
      <c r="CC69" s="173"/>
      <c r="CD69" s="173"/>
      <c r="CE69" s="173"/>
      <c r="CF69" s="173"/>
      <c r="CG69" s="173"/>
      <c r="CH69" s="173"/>
      <c r="CI69" s="173"/>
      <c r="CJ69" s="173"/>
      <c r="CK69" s="173"/>
      <c r="CL69" s="173"/>
      <c r="CM69" s="173"/>
      <c r="CN69" s="173"/>
      <c r="CO69" s="173"/>
      <c r="CP69" s="173"/>
      <c r="CQ69" s="173"/>
      <c r="CR69" s="173"/>
      <c r="CS69" s="173"/>
      <c r="CT69" s="173"/>
      <c r="CU69" s="173"/>
      <c r="CV69" s="173"/>
      <c r="CW69" s="173"/>
      <c r="CX69" s="173"/>
      <c r="CY69" s="151"/>
      <c r="CZ69" s="151"/>
      <c r="DA69" s="151"/>
      <c r="DB69" s="151"/>
      <c r="DC69" s="151"/>
      <c r="DD69" s="151"/>
      <c r="DE69" s="151"/>
      <c r="DF69" s="151"/>
      <c r="DG69" s="151"/>
      <c r="DH69" s="151"/>
      <c r="DI69" s="151"/>
      <c r="DJ69" s="151"/>
      <c r="DK69" s="151"/>
      <c r="DL69" s="151"/>
      <c r="DM69" s="151"/>
      <c r="DN69" s="151"/>
      <c r="DO69" s="151"/>
      <c r="DP69" s="151"/>
      <c r="DQ69" s="151"/>
      <c r="DR69" s="151"/>
      <c r="DS69" s="151"/>
      <c r="DT69" s="151"/>
      <c r="DU69" s="151"/>
      <c r="DV69" s="151"/>
      <c r="DW69" s="151"/>
      <c r="DX69" s="151"/>
      <c r="DY69" s="151"/>
      <c r="DZ69" s="151"/>
      <c r="EA69" s="151"/>
      <c r="EB69" s="151"/>
      <c r="EC69" s="151"/>
      <c r="ED69" s="151"/>
      <c r="EE69" s="151"/>
      <c r="EF69" s="151"/>
      <c r="EG69" s="151"/>
      <c r="EH69" s="151"/>
      <c r="EI69" s="151"/>
      <c r="EJ69" s="151"/>
      <c r="EK69" s="151"/>
      <c r="EL69" s="151"/>
      <c r="EM69" s="151"/>
      <c r="EN69" s="151"/>
      <c r="EO69" s="151"/>
      <c r="EP69" s="151"/>
      <c r="EQ69" s="151"/>
      <c r="ER69" s="151"/>
      <c r="ES69" s="151"/>
      <c r="ET69" s="151"/>
      <c r="EU69" s="151"/>
      <c r="EV69" s="151"/>
      <c r="EW69" s="151"/>
      <c r="EX69" s="151"/>
      <c r="EY69" s="151"/>
      <c r="EZ69" s="151"/>
      <c r="FA69" s="151"/>
      <c r="FB69" s="151"/>
      <c r="FC69" s="151"/>
      <c r="FD69" s="151"/>
      <c r="FE69" s="151"/>
      <c r="FF69" s="151"/>
      <c r="FG69" s="151"/>
      <c r="FH69" s="151"/>
      <c r="FI69" s="151"/>
      <c r="FJ69" s="151"/>
      <c r="FK69" s="151"/>
      <c r="FL69" s="151"/>
      <c r="FM69" s="151"/>
      <c r="FN69" s="151"/>
      <c r="FO69" s="151"/>
      <c r="FP69" s="151"/>
      <c r="FQ69" s="151"/>
      <c r="FR69" s="151"/>
      <c r="FS69" s="151"/>
      <c r="FT69" s="151"/>
      <c r="FU69" s="151"/>
      <c r="FV69" s="151"/>
      <c r="FW69" s="151"/>
      <c r="FX69" s="151"/>
      <c r="FY69" s="151"/>
      <c r="FZ69" s="151"/>
      <c r="GA69" s="151"/>
      <c r="GB69" s="151"/>
      <c r="GC69" s="151"/>
      <c r="GD69" s="151"/>
      <c r="GE69" s="151"/>
      <c r="GF69" s="151"/>
      <c r="GG69" s="152"/>
    </row>
    <row r="70" spans="1:189" ht="41.65" x14ac:dyDescent="0.35">
      <c r="A70" s="281" t="s">
        <v>688</v>
      </c>
      <c r="B70" s="282" t="s">
        <v>1068</v>
      </c>
      <c r="C70" s="282" t="s">
        <v>1096</v>
      </c>
      <c r="D70" s="283"/>
      <c r="E70" s="282" t="s">
        <v>280</v>
      </c>
      <c r="F70" s="282" t="s">
        <v>740</v>
      </c>
      <c r="G70" s="284">
        <v>2</v>
      </c>
      <c r="H70" s="285" t="s">
        <v>1328</v>
      </c>
      <c r="I70" s="286"/>
      <c r="J70" s="286"/>
      <c r="K70" s="286"/>
      <c r="L70" s="287">
        <v>46080</v>
      </c>
      <c r="M70" s="287">
        <v>46112</v>
      </c>
      <c r="N70" s="287"/>
      <c r="O70" s="287">
        <v>46143</v>
      </c>
      <c r="P70" s="287">
        <v>46752</v>
      </c>
      <c r="Q70" s="288" t="s">
        <v>13</v>
      </c>
      <c r="R70" s="289">
        <f>24700875.7-1000000</f>
        <v>23700875.699999999</v>
      </c>
      <c r="S70" s="289">
        <f>24700875.7-1000000-SUM(S71:S75)-443000</f>
        <v>6670885.6999999993</v>
      </c>
      <c r="T70" s="289"/>
      <c r="U70" s="191">
        <f t="shared" si="28"/>
        <v>0</v>
      </c>
      <c r="V70" s="291"/>
      <c r="W70" s="309" t="s">
        <v>1332</v>
      </c>
      <c r="X70" s="46"/>
      <c r="Y70" s="167">
        <f t="shared" si="22"/>
        <v>6670885.6999999993</v>
      </c>
      <c r="Z70" s="167">
        <f t="shared" si="23"/>
        <v>0</v>
      </c>
      <c r="AA70" s="167">
        <f t="shared" si="24"/>
        <v>6670885.6999999993</v>
      </c>
      <c r="AB70" s="167">
        <f t="shared" si="25"/>
        <v>0</v>
      </c>
      <c r="AC70" s="167">
        <f t="shared" si="26"/>
        <v>0</v>
      </c>
      <c r="AD70" s="167">
        <f t="shared" si="27"/>
        <v>0</v>
      </c>
      <c r="AF70" s="180">
        <f t="shared" si="21"/>
        <v>1</v>
      </c>
      <c r="AG70" s="202" t="str">
        <f t="shared" si="13"/>
        <v>Robert Klimczak Structure, including platforms, walkways, ladders, roofing</v>
      </c>
      <c r="AH70" s="172"/>
      <c r="AI70" s="173"/>
      <c r="AJ70" s="173"/>
      <c r="AK70" s="173"/>
      <c r="AL70" s="173"/>
      <c r="AM70" s="173"/>
      <c r="AN70" s="173"/>
      <c r="AO70" s="173"/>
      <c r="AP70" s="173"/>
      <c r="AQ70" s="173"/>
      <c r="AR70" s="173"/>
      <c r="AS70" s="173"/>
      <c r="AT70" s="173"/>
      <c r="AU70" s="173"/>
      <c r="AV70" s="173"/>
      <c r="AW70" s="173"/>
      <c r="AX70" s="173"/>
      <c r="AY70" s="173"/>
      <c r="AZ70" s="173"/>
      <c r="BA70" s="173"/>
      <c r="BB70" s="173"/>
      <c r="BC70" s="173"/>
      <c r="BD70" s="173"/>
      <c r="BE70" s="173"/>
      <c r="BF70" s="173"/>
      <c r="BG70" s="173"/>
      <c r="BH70" s="173"/>
      <c r="BI70" s="173"/>
      <c r="BJ70" s="173"/>
      <c r="BK70" s="173"/>
      <c r="BL70" s="173"/>
      <c r="BM70" s="173"/>
      <c r="BN70" s="173"/>
      <c r="BO70" s="173"/>
      <c r="BP70" s="173"/>
      <c r="BQ70" s="173"/>
      <c r="BR70" s="173"/>
      <c r="BS70" s="173"/>
      <c r="BT70" s="173"/>
      <c r="BU70" s="173"/>
      <c r="BV70" s="173"/>
      <c r="BW70" s="173"/>
      <c r="BX70" s="173"/>
      <c r="BY70" s="173"/>
      <c r="BZ70" s="173"/>
      <c r="CA70" s="173"/>
      <c r="CB70" s="173"/>
      <c r="CC70" s="173"/>
      <c r="CD70" s="173"/>
      <c r="CE70" s="173"/>
      <c r="CF70" s="173"/>
      <c r="CG70" s="173"/>
      <c r="CH70" s="173"/>
      <c r="CI70" s="173"/>
      <c r="CJ70" s="173"/>
      <c r="CK70" s="173"/>
      <c r="CL70" s="173"/>
      <c r="CM70" s="173"/>
      <c r="CN70" s="173"/>
      <c r="CO70" s="173"/>
      <c r="CP70" s="173"/>
      <c r="CQ70" s="173"/>
      <c r="CR70" s="173"/>
      <c r="CS70" s="173"/>
      <c r="CT70" s="173"/>
      <c r="CU70" s="173"/>
      <c r="CV70" s="173"/>
      <c r="CW70" s="173"/>
      <c r="CX70" s="173"/>
      <c r="CY70" s="151"/>
      <c r="CZ70" s="151"/>
      <c r="DA70" s="151"/>
      <c r="DB70" s="151"/>
      <c r="DC70" s="151"/>
      <c r="DD70" s="151"/>
      <c r="DE70" s="151"/>
      <c r="DF70" s="151"/>
      <c r="DG70" s="151"/>
      <c r="DH70" s="151"/>
      <c r="DI70" s="151"/>
      <c r="DJ70" s="151"/>
      <c r="DK70" s="151"/>
      <c r="DL70" s="151"/>
      <c r="DM70" s="151"/>
      <c r="DN70" s="151"/>
      <c r="DO70" s="151"/>
      <c r="DP70" s="151"/>
      <c r="DQ70" s="151"/>
      <c r="DR70" s="151"/>
      <c r="DS70" s="151"/>
      <c r="DT70" s="151"/>
      <c r="DU70" s="151"/>
      <c r="DV70" s="151"/>
      <c r="DW70" s="151"/>
      <c r="DX70" s="151"/>
      <c r="DY70" s="151"/>
      <c r="DZ70" s="151"/>
      <c r="EA70" s="151"/>
      <c r="EB70" s="151"/>
      <c r="EC70" s="151"/>
      <c r="ED70" s="151"/>
      <c r="EE70" s="151"/>
      <c r="EF70" s="151"/>
      <c r="EG70" s="151"/>
      <c r="EH70" s="151"/>
      <c r="EI70" s="151"/>
      <c r="EJ70" s="151"/>
      <c r="EK70" s="151"/>
      <c r="EL70" s="151"/>
      <c r="EM70" s="151"/>
      <c r="EN70" s="151"/>
      <c r="EO70" s="151"/>
      <c r="EP70" s="151"/>
      <c r="EQ70" s="151"/>
      <c r="ER70" s="151"/>
      <c r="ES70" s="151"/>
      <c r="ET70" s="151"/>
      <c r="EU70" s="151"/>
      <c r="EV70" s="151"/>
      <c r="EW70" s="151"/>
      <c r="EX70" s="151"/>
      <c r="EY70" s="151"/>
      <c r="EZ70" s="151"/>
      <c r="FA70" s="151"/>
      <c r="FB70" s="151"/>
      <c r="FC70" s="151"/>
      <c r="FD70" s="151"/>
      <c r="FE70" s="151"/>
      <c r="FF70" s="151"/>
      <c r="FG70" s="151"/>
      <c r="FH70" s="151"/>
      <c r="FI70" s="151"/>
      <c r="FJ70" s="151"/>
      <c r="FK70" s="151"/>
      <c r="FL70" s="151"/>
      <c r="FM70" s="151"/>
      <c r="FN70" s="151"/>
      <c r="FO70" s="151"/>
      <c r="FP70" s="151"/>
      <c r="FQ70" s="151"/>
      <c r="FR70" s="151"/>
      <c r="FS70" s="151"/>
      <c r="FT70" s="151"/>
      <c r="FU70" s="151"/>
      <c r="FV70" s="151"/>
      <c r="FW70" s="151"/>
      <c r="FX70" s="151"/>
      <c r="FY70" s="151"/>
      <c r="FZ70" s="151"/>
      <c r="GA70" s="151"/>
      <c r="GB70" s="151"/>
      <c r="GC70" s="151"/>
      <c r="GD70" s="151"/>
      <c r="GE70" s="151"/>
      <c r="GF70" s="151"/>
      <c r="GG70" s="152"/>
    </row>
    <row r="71" spans="1:189" ht="57" customHeight="1" x14ac:dyDescent="0.35">
      <c r="A71" s="267" t="s">
        <v>1363</v>
      </c>
      <c r="B71" s="221" t="s">
        <v>1068</v>
      </c>
      <c r="C71" s="221" t="s">
        <v>1113</v>
      </c>
      <c r="D71" s="222"/>
      <c r="E71" s="221" t="s">
        <v>280</v>
      </c>
      <c r="F71" s="221" t="s">
        <v>740</v>
      </c>
      <c r="G71" s="223">
        <v>2</v>
      </c>
      <c r="H71" s="224" t="s">
        <v>1368</v>
      </c>
      <c r="I71" s="225"/>
      <c r="J71" s="225"/>
      <c r="K71" s="225"/>
      <c r="L71" s="226">
        <v>46080</v>
      </c>
      <c r="M71" s="226">
        <v>46142</v>
      </c>
      <c r="N71" s="226">
        <v>46142</v>
      </c>
      <c r="O71" s="226">
        <v>46143</v>
      </c>
      <c r="P71" s="226">
        <v>46752</v>
      </c>
      <c r="Q71" s="227" t="s">
        <v>23</v>
      </c>
      <c r="R71" s="228"/>
      <c r="S71" s="228">
        <v>14000000</v>
      </c>
      <c r="T71" s="228">
        <f>19801595-380800-6675500</f>
        <v>12745295</v>
      </c>
      <c r="U71" s="191">
        <f t="shared" si="28"/>
        <v>1254705</v>
      </c>
      <c r="V71" s="230"/>
      <c r="W71" s="232"/>
      <c r="X71" s="46"/>
      <c r="Y71" s="167">
        <f t="shared" si="22"/>
        <v>14000000</v>
      </c>
      <c r="Z71" s="167">
        <f t="shared" si="23"/>
        <v>12745295</v>
      </c>
      <c r="AA71" s="167">
        <f t="shared" si="24"/>
        <v>1254705</v>
      </c>
      <c r="AB71" s="167">
        <f t="shared" si="25"/>
        <v>0</v>
      </c>
      <c r="AC71" s="167">
        <f t="shared" si="26"/>
        <v>0</v>
      </c>
      <c r="AD71" s="167">
        <f t="shared" si="27"/>
        <v>0</v>
      </c>
      <c r="AF71" s="180">
        <f t="shared" si="21"/>
        <v>1</v>
      </c>
      <c r="AG71" s="202" t="str">
        <f t="shared" si="13"/>
        <v>Robert Klimczak Structure, including platforms, walkways, ladders, roofing</v>
      </c>
      <c r="AH71" s="172"/>
      <c r="AI71" s="173"/>
      <c r="AJ71" s="173"/>
      <c r="AK71" s="173"/>
      <c r="AL71" s="173"/>
      <c r="AM71" s="173"/>
      <c r="AN71" s="173"/>
      <c r="AO71" s="173"/>
      <c r="AP71" s="173"/>
      <c r="AQ71" s="173"/>
      <c r="AR71" s="173"/>
      <c r="AS71" s="173"/>
      <c r="AT71" s="173"/>
      <c r="AU71" s="173"/>
      <c r="AV71" s="173"/>
      <c r="AW71" s="173"/>
      <c r="AX71" s="173"/>
      <c r="AY71" s="173"/>
      <c r="AZ71" s="173"/>
      <c r="BA71" s="173"/>
      <c r="BB71" s="173"/>
      <c r="BC71" s="173"/>
      <c r="BD71" s="173"/>
      <c r="BE71" s="173"/>
      <c r="BF71" s="173"/>
      <c r="BG71" s="173"/>
      <c r="BH71" s="173"/>
      <c r="BI71" s="173"/>
      <c r="BJ71" s="173"/>
      <c r="BK71" s="173"/>
      <c r="BL71" s="173"/>
      <c r="BM71" s="173"/>
      <c r="BN71" s="173"/>
      <c r="BO71" s="173"/>
      <c r="BP71" s="173"/>
      <c r="BQ71" s="173"/>
      <c r="BR71" s="173"/>
      <c r="BS71" s="173"/>
      <c r="BT71" s="173"/>
      <c r="BU71" s="173"/>
      <c r="BV71" s="173"/>
      <c r="BW71" s="173"/>
      <c r="BX71" s="173"/>
      <c r="BY71" s="173"/>
      <c r="BZ71" s="173"/>
      <c r="CA71" s="173"/>
      <c r="CB71" s="173"/>
      <c r="CC71" s="173"/>
      <c r="CD71" s="173"/>
      <c r="CE71" s="173"/>
      <c r="CF71" s="173"/>
      <c r="CG71" s="173"/>
      <c r="CH71" s="173"/>
      <c r="CI71" s="173"/>
      <c r="CJ71" s="173"/>
      <c r="CK71" s="173"/>
      <c r="CL71" s="173"/>
      <c r="CM71" s="173"/>
      <c r="CN71" s="173"/>
      <c r="CO71" s="173"/>
      <c r="CP71" s="173"/>
      <c r="CQ71" s="173"/>
      <c r="CR71" s="173"/>
      <c r="CS71" s="173"/>
      <c r="CT71" s="173"/>
      <c r="CU71" s="173"/>
      <c r="CV71" s="173"/>
      <c r="CW71" s="173"/>
      <c r="CX71" s="173"/>
      <c r="CY71" s="151"/>
      <c r="CZ71" s="151"/>
      <c r="DA71" s="151"/>
      <c r="DB71" s="151"/>
      <c r="DC71" s="151"/>
      <c r="DD71" s="151"/>
      <c r="DE71" s="151"/>
      <c r="DF71" s="151"/>
      <c r="DG71" s="151"/>
      <c r="DH71" s="151"/>
      <c r="DI71" s="151"/>
      <c r="DJ71" s="151"/>
      <c r="DK71" s="151"/>
      <c r="DL71" s="151"/>
      <c r="DM71" s="151"/>
      <c r="DN71" s="151"/>
      <c r="DO71" s="151"/>
      <c r="DP71" s="151"/>
      <c r="DQ71" s="151"/>
      <c r="DR71" s="151"/>
      <c r="DS71" s="151"/>
      <c r="DT71" s="151"/>
      <c r="DU71" s="151"/>
      <c r="DV71" s="151"/>
      <c r="DW71" s="151"/>
      <c r="DX71" s="151"/>
      <c r="DY71" s="151"/>
      <c r="DZ71" s="151"/>
      <c r="EA71" s="151"/>
      <c r="EB71" s="151"/>
      <c r="EC71" s="151"/>
      <c r="ED71" s="151"/>
      <c r="EE71" s="151"/>
      <c r="EF71" s="151"/>
      <c r="EG71" s="151"/>
      <c r="EH71" s="151"/>
      <c r="EI71" s="151"/>
      <c r="EJ71" s="151"/>
      <c r="EK71" s="151"/>
      <c r="EL71" s="151"/>
      <c r="EM71" s="151"/>
      <c r="EN71" s="151"/>
      <c r="EO71" s="151"/>
      <c r="EP71" s="151"/>
      <c r="EQ71" s="151"/>
      <c r="ER71" s="151"/>
      <c r="ES71" s="151"/>
      <c r="ET71" s="151"/>
      <c r="EU71" s="151"/>
      <c r="EV71" s="151"/>
      <c r="EW71" s="151"/>
      <c r="EX71" s="151"/>
      <c r="EY71" s="151"/>
      <c r="EZ71" s="151"/>
      <c r="FA71" s="151"/>
      <c r="FB71" s="151"/>
      <c r="FC71" s="151"/>
      <c r="FD71" s="151"/>
      <c r="FE71" s="151"/>
      <c r="FF71" s="151"/>
      <c r="FG71" s="151"/>
      <c r="FH71" s="151"/>
      <c r="FI71" s="151"/>
      <c r="FJ71" s="151"/>
      <c r="FK71" s="151"/>
      <c r="FL71" s="151"/>
      <c r="FM71" s="151"/>
      <c r="FN71" s="151"/>
      <c r="FO71" s="151"/>
      <c r="FP71" s="151"/>
      <c r="FQ71" s="151"/>
      <c r="FR71" s="151"/>
      <c r="FS71" s="151"/>
      <c r="FT71" s="151"/>
      <c r="FU71" s="151"/>
      <c r="FV71" s="151"/>
      <c r="FW71" s="151"/>
      <c r="FX71" s="151"/>
      <c r="FY71" s="151"/>
      <c r="FZ71" s="151"/>
      <c r="GA71" s="151"/>
      <c r="GB71" s="151"/>
      <c r="GC71" s="151"/>
      <c r="GD71" s="151"/>
      <c r="GE71" s="151"/>
      <c r="GF71" s="151"/>
      <c r="GG71" s="152"/>
    </row>
    <row r="72" spans="1:189" ht="27.75" x14ac:dyDescent="0.35">
      <c r="A72" s="281" t="s">
        <v>689</v>
      </c>
      <c r="B72" s="282" t="s">
        <v>1068</v>
      </c>
      <c r="C72" s="282" t="s">
        <v>1113</v>
      </c>
      <c r="D72" s="283"/>
      <c r="E72" s="282" t="s">
        <v>1198</v>
      </c>
      <c r="F72" s="282" t="s">
        <v>1199</v>
      </c>
      <c r="G72" s="284">
        <v>2</v>
      </c>
      <c r="H72" s="285" t="s">
        <v>1366</v>
      </c>
      <c r="I72" s="286"/>
      <c r="J72" s="286"/>
      <c r="K72" s="286"/>
      <c r="L72" s="287"/>
      <c r="M72" s="287"/>
      <c r="N72" s="287"/>
      <c r="O72" s="287">
        <v>46073</v>
      </c>
      <c r="P72" s="287">
        <v>46234</v>
      </c>
      <c r="Q72" s="288" t="s">
        <v>45</v>
      </c>
      <c r="R72" s="289"/>
      <c r="S72" s="289">
        <f>2212000-S73</f>
        <v>812000</v>
      </c>
      <c r="T72" s="289"/>
      <c r="U72" s="191">
        <f t="shared" ref="U72:U74" si="92">IF(Q72="",0,IF(T72="",0,+S72-T72))</f>
        <v>0</v>
      </c>
      <c r="V72" s="291"/>
      <c r="W72" s="308"/>
      <c r="X72" s="46"/>
      <c r="Y72" s="167">
        <f t="shared" ref="Y72:Y74" si="93">IF(G72=2,S72,0)</f>
        <v>812000</v>
      </c>
      <c r="Z72" s="167">
        <f t="shared" ref="Z72:Z74" si="94">IF(Q72="",0,IF(G72=2,T72,0))</f>
        <v>0</v>
      </c>
      <c r="AA72" s="167">
        <f t="shared" ref="AA72:AA74" si="95">Y72-Z72</f>
        <v>812000</v>
      </c>
      <c r="AB72" s="167">
        <f t="shared" ref="AB72:AB74" si="96">IF(G72=1,S72,0)</f>
        <v>0</v>
      </c>
      <c r="AC72" s="167">
        <f t="shared" ref="AC72:AC74" si="97">IF(Q72="",0,IF(G72=1,T72,0))</f>
        <v>0</v>
      </c>
      <c r="AD72" s="167">
        <f t="shared" ref="AD72:AD74" si="98">AB72-AC72</f>
        <v>0</v>
      </c>
      <c r="AF72" s="180">
        <f t="shared" ref="AF72:AF74" si="99">IF(S72&lt;&gt;"",1,0)</f>
        <v>1</v>
      </c>
      <c r="AG72" s="202" t="str">
        <f t="shared" ref="AG72:AG74" si="100">B72&amp;" "&amp;F72</f>
        <v>Robert Klimczak Steel structure of facility B3 (without roof)</v>
      </c>
      <c r="AH72" s="172"/>
      <c r="AI72" s="173"/>
      <c r="AJ72" s="173"/>
      <c r="AK72" s="173"/>
      <c r="AL72" s="173"/>
      <c r="AM72" s="173"/>
      <c r="AN72" s="173"/>
      <c r="AO72" s="173"/>
      <c r="AP72" s="173"/>
      <c r="AQ72" s="173"/>
      <c r="AR72" s="173"/>
      <c r="AS72" s="173"/>
      <c r="AT72" s="173"/>
      <c r="AU72" s="173"/>
      <c r="AV72" s="173"/>
      <c r="AW72" s="173"/>
      <c r="AX72" s="173"/>
      <c r="AY72" s="173"/>
      <c r="AZ72" s="173"/>
      <c r="BA72" s="173"/>
      <c r="BB72" s="173"/>
      <c r="BC72" s="173"/>
      <c r="BD72" s="173"/>
      <c r="BE72" s="173"/>
      <c r="BF72" s="173"/>
      <c r="BG72" s="173"/>
      <c r="BH72" s="173"/>
      <c r="BI72" s="173"/>
      <c r="BJ72" s="173"/>
      <c r="BK72" s="173"/>
      <c r="BL72" s="173"/>
      <c r="BM72" s="173"/>
      <c r="BN72" s="173"/>
      <c r="BO72" s="173"/>
      <c r="BP72" s="173"/>
      <c r="BQ72" s="173"/>
      <c r="BR72" s="173"/>
      <c r="BS72" s="173"/>
      <c r="BT72" s="173"/>
      <c r="BU72" s="173"/>
      <c r="BV72" s="173"/>
      <c r="BW72" s="173"/>
      <c r="BX72" s="173"/>
      <c r="BY72" s="173"/>
      <c r="BZ72" s="173"/>
      <c r="CA72" s="173"/>
      <c r="CB72" s="173"/>
      <c r="CC72" s="173"/>
      <c r="CD72" s="173"/>
      <c r="CE72" s="173"/>
      <c r="CF72" s="173"/>
      <c r="CG72" s="173"/>
      <c r="CH72" s="173"/>
      <c r="CI72" s="173"/>
      <c r="CJ72" s="173"/>
      <c r="CK72" s="173"/>
      <c r="CL72" s="173"/>
      <c r="CM72" s="173"/>
      <c r="CN72" s="173"/>
      <c r="CO72" s="173"/>
      <c r="CP72" s="173"/>
      <c r="CQ72" s="173"/>
      <c r="CR72" s="173"/>
      <c r="CS72" s="173"/>
      <c r="CT72" s="173"/>
      <c r="CU72" s="173"/>
      <c r="CV72" s="173"/>
      <c r="CW72" s="173"/>
      <c r="CX72" s="173"/>
      <c r="CY72" s="151"/>
      <c r="CZ72" s="151"/>
      <c r="DA72" s="151"/>
      <c r="DB72" s="151"/>
      <c r="DC72" s="151"/>
      <c r="DD72" s="151"/>
      <c r="DE72" s="151"/>
      <c r="DF72" s="151"/>
      <c r="DG72" s="151"/>
      <c r="DH72" s="151"/>
      <c r="DI72" s="151"/>
      <c r="DJ72" s="151"/>
      <c r="DK72" s="151"/>
      <c r="DL72" s="151"/>
      <c r="DM72" s="151"/>
      <c r="DN72" s="151"/>
      <c r="DO72" s="151"/>
      <c r="DP72" s="151"/>
      <c r="DQ72" s="151"/>
      <c r="DR72" s="151"/>
      <c r="DS72" s="151"/>
      <c r="DT72" s="151"/>
      <c r="DU72" s="151"/>
      <c r="DV72" s="151"/>
      <c r="DW72" s="151"/>
      <c r="DX72" s="151"/>
      <c r="DY72" s="151"/>
      <c r="DZ72" s="151"/>
      <c r="EA72" s="151"/>
      <c r="EB72" s="151"/>
      <c r="EC72" s="151"/>
      <c r="ED72" s="151"/>
      <c r="EE72" s="151"/>
      <c r="EF72" s="151"/>
      <c r="EG72" s="151"/>
      <c r="EH72" s="151"/>
      <c r="EI72" s="151"/>
      <c r="EJ72" s="151"/>
      <c r="EK72" s="151"/>
      <c r="EL72" s="151"/>
      <c r="EM72" s="151"/>
      <c r="EN72" s="151"/>
      <c r="EO72" s="151"/>
      <c r="EP72" s="151"/>
      <c r="EQ72" s="151"/>
      <c r="ER72" s="151"/>
      <c r="ES72" s="151"/>
      <c r="ET72" s="151"/>
      <c r="EU72" s="151"/>
      <c r="EV72" s="151"/>
      <c r="EW72" s="151"/>
      <c r="EX72" s="151"/>
      <c r="EY72" s="151"/>
      <c r="EZ72" s="151"/>
      <c r="FA72" s="151"/>
      <c r="FB72" s="151"/>
      <c r="FC72" s="151"/>
      <c r="FD72" s="151"/>
      <c r="FE72" s="151"/>
      <c r="FF72" s="151"/>
      <c r="FG72" s="151"/>
      <c r="FH72" s="151"/>
      <c r="FI72" s="151"/>
      <c r="FJ72" s="151"/>
      <c r="FK72" s="151"/>
      <c r="FL72" s="151"/>
      <c r="FM72" s="151"/>
      <c r="FN72" s="151"/>
      <c r="FO72" s="151"/>
      <c r="FP72" s="151"/>
      <c r="FQ72" s="151"/>
      <c r="FR72" s="151"/>
      <c r="FS72" s="151"/>
      <c r="FT72" s="151"/>
      <c r="FU72" s="151"/>
      <c r="FV72" s="151"/>
      <c r="FW72" s="151"/>
      <c r="FX72" s="151"/>
      <c r="FY72" s="151"/>
      <c r="FZ72" s="151"/>
      <c r="GA72" s="151"/>
      <c r="GB72" s="151"/>
      <c r="GC72" s="151"/>
      <c r="GD72" s="151"/>
      <c r="GE72" s="151"/>
      <c r="GF72" s="151"/>
      <c r="GG72" s="152"/>
    </row>
    <row r="73" spans="1:189" ht="57" customHeight="1" x14ac:dyDescent="0.35">
      <c r="A73" s="267" t="s">
        <v>1197</v>
      </c>
      <c r="B73" s="221" t="s">
        <v>1068</v>
      </c>
      <c r="C73" s="221" t="s">
        <v>1113</v>
      </c>
      <c r="D73" s="222"/>
      <c r="E73" s="221" t="s">
        <v>1117</v>
      </c>
      <c r="F73" s="221" t="s">
        <v>1119</v>
      </c>
      <c r="G73" s="223">
        <v>2</v>
      </c>
      <c r="H73" s="224" t="s">
        <v>1106</v>
      </c>
      <c r="I73" s="225"/>
      <c r="J73" s="225"/>
      <c r="K73" s="225"/>
      <c r="L73" s="226">
        <v>45995</v>
      </c>
      <c r="M73" s="226">
        <v>46053</v>
      </c>
      <c r="N73" s="226">
        <v>46106</v>
      </c>
      <c r="O73" s="226">
        <v>46073</v>
      </c>
      <c r="P73" s="226">
        <v>46234</v>
      </c>
      <c r="Q73" s="227" t="s">
        <v>20</v>
      </c>
      <c r="R73" s="228"/>
      <c r="S73" s="228">
        <f>2212000*0+1400000</f>
        <v>1400000</v>
      </c>
      <c r="T73" s="228">
        <v>1004390</v>
      </c>
      <c r="U73" s="191">
        <f t="shared" ref="U73" si="101">IF(Q73="",0,IF(T73="",0,+S73-T73))</f>
        <v>395610</v>
      </c>
      <c r="V73" s="230"/>
      <c r="W73" s="232"/>
      <c r="X73" s="46"/>
      <c r="Y73" s="167">
        <f t="shared" ref="Y73" si="102">IF(G73=2,S73,0)</f>
        <v>1400000</v>
      </c>
      <c r="Z73" s="167">
        <f t="shared" ref="Z73" si="103">IF(Q73="",0,IF(G73=2,T73,0))</f>
        <v>1004390</v>
      </c>
      <c r="AA73" s="167">
        <f t="shared" ref="AA73" si="104">Y73-Z73</f>
        <v>395610</v>
      </c>
      <c r="AB73" s="167">
        <f t="shared" ref="AB73" si="105">IF(G73=1,S73,0)</f>
        <v>0</v>
      </c>
      <c r="AC73" s="167">
        <f t="shared" ref="AC73" si="106">IF(Q73="",0,IF(G73=1,T73,0))</f>
        <v>0</v>
      </c>
      <c r="AD73" s="167">
        <f t="shared" ref="AD73" si="107">AB73-AC73</f>
        <v>0</v>
      </c>
      <c r="AF73" s="180">
        <f t="shared" ref="AF73" si="108">IF(S73&lt;&gt;"",1,0)</f>
        <v>1</v>
      </c>
      <c r="AG73" s="202" t="str">
        <f t="shared" ref="AG73" si="109">B73&amp;" "&amp;F73</f>
        <v>Robert Klimczak Precast reinforced concrete structure of facility B3 (change from steel structure compared to the acquisition stage)</v>
      </c>
      <c r="AH73" s="153"/>
      <c r="AI73" s="154"/>
      <c r="AJ73" s="154"/>
      <c r="AK73" s="154"/>
      <c r="AL73" s="154"/>
      <c r="AM73" s="154"/>
      <c r="AN73" s="154"/>
      <c r="AO73" s="154"/>
      <c r="AP73" s="154"/>
      <c r="AQ73" s="154"/>
      <c r="AR73" s="154"/>
      <c r="AS73" s="154"/>
      <c r="AT73" s="154"/>
      <c r="AU73" s="154"/>
      <c r="AV73" s="154"/>
      <c r="AW73" s="154"/>
      <c r="AX73" s="154"/>
      <c r="AY73" s="154"/>
      <c r="AZ73" s="154"/>
      <c r="BA73" s="151"/>
      <c r="BB73" s="151"/>
      <c r="BC73" s="151"/>
      <c r="BD73" s="151"/>
      <c r="BE73" s="151"/>
      <c r="BF73" s="151"/>
      <c r="BG73" s="151"/>
      <c r="BH73" s="151"/>
      <c r="BI73" s="151"/>
      <c r="BJ73" s="151"/>
      <c r="BK73" s="151"/>
      <c r="BL73" s="151"/>
      <c r="BM73" s="151"/>
      <c r="BN73" s="151"/>
      <c r="BO73" s="151"/>
      <c r="BP73" s="151"/>
      <c r="BQ73" s="151"/>
      <c r="BR73" s="151"/>
      <c r="BS73" s="151"/>
      <c r="BT73" s="151"/>
      <c r="BU73" s="151"/>
      <c r="BV73" s="151"/>
      <c r="BW73" s="151"/>
      <c r="BX73" s="151"/>
      <c r="BY73" s="151"/>
      <c r="BZ73" s="151"/>
      <c r="CA73" s="151"/>
      <c r="CB73" s="151"/>
      <c r="CC73" s="151"/>
      <c r="CD73" s="151"/>
      <c r="CE73" s="151"/>
      <c r="CF73" s="151"/>
      <c r="CG73" s="151"/>
      <c r="CH73" s="151"/>
      <c r="CI73" s="151"/>
      <c r="CJ73" s="151"/>
      <c r="CK73" s="151"/>
      <c r="CL73" s="151"/>
      <c r="CM73" s="151"/>
      <c r="CN73" s="151"/>
      <c r="CO73" s="151"/>
      <c r="CP73" s="151"/>
      <c r="CQ73" s="151"/>
      <c r="CR73" s="151"/>
      <c r="CS73" s="151"/>
      <c r="CT73" s="151"/>
      <c r="CU73" s="151"/>
      <c r="CV73" s="151"/>
      <c r="CW73" s="151"/>
      <c r="CX73" s="151"/>
      <c r="CY73" s="151"/>
      <c r="CZ73" s="151"/>
      <c r="DA73" s="151"/>
      <c r="DB73" s="151"/>
      <c r="DC73" s="151"/>
      <c r="DD73" s="151"/>
      <c r="DE73" s="151"/>
      <c r="DF73" s="151"/>
      <c r="DG73" s="151"/>
      <c r="DH73" s="151"/>
      <c r="DI73" s="151"/>
      <c r="DJ73" s="151"/>
      <c r="DK73" s="151"/>
      <c r="DL73" s="151"/>
      <c r="DM73" s="151"/>
      <c r="DN73" s="151"/>
      <c r="DO73" s="151"/>
      <c r="DP73" s="151"/>
      <c r="DQ73" s="151"/>
      <c r="DR73" s="151"/>
      <c r="DS73" s="151"/>
      <c r="DT73" s="151"/>
      <c r="DU73" s="151"/>
      <c r="DV73" s="151"/>
      <c r="DW73" s="151"/>
      <c r="DX73" s="151"/>
      <c r="DY73" s="151"/>
      <c r="DZ73" s="151"/>
      <c r="EA73" s="151"/>
      <c r="EB73" s="151"/>
      <c r="EC73" s="151"/>
      <c r="ED73" s="151"/>
      <c r="EE73" s="151"/>
      <c r="EF73" s="151"/>
      <c r="EG73" s="151"/>
      <c r="EH73" s="151"/>
      <c r="EI73" s="151"/>
      <c r="EJ73" s="151"/>
      <c r="EK73" s="151"/>
      <c r="EL73" s="151"/>
      <c r="EM73" s="151"/>
      <c r="EN73" s="151"/>
      <c r="EO73" s="151"/>
      <c r="EP73" s="151"/>
      <c r="EQ73" s="151"/>
      <c r="ER73" s="151"/>
      <c r="ES73" s="151"/>
      <c r="ET73" s="151"/>
      <c r="EU73" s="151"/>
      <c r="EV73" s="151"/>
      <c r="EW73" s="151"/>
      <c r="EX73" s="151"/>
      <c r="EY73" s="151"/>
      <c r="EZ73" s="151"/>
      <c r="FA73" s="151"/>
      <c r="FB73" s="151"/>
      <c r="FC73" s="151"/>
      <c r="FD73" s="151"/>
      <c r="FE73" s="151"/>
      <c r="FF73" s="151"/>
      <c r="FG73" s="151"/>
      <c r="FH73" s="151"/>
      <c r="FI73" s="151"/>
      <c r="FJ73" s="151"/>
      <c r="FK73" s="151"/>
      <c r="FL73" s="151"/>
      <c r="FM73" s="151"/>
      <c r="FN73" s="151"/>
      <c r="FO73" s="151"/>
      <c r="FP73" s="151"/>
      <c r="FQ73" s="151"/>
      <c r="FR73" s="151"/>
      <c r="FS73" s="151"/>
      <c r="FT73" s="151"/>
      <c r="FU73" s="151"/>
      <c r="FV73" s="151"/>
      <c r="FW73" s="151"/>
      <c r="FX73" s="151"/>
      <c r="FY73" s="151"/>
      <c r="FZ73" s="151"/>
      <c r="GA73" s="151"/>
      <c r="GB73" s="151"/>
      <c r="GC73" s="151"/>
      <c r="GD73" s="151"/>
      <c r="GE73" s="151"/>
      <c r="GF73" s="151"/>
      <c r="GG73" s="152"/>
    </row>
    <row r="74" spans="1:189" ht="27.75" x14ac:dyDescent="0.35">
      <c r="A74" s="281" t="s">
        <v>772</v>
      </c>
      <c r="B74" s="282" t="s">
        <v>1068</v>
      </c>
      <c r="C74" s="282" t="s">
        <v>1113</v>
      </c>
      <c r="D74" s="283"/>
      <c r="E74" s="282" t="s">
        <v>1276</v>
      </c>
      <c r="F74" s="282" t="s">
        <v>1277</v>
      </c>
      <c r="G74" s="284">
        <v>2</v>
      </c>
      <c r="H74" s="285" t="s">
        <v>1366</v>
      </c>
      <c r="I74" s="286"/>
      <c r="J74" s="286"/>
      <c r="K74" s="286"/>
      <c r="L74" s="287"/>
      <c r="M74" s="287"/>
      <c r="N74" s="287"/>
      <c r="O74" s="287">
        <v>46073</v>
      </c>
      <c r="P74" s="287">
        <v>46234</v>
      </c>
      <c r="Q74" s="288" t="s">
        <v>45</v>
      </c>
      <c r="R74" s="289"/>
      <c r="S74" s="289">
        <f>374990-SUM(S75)</f>
        <v>124990</v>
      </c>
      <c r="T74" s="289"/>
      <c r="U74" s="191">
        <f t="shared" si="92"/>
        <v>0</v>
      </c>
      <c r="V74" s="291"/>
      <c r="W74" s="308"/>
      <c r="X74" s="46"/>
      <c r="Y74" s="167">
        <f t="shared" si="93"/>
        <v>124990</v>
      </c>
      <c r="Z74" s="167">
        <f t="shared" si="94"/>
        <v>0</v>
      </c>
      <c r="AA74" s="167">
        <f t="shared" si="95"/>
        <v>124990</v>
      </c>
      <c r="AB74" s="167">
        <f t="shared" si="96"/>
        <v>0</v>
      </c>
      <c r="AC74" s="167">
        <f t="shared" si="97"/>
        <v>0</v>
      </c>
      <c r="AD74" s="167">
        <f t="shared" si="98"/>
        <v>0</v>
      </c>
      <c r="AF74" s="180">
        <f t="shared" si="99"/>
        <v>1</v>
      </c>
      <c r="AG74" s="202" t="str">
        <f t="shared" si="100"/>
        <v>Robert Klimczak Steel structure of facility B4 (without roof)</v>
      </c>
      <c r="AH74" s="172"/>
      <c r="AI74" s="173"/>
      <c r="AJ74" s="173"/>
      <c r="AK74" s="173"/>
      <c r="AL74" s="173"/>
      <c r="AM74" s="173"/>
      <c r="AN74" s="173"/>
      <c r="AO74" s="173"/>
      <c r="AP74" s="173"/>
      <c r="AQ74" s="173"/>
      <c r="AR74" s="173"/>
      <c r="AS74" s="173"/>
      <c r="AT74" s="173"/>
      <c r="AU74" s="173"/>
      <c r="AV74" s="173"/>
      <c r="AW74" s="173"/>
      <c r="AX74" s="173"/>
      <c r="AY74" s="173"/>
      <c r="AZ74" s="173"/>
      <c r="BA74" s="173"/>
      <c r="BB74" s="173"/>
      <c r="BC74" s="173"/>
      <c r="BD74" s="173"/>
      <c r="BE74" s="173"/>
      <c r="BF74" s="173"/>
      <c r="BG74" s="173"/>
      <c r="BH74" s="173"/>
      <c r="BI74" s="173"/>
      <c r="BJ74" s="173"/>
      <c r="BK74" s="173"/>
      <c r="BL74" s="173"/>
      <c r="BM74" s="173"/>
      <c r="BN74" s="173"/>
      <c r="BO74" s="173"/>
      <c r="BP74" s="173"/>
      <c r="BQ74" s="173"/>
      <c r="BR74" s="173"/>
      <c r="BS74" s="173"/>
      <c r="BT74" s="173"/>
      <c r="BU74" s="173"/>
      <c r="BV74" s="173"/>
      <c r="BW74" s="173"/>
      <c r="BX74" s="173"/>
      <c r="BY74" s="173"/>
      <c r="BZ74" s="173"/>
      <c r="CA74" s="173"/>
      <c r="CB74" s="173"/>
      <c r="CC74" s="173"/>
      <c r="CD74" s="173"/>
      <c r="CE74" s="173"/>
      <c r="CF74" s="173"/>
      <c r="CG74" s="173"/>
      <c r="CH74" s="173"/>
      <c r="CI74" s="173"/>
      <c r="CJ74" s="173"/>
      <c r="CK74" s="173"/>
      <c r="CL74" s="173"/>
      <c r="CM74" s="173"/>
      <c r="CN74" s="173"/>
      <c r="CO74" s="173"/>
      <c r="CP74" s="173"/>
      <c r="CQ74" s="173"/>
      <c r="CR74" s="173"/>
      <c r="CS74" s="173"/>
      <c r="CT74" s="173"/>
      <c r="CU74" s="173"/>
      <c r="CV74" s="173"/>
      <c r="CW74" s="173"/>
      <c r="CX74" s="173"/>
      <c r="CY74" s="151"/>
      <c r="CZ74" s="151"/>
      <c r="DA74" s="151"/>
      <c r="DB74" s="151"/>
      <c r="DC74" s="151"/>
      <c r="DD74" s="151"/>
      <c r="DE74" s="151"/>
      <c r="DF74" s="151"/>
      <c r="DG74" s="151"/>
      <c r="DH74" s="151"/>
      <c r="DI74" s="151"/>
      <c r="DJ74" s="151"/>
      <c r="DK74" s="151"/>
      <c r="DL74" s="151"/>
      <c r="DM74" s="151"/>
      <c r="DN74" s="151"/>
      <c r="DO74" s="151"/>
      <c r="DP74" s="151"/>
      <c r="DQ74" s="151"/>
      <c r="DR74" s="151"/>
      <c r="DS74" s="151"/>
      <c r="DT74" s="151"/>
      <c r="DU74" s="151"/>
      <c r="DV74" s="151"/>
      <c r="DW74" s="151"/>
      <c r="DX74" s="151"/>
      <c r="DY74" s="151"/>
      <c r="DZ74" s="151"/>
      <c r="EA74" s="151"/>
      <c r="EB74" s="151"/>
      <c r="EC74" s="151"/>
      <c r="ED74" s="151"/>
      <c r="EE74" s="151"/>
      <c r="EF74" s="151"/>
      <c r="EG74" s="151"/>
      <c r="EH74" s="151"/>
      <c r="EI74" s="151"/>
      <c r="EJ74" s="151"/>
      <c r="EK74" s="151"/>
      <c r="EL74" s="151"/>
      <c r="EM74" s="151"/>
      <c r="EN74" s="151"/>
      <c r="EO74" s="151"/>
      <c r="EP74" s="151"/>
      <c r="EQ74" s="151"/>
      <c r="ER74" s="151"/>
      <c r="ES74" s="151"/>
      <c r="ET74" s="151"/>
      <c r="EU74" s="151"/>
      <c r="EV74" s="151"/>
      <c r="EW74" s="151"/>
      <c r="EX74" s="151"/>
      <c r="EY74" s="151"/>
      <c r="EZ74" s="151"/>
      <c r="FA74" s="151"/>
      <c r="FB74" s="151"/>
      <c r="FC74" s="151"/>
      <c r="FD74" s="151"/>
      <c r="FE74" s="151"/>
      <c r="FF74" s="151"/>
      <c r="FG74" s="151"/>
      <c r="FH74" s="151"/>
      <c r="FI74" s="151"/>
      <c r="FJ74" s="151"/>
      <c r="FK74" s="151"/>
      <c r="FL74" s="151"/>
      <c r="FM74" s="151"/>
      <c r="FN74" s="151"/>
      <c r="FO74" s="151"/>
      <c r="FP74" s="151"/>
      <c r="FQ74" s="151"/>
      <c r="FR74" s="151"/>
      <c r="FS74" s="151"/>
      <c r="FT74" s="151"/>
      <c r="FU74" s="151"/>
      <c r="FV74" s="151"/>
      <c r="FW74" s="151"/>
      <c r="FX74" s="151"/>
      <c r="FY74" s="151"/>
      <c r="FZ74" s="151"/>
      <c r="GA74" s="151"/>
      <c r="GB74" s="151"/>
      <c r="GC74" s="151"/>
      <c r="GD74" s="151"/>
      <c r="GE74" s="151"/>
      <c r="GF74" s="151"/>
      <c r="GG74" s="152"/>
    </row>
    <row r="75" spans="1:189" ht="57" customHeight="1" x14ac:dyDescent="0.35">
      <c r="A75" s="267" t="s">
        <v>1275</v>
      </c>
      <c r="B75" s="221" t="s">
        <v>1068</v>
      </c>
      <c r="C75" s="221" t="s">
        <v>1113</v>
      </c>
      <c r="D75" s="222"/>
      <c r="E75" s="221" t="s">
        <v>1118</v>
      </c>
      <c r="F75" s="221" t="s">
        <v>1120</v>
      </c>
      <c r="G75" s="223">
        <v>2</v>
      </c>
      <c r="H75" s="224" t="s">
        <v>1106</v>
      </c>
      <c r="I75" s="225"/>
      <c r="J75" s="225"/>
      <c r="K75" s="225"/>
      <c r="L75" s="226">
        <v>45995</v>
      </c>
      <c r="M75" s="226">
        <v>46053</v>
      </c>
      <c r="N75" s="226">
        <v>46106</v>
      </c>
      <c r="O75" s="226">
        <v>46073</v>
      </c>
      <c r="P75" s="226">
        <v>46234</v>
      </c>
      <c r="Q75" s="227" t="s">
        <v>20</v>
      </c>
      <c r="R75" s="228"/>
      <c r="S75" s="228">
        <f>374990*0+250000</f>
        <v>250000</v>
      </c>
      <c r="T75" s="228">
        <v>246780</v>
      </c>
      <c r="U75" s="191">
        <f t="shared" ref="U75" si="110">IF(Q75="",0,IF(T75="",0,+S75-T75))</f>
        <v>3220</v>
      </c>
      <c r="V75" s="230"/>
      <c r="W75" s="232"/>
      <c r="X75" s="46"/>
      <c r="Y75" s="167">
        <f t="shared" ref="Y75" si="111">IF(G75=2,S75,0)</f>
        <v>250000</v>
      </c>
      <c r="Z75" s="167">
        <f t="shared" ref="Z75" si="112">IF(Q75="",0,IF(G75=2,T75,0))</f>
        <v>246780</v>
      </c>
      <c r="AA75" s="167">
        <f t="shared" ref="AA75" si="113">Y75-Z75</f>
        <v>3220</v>
      </c>
      <c r="AB75" s="167">
        <f t="shared" ref="AB75" si="114">IF(G75=1,S75,0)</f>
        <v>0</v>
      </c>
      <c r="AC75" s="167">
        <f t="shared" ref="AC75" si="115">IF(Q75="",0,IF(G75=1,T75,0))</f>
        <v>0</v>
      </c>
      <c r="AD75" s="167">
        <f t="shared" ref="AD75" si="116">AB75-AC75</f>
        <v>0</v>
      </c>
      <c r="AF75" s="180">
        <f t="shared" ref="AF75" si="117">IF(S75&lt;&gt;"",1,0)</f>
        <v>1</v>
      </c>
      <c r="AG75" s="202" t="str">
        <f t="shared" ref="AG75" si="118">B75&amp;" "&amp;F75</f>
        <v>Robert Klimczak Precast reinforced concrete structure of facility B4 (change from steel structure compared to the acquisition stage)</v>
      </c>
      <c r="AH75" s="153"/>
      <c r="AI75" s="154"/>
      <c r="AJ75" s="154"/>
      <c r="AK75" s="154"/>
      <c r="AL75" s="154"/>
      <c r="AM75" s="154"/>
      <c r="AN75" s="154"/>
      <c r="AO75" s="154"/>
      <c r="AP75" s="154"/>
      <c r="AQ75" s="154"/>
      <c r="AR75" s="154"/>
      <c r="AS75" s="154"/>
      <c r="AT75" s="154"/>
      <c r="AU75" s="154"/>
      <c r="AV75" s="154"/>
      <c r="AW75" s="154"/>
      <c r="AX75" s="154"/>
      <c r="AY75" s="154"/>
      <c r="AZ75" s="154"/>
      <c r="BA75" s="151"/>
      <c r="BB75" s="151"/>
      <c r="BC75" s="151"/>
      <c r="BD75" s="151"/>
      <c r="BE75" s="151"/>
      <c r="BF75" s="151"/>
      <c r="BG75" s="151"/>
      <c r="BH75" s="151"/>
      <c r="BI75" s="151"/>
      <c r="BJ75" s="151"/>
      <c r="BK75" s="151"/>
      <c r="BL75" s="151"/>
      <c r="BM75" s="151"/>
      <c r="BN75" s="151"/>
      <c r="BO75" s="151"/>
      <c r="BP75" s="151"/>
      <c r="BQ75" s="151"/>
      <c r="BR75" s="151"/>
      <c r="BS75" s="151"/>
      <c r="BT75" s="151"/>
      <c r="BU75" s="151"/>
      <c r="BV75" s="151"/>
      <c r="BW75" s="151"/>
      <c r="BX75" s="151"/>
      <c r="BY75" s="151"/>
      <c r="BZ75" s="151"/>
      <c r="CA75" s="151"/>
      <c r="CB75" s="151"/>
      <c r="CC75" s="151"/>
      <c r="CD75" s="151"/>
      <c r="CE75" s="151"/>
      <c r="CF75" s="151"/>
      <c r="CG75" s="151"/>
      <c r="CH75" s="151"/>
      <c r="CI75" s="151"/>
      <c r="CJ75" s="151"/>
      <c r="CK75" s="151"/>
      <c r="CL75" s="151"/>
      <c r="CM75" s="151"/>
      <c r="CN75" s="151"/>
      <c r="CO75" s="151"/>
      <c r="CP75" s="151"/>
      <c r="CQ75" s="151"/>
      <c r="CR75" s="151"/>
      <c r="CS75" s="151"/>
      <c r="CT75" s="151"/>
      <c r="CU75" s="151"/>
      <c r="CV75" s="151"/>
      <c r="CW75" s="151"/>
      <c r="CX75" s="151"/>
      <c r="CY75" s="151"/>
      <c r="CZ75" s="151"/>
      <c r="DA75" s="151"/>
      <c r="DB75" s="151"/>
      <c r="DC75" s="151"/>
      <c r="DD75" s="151"/>
      <c r="DE75" s="151"/>
      <c r="DF75" s="151"/>
      <c r="DG75" s="151"/>
      <c r="DH75" s="151"/>
      <c r="DI75" s="151"/>
      <c r="DJ75" s="151"/>
      <c r="DK75" s="151"/>
      <c r="DL75" s="151"/>
      <c r="DM75" s="151"/>
      <c r="DN75" s="151"/>
      <c r="DO75" s="151"/>
      <c r="DP75" s="151"/>
      <c r="DQ75" s="151"/>
      <c r="DR75" s="151"/>
      <c r="DS75" s="151"/>
      <c r="DT75" s="151"/>
      <c r="DU75" s="151"/>
      <c r="DV75" s="151"/>
      <c r="DW75" s="151"/>
      <c r="DX75" s="151"/>
      <c r="DY75" s="151"/>
      <c r="DZ75" s="151"/>
      <c r="EA75" s="151"/>
      <c r="EB75" s="151"/>
      <c r="EC75" s="151"/>
      <c r="ED75" s="151"/>
      <c r="EE75" s="151"/>
      <c r="EF75" s="151"/>
      <c r="EG75" s="151"/>
      <c r="EH75" s="151"/>
      <c r="EI75" s="151"/>
      <c r="EJ75" s="151"/>
      <c r="EK75" s="151"/>
      <c r="EL75" s="151"/>
      <c r="EM75" s="151"/>
      <c r="EN75" s="151"/>
      <c r="EO75" s="151"/>
      <c r="EP75" s="151"/>
      <c r="EQ75" s="151"/>
      <c r="ER75" s="151"/>
      <c r="ES75" s="151"/>
      <c r="ET75" s="151"/>
      <c r="EU75" s="151"/>
      <c r="EV75" s="151"/>
      <c r="EW75" s="151"/>
      <c r="EX75" s="151"/>
      <c r="EY75" s="151"/>
      <c r="EZ75" s="151"/>
      <c r="FA75" s="151"/>
      <c r="FB75" s="151"/>
      <c r="FC75" s="151"/>
      <c r="FD75" s="151"/>
      <c r="FE75" s="151"/>
      <c r="FF75" s="151"/>
      <c r="FG75" s="151"/>
      <c r="FH75" s="151"/>
      <c r="FI75" s="151"/>
      <c r="FJ75" s="151"/>
      <c r="FK75" s="151"/>
      <c r="FL75" s="151"/>
      <c r="FM75" s="151"/>
      <c r="FN75" s="151"/>
      <c r="FO75" s="151"/>
      <c r="FP75" s="151"/>
      <c r="FQ75" s="151"/>
      <c r="FR75" s="151"/>
      <c r="FS75" s="151"/>
      <c r="FT75" s="151"/>
      <c r="FU75" s="151"/>
      <c r="FV75" s="151"/>
      <c r="FW75" s="151"/>
      <c r="FX75" s="151"/>
      <c r="FY75" s="151"/>
      <c r="FZ75" s="151"/>
      <c r="GA75" s="151"/>
      <c r="GB75" s="151"/>
      <c r="GC75" s="151"/>
      <c r="GD75" s="151"/>
      <c r="GE75" s="151"/>
      <c r="GF75" s="151"/>
      <c r="GG75" s="152"/>
    </row>
    <row r="76" spans="1:189" ht="55.5" x14ac:dyDescent="0.35">
      <c r="A76" s="281" t="s">
        <v>1115</v>
      </c>
      <c r="B76" s="282" t="s">
        <v>1068</v>
      </c>
      <c r="C76" s="282" t="s">
        <v>1096</v>
      </c>
      <c r="D76" s="283"/>
      <c r="E76" s="282" t="s">
        <v>773</v>
      </c>
      <c r="F76" s="282" t="s">
        <v>780</v>
      </c>
      <c r="G76" s="284">
        <v>2</v>
      </c>
      <c r="H76" s="285" t="s">
        <v>1328</v>
      </c>
      <c r="I76" s="286"/>
      <c r="J76" s="286"/>
      <c r="K76" s="286"/>
      <c r="L76" s="287">
        <v>46205</v>
      </c>
      <c r="M76" s="287">
        <v>46237</v>
      </c>
      <c r="N76" s="287"/>
      <c r="O76" s="287">
        <v>46143</v>
      </c>
      <c r="P76" s="287">
        <v>46387</v>
      </c>
      <c r="Q76" s="288" t="s">
        <v>45</v>
      </c>
      <c r="R76" s="289">
        <v>470146.22671576589</v>
      </c>
      <c r="S76" s="289">
        <v>470146.22671576589</v>
      </c>
      <c r="T76" s="289"/>
      <c r="U76" s="191">
        <f t="shared" ref="U76" si="119">IF(Q76="",0,IF(T76="",0,+S76-T76))</f>
        <v>0</v>
      </c>
      <c r="V76" s="291"/>
      <c r="W76" s="308"/>
      <c r="X76" s="46"/>
      <c r="Y76" s="167">
        <f t="shared" ref="Y76" si="120">IF(G76=2,S76,0)</f>
        <v>470146.22671576589</v>
      </c>
      <c r="Z76" s="167">
        <f t="shared" ref="Z76" si="121">IF(Q76="",0,IF(G76=2,T76,0))</f>
        <v>0</v>
      </c>
      <c r="AA76" s="167">
        <f t="shared" ref="AA76" si="122">Y76-Z76</f>
        <v>470146.22671576589</v>
      </c>
      <c r="AB76" s="167">
        <f t="shared" ref="AB76" si="123">IF(G76=1,S76,0)</f>
        <v>0</v>
      </c>
      <c r="AC76" s="167">
        <f t="shared" ref="AC76" si="124">IF(Q76="",0,IF(G76=1,T76,0))</f>
        <v>0</v>
      </c>
      <c r="AD76" s="167">
        <f t="shared" ref="AD76" si="125">AB76-AC76</f>
        <v>0</v>
      </c>
      <c r="AF76" s="180">
        <f t="shared" ref="AF76" si="126">IF(S76&lt;&gt;"",1,0)</f>
        <v>1</v>
      </c>
      <c r="AG76" s="202" t="str">
        <f t="shared" ref="AG76" si="127">B76&amp;" "&amp;F76</f>
        <v>Robert Klimczak Steel structure of the staircase in the B1.4 facility (change from the reinforced concrete structure in relation to the acquisition stage)</v>
      </c>
      <c r="AH76" s="172"/>
      <c r="AI76" s="173"/>
      <c r="AJ76" s="173"/>
      <c r="AK76" s="173"/>
      <c r="AL76" s="173"/>
      <c r="AM76" s="173"/>
      <c r="AN76" s="173"/>
      <c r="AO76" s="173"/>
      <c r="AP76" s="173"/>
      <c r="AQ76" s="173"/>
      <c r="AR76" s="173"/>
      <c r="AS76" s="173"/>
      <c r="AT76" s="173"/>
      <c r="AU76" s="173"/>
      <c r="AV76" s="173"/>
      <c r="AW76" s="173"/>
      <c r="AX76" s="173"/>
      <c r="AY76" s="173"/>
      <c r="AZ76" s="173"/>
      <c r="BA76" s="173"/>
      <c r="BB76" s="173"/>
      <c r="BC76" s="173"/>
      <c r="BD76" s="173"/>
      <c r="BE76" s="173"/>
      <c r="BF76" s="173"/>
      <c r="BG76" s="173"/>
      <c r="BH76" s="173"/>
      <c r="BI76" s="173"/>
      <c r="BJ76" s="173"/>
      <c r="BK76" s="173"/>
      <c r="BL76" s="173"/>
      <c r="BM76" s="173"/>
      <c r="BN76" s="173"/>
      <c r="BO76" s="173"/>
      <c r="BP76" s="173"/>
      <c r="BQ76" s="173"/>
      <c r="BR76" s="173"/>
      <c r="BS76" s="173"/>
      <c r="BT76" s="173"/>
      <c r="BU76" s="173"/>
      <c r="BV76" s="173"/>
      <c r="BW76" s="173"/>
      <c r="BX76" s="173"/>
      <c r="BY76" s="173"/>
      <c r="BZ76" s="173"/>
      <c r="CA76" s="173"/>
      <c r="CB76" s="173"/>
      <c r="CC76" s="173"/>
      <c r="CD76" s="173"/>
      <c r="CE76" s="173"/>
      <c r="CF76" s="173"/>
      <c r="CG76" s="173"/>
      <c r="CH76" s="173"/>
      <c r="CI76" s="173"/>
      <c r="CJ76" s="173"/>
      <c r="CK76" s="173"/>
      <c r="CL76" s="173"/>
      <c r="CM76" s="173"/>
      <c r="CN76" s="173"/>
      <c r="CO76" s="173"/>
      <c r="CP76" s="173"/>
      <c r="CQ76" s="173"/>
      <c r="CR76" s="173"/>
      <c r="CS76" s="173"/>
      <c r="CT76" s="173"/>
      <c r="CU76" s="173"/>
      <c r="CV76" s="173"/>
      <c r="CW76" s="173"/>
      <c r="CX76" s="173"/>
      <c r="CY76" s="151"/>
      <c r="CZ76" s="151"/>
      <c r="DA76" s="151"/>
      <c r="DB76" s="151"/>
      <c r="DC76" s="151"/>
      <c r="DD76" s="151"/>
      <c r="DE76" s="151"/>
      <c r="DF76" s="151"/>
      <c r="DG76" s="151"/>
      <c r="DH76" s="151"/>
      <c r="DI76" s="151"/>
      <c r="DJ76" s="151"/>
      <c r="DK76" s="151"/>
      <c r="DL76" s="151"/>
      <c r="DM76" s="151"/>
      <c r="DN76" s="151"/>
      <c r="DO76" s="151"/>
      <c r="DP76" s="151"/>
      <c r="DQ76" s="151"/>
      <c r="DR76" s="151"/>
      <c r="DS76" s="151"/>
      <c r="DT76" s="151"/>
      <c r="DU76" s="151"/>
      <c r="DV76" s="151"/>
      <c r="DW76" s="151"/>
      <c r="DX76" s="151"/>
      <c r="DY76" s="151"/>
      <c r="DZ76" s="151"/>
      <c r="EA76" s="151"/>
      <c r="EB76" s="151"/>
      <c r="EC76" s="151"/>
      <c r="ED76" s="151"/>
      <c r="EE76" s="151"/>
      <c r="EF76" s="151"/>
      <c r="EG76" s="151"/>
      <c r="EH76" s="151"/>
      <c r="EI76" s="151"/>
      <c r="EJ76" s="151"/>
      <c r="EK76" s="151"/>
      <c r="EL76" s="151"/>
      <c r="EM76" s="151"/>
      <c r="EN76" s="151"/>
      <c r="EO76" s="151"/>
      <c r="EP76" s="151"/>
      <c r="EQ76" s="151"/>
      <c r="ER76" s="151"/>
      <c r="ES76" s="151"/>
      <c r="ET76" s="151"/>
      <c r="EU76" s="151"/>
      <c r="EV76" s="151"/>
      <c r="EW76" s="151"/>
      <c r="EX76" s="151"/>
      <c r="EY76" s="151"/>
      <c r="EZ76" s="151"/>
      <c r="FA76" s="151"/>
      <c r="FB76" s="151"/>
      <c r="FC76" s="151"/>
      <c r="FD76" s="151"/>
      <c r="FE76" s="151"/>
      <c r="FF76" s="151"/>
      <c r="FG76" s="151"/>
      <c r="FH76" s="151"/>
      <c r="FI76" s="151"/>
      <c r="FJ76" s="151"/>
      <c r="FK76" s="151"/>
      <c r="FL76" s="151"/>
      <c r="FM76" s="151"/>
      <c r="FN76" s="151"/>
      <c r="FO76" s="151"/>
      <c r="FP76" s="151"/>
      <c r="FQ76" s="151"/>
      <c r="FR76" s="151"/>
      <c r="FS76" s="151"/>
      <c r="FT76" s="151"/>
      <c r="FU76" s="151"/>
      <c r="FV76" s="151"/>
      <c r="FW76" s="151"/>
      <c r="FX76" s="151"/>
      <c r="FY76" s="151"/>
      <c r="FZ76" s="151"/>
      <c r="GA76" s="151"/>
      <c r="GB76" s="151"/>
      <c r="GC76" s="151"/>
      <c r="GD76" s="151"/>
      <c r="GE76" s="151"/>
      <c r="GF76" s="151"/>
      <c r="GG76" s="152"/>
    </row>
    <row r="77" spans="1:189" ht="41.65" x14ac:dyDescent="0.35">
      <c r="A77" s="281" t="s">
        <v>1116</v>
      </c>
      <c r="B77" s="282" t="s">
        <v>1068</v>
      </c>
      <c r="C77" s="282" t="s">
        <v>1096</v>
      </c>
      <c r="D77" s="283"/>
      <c r="E77" s="282" t="s">
        <v>1364</v>
      </c>
      <c r="F77" s="282" t="s">
        <v>1365</v>
      </c>
      <c r="G77" s="284">
        <v>2</v>
      </c>
      <c r="H77" s="285" t="s">
        <v>1368</v>
      </c>
      <c r="I77" s="286"/>
      <c r="J77" s="286"/>
      <c r="K77" s="286"/>
      <c r="L77" s="287">
        <v>46169</v>
      </c>
      <c r="M77" s="287">
        <v>46201</v>
      </c>
      <c r="N77" s="287">
        <v>46142</v>
      </c>
      <c r="O77" s="287">
        <v>46143</v>
      </c>
      <c r="P77" s="287">
        <v>46387</v>
      </c>
      <c r="Q77" s="288" t="s">
        <v>23</v>
      </c>
      <c r="R77" s="289">
        <v>425469.4322980452</v>
      </c>
      <c r="S77" s="289">
        <v>425469.4322980452</v>
      </c>
      <c r="T77" s="289">
        <v>380800</v>
      </c>
      <c r="U77" s="191">
        <f t="shared" si="28"/>
        <v>44669.432298045198</v>
      </c>
      <c r="V77" s="291"/>
      <c r="W77" s="308"/>
      <c r="X77" s="46"/>
      <c r="Y77" s="167">
        <f t="shared" si="22"/>
        <v>425469.4322980452</v>
      </c>
      <c r="Z77" s="167">
        <f t="shared" si="23"/>
        <v>380800</v>
      </c>
      <c r="AA77" s="167">
        <f t="shared" si="24"/>
        <v>44669.432298045198</v>
      </c>
      <c r="AB77" s="167">
        <f t="shared" si="25"/>
        <v>0</v>
      </c>
      <c r="AC77" s="167">
        <f t="shared" si="26"/>
        <v>0</v>
      </c>
      <c r="AD77" s="167">
        <f t="shared" si="27"/>
        <v>0</v>
      </c>
      <c r="AF77" s="180">
        <f t="shared" si="21"/>
        <v>1</v>
      </c>
      <c r="AG77" s="202" t="str">
        <f t="shared" si="13"/>
        <v>Robert Klimczak Gantry beams B1.2</v>
      </c>
      <c r="AH77" s="172"/>
      <c r="AI77" s="173"/>
      <c r="AJ77" s="173"/>
      <c r="AK77" s="173"/>
      <c r="AL77" s="173"/>
      <c r="AM77" s="173"/>
      <c r="AN77" s="173"/>
      <c r="AO77" s="173"/>
      <c r="AP77" s="173"/>
      <c r="AQ77" s="173"/>
      <c r="AR77" s="173"/>
      <c r="AS77" s="173"/>
      <c r="AT77" s="173"/>
      <c r="AU77" s="173"/>
      <c r="AV77" s="173"/>
      <c r="AW77" s="173"/>
      <c r="AX77" s="173"/>
      <c r="AY77" s="173"/>
      <c r="AZ77" s="173"/>
      <c r="BA77" s="173"/>
      <c r="BB77" s="173"/>
      <c r="BC77" s="173"/>
      <c r="BD77" s="173"/>
      <c r="BE77" s="173"/>
      <c r="BF77" s="173"/>
      <c r="BG77" s="173"/>
      <c r="BH77" s="173"/>
      <c r="BI77" s="173"/>
      <c r="BJ77" s="173"/>
      <c r="BK77" s="173"/>
      <c r="BL77" s="173"/>
      <c r="BM77" s="173"/>
      <c r="BN77" s="173"/>
      <c r="BO77" s="173"/>
      <c r="BP77" s="173"/>
      <c r="BQ77" s="173"/>
      <c r="BR77" s="173"/>
      <c r="BS77" s="173"/>
      <c r="BT77" s="173"/>
      <c r="BU77" s="173"/>
      <c r="BV77" s="173"/>
      <c r="BW77" s="173"/>
      <c r="BX77" s="173"/>
      <c r="BY77" s="173"/>
      <c r="BZ77" s="173"/>
      <c r="CA77" s="173"/>
      <c r="CB77" s="173"/>
      <c r="CC77" s="173"/>
      <c r="CD77" s="173"/>
      <c r="CE77" s="173"/>
      <c r="CF77" s="173"/>
      <c r="CG77" s="173"/>
      <c r="CH77" s="173"/>
      <c r="CI77" s="173"/>
      <c r="CJ77" s="173"/>
      <c r="CK77" s="173"/>
      <c r="CL77" s="173"/>
      <c r="CM77" s="173"/>
      <c r="CN77" s="173"/>
      <c r="CO77" s="173"/>
      <c r="CP77" s="173"/>
      <c r="CQ77" s="173"/>
      <c r="CR77" s="173"/>
      <c r="CS77" s="173"/>
      <c r="CT77" s="173"/>
      <c r="CU77" s="173"/>
      <c r="CV77" s="173"/>
      <c r="CW77" s="173"/>
      <c r="CX77" s="173"/>
      <c r="CY77" s="151"/>
      <c r="CZ77" s="151"/>
      <c r="DA77" s="151"/>
      <c r="DB77" s="151"/>
      <c r="DC77" s="151"/>
      <c r="DD77" s="151"/>
      <c r="DE77" s="151"/>
      <c r="DF77" s="151"/>
      <c r="DG77" s="151"/>
      <c r="DH77" s="151"/>
      <c r="DI77" s="151"/>
      <c r="DJ77" s="151"/>
      <c r="DK77" s="151"/>
      <c r="DL77" s="151"/>
      <c r="DM77" s="151"/>
      <c r="DN77" s="151"/>
      <c r="DO77" s="151"/>
      <c r="DP77" s="151"/>
      <c r="DQ77" s="151"/>
      <c r="DR77" s="151"/>
      <c r="DS77" s="151"/>
      <c r="DT77" s="151"/>
      <c r="DU77" s="151"/>
      <c r="DV77" s="151"/>
      <c r="DW77" s="151"/>
      <c r="DX77" s="151"/>
      <c r="DY77" s="151"/>
      <c r="DZ77" s="151"/>
      <c r="EA77" s="151"/>
      <c r="EB77" s="151"/>
      <c r="EC77" s="151"/>
      <c r="ED77" s="151"/>
      <c r="EE77" s="151"/>
      <c r="EF77" s="151"/>
      <c r="EG77" s="151"/>
      <c r="EH77" s="151"/>
      <c r="EI77" s="151"/>
      <c r="EJ77" s="151"/>
      <c r="EK77" s="151"/>
      <c r="EL77" s="151"/>
      <c r="EM77" s="151"/>
      <c r="EN77" s="151"/>
      <c r="EO77" s="151"/>
      <c r="EP77" s="151"/>
      <c r="EQ77" s="151"/>
      <c r="ER77" s="151"/>
      <c r="ES77" s="151"/>
      <c r="ET77" s="151"/>
      <c r="EU77" s="151"/>
      <c r="EV77" s="151"/>
      <c r="EW77" s="151"/>
      <c r="EX77" s="151"/>
      <c r="EY77" s="151"/>
      <c r="EZ77" s="151"/>
      <c r="FA77" s="151"/>
      <c r="FB77" s="151"/>
      <c r="FC77" s="151"/>
      <c r="FD77" s="151"/>
      <c r="FE77" s="151"/>
      <c r="FF77" s="151"/>
      <c r="FG77" s="151"/>
      <c r="FH77" s="151"/>
      <c r="FI77" s="151"/>
      <c r="FJ77" s="151"/>
      <c r="FK77" s="151"/>
      <c r="FL77" s="151"/>
      <c r="FM77" s="151"/>
      <c r="FN77" s="151"/>
      <c r="FO77" s="151"/>
      <c r="FP77" s="151"/>
      <c r="FQ77" s="151"/>
      <c r="FR77" s="151"/>
      <c r="FS77" s="151"/>
      <c r="FT77" s="151"/>
      <c r="FU77" s="151"/>
      <c r="FV77" s="151"/>
      <c r="FW77" s="151"/>
      <c r="FX77" s="151"/>
      <c r="FY77" s="151"/>
      <c r="FZ77" s="151"/>
      <c r="GA77" s="151"/>
      <c r="GB77" s="151"/>
      <c r="GC77" s="151"/>
      <c r="GD77" s="151"/>
      <c r="GE77" s="151"/>
      <c r="GF77" s="151"/>
      <c r="GG77" s="152"/>
    </row>
    <row r="78" spans="1:189" x14ac:dyDescent="0.35">
      <c r="A78" s="237" t="s">
        <v>690</v>
      </c>
      <c r="B78" s="236"/>
      <c r="C78" s="236"/>
      <c r="D78" s="237"/>
      <c r="E78" s="236" t="s">
        <v>281</v>
      </c>
      <c r="F78" s="236" t="s">
        <v>729</v>
      </c>
      <c r="G78" s="238">
        <v>2</v>
      </c>
      <c r="H78" s="239"/>
      <c r="I78" s="240"/>
      <c r="J78" s="240"/>
      <c r="K78" s="240"/>
      <c r="L78" s="241">
        <v>46142</v>
      </c>
      <c r="M78" s="241">
        <v>46173</v>
      </c>
      <c r="N78" s="241"/>
      <c r="O78" s="241">
        <v>46204</v>
      </c>
      <c r="P78" s="241">
        <v>46356</v>
      </c>
      <c r="Q78" s="242" t="s">
        <v>45</v>
      </c>
      <c r="R78" s="243">
        <v>687451.2464395162</v>
      </c>
      <c r="S78" s="243">
        <v>687451.2464395162</v>
      </c>
      <c r="T78" s="243"/>
      <c r="U78" s="191">
        <f t="shared" si="28"/>
        <v>0</v>
      </c>
      <c r="V78" s="244"/>
      <c r="W78" s="245"/>
      <c r="X78" s="46"/>
      <c r="Y78" s="167">
        <f t="shared" si="22"/>
        <v>687451.2464395162</v>
      </c>
      <c r="Z78" s="167">
        <f t="shared" si="23"/>
        <v>0</v>
      </c>
      <c r="AA78" s="167">
        <f t="shared" si="24"/>
        <v>687451.2464395162</v>
      </c>
      <c r="AB78" s="167">
        <f t="shared" si="25"/>
        <v>0</v>
      </c>
      <c r="AC78" s="167">
        <f t="shared" si="26"/>
        <v>0</v>
      </c>
      <c r="AD78" s="167">
        <f t="shared" si="27"/>
        <v>0</v>
      </c>
      <c r="AF78" s="180">
        <f t="shared" si="21"/>
        <v>1</v>
      </c>
      <c r="AG78" s="202" t="str">
        <f t="shared" si="13"/>
        <v xml:space="preserve"> Brick walls</v>
      </c>
      <c r="AH78" s="172"/>
      <c r="AI78" s="173"/>
      <c r="AJ78" s="173"/>
      <c r="AK78" s="173"/>
      <c r="AL78" s="173"/>
      <c r="AM78" s="173"/>
      <c r="AN78" s="173"/>
      <c r="AO78" s="173"/>
      <c r="AP78" s="173"/>
      <c r="AQ78" s="173"/>
      <c r="AR78" s="173"/>
      <c r="AS78" s="173"/>
      <c r="AT78" s="173"/>
      <c r="AU78" s="173"/>
      <c r="AV78" s="173"/>
      <c r="AW78" s="173"/>
      <c r="AX78" s="173"/>
      <c r="AY78" s="173"/>
      <c r="AZ78" s="173"/>
      <c r="BA78" s="173"/>
      <c r="BB78" s="173"/>
      <c r="BC78" s="173"/>
      <c r="BD78" s="173"/>
      <c r="BE78" s="173"/>
      <c r="BF78" s="173"/>
      <c r="BG78" s="173"/>
      <c r="BH78" s="173"/>
      <c r="BI78" s="173"/>
      <c r="BJ78" s="173"/>
      <c r="BK78" s="173"/>
      <c r="BL78" s="173"/>
      <c r="BM78" s="173"/>
      <c r="BN78" s="173"/>
      <c r="BO78" s="173"/>
      <c r="BP78" s="173"/>
      <c r="BQ78" s="173"/>
      <c r="BR78" s="173"/>
      <c r="BS78" s="173"/>
      <c r="BT78" s="173"/>
      <c r="BU78" s="173"/>
      <c r="BV78" s="173"/>
      <c r="BW78" s="173"/>
      <c r="BX78" s="173"/>
      <c r="BY78" s="173"/>
      <c r="BZ78" s="173"/>
      <c r="CA78" s="173"/>
      <c r="CB78" s="173"/>
      <c r="CC78" s="173"/>
      <c r="CD78" s="173"/>
      <c r="CE78" s="173"/>
      <c r="CF78" s="173"/>
      <c r="CG78" s="173"/>
      <c r="CH78" s="173"/>
      <c r="CI78" s="173"/>
      <c r="CJ78" s="173"/>
      <c r="CK78" s="173"/>
      <c r="CL78" s="173"/>
      <c r="CM78" s="173"/>
      <c r="CN78" s="173"/>
      <c r="CO78" s="173"/>
      <c r="CP78" s="173"/>
      <c r="CQ78" s="173"/>
      <c r="CR78" s="173"/>
      <c r="CS78" s="173"/>
      <c r="CT78" s="173"/>
      <c r="CU78" s="173"/>
      <c r="CV78" s="173"/>
      <c r="CW78" s="173"/>
      <c r="CX78" s="173"/>
      <c r="CY78" s="151"/>
      <c r="CZ78" s="151"/>
      <c r="DA78" s="151"/>
      <c r="DB78" s="151"/>
      <c r="DC78" s="151"/>
      <c r="DD78" s="151"/>
      <c r="DE78" s="151"/>
      <c r="DF78" s="151"/>
      <c r="DG78" s="151"/>
      <c r="DH78" s="151"/>
      <c r="DI78" s="151"/>
      <c r="DJ78" s="151"/>
      <c r="DK78" s="151"/>
      <c r="DL78" s="151"/>
      <c r="DM78" s="151"/>
      <c r="DN78" s="151"/>
      <c r="DO78" s="151"/>
      <c r="DP78" s="151"/>
      <c r="DQ78" s="151"/>
      <c r="DR78" s="151"/>
      <c r="DS78" s="151"/>
      <c r="DT78" s="151"/>
      <c r="DU78" s="151"/>
      <c r="DV78" s="151"/>
      <c r="DW78" s="151"/>
      <c r="DX78" s="151"/>
      <c r="DY78" s="151"/>
      <c r="DZ78" s="151"/>
      <c r="EA78" s="151"/>
      <c r="EB78" s="151"/>
      <c r="EC78" s="151"/>
      <c r="ED78" s="151"/>
      <c r="EE78" s="151"/>
      <c r="EF78" s="151"/>
      <c r="EG78" s="151"/>
      <c r="EH78" s="151"/>
      <c r="EI78" s="151"/>
      <c r="EJ78" s="151"/>
      <c r="EK78" s="151"/>
      <c r="EL78" s="151"/>
      <c r="EM78" s="151"/>
      <c r="EN78" s="151"/>
      <c r="EO78" s="151"/>
      <c r="EP78" s="151"/>
      <c r="EQ78" s="151"/>
      <c r="ER78" s="151"/>
      <c r="ES78" s="151"/>
      <c r="ET78" s="151"/>
      <c r="EU78" s="151"/>
      <c r="EV78" s="151"/>
      <c r="EW78" s="151"/>
      <c r="EX78" s="151"/>
      <c r="EY78" s="151"/>
      <c r="EZ78" s="151"/>
      <c r="FA78" s="151"/>
      <c r="FB78" s="151"/>
      <c r="FC78" s="151"/>
      <c r="FD78" s="151"/>
      <c r="FE78" s="151"/>
      <c r="FF78" s="151"/>
      <c r="FG78" s="151"/>
      <c r="FH78" s="151"/>
      <c r="FI78" s="151"/>
      <c r="FJ78" s="151"/>
      <c r="FK78" s="151"/>
      <c r="FL78" s="151"/>
      <c r="FM78" s="151"/>
      <c r="FN78" s="151"/>
      <c r="FO78" s="151"/>
      <c r="FP78" s="151"/>
      <c r="FQ78" s="151"/>
      <c r="FR78" s="151"/>
      <c r="FS78" s="151"/>
      <c r="FT78" s="151"/>
      <c r="FU78" s="151"/>
      <c r="FV78" s="151"/>
      <c r="FW78" s="151"/>
      <c r="FX78" s="151"/>
      <c r="FY78" s="151"/>
      <c r="FZ78" s="151"/>
      <c r="GA78" s="151"/>
      <c r="GB78" s="151"/>
      <c r="GC78" s="151"/>
      <c r="GD78" s="151"/>
      <c r="GE78" s="151"/>
      <c r="GF78" s="151"/>
      <c r="GG78" s="152"/>
    </row>
    <row r="79" spans="1:189" x14ac:dyDescent="0.35">
      <c r="A79" s="237" t="s">
        <v>691</v>
      </c>
      <c r="B79" s="236"/>
      <c r="C79" s="236"/>
      <c r="D79" s="237"/>
      <c r="E79" s="236" t="s">
        <v>282</v>
      </c>
      <c r="F79" s="236" t="s">
        <v>730</v>
      </c>
      <c r="G79" s="238">
        <v>2</v>
      </c>
      <c r="H79" s="239"/>
      <c r="I79" s="240"/>
      <c r="J79" s="240"/>
      <c r="K79" s="240"/>
      <c r="L79" s="241"/>
      <c r="M79" s="241"/>
      <c r="N79" s="241"/>
      <c r="O79" s="241"/>
      <c r="P79" s="241"/>
      <c r="Q79" s="242"/>
      <c r="R79" s="243"/>
      <c r="S79" s="243"/>
      <c r="T79" s="243"/>
      <c r="U79" s="191">
        <f t="shared" si="28"/>
        <v>0</v>
      </c>
      <c r="V79" s="244"/>
      <c r="W79" s="245"/>
      <c r="X79" s="46"/>
      <c r="Y79" s="167">
        <f t="shared" si="22"/>
        <v>0</v>
      </c>
      <c r="Z79" s="167">
        <f t="shared" si="23"/>
        <v>0</v>
      </c>
      <c r="AA79" s="167">
        <f t="shared" si="24"/>
        <v>0</v>
      </c>
      <c r="AB79" s="167">
        <f t="shared" si="25"/>
        <v>0</v>
      </c>
      <c r="AC79" s="167">
        <f t="shared" si="26"/>
        <v>0</v>
      </c>
      <c r="AD79" s="167">
        <f t="shared" si="27"/>
        <v>0</v>
      </c>
      <c r="AF79" s="47">
        <f t="shared" si="21"/>
        <v>0</v>
      </c>
      <c r="AG79" s="202" t="str">
        <f t="shared" si="13"/>
        <v xml:space="preserve"> Facades</v>
      </c>
      <c r="AH79" s="172"/>
      <c r="AI79" s="173"/>
      <c r="AJ79" s="173"/>
      <c r="AK79" s="173"/>
      <c r="AL79" s="173"/>
      <c r="AM79" s="173"/>
      <c r="AN79" s="173"/>
      <c r="AO79" s="173"/>
      <c r="AP79" s="173"/>
      <c r="AQ79" s="173"/>
      <c r="AR79" s="173"/>
      <c r="AS79" s="173"/>
      <c r="AT79" s="173"/>
      <c r="AU79" s="173"/>
      <c r="AV79" s="173"/>
      <c r="AW79" s="173"/>
      <c r="AX79" s="173"/>
      <c r="AY79" s="173"/>
      <c r="AZ79" s="173"/>
      <c r="BA79" s="173"/>
      <c r="BB79" s="173"/>
      <c r="BC79" s="173"/>
      <c r="BD79" s="173"/>
      <c r="BE79" s="173"/>
      <c r="BF79" s="173"/>
      <c r="BG79" s="173"/>
      <c r="BH79" s="173"/>
      <c r="BI79" s="173"/>
      <c r="BJ79" s="173"/>
      <c r="BK79" s="173"/>
      <c r="BL79" s="173"/>
      <c r="BM79" s="173"/>
      <c r="BN79" s="173"/>
      <c r="BO79" s="173"/>
      <c r="BP79" s="173"/>
      <c r="BQ79" s="173"/>
      <c r="BR79" s="173"/>
      <c r="BS79" s="173"/>
      <c r="BT79" s="173"/>
      <c r="BU79" s="173"/>
      <c r="BV79" s="173"/>
      <c r="BW79" s="173"/>
      <c r="BX79" s="173"/>
      <c r="BY79" s="173"/>
      <c r="BZ79" s="173"/>
      <c r="CA79" s="173"/>
      <c r="CB79" s="173"/>
      <c r="CC79" s="173"/>
      <c r="CD79" s="173"/>
      <c r="CE79" s="173"/>
      <c r="CF79" s="173"/>
      <c r="CG79" s="173"/>
      <c r="CH79" s="173"/>
      <c r="CI79" s="173"/>
      <c r="CJ79" s="173"/>
      <c r="CK79" s="173"/>
      <c r="CL79" s="173"/>
      <c r="CM79" s="173"/>
      <c r="CN79" s="173"/>
      <c r="CO79" s="173"/>
      <c r="CP79" s="173"/>
      <c r="CQ79" s="173"/>
      <c r="CR79" s="173"/>
      <c r="CS79" s="173"/>
      <c r="CT79" s="173"/>
      <c r="CU79" s="173"/>
      <c r="CV79" s="173"/>
      <c r="CW79" s="173"/>
      <c r="CX79" s="173"/>
      <c r="CY79" s="151"/>
      <c r="CZ79" s="151"/>
      <c r="DA79" s="151"/>
      <c r="DB79" s="151"/>
      <c r="DC79" s="151"/>
      <c r="DD79" s="151"/>
      <c r="DE79" s="151"/>
      <c r="DF79" s="151"/>
      <c r="DG79" s="151"/>
      <c r="DH79" s="151"/>
      <c r="DI79" s="151"/>
      <c r="DJ79" s="151"/>
      <c r="DK79" s="151"/>
      <c r="DL79" s="151"/>
      <c r="DM79" s="151"/>
      <c r="DN79" s="151"/>
      <c r="DO79" s="151"/>
      <c r="DP79" s="151"/>
      <c r="DQ79" s="151"/>
      <c r="DR79" s="151"/>
      <c r="DS79" s="151"/>
      <c r="DT79" s="151"/>
      <c r="DU79" s="151"/>
      <c r="DV79" s="151"/>
      <c r="DW79" s="151"/>
      <c r="DX79" s="151"/>
      <c r="DY79" s="151"/>
      <c r="DZ79" s="151"/>
      <c r="EA79" s="151"/>
      <c r="EB79" s="151"/>
      <c r="EC79" s="151"/>
      <c r="ED79" s="151"/>
      <c r="EE79" s="151"/>
      <c r="EF79" s="151"/>
      <c r="EG79" s="151"/>
      <c r="EH79" s="151"/>
      <c r="EI79" s="151"/>
      <c r="EJ79" s="151"/>
      <c r="EK79" s="151"/>
      <c r="EL79" s="151"/>
      <c r="EM79" s="151"/>
      <c r="EN79" s="151"/>
      <c r="EO79" s="151"/>
      <c r="EP79" s="151"/>
      <c r="EQ79" s="151"/>
      <c r="ER79" s="151"/>
      <c r="ES79" s="151"/>
      <c r="ET79" s="151"/>
      <c r="EU79" s="151"/>
      <c r="EV79" s="151"/>
      <c r="EW79" s="151"/>
      <c r="EX79" s="151"/>
      <c r="EY79" s="151"/>
      <c r="EZ79" s="151"/>
      <c r="FA79" s="151"/>
      <c r="FB79" s="151"/>
      <c r="FC79" s="151"/>
      <c r="FD79" s="151"/>
      <c r="FE79" s="151"/>
      <c r="FF79" s="151"/>
      <c r="FG79" s="151"/>
      <c r="FH79" s="151"/>
      <c r="FI79" s="151"/>
      <c r="FJ79" s="151"/>
      <c r="FK79" s="151"/>
      <c r="FL79" s="151"/>
      <c r="FM79" s="151"/>
      <c r="FN79" s="151"/>
      <c r="FO79" s="151"/>
      <c r="FP79" s="151"/>
      <c r="FQ79" s="151"/>
      <c r="FR79" s="151"/>
      <c r="FS79" s="151"/>
      <c r="FT79" s="151"/>
      <c r="FU79" s="151"/>
      <c r="FV79" s="151"/>
      <c r="FW79" s="151"/>
      <c r="FX79" s="151"/>
      <c r="FY79" s="151"/>
      <c r="FZ79" s="151"/>
      <c r="GA79" s="151"/>
      <c r="GB79" s="151"/>
      <c r="GC79" s="151"/>
      <c r="GD79" s="151"/>
      <c r="GE79" s="151"/>
      <c r="GF79" s="151"/>
      <c r="GG79" s="152"/>
    </row>
    <row r="80" spans="1:189" x14ac:dyDescent="0.35">
      <c r="A80" s="267" t="s">
        <v>1012</v>
      </c>
      <c r="B80" s="221" t="s">
        <v>1073</v>
      </c>
      <c r="C80" s="221"/>
      <c r="D80" s="222"/>
      <c r="E80" s="221" t="s">
        <v>1025</v>
      </c>
      <c r="F80" s="221" t="s">
        <v>1037</v>
      </c>
      <c r="G80" s="223">
        <v>2</v>
      </c>
      <c r="H80" s="224"/>
      <c r="I80" s="225"/>
      <c r="J80" s="225"/>
      <c r="K80" s="225"/>
      <c r="L80" s="226">
        <v>46144</v>
      </c>
      <c r="M80" s="226">
        <v>46190</v>
      </c>
      <c r="N80" s="226"/>
      <c r="O80" s="226">
        <v>46235</v>
      </c>
      <c r="P80" s="226">
        <v>46356</v>
      </c>
      <c r="Q80" s="227" t="s">
        <v>45</v>
      </c>
      <c r="R80" s="228">
        <v>82476.000000000015</v>
      </c>
      <c r="S80" s="228">
        <v>82476.000000000015</v>
      </c>
      <c r="T80" s="228"/>
      <c r="U80" s="191">
        <f t="shared" si="28"/>
        <v>0</v>
      </c>
      <c r="V80" s="230"/>
      <c r="W80" s="231"/>
      <c r="X80" s="46"/>
      <c r="Y80" s="167">
        <f t="shared" si="22"/>
        <v>82476.000000000015</v>
      </c>
      <c r="Z80" s="167">
        <f t="shared" si="23"/>
        <v>0</v>
      </c>
      <c r="AA80" s="167">
        <f t="shared" si="24"/>
        <v>82476.000000000015</v>
      </c>
      <c r="AB80" s="167">
        <f t="shared" si="25"/>
        <v>0</v>
      </c>
      <c r="AC80" s="167">
        <f t="shared" si="26"/>
        <v>0</v>
      </c>
      <c r="AD80" s="167">
        <f t="shared" si="27"/>
        <v>0</v>
      </c>
      <c r="AF80" s="180">
        <f t="shared" si="21"/>
        <v>1</v>
      </c>
      <c r="AG80" s="202" t="str">
        <f t="shared" si="13"/>
        <v>Joanna Sawicka Parapet</v>
      </c>
      <c r="AH80" s="172"/>
      <c r="AI80" s="173"/>
      <c r="AJ80" s="173"/>
      <c r="AK80" s="173"/>
      <c r="AL80" s="173"/>
      <c r="AM80" s="173"/>
      <c r="AN80" s="173"/>
      <c r="AO80" s="173"/>
      <c r="AP80" s="173"/>
      <c r="AQ80" s="173"/>
      <c r="AR80" s="173"/>
      <c r="AS80" s="173"/>
      <c r="AT80" s="173"/>
      <c r="AU80" s="173"/>
      <c r="AV80" s="173"/>
      <c r="AW80" s="173"/>
      <c r="AX80" s="173"/>
      <c r="AY80" s="173"/>
      <c r="AZ80" s="173"/>
      <c r="BA80" s="173"/>
      <c r="BB80" s="173"/>
      <c r="BC80" s="173"/>
      <c r="BD80" s="173"/>
      <c r="BE80" s="173"/>
      <c r="BF80" s="173"/>
      <c r="BG80" s="173"/>
      <c r="BH80" s="173"/>
      <c r="BI80" s="173"/>
      <c r="BJ80" s="173"/>
      <c r="BK80" s="173"/>
      <c r="BL80" s="173"/>
      <c r="BM80" s="173"/>
      <c r="BN80" s="173"/>
      <c r="BO80" s="173"/>
      <c r="BP80" s="173"/>
      <c r="BQ80" s="173"/>
      <c r="BR80" s="173"/>
      <c r="BS80" s="173"/>
      <c r="BT80" s="173"/>
      <c r="BU80" s="173"/>
      <c r="BV80" s="173"/>
      <c r="BW80" s="173"/>
      <c r="BX80" s="173"/>
      <c r="BY80" s="173"/>
      <c r="BZ80" s="173"/>
      <c r="CA80" s="173"/>
      <c r="CB80" s="173"/>
      <c r="CC80" s="173"/>
      <c r="CD80" s="173"/>
      <c r="CE80" s="173"/>
      <c r="CF80" s="173"/>
      <c r="CG80" s="173"/>
      <c r="CH80" s="173"/>
      <c r="CI80" s="173"/>
      <c r="CJ80" s="173"/>
      <c r="CK80" s="173"/>
      <c r="CL80" s="173"/>
      <c r="CM80" s="173"/>
      <c r="CN80" s="173"/>
      <c r="CO80" s="173"/>
      <c r="CP80" s="173"/>
      <c r="CQ80" s="173"/>
      <c r="CR80" s="173"/>
      <c r="CS80" s="173"/>
      <c r="CT80" s="173"/>
      <c r="CU80" s="173"/>
      <c r="CV80" s="173"/>
      <c r="CW80" s="173"/>
      <c r="CX80" s="173"/>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c r="EF80" s="148"/>
      <c r="EG80" s="148"/>
      <c r="EH80" s="148"/>
      <c r="EI80" s="148"/>
      <c r="EJ80" s="148"/>
      <c r="EK80" s="148"/>
      <c r="EL80" s="148"/>
      <c r="EM80" s="148"/>
      <c r="EN80" s="148"/>
      <c r="EO80" s="148"/>
      <c r="EP80" s="148"/>
      <c r="EQ80" s="148"/>
      <c r="ER80" s="148"/>
      <c r="ES80" s="148"/>
      <c r="ET80" s="148"/>
      <c r="EU80" s="148"/>
      <c r="EV80" s="148"/>
      <c r="EW80" s="148"/>
      <c r="EX80" s="148"/>
      <c r="EY80" s="148"/>
      <c r="EZ80" s="148"/>
      <c r="FA80" s="148"/>
      <c r="FB80" s="148"/>
      <c r="FC80" s="148"/>
      <c r="FD80" s="148"/>
      <c r="FE80" s="148"/>
      <c r="FF80" s="148"/>
      <c r="FG80" s="148"/>
      <c r="FH80" s="148"/>
      <c r="FI80" s="148"/>
      <c r="FJ80" s="148"/>
      <c r="FK80" s="148"/>
      <c r="FL80" s="148"/>
      <c r="FM80" s="148"/>
      <c r="FN80" s="148"/>
      <c r="FO80" s="148"/>
      <c r="FP80" s="148"/>
      <c r="FQ80" s="148"/>
      <c r="FR80" s="148"/>
      <c r="FS80" s="148"/>
      <c r="FT80" s="148"/>
      <c r="FU80" s="148"/>
      <c r="FV80" s="148"/>
      <c r="FW80" s="148"/>
      <c r="FX80" s="148"/>
      <c r="FY80" s="148"/>
      <c r="FZ80" s="148"/>
      <c r="GA80" s="148"/>
      <c r="GB80" s="148"/>
      <c r="GC80" s="148"/>
      <c r="GD80" s="148"/>
      <c r="GE80" s="148"/>
      <c r="GF80" s="148"/>
      <c r="GG80" s="149"/>
    </row>
    <row r="81" spans="1:189" x14ac:dyDescent="0.35">
      <c r="A81" s="267" t="s">
        <v>1013</v>
      </c>
      <c r="B81" s="221" t="s">
        <v>1073</v>
      </c>
      <c r="C81" s="221"/>
      <c r="D81" s="222"/>
      <c r="E81" s="221" t="s">
        <v>1026</v>
      </c>
      <c r="F81" s="221" t="s">
        <v>1038</v>
      </c>
      <c r="G81" s="223">
        <v>2</v>
      </c>
      <c r="H81" s="224"/>
      <c r="I81" s="225"/>
      <c r="J81" s="225"/>
      <c r="K81" s="225"/>
      <c r="L81" s="226">
        <v>46144</v>
      </c>
      <c r="M81" s="226">
        <v>46190</v>
      </c>
      <c r="N81" s="226"/>
      <c r="O81" s="226">
        <v>46235</v>
      </c>
      <c r="P81" s="226">
        <v>46356</v>
      </c>
      <c r="Q81" s="227" t="s">
        <v>45</v>
      </c>
      <c r="R81" s="228">
        <v>120922.87437314456</v>
      </c>
      <c r="S81" s="228">
        <v>120922.87437314456</v>
      </c>
      <c r="T81" s="228"/>
      <c r="U81" s="191">
        <f t="shared" si="28"/>
        <v>0</v>
      </c>
      <c r="V81" s="230"/>
      <c r="W81" s="231"/>
      <c r="X81" s="46"/>
      <c r="Y81" s="167">
        <f t="shared" si="22"/>
        <v>120922.87437314456</v>
      </c>
      <c r="Z81" s="167">
        <f t="shared" si="23"/>
        <v>0</v>
      </c>
      <c r="AA81" s="167">
        <f t="shared" si="24"/>
        <v>120922.87437314456</v>
      </c>
      <c r="AB81" s="167">
        <f t="shared" si="25"/>
        <v>0</v>
      </c>
      <c r="AC81" s="167">
        <f t="shared" si="26"/>
        <v>0</v>
      </c>
      <c r="AD81" s="167">
        <f t="shared" si="27"/>
        <v>0</v>
      </c>
      <c r="AF81" s="180">
        <f t="shared" si="21"/>
        <v>1</v>
      </c>
      <c r="AG81" s="202" t="str">
        <f t="shared" si="13"/>
        <v>Joanna Sawicka Steel-aluminum canopy</v>
      </c>
      <c r="AH81" s="172"/>
      <c r="AI81" s="173"/>
      <c r="AJ81" s="173"/>
      <c r="AK81" s="173"/>
      <c r="AL81" s="173"/>
      <c r="AM81" s="173"/>
      <c r="AN81" s="173"/>
      <c r="AO81" s="173"/>
      <c r="AP81" s="173"/>
      <c r="AQ81" s="173"/>
      <c r="AR81" s="173"/>
      <c r="AS81" s="173"/>
      <c r="AT81" s="173"/>
      <c r="AU81" s="173"/>
      <c r="AV81" s="173"/>
      <c r="AW81" s="173"/>
      <c r="AX81" s="173"/>
      <c r="AY81" s="173"/>
      <c r="AZ81" s="173"/>
      <c r="BA81" s="173"/>
      <c r="BB81" s="173"/>
      <c r="BC81" s="173"/>
      <c r="BD81" s="173"/>
      <c r="BE81" s="173"/>
      <c r="BF81" s="173"/>
      <c r="BG81" s="173"/>
      <c r="BH81" s="173"/>
      <c r="BI81" s="173"/>
      <c r="BJ81" s="173"/>
      <c r="BK81" s="173"/>
      <c r="BL81" s="173"/>
      <c r="BM81" s="173"/>
      <c r="BN81" s="173"/>
      <c r="BO81" s="173"/>
      <c r="BP81" s="173"/>
      <c r="BQ81" s="173"/>
      <c r="BR81" s="173"/>
      <c r="BS81" s="173"/>
      <c r="BT81" s="173"/>
      <c r="BU81" s="173"/>
      <c r="BV81" s="173"/>
      <c r="BW81" s="173"/>
      <c r="BX81" s="173"/>
      <c r="BY81" s="173"/>
      <c r="BZ81" s="173"/>
      <c r="CA81" s="173"/>
      <c r="CB81" s="173"/>
      <c r="CC81" s="173"/>
      <c r="CD81" s="173"/>
      <c r="CE81" s="173"/>
      <c r="CF81" s="173"/>
      <c r="CG81" s="173"/>
      <c r="CH81" s="173"/>
      <c r="CI81" s="173"/>
      <c r="CJ81" s="173"/>
      <c r="CK81" s="173"/>
      <c r="CL81" s="173"/>
      <c r="CM81" s="173"/>
      <c r="CN81" s="173"/>
      <c r="CO81" s="173"/>
      <c r="CP81" s="173"/>
      <c r="CQ81" s="173"/>
      <c r="CR81" s="173"/>
      <c r="CS81" s="173"/>
      <c r="CT81" s="173"/>
      <c r="CU81" s="173"/>
      <c r="CV81" s="173"/>
      <c r="CW81" s="173"/>
      <c r="CX81" s="173"/>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c r="EF81" s="148"/>
      <c r="EG81" s="148"/>
      <c r="EH81" s="148"/>
      <c r="EI81" s="148"/>
      <c r="EJ81" s="148"/>
      <c r="EK81" s="148"/>
      <c r="EL81" s="148"/>
      <c r="EM81" s="148"/>
      <c r="EN81" s="148"/>
      <c r="EO81" s="148"/>
      <c r="EP81" s="148"/>
      <c r="EQ81" s="148"/>
      <c r="ER81" s="148"/>
      <c r="ES81" s="148"/>
      <c r="ET81" s="148"/>
      <c r="EU81" s="148"/>
      <c r="EV81" s="148"/>
      <c r="EW81" s="148"/>
      <c r="EX81" s="148"/>
      <c r="EY81" s="148"/>
      <c r="EZ81" s="148"/>
      <c r="FA81" s="148"/>
      <c r="FB81" s="148"/>
      <c r="FC81" s="148"/>
      <c r="FD81" s="148"/>
      <c r="FE81" s="148"/>
      <c r="FF81" s="148"/>
      <c r="FG81" s="148"/>
      <c r="FH81" s="148"/>
      <c r="FI81" s="148"/>
      <c r="FJ81" s="148"/>
      <c r="FK81" s="148"/>
      <c r="FL81" s="148"/>
      <c r="FM81" s="148"/>
      <c r="FN81" s="148"/>
      <c r="FO81" s="148"/>
      <c r="FP81" s="148"/>
      <c r="FQ81" s="148"/>
      <c r="FR81" s="148"/>
      <c r="FS81" s="148"/>
      <c r="FT81" s="148"/>
      <c r="FU81" s="148"/>
      <c r="FV81" s="148"/>
      <c r="FW81" s="148"/>
      <c r="FX81" s="148"/>
      <c r="FY81" s="148"/>
      <c r="FZ81" s="148"/>
      <c r="GA81" s="148"/>
      <c r="GB81" s="148"/>
      <c r="GC81" s="148"/>
      <c r="GD81" s="148"/>
      <c r="GE81" s="148"/>
      <c r="GF81" s="148"/>
      <c r="GG81" s="149"/>
    </row>
    <row r="82" spans="1:189" x14ac:dyDescent="0.35">
      <c r="A82" s="267" t="s">
        <v>1014</v>
      </c>
      <c r="B82" s="221" t="s">
        <v>1073</v>
      </c>
      <c r="C82" s="221"/>
      <c r="D82" s="222"/>
      <c r="E82" s="221" t="s">
        <v>1027</v>
      </c>
      <c r="F82" s="221" t="s">
        <v>1039</v>
      </c>
      <c r="G82" s="223">
        <v>2</v>
      </c>
      <c r="H82" s="224"/>
      <c r="I82" s="225"/>
      <c r="J82" s="225"/>
      <c r="K82" s="225"/>
      <c r="L82" s="226">
        <v>46144</v>
      </c>
      <c r="M82" s="226">
        <v>46190</v>
      </c>
      <c r="N82" s="226"/>
      <c r="O82" s="226">
        <v>46235</v>
      </c>
      <c r="P82" s="226">
        <v>46356</v>
      </c>
      <c r="Q82" s="227" t="s">
        <v>45</v>
      </c>
      <c r="R82" s="228">
        <v>296487.48000000004</v>
      </c>
      <c r="S82" s="228">
        <v>296487.48000000004</v>
      </c>
      <c r="T82" s="228"/>
      <c r="U82" s="191">
        <f t="shared" si="28"/>
        <v>0</v>
      </c>
      <c r="V82" s="230"/>
      <c r="W82" s="231"/>
      <c r="X82" s="46"/>
      <c r="Y82" s="167">
        <f t="shared" si="22"/>
        <v>296487.48000000004</v>
      </c>
      <c r="Z82" s="167">
        <f t="shared" si="23"/>
        <v>0</v>
      </c>
      <c r="AA82" s="167">
        <f t="shared" si="24"/>
        <v>296487.48000000004</v>
      </c>
      <c r="AB82" s="167">
        <f t="shared" si="25"/>
        <v>0</v>
      </c>
      <c r="AC82" s="167">
        <f t="shared" si="26"/>
        <v>0</v>
      </c>
      <c r="AD82" s="167">
        <f t="shared" si="27"/>
        <v>0</v>
      </c>
      <c r="AF82" s="180">
        <f t="shared" si="21"/>
        <v>1</v>
      </c>
      <c r="AG82" s="202" t="str">
        <f t="shared" si="13"/>
        <v>Joanna Sawicka Aluminum-glass facade</v>
      </c>
      <c r="AH82" s="172"/>
      <c r="AI82" s="173"/>
      <c r="AJ82" s="173"/>
      <c r="AK82" s="173"/>
      <c r="AL82" s="173"/>
      <c r="AM82" s="173"/>
      <c r="AN82" s="173"/>
      <c r="AO82" s="173"/>
      <c r="AP82" s="173"/>
      <c r="AQ82" s="173"/>
      <c r="AR82" s="173"/>
      <c r="AS82" s="173"/>
      <c r="AT82" s="173"/>
      <c r="AU82" s="173"/>
      <c r="AV82" s="173"/>
      <c r="AW82" s="173"/>
      <c r="AX82" s="173"/>
      <c r="AY82" s="173"/>
      <c r="AZ82" s="173"/>
      <c r="BA82" s="173"/>
      <c r="BB82" s="173"/>
      <c r="BC82" s="173"/>
      <c r="BD82" s="173"/>
      <c r="BE82" s="173"/>
      <c r="BF82" s="173"/>
      <c r="BG82" s="173"/>
      <c r="BH82" s="173"/>
      <c r="BI82" s="173"/>
      <c r="BJ82" s="173"/>
      <c r="BK82" s="173"/>
      <c r="BL82" s="173"/>
      <c r="BM82" s="173"/>
      <c r="BN82" s="173"/>
      <c r="BO82" s="173"/>
      <c r="BP82" s="173"/>
      <c r="BQ82" s="173"/>
      <c r="BR82" s="173"/>
      <c r="BS82" s="173"/>
      <c r="BT82" s="173"/>
      <c r="BU82" s="173"/>
      <c r="BV82" s="173"/>
      <c r="BW82" s="173"/>
      <c r="BX82" s="173"/>
      <c r="BY82" s="173"/>
      <c r="BZ82" s="173"/>
      <c r="CA82" s="173"/>
      <c r="CB82" s="173"/>
      <c r="CC82" s="173"/>
      <c r="CD82" s="173"/>
      <c r="CE82" s="173"/>
      <c r="CF82" s="173"/>
      <c r="CG82" s="173"/>
      <c r="CH82" s="173"/>
      <c r="CI82" s="173"/>
      <c r="CJ82" s="173"/>
      <c r="CK82" s="173"/>
      <c r="CL82" s="173"/>
      <c r="CM82" s="173"/>
      <c r="CN82" s="173"/>
      <c r="CO82" s="173"/>
      <c r="CP82" s="173"/>
      <c r="CQ82" s="173"/>
      <c r="CR82" s="173"/>
      <c r="CS82" s="173"/>
      <c r="CT82" s="173"/>
      <c r="CU82" s="173"/>
      <c r="CV82" s="173"/>
      <c r="CW82" s="173"/>
      <c r="CX82" s="173"/>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c r="EF82" s="148"/>
      <c r="EG82" s="148"/>
      <c r="EH82" s="148"/>
      <c r="EI82" s="148"/>
      <c r="EJ82" s="148"/>
      <c r="EK82" s="148"/>
      <c r="EL82" s="148"/>
      <c r="EM82" s="148"/>
      <c r="EN82" s="148"/>
      <c r="EO82" s="148"/>
      <c r="EP82" s="148"/>
      <c r="EQ82" s="148"/>
      <c r="ER82" s="148"/>
      <c r="ES82" s="148"/>
      <c r="ET82" s="148"/>
      <c r="EU82" s="148"/>
      <c r="EV82" s="148"/>
      <c r="EW82" s="148"/>
      <c r="EX82" s="148"/>
      <c r="EY82" s="148"/>
      <c r="EZ82" s="148"/>
      <c r="FA82" s="148"/>
      <c r="FB82" s="148"/>
      <c r="FC82" s="148"/>
      <c r="FD82" s="148"/>
      <c r="FE82" s="148"/>
      <c r="FF82" s="148"/>
      <c r="FG82" s="148"/>
      <c r="FH82" s="148"/>
      <c r="FI82" s="148"/>
      <c r="FJ82" s="148"/>
      <c r="FK82" s="148"/>
      <c r="FL82" s="148"/>
      <c r="FM82" s="148"/>
      <c r="FN82" s="148"/>
      <c r="FO82" s="148"/>
      <c r="FP82" s="148"/>
      <c r="FQ82" s="148"/>
      <c r="FR82" s="148"/>
      <c r="FS82" s="148"/>
      <c r="FT82" s="148"/>
      <c r="FU82" s="148"/>
      <c r="FV82" s="148"/>
      <c r="FW82" s="148"/>
      <c r="FX82" s="148"/>
      <c r="FY82" s="148"/>
      <c r="FZ82" s="148"/>
      <c r="GA82" s="148"/>
      <c r="GB82" s="148"/>
      <c r="GC82" s="148"/>
      <c r="GD82" s="148"/>
      <c r="GE82" s="148"/>
      <c r="GF82" s="148"/>
      <c r="GG82" s="149"/>
    </row>
    <row r="83" spans="1:189" x14ac:dyDescent="0.35">
      <c r="A83" s="267" t="s">
        <v>1015</v>
      </c>
      <c r="B83" s="221" t="s">
        <v>1073</v>
      </c>
      <c r="C83" s="221"/>
      <c r="D83" s="222"/>
      <c r="E83" s="221" t="s">
        <v>1028</v>
      </c>
      <c r="F83" s="221" t="s">
        <v>1049</v>
      </c>
      <c r="G83" s="223">
        <v>2</v>
      </c>
      <c r="H83" s="224"/>
      <c r="I83" s="225"/>
      <c r="J83" s="225"/>
      <c r="K83" s="225"/>
      <c r="L83" s="226">
        <v>46144</v>
      </c>
      <c r="M83" s="226">
        <v>46190</v>
      </c>
      <c r="N83" s="226"/>
      <c r="O83" s="226">
        <v>46235</v>
      </c>
      <c r="P83" s="226">
        <v>46356</v>
      </c>
      <c r="Q83" s="227" t="s">
        <v>45</v>
      </c>
      <c r="R83" s="228">
        <v>122038.25753329344</v>
      </c>
      <c r="S83" s="228">
        <v>122038.25753329344</v>
      </c>
      <c r="T83" s="228"/>
      <c r="U83" s="191">
        <f t="shared" si="28"/>
        <v>0</v>
      </c>
      <c r="V83" s="230"/>
      <c r="W83" s="231"/>
      <c r="X83" s="46"/>
      <c r="Y83" s="167">
        <f t="shared" si="22"/>
        <v>122038.25753329344</v>
      </c>
      <c r="Z83" s="167">
        <f t="shared" si="23"/>
        <v>0</v>
      </c>
      <c r="AA83" s="167">
        <f t="shared" si="24"/>
        <v>122038.25753329344</v>
      </c>
      <c r="AB83" s="167">
        <f t="shared" si="25"/>
        <v>0</v>
      </c>
      <c r="AC83" s="167">
        <f t="shared" si="26"/>
        <v>0</v>
      </c>
      <c r="AD83" s="167">
        <f t="shared" si="27"/>
        <v>0</v>
      </c>
      <c r="AF83" s="180">
        <f t="shared" si="21"/>
        <v>1</v>
      </c>
      <c r="AG83" s="202" t="str">
        <f t="shared" si="13"/>
        <v xml:space="preserve">Joanna Sawicka ETICS </v>
      </c>
      <c r="AH83" s="172"/>
      <c r="AI83" s="173"/>
      <c r="AJ83" s="173"/>
      <c r="AK83" s="173"/>
      <c r="AL83" s="173"/>
      <c r="AM83" s="173"/>
      <c r="AN83" s="173"/>
      <c r="AO83" s="173"/>
      <c r="AP83" s="173"/>
      <c r="AQ83" s="173"/>
      <c r="AR83" s="173"/>
      <c r="AS83" s="173"/>
      <c r="AT83" s="173"/>
      <c r="AU83" s="173"/>
      <c r="AV83" s="173"/>
      <c r="AW83" s="173"/>
      <c r="AX83" s="173"/>
      <c r="AY83" s="173"/>
      <c r="AZ83" s="173"/>
      <c r="BA83" s="173"/>
      <c r="BB83" s="173"/>
      <c r="BC83" s="173"/>
      <c r="BD83" s="173"/>
      <c r="BE83" s="173"/>
      <c r="BF83" s="173"/>
      <c r="BG83" s="173"/>
      <c r="BH83" s="173"/>
      <c r="BI83" s="173"/>
      <c r="BJ83" s="173"/>
      <c r="BK83" s="173"/>
      <c r="BL83" s="173"/>
      <c r="BM83" s="173"/>
      <c r="BN83" s="173"/>
      <c r="BO83" s="173"/>
      <c r="BP83" s="173"/>
      <c r="BQ83" s="173"/>
      <c r="BR83" s="173"/>
      <c r="BS83" s="173"/>
      <c r="BT83" s="173"/>
      <c r="BU83" s="173"/>
      <c r="BV83" s="173"/>
      <c r="BW83" s="173"/>
      <c r="BX83" s="173"/>
      <c r="BY83" s="173"/>
      <c r="BZ83" s="173"/>
      <c r="CA83" s="173"/>
      <c r="CB83" s="173"/>
      <c r="CC83" s="173"/>
      <c r="CD83" s="173"/>
      <c r="CE83" s="173"/>
      <c r="CF83" s="173"/>
      <c r="CG83" s="173"/>
      <c r="CH83" s="173"/>
      <c r="CI83" s="173"/>
      <c r="CJ83" s="173"/>
      <c r="CK83" s="173"/>
      <c r="CL83" s="173"/>
      <c r="CM83" s="173"/>
      <c r="CN83" s="173"/>
      <c r="CO83" s="173"/>
      <c r="CP83" s="173"/>
      <c r="CQ83" s="173"/>
      <c r="CR83" s="173"/>
      <c r="CS83" s="173"/>
      <c r="CT83" s="173"/>
      <c r="CU83" s="173"/>
      <c r="CV83" s="173"/>
      <c r="CW83" s="173"/>
      <c r="CX83" s="173"/>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c r="EF83" s="148"/>
      <c r="EG83" s="148"/>
      <c r="EH83" s="148"/>
      <c r="EI83" s="148"/>
      <c r="EJ83" s="148"/>
      <c r="EK83" s="148"/>
      <c r="EL83" s="148"/>
      <c r="EM83" s="148"/>
      <c r="EN83" s="148"/>
      <c r="EO83" s="148"/>
      <c r="EP83" s="148"/>
      <c r="EQ83" s="148"/>
      <c r="ER83" s="148"/>
      <c r="ES83" s="148"/>
      <c r="ET83" s="148"/>
      <c r="EU83" s="148"/>
      <c r="EV83" s="148"/>
      <c r="EW83" s="148"/>
      <c r="EX83" s="148"/>
      <c r="EY83" s="148"/>
      <c r="EZ83" s="148"/>
      <c r="FA83" s="148"/>
      <c r="FB83" s="148"/>
      <c r="FC83" s="148"/>
      <c r="FD83" s="148"/>
      <c r="FE83" s="148"/>
      <c r="FF83" s="148"/>
      <c r="FG83" s="148"/>
      <c r="FH83" s="148"/>
      <c r="FI83" s="148"/>
      <c r="FJ83" s="148"/>
      <c r="FK83" s="148"/>
      <c r="FL83" s="148"/>
      <c r="FM83" s="148"/>
      <c r="FN83" s="148"/>
      <c r="FO83" s="148"/>
      <c r="FP83" s="148"/>
      <c r="FQ83" s="148"/>
      <c r="FR83" s="148"/>
      <c r="FS83" s="148"/>
      <c r="FT83" s="148"/>
      <c r="FU83" s="148"/>
      <c r="FV83" s="148"/>
      <c r="FW83" s="148"/>
      <c r="FX83" s="148"/>
      <c r="FY83" s="148"/>
      <c r="FZ83" s="148"/>
      <c r="GA83" s="148"/>
      <c r="GB83" s="148"/>
      <c r="GC83" s="148"/>
      <c r="GD83" s="148"/>
      <c r="GE83" s="148"/>
      <c r="GF83" s="148"/>
      <c r="GG83" s="149"/>
    </row>
    <row r="84" spans="1:189" x14ac:dyDescent="0.35">
      <c r="A84" s="267" t="s">
        <v>1016</v>
      </c>
      <c r="B84" s="221" t="s">
        <v>1073</v>
      </c>
      <c r="C84" s="221"/>
      <c r="D84" s="222"/>
      <c r="E84" s="221" t="s">
        <v>1029</v>
      </c>
      <c r="F84" s="221" t="s">
        <v>1040</v>
      </c>
      <c r="G84" s="223">
        <v>2</v>
      </c>
      <c r="H84" s="224"/>
      <c r="I84" s="225"/>
      <c r="J84" s="225"/>
      <c r="K84" s="225"/>
      <c r="L84" s="226">
        <v>46144</v>
      </c>
      <c r="M84" s="226">
        <v>46190</v>
      </c>
      <c r="N84" s="226"/>
      <c r="O84" s="226">
        <v>46235</v>
      </c>
      <c r="P84" s="226">
        <v>46356</v>
      </c>
      <c r="Q84" s="227" t="s">
        <v>45</v>
      </c>
      <c r="R84" s="228">
        <v>366598.97638500005</v>
      </c>
      <c r="S84" s="228">
        <v>366598.97638500005</v>
      </c>
      <c r="T84" s="228"/>
      <c r="U84" s="191">
        <f t="shared" si="28"/>
        <v>0</v>
      </c>
      <c r="V84" s="230"/>
      <c r="W84" s="231"/>
      <c r="X84" s="46"/>
      <c r="Y84" s="167">
        <f t="shared" si="22"/>
        <v>366598.97638500005</v>
      </c>
      <c r="Z84" s="167">
        <f t="shared" si="23"/>
        <v>0</v>
      </c>
      <c r="AA84" s="167">
        <f t="shared" si="24"/>
        <v>366598.97638500005</v>
      </c>
      <c r="AB84" s="167">
        <f t="shared" si="25"/>
        <v>0</v>
      </c>
      <c r="AC84" s="167">
        <f t="shared" si="26"/>
        <v>0</v>
      </c>
      <c r="AD84" s="167">
        <f t="shared" si="27"/>
        <v>0</v>
      </c>
      <c r="AF84" s="180">
        <f t="shared" si="21"/>
        <v>1</v>
      </c>
      <c r="AG84" s="202" t="str">
        <f t="shared" si="13"/>
        <v>Joanna Sawicka Flashings</v>
      </c>
      <c r="AH84" s="172"/>
      <c r="AI84" s="173"/>
      <c r="AJ84" s="173"/>
      <c r="AK84" s="173"/>
      <c r="AL84" s="173"/>
      <c r="AM84" s="173"/>
      <c r="AN84" s="173"/>
      <c r="AO84" s="173"/>
      <c r="AP84" s="173"/>
      <c r="AQ84" s="173"/>
      <c r="AR84" s="173"/>
      <c r="AS84" s="173"/>
      <c r="AT84" s="173"/>
      <c r="AU84" s="173"/>
      <c r="AV84" s="173"/>
      <c r="AW84" s="173"/>
      <c r="AX84" s="173"/>
      <c r="AY84" s="173"/>
      <c r="AZ84" s="173"/>
      <c r="BA84" s="173"/>
      <c r="BB84" s="173"/>
      <c r="BC84" s="173"/>
      <c r="BD84" s="173"/>
      <c r="BE84" s="173"/>
      <c r="BF84" s="173"/>
      <c r="BG84" s="173"/>
      <c r="BH84" s="173"/>
      <c r="BI84" s="173"/>
      <c r="BJ84" s="173"/>
      <c r="BK84" s="173"/>
      <c r="BL84" s="173"/>
      <c r="BM84" s="173"/>
      <c r="BN84" s="173"/>
      <c r="BO84" s="173"/>
      <c r="BP84" s="173"/>
      <c r="BQ84" s="173"/>
      <c r="BR84" s="173"/>
      <c r="BS84" s="173"/>
      <c r="BT84" s="173"/>
      <c r="BU84" s="173"/>
      <c r="BV84" s="173"/>
      <c r="BW84" s="173"/>
      <c r="BX84" s="173"/>
      <c r="BY84" s="173"/>
      <c r="BZ84" s="173"/>
      <c r="CA84" s="173"/>
      <c r="CB84" s="173"/>
      <c r="CC84" s="173"/>
      <c r="CD84" s="173"/>
      <c r="CE84" s="173"/>
      <c r="CF84" s="173"/>
      <c r="CG84" s="173"/>
      <c r="CH84" s="173"/>
      <c r="CI84" s="173"/>
      <c r="CJ84" s="173"/>
      <c r="CK84" s="173"/>
      <c r="CL84" s="173"/>
      <c r="CM84" s="173"/>
      <c r="CN84" s="173"/>
      <c r="CO84" s="173"/>
      <c r="CP84" s="173"/>
      <c r="CQ84" s="173"/>
      <c r="CR84" s="173"/>
      <c r="CS84" s="173"/>
      <c r="CT84" s="173"/>
      <c r="CU84" s="173"/>
      <c r="CV84" s="173"/>
      <c r="CW84" s="173"/>
      <c r="CX84" s="173"/>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c r="EF84" s="148"/>
      <c r="EG84" s="148"/>
      <c r="EH84" s="148"/>
      <c r="EI84" s="148"/>
      <c r="EJ84" s="148"/>
      <c r="EK84" s="148"/>
      <c r="EL84" s="148"/>
      <c r="EM84" s="148"/>
      <c r="EN84" s="148"/>
      <c r="EO84" s="148"/>
      <c r="EP84" s="148"/>
      <c r="EQ84" s="148"/>
      <c r="ER84" s="148"/>
      <c r="ES84" s="148"/>
      <c r="ET84" s="148"/>
      <c r="EU84" s="148"/>
      <c r="EV84" s="148"/>
      <c r="EW84" s="148"/>
      <c r="EX84" s="148"/>
      <c r="EY84" s="148"/>
      <c r="EZ84" s="148"/>
      <c r="FA84" s="148"/>
      <c r="FB84" s="148"/>
      <c r="FC84" s="148"/>
      <c r="FD84" s="148"/>
      <c r="FE84" s="148"/>
      <c r="FF84" s="148"/>
      <c r="FG84" s="148"/>
      <c r="FH84" s="148"/>
      <c r="FI84" s="148"/>
      <c r="FJ84" s="148"/>
      <c r="FK84" s="148"/>
      <c r="FL84" s="148"/>
      <c r="FM84" s="148"/>
      <c r="FN84" s="148"/>
      <c r="FO84" s="148"/>
      <c r="FP84" s="148"/>
      <c r="FQ84" s="148"/>
      <c r="FR84" s="148"/>
      <c r="FS84" s="148"/>
      <c r="FT84" s="148"/>
      <c r="FU84" s="148"/>
      <c r="FV84" s="148"/>
      <c r="FW84" s="148"/>
      <c r="FX84" s="148"/>
      <c r="FY84" s="148"/>
      <c r="FZ84" s="148"/>
      <c r="GA84" s="148"/>
      <c r="GB84" s="148"/>
      <c r="GC84" s="148"/>
      <c r="GD84" s="148"/>
      <c r="GE84" s="148"/>
      <c r="GF84" s="148"/>
      <c r="GG84" s="149"/>
    </row>
    <row r="85" spans="1:189" x14ac:dyDescent="0.35">
      <c r="A85" s="267" t="s">
        <v>1017</v>
      </c>
      <c r="B85" s="221" t="s">
        <v>1073</v>
      </c>
      <c r="C85" s="221"/>
      <c r="D85" s="222"/>
      <c r="E85" s="221" t="s">
        <v>1030</v>
      </c>
      <c r="F85" s="221" t="s">
        <v>1041</v>
      </c>
      <c r="G85" s="223">
        <v>2</v>
      </c>
      <c r="H85" s="224"/>
      <c r="I85" s="225"/>
      <c r="J85" s="225"/>
      <c r="K85" s="225"/>
      <c r="L85" s="226">
        <v>46144</v>
      </c>
      <c r="M85" s="226">
        <v>46190</v>
      </c>
      <c r="N85" s="226"/>
      <c r="O85" s="226">
        <v>46235</v>
      </c>
      <c r="P85" s="226">
        <v>46356</v>
      </c>
      <c r="Q85" s="227" t="s">
        <v>45</v>
      </c>
      <c r="R85" s="228">
        <v>1172886.8700000001</v>
      </c>
      <c r="S85" s="228">
        <v>1172886.8700000001</v>
      </c>
      <c r="T85" s="228"/>
      <c r="U85" s="191">
        <f t="shared" si="28"/>
        <v>0</v>
      </c>
      <c r="V85" s="230"/>
      <c r="W85" s="231"/>
      <c r="X85" s="46"/>
      <c r="Y85" s="167">
        <f t="shared" si="22"/>
        <v>1172886.8700000001</v>
      </c>
      <c r="Z85" s="167">
        <f t="shared" si="23"/>
        <v>0</v>
      </c>
      <c r="AA85" s="167">
        <f t="shared" si="24"/>
        <v>1172886.8700000001</v>
      </c>
      <c r="AB85" s="167">
        <f t="shared" si="25"/>
        <v>0</v>
      </c>
      <c r="AC85" s="167">
        <f t="shared" si="26"/>
        <v>0</v>
      </c>
      <c r="AD85" s="167">
        <f t="shared" si="27"/>
        <v>0</v>
      </c>
      <c r="AF85" s="180">
        <f t="shared" si="21"/>
        <v>1</v>
      </c>
      <c r="AG85" s="202" t="str">
        <f t="shared" si="13"/>
        <v>Joanna Sawicka Sheet metal cladding</v>
      </c>
      <c r="AH85" s="172"/>
      <c r="AI85" s="173"/>
      <c r="AJ85" s="173"/>
      <c r="AK85" s="173"/>
      <c r="AL85" s="173"/>
      <c r="AM85" s="173"/>
      <c r="AN85" s="173"/>
      <c r="AO85" s="173"/>
      <c r="AP85" s="173"/>
      <c r="AQ85" s="173"/>
      <c r="AR85" s="173"/>
      <c r="AS85" s="173"/>
      <c r="AT85" s="173"/>
      <c r="AU85" s="173"/>
      <c r="AV85" s="173"/>
      <c r="AW85" s="173"/>
      <c r="AX85" s="173"/>
      <c r="AY85" s="173"/>
      <c r="AZ85" s="173"/>
      <c r="BA85" s="173"/>
      <c r="BB85" s="173"/>
      <c r="BC85" s="173"/>
      <c r="BD85" s="173"/>
      <c r="BE85" s="173"/>
      <c r="BF85" s="173"/>
      <c r="BG85" s="173"/>
      <c r="BH85" s="173"/>
      <c r="BI85" s="173"/>
      <c r="BJ85" s="173"/>
      <c r="BK85" s="173"/>
      <c r="BL85" s="173"/>
      <c r="BM85" s="173"/>
      <c r="BN85" s="173"/>
      <c r="BO85" s="173"/>
      <c r="BP85" s="173"/>
      <c r="BQ85" s="173"/>
      <c r="BR85" s="173"/>
      <c r="BS85" s="173"/>
      <c r="BT85" s="173"/>
      <c r="BU85" s="173"/>
      <c r="BV85" s="173"/>
      <c r="BW85" s="173"/>
      <c r="BX85" s="173"/>
      <c r="BY85" s="173"/>
      <c r="BZ85" s="173"/>
      <c r="CA85" s="173"/>
      <c r="CB85" s="173"/>
      <c r="CC85" s="173"/>
      <c r="CD85" s="173"/>
      <c r="CE85" s="173"/>
      <c r="CF85" s="173"/>
      <c r="CG85" s="173"/>
      <c r="CH85" s="173"/>
      <c r="CI85" s="173"/>
      <c r="CJ85" s="173"/>
      <c r="CK85" s="173"/>
      <c r="CL85" s="173"/>
      <c r="CM85" s="173"/>
      <c r="CN85" s="173"/>
      <c r="CO85" s="173"/>
      <c r="CP85" s="173"/>
      <c r="CQ85" s="173"/>
      <c r="CR85" s="173"/>
      <c r="CS85" s="173"/>
      <c r="CT85" s="173"/>
      <c r="CU85" s="173"/>
      <c r="CV85" s="173"/>
      <c r="CW85" s="173"/>
      <c r="CX85" s="173"/>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c r="EF85" s="148"/>
      <c r="EG85" s="148"/>
      <c r="EH85" s="148"/>
      <c r="EI85" s="148"/>
      <c r="EJ85" s="148"/>
      <c r="EK85" s="148"/>
      <c r="EL85" s="148"/>
      <c r="EM85" s="148"/>
      <c r="EN85" s="148"/>
      <c r="EO85" s="148"/>
      <c r="EP85" s="148"/>
      <c r="EQ85" s="148"/>
      <c r="ER85" s="148"/>
      <c r="ES85" s="148"/>
      <c r="ET85" s="148"/>
      <c r="EU85" s="148"/>
      <c r="EV85" s="148"/>
      <c r="EW85" s="148"/>
      <c r="EX85" s="148"/>
      <c r="EY85" s="148"/>
      <c r="EZ85" s="148"/>
      <c r="FA85" s="148"/>
      <c r="FB85" s="148"/>
      <c r="FC85" s="148"/>
      <c r="FD85" s="148"/>
      <c r="FE85" s="148"/>
      <c r="FF85" s="148"/>
      <c r="FG85" s="148"/>
      <c r="FH85" s="148"/>
      <c r="FI85" s="148"/>
      <c r="FJ85" s="148"/>
      <c r="FK85" s="148"/>
      <c r="FL85" s="148"/>
      <c r="FM85" s="148"/>
      <c r="FN85" s="148"/>
      <c r="FO85" s="148"/>
      <c r="FP85" s="148"/>
      <c r="FQ85" s="148"/>
      <c r="FR85" s="148"/>
      <c r="FS85" s="148"/>
      <c r="FT85" s="148"/>
      <c r="FU85" s="148"/>
      <c r="FV85" s="148"/>
      <c r="FW85" s="148"/>
      <c r="FX85" s="148"/>
      <c r="FY85" s="148"/>
      <c r="FZ85" s="148"/>
      <c r="GA85" s="148"/>
      <c r="GB85" s="148"/>
      <c r="GC85" s="148"/>
      <c r="GD85" s="148"/>
      <c r="GE85" s="148"/>
      <c r="GF85" s="148"/>
      <c r="GG85" s="149"/>
    </row>
    <row r="86" spans="1:189" x14ac:dyDescent="0.35">
      <c r="A86" s="267" t="s">
        <v>1018</v>
      </c>
      <c r="B86" s="221" t="s">
        <v>1073</v>
      </c>
      <c r="C86" s="221"/>
      <c r="D86" s="222"/>
      <c r="E86" s="221" t="s">
        <v>1031</v>
      </c>
      <c r="F86" s="221" t="s">
        <v>1042</v>
      </c>
      <c r="G86" s="223">
        <v>2</v>
      </c>
      <c r="H86" s="224"/>
      <c r="I86" s="225"/>
      <c r="J86" s="225"/>
      <c r="K86" s="225"/>
      <c r="L86" s="226">
        <v>46144</v>
      </c>
      <c r="M86" s="226">
        <v>46190</v>
      </c>
      <c r="N86" s="226"/>
      <c r="O86" s="226">
        <v>46235</v>
      </c>
      <c r="P86" s="226">
        <v>46356</v>
      </c>
      <c r="Q86" s="227" t="s">
        <v>11</v>
      </c>
      <c r="R86" s="228">
        <v>5792279.8797500003</v>
      </c>
      <c r="S86" s="228">
        <v>5792279.8797500003</v>
      </c>
      <c r="T86" s="228"/>
      <c r="U86" s="191">
        <f t="shared" si="28"/>
        <v>0</v>
      </c>
      <c r="V86" s="230"/>
      <c r="W86" s="231"/>
      <c r="X86" s="46"/>
      <c r="Y86" s="167">
        <f t="shared" si="22"/>
        <v>5792279.8797500003</v>
      </c>
      <c r="Z86" s="167">
        <f t="shared" si="23"/>
        <v>0</v>
      </c>
      <c r="AA86" s="167">
        <f t="shared" si="24"/>
        <v>5792279.8797500003</v>
      </c>
      <c r="AB86" s="167">
        <f t="shared" si="25"/>
        <v>0</v>
      </c>
      <c r="AC86" s="167">
        <f t="shared" si="26"/>
        <v>0</v>
      </c>
      <c r="AD86" s="167">
        <f t="shared" si="27"/>
        <v>0</v>
      </c>
      <c r="AF86" s="180">
        <f t="shared" si="21"/>
        <v>1</v>
      </c>
      <c r="AG86" s="202" t="str">
        <f t="shared" si="13"/>
        <v>Joanna Sawicka Sandwich panel cladding</v>
      </c>
      <c r="AH86" s="172"/>
      <c r="AI86" s="173"/>
      <c r="AJ86" s="173"/>
      <c r="AK86" s="173"/>
      <c r="AL86" s="173"/>
      <c r="AM86" s="173"/>
      <c r="AN86" s="173"/>
      <c r="AO86" s="173"/>
      <c r="AP86" s="173"/>
      <c r="AQ86" s="173"/>
      <c r="AR86" s="173"/>
      <c r="AS86" s="173"/>
      <c r="AT86" s="173"/>
      <c r="AU86" s="173"/>
      <c r="AV86" s="173"/>
      <c r="AW86" s="173"/>
      <c r="AX86" s="173"/>
      <c r="AY86" s="173"/>
      <c r="AZ86" s="173"/>
      <c r="BA86" s="173"/>
      <c r="BB86" s="173"/>
      <c r="BC86" s="173"/>
      <c r="BD86" s="173"/>
      <c r="BE86" s="173"/>
      <c r="BF86" s="173"/>
      <c r="BG86" s="173"/>
      <c r="BH86" s="173"/>
      <c r="BI86" s="173"/>
      <c r="BJ86" s="173"/>
      <c r="BK86" s="173"/>
      <c r="BL86" s="173"/>
      <c r="BM86" s="173"/>
      <c r="BN86" s="173"/>
      <c r="BO86" s="173"/>
      <c r="BP86" s="173"/>
      <c r="BQ86" s="173"/>
      <c r="BR86" s="173"/>
      <c r="BS86" s="173"/>
      <c r="BT86" s="173"/>
      <c r="BU86" s="173"/>
      <c r="BV86" s="173"/>
      <c r="BW86" s="173"/>
      <c r="BX86" s="173"/>
      <c r="BY86" s="173"/>
      <c r="BZ86" s="173"/>
      <c r="CA86" s="173"/>
      <c r="CB86" s="173"/>
      <c r="CC86" s="173"/>
      <c r="CD86" s="173"/>
      <c r="CE86" s="173"/>
      <c r="CF86" s="173"/>
      <c r="CG86" s="173"/>
      <c r="CH86" s="173"/>
      <c r="CI86" s="173"/>
      <c r="CJ86" s="173"/>
      <c r="CK86" s="173"/>
      <c r="CL86" s="173"/>
      <c r="CM86" s="173"/>
      <c r="CN86" s="173"/>
      <c r="CO86" s="173"/>
      <c r="CP86" s="173"/>
      <c r="CQ86" s="173"/>
      <c r="CR86" s="173"/>
      <c r="CS86" s="173"/>
      <c r="CT86" s="173"/>
      <c r="CU86" s="173"/>
      <c r="CV86" s="173"/>
      <c r="CW86" s="173"/>
      <c r="CX86" s="173"/>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c r="EF86" s="148"/>
      <c r="EG86" s="148"/>
      <c r="EH86" s="148"/>
      <c r="EI86" s="148"/>
      <c r="EJ86" s="148"/>
      <c r="EK86" s="148"/>
      <c r="EL86" s="148"/>
      <c r="EM86" s="148"/>
      <c r="EN86" s="148"/>
      <c r="EO86" s="148"/>
      <c r="EP86" s="148"/>
      <c r="EQ86" s="148"/>
      <c r="ER86" s="148"/>
      <c r="ES86" s="148"/>
      <c r="ET86" s="148"/>
      <c r="EU86" s="148"/>
      <c r="EV86" s="148"/>
      <c r="EW86" s="148"/>
      <c r="EX86" s="148"/>
      <c r="EY86" s="148"/>
      <c r="EZ86" s="148"/>
      <c r="FA86" s="148"/>
      <c r="FB86" s="148"/>
      <c r="FC86" s="148"/>
      <c r="FD86" s="148"/>
      <c r="FE86" s="148"/>
      <c r="FF86" s="148"/>
      <c r="FG86" s="148"/>
      <c r="FH86" s="148"/>
      <c r="FI86" s="148"/>
      <c r="FJ86" s="148"/>
      <c r="FK86" s="148"/>
      <c r="FL86" s="148"/>
      <c r="FM86" s="148"/>
      <c r="FN86" s="148"/>
      <c r="FO86" s="148"/>
      <c r="FP86" s="148"/>
      <c r="FQ86" s="148"/>
      <c r="FR86" s="148"/>
      <c r="FS86" s="148"/>
      <c r="FT86" s="148"/>
      <c r="FU86" s="148"/>
      <c r="FV86" s="148"/>
      <c r="FW86" s="148"/>
      <c r="FX86" s="148"/>
      <c r="FY86" s="148"/>
      <c r="FZ86" s="148"/>
      <c r="GA86" s="148"/>
      <c r="GB86" s="148"/>
      <c r="GC86" s="148"/>
      <c r="GD86" s="148"/>
      <c r="GE86" s="148"/>
      <c r="GF86" s="148"/>
      <c r="GG86" s="149"/>
    </row>
    <row r="87" spans="1:189" x14ac:dyDescent="0.35">
      <c r="A87" s="267" t="s">
        <v>1019</v>
      </c>
      <c r="B87" s="221" t="s">
        <v>1073</v>
      </c>
      <c r="C87" s="221"/>
      <c r="D87" s="222"/>
      <c r="E87" s="221" t="s">
        <v>1032</v>
      </c>
      <c r="F87" s="221" t="s">
        <v>1043</v>
      </c>
      <c r="G87" s="223">
        <v>2</v>
      </c>
      <c r="H87" s="224"/>
      <c r="I87" s="225"/>
      <c r="J87" s="225"/>
      <c r="K87" s="225"/>
      <c r="L87" s="226">
        <v>46144</v>
      </c>
      <c r="M87" s="226">
        <v>46190</v>
      </c>
      <c r="N87" s="226"/>
      <c r="O87" s="226">
        <v>46235</v>
      </c>
      <c r="P87" s="226">
        <v>46356</v>
      </c>
      <c r="Q87" s="227" t="s">
        <v>45</v>
      </c>
      <c r="R87" s="228">
        <v>241170.49999999997</v>
      </c>
      <c r="S87" s="228">
        <v>241170.49999999997</v>
      </c>
      <c r="T87" s="228"/>
      <c r="U87" s="191">
        <f t="shared" si="28"/>
        <v>0</v>
      </c>
      <c r="V87" s="230"/>
      <c r="W87" s="231"/>
      <c r="X87" s="46"/>
      <c r="Y87" s="167">
        <f t="shared" si="22"/>
        <v>241170.49999999997</v>
      </c>
      <c r="Z87" s="167">
        <f t="shared" si="23"/>
        <v>0</v>
      </c>
      <c r="AA87" s="167">
        <f t="shared" si="24"/>
        <v>241170.49999999997</v>
      </c>
      <c r="AB87" s="167">
        <f t="shared" si="25"/>
        <v>0</v>
      </c>
      <c r="AC87" s="167">
        <f t="shared" si="26"/>
        <v>0</v>
      </c>
      <c r="AD87" s="167">
        <f t="shared" si="27"/>
        <v>0</v>
      </c>
      <c r="AF87" s="180">
        <f t="shared" si="21"/>
        <v>1</v>
      </c>
      <c r="AG87" s="202" t="str">
        <f t="shared" si="13"/>
        <v>Joanna Sawicka Fiber cement panel cladding</v>
      </c>
      <c r="AH87" s="172"/>
      <c r="AI87" s="173"/>
      <c r="AJ87" s="173"/>
      <c r="AK87" s="173"/>
      <c r="AL87" s="173"/>
      <c r="AM87" s="173"/>
      <c r="AN87" s="173"/>
      <c r="AO87" s="173"/>
      <c r="AP87" s="173"/>
      <c r="AQ87" s="173"/>
      <c r="AR87" s="173"/>
      <c r="AS87" s="173"/>
      <c r="AT87" s="173"/>
      <c r="AU87" s="173"/>
      <c r="AV87" s="173"/>
      <c r="AW87" s="173"/>
      <c r="AX87" s="173"/>
      <c r="AY87" s="173"/>
      <c r="AZ87" s="173"/>
      <c r="BA87" s="173"/>
      <c r="BB87" s="173"/>
      <c r="BC87" s="173"/>
      <c r="BD87" s="173"/>
      <c r="BE87" s="173"/>
      <c r="BF87" s="173"/>
      <c r="BG87" s="173"/>
      <c r="BH87" s="173"/>
      <c r="BI87" s="173"/>
      <c r="BJ87" s="173"/>
      <c r="BK87" s="173"/>
      <c r="BL87" s="173"/>
      <c r="BM87" s="173"/>
      <c r="BN87" s="173"/>
      <c r="BO87" s="173"/>
      <c r="BP87" s="173"/>
      <c r="BQ87" s="173"/>
      <c r="BR87" s="173"/>
      <c r="BS87" s="173"/>
      <c r="BT87" s="173"/>
      <c r="BU87" s="173"/>
      <c r="BV87" s="173"/>
      <c r="BW87" s="173"/>
      <c r="BX87" s="173"/>
      <c r="BY87" s="173"/>
      <c r="BZ87" s="173"/>
      <c r="CA87" s="173"/>
      <c r="CB87" s="173"/>
      <c r="CC87" s="173"/>
      <c r="CD87" s="173"/>
      <c r="CE87" s="173"/>
      <c r="CF87" s="173"/>
      <c r="CG87" s="173"/>
      <c r="CH87" s="173"/>
      <c r="CI87" s="173"/>
      <c r="CJ87" s="173"/>
      <c r="CK87" s="173"/>
      <c r="CL87" s="173"/>
      <c r="CM87" s="173"/>
      <c r="CN87" s="173"/>
      <c r="CO87" s="173"/>
      <c r="CP87" s="173"/>
      <c r="CQ87" s="173"/>
      <c r="CR87" s="173"/>
      <c r="CS87" s="173"/>
      <c r="CT87" s="173"/>
      <c r="CU87" s="173"/>
      <c r="CV87" s="173"/>
      <c r="CW87" s="173"/>
      <c r="CX87" s="173"/>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c r="EF87" s="148"/>
      <c r="EG87" s="148"/>
      <c r="EH87" s="148"/>
      <c r="EI87" s="148"/>
      <c r="EJ87" s="148"/>
      <c r="EK87" s="148"/>
      <c r="EL87" s="148"/>
      <c r="EM87" s="148"/>
      <c r="EN87" s="148"/>
      <c r="EO87" s="148"/>
      <c r="EP87" s="148"/>
      <c r="EQ87" s="148"/>
      <c r="ER87" s="148"/>
      <c r="ES87" s="148"/>
      <c r="ET87" s="148"/>
      <c r="EU87" s="148"/>
      <c r="EV87" s="148"/>
      <c r="EW87" s="148"/>
      <c r="EX87" s="148"/>
      <c r="EY87" s="148"/>
      <c r="EZ87" s="148"/>
      <c r="FA87" s="148"/>
      <c r="FB87" s="148"/>
      <c r="FC87" s="148"/>
      <c r="FD87" s="148"/>
      <c r="FE87" s="148"/>
      <c r="FF87" s="148"/>
      <c r="FG87" s="148"/>
      <c r="FH87" s="148"/>
      <c r="FI87" s="148"/>
      <c r="FJ87" s="148"/>
      <c r="FK87" s="148"/>
      <c r="FL87" s="148"/>
      <c r="FM87" s="148"/>
      <c r="FN87" s="148"/>
      <c r="FO87" s="148"/>
      <c r="FP87" s="148"/>
      <c r="FQ87" s="148"/>
      <c r="FR87" s="148"/>
      <c r="FS87" s="148"/>
      <c r="FT87" s="148"/>
      <c r="FU87" s="148"/>
      <c r="FV87" s="148"/>
      <c r="FW87" s="148"/>
      <c r="FX87" s="148"/>
      <c r="FY87" s="148"/>
      <c r="FZ87" s="148"/>
      <c r="GA87" s="148"/>
      <c r="GB87" s="148"/>
      <c r="GC87" s="148"/>
      <c r="GD87" s="148"/>
      <c r="GE87" s="148"/>
      <c r="GF87" s="148"/>
      <c r="GG87" s="149"/>
    </row>
    <row r="88" spans="1:189" x14ac:dyDescent="0.35">
      <c r="A88" s="267" t="s">
        <v>1020</v>
      </c>
      <c r="B88" s="221" t="s">
        <v>1073</v>
      </c>
      <c r="C88" s="221"/>
      <c r="D88" s="222"/>
      <c r="E88" s="221" t="s">
        <v>1033</v>
      </c>
      <c r="F88" s="221" t="s">
        <v>1044</v>
      </c>
      <c r="G88" s="223">
        <v>2</v>
      </c>
      <c r="H88" s="224"/>
      <c r="I88" s="225"/>
      <c r="J88" s="225"/>
      <c r="K88" s="225"/>
      <c r="L88" s="226">
        <v>46144</v>
      </c>
      <c r="M88" s="226">
        <v>46190</v>
      </c>
      <c r="N88" s="226"/>
      <c r="O88" s="226">
        <v>46235</v>
      </c>
      <c r="P88" s="226">
        <v>46356</v>
      </c>
      <c r="Q88" s="227" t="s">
        <v>45</v>
      </c>
      <c r="R88" s="228">
        <v>419580</v>
      </c>
      <c r="S88" s="228">
        <v>419580</v>
      </c>
      <c r="T88" s="228"/>
      <c r="U88" s="191">
        <f t="shared" si="28"/>
        <v>0</v>
      </c>
      <c r="V88" s="230"/>
      <c r="W88" s="231"/>
      <c r="X88" s="46"/>
      <c r="Y88" s="167">
        <f t="shared" si="22"/>
        <v>419580</v>
      </c>
      <c r="Z88" s="167">
        <f t="shared" si="23"/>
        <v>0</v>
      </c>
      <c r="AA88" s="167">
        <f t="shared" si="24"/>
        <v>419580</v>
      </c>
      <c r="AB88" s="167">
        <f t="shared" si="25"/>
        <v>0</v>
      </c>
      <c r="AC88" s="167">
        <f t="shared" si="26"/>
        <v>0</v>
      </c>
      <c r="AD88" s="167">
        <f t="shared" si="27"/>
        <v>0</v>
      </c>
      <c r="AF88" s="180">
        <f t="shared" si="21"/>
        <v>1</v>
      </c>
      <c r="AG88" s="202" t="str">
        <f t="shared" si="13"/>
        <v>Joanna Sawicka Substructures</v>
      </c>
      <c r="AH88" s="172"/>
      <c r="AI88" s="173"/>
      <c r="AJ88" s="173"/>
      <c r="AK88" s="173"/>
      <c r="AL88" s="173"/>
      <c r="AM88" s="173"/>
      <c r="AN88" s="173"/>
      <c r="AO88" s="173"/>
      <c r="AP88" s="173"/>
      <c r="AQ88" s="173"/>
      <c r="AR88" s="173"/>
      <c r="AS88" s="173"/>
      <c r="AT88" s="173"/>
      <c r="AU88" s="173"/>
      <c r="AV88" s="173"/>
      <c r="AW88" s="173"/>
      <c r="AX88" s="173"/>
      <c r="AY88" s="173"/>
      <c r="AZ88" s="173"/>
      <c r="BA88" s="173"/>
      <c r="BB88" s="173"/>
      <c r="BC88" s="173"/>
      <c r="BD88" s="173"/>
      <c r="BE88" s="173"/>
      <c r="BF88" s="173"/>
      <c r="BG88" s="173"/>
      <c r="BH88" s="173"/>
      <c r="BI88" s="173"/>
      <c r="BJ88" s="173"/>
      <c r="BK88" s="173"/>
      <c r="BL88" s="173"/>
      <c r="BM88" s="173"/>
      <c r="BN88" s="173"/>
      <c r="BO88" s="173"/>
      <c r="BP88" s="173"/>
      <c r="BQ88" s="173"/>
      <c r="BR88" s="173"/>
      <c r="BS88" s="173"/>
      <c r="BT88" s="173"/>
      <c r="BU88" s="173"/>
      <c r="BV88" s="173"/>
      <c r="BW88" s="173"/>
      <c r="BX88" s="173"/>
      <c r="BY88" s="173"/>
      <c r="BZ88" s="173"/>
      <c r="CA88" s="173"/>
      <c r="CB88" s="173"/>
      <c r="CC88" s="173"/>
      <c r="CD88" s="173"/>
      <c r="CE88" s="173"/>
      <c r="CF88" s="173"/>
      <c r="CG88" s="173"/>
      <c r="CH88" s="173"/>
      <c r="CI88" s="173"/>
      <c r="CJ88" s="173"/>
      <c r="CK88" s="173"/>
      <c r="CL88" s="173"/>
      <c r="CM88" s="173"/>
      <c r="CN88" s="173"/>
      <c r="CO88" s="173"/>
      <c r="CP88" s="173"/>
      <c r="CQ88" s="173"/>
      <c r="CR88" s="173"/>
      <c r="CS88" s="173"/>
      <c r="CT88" s="173"/>
      <c r="CU88" s="173"/>
      <c r="CV88" s="173"/>
      <c r="CW88" s="173"/>
      <c r="CX88" s="173"/>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c r="EF88" s="148"/>
      <c r="EG88" s="148"/>
      <c r="EH88" s="148"/>
      <c r="EI88" s="148"/>
      <c r="EJ88" s="148"/>
      <c r="EK88" s="148"/>
      <c r="EL88" s="148"/>
      <c r="EM88" s="148"/>
      <c r="EN88" s="148"/>
      <c r="EO88" s="148"/>
      <c r="EP88" s="148"/>
      <c r="EQ88" s="148"/>
      <c r="ER88" s="148"/>
      <c r="ES88" s="148"/>
      <c r="ET88" s="148"/>
      <c r="EU88" s="148"/>
      <c r="EV88" s="148"/>
      <c r="EW88" s="148"/>
      <c r="EX88" s="148"/>
      <c r="EY88" s="148"/>
      <c r="EZ88" s="148"/>
      <c r="FA88" s="148"/>
      <c r="FB88" s="148"/>
      <c r="FC88" s="148"/>
      <c r="FD88" s="148"/>
      <c r="FE88" s="148"/>
      <c r="FF88" s="148"/>
      <c r="FG88" s="148"/>
      <c r="FH88" s="148"/>
      <c r="FI88" s="148"/>
      <c r="FJ88" s="148"/>
      <c r="FK88" s="148"/>
      <c r="FL88" s="148"/>
      <c r="FM88" s="148"/>
      <c r="FN88" s="148"/>
      <c r="FO88" s="148"/>
      <c r="FP88" s="148"/>
      <c r="FQ88" s="148"/>
      <c r="FR88" s="148"/>
      <c r="FS88" s="148"/>
      <c r="FT88" s="148"/>
      <c r="FU88" s="148"/>
      <c r="FV88" s="148"/>
      <c r="FW88" s="148"/>
      <c r="FX88" s="148"/>
      <c r="FY88" s="148"/>
      <c r="FZ88" s="148"/>
      <c r="GA88" s="148"/>
      <c r="GB88" s="148"/>
      <c r="GC88" s="148"/>
      <c r="GD88" s="148"/>
      <c r="GE88" s="148"/>
      <c r="GF88" s="148"/>
      <c r="GG88" s="149"/>
    </row>
    <row r="89" spans="1:189" x14ac:dyDescent="0.35">
      <c r="A89" s="267" t="s">
        <v>1021</v>
      </c>
      <c r="B89" s="221" t="s">
        <v>1073</v>
      </c>
      <c r="C89" s="221"/>
      <c r="D89" s="222"/>
      <c r="E89" s="221" t="s">
        <v>1034</v>
      </c>
      <c r="F89" s="221" t="s">
        <v>1045</v>
      </c>
      <c r="G89" s="223">
        <v>2</v>
      </c>
      <c r="H89" s="224"/>
      <c r="I89" s="225"/>
      <c r="J89" s="225"/>
      <c r="K89" s="225"/>
      <c r="L89" s="226">
        <v>46144</v>
      </c>
      <c r="M89" s="226">
        <v>46190</v>
      </c>
      <c r="N89" s="226"/>
      <c r="O89" s="226">
        <v>46235</v>
      </c>
      <c r="P89" s="226">
        <v>46356</v>
      </c>
      <c r="Q89" s="227" t="s">
        <v>45</v>
      </c>
      <c r="R89" s="228">
        <v>308662.24</v>
      </c>
      <c r="S89" s="228">
        <v>308662.24</v>
      </c>
      <c r="T89" s="228"/>
      <c r="U89" s="191">
        <f t="shared" si="28"/>
        <v>0</v>
      </c>
      <c r="V89" s="230"/>
      <c r="W89" s="231"/>
      <c r="X89" s="46"/>
      <c r="Y89" s="167">
        <f t="shared" si="22"/>
        <v>308662.24</v>
      </c>
      <c r="Z89" s="167">
        <f t="shared" si="23"/>
        <v>0</v>
      </c>
      <c r="AA89" s="167">
        <f t="shared" si="24"/>
        <v>308662.24</v>
      </c>
      <c r="AB89" s="167">
        <f t="shared" si="25"/>
        <v>0</v>
      </c>
      <c r="AC89" s="167">
        <f t="shared" si="26"/>
        <v>0</v>
      </c>
      <c r="AD89" s="167">
        <f t="shared" si="27"/>
        <v>0</v>
      </c>
      <c r="AF89" s="180">
        <f t="shared" si="21"/>
        <v>1</v>
      </c>
      <c r="AG89" s="202" t="str">
        <f t="shared" si="13"/>
        <v>Joanna Sawicka Soffit lining</v>
      </c>
      <c r="AH89" s="172"/>
      <c r="AI89" s="173"/>
      <c r="AJ89" s="173"/>
      <c r="AK89" s="173"/>
      <c r="AL89" s="173"/>
      <c r="AM89" s="173"/>
      <c r="AN89" s="173"/>
      <c r="AO89" s="173"/>
      <c r="AP89" s="173"/>
      <c r="AQ89" s="173"/>
      <c r="AR89" s="173"/>
      <c r="AS89" s="173"/>
      <c r="AT89" s="173"/>
      <c r="AU89" s="173"/>
      <c r="AV89" s="173"/>
      <c r="AW89" s="173"/>
      <c r="AX89" s="173"/>
      <c r="AY89" s="173"/>
      <c r="AZ89" s="173"/>
      <c r="BA89" s="173"/>
      <c r="BB89" s="173"/>
      <c r="BC89" s="173"/>
      <c r="BD89" s="173"/>
      <c r="BE89" s="173"/>
      <c r="BF89" s="173"/>
      <c r="BG89" s="173"/>
      <c r="BH89" s="173"/>
      <c r="BI89" s="173"/>
      <c r="BJ89" s="173"/>
      <c r="BK89" s="173"/>
      <c r="BL89" s="173"/>
      <c r="BM89" s="173"/>
      <c r="BN89" s="173"/>
      <c r="BO89" s="173"/>
      <c r="BP89" s="173"/>
      <c r="BQ89" s="173"/>
      <c r="BR89" s="173"/>
      <c r="BS89" s="173"/>
      <c r="BT89" s="173"/>
      <c r="BU89" s="173"/>
      <c r="BV89" s="173"/>
      <c r="BW89" s="173"/>
      <c r="BX89" s="173"/>
      <c r="BY89" s="173"/>
      <c r="BZ89" s="173"/>
      <c r="CA89" s="173"/>
      <c r="CB89" s="173"/>
      <c r="CC89" s="173"/>
      <c r="CD89" s="173"/>
      <c r="CE89" s="173"/>
      <c r="CF89" s="173"/>
      <c r="CG89" s="173"/>
      <c r="CH89" s="173"/>
      <c r="CI89" s="173"/>
      <c r="CJ89" s="173"/>
      <c r="CK89" s="173"/>
      <c r="CL89" s="173"/>
      <c r="CM89" s="173"/>
      <c r="CN89" s="173"/>
      <c r="CO89" s="173"/>
      <c r="CP89" s="173"/>
      <c r="CQ89" s="173"/>
      <c r="CR89" s="173"/>
      <c r="CS89" s="173"/>
      <c r="CT89" s="173"/>
      <c r="CU89" s="173"/>
      <c r="CV89" s="173"/>
      <c r="CW89" s="173"/>
      <c r="CX89" s="173"/>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c r="EF89" s="148"/>
      <c r="EG89" s="148"/>
      <c r="EH89" s="148"/>
      <c r="EI89" s="148"/>
      <c r="EJ89" s="148"/>
      <c r="EK89" s="148"/>
      <c r="EL89" s="148"/>
      <c r="EM89" s="148"/>
      <c r="EN89" s="148"/>
      <c r="EO89" s="148"/>
      <c r="EP89" s="148"/>
      <c r="EQ89" s="148"/>
      <c r="ER89" s="148"/>
      <c r="ES89" s="148"/>
      <c r="ET89" s="148"/>
      <c r="EU89" s="148"/>
      <c r="EV89" s="148"/>
      <c r="EW89" s="148"/>
      <c r="EX89" s="148"/>
      <c r="EY89" s="148"/>
      <c r="EZ89" s="148"/>
      <c r="FA89" s="148"/>
      <c r="FB89" s="148"/>
      <c r="FC89" s="148"/>
      <c r="FD89" s="148"/>
      <c r="FE89" s="148"/>
      <c r="FF89" s="148"/>
      <c r="FG89" s="148"/>
      <c r="FH89" s="148"/>
      <c r="FI89" s="148"/>
      <c r="FJ89" s="148"/>
      <c r="FK89" s="148"/>
      <c r="FL89" s="148"/>
      <c r="FM89" s="148"/>
      <c r="FN89" s="148"/>
      <c r="FO89" s="148"/>
      <c r="FP89" s="148"/>
      <c r="FQ89" s="148"/>
      <c r="FR89" s="148"/>
      <c r="FS89" s="148"/>
      <c r="FT89" s="148"/>
      <c r="FU89" s="148"/>
      <c r="FV89" s="148"/>
      <c r="FW89" s="148"/>
      <c r="FX89" s="148"/>
      <c r="FY89" s="148"/>
      <c r="FZ89" s="148"/>
      <c r="GA89" s="148"/>
      <c r="GB89" s="148"/>
      <c r="GC89" s="148"/>
      <c r="GD89" s="148"/>
      <c r="GE89" s="148"/>
      <c r="GF89" s="148"/>
      <c r="GG89" s="149"/>
    </row>
    <row r="90" spans="1:189" x14ac:dyDescent="0.35">
      <c r="A90" s="267" t="s">
        <v>1022</v>
      </c>
      <c r="B90" s="221" t="s">
        <v>1073</v>
      </c>
      <c r="C90" s="221"/>
      <c r="D90" s="222"/>
      <c r="E90" s="221" t="s">
        <v>398</v>
      </c>
      <c r="F90" s="221" t="s">
        <v>1046</v>
      </c>
      <c r="G90" s="223">
        <v>2</v>
      </c>
      <c r="H90" s="224"/>
      <c r="I90" s="225"/>
      <c r="J90" s="225"/>
      <c r="K90" s="225"/>
      <c r="L90" s="226">
        <v>46144</v>
      </c>
      <c r="M90" s="226">
        <v>46190</v>
      </c>
      <c r="N90" s="226"/>
      <c r="O90" s="226">
        <v>46235</v>
      </c>
      <c r="P90" s="226">
        <v>46356</v>
      </c>
      <c r="Q90" s="227" t="s">
        <v>45</v>
      </c>
      <c r="R90" s="228">
        <v>77076</v>
      </c>
      <c r="S90" s="228">
        <v>77076</v>
      </c>
      <c r="T90" s="228"/>
      <c r="U90" s="191">
        <f t="shared" si="28"/>
        <v>0</v>
      </c>
      <c r="V90" s="230"/>
      <c r="W90" s="231"/>
      <c r="X90" s="46"/>
      <c r="Y90" s="167">
        <f t="shared" si="22"/>
        <v>77076</v>
      </c>
      <c r="Z90" s="167">
        <f t="shared" si="23"/>
        <v>0</v>
      </c>
      <c r="AA90" s="167">
        <f t="shared" si="24"/>
        <v>77076</v>
      </c>
      <c r="AB90" s="167">
        <f t="shared" si="25"/>
        <v>0</v>
      </c>
      <c r="AC90" s="167">
        <f t="shared" si="26"/>
        <v>0</v>
      </c>
      <c r="AD90" s="167">
        <f t="shared" si="27"/>
        <v>0</v>
      </c>
      <c r="AF90" s="180">
        <f t="shared" si="21"/>
        <v>1</v>
      </c>
      <c r="AG90" s="202" t="str">
        <f t="shared" si="13"/>
        <v>Joanna Sawicka Scaffolding</v>
      </c>
      <c r="AH90" s="172"/>
      <c r="AI90" s="173"/>
      <c r="AJ90" s="173"/>
      <c r="AK90" s="173"/>
      <c r="AL90" s="173"/>
      <c r="AM90" s="173"/>
      <c r="AN90" s="173"/>
      <c r="AO90" s="173"/>
      <c r="AP90" s="173"/>
      <c r="AQ90" s="173"/>
      <c r="AR90" s="173"/>
      <c r="AS90" s="173"/>
      <c r="AT90" s="173"/>
      <c r="AU90" s="173"/>
      <c r="AV90" s="173"/>
      <c r="AW90" s="173"/>
      <c r="AX90" s="173"/>
      <c r="AY90" s="173"/>
      <c r="AZ90" s="173"/>
      <c r="BA90" s="173"/>
      <c r="BB90" s="173"/>
      <c r="BC90" s="173"/>
      <c r="BD90" s="173"/>
      <c r="BE90" s="173"/>
      <c r="BF90" s="173"/>
      <c r="BG90" s="173"/>
      <c r="BH90" s="173"/>
      <c r="BI90" s="173"/>
      <c r="BJ90" s="173"/>
      <c r="BK90" s="173"/>
      <c r="BL90" s="173"/>
      <c r="BM90" s="173"/>
      <c r="BN90" s="173"/>
      <c r="BO90" s="173"/>
      <c r="BP90" s="173"/>
      <c r="BQ90" s="173"/>
      <c r="BR90" s="173"/>
      <c r="BS90" s="173"/>
      <c r="BT90" s="173"/>
      <c r="BU90" s="173"/>
      <c r="BV90" s="173"/>
      <c r="BW90" s="173"/>
      <c r="BX90" s="173"/>
      <c r="BY90" s="173"/>
      <c r="BZ90" s="173"/>
      <c r="CA90" s="173"/>
      <c r="CB90" s="173"/>
      <c r="CC90" s="173"/>
      <c r="CD90" s="173"/>
      <c r="CE90" s="173"/>
      <c r="CF90" s="173"/>
      <c r="CG90" s="173"/>
      <c r="CH90" s="173"/>
      <c r="CI90" s="173"/>
      <c r="CJ90" s="173"/>
      <c r="CK90" s="173"/>
      <c r="CL90" s="173"/>
      <c r="CM90" s="173"/>
      <c r="CN90" s="173"/>
      <c r="CO90" s="173"/>
      <c r="CP90" s="173"/>
      <c r="CQ90" s="173"/>
      <c r="CR90" s="173"/>
      <c r="CS90" s="173"/>
      <c r="CT90" s="173"/>
      <c r="CU90" s="173"/>
      <c r="CV90" s="173"/>
      <c r="CW90" s="173"/>
      <c r="CX90" s="173"/>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c r="EF90" s="148"/>
      <c r="EG90" s="148"/>
      <c r="EH90" s="148"/>
      <c r="EI90" s="148"/>
      <c r="EJ90" s="148"/>
      <c r="EK90" s="148"/>
      <c r="EL90" s="148"/>
      <c r="EM90" s="148"/>
      <c r="EN90" s="148"/>
      <c r="EO90" s="148"/>
      <c r="EP90" s="148"/>
      <c r="EQ90" s="148"/>
      <c r="ER90" s="148"/>
      <c r="ES90" s="148"/>
      <c r="ET90" s="148"/>
      <c r="EU90" s="148"/>
      <c r="EV90" s="148"/>
      <c r="EW90" s="148"/>
      <c r="EX90" s="148"/>
      <c r="EY90" s="148"/>
      <c r="EZ90" s="148"/>
      <c r="FA90" s="148"/>
      <c r="FB90" s="148"/>
      <c r="FC90" s="148"/>
      <c r="FD90" s="148"/>
      <c r="FE90" s="148"/>
      <c r="FF90" s="148"/>
      <c r="FG90" s="148"/>
      <c r="FH90" s="148"/>
      <c r="FI90" s="148"/>
      <c r="FJ90" s="148"/>
      <c r="FK90" s="148"/>
      <c r="FL90" s="148"/>
      <c r="FM90" s="148"/>
      <c r="FN90" s="148"/>
      <c r="FO90" s="148"/>
      <c r="FP90" s="148"/>
      <c r="FQ90" s="148"/>
      <c r="FR90" s="148"/>
      <c r="FS90" s="148"/>
      <c r="FT90" s="148"/>
      <c r="FU90" s="148"/>
      <c r="FV90" s="148"/>
      <c r="FW90" s="148"/>
      <c r="FX90" s="148"/>
      <c r="FY90" s="148"/>
      <c r="FZ90" s="148"/>
      <c r="GA90" s="148"/>
      <c r="GB90" s="148"/>
      <c r="GC90" s="148"/>
      <c r="GD90" s="148"/>
      <c r="GE90" s="148"/>
      <c r="GF90" s="148"/>
      <c r="GG90" s="149"/>
    </row>
    <row r="91" spans="1:189" x14ac:dyDescent="0.35">
      <c r="A91" s="267" t="s">
        <v>1023</v>
      </c>
      <c r="B91" s="221" t="s">
        <v>1073</v>
      </c>
      <c r="C91" s="221"/>
      <c r="D91" s="222"/>
      <c r="E91" s="221" t="s">
        <v>1035</v>
      </c>
      <c r="F91" s="221" t="s">
        <v>1047</v>
      </c>
      <c r="G91" s="223">
        <v>2</v>
      </c>
      <c r="H91" s="224"/>
      <c r="I91" s="225"/>
      <c r="J91" s="225"/>
      <c r="K91" s="225"/>
      <c r="L91" s="226">
        <v>46144</v>
      </c>
      <c r="M91" s="226">
        <v>46190</v>
      </c>
      <c r="N91" s="226"/>
      <c r="O91" s="226">
        <v>46235</v>
      </c>
      <c r="P91" s="226">
        <v>46356</v>
      </c>
      <c r="Q91" s="227" t="s">
        <v>45</v>
      </c>
      <c r="R91" s="228">
        <v>150018.35</v>
      </c>
      <c r="S91" s="228">
        <v>150018.35</v>
      </c>
      <c r="T91" s="228"/>
      <c r="U91" s="191">
        <f t="shared" si="28"/>
        <v>0</v>
      </c>
      <c r="V91" s="230"/>
      <c r="W91" s="231"/>
      <c r="X91" s="46"/>
      <c r="Y91" s="167">
        <f t="shared" si="22"/>
        <v>150018.35</v>
      </c>
      <c r="Z91" s="167">
        <f t="shared" si="23"/>
        <v>0</v>
      </c>
      <c r="AA91" s="167">
        <f t="shared" si="24"/>
        <v>150018.35</v>
      </c>
      <c r="AB91" s="167">
        <f t="shared" si="25"/>
        <v>0</v>
      </c>
      <c r="AC91" s="167">
        <f t="shared" si="26"/>
        <v>0</v>
      </c>
      <c r="AD91" s="167">
        <f t="shared" si="27"/>
        <v>0</v>
      </c>
      <c r="AF91" s="180">
        <f t="shared" si="21"/>
        <v>1</v>
      </c>
      <c r="AG91" s="202" t="str">
        <f t="shared" si="13"/>
        <v>Joanna Sawicka Safety system</v>
      </c>
      <c r="AH91" s="172"/>
      <c r="AI91" s="173"/>
      <c r="AJ91" s="173"/>
      <c r="AK91" s="173"/>
      <c r="AL91" s="173"/>
      <c r="AM91" s="173"/>
      <c r="AN91" s="173"/>
      <c r="AO91" s="173"/>
      <c r="AP91" s="173"/>
      <c r="AQ91" s="173"/>
      <c r="AR91" s="173"/>
      <c r="AS91" s="173"/>
      <c r="AT91" s="173"/>
      <c r="AU91" s="173"/>
      <c r="AV91" s="173"/>
      <c r="AW91" s="173"/>
      <c r="AX91" s="173"/>
      <c r="AY91" s="173"/>
      <c r="AZ91" s="173"/>
      <c r="BA91" s="173"/>
      <c r="BB91" s="173"/>
      <c r="BC91" s="173"/>
      <c r="BD91" s="173"/>
      <c r="BE91" s="173"/>
      <c r="BF91" s="173"/>
      <c r="BG91" s="173"/>
      <c r="BH91" s="173"/>
      <c r="BI91" s="173"/>
      <c r="BJ91" s="173"/>
      <c r="BK91" s="173"/>
      <c r="BL91" s="173"/>
      <c r="BM91" s="173"/>
      <c r="BN91" s="173"/>
      <c r="BO91" s="173"/>
      <c r="BP91" s="173"/>
      <c r="BQ91" s="173"/>
      <c r="BR91" s="173"/>
      <c r="BS91" s="173"/>
      <c r="BT91" s="173"/>
      <c r="BU91" s="173"/>
      <c r="BV91" s="173"/>
      <c r="BW91" s="173"/>
      <c r="BX91" s="173"/>
      <c r="BY91" s="173"/>
      <c r="BZ91" s="173"/>
      <c r="CA91" s="173"/>
      <c r="CB91" s="173"/>
      <c r="CC91" s="173"/>
      <c r="CD91" s="173"/>
      <c r="CE91" s="173"/>
      <c r="CF91" s="173"/>
      <c r="CG91" s="173"/>
      <c r="CH91" s="173"/>
      <c r="CI91" s="173"/>
      <c r="CJ91" s="173"/>
      <c r="CK91" s="173"/>
      <c r="CL91" s="173"/>
      <c r="CM91" s="173"/>
      <c r="CN91" s="173"/>
      <c r="CO91" s="173"/>
      <c r="CP91" s="173"/>
      <c r="CQ91" s="173"/>
      <c r="CR91" s="173"/>
      <c r="CS91" s="173"/>
      <c r="CT91" s="173"/>
      <c r="CU91" s="173"/>
      <c r="CV91" s="173"/>
      <c r="CW91" s="173"/>
      <c r="CX91" s="173"/>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c r="EF91" s="148"/>
      <c r="EG91" s="148"/>
      <c r="EH91" s="148"/>
      <c r="EI91" s="148"/>
      <c r="EJ91" s="148"/>
      <c r="EK91" s="148"/>
      <c r="EL91" s="148"/>
      <c r="EM91" s="148"/>
      <c r="EN91" s="148"/>
      <c r="EO91" s="148"/>
      <c r="EP91" s="148"/>
      <c r="EQ91" s="148"/>
      <c r="ER91" s="148"/>
      <c r="ES91" s="148"/>
      <c r="ET91" s="148"/>
      <c r="EU91" s="148"/>
      <c r="EV91" s="148"/>
      <c r="EW91" s="148"/>
      <c r="EX91" s="148"/>
      <c r="EY91" s="148"/>
      <c r="EZ91" s="148"/>
      <c r="FA91" s="148"/>
      <c r="FB91" s="148"/>
      <c r="FC91" s="148"/>
      <c r="FD91" s="148"/>
      <c r="FE91" s="148"/>
      <c r="FF91" s="148"/>
      <c r="FG91" s="148"/>
      <c r="FH91" s="148"/>
      <c r="FI91" s="148"/>
      <c r="FJ91" s="148"/>
      <c r="FK91" s="148"/>
      <c r="FL91" s="148"/>
      <c r="FM91" s="148"/>
      <c r="FN91" s="148"/>
      <c r="FO91" s="148"/>
      <c r="FP91" s="148"/>
      <c r="FQ91" s="148"/>
      <c r="FR91" s="148"/>
      <c r="FS91" s="148"/>
      <c r="FT91" s="148"/>
      <c r="FU91" s="148"/>
      <c r="FV91" s="148"/>
      <c r="FW91" s="148"/>
      <c r="FX91" s="148"/>
      <c r="FY91" s="148"/>
      <c r="FZ91" s="148"/>
      <c r="GA91" s="148"/>
      <c r="GB91" s="148"/>
      <c r="GC91" s="148"/>
      <c r="GD91" s="148"/>
      <c r="GE91" s="148"/>
      <c r="GF91" s="148"/>
      <c r="GG91" s="149"/>
    </row>
    <row r="92" spans="1:189" x14ac:dyDescent="0.35">
      <c r="A92" s="267" t="s">
        <v>1024</v>
      </c>
      <c r="B92" s="221" t="s">
        <v>1073</v>
      </c>
      <c r="C92" s="221"/>
      <c r="D92" s="222"/>
      <c r="E92" s="221" t="s">
        <v>1036</v>
      </c>
      <c r="F92" s="221" t="s">
        <v>1048</v>
      </c>
      <c r="G92" s="223">
        <v>2</v>
      </c>
      <c r="H92" s="224"/>
      <c r="I92" s="225"/>
      <c r="J92" s="225"/>
      <c r="K92" s="225"/>
      <c r="L92" s="226">
        <v>46144</v>
      </c>
      <c r="M92" s="226">
        <v>46190</v>
      </c>
      <c r="N92" s="226"/>
      <c r="O92" s="226">
        <v>46235</v>
      </c>
      <c r="P92" s="226">
        <v>46356</v>
      </c>
      <c r="Q92" s="227" t="s">
        <v>45</v>
      </c>
      <c r="R92" s="228">
        <v>107600.56</v>
      </c>
      <c r="S92" s="228">
        <v>107600.56</v>
      </c>
      <c r="T92" s="228"/>
      <c r="U92" s="191">
        <f t="shared" si="28"/>
        <v>0</v>
      </c>
      <c r="V92" s="230"/>
      <c r="W92" s="231"/>
      <c r="X92" s="46"/>
      <c r="Y92" s="167">
        <f t="shared" si="22"/>
        <v>107600.56</v>
      </c>
      <c r="Z92" s="167">
        <f t="shared" si="23"/>
        <v>0</v>
      </c>
      <c r="AA92" s="167">
        <f t="shared" si="24"/>
        <v>107600.56</v>
      </c>
      <c r="AB92" s="167">
        <f t="shared" si="25"/>
        <v>0</v>
      </c>
      <c r="AC92" s="167">
        <f t="shared" si="26"/>
        <v>0</v>
      </c>
      <c r="AD92" s="167">
        <f t="shared" si="27"/>
        <v>0</v>
      </c>
      <c r="AF92" s="180">
        <f t="shared" si="21"/>
        <v>1</v>
      </c>
      <c r="AG92" s="202" t="str">
        <f t="shared" si="13"/>
        <v>Joanna Sawicka Shutters</v>
      </c>
      <c r="AH92" s="172"/>
      <c r="AI92" s="173"/>
      <c r="AJ92" s="173"/>
      <c r="AK92" s="173"/>
      <c r="AL92" s="173"/>
      <c r="AM92" s="173"/>
      <c r="AN92" s="173"/>
      <c r="AO92" s="173"/>
      <c r="AP92" s="173"/>
      <c r="AQ92" s="173"/>
      <c r="AR92" s="173"/>
      <c r="AS92" s="173"/>
      <c r="AT92" s="173"/>
      <c r="AU92" s="173"/>
      <c r="AV92" s="173"/>
      <c r="AW92" s="173"/>
      <c r="AX92" s="173"/>
      <c r="AY92" s="173"/>
      <c r="AZ92" s="173"/>
      <c r="BA92" s="173"/>
      <c r="BB92" s="173"/>
      <c r="BC92" s="173"/>
      <c r="BD92" s="173"/>
      <c r="BE92" s="173"/>
      <c r="BF92" s="173"/>
      <c r="BG92" s="173"/>
      <c r="BH92" s="173"/>
      <c r="BI92" s="173"/>
      <c r="BJ92" s="173"/>
      <c r="BK92" s="173"/>
      <c r="BL92" s="173"/>
      <c r="BM92" s="173"/>
      <c r="BN92" s="173"/>
      <c r="BO92" s="173"/>
      <c r="BP92" s="173"/>
      <c r="BQ92" s="173"/>
      <c r="BR92" s="173"/>
      <c r="BS92" s="173"/>
      <c r="BT92" s="173"/>
      <c r="BU92" s="173"/>
      <c r="BV92" s="173"/>
      <c r="BW92" s="173"/>
      <c r="BX92" s="173"/>
      <c r="BY92" s="173"/>
      <c r="BZ92" s="173"/>
      <c r="CA92" s="173"/>
      <c r="CB92" s="173"/>
      <c r="CC92" s="173"/>
      <c r="CD92" s="173"/>
      <c r="CE92" s="173"/>
      <c r="CF92" s="173"/>
      <c r="CG92" s="173"/>
      <c r="CH92" s="173"/>
      <c r="CI92" s="173"/>
      <c r="CJ92" s="173"/>
      <c r="CK92" s="173"/>
      <c r="CL92" s="173"/>
      <c r="CM92" s="173"/>
      <c r="CN92" s="173"/>
      <c r="CO92" s="173"/>
      <c r="CP92" s="173"/>
      <c r="CQ92" s="173"/>
      <c r="CR92" s="173"/>
      <c r="CS92" s="173"/>
      <c r="CT92" s="173"/>
      <c r="CU92" s="173"/>
      <c r="CV92" s="173"/>
      <c r="CW92" s="173"/>
      <c r="CX92" s="173"/>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c r="EF92" s="148"/>
      <c r="EG92" s="148"/>
      <c r="EH92" s="148"/>
      <c r="EI92" s="148"/>
      <c r="EJ92" s="148"/>
      <c r="EK92" s="148"/>
      <c r="EL92" s="148"/>
      <c r="EM92" s="148"/>
      <c r="EN92" s="148"/>
      <c r="EO92" s="148"/>
      <c r="EP92" s="148"/>
      <c r="EQ92" s="148"/>
      <c r="ER92" s="148"/>
      <c r="ES92" s="148"/>
      <c r="ET92" s="148"/>
      <c r="EU92" s="148"/>
      <c r="EV92" s="148"/>
      <c r="EW92" s="148"/>
      <c r="EX92" s="148"/>
      <c r="EY92" s="148"/>
      <c r="EZ92" s="148"/>
      <c r="FA92" s="148"/>
      <c r="FB92" s="148"/>
      <c r="FC92" s="148"/>
      <c r="FD92" s="148"/>
      <c r="FE92" s="148"/>
      <c r="FF92" s="148"/>
      <c r="FG92" s="148"/>
      <c r="FH92" s="148"/>
      <c r="FI92" s="148"/>
      <c r="FJ92" s="148"/>
      <c r="FK92" s="148"/>
      <c r="FL92" s="148"/>
      <c r="FM92" s="148"/>
      <c r="FN92" s="148"/>
      <c r="FO92" s="148"/>
      <c r="FP92" s="148"/>
      <c r="FQ92" s="148"/>
      <c r="FR92" s="148"/>
      <c r="FS92" s="148"/>
      <c r="FT92" s="148"/>
      <c r="FU92" s="148"/>
      <c r="FV92" s="148"/>
      <c r="FW92" s="148"/>
      <c r="FX92" s="148"/>
      <c r="FY92" s="148"/>
      <c r="FZ92" s="148"/>
      <c r="GA92" s="148"/>
      <c r="GB92" s="148"/>
      <c r="GC92" s="148"/>
      <c r="GD92" s="148"/>
      <c r="GE92" s="148"/>
      <c r="GF92" s="148"/>
      <c r="GG92" s="149"/>
    </row>
    <row r="93" spans="1:189" x14ac:dyDescent="0.35">
      <c r="A93" s="237" t="s">
        <v>692</v>
      </c>
      <c r="B93" s="236"/>
      <c r="C93" s="236"/>
      <c r="D93" s="237"/>
      <c r="E93" s="236" t="s">
        <v>283</v>
      </c>
      <c r="F93" s="236" t="s">
        <v>721</v>
      </c>
      <c r="G93" s="238">
        <v>2</v>
      </c>
      <c r="H93" s="239"/>
      <c r="I93" s="240"/>
      <c r="J93" s="240"/>
      <c r="K93" s="240"/>
      <c r="L93" s="241"/>
      <c r="M93" s="241"/>
      <c r="N93" s="241"/>
      <c r="O93" s="241"/>
      <c r="P93" s="241"/>
      <c r="Q93" s="242"/>
      <c r="R93" s="243"/>
      <c r="S93" s="243"/>
      <c r="T93" s="243"/>
      <c r="U93" s="191">
        <f t="shared" si="28"/>
        <v>0</v>
      </c>
      <c r="V93" s="244"/>
      <c r="W93" s="245"/>
      <c r="X93" s="46"/>
      <c r="Y93" s="167">
        <f t="shared" si="22"/>
        <v>0</v>
      </c>
      <c r="Z93" s="167">
        <f t="shared" si="23"/>
        <v>0</v>
      </c>
      <c r="AA93" s="167">
        <f t="shared" si="24"/>
        <v>0</v>
      </c>
      <c r="AB93" s="167">
        <f t="shared" si="25"/>
        <v>0</v>
      </c>
      <c r="AC93" s="167">
        <f t="shared" si="26"/>
        <v>0</v>
      </c>
      <c r="AD93" s="167">
        <f t="shared" si="27"/>
        <v>0</v>
      </c>
      <c r="AF93" s="180">
        <f t="shared" si="21"/>
        <v>0</v>
      </c>
      <c r="AG93" s="202" t="str">
        <f t="shared" si="13"/>
        <v xml:space="preserve"> Doors, windows, gates and hatches</v>
      </c>
      <c r="AH93" s="172"/>
      <c r="AI93" s="173"/>
      <c r="AJ93" s="173"/>
      <c r="AK93" s="173"/>
      <c r="AL93" s="173"/>
      <c r="AM93" s="173"/>
      <c r="AN93" s="173"/>
      <c r="AO93" s="173"/>
      <c r="AP93" s="173"/>
      <c r="AQ93" s="173"/>
      <c r="AR93" s="173"/>
      <c r="AS93" s="173"/>
      <c r="AT93" s="173"/>
      <c r="AU93" s="173"/>
      <c r="AV93" s="173"/>
      <c r="AW93" s="173"/>
      <c r="AX93" s="173"/>
      <c r="AY93" s="173"/>
      <c r="AZ93" s="173"/>
      <c r="BA93" s="173"/>
      <c r="BB93" s="173"/>
      <c r="BC93" s="173"/>
      <c r="BD93" s="173"/>
      <c r="BE93" s="173"/>
      <c r="BF93" s="173"/>
      <c r="BG93" s="173"/>
      <c r="BH93" s="173"/>
      <c r="BI93" s="173"/>
      <c r="BJ93" s="173"/>
      <c r="BK93" s="173"/>
      <c r="BL93" s="173"/>
      <c r="BM93" s="173"/>
      <c r="BN93" s="173"/>
      <c r="BO93" s="173"/>
      <c r="BP93" s="173"/>
      <c r="BQ93" s="173"/>
      <c r="BR93" s="173"/>
      <c r="BS93" s="173"/>
      <c r="BT93" s="173"/>
      <c r="BU93" s="173"/>
      <c r="BV93" s="173"/>
      <c r="BW93" s="173"/>
      <c r="BX93" s="173"/>
      <c r="BY93" s="173"/>
      <c r="BZ93" s="173"/>
      <c r="CA93" s="173"/>
      <c r="CB93" s="173"/>
      <c r="CC93" s="173"/>
      <c r="CD93" s="173"/>
      <c r="CE93" s="173"/>
      <c r="CF93" s="173"/>
      <c r="CG93" s="173"/>
      <c r="CH93" s="173"/>
      <c r="CI93" s="173"/>
      <c r="CJ93" s="173"/>
      <c r="CK93" s="173"/>
      <c r="CL93" s="173"/>
      <c r="CM93" s="173"/>
      <c r="CN93" s="173"/>
      <c r="CO93" s="173"/>
      <c r="CP93" s="173"/>
      <c r="CQ93" s="173"/>
      <c r="CR93" s="173"/>
      <c r="CS93" s="173"/>
      <c r="CT93" s="173"/>
      <c r="CU93" s="173"/>
      <c r="CV93" s="173"/>
      <c r="CW93" s="173"/>
      <c r="CX93" s="173"/>
      <c r="CY93" s="151"/>
      <c r="CZ93" s="151"/>
      <c r="DA93" s="151"/>
      <c r="DB93" s="151"/>
      <c r="DC93" s="151"/>
      <c r="DD93" s="151"/>
      <c r="DE93" s="151"/>
      <c r="DF93" s="151"/>
      <c r="DG93" s="151"/>
      <c r="DH93" s="151"/>
      <c r="DI93" s="151"/>
      <c r="DJ93" s="151"/>
      <c r="DK93" s="151"/>
      <c r="DL93" s="151"/>
      <c r="DM93" s="151"/>
      <c r="DN93" s="151"/>
      <c r="DO93" s="151"/>
      <c r="DP93" s="151"/>
      <c r="DQ93" s="151"/>
      <c r="DR93" s="151"/>
      <c r="DS93" s="151"/>
      <c r="DT93" s="151"/>
      <c r="DU93" s="151"/>
      <c r="DV93" s="151"/>
      <c r="DW93" s="151"/>
      <c r="DX93" s="151"/>
      <c r="DY93" s="151"/>
      <c r="DZ93" s="151"/>
      <c r="EA93" s="151"/>
      <c r="EB93" s="151"/>
      <c r="EC93" s="151"/>
      <c r="ED93" s="151"/>
      <c r="EE93" s="151"/>
      <c r="EF93" s="151"/>
      <c r="EG93" s="151"/>
      <c r="EH93" s="151"/>
      <c r="EI93" s="151"/>
      <c r="EJ93" s="151"/>
      <c r="EK93" s="151"/>
      <c r="EL93" s="151"/>
      <c r="EM93" s="151"/>
      <c r="EN93" s="151"/>
      <c r="EO93" s="151"/>
      <c r="EP93" s="151"/>
      <c r="EQ93" s="151"/>
      <c r="ER93" s="151"/>
      <c r="ES93" s="151"/>
      <c r="ET93" s="151"/>
      <c r="EU93" s="151"/>
      <c r="EV93" s="151"/>
      <c r="EW93" s="151"/>
      <c r="EX93" s="151"/>
      <c r="EY93" s="151"/>
      <c r="EZ93" s="151"/>
      <c r="FA93" s="151"/>
      <c r="FB93" s="151"/>
      <c r="FC93" s="151"/>
      <c r="FD93" s="151"/>
      <c r="FE93" s="151"/>
      <c r="FF93" s="151"/>
      <c r="FG93" s="151"/>
      <c r="FH93" s="151"/>
      <c r="FI93" s="151"/>
      <c r="FJ93" s="151"/>
      <c r="FK93" s="151"/>
      <c r="FL93" s="151"/>
      <c r="FM93" s="151"/>
      <c r="FN93" s="151"/>
      <c r="FO93" s="151"/>
      <c r="FP93" s="151"/>
      <c r="FQ93" s="151"/>
      <c r="FR93" s="151"/>
      <c r="FS93" s="151"/>
      <c r="FT93" s="151"/>
      <c r="FU93" s="151"/>
      <c r="FV93" s="151"/>
      <c r="FW93" s="151"/>
      <c r="FX93" s="151"/>
      <c r="FY93" s="151"/>
      <c r="FZ93" s="151"/>
      <c r="GA93" s="151"/>
      <c r="GB93" s="151"/>
      <c r="GC93" s="151"/>
      <c r="GD93" s="151"/>
      <c r="GE93" s="151"/>
      <c r="GF93" s="151"/>
      <c r="GG93" s="152"/>
    </row>
    <row r="94" spans="1:189" x14ac:dyDescent="0.35">
      <c r="A94" s="267" t="s">
        <v>693</v>
      </c>
      <c r="B94" s="221" t="s">
        <v>1071</v>
      </c>
      <c r="C94" s="221"/>
      <c r="D94" s="222"/>
      <c r="E94" s="221" t="s">
        <v>284</v>
      </c>
      <c r="F94" s="221" t="s">
        <v>722</v>
      </c>
      <c r="G94" s="223">
        <v>2</v>
      </c>
      <c r="H94" s="224"/>
      <c r="I94" s="225"/>
      <c r="J94" s="225"/>
      <c r="K94" s="225"/>
      <c r="L94" s="226">
        <v>46234</v>
      </c>
      <c r="M94" s="226">
        <v>46265</v>
      </c>
      <c r="N94" s="226"/>
      <c r="O94" s="226">
        <v>46266</v>
      </c>
      <c r="P94" s="226">
        <v>46387</v>
      </c>
      <c r="Q94" s="227" t="s">
        <v>45</v>
      </c>
      <c r="R94" s="228">
        <v>1169928.6779112776</v>
      </c>
      <c r="S94" s="228">
        <v>1169928.6779112776</v>
      </c>
      <c r="T94" s="228"/>
      <c r="U94" s="191">
        <f t="shared" si="28"/>
        <v>0</v>
      </c>
      <c r="V94" s="230"/>
      <c r="W94" s="231"/>
      <c r="X94" s="46"/>
      <c r="Y94" s="167">
        <f t="shared" si="22"/>
        <v>1169928.6779112776</v>
      </c>
      <c r="Z94" s="167">
        <f t="shared" si="23"/>
        <v>0</v>
      </c>
      <c r="AA94" s="167">
        <f t="shared" si="24"/>
        <v>1169928.6779112776</v>
      </c>
      <c r="AB94" s="167">
        <f t="shared" si="25"/>
        <v>0</v>
      </c>
      <c r="AC94" s="167">
        <f t="shared" si="26"/>
        <v>0</v>
      </c>
      <c r="AD94" s="167">
        <f t="shared" si="27"/>
        <v>0</v>
      </c>
      <c r="AF94" s="180">
        <f t="shared" si="21"/>
        <v>1</v>
      </c>
      <c r="AG94" s="202" t="str">
        <f t="shared" si="13"/>
        <v>Magdalena Białorucka Gates</v>
      </c>
      <c r="AH94" s="172"/>
      <c r="AI94" s="173"/>
      <c r="AJ94" s="173"/>
      <c r="AK94" s="173"/>
      <c r="AL94" s="173"/>
      <c r="AM94" s="173"/>
      <c r="AN94" s="173"/>
      <c r="AO94" s="173"/>
      <c r="AP94" s="173"/>
      <c r="AQ94" s="173"/>
      <c r="AR94" s="173"/>
      <c r="AS94" s="173"/>
      <c r="AT94" s="173"/>
      <c r="AU94" s="173"/>
      <c r="AV94" s="173"/>
      <c r="AW94" s="173"/>
      <c r="AX94" s="173"/>
      <c r="AY94" s="173"/>
      <c r="AZ94" s="173"/>
      <c r="BA94" s="173"/>
      <c r="BB94" s="173"/>
      <c r="BC94" s="173"/>
      <c r="BD94" s="173"/>
      <c r="BE94" s="173"/>
      <c r="BF94" s="173"/>
      <c r="BG94" s="173"/>
      <c r="BH94" s="173"/>
      <c r="BI94" s="173"/>
      <c r="BJ94" s="173"/>
      <c r="BK94" s="173"/>
      <c r="BL94" s="173"/>
      <c r="BM94" s="173"/>
      <c r="BN94" s="173"/>
      <c r="BO94" s="173"/>
      <c r="BP94" s="173"/>
      <c r="BQ94" s="173"/>
      <c r="BR94" s="173"/>
      <c r="BS94" s="173"/>
      <c r="BT94" s="173"/>
      <c r="BU94" s="173"/>
      <c r="BV94" s="173"/>
      <c r="BW94" s="173"/>
      <c r="BX94" s="173"/>
      <c r="BY94" s="173"/>
      <c r="BZ94" s="173"/>
      <c r="CA94" s="173"/>
      <c r="CB94" s="173"/>
      <c r="CC94" s="173"/>
      <c r="CD94" s="173"/>
      <c r="CE94" s="173"/>
      <c r="CF94" s="173"/>
      <c r="CG94" s="173"/>
      <c r="CH94" s="173"/>
      <c r="CI94" s="173"/>
      <c r="CJ94" s="173"/>
      <c r="CK94" s="173"/>
      <c r="CL94" s="173"/>
      <c r="CM94" s="173"/>
      <c r="CN94" s="173"/>
      <c r="CO94" s="173"/>
      <c r="CP94" s="173"/>
      <c r="CQ94" s="173"/>
      <c r="CR94" s="173"/>
      <c r="CS94" s="173"/>
      <c r="CT94" s="173"/>
      <c r="CU94" s="173"/>
      <c r="CV94" s="173"/>
      <c r="CW94" s="173"/>
      <c r="CX94" s="173"/>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c r="EF94" s="148"/>
      <c r="EG94" s="148"/>
      <c r="EH94" s="148"/>
      <c r="EI94" s="148"/>
      <c r="EJ94" s="148"/>
      <c r="EK94" s="148"/>
      <c r="EL94" s="148"/>
      <c r="EM94" s="148"/>
      <c r="EN94" s="148"/>
      <c r="EO94" s="148"/>
      <c r="EP94" s="148"/>
      <c r="EQ94" s="148"/>
      <c r="ER94" s="148"/>
      <c r="ES94" s="148"/>
      <c r="ET94" s="148"/>
      <c r="EU94" s="148"/>
      <c r="EV94" s="148"/>
      <c r="EW94" s="148"/>
      <c r="EX94" s="148"/>
      <c r="EY94" s="148"/>
      <c r="EZ94" s="148"/>
      <c r="FA94" s="148"/>
      <c r="FB94" s="148"/>
      <c r="FC94" s="148"/>
      <c r="FD94" s="148"/>
      <c r="FE94" s="148"/>
      <c r="FF94" s="148"/>
      <c r="FG94" s="148"/>
      <c r="FH94" s="148"/>
      <c r="FI94" s="148"/>
      <c r="FJ94" s="148"/>
      <c r="FK94" s="148"/>
      <c r="FL94" s="148"/>
      <c r="FM94" s="148"/>
      <c r="FN94" s="148"/>
      <c r="FO94" s="148"/>
      <c r="FP94" s="148"/>
      <c r="FQ94" s="148"/>
      <c r="FR94" s="148"/>
      <c r="FS94" s="148"/>
      <c r="FT94" s="148"/>
      <c r="FU94" s="148"/>
      <c r="FV94" s="148"/>
      <c r="FW94" s="148"/>
      <c r="FX94" s="148"/>
      <c r="FY94" s="148"/>
      <c r="FZ94" s="148"/>
      <c r="GA94" s="148"/>
      <c r="GB94" s="148"/>
      <c r="GC94" s="148"/>
      <c r="GD94" s="148"/>
      <c r="GE94" s="148"/>
      <c r="GF94" s="148"/>
      <c r="GG94" s="149"/>
    </row>
    <row r="95" spans="1:189" x14ac:dyDescent="0.35">
      <c r="A95" s="267" t="s">
        <v>694</v>
      </c>
      <c r="B95" s="221" t="s">
        <v>1072</v>
      </c>
      <c r="C95" s="221"/>
      <c r="D95" s="222"/>
      <c r="E95" s="221" t="s">
        <v>285</v>
      </c>
      <c r="F95" s="221" t="s">
        <v>723</v>
      </c>
      <c r="G95" s="223">
        <v>2</v>
      </c>
      <c r="H95" s="224"/>
      <c r="I95" s="225"/>
      <c r="J95" s="225"/>
      <c r="K95" s="225"/>
      <c r="L95" s="226">
        <v>46234</v>
      </c>
      <c r="M95" s="226">
        <v>46265</v>
      </c>
      <c r="N95" s="226"/>
      <c r="O95" s="226">
        <v>46266</v>
      </c>
      <c r="P95" s="226">
        <v>46387</v>
      </c>
      <c r="Q95" s="227" t="s">
        <v>45</v>
      </c>
      <c r="R95" s="228">
        <v>433041.85</v>
      </c>
      <c r="S95" s="228">
        <v>433041.85</v>
      </c>
      <c r="T95" s="228"/>
      <c r="U95" s="191">
        <f t="shared" si="28"/>
        <v>0</v>
      </c>
      <c r="V95" s="230"/>
      <c r="W95" s="232"/>
      <c r="X95" s="46"/>
      <c r="Y95" s="167">
        <f t="shared" si="22"/>
        <v>433041.85</v>
      </c>
      <c r="Z95" s="167">
        <f t="shared" si="23"/>
        <v>0</v>
      </c>
      <c r="AA95" s="167">
        <f t="shared" si="24"/>
        <v>433041.85</v>
      </c>
      <c r="AB95" s="167">
        <f t="shared" si="25"/>
        <v>0</v>
      </c>
      <c r="AC95" s="167">
        <f t="shared" si="26"/>
        <v>0</v>
      </c>
      <c r="AD95" s="167">
        <f t="shared" si="27"/>
        <v>0</v>
      </c>
      <c r="AF95" s="47">
        <f t="shared" si="21"/>
        <v>1</v>
      </c>
      <c r="AG95" s="202" t="str">
        <f t="shared" si="13"/>
        <v>Izabela Malarecka Interior doors</v>
      </c>
      <c r="AH95" s="172"/>
      <c r="AI95" s="173"/>
      <c r="AJ95" s="173"/>
      <c r="AK95" s="173"/>
      <c r="AL95" s="173"/>
      <c r="AM95" s="173"/>
      <c r="AN95" s="173"/>
      <c r="AO95" s="173"/>
      <c r="AP95" s="173"/>
      <c r="AQ95" s="173"/>
      <c r="AR95" s="173"/>
      <c r="AS95" s="173"/>
      <c r="AT95" s="173"/>
      <c r="AU95" s="173"/>
      <c r="AV95" s="173"/>
      <c r="AW95" s="173"/>
      <c r="AX95" s="173"/>
      <c r="AY95" s="173"/>
      <c r="AZ95" s="173"/>
      <c r="BA95" s="173"/>
      <c r="BB95" s="173"/>
      <c r="BC95" s="173"/>
      <c r="BD95" s="173"/>
      <c r="BE95" s="173"/>
      <c r="BF95" s="173"/>
      <c r="BG95" s="173"/>
      <c r="BH95" s="173"/>
      <c r="BI95" s="173"/>
      <c r="BJ95" s="173"/>
      <c r="BK95" s="173"/>
      <c r="BL95" s="173"/>
      <c r="BM95" s="173"/>
      <c r="BN95" s="173"/>
      <c r="BO95" s="173"/>
      <c r="BP95" s="173"/>
      <c r="BQ95" s="173"/>
      <c r="BR95" s="173"/>
      <c r="BS95" s="173"/>
      <c r="BT95" s="173"/>
      <c r="BU95" s="173"/>
      <c r="BV95" s="173"/>
      <c r="BW95" s="173"/>
      <c r="BX95" s="173"/>
      <c r="BY95" s="173"/>
      <c r="BZ95" s="173"/>
      <c r="CA95" s="173"/>
      <c r="CB95" s="173"/>
      <c r="CC95" s="173"/>
      <c r="CD95" s="173"/>
      <c r="CE95" s="173"/>
      <c r="CF95" s="173"/>
      <c r="CG95" s="173"/>
      <c r="CH95" s="173"/>
      <c r="CI95" s="173"/>
      <c r="CJ95" s="173"/>
      <c r="CK95" s="173"/>
      <c r="CL95" s="173"/>
      <c r="CM95" s="173"/>
      <c r="CN95" s="173"/>
      <c r="CO95" s="173"/>
      <c r="CP95" s="173"/>
      <c r="CQ95" s="173"/>
      <c r="CR95" s="173"/>
      <c r="CS95" s="173"/>
      <c r="CT95" s="173"/>
      <c r="CU95" s="173"/>
      <c r="CV95" s="173"/>
      <c r="CW95" s="173"/>
      <c r="CX95" s="173"/>
      <c r="CY95" s="151"/>
      <c r="CZ95" s="151"/>
      <c r="DA95" s="151"/>
      <c r="DB95" s="151"/>
      <c r="DC95" s="151"/>
      <c r="DD95" s="151"/>
      <c r="DE95" s="151"/>
      <c r="DF95" s="151"/>
      <c r="DG95" s="151"/>
      <c r="DH95" s="151"/>
      <c r="DI95" s="151"/>
      <c r="DJ95" s="151"/>
      <c r="DK95" s="151"/>
      <c r="DL95" s="151"/>
      <c r="DM95" s="151"/>
      <c r="DN95" s="151"/>
      <c r="DO95" s="151"/>
      <c r="DP95" s="151"/>
      <c r="DQ95" s="151"/>
      <c r="DR95" s="151"/>
      <c r="DS95" s="151"/>
      <c r="DT95" s="151"/>
      <c r="DU95" s="151"/>
      <c r="DV95" s="151"/>
      <c r="DW95" s="151"/>
      <c r="DX95" s="151"/>
      <c r="DY95" s="151"/>
      <c r="DZ95" s="151"/>
      <c r="EA95" s="151"/>
      <c r="EB95" s="151"/>
      <c r="EC95" s="151"/>
      <c r="ED95" s="151"/>
      <c r="EE95" s="151"/>
      <c r="EF95" s="151"/>
      <c r="EG95" s="151"/>
      <c r="EH95" s="151"/>
      <c r="EI95" s="151"/>
      <c r="EJ95" s="151"/>
      <c r="EK95" s="151"/>
      <c r="EL95" s="151"/>
      <c r="EM95" s="151"/>
      <c r="EN95" s="151"/>
      <c r="EO95" s="151"/>
      <c r="EP95" s="151"/>
      <c r="EQ95" s="151"/>
      <c r="ER95" s="151"/>
      <c r="ES95" s="151"/>
      <c r="ET95" s="151"/>
      <c r="EU95" s="151"/>
      <c r="EV95" s="151"/>
      <c r="EW95" s="151"/>
      <c r="EX95" s="151"/>
      <c r="EY95" s="151"/>
      <c r="EZ95" s="151"/>
      <c r="FA95" s="151"/>
      <c r="FB95" s="151"/>
      <c r="FC95" s="151"/>
      <c r="FD95" s="151"/>
      <c r="FE95" s="151"/>
      <c r="FF95" s="151"/>
      <c r="FG95" s="151"/>
      <c r="FH95" s="151"/>
      <c r="FI95" s="151"/>
      <c r="FJ95" s="151"/>
      <c r="FK95" s="151"/>
      <c r="FL95" s="151"/>
      <c r="FM95" s="151"/>
      <c r="FN95" s="151"/>
      <c r="FO95" s="151"/>
      <c r="FP95" s="151"/>
      <c r="FQ95" s="151"/>
      <c r="FR95" s="151"/>
      <c r="FS95" s="151"/>
      <c r="FT95" s="151"/>
      <c r="FU95" s="151"/>
      <c r="FV95" s="151"/>
      <c r="FW95" s="151"/>
      <c r="FX95" s="151"/>
      <c r="FY95" s="151"/>
      <c r="FZ95" s="151"/>
      <c r="GA95" s="151"/>
      <c r="GB95" s="151"/>
      <c r="GC95" s="151"/>
      <c r="GD95" s="151"/>
      <c r="GE95" s="151"/>
      <c r="GF95" s="151"/>
      <c r="GG95" s="152"/>
    </row>
    <row r="96" spans="1:189" x14ac:dyDescent="0.35">
      <c r="A96" s="267" t="s">
        <v>695</v>
      </c>
      <c r="B96" s="221" t="s">
        <v>1072</v>
      </c>
      <c r="C96" s="221"/>
      <c r="D96" s="222"/>
      <c r="E96" s="221" t="s">
        <v>286</v>
      </c>
      <c r="F96" s="221" t="s">
        <v>724</v>
      </c>
      <c r="G96" s="223">
        <v>2</v>
      </c>
      <c r="H96" s="224"/>
      <c r="I96" s="225"/>
      <c r="J96" s="225"/>
      <c r="K96" s="225"/>
      <c r="L96" s="226">
        <v>46234</v>
      </c>
      <c r="M96" s="226">
        <v>46265</v>
      </c>
      <c r="N96" s="226"/>
      <c r="O96" s="226">
        <v>46266</v>
      </c>
      <c r="P96" s="226">
        <v>46387</v>
      </c>
      <c r="Q96" s="227" t="s">
        <v>45</v>
      </c>
      <c r="R96" s="228">
        <v>164458.6434</v>
      </c>
      <c r="S96" s="228">
        <v>164458.6434</v>
      </c>
      <c r="T96" s="228"/>
      <c r="U96" s="191">
        <f t="shared" si="28"/>
        <v>0</v>
      </c>
      <c r="V96" s="230"/>
      <c r="W96" s="232"/>
      <c r="X96" s="46"/>
      <c r="Y96" s="167">
        <f t="shared" si="22"/>
        <v>164458.6434</v>
      </c>
      <c r="Z96" s="167">
        <f t="shared" si="23"/>
        <v>0</v>
      </c>
      <c r="AA96" s="167">
        <f t="shared" si="24"/>
        <v>164458.6434</v>
      </c>
      <c r="AB96" s="167">
        <f t="shared" si="25"/>
        <v>0</v>
      </c>
      <c r="AC96" s="167">
        <f t="shared" si="26"/>
        <v>0</v>
      </c>
      <c r="AD96" s="167">
        <f t="shared" si="27"/>
        <v>0</v>
      </c>
      <c r="AF96" s="180">
        <f t="shared" si="21"/>
        <v>1</v>
      </c>
      <c r="AG96" s="202" t="str">
        <f t="shared" si="13"/>
        <v>Izabela Malarecka Exterior doors</v>
      </c>
      <c r="AH96" s="172"/>
      <c r="AI96" s="173"/>
      <c r="AJ96" s="173"/>
      <c r="AK96" s="173"/>
      <c r="AL96" s="173"/>
      <c r="AM96" s="173"/>
      <c r="AN96" s="173"/>
      <c r="AO96" s="173"/>
      <c r="AP96" s="173"/>
      <c r="AQ96" s="173"/>
      <c r="AR96" s="173"/>
      <c r="AS96" s="173"/>
      <c r="AT96" s="173"/>
      <c r="AU96" s="173"/>
      <c r="AV96" s="173"/>
      <c r="AW96" s="173"/>
      <c r="AX96" s="173"/>
      <c r="AY96" s="173"/>
      <c r="AZ96" s="173"/>
      <c r="BA96" s="173"/>
      <c r="BB96" s="173"/>
      <c r="BC96" s="173"/>
      <c r="BD96" s="173"/>
      <c r="BE96" s="173"/>
      <c r="BF96" s="173"/>
      <c r="BG96" s="173"/>
      <c r="BH96" s="173"/>
      <c r="BI96" s="173"/>
      <c r="BJ96" s="173"/>
      <c r="BK96" s="173"/>
      <c r="BL96" s="173"/>
      <c r="BM96" s="173"/>
      <c r="BN96" s="173"/>
      <c r="BO96" s="173"/>
      <c r="BP96" s="173"/>
      <c r="BQ96" s="173"/>
      <c r="BR96" s="173"/>
      <c r="BS96" s="173"/>
      <c r="BT96" s="173"/>
      <c r="BU96" s="173"/>
      <c r="BV96" s="173"/>
      <c r="BW96" s="173"/>
      <c r="BX96" s="173"/>
      <c r="BY96" s="173"/>
      <c r="BZ96" s="173"/>
      <c r="CA96" s="173"/>
      <c r="CB96" s="173"/>
      <c r="CC96" s="173"/>
      <c r="CD96" s="173"/>
      <c r="CE96" s="173"/>
      <c r="CF96" s="173"/>
      <c r="CG96" s="173"/>
      <c r="CH96" s="173"/>
      <c r="CI96" s="173"/>
      <c r="CJ96" s="173"/>
      <c r="CK96" s="173"/>
      <c r="CL96" s="173"/>
      <c r="CM96" s="173"/>
      <c r="CN96" s="173"/>
      <c r="CO96" s="173"/>
      <c r="CP96" s="173"/>
      <c r="CQ96" s="173"/>
      <c r="CR96" s="173"/>
      <c r="CS96" s="173"/>
      <c r="CT96" s="173"/>
      <c r="CU96" s="173"/>
      <c r="CV96" s="173"/>
      <c r="CW96" s="173"/>
      <c r="CX96" s="173"/>
      <c r="CY96" s="151"/>
      <c r="CZ96" s="151"/>
      <c r="DA96" s="151"/>
      <c r="DB96" s="151"/>
      <c r="DC96" s="151"/>
      <c r="DD96" s="151"/>
      <c r="DE96" s="151"/>
      <c r="DF96" s="151"/>
      <c r="DG96" s="151"/>
      <c r="DH96" s="151"/>
      <c r="DI96" s="151"/>
      <c r="DJ96" s="151"/>
      <c r="DK96" s="151"/>
      <c r="DL96" s="151"/>
      <c r="DM96" s="151"/>
      <c r="DN96" s="151"/>
      <c r="DO96" s="151"/>
      <c r="DP96" s="151"/>
      <c r="DQ96" s="151"/>
      <c r="DR96" s="151"/>
      <c r="DS96" s="151"/>
      <c r="DT96" s="151"/>
      <c r="DU96" s="151"/>
      <c r="DV96" s="151"/>
      <c r="DW96" s="151"/>
      <c r="DX96" s="151"/>
      <c r="DY96" s="151"/>
      <c r="DZ96" s="151"/>
      <c r="EA96" s="151"/>
      <c r="EB96" s="151"/>
      <c r="EC96" s="151"/>
      <c r="ED96" s="151"/>
      <c r="EE96" s="151"/>
      <c r="EF96" s="151"/>
      <c r="EG96" s="151"/>
      <c r="EH96" s="151"/>
      <c r="EI96" s="151"/>
      <c r="EJ96" s="151"/>
      <c r="EK96" s="151"/>
      <c r="EL96" s="151"/>
      <c r="EM96" s="151"/>
      <c r="EN96" s="151"/>
      <c r="EO96" s="151"/>
      <c r="EP96" s="151"/>
      <c r="EQ96" s="151"/>
      <c r="ER96" s="151"/>
      <c r="ES96" s="151"/>
      <c r="ET96" s="151"/>
      <c r="EU96" s="151"/>
      <c r="EV96" s="151"/>
      <c r="EW96" s="151"/>
      <c r="EX96" s="151"/>
      <c r="EY96" s="151"/>
      <c r="EZ96" s="151"/>
      <c r="FA96" s="151"/>
      <c r="FB96" s="151"/>
      <c r="FC96" s="151"/>
      <c r="FD96" s="151"/>
      <c r="FE96" s="151"/>
      <c r="FF96" s="151"/>
      <c r="FG96" s="151"/>
      <c r="FH96" s="151"/>
      <c r="FI96" s="151"/>
      <c r="FJ96" s="151"/>
      <c r="FK96" s="151"/>
      <c r="FL96" s="151"/>
      <c r="FM96" s="151"/>
      <c r="FN96" s="151"/>
      <c r="FO96" s="151"/>
      <c r="FP96" s="151"/>
      <c r="FQ96" s="151"/>
      <c r="FR96" s="151"/>
      <c r="FS96" s="151"/>
      <c r="FT96" s="151"/>
      <c r="FU96" s="151"/>
      <c r="FV96" s="151"/>
      <c r="FW96" s="151"/>
      <c r="FX96" s="151"/>
      <c r="FY96" s="151"/>
      <c r="FZ96" s="151"/>
      <c r="GA96" s="151"/>
      <c r="GB96" s="151"/>
      <c r="GC96" s="151"/>
      <c r="GD96" s="151"/>
      <c r="GE96" s="151"/>
      <c r="GF96" s="151"/>
      <c r="GG96" s="152"/>
    </row>
    <row r="97" spans="1:189" x14ac:dyDescent="0.35">
      <c r="A97" s="267" t="s">
        <v>696</v>
      </c>
      <c r="B97" s="221" t="s">
        <v>1072</v>
      </c>
      <c r="C97" s="221"/>
      <c r="D97" s="222"/>
      <c r="E97" s="221" t="s">
        <v>287</v>
      </c>
      <c r="F97" s="221" t="s">
        <v>725</v>
      </c>
      <c r="G97" s="223">
        <v>2</v>
      </c>
      <c r="H97" s="224"/>
      <c r="I97" s="225"/>
      <c r="J97" s="225"/>
      <c r="K97" s="225"/>
      <c r="L97" s="226">
        <v>46234</v>
      </c>
      <c r="M97" s="226">
        <v>46265</v>
      </c>
      <c r="N97" s="226"/>
      <c r="O97" s="226">
        <v>46266</v>
      </c>
      <c r="P97" s="226">
        <v>46387</v>
      </c>
      <c r="Q97" s="227" t="s">
        <v>45</v>
      </c>
      <c r="R97" s="228">
        <v>366535.63100000005</v>
      </c>
      <c r="S97" s="228">
        <v>366535.63100000005</v>
      </c>
      <c r="T97" s="228"/>
      <c r="U97" s="191">
        <f t="shared" si="28"/>
        <v>0</v>
      </c>
      <c r="V97" s="230"/>
      <c r="W97" s="232"/>
      <c r="X97" s="46"/>
      <c r="Y97" s="167">
        <f t="shared" si="22"/>
        <v>366535.63100000005</v>
      </c>
      <c r="Z97" s="167">
        <f t="shared" si="23"/>
        <v>0</v>
      </c>
      <c r="AA97" s="167">
        <f t="shared" si="24"/>
        <v>366535.63100000005</v>
      </c>
      <c r="AB97" s="167">
        <f t="shared" si="25"/>
        <v>0</v>
      </c>
      <c r="AC97" s="167">
        <f t="shared" si="26"/>
        <v>0</v>
      </c>
      <c r="AD97" s="167">
        <f t="shared" si="27"/>
        <v>0</v>
      </c>
      <c r="AF97" s="47">
        <f t="shared" si="21"/>
        <v>1</v>
      </c>
      <c r="AG97" s="202" t="str">
        <f t="shared" si="13"/>
        <v>Izabela Malarecka Windows</v>
      </c>
      <c r="AH97" s="172"/>
      <c r="AI97" s="173"/>
      <c r="AJ97" s="173"/>
      <c r="AK97" s="173"/>
      <c r="AL97" s="173"/>
      <c r="AM97" s="173"/>
      <c r="AN97" s="173"/>
      <c r="AO97" s="173"/>
      <c r="AP97" s="173"/>
      <c r="AQ97" s="173"/>
      <c r="AR97" s="173"/>
      <c r="AS97" s="173"/>
      <c r="AT97" s="173"/>
      <c r="AU97" s="173"/>
      <c r="AV97" s="173"/>
      <c r="AW97" s="173"/>
      <c r="AX97" s="173"/>
      <c r="AY97" s="173"/>
      <c r="AZ97" s="173"/>
      <c r="BA97" s="173"/>
      <c r="BB97" s="173"/>
      <c r="BC97" s="173"/>
      <c r="BD97" s="173"/>
      <c r="BE97" s="173"/>
      <c r="BF97" s="173"/>
      <c r="BG97" s="173"/>
      <c r="BH97" s="173"/>
      <c r="BI97" s="173"/>
      <c r="BJ97" s="173"/>
      <c r="BK97" s="173"/>
      <c r="BL97" s="173"/>
      <c r="BM97" s="173"/>
      <c r="BN97" s="173"/>
      <c r="BO97" s="173"/>
      <c r="BP97" s="173"/>
      <c r="BQ97" s="173"/>
      <c r="BR97" s="173"/>
      <c r="BS97" s="173"/>
      <c r="BT97" s="173"/>
      <c r="BU97" s="173"/>
      <c r="BV97" s="173"/>
      <c r="BW97" s="173"/>
      <c r="BX97" s="173"/>
      <c r="BY97" s="173"/>
      <c r="BZ97" s="173"/>
      <c r="CA97" s="173"/>
      <c r="CB97" s="173"/>
      <c r="CC97" s="173"/>
      <c r="CD97" s="173"/>
      <c r="CE97" s="173"/>
      <c r="CF97" s="173"/>
      <c r="CG97" s="173"/>
      <c r="CH97" s="173"/>
      <c r="CI97" s="173"/>
      <c r="CJ97" s="173"/>
      <c r="CK97" s="173"/>
      <c r="CL97" s="173"/>
      <c r="CM97" s="173"/>
      <c r="CN97" s="173"/>
      <c r="CO97" s="173"/>
      <c r="CP97" s="173"/>
      <c r="CQ97" s="173"/>
      <c r="CR97" s="173"/>
      <c r="CS97" s="173"/>
      <c r="CT97" s="173"/>
      <c r="CU97" s="173"/>
      <c r="CV97" s="173"/>
      <c r="CW97" s="173"/>
      <c r="CX97" s="173"/>
      <c r="CY97" s="151"/>
      <c r="CZ97" s="151"/>
      <c r="DA97" s="151"/>
      <c r="DB97" s="151"/>
      <c r="DC97" s="151"/>
      <c r="DD97" s="151"/>
      <c r="DE97" s="151"/>
      <c r="DF97" s="151"/>
      <c r="DG97" s="151"/>
      <c r="DH97" s="151"/>
      <c r="DI97" s="151"/>
      <c r="DJ97" s="151"/>
      <c r="DK97" s="151"/>
      <c r="DL97" s="151"/>
      <c r="DM97" s="151"/>
      <c r="DN97" s="151"/>
      <c r="DO97" s="151"/>
      <c r="DP97" s="151"/>
      <c r="DQ97" s="151"/>
      <c r="DR97" s="151"/>
      <c r="DS97" s="151"/>
      <c r="DT97" s="151"/>
      <c r="DU97" s="151"/>
      <c r="DV97" s="151"/>
      <c r="DW97" s="151"/>
      <c r="DX97" s="151"/>
      <c r="DY97" s="151"/>
      <c r="DZ97" s="151"/>
      <c r="EA97" s="151"/>
      <c r="EB97" s="151"/>
      <c r="EC97" s="151"/>
      <c r="ED97" s="151"/>
      <c r="EE97" s="151"/>
      <c r="EF97" s="151"/>
      <c r="EG97" s="151"/>
      <c r="EH97" s="151"/>
      <c r="EI97" s="151"/>
      <c r="EJ97" s="151"/>
      <c r="EK97" s="151"/>
      <c r="EL97" s="151"/>
      <c r="EM97" s="151"/>
      <c r="EN97" s="151"/>
      <c r="EO97" s="151"/>
      <c r="EP97" s="151"/>
      <c r="EQ97" s="151"/>
      <c r="ER97" s="151"/>
      <c r="ES97" s="151"/>
      <c r="ET97" s="151"/>
      <c r="EU97" s="151"/>
      <c r="EV97" s="151"/>
      <c r="EW97" s="151"/>
      <c r="EX97" s="151"/>
      <c r="EY97" s="151"/>
      <c r="EZ97" s="151"/>
      <c r="FA97" s="151"/>
      <c r="FB97" s="151"/>
      <c r="FC97" s="151"/>
      <c r="FD97" s="151"/>
      <c r="FE97" s="151"/>
      <c r="FF97" s="151"/>
      <c r="FG97" s="151"/>
      <c r="FH97" s="151"/>
      <c r="FI97" s="151"/>
      <c r="FJ97" s="151"/>
      <c r="FK97" s="151"/>
      <c r="FL97" s="151"/>
      <c r="FM97" s="151"/>
      <c r="FN97" s="151"/>
      <c r="FO97" s="151"/>
      <c r="FP97" s="151"/>
      <c r="FQ97" s="151"/>
      <c r="FR97" s="151"/>
      <c r="FS97" s="151"/>
      <c r="FT97" s="151"/>
      <c r="FU97" s="151"/>
      <c r="FV97" s="151"/>
      <c r="FW97" s="151"/>
      <c r="FX97" s="151"/>
      <c r="FY97" s="151"/>
      <c r="FZ97" s="151"/>
      <c r="GA97" s="151"/>
      <c r="GB97" s="151"/>
      <c r="GC97" s="151"/>
      <c r="GD97" s="151"/>
      <c r="GE97" s="151"/>
      <c r="GF97" s="151"/>
      <c r="GG97" s="152"/>
    </row>
    <row r="98" spans="1:189" x14ac:dyDescent="0.35">
      <c r="A98" s="267" t="s">
        <v>697</v>
      </c>
      <c r="B98" s="221" t="s">
        <v>1072</v>
      </c>
      <c r="C98" s="221"/>
      <c r="D98" s="222"/>
      <c r="E98" s="221" t="s">
        <v>288</v>
      </c>
      <c r="F98" s="221" t="s">
        <v>726</v>
      </c>
      <c r="G98" s="223">
        <v>2</v>
      </c>
      <c r="H98" s="224"/>
      <c r="I98" s="225"/>
      <c r="J98" s="225"/>
      <c r="K98" s="225"/>
      <c r="L98" s="226">
        <v>46234</v>
      </c>
      <c r="M98" s="226">
        <v>46265</v>
      </c>
      <c r="N98" s="226"/>
      <c r="O98" s="226">
        <v>46266</v>
      </c>
      <c r="P98" s="226">
        <v>46387</v>
      </c>
      <c r="Q98" s="227" t="s">
        <v>45</v>
      </c>
      <c r="R98" s="228">
        <v>205428.18078865809</v>
      </c>
      <c r="S98" s="228">
        <v>205428.18078865809</v>
      </c>
      <c r="T98" s="228"/>
      <c r="U98" s="191">
        <f t="shared" si="28"/>
        <v>0</v>
      </c>
      <c r="V98" s="230"/>
      <c r="W98" s="232"/>
      <c r="X98" s="46"/>
      <c r="Y98" s="167">
        <f t="shared" si="22"/>
        <v>205428.18078865809</v>
      </c>
      <c r="Z98" s="167">
        <f t="shared" si="23"/>
        <v>0</v>
      </c>
      <c r="AA98" s="167">
        <f t="shared" si="24"/>
        <v>205428.18078865809</v>
      </c>
      <c r="AB98" s="167">
        <f t="shared" si="25"/>
        <v>0</v>
      </c>
      <c r="AC98" s="167">
        <f t="shared" si="26"/>
        <v>0</v>
      </c>
      <c r="AD98" s="167">
        <f t="shared" si="27"/>
        <v>0</v>
      </c>
      <c r="AF98" s="180">
        <f t="shared" si="21"/>
        <v>1</v>
      </c>
      <c r="AG98" s="202" t="str">
        <f t="shared" si="13"/>
        <v>Izabela Malarecka Bunker windows</v>
      </c>
      <c r="AH98" s="172"/>
      <c r="AI98" s="173"/>
      <c r="AJ98" s="173"/>
      <c r="AK98" s="173"/>
      <c r="AL98" s="173"/>
      <c r="AM98" s="173"/>
      <c r="AN98" s="173"/>
      <c r="AO98" s="173"/>
      <c r="AP98" s="173"/>
      <c r="AQ98" s="173"/>
      <c r="AR98" s="173"/>
      <c r="AS98" s="173"/>
      <c r="AT98" s="173"/>
      <c r="AU98" s="173"/>
      <c r="AV98" s="173"/>
      <c r="AW98" s="173"/>
      <c r="AX98" s="173"/>
      <c r="AY98" s="173"/>
      <c r="AZ98" s="173"/>
      <c r="BA98" s="173"/>
      <c r="BB98" s="173"/>
      <c r="BC98" s="173"/>
      <c r="BD98" s="173"/>
      <c r="BE98" s="173"/>
      <c r="BF98" s="173"/>
      <c r="BG98" s="173"/>
      <c r="BH98" s="173"/>
      <c r="BI98" s="173"/>
      <c r="BJ98" s="173"/>
      <c r="BK98" s="173"/>
      <c r="BL98" s="173"/>
      <c r="BM98" s="173"/>
      <c r="BN98" s="173"/>
      <c r="BO98" s="173"/>
      <c r="BP98" s="173"/>
      <c r="BQ98" s="173"/>
      <c r="BR98" s="173"/>
      <c r="BS98" s="173"/>
      <c r="BT98" s="173"/>
      <c r="BU98" s="173"/>
      <c r="BV98" s="173"/>
      <c r="BW98" s="173"/>
      <c r="BX98" s="173"/>
      <c r="BY98" s="173"/>
      <c r="BZ98" s="173"/>
      <c r="CA98" s="173"/>
      <c r="CB98" s="173"/>
      <c r="CC98" s="173"/>
      <c r="CD98" s="173"/>
      <c r="CE98" s="173"/>
      <c r="CF98" s="173"/>
      <c r="CG98" s="173"/>
      <c r="CH98" s="173"/>
      <c r="CI98" s="173"/>
      <c r="CJ98" s="173"/>
      <c r="CK98" s="173"/>
      <c r="CL98" s="173"/>
      <c r="CM98" s="173"/>
      <c r="CN98" s="173"/>
      <c r="CO98" s="173"/>
      <c r="CP98" s="173"/>
      <c r="CQ98" s="173"/>
      <c r="CR98" s="173"/>
      <c r="CS98" s="173"/>
      <c r="CT98" s="173"/>
      <c r="CU98" s="173"/>
      <c r="CV98" s="173"/>
      <c r="CW98" s="173"/>
      <c r="CX98" s="173"/>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c r="EF98" s="148"/>
      <c r="EG98" s="148"/>
      <c r="EH98" s="148"/>
      <c r="EI98" s="148"/>
      <c r="EJ98" s="148"/>
      <c r="EK98" s="148"/>
      <c r="EL98" s="148"/>
      <c r="EM98" s="148"/>
      <c r="EN98" s="148"/>
      <c r="EO98" s="148"/>
      <c r="EP98" s="148"/>
      <c r="EQ98" s="148"/>
      <c r="ER98" s="148"/>
      <c r="ES98" s="148"/>
      <c r="ET98" s="148"/>
      <c r="EU98" s="148"/>
      <c r="EV98" s="148"/>
      <c r="EW98" s="148"/>
      <c r="EX98" s="148"/>
      <c r="EY98" s="148"/>
      <c r="EZ98" s="148"/>
      <c r="FA98" s="148"/>
      <c r="FB98" s="148"/>
      <c r="FC98" s="148"/>
      <c r="FD98" s="148"/>
      <c r="FE98" s="148"/>
      <c r="FF98" s="148"/>
      <c r="FG98" s="148"/>
      <c r="FH98" s="148"/>
      <c r="FI98" s="148"/>
      <c r="FJ98" s="148"/>
      <c r="FK98" s="148"/>
      <c r="FL98" s="148"/>
      <c r="FM98" s="148"/>
      <c r="FN98" s="148"/>
      <c r="FO98" s="148"/>
      <c r="FP98" s="148"/>
      <c r="FQ98" s="148"/>
      <c r="FR98" s="148"/>
      <c r="FS98" s="148"/>
      <c r="FT98" s="148"/>
      <c r="FU98" s="148"/>
      <c r="FV98" s="148"/>
      <c r="FW98" s="148"/>
      <c r="FX98" s="148"/>
      <c r="FY98" s="148"/>
      <c r="FZ98" s="148"/>
      <c r="GA98" s="148"/>
      <c r="GB98" s="148"/>
      <c r="GC98" s="148"/>
      <c r="GD98" s="148"/>
      <c r="GE98" s="148"/>
      <c r="GF98" s="148"/>
      <c r="GG98" s="149"/>
    </row>
    <row r="99" spans="1:189" x14ac:dyDescent="0.35">
      <c r="A99" s="267" t="s">
        <v>698</v>
      </c>
      <c r="B99" s="221" t="s">
        <v>1071</v>
      </c>
      <c r="C99" s="221"/>
      <c r="D99" s="222"/>
      <c r="E99" s="221" t="s">
        <v>289</v>
      </c>
      <c r="F99" s="221" t="s">
        <v>727</v>
      </c>
      <c r="G99" s="223">
        <v>2</v>
      </c>
      <c r="H99" s="224"/>
      <c r="I99" s="225"/>
      <c r="J99" s="225"/>
      <c r="K99" s="225"/>
      <c r="L99" s="226">
        <v>46234</v>
      </c>
      <c r="M99" s="226">
        <v>46265</v>
      </c>
      <c r="N99" s="226"/>
      <c r="O99" s="226">
        <v>46266</v>
      </c>
      <c r="P99" s="226">
        <v>46387</v>
      </c>
      <c r="Q99" s="227" t="s">
        <v>45</v>
      </c>
      <c r="R99" s="228">
        <v>327190.63904872013</v>
      </c>
      <c r="S99" s="228">
        <v>327190.63904872013</v>
      </c>
      <c r="T99" s="228"/>
      <c r="U99" s="191">
        <f t="shared" si="28"/>
        <v>0</v>
      </c>
      <c r="V99" s="230"/>
      <c r="W99" s="231"/>
      <c r="X99" s="46"/>
      <c r="Y99" s="167">
        <f t="shared" si="22"/>
        <v>327190.63904872013</v>
      </c>
      <c r="Z99" s="167">
        <f t="shared" si="23"/>
        <v>0</v>
      </c>
      <c r="AA99" s="167">
        <f t="shared" si="24"/>
        <v>327190.63904872013</v>
      </c>
      <c r="AB99" s="167">
        <f t="shared" si="25"/>
        <v>0</v>
      </c>
      <c r="AC99" s="167">
        <f t="shared" si="26"/>
        <v>0</v>
      </c>
      <c r="AD99" s="167">
        <f t="shared" si="27"/>
        <v>0</v>
      </c>
      <c r="AF99" s="47">
        <f t="shared" si="21"/>
        <v>1</v>
      </c>
      <c r="AG99" s="202" t="str">
        <f t="shared" si="13"/>
        <v>Magdalena Białorucka Hatches</v>
      </c>
      <c r="AH99" s="172"/>
      <c r="AI99" s="173"/>
      <c r="AJ99" s="173"/>
      <c r="AK99" s="173"/>
      <c r="AL99" s="173"/>
      <c r="AM99" s="173"/>
      <c r="AN99" s="173"/>
      <c r="AO99" s="173"/>
      <c r="AP99" s="173"/>
      <c r="AQ99" s="173"/>
      <c r="AR99" s="173"/>
      <c r="AS99" s="173"/>
      <c r="AT99" s="173"/>
      <c r="AU99" s="173"/>
      <c r="AV99" s="173"/>
      <c r="AW99" s="173"/>
      <c r="AX99" s="173"/>
      <c r="AY99" s="173"/>
      <c r="AZ99" s="173"/>
      <c r="BA99" s="173"/>
      <c r="BB99" s="173"/>
      <c r="BC99" s="173"/>
      <c r="BD99" s="173"/>
      <c r="BE99" s="173"/>
      <c r="BF99" s="173"/>
      <c r="BG99" s="173"/>
      <c r="BH99" s="173"/>
      <c r="BI99" s="173"/>
      <c r="BJ99" s="173"/>
      <c r="BK99" s="173"/>
      <c r="BL99" s="173"/>
      <c r="BM99" s="173"/>
      <c r="BN99" s="173"/>
      <c r="BO99" s="173"/>
      <c r="BP99" s="173"/>
      <c r="BQ99" s="173"/>
      <c r="BR99" s="173"/>
      <c r="BS99" s="173"/>
      <c r="BT99" s="173"/>
      <c r="BU99" s="173"/>
      <c r="BV99" s="173"/>
      <c r="BW99" s="173"/>
      <c r="BX99" s="173"/>
      <c r="BY99" s="173"/>
      <c r="BZ99" s="173"/>
      <c r="CA99" s="173"/>
      <c r="CB99" s="173"/>
      <c r="CC99" s="173"/>
      <c r="CD99" s="173"/>
      <c r="CE99" s="173"/>
      <c r="CF99" s="173"/>
      <c r="CG99" s="173"/>
      <c r="CH99" s="173"/>
      <c r="CI99" s="173"/>
      <c r="CJ99" s="173"/>
      <c r="CK99" s="173"/>
      <c r="CL99" s="173"/>
      <c r="CM99" s="173"/>
      <c r="CN99" s="173"/>
      <c r="CO99" s="173"/>
      <c r="CP99" s="173"/>
      <c r="CQ99" s="173"/>
      <c r="CR99" s="173"/>
      <c r="CS99" s="173"/>
      <c r="CT99" s="173"/>
      <c r="CU99" s="173"/>
      <c r="CV99" s="173"/>
      <c r="CW99" s="173"/>
      <c r="CX99" s="173"/>
      <c r="CY99" s="151"/>
      <c r="CZ99" s="151"/>
      <c r="DA99" s="151"/>
      <c r="DB99" s="151"/>
      <c r="DC99" s="151"/>
      <c r="DD99" s="151"/>
      <c r="DE99" s="151"/>
      <c r="DF99" s="151"/>
      <c r="DG99" s="151"/>
      <c r="DH99" s="151"/>
      <c r="DI99" s="151"/>
      <c r="DJ99" s="151"/>
      <c r="DK99" s="151"/>
      <c r="DL99" s="151"/>
      <c r="DM99" s="151"/>
      <c r="DN99" s="151"/>
      <c r="DO99" s="151"/>
      <c r="DP99" s="151"/>
      <c r="DQ99" s="151"/>
      <c r="DR99" s="151"/>
      <c r="DS99" s="151"/>
      <c r="DT99" s="151"/>
      <c r="DU99" s="151"/>
      <c r="DV99" s="151"/>
      <c r="DW99" s="151"/>
      <c r="DX99" s="151"/>
      <c r="DY99" s="151"/>
      <c r="DZ99" s="151"/>
      <c r="EA99" s="151"/>
      <c r="EB99" s="151"/>
      <c r="EC99" s="151"/>
      <c r="ED99" s="151"/>
      <c r="EE99" s="151"/>
      <c r="EF99" s="151"/>
      <c r="EG99" s="151"/>
      <c r="EH99" s="151"/>
      <c r="EI99" s="151"/>
      <c r="EJ99" s="151"/>
      <c r="EK99" s="151"/>
      <c r="EL99" s="151"/>
      <c r="EM99" s="151"/>
      <c r="EN99" s="151"/>
      <c r="EO99" s="151"/>
      <c r="EP99" s="151"/>
      <c r="EQ99" s="151"/>
      <c r="ER99" s="151"/>
      <c r="ES99" s="151"/>
      <c r="ET99" s="151"/>
      <c r="EU99" s="151"/>
      <c r="EV99" s="151"/>
      <c r="EW99" s="151"/>
      <c r="EX99" s="151"/>
      <c r="EY99" s="151"/>
      <c r="EZ99" s="151"/>
      <c r="FA99" s="151"/>
      <c r="FB99" s="151"/>
      <c r="FC99" s="151"/>
      <c r="FD99" s="151"/>
      <c r="FE99" s="151"/>
      <c r="FF99" s="151"/>
      <c r="FG99" s="151"/>
      <c r="FH99" s="151"/>
      <c r="FI99" s="151"/>
      <c r="FJ99" s="151"/>
      <c r="FK99" s="151"/>
      <c r="FL99" s="151"/>
      <c r="FM99" s="151"/>
      <c r="FN99" s="151"/>
      <c r="FO99" s="151"/>
      <c r="FP99" s="151"/>
      <c r="FQ99" s="151"/>
      <c r="FR99" s="151"/>
      <c r="FS99" s="151"/>
      <c r="FT99" s="151"/>
      <c r="FU99" s="151"/>
      <c r="FV99" s="151"/>
      <c r="FW99" s="151"/>
      <c r="FX99" s="151"/>
      <c r="FY99" s="151"/>
      <c r="FZ99" s="151"/>
      <c r="GA99" s="151"/>
      <c r="GB99" s="151"/>
      <c r="GC99" s="151"/>
      <c r="GD99" s="151"/>
      <c r="GE99" s="151"/>
      <c r="GF99" s="151"/>
      <c r="GG99" s="152"/>
    </row>
    <row r="100" spans="1:189" x14ac:dyDescent="0.35">
      <c r="A100" s="237" t="s">
        <v>699</v>
      </c>
      <c r="B100" s="236" t="s">
        <v>1073</v>
      </c>
      <c r="C100" s="236"/>
      <c r="D100" s="237"/>
      <c r="E100" s="236" t="s">
        <v>290</v>
      </c>
      <c r="F100" s="236" t="s">
        <v>728</v>
      </c>
      <c r="G100" s="238">
        <v>2</v>
      </c>
      <c r="H100" s="239"/>
      <c r="I100" s="240"/>
      <c r="J100" s="240"/>
      <c r="K100" s="240"/>
      <c r="L100" s="241">
        <v>46110</v>
      </c>
      <c r="M100" s="241">
        <v>46156</v>
      </c>
      <c r="N100" s="241"/>
      <c r="O100" s="241">
        <v>46235</v>
      </c>
      <c r="P100" s="241">
        <v>46477</v>
      </c>
      <c r="Q100" s="242" t="s">
        <v>11</v>
      </c>
      <c r="R100" s="243">
        <v>7198646.1321056634</v>
      </c>
      <c r="S100" s="243">
        <v>7198646.1321056634</v>
      </c>
      <c r="T100" s="243"/>
      <c r="U100" s="191">
        <f t="shared" si="28"/>
        <v>0</v>
      </c>
      <c r="V100" s="244"/>
      <c r="W100" s="245"/>
      <c r="X100" s="46"/>
      <c r="Y100" s="167">
        <f t="shared" si="22"/>
        <v>7198646.1321056634</v>
      </c>
      <c r="Z100" s="167">
        <f t="shared" si="23"/>
        <v>0</v>
      </c>
      <c r="AA100" s="167">
        <f t="shared" si="24"/>
        <v>7198646.1321056634</v>
      </c>
      <c r="AB100" s="167">
        <f t="shared" si="25"/>
        <v>0</v>
      </c>
      <c r="AC100" s="167">
        <f t="shared" si="26"/>
        <v>0</v>
      </c>
      <c r="AD100" s="167">
        <f t="shared" si="27"/>
        <v>0</v>
      </c>
      <c r="AF100" s="47">
        <f t="shared" si="21"/>
        <v>1</v>
      </c>
      <c r="AG100" s="202" t="str">
        <f t="shared" si="13"/>
        <v>Joanna Sawicka Roofs</v>
      </c>
      <c r="AH100" s="172"/>
      <c r="AI100" s="173"/>
      <c r="AJ100" s="173"/>
      <c r="AK100" s="173"/>
      <c r="AL100" s="173"/>
      <c r="AM100" s="173"/>
      <c r="AN100" s="173"/>
      <c r="AO100" s="173"/>
      <c r="AP100" s="173"/>
      <c r="AQ100" s="173"/>
      <c r="AR100" s="173"/>
      <c r="AS100" s="173"/>
      <c r="AT100" s="173"/>
      <c r="AU100" s="173"/>
      <c r="AV100" s="173"/>
      <c r="AW100" s="173"/>
      <c r="AX100" s="173"/>
      <c r="AY100" s="173"/>
      <c r="AZ100" s="173"/>
      <c r="BA100" s="173"/>
      <c r="BB100" s="173"/>
      <c r="BC100" s="173"/>
      <c r="BD100" s="173"/>
      <c r="BE100" s="173"/>
      <c r="BF100" s="173"/>
      <c r="BG100" s="173"/>
      <c r="BH100" s="173"/>
      <c r="BI100" s="173"/>
      <c r="BJ100" s="173"/>
      <c r="BK100" s="173"/>
      <c r="BL100" s="173"/>
      <c r="BM100" s="173"/>
      <c r="BN100" s="173"/>
      <c r="BO100" s="173"/>
      <c r="BP100" s="173"/>
      <c r="BQ100" s="173"/>
      <c r="BR100" s="173"/>
      <c r="BS100" s="173"/>
      <c r="BT100" s="173"/>
      <c r="BU100" s="173"/>
      <c r="BV100" s="173"/>
      <c r="BW100" s="173"/>
      <c r="BX100" s="173"/>
      <c r="BY100" s="173"/>
      <c r="BZ100" s="173"/>
      <c r="CA100" s="173"/>
      <c r="CB100" s="173"/>
      <c r="CC100" s="173"/>
      <c r="CD100" s="173"/>
      <c r="CE100" s="173"/>
      <c r="CF100" s="173"/>
      <c r="CG100" s="173"/>
      <c r="CH100" s="173"/>
      <c r="CI100" s="173"/>
      <c r="CJ100" s="173"/>
      <c r="CK100" s="173"/>
      <c r="CL100" s="173"/>
      <c r="CM100" s="173"/>
      <c r="CN100" s="173"/>
      <c r="CO100" s="173"/>
      <c r="CP100" s="173"/>
      <c r="CQ100" s="173"/>
      <c r="CR100" s="173"/>
      <c r="CS100" s="173"/>
      <c r="CT100" s="173"/>
      <c r="CU100" s="173"/>
      <c r="CV100" s="173"/>
      <c r="CW100" s="173"/>
      <c r="CX100" s="173"/>
      <c r="CY100" s="151"/>
      <c r="CZ100" s="151"/>
      <c r="DA100" s="151"/>
      <c r="DB100" s="151"/>
      <c r="DC100" s="151"/>
      <c r="DD100" s="151"/>
      <c r="DE100" s="151"/>
      <c r="DF100" s="151"/>
      <c r="DG100" s="151"/>
      <c r="DH100" s="151"/>
      <c r="DI100" s="151"/>
      <c r="DJ100" s="151"/>
      <c r="DK100" s="151"/>
      <c r="DL100" s="151"/>
      <c r="DM100" s="151"/>
      <c r="DN100" s="151"/>
      <c r="DO100" s="151"/>
      <c r="DP100" s="151"/>
      <c r="DQ100" s="151"/>
      <c r="DR100" s="151"/>
      <c r="DS100" s="151"/>
      <c r="DT100" s="151"/>
      <c r="DU100" s="151"/>
      <c r="DV100" s="151"/>
      <c r="DW100" s="151"/>
      <c r="DX100" s="151"/>
      <c r="DY100" s="151"/>
      <c r="DZ100" s="151"/>
      <c r="EA100" s="151"/>
      <c r="EB100" s="151"/>
      <c r="EC100" s="151"/>
      <c r="ED100" s="151"/>
      <c r="EE100" s="151"/>
      <c r="EF100" s="151"/>
      <c r="EG100" s="151"/>
      <c r="EH100" s="151"/>
      <c r="EI100" s="151"/>
      <c r="EJ100" s="151"/>
      <c r="EK100" s="151"/>
      <c r="EL100" s="151"/>
      <c r="EM100" s="151"/>
      <c r="EN100" s="151"/>
      <c r="EO100" s="151"/>
      <c r="EP100" s="151"/>
      <c r="EQ100" s="151"/>
      <c r="ER100" s="151"/>
      <c r="ES100" s="151"/>
      <c r="ET100" s="151"/>
      <c r="EU100" s="151"/>
      <c r="EV100" s="151"/>
      <c r="EW100" s="151"/>
      <c r="EX100" s="151"/>
      <c r="EY100" s="151"/>
      <c r="EZ100" s="151"/>
      <c r="FA100" s="151"/>
      <c r="FB100" s="151"/>
      <c r="FC100" s="151"/>
      <c r="FD100" s="151"/>
      <c r="FE100" s="151"/>
      <c r="FF100" s="151"/>
      <c r="FG100" s="151"/>
      <c r="FH100" s="151"/>
      <c r="FI100" s="151"/>
      <c r="FJ100" s="151"/>
      <c r="FK100" s="151"/>
      <c r="FL100" s="151"/>
      <c r="FM100" s="151"/>
      <c r="FN100" s="151"/>
      <c r="FO100" s="151"/>
      <c r="FP100" s="151"/>
      <c r="FQ100" s="151"/>
      <c r="FR100" s="151"/>
      <c r="FS100" s="151"/>
      <c r="FT100" s="151"/>
      <c r="FU100" s="151"/>
      <c r="FV100" s="151"/>
      <c r="FW100" s="151"/>
      <c r="FX100" s="151"/>
      <c r="FY100" s="151"/>
      <c r="FZ100" s="151"/>
      <c r="GA100" s="151"/>
      <c r="GB100" s="151"/>
      <c r="GC100" s="151"/>
      <c r="GD100" s="151"/>
      <c r="GE100" s="151"/>
      <c r="GF100" s="151"/>
      <c r="GG100" s="152"/>
    </row>
    <row r="101" spans="1:189" ht="27.75" x14ac:dyDescent="0.35">
      <c r="A101" s="237" t="s">
        <v>700</v>
      </c>
      <c r="B101" s="236"/>
      <c r="C101" s="236"/>
      <c r="D101" s="237"/>
      <c r="E101" s="236" t="s">
        <v>964</v>
      </c>
      <c r="F101" s="236" t="s">
        <v>965</v>
      </c>
      <c r="G101" s="238">
        <v>2</v>
      </c>
      <c r="H101" s="239"/>
      <c r="I101" s="240"/>
      <c r="J101" s="240"/>
      <c r="K101" s="240"/>
      <c r="L101" s="241"/>
      <c r="M101" s="241"/>
      <c r="N101" s="241"/>
      <c r="O101" s="241"/>
      <c r="P101" s="241"/>
      <c r="Q101" s="242"/>
      <c r="R101" s="243"/>
      <c r="S101" s="243"/>
      <c r="T101" s="243"/>
      <c r="U101" s="191">
        <f t="shared" si="28"/>
        <v>0</v>
      </c>
      <c r="V101" s="244"/>
      <c r="W101" s="245"/>
      <c r="X101" s="46"/>
      <c r="Y101" s="167">
        <f t="shared" si="22"/>
        <v>0</v>
      </c>
      <c r="Z101" s="167">
        <f t="shared" si="23"/>
        <v>0</v>
      </c>
      <c r="AA101" s="167">
        <f t="shared" si="24"/>
        <v>0</v>
      </c>
      <c r="AB101" s="167">
        <f t="shared" si="25"/>
        <v>0</v>
      </c>
      <c r="AC101" s="167">
        <f t="shared" si="26"/>
        <v>0</v>
      </c>
      <c r="AD101" s="167">
        <f t="shared" si="27"/>
        <v>0</v>
      </c>
      <c r="AF101" s="47">
        <f t="shared" si="21"/>
        <v>0</v>
      </c>
      <c r="AG101" s="202" t="str">
        <f t="shared" si="13"/>
        <v xml:space="preserve"> Finishing works, including equipment and furniture</v>
      </c>
      <c r="AH101" s="172"/>
      <c r="AI101" s="173"/>
      <c r="AJ101" s="173"/>
      <c r="AK101" s="173"/>
      <c r="AL101" s="173"/>
      <c r="AM101" s="173"/>
      <c r="AN101" s="173"/>
      <c r="AO101" s="173"/>
      <c r="AP101" s="173"/>
      <c r="AQ101" s="173"/>
      <c r="AR101" s="173"/>
      <c r="AS101" s="173"/>
      <c r="AT101" s="173"/>
      <c r="AU101" s="173"/>
      <c r="AV101" s="173"/>
      <c r="AW101" s="173"/>
      <c r="AX101" s="173"/>
      <c r="AY101" s="173"/>
      <c r="AZ101" s="173"/>
      <c r="BA101" s="173"/>
      <c r="BB101" s="173"/>
      <c r="BC101" s="173"/>
      <c r="BD101" s="173"/>
      <c r="BE101" s="173"/>
      <c r="BF101" s="173"/>
      <c r="BG101" s="173"/>
      <c r="BH101" s="173"/>
      <c r="BI101" s="173"/>
      <c r="BJ101" s="173"/>
      <c r="BK101" s="173"/>
      <c r="BL101" s="173"/>
      <c r="BM101" s="173"/>
      <c r="BN101" s="173"/>
      <c r="BO101" s="173"/>
      <c r="BP101" s="173"/>
      <c r="BQ101" s="173"/>
      <c r="BR101" s="173"/>
      <c r="BS101" s="173"/>
      <c r="BT101" s="173"/>
      <c r="BU101" s="173"/>
      <c r="BV101" s="173"/>
      <c r="BW101" s="173"/>
      <c r="BX101" s="173"/>
      <c r="BY101" s="173"/>
      <c r="BZ101" s="173"/>
      <c r="CA101" s="173"/>
      <c r="CB101" s="173"/>
      <c r="CC101" s="173"/>
      <c r="CD101" s="173"/>
      <c r="CE101" s="173"/>
      <c r="CF101" s="173"/>
      <c r="CG101" s="173"/>
      <c r="CH101" s="173"/>
      <c r="CI101" s="173"/>
      <c r="CJ101" s="173"/>
      <c r="CK101" s="173"/>
      <c r="CL101" s="173"/>
      <c r="CM101" s="173"/>
      <c r="CN101" s="173"/>
      <c r="CO101" s="173"/>
      <c r="CP101" s="173"/>
      <c r="CQ101" s="173"/>
      <c r="CR101" s="173"/>
      <c r="CS101" s="173"/>
      <c r="CT101" s="173"/>
      <c r="CU101" s="173"/>
      <c r="CV101" s="173"/>
      <c r="CW101" s="173"/>
      <c r="CX101" s="173"/>
      <c r="CY101" s="151"/>
      <c r="CZ101" s="151"/>
      <c r="DA101" s="151"/>
      <c r="DB101" s="151"/>
      <c r="DC101" s="151"/>
      <c r="DD101" s="151"/>
      <c r="DE101" s="151"/>
      <c r="DF101" s="151"/>
      <c r="DG101" s="151"/>
      <c r="DH101" s="151"/>
      <c r="DI101" s="151"/>
      <c r="DJ101" s="151"/>
      <c r="DK101" s="151"/>
      <c r="DL101" s="151"/>
      <c r="DM101" s="151"/>
      <c r="DN101" s="151"/>
      <c r="DO101" s="151"/>
      <c r="DP101" s="151"/>
      <c r="DQ101" s="151"/>
      <c r="DR101" s="151"/>
      <c r="DS101" s="151"/>
      <c r="DT101" s="151"/>
      <c r="DU101" s="151"/>
      <c r="DV101" s="151"/>
      <c r="DW101" s="151"/>
      <c r="DX101" s="151"/>
      <c r="DY101" s="151"/>
      <c r="DZ101" s="151"/>
      <c r="EA101" s="151"/>
      <c r="EB101" s="151"/>
      <c r="EC101" s="151"/>
      <c r="ED101" s="151"/>
      <c r="EE101" s="151"/>
      <c r="EF101" s="151"/>
      <c r="EG101" s="151"/>
      <c r="EH101" s="151"/>
      <c r="EI101" s="151"/>
      <c r="EJ101" s="151"/>
      <c r="EK101" s="151"/>
      <c r="EL101" s="151"/>
      <c r="EM101" s="151"/>
      <c r="EN101" s="151"/>
      <c r="EO101" s="151"/>
      <c r="EP101" s="151"/>
      <c r="EQ101" s="151"/>
      <c r="ER101" s="151"/>
      <c r="ES101" s="151"/>
      <c r="ET101" s="151"/>
      <c r="EU101" s="151"/>
      <c r="EV101" s="151"/>
      <c r="EW101" s="151"/>
      <c r="EX101" s="151"/>
      <c r="EY101" s="151"/>
      <c r="EZ101" s="151"/>
      <c r="FA101" s="151"/>
      <c r="FB101" s="151"/>
      <c r="FC101" s="151"/>
      <c r="FD101" s="151"/>
      <c r="FE101" s="151"/>
      <c r="FF101" s="151"/>
      <c r="FG101" s="151"/>
      <c r="FH101" s="151"/>
      <c r="FI101" s="151"/>
      <c r="FJ101" s="151"/>
      <c r="FK101" s="151"/>
      <c r="FL101" s="151"/>
      <c r="FM101" s="151"/>
      <c r="FN101" s="151"/>
      <c r="FO101" s="151"/>
      <c r="FP101" s="151"/>
      <c r="FQ101" s="151"/>
      <c r="FR101" s="151"/>
      <c r="FS101" s="151"/>
      <c r="FT101" s="151"/>
      <c r="FU101" s="151"/>
      <c r="FV101" s="151"/>
      <c r="FW101" s="151"/>
      <c r="FX101" s="151"/>
      <c r="FY101" s="151"/>
      <c r="FZ101" s="151"/>
      <c r="GA101" s="151"/>
      <c r="GB101" s="151"/>
      <c r="GC101" s="151"/>
      <c r="GD101" s="151"/>
      <c r="GE101" s="151"/>
      <c r="GF101" s="151"/>
      <c r="GG101" s="152"/>
    </row>
    <row r="102" spans="1:189" x14ac:dyDescent="0.35">
      <c r="A102" s="281" t="s">
        <v>970</v>
      </c>
      <c r="B102" s="282" t="s">
        <v>1071</v>
      </c>
      <c r="C102" s="282"/>
      <c r="D102" s="283"/>
      <c r="E102" s="282" t="s">
        <v>984</v>
      </c>
      <c r="F102" s="282" t="s">
        <v>998</v>
      </c>
      <c r="G102" s="284">
        <v>2</v>
      </c>
      <c r="H102" s="285"/>
      <c r="I102" s="286"/>
      <c r="J102" s="286"/>
      <c r="K102" s="286"/>
      <c r="L102" s="287">
        <v>46174</v>
      </c>
      <c r="M102" s="287">
        <v>46234</v>
      </c>
      <c r="N102" s="287"/>
      <c r="O102" s="287">
        <v>46235</v>
      </c>
      <c r="P102" s="287">
        <v>46477</v>
      </c>
      <c r="Q102" s="288" t="s">
        <v>45</v>
      </c>
      <c r="R102" s="289">
        <v>669442.80039911671</v>
      </c>
      <c r="S102" s="289">
        <v>669442.80039911671</v>
      </c>
      <c r="T102" s="289"/>
      <c r="U102" s="191">
        <f t="shared" ref="U102:U119" si="128">IF(Q102="",0,IF(T102="",0,+S102-T102))</f>
        <v>0</v>
      </c>
      <c r="V102" s="291"/>
      <c r="W102" s="292"/>
      <c r="X102" s="46"/>
      <c r="Y102" s="167">
        <f t="shared" ref="Y102:Y119" si="129">IF(G102=2,S102,0)</f>
        <v>669442.80039911671</v>
      </c>
      <c r="Z102" s="167">
        <f t="shared" ref="Z102:Z119" si="130">IF(Q102="",0,IF(G102=2,T102,0))</f>
        <v>0</v>
      </c>
      <c r="AA102" s="167">
        <f t="shared" ref="AA102:AA119" si="131">Y102-Z102</f>
        <v>669442.80039911671</v>
      </c>
      <c r="AB102" s="167">
        <f t="shared" ref="AB102:AB119" si="132">IF(G102=1,S102,0)</f>
        <v>0</v>
      </c>
      <c r="AC102" s="167">
        <f t="shared" ref="AC102:AC119" si="133">IF(Q102="",0,IF(G102=1,T102,0))</f>
        <v>0</v>
      </c>
      <c r="AD102" s="167">
        <f t="shared" ref="AD102:AD119" si="134">AB102-AC102</f>
        <v>0</v>
      </c>
      <c r="AF102" s="180">
        <f t="shared" ref="AF102:AF119" si="135">IF(S102&lt;&gt;"",1,0)</f>
        <v>1</v>
      </c>
      <c r="AG102" s="202" t="str">
        <f t="shared" ref="AG102:AG119" si="136">B102&amp;" "&amp;F102</f>
        <v>Magdalena Białorucka Painting</v>
      </c>
      <c r="AH102" s="172"/>
      <c r="AI102" s="173"/>
      <c r="AJ102" s="173"/>
      <c r="AK102" s="173"/>
      <c r="AL102" s="173"/>
      <c r="AM102" s="173"/>
      <c r="AN102" s="173"/>
      <c r="AO102" s="173"/>
      <c r="AP102" s="173"/>
      <c r="AQ102" s="173"/>
      <c r="AR102" s="173"/>
      <c r="AS102" s="173"/>
      <c r="AT102" s="173"/>
      <c r="AU102" s="173"/>
      <c r="AV102" s="173"/>
      <c r="AW102" s="173"/>
      <c r="AX102" s="173"/>
      <c r="AY102" s="173"/>
      <c r="AZ102" s="173"/>
      <c r="BA102" s="173"/>
      <c r="BB102" s="173"/>
      <c r="BC102" s="173"/>
      <c r="BD102" s="173"/>
      <c r="BE102" s="173"/>
      <c r="BF102" s="173"/>
      <c r="BG102" s="173"/>
      <c r="BH102" s="173"/>
      <c r="BI102" s="173"/>
      <c r="BJ102" s="173"/>
      <c r="BK102" s="173"/>
      <c r="BL102" s="173"/>
      <c r="BM102" s="173"/>
      <c r="BN102" s="173"/>
      <c r="BO102" s="173"/>
      <c r="BP102" s="173"/>
      <c r="BQ102" s="173"/>
      <c r="BR102" s="173"/>
      <c r="BS102" s="173"/>
      <c r="BT102" s="173"/>
      <c r="BU102" s="173"/>
      <c r="BV102" s="173"/>
      <c r="BW102" s="173"/>
      <c r="BX102" s="173"/>
      <c r="BY102" s="173"/>
      <c r="BZ102" s="173"/>
      <c r="CA102" s="173"/>
      <c r="CB102" s="173"/>
      <c r="CC102" s="173"/>
      <c r="CD102" s="173"/>
      <c r="CE102" s="173"/>
      <c r="CF102" s="173"/>
      <c r="CG102" s="173"/>
      <c r="CH102" s="173"/>
      <c r="CI102" s="173"/>
      <c r="CJ102" s="173"/>
      <c r="CK102" s="173"/>
      <c r="CL102" s="173"/>
      <c r="CM102" s="173"/>
      <c r="CN102" s="173"/>
      <c r="CO102" s="173"/>
      <c r="CP102" s="173"/>
      <c r="CQ102" s="173"/>
      <c r="CR102" s="173"/>
      <c r="CS102" s="173"/>
      <c r="CT102" s="173"/>
      <c r="CU102" s="173"/>
      <c r="CV102" s="173"/>
      <c r="CW102" s="173"/>
      <c r="CX102" s="173"/>
      <c r="CY102" s="148"/>
      <c r="CZ102" s="148"/>
      <c r="DA102" s="148"/>
      <c r="DB102" s="148"/>
      <c r="DC102" s="148"/>
      <c r="DD102" s="148"/>
      <c r="DE102" s="148"/>
      <c r="DF102" s="148"/>
      <c r="DG102" s="148"/>
      <c r="DH102" s="148"/>
      <c r="DI102" s="148"/>
      <c r="DJ102" s="148"/>
      <c r="DK102" s="148"/>
      <c r="DL102" s="148"/>
      <c r="DM102" s="148"/>
      <c r="DN102" s="148"/>
      <c r="DO102" s="148"/>
      <c r="DP102" s="148"/>
      <c r="DQ102" s="148"/>
      <c r="DR102" s="148"/>
      <c r="DS102" s="148"/>
      <c r="DT102" s="148"/>
      <c r="DU102" s="148"/>
      <c r="DV102" s="148"/>
      <c r="DW102" s="148"/>
      <c r="DX102" s="148"/>
      <c r="DY102" s="148"/>
      <c r="DZ102" s="148"/>
      <c r="EA102" s="148"/>
      <c r="EB102" s="148"/>
      <c r="EC102" s="148"/>
      <c r="ED102" s="148"/>
      <c r="EE102" s="148"/>
      <c r="EF102" s="148"/>
      <c r="EG102" s="148"/>
      <c r="EH102" s="148"/>
      <c r="EI102" s="148"/>
      <c r="EJ102" s="148"/>
      <c r="EK102" s="148"/>
      <c r="EL102" s="148"/>
      <c r="EM102" s="148"/>
      <c r="EN102" s="148"/>
      <c r="EO102" s="148"/>
      <c r="EP102" s="148"/>
      <c r="EQ102" s="148"/>
      <c r="ER102" s="148"/>
      <c r="ES102" s="148"/>
      <c r="ET102" s="148"/>
      <c r="EU102" s="148"/>
      <c r="EV102" s="148"/>
      <c r="EW102" s="148"/>
      <c r="EX102" s="148"/>
      <c r="EY102" s="148"/>
      <c r="EZ102" s="148"/>
      <c r="FA102" s="148"/>
      <c r="FB102" s="148"/>
      <c r="FC102" s="148"/>
      <c r="FD102" s="148"/>
      <c r="FE102" s="148"/>
      <c r="FF102" s="148"/>
      <c r="FG102" s="148"/>
      <c r="FH102" s="148"/>
      <c r="FI102" s="148"/>
      <c r="FJ102" s="148"/>
      <c r="FK102" s="148"/>
      <c r="FL102" s="148"/>
      <c r="FM102" s="148"/>
      <c r="FN102" s="148"/>
      <c r="FO102" s="148"/>
      <c r="FP102" s="148"/>
      <c r="FQ102" s="148"/>
      <c r="FR102" s="148"/>
      <c r="FS102" s="148"/>
      <c r="FT102" s="148"/>
      <c r="FU102" s="148"/>
      <c r="FV102" s="148"/>
      <c r="FW102" s="148"/>
      <c r="FX102" s="148"/>
      <c r="FY102" s="148"/>
      <c r="FZ102" s="148"/>
      <c r="GA102" s="148"/>
      <c r="GB102" s="148"/>
      <c r="GC102" s="148"/>
      <c r="GD102" s="148"/>
      <c r="GE102" s="148"/>
      <c r="GF102" s="148"/>
      <c r="GG102" s="149"/>
    </row>
    <row r="103" spans="1:189" x14ac:dyDescent="0.35">
      <c r="A103" s="281" t="s">
        <v>971</v>
      </c>
      <c r="B103" s="282" t="s">
        <v>1071</v>
      </c>
      <c r="C103" s="282"/>
      <c r="D103" s="283"/>
      <c r="E103" s="282" t="s">
        <v>985</v>
      </c>
      <c r="F103" s="282" t="s">
        <v>999</v>
      </c>
      <c r="G103" s="284">
        <v>2</v>
      </c>
      <c r="H103" s="285"/>
      <c r="I103" s="286"/>
      <c r="J103" s="286"/>
      <c r="K103" s="286"/>
      <c r="L103" s="287">
        <v>46174</v>
      </c>
      <c r="M103" s="287">
        <v>46234</v>
      </c>
      <c r="N103" s="287"/>
      <c r="O103" s="287">
        <v>46235</v>
      </c>
      <c r="P103" s="287">
        <v>46477</v>
      </c>
      <c r="Q103" s="288" t="s">
        <v>45</v>
      </c>
      <c r="R103" s="289">
        <v>631074</v>
      </c>
      <c r="S103" s="289">
        <v>631074</v>
      </c>
      <c r="T103" s="289"/>
      <c r="U103" s="191">
        <f t="shared" si="128"/>
        <v>0</v>
      </c>
      <c r="V103" s="291"/>
      <c r="W103" s="292"/>
      <c r="X103" s="46"/>
      <c r="Y103" s="167">
        <f t="shared" si="129"/>
        <v>631074</v>
      </c>
      <c r="Z103" s="167">
        <f t="shared" si="130"/>
        <v>0</v>
      </c>
      <c r="AA103" s="167">
        <f t="shared" si="131"/>
        <v>631074</v>
      </c>
      <c r="AB103" s="167">
        <f t="shared" si="132"/>
        <v>0</v>
      </c>
      <c r="AC103" s="167">
        <f t="shared" si="133"/>
        <v>0</v>
      </c>
      <c r="AD103" s="167">
        <f t="shared" si="134"/>
        <v>0</v>
      </c>
      <c r="AF103" s="180">
        <f t="shared" si="135"/>
        <v>1</v>
      </c>
      <c r="AG103" s="202" t="str">
        <f t="shared" si="136"/>
        <v>Magdalena Białorucka Furniture</v>
      </c>
      <c r="AH103" s="172"/>
      <c r="AI103" s="173"/>
      <c r="AJ103" s="173"/>
      <c r="AK103" s="173"/>
      <c r="AL103" s="173"/>
      <c r="AM103" s="173"/>
      <c r="AN103" s="173"/>
      <c r="AO103" s="173"/>
      <c r="AP103" s="173"/>
      <c r="AQ103" s="173"/>
      <c r="AR103" s="173"/>
      <c r="AS103" s="173"/>
      <c r="AT103" s="173"/>
      <c r="AU103" s="173"/>
      <c r="AV103" s="173"/>
      <c r="AW103" s="173"/>
      <c r="AX103" s="173"/>
      <c r="AY103" s="173"/>
      <c r="AZ103" s="173"/>
      <c r="BA103" s="173"/>
      <c r="BB103" s="173"/>
      <c r="BC103" s="173"/>
      <c r="BD103" s="173"/>
      <c r="BE103" s="173"/>
      <c r="BF103" s="173"/>
      <c r="BG103" s="173"/>
      <c r="BH103" s="173"/>
      <c r="BI103" s="173"/>
      <c r="BJ103" s="173"/>
      <c r="BK103" s="173"/>
      <c r="BL103" s="173"/>
      <c r="BM103" s="173"/>
      <c r="BN103" s="173"/>
      <c r="BO103" s="173"/>
      <c r="BP103" s="173"/>
      <c r="BQ103" s="173"/>
      <c r="BR103" s="173"/>
      <c r="BS103" s="173"/>
      <c r="BT103" s="173"/>
      <c r="BU103" s="173"/>
      <c r="BV103" s="173"/>
      <c r="BW103" s="173"/>
      <c r="BX103" s="173"/>
      <c r="BY103" s="173"/>
      <c r="BZ103" s="173"/>
      <c r="CA103" s="173"/>
      <c r="CB103" s="173"/>
      <c r="CC103" s="173"/>
      <c r="CD103" s="173"/>
      <c r="CE103" s="173"/>
      <c r="CF103" s="173"/>
      <c r="CG103" s="173"/>
      <c r="CH103" s="173"/>
      <c r="CI103" s="173"/>
      <c r="CJ103" s="173"/>
      <c r="CK103" s="173"/>
      <c r="CL103" s="173"/>
      <c r="CM103" s="173"/>
      <c r="CN103" s="173"/>
      <c r="CO103" s="173"/>
      <c r="CP103" s="173"/>
      <c r="CQ103" s="173"/>
      <c r="CR103" s="173"/>
      <c r="CS103" s="173"/>
      <c r="CT103" s="173"/>
      <c r="CU103" s="173"/>
      <c r="CV103" s="173"/>
      <c r="CW103" s="173"/>
      <c r="CX103" s="173"/>
      <c r="CY103" s="148"/>
      <c r="CZ103" s="148"/>
      <c r="DA103" s="148"/>
      <c r="DB103" s="148"/>
      <c r="DC103" s="148"/>
      <c r="DD103" s="148"/>
      <c r="DE103" s="148"/>
      <c r="DF103" s="148"/>
      <c r="DG103" s="148"/>
      <c r="DH103" s="148"/>
      <c r="DI103" s="148"/>
      <c r="DJ103" s="148"/>
      <c r="DK103" s="148"/>
      <c r="DL103" s="148"/>
      <c r="DM103" s="148"/>
      <c r="DN103" s="148"/>
      <c r="DO103" s="148"/>
      <c r="DP103" s="148"/>
      <c r="DQ103" s="148"/>
      <c r="DR103" s="148"/>
      <c r="DS103" s="148"/>
      <c r="DT103" s="148"/>
      <c r="DU103" s="148"/>
      <c r="DV103" s="148"/>
      <c r="DW103" s="148"/>
      <c r="DX103" s="148"/>
      <c r="DY103" s="148"/>
      <c r="DZ103" s="148"/>
      <c r="EA103" s="148"/>
      <c r="EB103" s="148"/>
      <c r="EC103" s="148"/>
      <c r="ED103" s="148"/>
      <c r="EE103" s="148"/>
      <c r="EF103" s="148"/>
      <c r="EG103" s="148"/>
      <c r="EH103" s="148"/>
      <c r="EI103" s="148"/>
      <c r="EJ103" s="148"/>
      <c r="EK103" s="148"/>
      <c r="EL103" s="148"/>
      <c r="EM103" s="148"/>
      <c r="EN103" s="148"/>
      <c r="EO103" s="148"/>
      <c r="EP103" s="148"/>
      <c r="EQ103" s="148"/>
      <c r="ER103" s="148"/>
      <c r="ES103" s="148"/>
      <c r="ET103" s="148"/>
      <c r="EU103" s="148"/>
      <c r="EV103" s="148"/>
      <c r="EW103" s="148"/>
      <c r="EX103" s="148"/>
      <c r="EY103" s="148"/>
      <c r="EZ103" s="148"/>
      <c r="FA103" s="148"/>
      <c r="FB103" s="148"/>
      <c r="FC103" s="148"/>
      <c r="FD103" s="148"/>
      <c r="FE103" s="148"/>
      <c r="FF103" s="148"/>
      <c r="FG103" s="148"/>
      <c r="FH103" s="148"/>
      <c r="FI103" s="148"/>
      <c r="FJ103" s="148"/>
      <c r="FK103" s="148"/>
      <c r="FL103" s="148"/>
      <c r="FM103" s="148"/>
      <c r="FN103" s="148"/>
      <c r="FO103" s="148"/>
      <c r="FP103" s="148"/>
      <c r="FQ103" s="148"/>
      <c r="FR103" s="148"/>
      <c r="FS103" s="148"/>
      <c r="FT103" s="148"/>
      <c r="FU103" s="148"/>
      <c r="FV103" s="148"/>
      <c r="FW103" s="148"/>
      <c r="FX103" s="148"/>
      <c r="FY103" s="148"/>
      <c r="FZ103" s="148"/>
      <c r="GA103" s="148"/>
      <c r="GB103" s="148"/>
      <c r="GC103" s="148"/>
      <c r="GD103" s="148"/>
      <c r="GE103" s="148"/>
      <c r="GF103" s="148"/>
      <c r="GG103" s="149"/>
    </row>
    <row r="104" spans="1:189" x14ac:dyDescent="0.35">
      <c r="A104" s="281" t="s">
        <v>972</v>
      </c>
      <c r="B104" s="282" t="s">
        <v>1071</v>
      </c>
      <c r="C104" s="282"/>
      <c r="D104" s="283"/>
      <c r="E104" s="282" t="s">
        <v>986</v>
      </c>
      <c r="F104" s="282" t="s">
        <v>1000</v>
      </c>
      <c r="G104" s="284">
        <v>2</v>
      </c>
      <c r="H104" s="285"/>
      <c r="I104" s="286"/>
      <c r="J104" s="286"/>
      <c r="K104" s="286"/>
      <c r="L104" s="287">
        <v>46174</v>
      </c>
      <c r="M104" s="287">
        <v>46234</v>
      </c>
      <c r="N104" s="287"/>
      <c r="O104" s="287">
        <v>46235</v>
      </c>
      <c r="P104" s="287">
        <v>46477</v>
      </c>
      <c r="Q104" s="288" t="s">
        <v>45</v>
      </c>
      <c r="R104" s="289">
        <v>498448.21661497589</v>
      </c>
      <c r="S104" s="289">
        <v>498448.21661497589</v>
      </c>
      <c r="T104" s="289"/>
      <c r="U104" s="191">
        <f t="shared" si="128"/>
        <v>0</v>
      </c>
      <c r="V104" s="291"/>
      <c r="W104" s="292"/>
      <c r="X104" s="46"/>
      <c r="Y104" s="167">
        <f t="shared" si="129"/>
        <v>498448.21661497589</v>
      </c>
      <c r="Z104" s="167">
        <f t="shared" si="130"/>
        <v>0</v>
      </c>
      <c r="AA104" s="167">
        <f t="shared" si="131"/>
        <v>498448.21661497589</v>
      </c>
      <c r="AB104" s="167">
        <f t="shared" si="132"/>
        <v>0</v>
      </c>
      <c r="AC104" s="167">
        <f t="shared" si="133"/>
        <v>0</v>
      </c>
      <c r="AD104" s="167">
        <f t="shared" si="134"/>
        <v>0</v>
      </c>
      <c r="AF104" s="180">
        <f t="shared" si="135"/>
        <v>1</v>
      </c>
      <c r="AG104" s="202" t="str">
        <f t="shared" si="136"/>
        <v>Magdalena Białorucka Tiles</v>
      </c>
      <c r="AH104" s="172"/>
      <c r="AI104" s="173"/>
      <c r="AJ104" s="173"/>
      <c r="AK104" s="173"/>
      <c r="AL104" s="173"/>
      <c r="AM104" s="173"/>
      <c r="AN104" s="173"/>
      <c r="AO104" s="173"/>
      <c r="AP104" s="173"/>
      <c r="AQ104" s="173"/>
      <c r="AR104" s="173"/>
      <c r="AS104" s="173"/>
      <c r="AT104" s="173"/>
      <c r="AU104" s="173"/>
      <c r="AV104" s="173"/>
      <c r="AW104" s="173"/>
      <c r="AX104" s="173"/>
      <c r="AY104" s="173"/>
      <c r="AZ104" s="173"/>
      <c r="BA104" s="173"/>
      <c r="BB104" s="173"/>
      <c r="BC104" s="173"/>
      <c r="BD104" s="173"/>
      <c r="BE104" s="173"/>
      <c r="BF104" s="173"/>
      <c r="BG104" s="173"/>
      <c r="BH104" s="173"/>
      <c r="BI104" s="173"/>
      <c r="BJ104" s="173"/>
      <c r="BK104" s="173"/>
      <c r="BL104" s="173"/>
      <c r="BM104" s="173"/>
      <c r="BN104" s="173"/>
      <c r="BO104" s="173"/>
      <c r="BP104" s="173"/>
      <c r="BQ104" s="173"/>
      <c r="BR104" s="173"/>
      <c r="BS104" s="173"/>
      <c r="BT104" s="173"/>
      <c r="BU104" s="173"/>
      <c r="BV104" s="173"/>
      <c r="BW104" s="173"/>
      <c r="BX104" s="173"/>
      <c r="BY104" s="173"/>
      <c r="BZ104" s="173"/>
      <c r="CA104" s="173"/>
      <c r="CB104" s="173"/>
      <c r="CC104" s="173"/>
      <c r="CD104" s="173"/>
      <c r="CE104" s="173"/>
      <c r="CF104" s="173"/>
      <c r="CG104" s="173"/>
      <c r="CH104" s="173"/>
      <c r="CI104" s="173"/>
      <c r="CJ104" s="173"/>
      <c r="CK104" s="173"/>
      <c r="CL104" s="173"/>
      <c r="CM104" s="173"/>
      <c r="CN104" s="173"/>
      <c r="CO104" s="173"/>
      <c r="CP104" s="173"/>
      <c r="CQ104" s="173"/>
      <c r="CR104" s="173"/>
      <c r="CS104" s="173"/>
      <c r="CT104" s="173"/>
      <c r="CU104" s="173"/>
      <c r="CV104" s="173"/>
      <c r="CW104" s="173"/>
      <c r="CX104" s="173"/>
      <c r="CY104" s="148"/>
      <c r="CZ104" s="148"/>
      <c r="DA104" s="148"/>
      <c r="DB104" s="148"/>
      <c r="DC104" s="148"/>
      <c r="DD104" s="148"/>
      <c r="DE104" s="148"/>
      <c r="DF104" s="148"/>
      <c r="DG104" s="148"/>
      <c r="DH104" s="148"/>
      <c r="DI104" s="148"/>
      <c r="DJ104" s="148"/>
      <c r="DK104" s="148"/>
      <c r="DL104" s="148"/>
      <c r="DM104" s="148"/>
      <c r="DN104" s="148"/>
      <c r="DO104" s="148"/>
      <c r="DP104" s="148"/>
      <c r="DQ104" s="148"/>
      <c r="DR104" s="148"/>
      <c r="DS104" s="148"/>
      <c r="DT104" s="148"/>
      <c r="DU104" s="148"/>
      <c r="DV104" s="148"/>
      <c r="DW104" s="148"/>
      <c r="DX104" s="148"/>
      <c r="DY104" s="148"/>
      <c r="DZ104" s="148"/>
      <c r="EA104" s="148"/>
      <c r="EB104" s="148"/>
      <c r="EC104" s="148"/>
      <c r="ED104" s="148"/>
      <c r="EE104" s="148"/>
      <c r="EF104" s="148"/>
      <c r="EG104" s="148"/>
      <c r="EH104" s="148"/>
      <c r="EI104" s="148"/>
      <c r="EJ104" s="148"/>
      <c r="EK104" s="148"/>
      <c r="EL104" s="148"/>
      <c r="EM104" s="148"/>
      <c r="EN104" s="148"/>
      <c r="EO104" s="148"/>
      <c r="EP104" s="148"/>
      <c r="EQ104" s="148"/>
      <c r="ER104" s="148"/>
      <c r="ES104" s="148"/>
      <c r="ET104" s="148"/>
      <c r="EU104" s="148"/>
      <c r="EV104" s="148"/>
      <c r="EW104" s="148"/>
      <c r="EX104" s="148"/>
      <c r="EY104" s="148"/>
      <c r="EZ104" s="148"/>
      <c r="FA104" s="148"/>
      <c r="FB104" s="148"/>
      <c r="FC104" s="148"/>
      <c r="FD104" s="148"/>
      <c r="FE104" s="148"/>
      <c r="FF104" s="148"/>
      <c r="FG104" s="148"/>
      <c r="FH104" s="148"/>
      <c r="FI104" s="148"/>
      <c r="FJ104" s="148"/>
      <c r="FK104" s="148"/>
      <c r="FL104" s="148"/>
      <c r="FM104" s="148"/>
      <c r="FN104" s="148"/>
      <c r="FO104" s="148"/>
      <c r="FP104" s="148"/>
      <c r="FQ104" s="148"/>
      <c r="FR104" s="148"/>
      <c r="FS104" s="148"/>
      <c r="FT104" s="148"/>
      <c r="FU104" s="148"/>
      <c r="FV104" s="148"/>
      <c r="FW104" s="148"/>
      <c r="FX104" s="148"/>
      <c r="FY104" s="148"/>
      <c r="FZ104" s="148"/>
      <c r="GA104" s="148"/>
      <c r="GB104" s="148"/>
      <c r="GC104" s="148"/>
      <c r="GD104" s="148"/>
      <c r="GE104" s="148"/>
      <c r="GF104" s="148"/>
      <c r="GG104" s="149"/>
    </row>
    <row r="105" spans="1:189" x14ac:dyDescent="0.35">
      <c r="A105" s="281" t="s">
        <v>973</v>
      </c>
      <c r="B105" s="282" t="s">
        <v>1071</v>
      </c>
      <c r="C105" s="282"/>
      <c r="D105" s="283"/>
      <c r="E105" s="282" t="s">
        <v>987</v>
      </c>
      <c r="F105" s="282" t="s">
        <v>1001</v>
      </c>
      <c r="G105" s="284">
        <v>2</v>
      </c>
      <c r="H105" s="285"/>
      <c r="I105" s="286"/>
      <c r="J105" s="286"/>
      <c r="K105" s="286"/>
      <c r="L105" s="287">
        <v>46174</v>
      </c>
      <c r="M105" s="287">
        <v>46234</v>
      </c>
      <c r="N105" s="287"/>
      <c r="O105" s="287">
        <v>46235</v>
      </c>
      <c r="P105" s="287">
        <v>46477</v>
      </c>
      <c r="Q105" s="288" t="s">
        <v>45</v>
      </c>
      <c r="R105" s="289">
        <v>621907.74891328067</v>
      </c>
      <c r="S105" s="289">
        <v>621907.74891328067</v>
      </c>
      <c r="T105" s="289"/>
      <c r="U105" s="191">
        <f t="shared" si="128"/>
        <v>0</v>
      </c>
      <c r="V105" s="291"/>
      <c r="W105" s="292"/>
      <c r="X105" s="46"/>
      <c r="Y105" s="167">
        <f t="shared" si="129"/>
        <v>621907.74891328067</v>
      </c>
      <c r="Z105" s="167">
        <f t="shared" si="130"/>
        <v>0</v>
      </c>
      <c r="AA105" s="167">
        <f t="shared" si="131"/>
        <v>621907.74891328067</v>
      </c>
      <c r="AB105" s="167">
        <f t="shared" si="132"/>
        <v>0</v>
      </c>
      <c r="AC105" s="167">
        <f t="shared" si="133"/>
        <v>0</v>
      </c>
      <c r="AD105" s="167">
        <f t="shared" si="134"/>
        <v>0</v>
      </c>
      <c r="AF105" s="180">
        <f t="shared" si="135"/>
        <v>1</v>
      </c>
      <c r="AG105" s="202" t="str">
        <f t="shared" si="136"/>
        <v>Magdalena Białorucka Raised floor</v>
      </c>
      <c r="AH105" s="172"/>
      <c r="AI105" s="173"/>
      <c r="AJ105" s="173"/>
      <c r="AK105" s="173"/>
      <c r="AL105" s="173"/>
      <c r="AM105" s="173"/>
      <c r="AN105" s="173"/>
      <c r="AO105" s="173"/>
      <c r="AP105" s="173"/>
      <c r="AQ105" s="173"/>
      <c r="AR105" s="173"/>
      <c r="AS105" s="173"/>
      <c r="AT105" s="173"/>
      <c r="AU105" s="173"/>
      <c r="AV105" s="173"/>
      <c r="AW105" s="173"/>
      <c r="AX105" s="173"/>
      <c r="AY105" s="173"/>
      <c r="AZ105" s="173"/>
      <c r="BA105" s="173"/>
      <c r="BB105" s="173"/>
      <c r="BC105" s="173"/>
      <c r="BD105" s="173"/>
      <c r="BE105" s="173"/>
      <c r="BF105" s="173"/>
      <c r="BG105" s="173"/>
      <c r="BH105" s="173"/>
      <c r="BI105" s="173"/>
      <c r="BJ105" s="173"/>
      <c r="BK105" s="173"/>
      <c r="BL105" s="173"/>
      <c r="BM105" s="173"/>
      <c r="BN105" s="173"/>
      <c r="BO105" s="173"/>
      <c r="BP105" s="173"/>
      <c r="BQ105" s="173"/>
      <c r="BR105" s="173"/>
      <c r="BS105" s="173"/>
      <c r="BT105" s="173"/>
      <c r="BU105" s="173"/>
      <c r="BV105" s="173"/>
      <c r="BW105" s="173"/>
      <c r="BX105" s="173"/>
      <c r="BY105" s="173"/>
      <c r="BZ105" s="173"/>
      <c r="CA105" s="173"/>
      <c r="CB105" s="173"/>
      <c r="CC105" s="173"/>
      <c r="CD105" s="173"/>
      <c r="CE105" s="173"/>
      <c r="CF105" s="173"/>
      <c r="CG105" s="173"/>
      <c r="CH105" s="173"/>
      <c r="CI105" s="173"/>
      <c r="CJ105" s="173"/>
      <c r="CK105" s="173"/>
      <c r="CL105" s="173"/>
      <c r="CM105" s="173"/>
      <c r="CN105" s="173"/>
      <c r="CO105" s="173"/>
      <c r="CP105" s="173"/>
      <c r="CQ105" s="173"/>
      <c r="CR105" s="173"/>
      <c r="CS105" s="173"/>
      <c r="CT105" s="173"/>
      <c r="CU105" s="173"/>
      <c r="CV105" s="173"/>
      <c r="CW105" s="173"/>
      <c r="CX105" s="173"/>
      <c r="CY105" s="148"/>
      <c r="CZ105" s="148"/>
      <c r="DA105" s="148"/>
      <c r="DB105" s="148"/>
      <c r="DC105" s="148"/>
      <c r="DD105" s="148"/>
      <c r="DE105" s="148"/>
      <c r="DF105" s="148"/>
      <c r="DG105" s="148"/>
      <c r="DH105" s="148"/>
      <c r="DI105" s="148"/>
      <c r="DJ105" s="148"/>
      <c r="DK105" s="148"/>
      <c r="DL105" s="148"/>
      <c r="DM105" s="148"/>
      <c r="DN105" s="148"/>
      <c r="DO105" s="148"/>
      <c r="DP105" s="148"/>
      <c r="DQ105" s="148"/>
      <c r="DR105" s="148"/>
      <c r="DS105" s="148"/>
      <c r="DT105" s="148"/>
      <c r="DU105" s="148"/>
      <c r="DV105" s="148"/>
      <c r="DW105" s="148"/>
      <c r="DX105" s="148"/>
      <c r="DY105" s="148"/>
      <c r="DZ105" s="148"/>
      <c r="EA105" s="148"/>
      <c r="EB105" s="148"/>
      <c r="EC105" s="148"/>
      <c r="ED105" s="148"/>
      <c r="EE105" s="148"/>
      <c r="EF105" s="148"/>
      <c r="EG105" s="148"/>
      <c r="EH105" s="148"/>
      <c r="EI105" s="148"/>
      <c r="EJ105" s="148"/>
      <c r="EK105" s="148"/>
      <c r="EL105" s="148"/>
      <c r="EM105" s="148"/>
      <c r="EN105" s="148"/>
      <c r="EO105" s="148"/>
      <c r="EP105" s="148"/>
      <c r="EQ105" s="148"/>
      <c r="ER105" s="148"/>
      <c r="ES105" s="148"/>
      <c r="ET105" s="148"/>
      <c r="EU105" s="148"/>
      <c r="EV105" s="148"/>
      <c r="EW105" s="148"/>
      <c r="EX105" s="148"/>
      <c r="EY105" s="148"/>
      <c r="EZ105" s="148"/>
      <c r="FA105" s="148"/>
      <c r="FB105" s="148"/>
      <c r="FC105" s="148"/>
      <c r="FD105" s="148"/>
      <c r="FE105" s="148"/>
      <c r="FF105" s="148"/>
      <c r="FG105" s="148"/>
      <c r="FH105" s="148"/>
      <c r="FI105" s="148"/>
      <c r="FJ105" s="148"/>
      <c r="FK105" s="148"/>
      <c r="FL105" s="148"/>
      <c r="FM105" s="148"/>
      <c r="FN105" s="148"/>
      <c r="FO105" s="148"/>
      <c r="FP105" s="148"/>
      <c r="FQ105" s="148"/>
      <c r="FR105" s="148"/>
      <c r="FS105" s="148"/>
      <c r="FT105" s="148"/>
      <c r="FU105" s="148"/>
      <c r="FV105" s="148"/>
      <c r="FW105" s="148"/>
      <c r="FX105" s="148"/>
      <c r="FY105" s="148"/>
      <c r="FZ105" s="148"/>
      <c r="GA105" s="148"/>
      <c r="GB105" s="148"/>
      <c r="GC105" s="148"/>
      <c r="GD105" s="148"/>
      <c r="GE105" s="148"/>
      <c r="GF105" s="148"/>
      <c r="GG105" s="149"/>
    </row>
    <row r="106" spans="1:189" x14ac:dyDescent="0.35">
      <c r="A106" s="281" t="s">
        <v>974</v>
      </c>
      <c r="B106" s="282"/>
      <c r="C106" s="282"/>
      <c r="D106" s="283"/>
      <c r="E106" s="282" t="s">
        <v>988</v>
      </c>
      <c r="F106" s="282" t="s">
        <v>1002</v>
      </c>
      <c r="G106" s="284">
        <v>2</v>
      </c>
      <c r="H106" s="285"/>
      <c r="I106" s="286"/>
      <c r="J106" s="286"/>
      <c r="K106" s="286"/>
      <c r="L106" s="287">
        <v>46174</v>
      </c>
      <c r="M106" s="287">
        <v>46234</v>
      </c>
      <c r="N106" s="287"/>
      <c r="O106" s="287">
        <v>46235</v>
      </c>
      <c r="P106" s="287">
        <v>46477</v>
      </c>
      <c r="Q106" s="288" t="s">
        <v>11</v>
      </c>
      <c r="R106" s="289">
        <v>4432229.2256788854</v>
      </c>
      <c r="S106" s="289">
        <f>4432229.22567889-SUM(S107:S110)</f>
        <v>610629.22567889001</v>
      </c>
      <c r="T106" s="289"/>
      <c r="U106" s="191">
        <f t="shared" si="128"/>
        <v>0</v>
      </c>
      <c r="V106" s="291"/>
      <c r="W106" s="292"/>
      <c r="X106" s="46"/>
      <c r="Y106" s="167">
        <f t="shared" si="129"/>
        <v>610629.22567889001</v>
      </c>
      <c r="Z106" s="167">
        <f t="shared" si="130"/>
        <v>0</v>
      </c>
      <c r="AA106" s="167">
        <f t="shared" si="131"/>
        <v>610629.22567889001</v>
      </c>
      <c r="AB106" s="167">
        <f t="shared" si="132"/>
        <v>0</v>
      </c>
      <c r="AC106" s="167">
        <f t="shared" si="133"/>
        <v>0</v>
      </c>
      <c r="AD106" s="167">
        <f t="shared" si="134"/>
        <v>0</v>
      </c>
      <c r="AF106" s="180">
        <f t="shared" si="135"/>
        <v>1</v>
      </c>
      <c r="AG106" s="202" t="str">
        <f t="shared" si="136"/>
        <v xml:space="preserve"> Concrete floor + screed</v>
      </c>
      <c r="AH106" s="172"/>
      <c r="AI106" s="173"/>
      <c r="AJ106" s="173"/>
      <c r="AK106" s="173"/>
      <c r="AL106" s="173"/>
      <c r="AM106" s="173"/>
      <c r="AN106" s="173"/>
      <c r="AO106" s="173"/>
      <c r="AP106" s="173"/>
      <c r="AQ106" s="173"/>
      <c r="AR106" s="173"/>
      <c r="AS106" s="173"/>
      <c r="AT106" s="173"/>
      <c r="AU106" s="173"/>
      <c r="AV106" s="173"/>
      <c r="AW106" s="173"/>
      <c r="AX106" s="173"/>
      <c r="AY106" s="173"/>
      <c r="AZ106" s="173"/>
      <c r="BA106" s="173"/>
      <c r="BB106" s="173"/>
      <c r="BC106" s="173"/>
      <c r="BD106" s="173"/>
      <c r="BE106" s="173"/>
      <c r="BF106" s="173"/>
      <c r="BG106" s="173"/>
      <c r="BH106" s="173"/>
      <c r="BI106" s="173"/>
      <c r="BJ106" s="173"/>
      <c r="BK106" s="173"/>
      <c r="BL106" s="173"/>
      <c r="BM106" s="173"/>
      <c r="BN106" s="173"/>
      <c r="BO106" s="173"/>
      <c r="BP106" s="173"/>
      <c r="BQ106" s="173"/>
      <c r="BR106" s="173"/>
      <c r="BS106" s="173"/>
      <c r="BT106" s="173"/>
      <c r="BU106" s="173"/>
      <c r="BV106" s="173"/>
      <c r="BW106" s="173"/>
      <c r="BX106" s="173"/>
      <c r="BY106" s="173"/>
      <c r="BZ106" s="173"/>
      <c r="CA106" s="173"/>
      <c r="CB106" s="173"/>
      <c r="CC106" s="173"/>
      <c r="CD106" s="173"/>
      <c r="CE106" s="173"/>
      <c r="CF106" s="173"/>
      <c r="CG106" s="173"/>
      <c r="CH106" s="173"/>
      <c r="CI106" s="173"/>
      <c r="CJ106" s="173"/>
      <c r="CK106" s="173"/>
      <c r="CL106" s="173"/>
      <c r="CM106" s="173"/>
      <c r="CN106" s="173"/>
      <c r="CO106" s="173"/>
      <c r="CP106" s="173"/>
      <c r="CQ106" s="173"/>
      <c r="CR106" s="173"/>
      <c r="CS106" s="173"/>
      <c r="CT106" s="173"/>
      <c r="CU106" s="173"/>
      <c r="CV106" s="173"/>
      <c r="CW106" s="173"/>
      <c r="CX106" s="173"/>
      <c r="CY106" s="148"/>
      <c r="CZ106" s="148"/>
      <c r="DA106" s="148"/>
      <c r="DB106" s="148"/>
      <c r="DC106" s="148"/>
      <c r="DD106" s="148"/>
      <c r="DE106" s="148"/>
      <c r="DF106" s="148"/>
      <c r="DG106" s="148"/>
      <c r="DH106" s="148"/>
      <c r="DI106" s="148"/>
      <c r="DJ106" s="148"/>
      <c r="DK106" s="148"/>
      <c r="DL106" s="148"/>
      <c r="DM106" s="148"/>
      <c r="DN106" s="148"/>
      <c r="DO106" s="148"/>
      <c r="DP106" s="148"/>
      <c r="DQ106" s="148"/>
      <c r="DR106" s="148"/>
      <c r="DS106" s="148"/>
      <c r="DT106" s="148"/>
      <c r="DU106" s="148"/>
      <c r="DV106" s="148"/>
      <c r="DW106" s="148"/>
      <c r="DX106" s="148"/>
      <c r="DY106" s="148"/>
      <c r="DZ106" s="148"/>
      <c r="EA106" s="148"/>
      <c r="EB106" s="148"/>
      <c r="EC106" s="148"/>
      <c r="ED106" s="148"/>
      <c r="EE106" s="148"/>
      <c r="EF106" s="148"/>
      <c r="EG106" s="148"/>
      <c r="EH106" s="148"/>
      <c r="EI106" s="148"/>
      <c r="EJ106" s="148"/>
      <c r="EK106" s="148"/>
      <c r="EL106" s="148"/>
      <c r="EM106" s="148"/>
      <c r="EN106" s="148"/>
      <c r="EO106" s="148"/>
      <c r="EP106" s="148"/>
      <c r="EQ106" s="148"/>
      <c r="ER106" s="148"/>
      <c r="ES106" s="148"/>
      <c r="ET106" s="148"/>
      <c r="EU106" s="148"/>
      <c r="EV106" s="148"/>
      <c r="EW106" s="148"/>
      <c r="EX106" s="148"/>
      <c r="EY106" s="148"/>
      <c r="EZ106" s="148"/>
      <c r="FA106" s="148"/>
      <c r="FB106" s="148"/>
      <c r="FC106" s="148"/>
      <c r="FD106" s="148"/>
      <c r="FE106" s="148"/>
      <c r="FF106" s="148"/>
      <c r="FG106" s="148"/>
      <c r="FH106" s="148"/>
      <c r="FI106" s="148"/>
      <c r="FJ106" s="148"/>
      <c r="FK106" s="148"/>
      <c r="FL106" s="148"/>
      <c r="FM106" s="148"/>
      <c r="FN106" s="148"/>
      <c r="FO106" s="148"/>
      <c r="FP106" s="148"/>
      <c r="FQ106" s="148"/>
      <c r="FR106" s="148"/>
      <c r="FS106" s="148"/>
      <c r="FT106" s="148"/>
      <c r="FU106" s="148"/>
      <c r="FV106" s="148"/>
      <c r="FW106" s="148"/>
      <c r="FX106" s="148"/>
      <c r="FY106" s="148"/>
      <c r="FZ106" s="148"/>
      <c r="GA106" s="148"/>
      <c r="GB106" s="148"/>
      <c r="GC106" s="148"/>
      <c r="GD106" s="148"/>
      <c r="GE106" s="148"/>
      <c r="GF106" s="148"/>
      <c r="GG106" s="149"/>
    </row>
    <row r="107" spans="1:189" ht="27.75" x14ac:dyDescent="0.35">
      <c r="A107" s="267" t="s">
        <v>1121</v>
      </c>
      <c r="B107" s="221" t="s">
        <v>1068</v>
      </c>
      <c r="C107" s="221" t="s">
        <v>1113</v>
      </c>
      <c r="D107" s="222"/>
      <c r="E107" s="221" t="s">
        <v>300</v>
      </c>
      <c r="F107" s="221" t="s">
        <v>734</v>
      </c>
      <c r="G107" s="223">
        <v>1</v>
      </c>
      <c r="H107" s="224" t="s">
        <v>874</v>
      </c>
      <c r="I107" s="225"/>
      <c r="J107" s="225"/>
      <c r="K107" s="225"/>
      <c r="L107" s="226">
        <v>45995</v>
      </c>
      <c r="M107" s="226">
        <v>46022</v>
      </c>
      <c r="N107" s="226">
        <v>46022</v>
      </c>
      <c r="O107" s="226">
        <v>46073</v>
      </c>
      <c r="P107" s="226">
        <v>46234</v>
      </c>
      <c r="Q107" s="227" t="s">
        <v>23</v>
      </c>
      <c r="R107" s="228"/>
      <c r="S107" s="228">
        <v>771600</v>
      </c>
      <c r="T107" s="228">
        <v>771600</v>
      </c>
      <c r="U107" s="191">
        <f t="shared" ref="U107:U110" si="137">IF(Q107="",0,IF(T107="",0,+S107-T107))</f>
        <v>0</v>
      </c>
      <c r="V107" s="230"/>
      <c r="W107" s="231"/>
      <c r="X107" s="46"/>
      <c r="Y107" s="167">
        <f t="shared" ref="Y107:Y110" si="138">IF(G107=2,S107,0)</f>
        <v>0</v>
      </c>
      <c r="Z107" s="167">
        <f t="shared" ref="Z107:Z110" si="139">IF(Q107="",0,IF(G107=2,T107,0))</f>
        <v>0</v>
      </c>
      <c r="AA107" s="167">
        <f t="shared" ref="AA107:AA110" si="140">Y107-Z107</f>
        <v>0</v>
      </c>
      <c r="AB107" s="167">
        <f t="shared" ref="AB107:AB110" si="141">IF(G107=1,S107,0)</f>
        <v>771600</v>
      </c>
      <c r="AC107" s="167">
        <f t="shared" ref="AC107:AC110" si="142">IF(Q107="",0,IF(G107=1,T107,0))</f>
        <v>771600</v>
      </c>
      <c r="AD107" s="167">
        <f t="shared" ref="AD107:AD110" si="143">AB107-AC107</f>
        <v>0</v>
      </c>
      <c r="AF107" s="180">
        <f t="shared" ref="AF107:AF110" si="144">IF(S107&lt;&gt;"",1,0)</f>
        <v>1</v>
      </c>
      <c r="AG107" s="202" t="str">
        <f t="shared" ref="AG107:AG110" si="145">B107&amp;" "&amp;F107</f>
        <v>Robert Klimczak Supply of reinforcing steel</v>
      </c>
      <c r="AH107" s="172"/>
      <c r="AI107" s="173"/>
      <c r="AJ107" s="173"/>
      <c r="AK107" s="173"/>
      <c r="AL107" s="173"/>
      <c r="AM107" s="173"/>
      <c r="AN107" s="173"/>
      <c r="AO107" s="173"/>
      <c r="AP107" s="173"/>
      <c r="AQ107" s="173"/>
      <c r="AR107" s="173"/>
      <c r="AS107" s="173"/>
      <c r="AT107" s="173"/>
      <c r="AU107" s="173"/>
      <c r="AV107" s="173"/>
      <c r="AW107" s="173"/>
      <c r="AX107" s="173"/>
      <c r="AY107" s="173"/>
      <c r="AZ107" s="173"/>
      <c r="BA107" s="173"/>
      <c r="BB107" s="173"/>
      <c r="BC107" s="173"/>
      <c r="BD107" s="173"/>
      <c r="BE107" s="173"/>
      <c r="BF107" s="173"/>
      <c r="BG107" s="173"/>
      <c r="BH107" s="173"/>
      <c r="BI107" s="173"/>
      <c r="BJ107" s="173"/>
      <c r="BK107" s="173"/>
      <c r="BL107" s="173"/>
      <c r="BM107" s="173"/>
      <c r="BN107" s="173"/>
      <c r="BO107" s="173"/>
      <c r="BP107" s="173"/>
      <c r="BQ107" s="173"/>
      <c r="BR107" s="173"/>
      <c r="BS107" s="173"/>
      <c r="BT107" s="173"/>
      <c r="BU107" s="173"/>
      <c r="BV107" s="173"/>
      <c r="BW107" s="173"/>
      <c r="BX107" s="173"/>
      <c r="BY107" s="173"/>
      <c r="BZ107" s="173"/>
      <c r="CA107" s="173"/>
      <c r="CB107" s="173"/>
      <c r="CC107" s="173"/>
      <c r="CD107" s="173"/>
      <c r="CE107" s="173"/>
      <c r="CF107" s="173"/>
      <c r="CG107" s="173"/>
      <c r="CH107" s="173"/>
      <c r="CI107" s="173"/>
      <c r="CJ107" s="173"/>
      <c r="CK107" s="173"/>
      <c r="CL107" s="173"/>
      <c r="CM107" s="173"/>
      <c r="CN107" s="173"/>
      <c r="CO107" s="173"/>
      <c r="CP107" s="173"/>
      <c r="CQ107" s="173"/>
      <c r="CR107" s="173"/>
      <c r="CS107" s="173"/>
      <c r="CT107" s="173"/>
      <c r="CU107" s="173"/>
      <c r="CV107" s="173"/>
      <c r="CW107" s="173"/>
      <c r="CX107" s="173"/>
      <c r="CY107" s="148"/>
      <c r="CZ107" s="148"/>
      <c r="DA107" s="148"/>
      <c r="DB107" s="148"/>
      <c r="DC107" s="148"/>
      <c r="DD107" s="148"/>
      <c r="DE107" s="148"/>
      <c r="DF107" s="148"/>
      <c r="DG107" s="148"/>
      <c r="DH107" s="148"/>
      <c r="DI107" s="148"/>
      <c r="DJ107" s="148"/>
      <c r="DK107" s="148"/>
      <c r="DL107" s="148"/>
      <c r="DM107" s="148"/>
      <c r="DN107" s="148"/>
      <c r="DO107" s="148"/>
      <c r="DP107" s="148"/>
      <c r="DQ107" s="148"/>
      <c r="DR107" s="148"/>
      <c r="DS107" s="148"/>
      <c r="DT107" s="148"/>
      <c r="DU107" s="148"/>
      <c r="DV107" s="148"/>
      <c r="DW107" s="148"/>
      <c r="DX107" s="148"/>
      <c r="DY107" s="148"/>
      <c r="DZ107" s="148"/>
      <c r="EA107" s="148"/>
      <c r="EB107" s="148"/>
      <c r="EC107" s="148"/>
      <c r="ED107" s="148"/>
      <c r="EE107" s="148"/>
      <c r="EF107" s="148"/>
      <c r="EG107" s="148"/>
      <c r="EH107" s="148"/>
      <c r="EI107" s="148"/>
      <c r="EJ107" s="148"/>
      <c r="EK107" s="148"/>
      <c r="EL107" s="148"/>
      <c r="EM107" s="148"/>
      <c r="EN107" s="148"/>
      <c r="EO107" s="148"/>
      <c r="EP107" s="148"/>
      <c r="EQ107" s="148"/>
      <c r="ER107" s="148"/>
      <c r="ES107" s="148"/>
      <c r="ET107" s="148"/>
      <c r="EU107" s="148"/>
      <c r="EV107" s="148"/>
      <c r="EW107" s="148"/>
      <c r="EX107" s="148"/>
      <c r="EY107" s="148"/>
      <c r="EZ107" s="148"/>
      <c r="FA107" s="148"/>
      <c r="FB107" s="148"/>
      <c r="FC107" s="148"/>
      <c r="FD107" s="148"/>
      <c r="FE107" s="148"/>
      <c r="FF107" s="148"/>
      <c r="FG107" s="148"/>
      <c r="FH107" s="148"/>
      <c r="FI107" s="148"/>
      <c r="FJ107" s="148"/>
      <c r="FK107" s="148"/>
      <c r="FL107" s="148"/>
      <c r="FM107" s="148"/>
      <c r="FN107" s="148"/>
      <c r="FO107" s="148"/>
      <c r="FP107" s="148"/>
      <c r="FQ107" s="148"/>
      <c r="FR107" s="148"/>
      <c r="FS107" s="148"/>
      <c r="FT107" s="148"/>
      <c r="FU107" s="148"/>
      <c r="FV107" s="148"/>
      <c r="FW107" s="148"/>
      <c r="FX107" s="148"/>
      <c r="FY107" s="148"/>
      <c r="FZ107" s="148"/>
      <c r="GA107" s="148"/>
      <c r="GB107" s="148"/>
      <c r="GC107" s="148"/>
      <c r="GD107" s="148"/>
      <c r="GE107" s="148"/>
      <c r="GF107" s="148"/>
      <c r="GG107" s="149"/>
    </row>
    <row r="108" spans="1:189" ht="41.65" x14ac:dyDescent="0.35">
      <c r="A108" s="267" t="s">
        <v>1122</v>
      </c>
      <c r="B108" s="221" t="s">
        <v>1069</v>
      </c>
      <c r="C108" s="221" t="s">
        <v>1096</v>
      </c>
      <c r="D108" s="222"/>
      <c r="E108" s="221" t="s">
        <v>1258</v>
      </c>
      <c r="F108" s="221" t="s">
        <v>1259</v>
      </c>
      <c r="G108" s="223">
        <v>1</v>
      </c>
      <c r="H108" s="224" t="s">
        <v>1361</v>
      </c>
      <c r="I108" s="225"/>
      <c r="J108" s="225"/>
      <c r="K108" s="225"/>
      <c r="L108" s="226">
        <v>45995</v>
      </c>
      <c r="M108" s="226">
        <v>46053</v>
      </c>
      <c r="N108" s="226">
        <v>46068</v>
      </c>
      <c r="O108" s="226">
        <v>46073</v>
      </c>
      <c r="P108" s="226">
        <v>46234</v>
      </c>
      <c r="Q108" s="227" t="s">
        <v>23</v>
      </c>
      <c r="R108" s="228"/>
      <c r="S108" s="228">
        <f>ROUND(1128295+2745/10292*527206,-5)</f>
        <v>1300000</v>
      </c>
      <c r="T108" s="228">
        <f>1128295+2745/10292*527206</f>
        <v>1268907.1715895841</v>
      </c>
      <c r="U108" s="191">
        <f t="shared" ref="U108:U109" si="146">IF(Q108="",0,IF(T108="",0,+S108-T108))</f>
        <v>31092.82841041591</v>
      </c>
      <c r="V108" s="230"/>
      <c r="W108" s="231"/>
      <c r="X108" s="46"/>
      <c r="Y108" s="167">
        <f t="shared" ref="Y108:Y109" si="147">IF(G108=2,S108,0)</f>
        <v>0</v>
      </c>
      <c r="Z108" s="167">
        <f t="shared" ref="Z108:Z109" si="148">IF(Q108="",0,IF(G108=2,T108,0))</f>
        <v>0</v>
      </c>
      <c r="AA108" s="167">
        <f t="shared" ref="AA108:AA109" si="149">Y108-Z108</f>
        <v>0</v>
      </c>
      <c r="AB108" s="167">
        <f t="shared" ref="AB108:AB109" si="150">IF(G108=1,S108,0)</f>
        <v>1300000</v>
      </c>
      <c r="AC108" s="167">
        <f t="shared" ref="AC108:AC109" si="151">IF(Q108="",0,IF(G108=1,T108,0))</f>
        <v>1268907.1715895841</v>
      </c>
      <c r="AD108" s="167">
        <f t="shared" ref="AD108:AD109" si="152">AB108-AC108</f>
        <v>31092.82841041591</v>
      </c>
      <c r="AF108" s="180">
        <f t="shared" ref="AF108:AF109" si="153">IF(S108&lt;&gt;"",1,0)</f>
        <v>1</v>
      </c>
      <c r="AG108" s="202" t="str">
        <f t="shared" ref="AG108:AG109" si="154">B108&amp;" "&amp;F108</f>
        <v>Alicja Romanowska Supply of concrete mix with pumping service / floors, slabs on the ground</v>
      </c>
      <c r="AH108" s="172"/>
      <c r="AI108" s="173"/>
      <c r="AJ108" s="173"/>
      <c r="AK108" s="173"/>
      <c r="AL108" s="173"/>
      <c r="AM108" s="173"/>
      <c r="AN108" s="173"/>
      <c r="AO108" s="173"/>
      <c r="AP108" s="173"/>
      <c r="AQ108" s="173"/>
      <c r="AR108" s="173"/>
      <c r="AS108" s="173"/>
      <c r="AT108" s="173"/>
      <c r="AU108" s="173"/>
      <c r="AV108" s="173"/>
      <c r="AW108" s="173"/>
      <c r="AX108" s="173"/>
      <c r="AY108" s="173"/>
      <c r="AZ108" s="173"/>
      <c r="BA108" s="173"/>
      <c r="BB108" s="173"/>
      <c r="BC108" s="173"/>
      <c r="BD108" s="173"/>
      <c r="BE108" s="173"/>
      <c r="BF108" s="173"/>
      <c r="BG108" s="173"/>
      <c r="BH108" s="173"/>
      <c r="BI108" s="173"/>
      <c r="BJ108" s="173"/>
      <c r="BK108" s="173"/>
      <c r="BL108" s="173"/>
      <c r="BM108" s="173"/>
      <c r="BN108" s="173"/>
      <c r="BO108" s="173"/>
      <c r="BP108" s="173"/>
      <c r="BQ108" s="173"/>
      <c r="BR108" s="173"/>
      <c r="BS108" s="173"/>
      <c r="BT108" s="173"/>
      <c r="BU108" s="173"/>
      <c r="BV108" s="173"/>
      <c r="BW108" s="173"/>
      <c r="BX108" s="173"/>
      <c r="BY108" s="173"/>
      <c r="BZ108" s="173"/>
      <c r="CA108" s="173"/>
      <c r="CB108" s="173"/>
      <c r="CC108" s="173"/>
      <c r="CD108" s="173"/>
      <c r="CE108" s="173"/>
      <c r="CF108" s="173"/>
      <c r="CG108" s="173"/>
      <c r="CH108" s="173"/>
      <c r="CI108" s="173"/>
      <c r="CJ108" s="173"/>
      <c r="CK108" s="173"/>
      <c r="CL108" s="173"/>
      <c r="CM108" s="173"/>
      <c r="CN108" s="173"/>
      <c r="CO108" s="173"/>
      <c r="CP108" s="173"/>
      <c r="CQ108" s="173"/>
      <c r="CR108" s="173"/>
      <c r="CS108" s="173"/>
      <c r="CT108" s="173"/>
      <c r="CU108" s="173"/>
      <c r="CV108" s="173"/>
      <c r="CW108" s="173"/>
      <c r="CX108" s="173"/>
      <c r="CY108" s="148"/>
      <c r="CZ108" s="148"/>
      <c r="DA108" s="148"/>
      <c r="DB108" s="148"/>
      <c r="DC108" s="148"/>
      <c r="DD108" s="148"/>
      <c r="DE108" s="148"/>
      <c r="DF108" s="148"/>
      <c r="DG108" s="148"/>
      <c r="DH108" s="148"/>
      <c r="DI108" s="148"/>
      <c r="DJ108" s="148"/>
      <c r="DK108" s="148"/>
      <c r="DL108" s="148"/>
      <c r="DM108" s="148"/>
      <c r="DN108" s="148"/>
      <c r="DO108" s="148"/>
      <c r="DP108" s="148"/>
      <c r="DQ108" s="148"/>
      <c r="DR108" s="148"/>
      <c r="DS108" s="148"/>
      <c r="DT108" s="148"/>
      <c r="DU108" s="148"/>
      <c r="DV108" s="148"/>
      <c r="DW108" s="148"/>
      <c r="DX108" s="148"/>
      <c r="DY108" s="148"/>
      <c r="DZ108" s="148"/>
      <c r="EA108" s="148"/>
      <c r="EB108" s="148"/>
      <c r="EC108" s="148"/>
      <c r="ED108" s="148"/>
      <c r="EE108" s="148"/>
      <c r="EF108" s="148"/>
      <c r="EG108" s="148"/>
      <c r="EH108" s="148"/>
      <c r="EI108" s="148"/>
      <c r="EJ108" s="148"/>
      <c r="EK108" s="148"/>
      <c r="EL108" s="148"/>
      <c r="EM108" s="148"/>
      <c r="EN108" s="148"/>
      <c r="EO108" s="148"/>
      <c r="EP108" s="148"/>
      <c r="EQ108" s="148"/>
      <c r="ER108" s="148"/>
      <c r="ES108" s="148"/>
      <c r="ET108" s="148"/>
      <c r="EU108" s="148"/>
      <c r="EV108" s="148"/>
      <c r="EW108" s="148"/>
      <c r="EX108" s="148"/>
      <c r="EY108" s="148"/>
      <c r="EZ108" s="148"/>
      <c r="FA108" s="148"/>
      <c r="FB108" s="148"/>
      <c r="FC108" s="148"/>
      <c r="FD108" s="148"/>
      <c r="FE108" s="148"/>
      <c r="FF108" s="148"/>
      <c r="FG108" s="148"/>
      <c r="FH108" s="148"/>
      <c r="FI108" s="148"/>
      <c r="FJ108" s="148"/>
      <c r="FK108" s="148"/>
      <c r="FL108" s="148"/>
      <c r="FM108" s="148"/>
      <c r="FN108" s="148"/>
      <c r="FO108" s="148"/>
      <c r="FP108" s="148"/>
      <c r="FQ108" s="148"/>
      <c r="FR108" s="148"/>
      <c r="FS108" s="148"/>
      <c r="FT108" s="148"/>
      <c r="FU108" s="148"/>
      <c r="FV108" s="148"/>
      <c r="FW108" s="148"/>
      <c r="FX108" s="148"/>
      <c r="FY108" s="148"/>
      <c r="FZ108" s="148"/>
      <c r="GA108" s="148"/>
      <c r="GB108" s="148"/>
      <c r="GC108" s="148"/>
      <c r="GD108" s="148"/>
      <c r="GE108" s="148"/>
      <c r="GF108" s="148"/>
      <c r="GG108" s="149"/>
    </row>
    <row r="109" spans="1:189" ht="41.65" x14ac:dyDescent="0.35">
      <c r="A109" s="267" t="s">
        <v>1123</v>
      </c>
      <c r="B109" s="221" t="s">
        <v>1063</v>
      </c>
      <c r="C109" s="221" t="s">
        <v>1096</v>
      </c>
      <c r="D109" s="222"/>
      <c r="E109" s="221" t="s">
        <v>1125</v>
      </c>
      <c r="F109" s="221" t="s">
        <v>1127</v>
      </c>
      <c r="G109" s="223">
        <v>2</v>
      </c>
      <c r="H109" s="224" t="s">
        <v>1326</v>
      </c>
      <c r="I109" s="225"/>
      <c r="J109" s="225"/>
      <c r="K109" s="225"/>
      <c r="L109" s="226">
        <v>46045</v>
      </c>
      <c r="M109" s="226">
        <v>46106</v>
      </c>
      <c r="N109" s="226">
        <v>46106</v>
      </c>
      <c r="O109" s="226">
        <v>46111</v>
      </c>
      <c r="P109" s="226">
        <v>46234</v>
      </c>
      <c r="Q109" s="227" t="s">
        <v>20</v>
      </c>
      <c r="R109" s="228"/>
      <c r="S109" s="228">
        <v>1750000</v>
      </c>
      <c r="T109" s="228">
        <v>1735392.78</v>
      </c>
      <c r="U109" s="191">
        <f t="shared" si="146"/>
        <v>14607.219999999972</v>
      </c>
      <c r="V109" s="230"/>
      <c r="W109" s="231"/>
      <c r="X109" s="46"/>
      <c r="Y109" s="167">
        <f t="shared" si="147"/>
        <v>1750000</v>
      </c>
      <c r="Z109" s="167">
        <f t="shared" si="148"/>
        <v>1735392.78</v>
      </c>
      <c r="AA109" s="167">
        <f t="shared" si="149"/>
        <v>14607.219999999972</v>
      </c>
      <c r="AB109" s="167">
        <f t="shared" si="150"/>
        <v>0</v>
      </c>
      <c r="AC109" s="167">
        <f t="shared" si="151"/>
        <v>0</v>
      </c>
      <c r="AD109" s="167">
        <f t="shared" si="152"/>
        <v>0</v>
      </c>
      <c r="AF109" s="180">
        <f t="shared" si="153"/>
        <v>1</v>
      </c>
      <c r="AG109" s="202" t="str">
        <f t="shared" si="154"/>
        <v>Agnieszka Zając Concrete slab installation on the ground</v>
      </c>
      <c r="AH109" s="147"/>
      <c r="AI109" s="148"/>
      <c r="AJ109" s="148"/>
      <c r="AK109" s="148"/>
      <c r="AL109" s="148"/>
      <c r="AM109" s="148"/>
      <c r="AN109" s="148"/>
      <c r="AO109" s="148"/>
      <c r="AP109" s="148"/>
      <c r="AQ109" s="148"/>
      <c r="AR109" s="148"/>
      <c r="AS109" s="148"/>
      <c r="AT109" s="148"/>
      <c r="AU109" s="148"/>
      <c r="AV109" s="148"/>
      <c r="AW109" s="148"/>
      <c r="AX109" s="148"/>
      <c r="AY109" s="148"/>
      <c r="AZ109" s="155"/>
      <c r="BA109" s="148"/>
      <c r="BB109" s="148"/>
      <c r="BC109" s="148"/>
      <c r="BD109" s="148"/>
      <c r="BE109" s="148"/>
      <c r="BF109" s="148"/>
      <c r="BG109" s="148"/>
      <c r="BH109" s="148"/>
      <c r="BI109" s="148"/>
      <c r="BJ109" s="148"/>
      <c r="BK109" s="148"/>
      <c r="BL109" s="148"/>
      <c r="BM109" s="148"/>
      <c r="BN109" s="148"/>
      <c r="BO109" s="148"/>
      <c r="BP109" s="148"/>
      <c r="BQ109" s="148"/>
      <c r="BR109" s="148"/>
      <c r="BS109" s="148"/>
      <c r="BT109" s="148"/>
      <c r="BU109" s="148"/>
      <c r="BV109" s="148"/>
      <c r="BW109" s="148"/>
      <c r="BX109" s="148"/>
      <c r="BY109" s="148"/>
      <c r="BZ109" s="148"/>
      <c r="CA109" s="148"/>
      <c r="CB109" s="148"/>
      <c r="CC109" s="148"/>
      <c r="CD109" s="148"/>
      <c r="CE109" s="148"/>
      <c r="CF109" s="148"/>
      <c r="CG109" s="148"/>
      <c r="CH109" s="148"/>
      <c r="CI109" s="148"/>
      <c r="CJ109" s="148"/>
      <c r="CK109" s="148"/>
      <c r="CL109" s="148"/>
      <c r="CM109" s="148"/>
      <c r="CN109" s="148"/>
      <c r="CO109" s="148"/>
      <c r="CP109" s="148"/>
      <c r="CQ109" s="148"/>
      <c r="CR109" s="148"/>
      <c r="CS109" s="148"/>
      <c r="CT109" s="148"/>
      <c r="CU109" s="148"/>
      <c r="CV109" s="148"/>
      <c r="CW109" s="148"/>
      <c r="CX109" s="148"/>
      <c r="CY109" s="148"/>
      <c r="CZ109" s="148"/>
      <c r="DA109" s="148"/>
      <c r="DB109" s="148"/>
      <c r="DC109" s="148"/>
      <c r="DD109" s="148"/>
      <c r="DE109" s="148"/>
      <c r="DF109" s="148"/>
      <c r="DG109" s="148"/>
      <c r="DH109" s="148"/>
      <c r="DI109" s="148"/>
      <c r="DJ109" s="148"/>
      <c r="DK109" s="148"/>
      <c r="DL109" s="148"/>
      <c r="DM109" s="148"/>
      <c r="DN109" s="148"/>
      <c r="DO109" s="148"/>
      <c r="DP109" s="148"/>
      <c r="DQ109" s="148"/>
      <c r="DR109" s="148"/>
      <c r="DS109" s="148"/>
      <c r="DT109" s="148"/>
      <c r="DU109" s="148"/>
      <c r="DV109" s="148"/>
      <c r="DW109" s="148"/>
      <c r="DX109" s="148"/>
      <c r="DY109" s="148"/>
      <c r="DZ109" s="148"/>
      <c r="EA109" s="148"/>
      <c r="EB109" s="148"/>
      <c r="EC109" s="148"/>
      <c r="ED109" s="148"/>
      <c r="EE109" s="148"/>
      <c r="EF109" s="148"/>
      <c r="EG109" s="148"/>
      <c r="EH109" s="148"/>
      <c r="EI109" s="148"/>
      <c r="EJ109" s="148"/>
      <c r="EK109" s="148"/>
      <c r="EL109" s="148"/>
      <c r="EM109" s="148"/>
      <c r="EN109" s="148"/>
      <c r="EO109" s="148"/>
      <c r="EP109" s="148"/>
      <c r="EQ109" s="148"/>
      <c r="ER109" s="148"/>
      <c r="ES109" s="148"/>
      <c r="ET109" s="148"/>
      <c r="EU109" s="148"/>
      <c r="EV109" s="148"/>
      <c r="EW109" s="148"/>
      <c r="EX109" s="148"/>
      <c r="EY109" s="148"/>
      <c r="EZ109" s="148"/>
      <c r="FA109" s="148"/>
      <c r="FB109" s="148"/>
      <c r="FC109" s="148"/>
      <c r="FD109" s="148"/>
      <c r="FE109" s="148"/>
      <c r="FF109" s="148"/>
      <c r="FG109" s="148"/>
      <c r="FH109" s="148"/>
      <c r="FI109" s="148"/>
      <c r="FJ109" s="148"/>
      <c r="FK109" s="148"/>
      <c r="FL109" s="148"/>
      <c r="FM109" s="148"/>
      <c r="FN109" s="148"/>
      <c r="FO109" s="148"/>
      <c r="FP109" s="148"/>
      <c r="FQ109" s="148"/>
      <c r="FR109" s="148"/>
      <c r="FS109" s="148"/>
      <c r="FT109" s="148"/>
      <c r="FU109" s="148"/>
      <c r="FV109" s="148"/>
      <c r="FW109" s="148"/>
      <c r="FX109" s="148"/>
      <c r="FY109" s="148"/>
      <c r="FZ109" s="148"/>
      <c r="GA109" s="148"/>
      <c r="GB109" s="148"/>
      <c r="GC109" s="148"/>
      <c r="GD109" s="148"/>
      <c r="GE109" s="148"/>
      <c r="GF109" s="148"/>
      <c r="GG109" s="149"/>
    </row>
    <row r="110" spans="1:189" ht="27.75" x14ac:dyDescent="0.35">
      <c r="A110" s="267" t="s">
        <v>1124</v>
      </c>
      <c r="B110" s="221"/>
      <c r="C110" s="221"/>
      <c r="D110" s="222"/>
      <c r="E110" s="221" t="s">
        <v>1126</v>
      </c>
      <c r="F110" s="221" t="s">
        <v>1128</v>
      </c>
      <c r="G110" s="223">
        <v>2</v>
      </c>
      <c r="H110" s="224"/>
      <c r="I110" s="225"/>
      <c r="J110" s="225"/>
      <c r="K110" s="225"/>
      <c r="L110" s="226">
        <v>46174</v>
      </c>
      <c r="M110" s="226">
        <v>46234</v>
      </c>
      <c r="N110" s="226"/>
      <c r="O110" s="226">
        <v>46235</v>
      </c>
      <c r="P110" s="226">
        <v>46477</v>
      </c>
      <c r="Q110" s="227" t="s">
        <v>45</v>
      </c>
      <c r="R110" s="228"/>
      <c r="S110" s="228"/>
      <c r="T110" s="228"/>
      <c r="U110" s="191">
        <f t="shared" si="137"/>
        <v>0</v>
      </c>
      <c r="V110" s="230"/>
      <c r="W110" s="231"/>
      <c r="X110" s="46"/>
      <c r="Y110" s="167">
        <f t="shared" si="138"/>
        <v>0</v>
      </c>
      <c r="Z110" s="167">
        <f t="shared" si="139"/>
        <v>0</v>
      </c>
      <c r="AA110" s="167">
        <f t="shared" si="140"/>
        <v>0</v>
      </c>
      <c r="AB110" s="167">
        <f t="shared" si="141"/>
        <v>0</v>
      </c>
      <c r="AC110" s="167">
        <f t="shared" si="142"/>
        <v>0</v>
      </c>
      <c r="AD110" s="167">
        <f t="shared" si="143"/>
        <v>0</v>
      </c>
      <c r="AF110" s="180">
        <f t="shared" si="144"/>
        <v>0</v>
      </c>
      <c r="AG110" s="202" t="str">
        <f t="shared" si="145"/>
        <v xml:space="preserve"> Concrete flooring and screed with insulation</v>
      </c>
      <c r="AH110" s="172"/>
      <c r="AI110" s="173"/>
      <c r="AJ110" s="173"/>
      <c r="AK110" s="173"/>
      <c r="AL110" s="173"/>
      <c r="AM110" s="173"/>
      <c r="AN110" s="173"/>
      <c r="AO110" s="173"/>
      <c r="AP110" s="173"/>
      <c r="AQ110" s="173"/>
      <c r="AR110" s="173"/>
      <c r="AS110" s="173"/>
      <c r="AT110" s="173"/>
      <c r="AU110" s="173"/>
      <c r="AV110" s="173"/>
      <c r="AW110" s="173"/>
      <c r="AX110" s="173"/>
      <c r="AY110" s="173"/>
      <c r="AZ110" s="173"/>
      <c r="BA110" s="173"/>
      <c r="BB110" s="173"/>
      <c r="BC110" s="173"/>
      <c r="BD110" s="173"/>
      <c r="BE110" s="173"/>
      <c r="BF110" s="173"/>
      <c r="BG110" s="173"/>
      <c r="BH110" s="173"/>
      <c r="BI110" s="173"/>
      <c r="BJ110" s="173"/>
      <c r="BK110" s="173"/>
      <c r="BL110" s="173"/>
      <c r="BM110" s="173"/>
      <c r="BN110" s="173"/>
      <c r="BO110" s="173"/>
      <c r="BP110" s="173"/>
      <c r="BQ110" s="173"/>
      <c r="BR110" s="173"/>
      <c r="BS110" s="173"/>
      <c r="BT110" s="173"/>
      <c r="BU110" s="173"/>
      <c r="BV110" s="173"/>
      <c r="BW110" s="173"/>
      <c r="BX110" s="173"/>
      <c r="BY110" s="173"/>
      <c r="BZ110" s="173"/>
      <c r="CA110" s="173"/>
      <c r="CB110" s="173"/>
      <c r="CC110" s="173"/>
      <c r="CD110" s="173"/>
      <c r="CE110" s="173"/>
      <c r="CF110" s="173"/>
      <c r="CG110" s="173"/>
      <c r="CH110" s="173"/>
      <c r="CI110" s="173"/>
      <c r="CJ110" s="173"/>
      <c r="CK110" s="173"/>
      <c r="CL110" s="173"/>
      <c r="CM110" s="173"/>
      <c r="CN110" s="173"/>
      <c r="CO110" s="173"/>
      <c r="CP110" s="173"/>
      <c r="CQ110" s="173"/>
      <c r="CR110" s="173"/>
      <c r="CS110" s="173"/>
      <c r="CT110" s="173"/>
      <c r="CU110" s="173"/>
      <c r="CV110" s="173"/>
      <c r="CW110" s="173"/>
      <c r="CX110" s="173"/>
      <c r="CY110" s="148"/>
      <c r="CZ110" s="148"/>
      <c r="DA110" s="148"/>
      <c r="DB110" s="148"/>
      <c r="DC110" s="148"/>
      <c r="DD110" s="148"/>
      <c r="DE110" s="148"/>
      <c r="DF110" s="148"/>
      <c r="DG110" s="148"/>
      <c r="DH110" s="148"/>
      <c r="DI110" s="148"/>
      <c r="DJ110" s="148"/>
      <c r="DK110" s="148"/>
      <c r="DL110" s="148"/>
      <c r="DM110" s="148"/>
      <c r="DN110" s="148"/>
      <c r="DO110" s="148"/>
      <c r="DP110" s="148"/>
      <c r="DQ110" s="148"/>
      <c r="DR110" s="148"/>
      <c r="DS110" s="148"/>
      <c r="DT110" s="148"/>
      <c r="DU110" s="148"/>
      <c r="DV110" s="148"/>
      <c r="DW110" s="148"/>
      <c r="DX110" s="148"/>
      <c r="DY110" s="148"/>
      <c r="DZ110" s="148"/>
      <c r="EA110" s="148"/>
      <c r="EB110" s="148"/>
      <c r="EC110" s="148"/>
      <c r="ED110" s="148"/>
      <c r="EE110" s="148"/>
      <c r="EF110" s="148"/>
      <c r="EG110" s="148"/>
      <c r="EH110" s="148"/>
      <c r="EI110" s="148"/>
      <c r="EJ110" s="148"/>
      <c r="EK110" s="148"/>
      <c r="EL110" s="148"/>
      <c r="EM110" s="148"/>
      <c r="EN110" s="148"/>
      <c r="EO110" s="148"/>
      <c r="EP110" s="148"/>
      <c r="EQ110" s="148"/>
      <c r="ER110" s="148"/>
      <c r="ES110" s="148"/>
      <c r="ET110" s="148"/>
      <c r="EU110" s="148"/>
      <c r="EV110" s="148"/>
      <c r="EW110" s="148"/>
      <c r="EX110" s="148"/>
      <c r="EY110" s="148"/>
      <c r="EZ110" s="148"/>
      <c r="FA110" s="148"/>
      <c r="FB110" s="148"/>
      <c r="FC110" s="148"/>
      <c r="FD110" s="148"/>
      <c r="FE110" s="148"/>
      <c r="FF110" s="148"/>
      <c r="FG110" s="148"/>
      <c r="FH110" s="148"/>
      <c r="FI110" s="148"/>
      <c r="FJ110" s="148"/>
      <c r="FK110" s="148"/>
      <c r="FL110" s="148"/>
      <c r="FM110" s="148"/>
      <c r="FN110" s="148"/>
      <c r="FO110" s="148"/>
      <c r="FP110" s="148"/>
      <c r="FQ110" s="148"/>
      <c r="FR110" s="148"/>
      <c r="FS110" s="148"/>
      <c r="FT110" s="148"/>
      <c r="FU110" s="148"/>
      <c r="FV110" s="148"/>
      <c r="FW110" s="148"/>
      <c r="FX110" s="148"/>
      <c r="FY110" s="148"/>
      <c r="FZ110" s="148"/>
      <c r="GA110" s="148"/>
      <c r="GB110" s="148"/>
      <c r="GC110" s="148"/>
      <c r="GD110" s="148"/>
      <c r="GE110" s="148"/>
      <c r="GF110" s="148"/>
      <c r="GG110" s="149"/>
    </row>
    <row r="111" spans="1:189" x14ac:dyDescent="0.35">
      <c r="A111" s="281" t="s">
        <v>975</v>
      </c>
      <c r="B111" s="282"/>
      <c r="C111" s="282"/>
      <c r="D111" s="283"/>
      <c r="E111" s="282" t="s">
        <v>989</v>
      </c>
      <c r="F111" s="282" t="s">
        <v>1003</v>
      </c>
      <c r="G111" s="284">
        <v>2</v>
      </c>
      <c r="H111" s="285"/>
      <c r="I111" s="286"/>
      <c r="J111" s="286"/>
      <c r="K111" s="286"/>
      <c r="L111" s="287">
        <v>46174</v>
      </c>
      <c r="M111" s="287">
        <v>46234</v>
      </c>
      <c r="N111" s="287"/>
      <c r="O111" s="287">
        <v>46235</v>
      </c>
      <c r="P111" s="287">
        <v>46477</v>
      </c>
      <c r="Q111" s="288" t="s">
        <v>45</v>
      </c>
      <c r="R111" s="289">
        <v>133705.44</v>
      </c>
      <c r="S111" s="289">
        <v>133705.44</v>
      </c>
      <c r="T111" s="289"/>
      <c r="U111" s="191">
        <f t="shared" si="128"/>
        <v>0</v>
      </c>
      <c r="V111" s="291"/>
      <c r="W111" s="292"/>
      <c r="X111" s="46"/>
      <c r="Y111" s="167">
        <f t="shared" si="129"/>
        <v>133705.44</v>
      </c>
      <c r="Z111" s="167">
        <f t="shared" si="130"/>
        <v>0</v>
      </c>
      <c r="AA111" s="167">
        <f t="shared" si="131"/>
        <v>133705.44</v>
      </c>
      <c r="AB111" s="167">
        <f t="shared" si="132"/>
        <v>0</v>
      </c>
      <c r="AC111" s="167">
        <f t="shared" si="133"/>
        <v>0</v>
      </c>
      <c r="AD111" s="167">
        <f t="shared" si="134"/>
        <v>0</v>
      </c>
      <c r="AF111" s="180">
        <f t="shared" si="135"/>
        <v>1</v>
      </c>
      <c r="AG111" s="202" t="str">
        <f t="shared" si="136"/>
        <v xml:space="preserve"> Microcement floor</v>
      </c>
      <c r="AH111" s="172"/>
      <c r="AI111" s="173"/>
      <c r="AJ111" s="173"/>
      <c r="AK111" s="173"/>
      <c r="AL111" s="173"/>
      <c r="AM111" s="173"/>
      <c r="AN111" s="173"/>
      <c r="AO111" s="173"/>
      <c r="AP111" s="173"/>
      <c r="AQ111" s="173"/>
      <c r="AR111" s="173"/>
      <c r="AS111" s="173"/>
      <c r="AT111" s="173"/>
      <c r="AU111" s="173"/>
      <c r="AV111" s="173"/>
      <c r="AW111" s="173"/>
      <c r="AX111" s="173"/>
      <c r="AY111" s="173"/>
      <c r="AZ111" s="173"/>
      <c r="BA111" s="173"/>
      <c r="BB111" s="173"/>
      <c r="BC111" s="173"/>
      <c r="BD111" s="173"/>
      <c r="BE111" s="173"/>
      <c r="BF111" s="173"/>
      <c r="BG111" s="173"/>
      <c r="BH111" s="173"/>
      <c r="BI111" s="173"/>
      <c r="BJ111" s="173"/>
      <c r="BK111" s="173"/>
      <c r="BL111" s="173"/>
      <c r="BM111" s="173"/>
      <c r="BN111" s="173"/>
      <c r="BO111" s="173"/>
      <c r="BP111" s="173"/>
      <c r="BQ111" s="173"/>
      <c r="BR111" s="173"/>
      <c r="BS111" s="173"/>
      <c r="BT111" s="173"/>
      <c r="BU111" s="173"/>
      <c r="BV111" s="173"/>
      <c r="BW111" s="173"/>
      <c r="BX111" s="173"/>
      <c r="BY111" s="173"/>
      <c r="BZ111" s="173"/>
      <c r="CA111" s="173"/>
      <c r="CB111" s="173"/>
      <c r="CC111" s="173"/>
      <c r="CD111" s="173"/>
      <c r="CE111" s="173"/>
      <c r="CF111" s="173"/>
      <c r="CG111" s="173"/>
      <c r="CH111" s="173"/>
      <c r="CI111" s="173"/>
      <c r="CJ111" s="173"/>
      <c r="CK111" s="173"/>
      <c r="CL111" s="173"/>
      <c r="CM111" s="173"/>
      <c r="CN111" s="173"/>
      <c r="CO111" s="173"/>
      <c r="CP111" s="173"/>
      <c r="CQ111" s="173"/>
      <c r="CR111" s="173"/>
      <c r="CS111" s="173"/>
      <c r="CT111" s="173"/>
      <c r="CU111" s="173"/>
      <c r="CV111" s="173"/>
      <c r="CW111" s="173"/>
      <c r="CX111" s="173"/>
      <c r="CY111" s="148"/>
      <c r="CZ111" s="148"/>
      <c r="DA111" s="148"/>
      <c r="DB111" s="148"/>
      <c r="DC111" s="148"/>
      <c r="DD111" s="148"/>
      <c r="DE111" s="148"/>
      <c r="DF111" s="148"/>
      <c r="DG111" s="148"/>
      <c r="DH111" s="148"/>
      <c r="DI111" s="148"/>
      <c r="DJ111" s="148"/>
      <c r="DK111" s="148"/>
      <c r="DL111" s="148"/>
      <c r="DM111" s="148"/>
      <c r="DN111" s="148"/>
      <c r="DO111" s="148"/>
      <c r="DP111" s="148"/>
      <c r="DQ111" s="148"/>
      <c r="DR111" s="148"/>
      <c r="DS111" s="148"/>
      <c r="DT111" s="148"/>
      <c r="DU111" s="148"/>
      <c r="DV111" s="148"/>
      <c r="DW111" s="148"/>
      <c r="DX111" s="148"/>
      <c r="DY111" s="148"/>
      <c r="DZ111" s="148"/>
      <c r="EA111" s="148"/>
      <c r="EB111" s="148"/>
      <c r="EC111" s="148"/>
      <c r="ED111" s="148"/>
      <c r="EE111" s="148"/>
      <c r="EF111" s="148"/>
      <c r="EG111" s="148"/>
      <c r="EH111" s="148"/>
      <c r="EI111" s="148"/>
      <c r="EJ111" s="148"/>
      <c r="EK111" s="148"/>
      <c r="EL111" s="148"/>
      <c r="EM111" s="148"/>
      <c r="EN111" s="148"/>
      <c r="EO111" s="148"/>
      <c r="EP111" s="148"/>
      <c r="EQ111" s="148"/>
      <c r="ER111" s="148"/>
      <c r="ES111" s="148"/>
      <c r="ET111" s="148"/>
      <c r="EU111" s="148"/>
      <c r="EV111" s="148"/>
      <c r="EW111" s="148"/>
      <c r="EX111" s="148"/>
      <c r="EY111" s="148"/>
      <c r="EZ111" s="148"/>
      <c r="FA111" s="148"/>
      <c r="FB111" s="148"/>
      <c r="FC111" s="148"/>
      <c r="FD111" s="148"/>
      <c r="FE111" s="148"/>
      <c r="FF111" s="148"/>
      <c r="FG111" s="148"/>
      <c r="FH111" s="148"/>
      <c r="FI111" s="148"/>
      <c r="FJ111" s="148"/>
      <c r="FK111" s="148"/>
      <c r="FL111" s="148"/>
      <c r="FM111" s="148"/>
      <c r="FN111" s="148"/>
      <c r="FO111" s="148"/>
      <c r="FP111" s="148"/>
      <c r="FQ111" s="148"/>
      <c r="FR111" s="148"/>
      <c r="FS111" s="148"/>
      <c r="FT111" s="148"/>
      <c r="FU111" s="148"/>
      <c r="FV111" s="148"/>
      <c r="FW111" s="148"/>
      <c r="FX111" s="148"/>
      <c r="FY111" s="148"/>
      <c r="FZ111" s="148"/>
      <c r="GA111" s="148"/>
      <c r="GB111" s="148"/>
      <c r="GC111" s="148"/>
      <c r="GD111" s="148"/>
      <c r="GE111" s="148"/>
      <c r="GF111" s="148"/>
      <c r="GG111" s="149"/>
    </row>
    <row r="112" spans="1:189" x14ac:dyDescent="0.35">
      <c r="A112" s="281" t="s">
        <v>976</v>
      </c>
      <c r="B112" s="282" t="s">
        <v>1071</v>
      </c>
      <c r="C112" s="282"/>
      <c r="D112" s="283"/>
      <c r="E112" s="282" t="s">
        <v>990</v>
      </c>
      <c r="F112" s="282" t="s">
        <v>1004</v>
      </c>
      <c r="G112" s="284">
        <v>2</v>
      </c>
      <c r="H112" s="285"/>
      <c r="I112" s="286"/>
      <c r="J112" s="286"/>
      <c r="K112" s="286"/>
      <c r="L112" s="287">
        <v>46174</v>
      </c>
      <c r="M112" s="287">
        <v>46234</v>
      </c>
      <c r="N112" s="287"/>
      <c r="O112" s="287">
        <v>46235</v>
      </c>
      <c r="P112" s="287">
        <v>46477</v>
      </c>
      <c r="Q112" s="288" t="s">
        <v>45</v>
      </c>
      <c r="R112" s="289">
        <v>655174.75137667742</v>
      </c>
      <c r="S112" s="289">
        <v>655174.75137667742</v>
      </c>
      <c r="T112" s="289"/>
      <c r="U112" s="191">
        <f t="shared" si="128"/>
        <v>0</v>
      </c>
      <c r="V112" s="291"/>
      <c r="W112" s="292"/>
      <c r="X112" s="46"/>
      <c r="Y112" s="167">
        <f t="shared" si="129"/>
        <v>655174.75137667742</v>
      </c>
      <c r="Z112" s="167">
        <f t="shared" si="130"/>
        <v>0</v>
      </c>
      <c r="AA112" s="167">
        <f t="shared" si="131"/>
        <v>655174.75137667742</v>
      </c>
      <c r="AB112" s="167">
        <f t="shared" si="132"/>
        <v>0</v>
      </c>
      <c r="AC112" s="167">
        <f t="shared" si="133"/>
        <v>0</v>
      </c>
      <c r="AD112" s="167">
        <f t="shared" si="134"/>
        <v>0</v>
      </c>
      <c r="AF112" s="180">
        <f t="shared" si="135"/>
        <v>1</v>
      </c>
      <c r="AG112" s="202" t="str">
        <f t="shared" si="136"/>
        <v>Magdalena Białorucka Resin floor</v>
      </c>
      <c r="AH112" s="172"/>
      <c r="AI112" s="173"/>
      <c r="AJ112" s="173"/>
      <c r="AK112" s="173"/>
      <c r="AL112" s="173"/>
      <c r="AM112" s="173"/>
      <c r="AN112" s="173"/>
      <c r="AO112" s="173"/>
      <c r="AP112" s="173"/>
      <c r="AQ112" s="173"/>
      <c r="AR112" s="173"/>
      <c r="AS112" s="173"/>
      <c r="AT112" s="173"/>
      <c r="AU112" s="173"/>
      <c r="AV112" s="173"/>
      <c r="AW112" s="173"/>
      <c r="AX112" s="173"/>
      <c r="AY112" s="173"/>
      <c r="AZ112" s="173"/>
      <c r="BA112" s="173"/>
      <c r="BB112" s="173"/>
      <c r="BC112" s="173"/>
      <c r="BD112" s="173"/>
      <c r="BE112" s="173"/>
      <c r="BF112" s="173"/>
      <c r="BG112" s="173"/>
      <c r="BH112" s="173"/>
      <c r="BI112" s="173"/>
      <c r="BJ112" s="173"/>
      <c r="BK112" s="173"/>
      <c r="BL112" s="173"/>
      <c r="BM112" s="173"/>
      <c r="BN112" s="173"/>
      <c r="BO112" s="173"/>
      <c r="BP112" s="173"/>
      <c r="BQ112" s="173"/>
      <c r="BR112" s="173"/>
      <c r="BS112" s="173"/>
      <c r="BT112" s="173"/>
      <c r="BU112" s="173"/>
      <c r="BV112" s="173"/>
      <c r="BW112" s="173"/>
      <c r="BX112" s="173"/>
      <c r="BY112" s="173"/>
      <c r="BZ112" s="173"/>
      <c r="CA112" s="173"/>
      <c r="CB112" s="173"/>
      <c r="CC112" s="173"/>
      <c r="CD112" s="173"/>
      <c r="CE112" s="173"/>
      <c r="CF112" s="173"/>
      <c r="CG112" s="173"/>
      <c r="CH112" s="173"/>
      <c r="CI112" s="173"/>
      <c r="CJ112" s="173"/>
      <c r="CK112" s="173"/>
      <c r="CL112" s="173"/>
      <c r="CM112" s="173"/>
      <c r="CN112" s="173"/>
      <c r="CO112" s="173"/>
      <c r="CP112" s="173"/>
      <c r="CQ112" s="173"/>
      <c r="CR112" s="173"/>
      <c r="CS112" s="173"/>
      <c r="CT112" s="173"/>
      <c r="CU112" s="173"/>
      <c r="CV112" s="173"/>
      <c r="CW112" s="173"/>
      <c r="CX112" s="173"/>
      <c r="CY112" s="148"/>
      <c r="CZ112" s="148"/>
      <c r="DA112" s="148"/>
      <c r="DB112" s="148"/>
      <c r="DC112" s="148"/>
      <c r="DD112" s="148"/>
      <c r="DE112" s="148"/>
      <c r="DF112" s="148"/>
      <c r="DG112" s="148"/>
      <c r="DH112" s="148"/>
      <c r="DI112" s="148"/>
      <c r="DJ112" s="148"/>
      <c r="DK112" s="148"/>
      <c r="DL112" s="148"/>
      <c r="DM112" s="148"/>
      <c r="DN112" s="148"/>
      <c r="DO112" s="148"/>
      <c r="DP112" s="148"/>
      <c r="DQ112" s="148"/>
      <c r="DR112" s="148"/>
      <c r="DS112" s="148"/>
      <c r="DT112" s="148"/>
      <c r="DU112" s="148"/>
      <c r="DV112" s="148"/>
      <c r="DW112" s="148"/>
      <c r="DX112" s="148"/>
      <c r="DY112" s="148"/>
      <c r="DZ112" s="148"/>
      <c r="EA112" s="148"/>
      <c r="EB112" s="148"/>
      <c r="EC112" s="148"/>
      <c r="ED112" s="148"/>
      <c r="EE112" s="148"/>
      <c r="EF112" s="148"/>
      <c r="EG112" s="148"/>
      <c r="EH112" s="148"/>
      <c r="EI112" s="148"/>
      <c r="EJ112" s="148"/>
      <c r="EK112" s="148"/>
      <c r="EL112" s="148"/>
      <c r="EM112" s="148"/>
      <c r="EN112" s="148"/>
      <c r="EO112" s="148"/>
      <c r="EP112" s="148"/>
      <c r="EQ112" s="148"/>
      <c r="ER112" s="148"/>
      <c r="ES112" s="148"/>
      <c r="ET112" s="148"/>
      <c r="EU112" s="148"/>
      <c r="EV112" s="148"/>
      <c r="EW112" s="148"/>
      <c r="EX112" s="148"/>
      <c r="EY112" s="148"/>
      <c r="EZ112" s="148"/>
      <c r="FA112" s="148"/>
      <c r="FB112" s="148"/>
      <c r="FC112" s="148"/>
      <c r="FD112" s="148"/>
      <c r="FE112" s="148"/>
      <c r="FF112" s="148"/>
      <c r="FG112" s="148"/>
      <c r="FH112" s="148"/>
      <c r="FI112" s="148"/>
      <c r="FJ112" s="148"/>
      <c r="FK112" s="148"/>
      <c r="FL112" s="148"/>
      <c r="FM112" s="148"/>
      <c r="FN112" s="148"/>
      <c r="FO112" s="148"/>
      <c r="FP112" s="148"/>
      <c r="FQ112" s="148"/>
      <c r="FR112" s="148"/>
      <c r="FS112" s="148"/>
      <c r="FT112" s="148"/>
      <c r="FU112" s="148"/>
      <c r="FV112" s="148"/>
      <c r="FW112" s="148"/>
      <c r="FX112" s="148"/>
      <c r="FY112" s="148"/>
      <c r="FZ112" s="148"/>
      <c r="GA112" s="148"/>
      <c r="GB112" s="148"/>
      <c r="GC112" s="148"/>
      <c r="GD112" s="148"/>
      <c r="GE112" s="148"/>
      <c r="GF112" s="148"/>
      <c r="GG112" s="149"/>
    </row>
    <row r="113" spans="1:189" x14ac:dyDescent="0.35">
      <c r="A113" s="281" t="s">
        <v>977</v>
      </c>
      <c r="B113" s="282"/>
      <c r="C113" s="282"/>
      <c r="D113" s="283"/>
      <c r="E113" s="282" t="s">
        <v>991</v>
      </c>
      <c r="F113" s="282" t="s">
        <v>1005</v>
      </c>
      <c r="G113" s="284">
        <v>2</v>
      </c>
      <c r="H113" s="285"/>
      <c r="I113" s="286"/>
      <c r="J113" s="286"/>
      <c r="K113" s="286"/>
      <c r="L113" s="287">
        <v>46174</v>
      </c>
      <c r="M113" s="287">
        <v>46234</v>
      </c>
      <c r="N113" s="287"/>
      <c r="O113" s="287">
        <v>46235</v>
      </c>
      <c r="P113" s="287">
        <v>46477</v>
      </c>
      <c r="Q113" s="288" t="s">
        <v>45</v>
      </c>
      <c r="R113" s="289">
        <v>220670.04816180529</v>
      </c>
      <c r="S113" s="289">
        <v>220670.04816180529</v>
      </c>
      <c r="T113" s="289"/>
      <c r="U113" s="191">
        <f t="shared" si="128"/>
        <v>0</v>
      </c>
      <c r="V113" s="291"/>
      <c r="W113" s="292"/>
      <c r="X113" s="46"/>
      <c r="Y113" s="167">
        <f t="shared" si="129"/>
        <v>220670.04816180529</v>
      </c>
      <c r="Z113" s="167">
        <f t="shared" si="130"/>
        <v>0</v>
      </c>
      <c r="AA113" s="167">
        <f t="shared" si="131"/>
        <v>220670.04816180529</v>
      </c>
      <c r="AB113" s="167">
        <f t="shared" si="132"/>
        <v>0</v>
      </c>
      <c r="AC113" s="167">
        <f t="shared" si="133"/>
        <v>0</v>
      </c>
      <c r="AD113" s="167">
        <f t="shared" si="134"/>
        <v>0</v>
      </c>
      <c r="AF113" s="180">
        <f t="shared" si="135"/>
        <v>1</v>
      </c>
      <c r="AG113" s="202" t="str">
        <f t="shared" si="136"/>
        <v xml:space="preserve"> Suspended ceilings</v>
      </c>
      <c r="AH113" s="172"/>
      <c r="AI113" s="173"/>
      <c r="AJ113" s="173"/>
      <c r="AK113" s="173"/>
      <c r="AL113" s="173"/>
      <c r="AM113" s="173"/>
      <c r="AN113" s="173"/>
      <c r="AO113" s="173"/>
      <c r="AP113" s="173"/>
      <c r="AQ113" s="173"/>
      <c r="AR113" s="173"/>
      <c r="AS113" s="173"/>
      <c r="AT113" s="173"/>
      <c r="AU113" s="173"/>
      <c r="AV113" s="173"/>
      <c r="AW113" s="173"/>
      <c r="AX113" s="173"/>
      <c r="AY113" s="173"/>
      <c r="AZ113" s="173"/>
      <c r="BA113" s="173"/>
      <c r="BB113" s="173"/>
      <c r="BC113" s="173"/>
      <c r="BD113" s="173"/>
      <c r="BE113" s="173"/>
      <c r="BF113" s="173"/>
      <c r="BG113" s="173"/>
      <c r="BH113" s="173"/>
      <c r="BI113" s="173"/>
      <c r="BJ113" s="173"/>
      <c r="BK113" s="173"/>
      <c r="BL113" s="173"/>
      <c r="BM113" s="173"/>
      <c r="BN113" s="173"/>
      <c r="BO113" s="173"/>
      <c r="BP113" s="173"/>
      <c r="BQ113" s="173"/>
      <c r="BR113" s="173"/>
      <c r="BS113" s="173"/>
      <c r="BT113" s="173"/>
      <c r="BU113" s="173"/>
      <c r="BV113" s="173"/>
      <c r="BW113" s="173"/>
      <c r="BX113" s="173"/>
      <c r="BY113" s="173"/>
      <c r="BZ113" s="173"/>
      <c r="CA113" s="173"/>
      <c r="CB113" s="173"/>
      <c r="CC113" s="173"/>
      <c r="CD113" s="173"/>
      <c r="CE113" s="173"/>
      <c r="CF113" s="173"/>
      <c r="CG113" s="173"/>
      <c r="CH113" s="173"/>
      <c r="CI113" s="173"/>
      <c r="CJ113" s="173"/>
      <c r="CK113" s="173"/>
      <c r="CL113" s="173"/>
      <c r="CM113" s="173"/>
      <c r="CN113" s="173"/>
      <c r="CO113" s="173"/>
      <c r="CP113" s="173"/>
      <c r="CQ113" s="173"/>
      <c r="CR113" s="173"/>
      <c r="CS113" s="173"/>
      <c r="CT113" s="173"/>
      <c r="CU113" s="173"/>
      <c r="CV113" s="173"/>
      <c r="CW113" s="173"/>
      <c r="CX113" s="173"/>
      <c r="CY113" s="148"/>
      <c r="CZ113" s="148"/>
      <c r="DA113" s="148"/>
      <c r="DB113" s="148"/>
      <c r="DC113" s="148"/>
      <c r="DD113" s="148"/>
      <c r="DE113" s="148"/>
      <c r="DF113" s="148"/>
      <c r="DG113" s="148"/>
      <c r="DH113" s="148"/>
      <c r="DI113" s="148"/>
      <c r="DJ113" s="148"/>
      <c r="DK113" s="148"/>
      <c r="DL113" s="148"/>
      <c r="DM113" s="148"/>
      <c r="DN113" s="148"/>
      <c r="DO113" s="148"/>
      <c r="DP113" s="148"/>
      <c r="DQ113" s="148"/>
      <c r="DR113" s="148"/>
      <c r="DS113" s="148"/>
      <c r="DT113" s="148"/>
      <c r="DU113" s="148"/>
      <c r="DV113" s="148"/>
      <c r="DW113" s="148"/>
      <c r="DX113" s="148"/>
      <c r="DY113" s="148"/>
      <c r="DZ113" s="148"/>
      <c r="EA113" s="148"/>
      <c r="EB113" s="148"/>
      <c r="EC113" s="148"/>
      <c r="ED113" s="148"/>
      <c r="EE113" s="148"/>
      <c r="EF113" s="148"/>
      <c r="EG113" s="148"/>
      <c r="EH113" s="148"/>
      <c r="EI113" s="148"/>
      <c r="EJ113" s="148"/>
      <c r="EK113" s="148"/>
      <c r="EL113" s="148"/>
      <c r="EM113" s="148"/>
      <c r="EN113" s="148"/>
      <c r="EO113" s="148"/>
      <c r="EP113" s="148"/>
      <c r="EQ113" s="148"/>
      <c r="ER113" s="148"/>
      <c r="ES113" s="148"/>
      <c r="ET113" s="148"/>
      <c r="EU113" s="148"/>
      <c r="EV113" s="148"/>
      <c r="EW113" s="148"/>
      <c r="EX113" s="148"/>
      <c r="EY113" s="148"/>
      <c r="EZ113" s="148"/>
      <c r="FA113" s="148"/>
      <c r="FB113" s="148"/>
      <c r="FC113" s="148"/>
      <c r="FD113" s="148"/>
      <c r="FE113" s="148"/>
      <c r="FF113" s="148"/>
      <c r="FG113" s="148"/>
      <c r="FH113" s="148"/>
      <c r="FI113" s="148"/>
      <c r="FJ113" s="148"/>
      <c r="FK113" s="148"/>
      <c r="FL113" s="148"/>
      <c r="FM113" s="148"/>
      <c r="FN113" s="148"/>
      <c r="FO113" s="148"/>
      <c r="FP113" s="148"/>
      <c r="FQ113" s="148"/>
      <c r="FR113" s="148"/>
      <c r="FS113" s="148"/>
      <c r="FT113" s="148"/>
      <c r="FU113" s="148"/>
      <c r="FV113" s="148"/>
      <c r="FW113" s="148"/>
      <c r="FX113" s="148"/>
      <c r="FY113" s="148"/>
      <c r="FZ113" s="148"/>
      <c r="GA113" s="148"/>
      <c r="GB113" s="148"/>
      <c r="GC113" s="148"/>
      <c r="GD113" s="148"/>
      <c r="GE113" s="148"/>
      <c r="GF113" s="148"/>
      <c r="GG113" s="149"/>
    </row>
    <row r="114" spans="1:189" x14ac:dyDescent="0.35">
      <c r="A114" s="281" t="s">
        <v>978</v>
      </c>
      <c r="B114" s="282"/>
      <c r="C114" s="282"/>
      <c r="D114" s="283"/>
      <c r="E114" s="282" t="s">
        <v>992</v>
      </c>
      <c r="F114" s="282" t="s">
        <v>1006</v>
      </c>
      <c r="G114" s="284">
        <v>2</v>
      </c>
      <c r="H114" s="285"/>
      <c r="I114" s="286"/>
      <c r="J114" s="286"/>
      <c r="K114" s="286"/>
      <c r="L114" s="287">
        <v>46174</v>
      </c>
      <c r="M114" s="287">
        <v>46234</v>
      </c>
      <c r="N114" s="287"/>
      <c r="O114" s="287">
        <v>46235</v>
      </c>
      <c r="P114" s="287">
        <v>46477</v>
      </c>
      <c r="Q114" s="288" t="s">
        <v>45</v>
      </c>
      <c r="R114" s="289">
        <v>65014.1</v>
      </c>
      <c r="S114" s="289">
        <v>65014.1</v>
      </c>
      <c r="T114" s="289"/>
      <c r="U114" s="191">
        <f t="shared" si="128"/>
        <v>0</v>
      </c>
      <c r="V114" s="291"/>
      <c r="W114" s="292"/>
      <c r="X114" s="46"/>
      <c r="Y114" s="167">
        <f t="shared" si="129"/>
        <v>65014.1</v>
      </c>
      <c r="Z114" s="167">
        <f t="shared" si="130"/>
        <v>0</v>
      </c>
      <c r="AA114" s="167">
        <f t="shared" si="131"/>
        <v>65014.1</v>
      </c>
      <c r="AB114" s="167">
        <f t="shared" si="132"/>
        <v>0</v>
      </c>
      <c r="AC114" s="167">
        <f t="shared" si="133"/>
        <v>0</v>
      </c>
      <c r="AD114" s="167">
        <f t="shared" si="134"/>
        <v>0</v>
      </c>
      <c r="AF114" s="180">
        <f t="shared" si="135"/>
        <v>1</v>
      </c>
      <c r="AG114" s="202" t="str">
        <f t="shared" si="136"/>
        <v xml:space="preserve"> Segmented sliding wall</v>
      </c>
      <c r="AH114" s="172"/>
      <c r="AI114" s="173"/>
      <c r="AJ114" s="173"/>
      <c r="AK114" s="173"/>
      <c r="AL114" s="173"/>
      <c r="AM114" s="173"/>
      <c r="AN114" s="173"/>
      <c r="AO114" s="173"/>
      <c r="AP114" s="173"/>
      <c r="AQ114" s="173"/>
      <c r="AR114" s="173"/>
      <c r="AS114" s="173"/>
      <c r="AT114" s="173"/>
      <c r="AU114" s="173"/>
      <c r="AV114" s="173"/>
      <c r="AW114" s="173"/>
      <c r="AX114" s="173"/>
      <c r="AY114" s="173"/>
      <c r="AZ114" s="173"/>
      <c r="BA114" s="173"/>
      <c r="BB114" s="173"/>
      <c r="BC114" s="173"/>
      <c r="BD114" s="173"/>
      <c r="BE114" s="173"/>
      <c r="BF114" s="173"/>
      <c r="BG114" s="173"/>
      <c r="BH114" s="173"/>
      <c r="BI114" s="173"/>
      <c r="BJ114" s="173"/>
      <c r="BK114" s="173"/>
      <c r="BL114" s="173"/>
      <c r="BM114" s="173"/>
      <c r="BN114" s="173"/>
      <c r="BO114" s="173"/>
      <c r="BP114" s="173"/>
      <c r="BQ114" s="173"/>
      <c r="BR114" s="173"/>
      <c r="BS114" s="173"/>
      <c r="BT114" s="173"/>
      <c r="BU114" s="173"/>
      <c r="BV114" s="173"/>
      <c r="BW114" s="173"/>
      <c r="BX114" s="173"/>
      <c r="BY114" s="173"/>
      <c r="BZ114" s="173"/>
      <c r="CA114" s="173"/>
      <c r="CB114" s="173"/>
      <c r="CC114" s="173"/>
      <c r="CD114" s="173"/>
      <c r="CE114" s="173"/>
      <c r="CF114" s="173"/>
      <c r="CG114" s="173"/>
      <c r="CH114" s="173"/>
      <c r="CI114" s="173"/>
      <c r="CJ114" s="173"/>
      <c r="CK114" s="173"/>
      <c r="CL114" s="173"/>
      <c r="CM114" s="173"/>
      <c r="CN114" s="173"/>
      <c r="CO114" s="173"/>
      <c r="CP114" s="173"/>
      <c r="CQ114" s="173"/>
      <c r="CR114" s="173"/>
      <c r="CS114" s="173"/>
      <c r="CT114" s="173"/>
      <c r="CU114" s="173"/>
      <c r="CV114" s="173"/>
      <c r="CW114" s="173"/>
      <c r="CX114" s="173"/>
      <c r="CY114" s="148"/>
      <c r="CZ114" s="148"/>
      <c r="DA114" s="148"/>
      <c r="DB114" s="148"/>
      <c r="DC114" s="148"/>
      <c r="DD114" s="148"/>
      <c r="DE114" s="148"/>
      <c r="DF114" s="148"/>
      <c r="DG114" s="148"/>
      <c r="DH114" s="148"/>
      <c r="DI114" s="148"/>
      <c r="DJ114" s="148"/>
      <c r="DK114" s="148"/>
      <c r="DL114" s="148"/>
      <c r="DM114" s="148"/>
      <c r="DN114" s="148"/>
      <c r="DO114" s="148"/>
      <c r="DP114" s="148"/>
      <c r="DQ114" s="148"/>
      <c r="DR114" s="148"/>
      <c r="DS114" s="148"/>
      <c r="DT114" s="148"/>
      <c r="DU114" s="148"/>
      <c r="DV114" s="148"/>
      <c r="DW114" s="148"/>
      <c r="DX114" s="148"/>
      <c r="DY114" s="148"/>
      <c r="DZ114" s="148"/>
      <c r="EA114" s="148"/>
      <c r="EB114" s="148"/>
      <c r="EC114" s="148"/>
      <c r="ED114" s="148"/>
      <c r="EE114" s="148"/>
      <c r="EF114" s="148"/>
      <c r="EG114" s="148"/>
      <c r="EH114" s="148"/>
      <c r="EI114" s="148"/>
      <c r="EJ114" s="148"/>
      <c r="EK114" s="148"/>
      <c r="EL114" s="148"/>
      <c r="EM114" s="148"/>
      <c r="EN114" s="148"/>
      <c r="EO114" s="148"/>
      <c r="EP114" s="148"/>
      <c r="EQ114" s="148"/>
      <c r="ER114" s="148"/>
      <c r="ES114" s="148"/>
      <c r="ET114" s="148"/>
      <c r="EU114" s="148"/>
      <c r="EV114" s="148"/>
      <c r="EW114" s="148"/>
      <c r="EX114" s="148"/>
      <c r="EY114" s="148"/>
      <c r="EZ114" s="148"/>
      <c r="FA114" s="148"/>
      <c r="FB114" s="148"/>
      <c r="FC114" s="148"/>
      <c r="FD114" s="148"/>
      <c r="FE114" s="148"/>
      <c r="FF114" s="148"/>
      <c r="FG114" s="148"/>
      <c r="FH114" s="148"/>
      <c r="FI114" s="148"/>
      <c r="FJ114" s="148"/>
      <c r="FK114" s="148"/>
      <c r="FL114" s="148"/>
      <c r="FM114" s="148"/>
      <c r="FN114" s="148"/>
      <c r="FO114" s="148"/>
      <c r="FP114" s="148"/>
      <c r="FQ114" s="148"/>
      <c r="FR114" s="148"/>
      <c r="FS114" s="148"/>
      <c r="FT114" s="148"/>
      <c r="FU114" s="148"/>
      <c r="FV114" s="148"/>
      <c r="FW114" s="148"/>
      <c r="FX114" s="148"/>
      <c r="FY114" s="148"/>
      <c r="FZ114" s="148"/>
      <c r="GA114" s="148"/>
      <c r="GB114" s="148"/>
      <c r="GC114" s="148"/>
      <c r="GD114" s="148"/>
      <c r="GE114" s="148"/>
      <c r="GF114" s="148"/>
      <c r="GG114" s="149"/>
    </row>
    <row r="115" spans="1:189" x14ac:dyDescent="0.35">
      <c r="A115" s="281" t="s">
        <v>979</v>
      </c>
      <c r="B115" s="282"/>
      <c r="C115" s="282"/>
      <c r="D115" s="283"/>
      <c r="E115" s="282" t="s">
        <v>993</v>
      </c>
      <c r="F115" s="282" t="s">
        <v>1007</v>
      </c>
      <c r="G115" s="284">
        <v>2</v>
      </c>
      <c r="H115" s="285"/>
      <c r="I115" s="286"/>
      <c r="J115" s="286"/>
      <c r="K115" s="286"/>
      <c r="L115" s="287">
        <v>46174</v>
      </c>
      <c r="M115" s="287">
        <v>46234</v>
      </c>
      <c r="N115" s="287"/>
      <c r="O115" s="287">
        <v>46235</v>
      </c>
      <c r="P115" s="287">
        <v>46477</v>
      </c>
      <c r="Q115" s="288" t="s">
        <v>45</v>
      </c>
      <c r="R115" s="289">
        <v>39026.752727999999</v>
      </c>
      <c r="S115" s="289">
        <v>39026.752727999999</v>
      </c>
      <c r="T115" s="289"/>
      <c r="U115" s="191">
        <f t="shared" si="128"/>
        <v>0</v>
      </c>
      <c r="V115" s="291"/>
      <c r="W115" s="292"/>
      <c r="X115" s="46"/>
      <c r="Y115" s="167">
        <f t="shared" si="129"/>
        <v>39026.752727999999</v>
      </c>
      <c r="Z115" s="167">
        <f t="shared" si="130"/>
        <v>0</v>
      </c>
      <c r="AA115" s="167">
        <f t="shared" si="131"/>
        <v>39026.752727999999</v>
      </c>
      <c r="AB115" s="167">
        <f t="shared" si="132"/>
        <v>0</v>
      </c>
      <c r="AC115" s="167">
        <f t="shared" si="133"/>
        <v>0</v>
      </c>
      <c r="AD115" s="167">
        <f t="shared" si="134"/>
        <v>0</v>
      </c>
      <c r="AF115" s="180">
        <f t="shared" si="135"/>
        <v>1</v>
      </c>
      <c r="AG115" s="202" t="str">
        <f t="shared" si="136"/>
        <v xml:space="preserve"> Plasterboard wall, sandwich panel wall</v>
      </c>
      <c r="AH115" s="172"/>
      <c r="AI115" s="173"/>
      <c r="AJ115" s="173"/>
      <c r="AK115" s="173"/>
      <c r="AL115" s="173"/>
      <c r="AM115" s="173"/>
      <c r="AN115" s="173"/>
      <c r="AO115" s="173"/>
      <c r="AP115" s="173"/>
      <c r="AQ115" s="173"/>
      <c r="AR115" s="173"/>
      <c r="AS115" s="173"/>
      <c r="AT115" s="173"/>
      <c r="AU115" s="173"/>
      <c r="AV115" s="173"/>
      <c r="AW115" s="173"/>
      <c r="AX115" s="173"/>
      <c r="AY115" s="173"/>
      <c r="AZ115" s="173"/>
      <c r="BA115" s="173"/>
      <c r="BB115" s="173"/>
      <c r="BC115" s="173"/>
      <c r="BD115" s="173"/>
      <c r="BE115" s="173"/>
      <c r="BF115" s="173"/>
      <c r="BG115" s="173"/>
      <c r="BH115" s="173"/>
      <c r="BI115" s="173"/>
      <c r="BJ115" s="173"/>
      <c r="BK115" s="173"/>
      <c r="BL115" s="173"/>
      <c r="BM115" s="173"/>
      <c r="BN115" s="173"/>
      <c r="BO115" s="173"/>
      <c r="BP115" s="173"/>
      <c r="BQ115" s="173"/>
      <c r="BR115" s="173"/>
      <c r="BS115" s="173"/>
      <c r="BT115" s="173"/>
      <c r="BU115" s="173"/>
      <c r="BV115" s="173"/>
      <c r="BW115" s="173"/>
      <c r="BX115" s="173"/>
      <c r="BY115" s="173"/>
      <c r="BZ115" s="173"/>
      <c r="CA115" s="173"/>
      <c r="CB115" s="173"/>
      <c r="CC115" s="173"/>
      <c r="CD115" s="173"/>
      <c r="CE115" s="173"/>
      <c r="CF115" s="173"/>
      <c r="CG115" s="173"/>
      <c r="CH115" s="173"/>
      <c r="CI115" s="173"/>
      <c r="CJ115" s="173"/>
      <c r="CK115" s="173"/>
      <c r="CL115" s="173"/>
      <c r="CM115" s="173"/>
      <c r="CN115" s="173"/>
      <c r="CO115" s="173"/>
      <c r="CP115" s="173"/>
      <c r="CQ115" s="173"/>
      <c r="CR115" s="173"/>
      <c r="CS115" s="173"/>
      <c r="CT115" s="173"/>
      <c r="CU115" s="173"/>
      <c r="CV115" s="173"/>
      <c r="CW115" s="173"/>
      <c r="CX115" s="173"/>
      <c r="CY115" s="148"/>
      <c r="CZ115" s="148"/>
      <c r="DA115" s="148"/>
      <c r="DB115" s="148"/>
      <c r="DC115" s="148"/>
      <c r="DD115" s="148"/>
      <c r="DE115" s="148"/>
      <c r="DF115" s="148"/>
      <c r="DG115" s="148"/>
      <c r="DH115" s="148"/>
      <c r="DI115" s="148"/>
      <c r="DJ115" s="148"/>
      <c r="DK115" s="148"/>
      <c r="DL115" s="148"/>
      <c r="DM115" s="148"/>
      <c r="DN115" s="148"/>
      <c r="DO115" s="148"/>
      <c r="DP115" s="148"/>
      <c r="DQ115" s="148"/>
      <c r="DR115" s="148"/>
      <c r="DS115" s="148"/>
      <c r="DT115" s="148"/>
      <c r="DU115" s="148"/>
      <c r="DV115" s="148"/>
      <c r="DW115" s="148"/>
      <c r="DX115" s="148"/>
      <c r="DY115" s="148"/>
      <c r="DZ115" s="148"/>
      <c r="EA115" s="148"/>
      <c r="EB115" s="148"/>
      <c r="EC115" s="148"/>
      <c r="ED115" s="148"/>
      <c r="EE115" s="148"/>
      <c r="EF115" s="148"/>
      <c r="EG115" s="148"/>
      <c r="EH115" s="148"/>
      <c r="EI115" s="148"/>
      <c r="EJ115" s="148"/>
      <c r="EK115" s="148"/>
      <c r="EL115" s="148"/>
      <c r="EM115" s="148"/>
      <c r="EN115" s="148"/>
      <c r="EO115" s="148"/>
      <c r="EP115" s="148"/>
      <c r="EQ115" s="148"/>
      <c r="ER115" s="148"/>
      <c r="ES115" s="148"/>
      <c r="ET115" s="148"/>
      <c r="EU115" s="148"/>
      <c r="EV115" s="148"/>
      <c r="EW115" s="148"/>
      <c r="EX115" s="148"/>
      <c r="EY115" s="148"/>
      <c r="EZ115" s="148"/>
      <c r="FA115" s="148"/>
      <c r="FB115" s="148"/>
      <c r="FC115" s="148"/>
      <c r="FD115" s="148"/>
      <c r="FE115" s="148"/>
      <c r="FF115" s="148"/>
      <c r="FG115" s="148"/>
      <c r="FH115" s="148"/>
      <c r="FI115" s="148"/>
      <c r="FJ115" s="148"/>
      <c r="FK115" s="148"/>
      <c r="FL115" s="148"/>
      <c r="FM115" s="148"/>
      <c r="FN115" s="148"/>
      <c r="FO115" s="148"/>
      <c r="FP115" s="148"/>
      <c r="FQ115" s="148"/>
      <c r="FR115" s="148"/>
      <c r="FS115" s="148"/>
      <c r="FT115" s="148"/>
      <c r="FU115" s="148"/>
      <c r="FV115" s="148"/>
      <c r="FW115" s="148"/>
      <c r="FX115" s="148"/>
      <c r="FY115" s="148"/>
      <c r="FZ115" s="148"/>
      <c r="GA115" s="148"/>
      <c r="GB115" s="148"/>
      <c r="GC115" s="148"/>
      <c r="GD115" s="148"/>
      <c r="GE115" s="148"/>
      <c r="GF115" s="148"/>
      <c r="GG115" s="149"/>
    </row>
    <row r="116" spans="1:189" x14ac:dyDescent="0.35">
      <c r="A116" s="281" t="s">
        <v>980</v>
      </c>
      <c r="B116" s="282"/>
      <c r="C116" s="282"/>
      <c r="D116" s="283"/>
      <c r="E116" s="282" t="s">
        <v>994</v>
      </c>
      <c r="F116" s="282" t="s">
        <v>1008</v>
      </c>
      <c r="G116" s="284">
        <v>2</v>
      </c>
      <c r="H116" s="285"/>
      <c r="I116" s="286"/>
      <c r="J116" s="286"/>
      <c r="K116" s="286"/>
      <c r="L116" s="287">
        <v>46174</v>
      </c>
      <c r="M116" s="287">
        <v>46234</v>
      </c>
      <c r="N116" s="287"/>
      <c r="O116" s="287">
        <v>46235</v>
      </c>
      <c r="P116" s="287">
        <v>46477</v>
      </c>
      <c r="Q116" s="288" t="s">
        <v>45</v>
      </c>
      <c r="R116" s="289">
        <v>75045.302594713823</v>
      </c>
      <c r="S116" s="289">
        <v>75045.302594713823</v>
      </c>
      <c r="T116" s="289"/>
      <c r="U116" s="191">
        <f t="shared" si="128"/>
        <v>0</v>
      </c>
      <c r="V116" s="291"/>
      <c r="W116" s="292"/>
      <c r="X116" s="46"/>
      <c r="Y116" s="167">
        <f t="shared" si="129"/>
        <v>75045.302594713823</v>
      </c>
      <c r="Z116" s="167">
        <f t="shared" si="130"/>
        <v>0</v>
      </c>
      <c r="AA116" s="167">
        <f t="shared" si="131"/>
        <v>75045.302594713823</v>
      </c>
      <c r="AB116" s="167">
        <f t="shared" si="132"/>
        <v>0</v>
      </c>
      <c r="AC116" s="167">
        <f t="shared" si="133"/>
        <v>0</v>
      </c>
      <c r="AD116" s="167">
        <f t="shared" si="134"/>
        <v>0</v>
      </c>
      <c r="AF116" s="180">
        <f t="shared" si="135"/>
        <v>1</v>
      </c>
      <c r="AG116" s="202" t="str">
        <f t="shared" si="136"/>
        <v xml:space="preserve"> Glass wall</v>
      </c>
      <c r="AH116" s="172"/>
      <c r="AI116" s="173"/>
      <c r="AJ116" s="173"/>
      <c r="AK116" s="173"/>
      <c r="AL116" s="173"/>
      <c r="AM116" s="173"/>
      <c r="AN116" s="173"/>
      <c r="AO116" s="173"/>
      <c r="AP116" s="173"/>
      <c r="AQ116" s="173"/>
      <c r="AR116" s="173"/>
      <c r="AS116" s="173"/>
      <c r="AT116" s="173"/>
      <c r="AU116" s="173"/>
      <c r="AV116" s="173"/>
      <c r="AW116" s="173"/>
      <c r="AX116" s="173"/>
      <c r="AY116" s="173"/>
      <c r="AZ116" s="173"/>
      <c r="BA116" s="173"/>
      <c r="BB116" s="173"/>
      <c r="BC116" s="173"/>
      <c r="BD116" s="173"/>
      <c r="BE116" s="173"/>
      <c r="BF116" s="173"/>
      <c r="BG116" s="173"/>
      <c r="BH116" s="173"/>
      <c r="BI116" s="173"/>
      <c r="BJ116" s="173"/>
      <c r="BK116" s="173"/>
      <c r="BL116" s="173"/>
      <c r="BM116" s="173"/>
      <c r="BN116" s="173"/>
      <c r="BO116" s="173"/>
      <c r="BP116" s="173"/>
      <c r="BQ116" s="173"/>
      <c r="BR116" s="173"/>
      <c r="BS116" s="173"/>
      <c r="BT116" s="173"/>
      <c r="BU116" s="173"/>
      <c r="BV116" s="173"/>
      <c r="BW116" s="173"/>
      <c r="BX116" s="173"/>
      <c r="BY116" s="173"/>
      <c r="BZ116" s="173"/>
      <c r="CA116" s="173"/>
      <c r="CB116" s="173"/>
      <c r="CC116" s="173"/>
      <c r="CD116" s="173"/>
      <c r="CE116" s="173"/>
      <c r="CF116" s="173"/>
      <c r="CG116" s="173"/>
      <c r="CH116" s="173"/>
      <c r="CI116" s="173"/>
      <c r="CJ116" s="173"/>
      <c r="CK116" s="173"/>
      <c r="CL116" s="173"/>
      <c r="CM116" s="173"/>
      <c r="CN116" s="173"/>
      <c r="CO116" s="173"/>
      <c r="CP116" s="173"/>
      <c r="CQ116" s="173"/>
      <c r="CR116" s="173"/>
      <c r="CS116" s="173"/>
      <c r="CT116" s="173"/>
      <c r="CU116" s="173"/>
      <c r="CV116" s="173"/>
      <c r="CW116" s="173"/>
      <c r="CX116" s="173"/>
      <c r="CY116" s="148"/>
      <c r="CZ116" s="148"/>
      <c r="DA116" s="148"/>
      <c r="DB116" s="148"/>
      <c r="DC116" s="148"/>
      <c r="DD116" s="148"/>
      <c r="DE116" s="148"/>
      <c r="DF116" s="148"/>
      <c r="DG116" s="148"/>
      <c r="DH116" s="148"/>
      <c r="DI116" s="148"/>
      <c r="DJ116" s="148"/>
      <c r="DK116" s="148"/>
      <c r="DL116" s="148"/>
      <c r="DM116" s="148"/>
      <c r="DN116" s="148"/>
      <c r="DO116" s="148"/>
      <c r="DP116" s="148"/>
      <c r="DQ116" s="148"/>
      <c r="DR116" s="148"/>
      <c r="DS116" s="148"/>
      <c r="DT116" s="148"/>
      <c r="DU116" s="148"/>
      <c r="DV116" s="148"/>
      <c r="DW116" s="148"/>
      <c r="DX116" s="148"/>
      <c r="DY116" s="148"/>
      <c r="DZ116" s="148"/>
      <c r="EA116" s="148"/>
      <c r="EB116" s="148"/>
      <c r="EC116" s="148"/>
      <c r="ED116" s="148"/>
      <c r="EE116" s="148"/>
      <c r="EF116" s="148"/>
      <c r="EG116" s="148"/>
      <c r="EH116" s="148"/>
      <c r="EI116" s="148"/>
      <c r="EJ116" s="148"/>
      <c r="EK116" s="148"/>
      <c r="EL116" s="148"/>
      <c r="EM116" s="148"/>
      <c r="EN116" s="148"/>
      <c r="EO116" s="148"/>
      <c r="EP116" s="148"/>
      <c r="EQ116" s="148"/>
      <c r="ER116" s="148"/>
      <c r="ES116" s="148"/>
      <c r="ET116" s="148"/>
      <c r="EU116" s="148"/>
      <c r="EV116" s="148"/>
      <c r="EW116" s="148"/>
      <c r="EX116" s="148"/>
      <c r="EY116" s="148"/>
      <c r="EZ116" s="148"/>
      <c r="FA116" s="148"/>
      <c r="FB116" s="148"/>
      <c r="FC116" s="148"/>
      <c r="FD116" s="148"/>
      <c r="FE116" s="148"/>
      <c r="FF116" s="148"/>
      <c r="FG116" s="148"/>
      <c r="FH116" s="148"/>
      <c r="FI116" s="148"/>
      <c r="FJ116" s="148"/>
      <c r="FK116" s="148"/>
      <c r="FL116" s="148"/>
      <c r="FM116" s="148"/>
      <c r="FN116" s="148"/>
      <c r="FO116" s="148"/>
      <c r="FP116" s="148"/>
      <c r="FQ116" s="148"/>
      <c r="FR116" s="148"/>
      <c r="FS116" s="148"/>
      <c r="FT116" s="148"/>
      <c r="FU116" s="148"/>
      <c r="FV116" s="148"/>
      <c r="FW116" s="148"/>
      <c r="FX116" s="148"/>
      <c r="FY116" s="148"/>
      <c r="FZ116" s="148"/>
      <c r="GA116" s="148"/>
      <c r="GB116" s="148"/>
      <c r="GC116" s="148"/>
      <c r="GD116" s="148"/>
      <c r="GE116" s="148"/>
      <c r="GF116" s="148"/>
      <c r="GG116" s="149"/>
    </row>
    <row r="117" spans="1:189" x14ac:dyDescent="0.35">
      <c r="A117" s="281" t="s">
        <v>981</v>
      </c>
      <c r="B117" s="282" t="s">
        <v>1071</v>
      </c>
      <c r="C117" s="282"/>
      <c r="D117" s="283"/>
      <c r="E117" s="282" t="s">
        <v>995</v>
      </c>
      <c r="F117" s="282" t="s">
        <v>1009</v>
      </c>
      <c r="G117" s="284">
        <v>2</v>
      </c>
      <c r="H117" s="285"/>
      <c r="I117" s="286"/>
      <c r="J117" s="286"/>
      <c r="K117" s="286"/>
      <c r="L117" s="287">
        <v>46174</v>
      </c>
      <c r="M117" s="287">
        <v>46234</v>
      </c>
      <c r="N117" s="287"/>
      <c r="O117" s="287">
        <v>46235</v>
      </c>
      <c r="P117" s="287">
        <v>46477</v>
      </c>
      <c r="Q117" s="288" t="s">
        <v>45</v>
      </c>
      <c r="R117" s="289">
        <v>1241084.6411046761</v>
      </c>
      <c r="S117" s="289">
        <v>1241084.6411046761</v>
      </c>
      <c r="T117" s="289"/>
      <c r="U117" s="191">
        <f t="shared" si="128"/>
        <v>0</v>
      </c>
      <c r="V117" s="291"/>
      <c r="W117" s="292"/>
      <c r="X117" s="46"/>
      <c r="Y117" s="167">
        <f t="shared" si="129"/>
        <v>1241084.6411046761</v>
      </c>
      <c r="Z117" s="167">
        <f t="shared" si="130"/>
        <v>0</v>
      </c>
      <c r="AA117" s="167">
        <f t="shared" si="131"/>
        <v>1241084.6411046761</v>
      </c>
      <c r="AB117" s="167">
        <f t="shared" si="132"/>
        <v>0</v>
      </c>
      <c r="AC117" s="167">
        <f t="shared" si="133"/>
        <v>0</v>
      </c>
      <c r="AD117" s="167">
        <f t="shared" si="134"/>
        <v>0</v>
      </c>
      <c r="AF117" s="180">
        <f t="shared" si="135"/>
        <v>1</v>
      </c>
      <c r="AG117" s="202" t="str">
        <f t="shared" si="136"/>
        <v>Magdalena Białorucka Plastering</v>
      </c>
      <c r="AH117" s="172"/>
      <c r="AI117" s="173"/>
      <c r="AJ117" s="173"/>
      <c r="AK117" s="173"/>
      <c r="AL117" s="173"/>
      <c r="AM117" s="173"/>
      <c r="AN117" s="173"/>
      <c r="AO117" s="173"/>
      <c r="AP117" s="173"/>
      <c r="AQ117" s="173"/>
      <c r="AR117" s="173"/>
      <c r="AS117" s="173"/>
      <c r="AT117" s="173"/>
      <c r="AU117" s="173"/>
      <c r="AV117" s="173"/>
      <c r="AW117" s="173"/>
      <c r="AX117" s="173"/>
      <c r="AY117" s="173"/>
      <c r="AZ117" s="173"/>
      <c r="BA117" s="173"/>
      <c r="BB117" s="173"/>
      <c r="BC117" s="173"/>
      <c r="BD117" s="173"/>
      <c r="BE117" s="173"/>
      <c r="BF117" s="173"/>
      <c r="BG117" s="173"/>
      <c r="BH117" s="173"/>
      <c r="BI117" s="173"/>
      <c r="BJ117" s="173"/>
      <c r="BK117" s="173"/>
      <c r="BL117" s="173"/>
      <c r="BM117" s="173"/>
      <c r="BN117" s="173"/>
      <c r="BO117" s="173"/>
      <c r="BP117" s="173"/>
      <c r="BQ117" s="173"/>
      <c r="BR117" s="173"/>
      <c r="BS117" s="173"/>
      <c r="BT117" s="173"/>
      <c r="BU117" s="173"/>
      <c r="BV117" s="173"/>
      <c r="BW117" s="173"/>
      <c r="BX117" s="173"/>
      <c r="BY117" s="173"/>
      <c r="BZ117" s="173"/>
      <c r="CA117" s="173"/>
      <c r="CB117" s="173"/>
      <c r="CC117" s="173"/>
      <c r="CD117" s="173"/>
      <c r="CE117" s="173"/>
      <c r="CF117" s="173"/>
      <c r="CG117" s="173"/>
      <c r="CH117" s="173"/>
      <c r="CI117" s="173"/>
      <c r="CJ117" s="173"/>
      <c r="CK117" s="173"/>
      <c r="CL117" s="173"/>
      <c r="CM117" s="173"/>
      <c r="CN117" s="173"/>
      <c r="CO117" s="173"/>
      <c r="CP117" s="173"/>
      <c r="CQ117" s="173"/>
      <c r="CR117" s="173"/>
      <c r="CS117" s="173"/>
      <c r="CT117" s="173"/>
      <c r="CU117" s="173"/>
      <c r="CV117" s="173"/>
      <c r="CW117" s="173"/>
      <c r="CX117" s="173"/>
      <c r="CY117" s="148"/>
      <c r="CZ117" s="148"/>
      <c r="DA117" s="148"/>
      <c r="DB117" s="148"/>
      <c r="DC117" s="148"/>
      <c r="DD117" s="148"/>
      <c r="DE117" s="148"/>
      <c r="DF117" s="148"/>
      <c r="DG117" s="148"/>
      <c r="DH117" s="148"/>
      <c r="DI117" s="148"/>
      <c r="DJ117" s="148"/>
      <c r="DK117" s="148"/>
      <c r="DL117" s="148"/>
      <c r="DM117" s="148"/>
      <c r="DN117" s="148"/>
      <c r="DO117" s="148"/>
      <c r="DP117" s="148"/>
      <c r="DQ117" s="148"/>
      <c r="DR117" s="148"/>
      <c r="DS117" s="148"/>
      <c r="DT117" s="148"/>
      <c r="DU117" s="148"/>
      <c r="DV117" s="148"/>
      <c r="DW117" s="148"/>
      <c r="DX117" s="148"/>
      <c r="DY117" s="148"/>
      <c r="DZ117" s="148"/>
      <c r="EA117" s="148"/>
      <c r="EB117" s="148"/>
      <c r="EC117" s="148"/>
      <c r="ED117" s="148"/>
      <c r="EE117" s="148"/>
      <c r="EF117" s="148"/>
      <c r="EG117" s="148"/>
      <c r="EH117" s="148"/>
      <c r="EI117" s="148"/>
      <c r="EJ117" s="148"/>
      <c r="EK117" s="148"/>
      <c r="EL117" s="148"/>
      <c r="EM117" s="148"/>
      <c r="EN117" s="148"/>
      <c r="EO117" s="148"/>
      <c r="EP117" s="148"/>
      <c r="EQ117" s="148"/>
      <c r="ER117" s="148"/>
      <c r="ES117" s="148"/>
      <c r="ET117" s="148"/>
      <c r="EU117" s="148"/>
      <c r="EV117" s="148"/>
      <c r="EW117" s="148"/>
      <c r="EX117" s="148"/>
      <c r="EY117" s="148"/>
      <c r="EZ117" s="148"/>
      <c r="FA117" s="148"/>
      <c r="FB117" s="148"/>
      <c r="FC117" s="148"/>
      <c r="FD117" s="148"/>
      <c r="FE117" s="148"/>
      <c r="FF117" s="148"/>
      <c r="FG117" s="148"/>
      <c r="FH117" s="148"/>
      <c r="FI117" s="148"/>
      <c r="FJ117" s="148"/>
      <c r="FK117" s="148"/>
      <c r="FL117" s="148"/>
      <c r="FM117" s="148"/>
      <c r="FN117" s="148"/>
      <c r="FO117" s="148"/>
      <c r="FP117" s="148"/>
      <c r="FQ117" s="148"/>
      <c r="FR117" s="148"/>
      <c r="FS117" s="148"/>
      <c r="FT117" s="148"/>
      <c r="FU117" s="148"/>
      <c r="FV117" s="148"/>
      <c r="FW117" s="148"/>
      <c r="FX117" s="148"/>
      <c r="FY117" s="148"/>
      <c r="FZ117" s="148"/>
      <c r="GA117" s="148"/>
      <c r="GB117" s="148"/>
      <c r="GC117" s="148"/>
      <c r="GD117" s="148"/>
      <c r="GE117" s="148"/>
      <c r="GF117" s="148"/>
      <c r="GG117" s="149"/>
    </row>
    <row r="118" spans="1:189" x14ac:dyDescent="0.35">
      <c r="A118" s="281" t="s">
        <v>982</v>
      </c>
      <c r="B118" s="282"/>
      <c r="C118" s="282"/>
      <c r="D118" s="283"/>
      <c r="E118" s="282" t="s">
        <v>996</v>
      </c>
      <c r="F118" s="282" t="s">
        <v>1010</v>
      </c>
      <c r="G118" s="284">
        <v>2</v>
      </c>
      <c r="H118" s="285"/>
      <c r="I118" s="286"/>
      <c r="J118" s="286"/>
      <c r="K118" s="286"/>
      <c r="L118" s="287">
        <v>46174</v>
      </c>
      <c r="M118" s="287">
        <v>46234</v>
      </c>
      <c r="N118" s="287"/>
      <c r="O118" s="287">
        <v>46235</v>
      </c>
      <c r="P118" s="287">
        <v>46477</v>
      </c>
      <c r="Q118" s="288" t="s">
        <v>45</v>
      </c>
      <c r="R118" s="289">
        <v>87497.52</v>
      </c>
      <c r="S118" s="289">
        <v>87497.52</v>
      </c>
      <c r="T118" s="289"/>
      <c r="U118" s="191">
        <f t="shared" si="128"/>
        <v>0</v>
      </c>
      <c r="V118" s="291"/>
      <c r="W118" s="292"/>
      <c r="X118" s="46"/>
      <c r="Y118" s="167">
        <f t="shared" si="129"/>
        <v>87497.52</v>
      </c>
      <c r="Z118" s="167">
        <f t="shared" si="130"/>
        <v>0</v>
      </c>
      <c r="AA118" s="167">
        <f t="shared" si="131"/>
        <v>87497.52</v>
      </c>
      <c r="AB118" s="167">
        <f t="shared" si="132"/>
        <v>0</v>
      </c>
      <c r="AC118" s="167">
        <f t="shared" si="133"/>
        <v>0</v>
      </c>
      <c r="AD118" s="167">
        <f t="shared" si="134"/>
        <v>0</v>
      </c>
      <c r="AF118" s="180">
        <f t="shared" si="135"/>
        <v>1</v>
      </c>
      <c r="AG118" s="202" t="str">
        <f t="shared" si="136"/>
        <v xml:space="preserve"> Carpet / polyamide</v>
      </c>
      <c r="AH118" s="172"/>
      <c r="AI118" s="173"/>
      <c r="AJ118" s="173"/>
      <c r="AK118" s="173"/>
      <c r="AL118" s="173"/>
      <c r="AM118" s="173"/>
      <c r="AN118" s="173"/>
      <c r="AO118" s="173"/>
      <c r="AP118" s="173"/>
      <c r="AQ118" s="173"/>
      <c r="AR118" s="173"/>
      <c r="AS118" s="173"/>
      <c r="AT118" s="173"/>
      <c r="AU118" s="173"/>
      <c r="AV118" s="173"/>
      <c r="AW118" s="173"/>
      <c r="AX118" s="173"/>
      <c r="AY118" s="173"/>
      <c r="AZ118" s="173"/>
      <c r="BA118" s="173"/>
      <c r="BB118" s="173"/>
      <c r="BC118" s="173"/>
      <c r="BD118" s="173"/>
      <c r="BE118" s="173"/>
      <c r="BF118" s="173"/>
      <c r="BG118" s="173"/>
      <c r="BH118" s="173"/>
      <c r="BI118" s="173"/>
      <c r="BJ118" s="173"/>
      <c r="BK118" s="173"/>
      <c r="BL118" s="173"/>
      <c r="BM118" s="173"/>
      <c r="BN118" s="173"/>
      <c r="BO118" s="173"/>
      <c r="BP118" s="173"/>
      <c r="BQ118" s="173"/>
      <c r="BR118" s="173"/>
      <c r="BS118" s="173"/>
      <c r="BT118" s="173"/>
      <c r="BU118" s="173"/>
      <c r="BV118" s="173"/>
      <c r="BW118" s="173"/>
      <c r="BX118" s="173"/>
      <c r="BY118" s="173"/>
      <c r="BZ118" s="173"/>
      <c r="CA118" s="173"/>
      <c r="CB118" s="173"/>
      <c r="CC118" s="173"/>
      <c r="CD118" s="173"/>
      <c r="CE118" s="173"/>
      <c r="CF118" s="173"/>
      <c r="CG118" s="173"/>
      <c r="CH118" s="173"/>
      <c r="CI118" s="173"/>
      <c r="CJ118" s="173"/>
      <c r="CK118" s="173"/>
      <c r="CL118" s="173"/>
      <c r="CM118" s="173"/>
      <c r="CN118" s="173"/>
      <c r="CO118" s="173"/>
      <c r="CP118" s="173"/>
      <c r="CQ118" s="173"/>
      <c r="CR118" s="173"/>
      <c r="CS118" s="173"/>
      <c r="CT118" s="173"/>
      <c r="CU118" s="173"/>
      <c r="CV118" s="173"/>
      <c r="CW118" s="173"/>
      <c r="CX118" s="173"/>
      <c r="CY118" s="148"/>
      <c r="CZ118" s="148"/>
      <c r="DA118" s="148"/>
      <c r="DB118" s="148"/>
      <c r="DC118" s="148"/>
      <c r="DD118" s="148"/>
      <c r="DE118" s="148"/>
      <c r="DF118" s="148"/>
      <c r="DG118" s="148"/>
      <c r="DH118" s="148"/>
      <c r="DI118" s="148"/>
      <c r="DJ118" s="148"/>
      <c r="DK118" s="148"/>
      <c r="DL118" s="148"/>
      <c r="DM118" s="148"/>
      <c r="DN118" s="148"/>
      <c r="DO118" s="148"/>
      <c r="DP118" s="148"/>
      <c r="DQ118" s="148"/>
      <c r="DR118" s="148"/>
      <c r="DS118" s="148"/>
      <c r="DT118" s="148"/>
      <c r="DU118" s="148"/>
      <c r="DV118" s="148"/>
      <c r="DW118" s="148"/>
      <c r="DX118" s="148"/>
      <c r="DY118" s="148"/>
      <c r="DZ118" s="148"/>
      <c r="EA118" s="148"/>
      <c r="EB118" s="148"/>
      <c r="EC118" s="148"/>
      <c r="ED118" s="148"/>
      <c r="EE118" s="148"/>
      <c r="EF118" s="148"/>
      <c r="EG118" s="148"/>
      <c r="EH118" s="148"/>
      <c r="EI118" s="148"/>
      <c r="EJ118" s="148"/>
      <c r="EK118" s="148"/>
      <c r="EL118" s="148"/>
      <c r="EM118" s="148"/>
      <c r="EN118" s="148"/>
      <c r="EO118" s="148"/>
      <c r="EP118" s="148"/>
      <c r="EQ118" s="148"/>
      <c r="ER118" s="148"/>
      <c r="ES118" s="148"/>
      <c r="ET118" s="148"/>
      <c r="EU118" s="148"/>
      <c r="EV118" s="148"/>
      <c r="EW118" s="148"/>
      <c r="EX118" s="148"/>
      <c r="EY118" s="148"/>
      <c r="EZ118" s="148"/>
      <c r="FA118" s="148"/>
      <c r="FB118" s="148"/>
      <c r="FC118" s="148"/>
      <c r="FD118" s="148"/>
      <c r="FE118" s="148"/>
      <c r="FF118" s="148"/>
      <c r="FG118" s="148"/>
      <c r="FH118" s="148"/>
      <c r="FI118" s="148"/>
      <c r="FJ118" s="148"/>
      <c r="FK118" s="148"/>
      <c r="FL118" s="148"/>
      <c r="FM118" s="148"/>
      <c r="FN118" s="148"/>
      <c r="FO118" s="148"/>
      <c r="FP118" s="148"/>
      <c r="FQ118" s="148"/>
      <c r="FR118" s="148"/>
      <c r="FS118" s="148"/>
      <c r="FT118" s="148"/>
      <c r="FU118" s="148"/>
      <c r="FV118" s="148"/>
      <c r="FW118" s="148"/>
      <c r="FX118" s="148"/>
      <c r="FY118" s="148"/>
      <c r="FZ118" s="148"/>
      <c r="GA118" s="148"/>
      <c r="GB118" s="148"/>
      <c r="GC118" s="148"/>
      <c r="GD118" s="148"/>
      <c r="GE118" s="148"/>
      <c r="GF118" s="148"/>
      <c r="GG118" s="149"/>
    </row>
    <row r="119" spans="1:189" ht="27.75" x14ac:dyDescent="0.35">
      <c r="A119" s="281" t="s">
        <v>983</v>
      </c>
      <c r="B119" s="282"/>
      <c r="C119" s="282"/>
      <c r="D119" s="283"/>
      <c r="E119" s="282" t="s">
        <v>997</v>
      </c>
      <c r="F119" s="282" t="s">
        <v>1011</v>
      </c>
      <c r="G119" s="284">
        <v>2</v>
      </c>
      <c r="H119" s="285"/>
      <c r="I119" s="286"/>
      <c r="J119" s="286"/>
      <c r="K119" s="286"/>
      <c r="L119" s="287">
        <v>46174</v>
      </c>
      <c r="M119" s="287">
        <v>46234</v>
      </c>
      <c r="N119" s="287"/>
      <c r="O119" s="287">
        <v>46235</v>
      </c>
      <c r="P119" s="287">
        <v>46477</v>
      </c>
      <c r="Q119" s="288" t="s">
        <v>45</v>
      </c>
      <c r="R119" s="289">
        <v>186490.47708630102</v>
      </c>
      <c r="S119" s="289">
        <v>186490.47708630102</v>
      </c>
      <c r="T119" s="289"/>
      <c r="U119" s="191">
        <f t="shared" si="128"/>
        <v>0</v>
      </c>
      <c r="V119" s="291"/>
      <c r="W119" s="292"/>
      <c r="X119" s="46"/>
      <c r="Y119" s="167">
        <f t="shared" si="129"/>
        <v>186490.47708630102</v>
      </c>
      <c r="Z119" s="167">
        <f t="shared" si="130"/>
        <v>0</v>
      </c>
      <c r="AA119" s="167">
        <f t="shared" si="131"/>
        <v>186490.47708630102</v>
      </c>
      <c r="AB119" s="167">
        <f t="shared" si="132"/>
        <v>0</v>
      </c>
      <c r="AC119" s="167">
        <f t="shared" si="133"/>
        <v>0</v>
      </c>
      <c r="AD119" s="167">
        <f t="shared" si="134"/>
        <v>0</v>
      </c>
      <c r="AF119" s="180">
        <f t="shared" si="135"/>
        <v>1</v>
      </c>
      <c r="AG119" s="202" t="str">
        <f t="shared" si="136"/>
        <v xml:space="preserve"> Wall and column protection up to 2.5 m + hydrophobic protection</v>
      </c>
      <c r="AH119" s="172"/>
      <c r="AI119" s="173"/>
      <c r="AJ119" s="173"/>
      <c r="AK119" s="173"/>
      <c r="AL119" s="173"/>
      <c r="AM119" s="173"/>
      <c r="AN119" s="173"/>
      <c r="AO119" s="173"/>
      <c r="AP119" s="173"/>
      <c r="AQ119" s="173"/>
      <c r="AR119" s="173"/>
      <c r="AS119" s="173"/>
      <c r="AT119" s="173"/>
      <c r="AU119" s="173"/>
      <c r="AV119" s="173"/>
      <c r="AW119" s="173"/>
      <c r="AX119" s="173"/>
      <c r="AY119" s="173"/>
      <c r="AZ119" s="173"/>
      <c r="BA119" s="173"/>
      <c r="BB119" s="173"/>
      <c r="BC119" s="173"/>
      <c r="BD119" s="173"/>
      <c r="BE119" s="173"/>
      <c r="BF119" s="173"/>
      <c r="BG119" s="173"/>
      <c r="BH119" s="173"/>
      <c r="BI119" s="173"/>
      <c r="BJ119" s="173"/>
      <c r="BK119" s="173"/>
      <c r="BL119" s="173"/>
      <c r="BM119" s="173"/>
      <c r="BN119" s="173"/>
      <c r="BO119" s="173"/>
      <c r="BP119" s="173"/>
      <c r="BQ119" s="173"/>
      <c r="BR119" s="173"/>
      <c r="BS119" s="173"/>
      <c r="BT119" s="173"/>
      <c r="BU119" s="173"/>
      <c r="BV119" s="173"/>
      <c r="BW119" s="173"/>
      <c r="BX119" s="173"/>
      <c r="BY119" s="173"/>
      <c r="BZ119" s="173"/>
      <c r="CA119" s="173"/>
      <c r="CB119" s="173"/>
      <c r="CC119" s="173"/>
      <c r="CD119" s="173"/>
      <c r="CE119" s="173"/>
      <c r="CF119" s="173"/>
      <c r="CG119" s="173"/>
      <c r="CH119" s="173"/>
      <c r="CI119" s="173"/>
      <c r="CJ119" s="173"/>
      <c r="CK119" s="173"/>
      <c r="CL119" s="173"/>
      <c r="CM119" s="173"/>
      <c r="CN119" s="173"/>
      <c r="CO119" s="173"/>
      <c r="CP119" s="173"/>
      <c r="CQ119" s="173"/>
      <c r="CR119" s="173"/>
      <c r="CS119" s="173"/>
      <c r="CT119" s="173"/>
      <c r="CU119" s="173"/>
      <c r="CV119" s="173"/>
      <c r="CW119" s="173"/>
      <c r="CX119" s="173"/>
      <c r="CY119" s="148"/>
      <c r="CZ119" s="148"/>
      <c r="DA119" s="148"/>
      <c r="DB119" s="148"/>
      <c r="DC119" s="148"/>
      <c r="DD119" s="148"/>
      <c r="DE119" s="148"/>
      <c r="DF119" s="148"/>
      <c r="DG119" s="148"/>
      <c r="DH119" s="148"/>
      <c r="DI119" s="148"/>
      <c r="DJ119" s="148"/>
      <c r="DK119" s="148"/>
      <c r="DL119" s="148"/>
      <c r="DM119" s="148"/>
      <c r="DN119" s="148"/>
      <c r="DO119" s="148"/>
      <c r="DP119" s="148"/>
      <c r="DQ119" s="148"/>
      <c r="DR119" s="148"/>
      <c r="DS119" s="148"/>
      <c r="DT119" s="148"/>
      <c r="DU119" s="148"/>
      <c r="DV119" s="148"/>
      <c r="DW119" s="148"/>
      <c r="DX119" s="148"/>
      <c r="DY119" s="148"/>
      <c r="DZ119" s="148"/>
      <c r="EA119" s="148"/>
      <c r="EB119" s="148"/>
      <c r="EC119" s="148"/>
      <c r="ED119" s="148"/>
      <c r="EE119" s="148"/>
      <c r="EF119" s="148"/>
      <c r="EG119" s="148"/>
      <c r="EH119" s="148"/>
      <c r="EI119" s="148"/>
      <c r="EJ119" s="148"/>
      <c r="EK119" s="148"/>
      <c r="EL119" s="148"/>
      <c r="EM119" s="148"/>
      <c r="EN119" s="148"/>
      <c r="EO119" s="148"/>
      <c r="EP119" s="148"/>
      <c r="EQ119" s="148"/>
      <c r="ER119" s="148"/>
      <c r="ES119" s="148"/>
      <c r="ET119" s="148"/>
      <c r="EU119" s="148"/>
      <c r="EV119" s="148"/>
      <c r="EW119" s="148"/>
      <c r="EX119" s="148"/>
      <c r="EY119" s="148"/>
      <c r="EZ119" s="148"/>
      <c r="FA119" s="148"/>
      <c r="FB119" s="148"/>
      <c r="FC119" s="148"/>
      <c r="FD119" s="148"/>
      <c r="FE119" s="148"/>
      <c r="FF119" s="148"/>
      <c r="FG119" s="148"/>
      <c r="FH119" s="148"/>
      <c r="FI119" s="148"/>
      <c r="FJ119" s="148"/>
      <c r="FK119" s="148"/>
      <c r="FL119" s="148"/>
      <c r="FM119" s="148"/>
      <c r="FN119" s="148"/>
      <c r="FO119" s="148"/>
      <c r="FP119" s="148"/>
      <c r="FQ119" s="148"/>
      <c r="FR119" s="148"/>
      <c r="FS119" s="148"/>
      <c r="FT119" s="148"/>
      <c r="FU119" s="148"/>
      <c r="FV119" s="148"/>
      <c r="FW119" s="148"/>
      <c r="FX119" s="148"/>
      <c r="FY119" s="148"/>
      <c r="FZ119" s="148"/>
      <c r="GA119" s="148"/>
      <c r="GB119" s="148"/>
      <c r="GC119" s="148"/>
      <c r="GD119" s="148"/>
      <c r="GE119" s="148"/>
      <c r="GF119" s="148"/>
      <c r="GG119" s="149"/>
    </row>
    <row r="120" spans="1:189" x14ac:dyDescent="0.35">
      <c r="A120" s="237" t="s">
        <v>701</v>
      </c>
      <c r="B120" s="236"/>
      <c r="C120" s="236"/>
      <c r="D120" s="237"/>
      <c r="E120" s="236" t="s">
        <v>291</v>
      </c>
      <c r="F120" s="236" t="s">
        <v>710</v>
      </c>
      <c r="G120" s="238">
        <v>2</v>
      </c>
      <c r="H120" s="239"/>
      <c r="I120" s="240"/>
      <c r="J120" s="240"/>
      <c r="K120" s="240"/>
      <c r="L120" s="241"/>
      <c r="M120" s="241"/>
      <c r="N120" s="241"/>
      <c r="O120" s="241"/>
      <c r="P120" s="241"/>
      <c r="Q120" s="242"/>
      <c r="R120" s="243"/>
      <c r="S120" s="243"/>
      <c r="T120" s="243"/>
      <c r="U120" s="191">
        <f t="shared" si="28"/>
        <v>0</v>
      </c>
      <c r="V120" s="244"/>
      <c r="W120" s="245"/>
      <c r="X120" s="46"/>
      <c r="Y120" s="167">
        <f t="shared" si="22"/>
        <v>0</v>
      </c>
      <c r="Z120" s="167">
        <f t="shared" si="23"/>
        <v>0</v>
      </c>
      <c r="AA120" s="167">
        <f t="shared" si="24"/>
        <v>0</v>
      </c>
      <c r="AB120" s="167">
        <f t="shared" si="25"/>
        <v>0</v>
      </c>
      <c r="AC120" s="167">
        <f t="shared" si="26"/>
        <v>0</v>
      </c>
      <c r="AD120" s="167">
        <f t="shared" si="27"/>
        <v>0</v>
      </c>
      <c r="AF120" s="180">
        <f t="shared" si="21"/>
        <v>0</v>
      </c>
      <c r="AG120" s="202" t="str">
        <f t="shared" si="13"/>
        <v xml:space="preserve"> Elevators</v>
      </c>
      <c r="AH120" s="172"/>
      <c r="AI120" s="173"/>
      <c r="AJ120" s="173"/>
      <c r="AK120" s="173"/>
      <c r="AL120" s="173"/>
      <c r="AM120" s="173"/>
      <c r="AN120" s="173"/>
      <c r="AO120" s="173"/>
      <c r="AP120" s="173"/>
      <c r="AQ120" s="173"/>
      <c r="AR120" s="173"/>
      <c r="AS120" s="173"/>
      <c r="AT120" s="173"/>
      <c r="AU120" s="173"/>
      <c r="AV120" s="173"/>
      <c r="AW120" s="173"/>
      <c r="AX120" s="173"/>
      <c r="AY120" s="173"/>
      <c r="AZ120" s="173"/>
      <c r="BA120" s="173"/>
      <c r="BB120" s="173"/>
      <c r="BC120" s="173"/>
      <c r="BD120" s="173"/>
      <c r="BE120" s="173"/>
      <c r="BF120" s="173"/>
      <c r="BG120" s="173"/>
      <c r="BH120" s="173"/>
      <c r="BI120" s="173"/>
      <c r="BJ120" s="173"/>
      <c r="BK120" s="173"/>
      <c r="BL120" s="173"/>
      <c r="BM120" s="173"/>
      <c r="BN120" s="173"/>
      <c r="BO120" s="173"/>
      <c r="BP120" s="173"/>
      <c r="BQ120" s="173"/>
      <c r="BR120" s="173"/>
      <c r="BS120" s="173"/>
      <c r="BT120" s="173"/>
      <c r="BU120" s="173"/>
      <c r="BV120" s="173"/>
      <c r="BW120" s="173"/>
      <c r="BX120" s="173"/>
      <c r="BY120" s="173"/>
      <c r="BZ120" s="173"/>
      <c r="CA120" s="173"/>
      <c r="CB120" s="173"/>
      <c r="CC120" s="173"/>
      <c r="CD120" s="173"/>
      <c r="CE120" s="173"/>
      <c r="CF120" s="173"/>
      <c r="CG120" s="173"/>
      <c r="CH120" s="173"/>
      <c r="CI120" s="173"/>
      <c r="CJ120" s="173"/>
      <c r="CK120" s="173"/>
      <c r="CL120" s="173"/>
      <c r="CM120" s="173"/>
      <c r="CN120" s="173"/>
      <c r="CO120" s="173"/>
      <c r="CP120" s="173"/>
      <c r="CQ120" s="173"/>
      <c r="CR120" s="173"/>
      <c r="CS120" s="173"/>
      <c r="CT120" s="173"/>
      <c r="CU120" s="173"/>
      <c r="CV120" s="173"/>
      <c r="CW120" s="173"/>
      <c r="CX120" s="173"/>
      <c r="CY120" s="151"/>
      <c r="CZ120" s="151"/>
      <c r="DA120" s="151"/>
      <c r="DB120" s="151"/>
      <c r="DC120" s="151"/>
      <c r="DD120" s="151"/>
      <c r="DE120" s="151"/>
      <c r="DF120" s="151"/>
      <c r="DG120" s="151"/>
      <c r="DH120" s="151"/>
      <c r="DI120" s="151"/>
      <c r="DJ120" s="151"/>
      <c r="DK120" s="151"/>
      <c r="DL120" s="151"/>
      <c r="DM120" s="151"/>
      <c r="DN120" s="151"/>
      <c r="DO120" s="151"/>
      <c r="DP120" s="151"/>
      <c r="DQ120" s="151"/>
      <c r="DR120" s="151"/>
      <c r="DS120" s="151"/>
      <c r="DT120" s="151"/>
      <c r="DU120" s="151"/>
      <c r="DV120" s="151"/>
      <c r="DW120" s="151"/>
      <c r="DX120" s="151"/>
      <c r="DY120" s="151"/>
      <c r="DZ120" s="151"/>
      <c r="EA120" s="151"/>
      <c r="EB120" s="151"/>
      <c r="EC120" s="151"/>
      <c r="ED120" s="151"/>
      <c r="EE120" s="151"/>
      <c r="EF120" s="151"/>
      <c r="EG120" s="151"/>
      <c r="EH120" s="151"/>
      <c r="EI120" s="151"/>
      <c r="EJ120" s="151"/>
      <c r="EK120" s="151"/>
      <c r="EL120" s="151"/>
      <c r="EM120" s="151"/>
      <c r="EN120" s="151"/>
      <c r="EO120" s="151"/>
      <c r="EP120" s="151"/>
      <c r="EQ120" s="151"/>
      <c r="ER120" s="151"/>
      <c r="ES120" s="151"/>
      <c r="ET120" s="151"/>
      <c r="EU120" s="151"/>
      <c r="EV120" s="151"/>
      <c r="EW120" s="151"/>
      <c r="EX120" s="151"/>
      <c r="EY120" s="151"/>
      <c r="EZ120" s="151"/>
      <c r="FA120" s="151"/>
      <c r="FB120" s="151"/>
      <c r="FC120" s="151"/>
      <c r="FD120" s="151"/>
      <c r="FE120" s="151"/>
      <c r="FF120" s="151"/>
      <c r="FG120" s="151"/>
      <c r="FH120" s="151"/>
      <c r="FI120" s="151"/>
      <c r="FJ120" s="151"/>
      <c r="FK120" s="151"/>
      <c r="FL120" s="151"/>
      <c r="FM120" s="151"/>
      <c r="FN120" s="151"/>
      <c r="FO120" s="151"/>
      <c r="FP120" s="151"/>
      <c r="FQ120" s="151"/>
      <c r="FR120" s="151"/>
      <c r="FS120" s="151"/>
      <c r="FT120" s="151"/>
      <c r="FU120" s="151"/>
      <c r="FV120" s="151"/>
      <c r="FW120" s="151"/>
      <c r="FX120" s="151"/>
      <c r="FY120" s="151"/>
      <c r="FZ120" s="151"/>
      <c r="GA120" s="151"/>
      <c r="GB120" s="151"/>
      <c r="GC120" s="151"/>
      <c r="GD120" s="151"/>
      <c r="GE120" s="151"/>
      <c r="GF120" s="151"/>
      <c r="GG120" s="152"/>
    </row>
    <row r="121" spans="1:189" x14ac:dyDescent="0.35">
      <c r="A121" s="222" t="s">
        <v>702</v>
      </c>
      <c r="B121" s="221" t="s">
        <v>1072</v>
      </c>
      <c r="C121" s="221"/>
      <c r="D121" s="222"/>
      <c r="E121" s="221" t="s">
        <v>292</v>
      </c>
      <c r="F121" s="221" t="s">
        <v>712</v>
      </c>
      <c r="G121" s="223">
        <v>2</v>
      </c>
      <c r="H121" s="224"/>
      <c r="I121" s="225"/>
      <c r="J121" s="225"/>
      <c r="K121" s="225"/>
      <c r="L121" s="226">
        <v>46174</v>
      </c>
      <c r="M121" s="226">
        <v>46234</v>
      </c>
      <c r="N121" s="226"/>
      <c r="O121" s="226">
        <v>46235</v>
      </c>
      <c r="P121" s="226">
        <v>46477</v>
      </c>
      <c r="Q121" s="227" t="s">
        <v>11</v>
      </c>
      <c r="R121" s="228">
        <v>415350</v>
      </c>
      <c r="S121" s="228">
        <v>415350</v>
      </c>
      <c r="T121" s="228"/>
      <c r="U121" s="191">
        <f t="shared" si="28"/>
        <v>0</v>
      </c>
      <c r="V121" s="230"/>
      <c r="W121" s="232"/>
      <c r="X121" s="46"/>
      <c r="Y121" s="167">
        <f t="shared" si="22"/>
        <v>415350</v>
      </c>
      <c r="Z121" s="167">
        <f t="shared" si="23"/>
        <v>0</v>
      </c>
      <c r="AA121" s="167">
        <f t="shared" si="24"/>
        <v>415350</v>
      </c>
      <c r="AB121" s="167">
        <f t="shared" si="25"/>
        <v>0</v>
      </c>
      <c r="AC121" s="167">
        <f t="shared" si="26"/>
        <v>0</v>
      </c>
      <c r="AD121" s="167">
        <f t="shared" si="27"/>
        <v>0</v>
      </c>
      <c r="AF121" s="47">
        <f t="shared" si="21"/>
        <v>1</v>
      </c>
      <c r="AG121" s="202" t="str">
        <f t="shared" si="13"/>
        <v>Izabela Malarecka Passenger and good elevator</v>
      </c>
      <c r="AH121" s="172"/>
      <c r="AI121" s="173"/>
      <c r="AJ121" s="173"/>
      <c r="AK121" s="173"/>
      <c r="AL121" s="173"/>
      <c r="AM121" s="173"/>
      <c r="AN121" s="173"/>
      <c r="AO121" s="173"/>
      <c r="AP121" s="173"/>
      <c r="AQ121" s="173"/>
      <c r="AR121" s="173"/>
      <c r="AS121" s="173"/>
      <c r="AT121" s="173"/>
      <c r="AU121" s="173"/>
      <c r="AV121" s="173"/>
      <c r="AW121" s="173"/>
      <c r="AX121" s="173"/>
      <c r="AY121" s="173"/>
      <c r="AZ121" s="173"/>
      <c r="BA121" s="173"/>
      <c r="BB121" s="173"/>
      <c r="BC121" s="173"/>
      <c r="BD121" s="173"/>
      <c r="BE121" s="173"/>
      <c r="BF121" s="173"/>
      <c r="BG121" s="173"/>
      <c r="BH121" s="173"/>
      <c r="BI121" s="173"/>
      <c r="BJ121" s="173"/>
      <c r="BK121" s="173"/>
      <c r="BL121" s="173"/>
      <c r="BM121" s="173"/>
      <c r="BN121" s="173"/>
      <c r="BO121" s="173"/>
      <c r="BP121" s="173"/>
      <c r="BQ121" s="173"/>
      <c r="BR121" s="173"/>
      <c r="BS121" s="173"/>
      <c r="BT121" s="173"/>
      <c r="BU121" s="173"/>
      <c r="BV121" s="173"/>
      <c r="BW121" s="173"/>
      <c r="BX121" s="173"/>
      <c r="BY121" s="173"/>
      <c r="BZ121" s="173"/>
      <c r="CA121" s="173"/>
      <c r="CB121" s="173"/>
      <c r="CC121" s="173"/>
      <c r="CD121" s="173"/>
      <c r="CE121" s="173"/>
      <c r="CF121" s="173"/>
      <c r="CG121" s="173"/>
      <c r="CH121" s="173"/>
      <c r="CI121" s="173"/>
      <c r="CJ121" s="173"/>
      <c r="CK121" s="173"/>
      <c r="CL121" s="173"/>
      <c r="CM121" s="173"/>
      <c r="CN121" s="173"/>
      <c r="CO121" s="173"/>
      <c r="CP121" s="173"/>
      <c r="CQ121" s="173"/>
      <c r="CR121" s="173"/>
      <c r="CS121" s="173"/>
      <c r="CT121" s="173"/>
      <c r="CU121" s="173"/>
      <c r="CV121" s="173"/>
      <c r="CW121" s="173"/>
      <c r="CX121" s="173"/>
      <c r="CY121" s="151"/>
      <c r="CZ121" s="151"/>
      <c r="DA121" s="151"/>
      <c r="DB121" s="151"/>
      <c r="DC121" s="151"/>
      <c r="DD121" s="151"/>
      <c r="DE121" s="151"/>
      <c r="DF121" s="151"/>
      <c r="DG121" s="151"/>
      <c r="DH121" s="151"/>
      <c r="DI121" s="151"/>
      <c r="DJ121" s="151"/>
      <c r="DK121" s="151"/>
      <c r="DL121" s="151"/>
      <c r="DM121" s="151"/>
      <c r="DN121" s="151"/>
      <c r="DO121" s="151"/>
      <c r="DP121" s="151"/>
      <c r="DQ121" s="151"/>
      <c r="DR121" s="151"/>
      <c r="DS121" s="151"/>
      <c r="DT121" s="151"/>
      <c r="DU121" s="151"/>
      <c r="DV121" s="151"/>
      <c r="DW121" s="151"/>
      <c r="DX121" s="151"/>
      <c r="DY121" s="151"/>
      <c r="DZ121" s="151"/>
      <c r="EA121" s="151"/>
      <c r="EB121" s="151"/>
      <c r="EC121" s="151"/>
      <c r="ED121" s="151"/>
      <c r="EE121" s="151"/>
      <c r="EF121" s="151"/>
      <c r="EG121" s="151"/>
      <c r="EH121" s="151"/>
      <c r="EI121" s="151"/>
      <c r="EJ121" s="151"/>
      <c r="EK121" s="151"/>
      <c r="EL121" s="151"/>
      <c r="EM121" s="151"/>
      <c r="EN121" s="151"/>
      <c r="EO121" s="151"/>
      <c r="EP121" s="151"/>
      <c r="EQ121" s="151"/>
      <c r="ER121" s="151"/>
      <c r="ES121" s="151"/>
      <c r="ET121" s="151"/>
      <c r="EU121" s="151"/>
      <c r="EV121" s="151"/>
      <c r="EW121" s="151"/>
      <c r="EX121" s="151"/>
      <c r="EY121" s="151"/>
      <c r="EZ121" s="151"/>
      <c r="FA121" s="151"/>
      <c r="FB121" s="151"/>
      <c r="FC121" s="151"/>
      <c r="FD121" s="151"/>
      <c r="FE121" s="151"/>
      <c r="FF121" s="151"/>
      <c r="FG121" s="151"/>
      <c r="FH121" s="151"/>
      <c r="FI121" s="151"/>
      <c r="FJ121" s="151"/>
      <c r="FK121" s="151"/>
      <c r="FL121" s="151"/>
      <c r="FM121" s="151"/>
      <c r="FN121" s="151"/>
      <c r="FO121" s="151"/>
      <c r="FP121" s="151"/>
      <c r="FQ121" s="151"/>
      <c r="FR121" s="151"/>
      <c r="FS121" s="151"/>
      <c r="FT121" s="151"/>
      <c r="FU121" s="151"/>
      <c r="FV121" s="151"/>
      <c r="FW121" s="151"/>
      <c r="FX121" s="151"/>
      <c r="FY121" s="151"/>
      <c r="FZ121" s="151"/>
      <c r="GA121" s="151"/>
      <c r="GB121" s="151"/>
      <c r="GC121" s="151"/>
      <c r="GD121" s="151"/>
      <c r="GE121" s="151"/>
      <c r="GF121" s="151"/>
      <c r="GG121" s="152"/>
    </row>
    <row r="122" spans="1:189" x14ac:dyDescent="0.35">
      <c r="A122" s="222" t="s">
        <v>703</v>
      </c>
      <c r="B122" s="221" t="s">
        <v>1072</v>
      </c>
      <c r="C122" s="221"/>
      <c r="D122" s="222"/>
      <c r="E122" s="221" t="s">
        <v>293</v>
      </c>
      <c r="F122" s="221" t="s">
        <v>711</v>
      </c>
      <c r="G122" s="223">
        <v>2</v>
      </c>
      <c r="H122" s="224"/>
      <c r="I122" s="225"/>
      <c r="J122" s="225"/>
      <c r="K122" s="225"/>
      <c r="L122" s="226">
        <v>46174</v>
      </c>
      <c r="M122" s="226">
        <v>46234</v>
      </c>
      <c r="N122" s="226"/>
      <c r="O122" s="226">
        <v>46235</v>
      </c>
      <c r="P122" s="226">
        <v>46477</v>
      </c>
      <c r="Q122" s="227" t="s">
        <v>11</v>
      </c>
      <c r="R122" s="228">
        <v>98643.6</v>
      </c>
      <c r="S122" s="228">
        <v>98643.6</v>
      </c>
      <c r="T122" s="228"/>
      <c r="U122" s="191">
        <f t="shared" si="28"/>
        <v>0</v>
      </c>
      <c r="V122" s="230"/>
      <c r="W122" s="232"/>
      <c r="X122" s="46"/>
      <c r="Y122" s="167">
        <f t="shared" si="22"/>
        <v>98643.6</v>
      </c>
      <c r="Z122" s="167">
        <f t="shared" si="23"/>
        <v>0</v>
      </c>
      <c r="AA122" s="167">
        <f t="shared" si="24"/>
        <v>98643.6</v>
      </c>
      <c r="AB122" s="167">
        <f t="shared" si="25"/>
        <v>0</v>
      </c>
      <c r="AC122" s="167">
        <f t="shared" si="26"/>
        <v>0</v>
      </c>
      <c r="AD122" s="167">
        <f t="shared" si="27"/>
        <v>0</v>
      </c>
      <c r="AF122" s="180">
        <f t="shared" si="21"/>
        <v>1</v>
      </c>
      <c r="AG122" s="202" t="str">
        <f t="shared" si="13"/>
        <v>Izabela Malarecka Passenger elevator</v>
      </c>
      <c r="AH122" s="172"/>
      <c r="AI122" s="173"/>
      <c r="AJ122" s="173"/>
      <c r="AK122" s="173"/>
      <c r="AL122" s="173"/>
      <c r="AM122" s="173"/>
      <c r="AN122" s="173"/>
      <c r="AO122" s="173"/>
      <c r="AP122" s="173"/>
      <c r="AQ122" s="173"/>
      <c r="AR122" s="173"/>
      <c r="AS122" s="173"/>
      <c r="AT122" s="173"/>
      <c r="AU122" s="173"/>
      <c r="AV122" s="173"/>
      <c r="AW122" s="173"/>
      <c r="AX122" s="173"/>
      <c r="AY122" s="173"/>
      <c r="AZ122" s="173"/>
      <c r="BA122" s="173"/>
      <c r="BB122" s="173"/>
      <c r="BC122" s="173"/>
      <c r="BD122" s="173"/>
      <c r="BE122" s="173"/>
      <c r="BF122" s="173"/>
      <c r="BG122" s="173"/>
      <c r="BH122" s="173"/>
      <c r="BI122" s="173"/>
      <c r="BJ122" s="173"/>
      <c r="BK122" s="173"/>
      <c r="BL122" s="173"/>
      <c r="BM122" s="173"/>
      <c r="BN122" s="173"/>
      <c r="BO122" s="173"/>
      <c r="BP122" s="173"/>
      <c r="BQ122" s="173"/>
      <c r="BR122" s="173"/>
      <c r="BS122" s="173"/>
      <c r="BT122" s="173"/>
      <c r="BU122" s="173"/>
      <c r="BV122" s="173"/>
      <c r="BW122" s="173"/>
      <c r="BX122" s="173"/>
      <c r="BY122" s="173"/>
      <c r="BZ122" s="173"/>
      <c r="CA122" s="173"/>
      <c r="CB122" s="173"/>
      <c r="CC122" s="173"/>
      <c r="CD122" s="173"/>
      <c r="CE122" s="173"/>
      <c r="CF122" s="173"/>
      <c r="CG122" s="173"/>
      <c r="CH122" s="173"/>
      <c r="CI122" s="173"/>
      <c r="CJ122" s="173"/>
      <c r="CK122" s="173"/>
      <c r="CL122" s="173"/>
      <c r="CM122" s="173"/>
      <c r="CN122" s="173"/>
      <c r="CO122" s="173"/>
      <c r="CP122" s="173"/>
      <c r="CQ122" s="173"/>
      <c r="CR122" s="173"/>
      <c r="CS122" s="173"/>
      <c r="CT122" s="173"/>
      <c r="CU122" s="173"/>
      <c r="CV122" s="173"/>
      <c r="CW122" s="173"/>
      <c r="CX122" s="173"/>
      <c r="CY122" s="151"/>
      <c r="CZ122" s="151"/>
      <c r="DA122" s="151"/>
      <c r="DB122" s="151"/>
      <c r="DC122" s="151"/>
      <c r="DD122" s="151"/>
      <c r="DE122" s="151"/>
      <c r="DF122" s="151"/>
      <c r="DG122" s="151"/>
      <c r="DH122" s="151"/>
      <c r="DI122" s="151"/>
      <c r="DJ122" s="151"/>
      <c r="DK122" s="151"/>
      <c r="DL122" s="151"/>
      <c r="DM122" s="151"/>
      <c r="DN122" s="151"/>
      <c r="DO122" s="151"/>
      <c r="DP122" s="151"/>
      <c r="DQ122" s="151"/>
      <c r="DR122" s="151"/>
      <c r="DS122" s="151"/>
      <c r="DT122" s="151"/>
      <c r="DU122" s="151"/>
      <c r="DV122" s="151"/>
      <c r="DW122" s="151"/>
      <c r="DX122" s="151"/>
      <c r="DY122" s="151"/>
      <c r="DZ122" s="151"/>
      <c r="EA122" s="151"/>
      <c r="EB122" s="151"/>
      <c r="EC122" s="151"/>
      <c r="ED122" s="151"/>
      <c r="EE122" s="151"/>
      <c r="EF122" s="151"/>
      <c r="EG122" s="151"/>
      <c r="EH122" s="151"/>
      <c r="EI122" s="151"/>
      <c r="EJ122" s="151"/>
      <c r="EK122" s="151"/>
      <c r="EL122" s="151"/>
      <c r="EM122" s="151"/>
      <c r="EN122" s="151"/>
      <c r="EO122" s="151"/>
      <c r="EP122" s="151"/>
      <c r="EQ122" s="151"/>
      <c r="ER122" s="151"/>
      <c r="ES122" s="151"/>
      <c r="ET122" s="151"/>
      <c r="EU122" s="151"/>
      <c r="EV122" s="151"/>
      <c r="EW122" s="151"/>
      <c r="EX122" s="151"/>
      <c r="EY122" s="151"/>
      <c r="EZ122" s="151"/>
      <c r="FA122" s="151"/>
      <c r="FB122" s="151"/>
      <c r="FC122" s="151"/>
      <c r="FD122" s="151"/>
      <c r="FE122" s="151"/>
      <c r="FF122" s="151"/>
      <c r="FG122" s="151"/>
      <c r="FH122" s="151"/>
      <c r="FI122" s="151"/>
      <c r="FJ122" s="151"/>
      <c r="FK122" s="151"/>
      <c r="FL122" s="151"/>
      <c r="FM122" s="151"/>
      <c r="FN122" s="151"/>
      <c r="FO122" s="151"/>
      <c r="FP122" s="151"/>
      <c r="FQ122" s="151"/>
      <c r="FR122" s="151"/>
      <c r="FS122" s="151"/>
      <c r="FT122" s="151"/>
      <c r="FU122" s="151"/>
      <c r="FV122" s="151"/>
      <c r="FW122" s="151"/>
      <c r="FX122" s="151"/>
      <c r="FY122" s="151"/>
      <c r="FZ122" s="151"/>
      <c r="GA122" s="151"/>
      <c r="GB122" s="151"/>
      <c r="GC122" s="151"/>
      <c r="GD122" s="151"/>
      <c r="GE122" s="151"/>
      <c r="GF122" s="151"/>
      <c r="GG122" s="152"/>
    </row>
    <row r="123" spans="1:189" x14ac:dyDescent="0.35">
      <c r="A123" s="237" t="s">
        <v>704</v>
      </c>
      <c r="B123" s="236" t="s">
        <v>1066</v>
      </c>
      <c r="C123" s="236"/>
      <c r="D123" s="237"/>
      <c r="E123" s="236" t="s">
        <v>294</v>
      </c>
      <c r="F123" s="236" t="s">
        <v>708</v>
      </c>
      <c r="G123" s="238">
        <v>2</v>
      </c>
      <c r="H123" s="239"/>
      <c r="I123" s="240"/>
      <c r="J123" s="240"/>
      <c r="K123" s="240"/>
      <c r="L123" s="241">
        <v>46174</v>
      </c>
      <c r="M123" s="241">
        <v>46234</v>
      </c>
      <c r="N123" s="241"/>
      <c r="O123" s="241">
        <v>46235</v>
      </c>
      <c r="P123" s="241">
        <v>46477</v>
      </c>
      <c r="Q123" s="242" t="s">
        <v>45</v>
      </c>
      <c r="R123" s="243">
        <v>551900</v>
      </c>
      <c r="S123" s="243">
        <v>551900</v>
      </c>
      <c r="T123" s="243"/>
      <c r="U123" s="191">
        <f t="shared" si="28"/>
        <v>0</v>
      </c>
      <c r="V123" s="244"/>
      <c r="W123" s="245"/>
      <c r="X123" s="46"/>
      <c r="Y123" s="167">
        <f t="shared" si="22"/>
        <v>551900</v>
      </c>
      <c r="Z123" s="167">
        <f t="shared" si="23"/>
        <v>0</v>
      </c>
      <c r="AA123" s="167">
        <f t="shared" si="24"/>
        <v>551900</v>
      </c>
      <c r="AB123" s="167">
        <f t="shared" si="25"/>
        <v>0</v>
      </c>
      <c r="AC123" s="167">
        <f t="shared" si="26"/>
        <v>0</v>
      </c>
      <c r="AD123" s="167">
        <f t="shared" si="27"/>
        <v>0</v>
      </c>
      <c r="AF123" s="47">
        <f t="shared" si="21"/>
        <v>1</v>
      </c>
      <c r="AG123" s="202" t="str">
        <f t="shared" si="13"/>
        <v>Stanisław Rucki Weigh bridge</v>
      </c>
      <c r="AH123" s="172"/>
      <c r="AI123" s="173"/>
      <c r="AJ123" s="173"/>
      <c r="AK123" s="173"/>
      <c r="AL123" s="173"/>
      <c r="AM123" s="173"/>
      <c r="AN123" s="173"/>
      <c r="AO123" s="173"/>
      <c r="AP123" s="173"/>
      <c r="AQ123" s="173"/>
      <c r="AR123" s="173"/>
      <c r="AS123" s="173"/>
      <c r="AT123" s="173"/>
      <c r="AU123" s="173"/>
      <c r="AV123" s="173"/>
      <c r="AW123" s="173"/>
      <c r="AX123" s="173"/>
      <c r="AY123" s="173"/>
      <c r="AZ123" s="173"/>
      <c r="BA123" s="173"/>
      <c r="BB123" s="173"/>
      <c r="BC123" s="173"/>
      <c r="BD123" s="173"/>
      <c r="BE123" s="173"/>
      <c r="BF123" s="173"/>
      <c r="BG123" s="173"/>
      <c r="BH123" s="173"/>
      <c r="BI123" s="173"/>
      <c r="BJ123" s="173"/>
      <c r="BK123" s="173"/>
      <c r="BL123" s="173"/>
      <c r="BM123" s="173"/>
      <c r="BN123" s="173"/>
      <c r="BO123" s="173"/>
      <c r="BP123" s="173"/>
      <c r="BQ123" s="173"/>
      <c r="BR123" s="173"/>
      <c r="BS123" s="173"/>
      <c r="BT123" s="173"/>
      <c r="BU123" s="173"/>
      <c r="BV123" s="173"/>
      <c r="BW123" s="173"/>
      <c r="BX123" s="173"/>
      <c r="BY123" s="173"/>
      <c r="BZ123" s="173"/>
      <c r="CA123" s="173"/>
      <c r="CB123" s="173"/>
      <c r="CC123" s="173"/>
      <c r="CD123" s="173"/>
      <c r="CE123" s="173"/>
      <c r="CF123" s="173"/>
      <c r="CG123" s="173"/>
      <c r="CH123" s="173"/>
      <c r="CI123" s="173"/>
      <c r="CJ123" s="173"/>
      <c r="CK123" s="173"/>
      <c r="CL123" s="173"/>
      <c r="CM123" s="173"/>
      <c r="CN123" s="173"/>
      <c r="CO123" s="173"/>
      <c r="CP123" s="173"/>
      <c r="CQ123" s="173"/>
      <c r="CR123" s="173"/>
      <c r="CS123" s="173"/>
      <c r="CT123" s="173"/>
      <c r="CU123" s="173"/>
      <c r="CV123" s="173"/>
      <c r="CW123" s="173"/>
      <c r="CX123" s="173"/>
      <c r="CY123" s="151"/>
      <c r="CZ123" s="151"/>
      <c r="DA123" s="151"/>
      <c r="DB123" s="151"/>
      <c r="DC123" s="151"/>
      <c r="DD123" s="151"/>
      <c r="DE123" s="151"/>
      <c r="DF123" s="151"/>
      <c r="DG123" s="151"/>
      <c r="DH123" s="151"/>
      <c r="DI123" s="151"/>
      <c r="DJ123" s="151"/>
      <c r="DK123" s="151"/>
      <c r="DL123" s="151"/>
      <c r="DM123" s="151"/>
      <c r="DN123" s="151"/>
      <c r="DO123" s="151"/>
      <c r="DP123" s="151"/>
      <c r="DQ123" s="151"/>
      <c r="DR123" s="151"/>
      <c r="DS123" s="151"/>
      <c r="DT123" s="151"/>
      <c r="DU123" s="151"/>
      <c r="DV123" s="151"/>
      <c r="DW123" s="151"/>
      <c r="DX123" s="151"/>
      <c r="DY123" s="151"/>
      <c r="DZ123" s="151"/>
      <c r="EA123" s="151"/>
      <c r="EB123" s="151"/>
      <c r="EC123" s="151"/>
      <c r="ED123" s="151"/>
      <c r="EE123" s="151"/>
      <c r="EF123" s="151"/>
      <c r="EG123" s="151"/>
      <c r="EH123" s="151"/>
      <c r="EI123" s="151"/>
      <c r="EJ123" s="151"/>
      <c r="EK123" s="151"/>
      <c r="EL123" s="151"/>
      <c r="EM123" s="151"/>
      <c r="EN123" s="151"/>
      <c r="EO123" s="151"/>
      <c r="EP123" s="151"/>
      <c r="EQ123" s="151"/>
      <c r="ER123" s="151"/>
      <c r="ES123" s="151"/>
      <c r="ET123" s="151"/>
      <c r="EU123" s="151"/>
      <c r="EV123" s="151"/>
      <c r="EW123" s="151"/>
      <c r="EX123" s="151"/>
      <c r="EY123" s="151"/>
      <c r="EZ123" s="151"/>
      <c r="FA123" s="151"/>
      <c r="FB123" s="151"/>
      <c r="FC123" s="151"/>
      <c r="FD123" s="151"/>
      <c r="FE123" s="151"/>
      <c r="FF123" s="151"/>
      <c r="FG123" s="151"/>
      <c r="FH123" s="151"/>
      <c r="FI123" s="151"/>
      <c r="FJ123" s="151"/>
      <c r="FK123" s="151"/>
      <c r="FL123" s="151"/>
      <c r="FM123" s="151"/>
      <c r="FN123" s="151"/>
      <c r="FO123" s="151"/>
      <c r="FP123" s="151"/>
      <c r="FQ123" s="151"/>
      <c r="FR123" s="151"/>
      <c r="FS123" s="151"/>
      <c r="FT123" s="151"/>
      <c r="FU123" s="151"/>
      <c r="FV123" s="151"/>
      <c r="FW123" s="151"/>
      <c r="FX123" s="151"/>
      <c r="FY123" s="151"/>
      <c r="FZ123" s="151"/>
      <c r="GA123" s="151"/>
      <c r="GB123" s="151"/>
      <c r="GC123" s="151"/>
      <c r="GD123" s="151"/>
      <c r="GE123" s="151"/>
      <c r="GF123" s="151"/>
      <c r="GG123" s="152"/>
    </row>
    <row r="124" spans="1:189" x14ac:dyDescent="0.35">
      <c r="A124" s="237" t="s">
        <v>705</v>
      </c>
      <c r="B124" s="236"/>
      <c r="C124" s="236"/>
      <c r="D124" s="237"/>
      <c r="E124" s="236" t="s">
        <v>295</v>
      </c>
      <c r="F124" s="236" t="s">
        <v>713</v>
      </c>
      <c r="G124" s="238">
        <v>2</v>
      </c>
      <c r="H124" s="239"/>
      <c r="I124" s="240"/>
      <c r="J124" s="240"/>
      <c r="K124" s="240"/>
      <c r="L124" s="241"/>
      <c r="M124" s="241"/>
      <c r="N124" s="241"/>
      <c r="O124" s="241"/>
      <c r="P124" s="241"/>
      <c r="Q124" s="242"/>
      <c r="R124" s="243"/>
      <c r="S124" s="243"/>
      <c r="T124" s="243"/>
      <c r="U124" s="191">
        <f t="shared" si="28"/>
        <v>0</v>
      </c>
      <c r="V124" s="244"/>
      <c r="W124" s="245"/>
      <c r="X124" s="46"/>
      <c r="Y124" s="167">
        <f t="shared" si="22"/>
        <v>0</v>
      </c>
      <c r="Z124" s="167">
        <f t="shared" si="23"/>
        <v>0</v>
      </c>
      <c r="AA124" s="167">
        <f t="shared" si="24"/>
        <v>0</v>
      </c>
      <c r="AB124" s="167">
        <f t="shared" si="25"/>
        <v>0</v>
      </c>
      <c r="AC124" s="167">
        <f t="shared" si="26"/>
        <v>0</v>
      </c>
      <c r="AD124" s="167">
        <f t="shared" si="27"/>
        <v>0</v>
      </c>
      <c r="AF124" s="180">
        <f t="shared" si="21"/>
        <v>0</v>
      </c>
      <c r="AG124" s="202" t="str">
        <f t="shared" si="13"/>
        <v xml:space="preserve"> Roads and pavements</v>
      </c>
      <c r="AH124" s="172"/>
      <c r="AI124" s="173"/>
      <c r="AJ124" s="173"/>
      <c r="AK124" s="173"/>
      <c r="AL124" s="173"/>
      <c r="AM124" s="173"/>
      <c r="AN124" s="173"/>
      <c r="AO124" s="173"/>
      <c r="AP124" s="173"/>
      <c r="AQ124" s="173"/>
      <c r="AR124" s="173"/>
      <c r="AS124" s="173"/>
      <c r="AT124" s="173"/>
      <c r="AU124" s="173"/>
      <c r="AV124" s="173"/>
      <c r="AW124" s="173"/>
      <c r="AX124" s="173"/>
      <c r="AY124" s="173"/>
      <c r="AZ124" s="173"/>
      <c r="BA124" s="173"/>
      <c r="BB124" s="173"/>
      <c r="BC124" s="173"/>
      <c r="BD124" s="173"/>
      <c r="BE124" s="173"/>
      <c r="BF124" s="173"/>
      <c r="BG124" s="173"/>
      <c r="BH124" s="173"/>
      <c r="BI124" s="173"/>
      <c r="BJ124" s="173"/>
      <c r="BK124" s="173"/>
      <c r="BL124" s="173"/>
      <c r="BM124" s="173"/>
      <c r="BN124" s="173"/>
      <c r="BO124" s="173"/>
      <c r="BP124" s="173"/>
      <c r="BQ124" s="173"/>
      <c r="BR124" s="173"/>
      <c r="BS124" s="173"/>
      <c r="BT124" s="173"/>
      <c r="BU124" s="173"/>
      <c r="BV124" s="173"/>
      <c r="BW124" s="173"/>
      <c r="BX124" s="173"/>
      <c r="BY124" s="173"/>
      <c r="BZ124" s="173"/>
      <c r="CA124" s="173"/>
      <c r="CB124" s="173"/>
      <c r="CC124" s="173"/>
      <c r="CD124" s="173"/>
      <c r="CE124" s="173"/>
      <c r="CF124" s="173"/>
      <c r="CG124" s="173"/>
      <c r="CH124" s="173"/>
      <c r="CI124" s="173"/>
      <c r="CJ124" s="173"/>
      <c r="CK124" s="173"/>
      <c r="CL124" s="173"/>
      <c r="CM124" s="173"/>
      <c r="CN124" s="173"/>
      <c r="CO124" s="173"/>
      <c r="CP124" s="173"/>
      <c r="CQ124" s="173"/>
      <c r="CR124" s="173"/>
      <c r="CS124" s="173"/>
      <c r="CT124" s="173"/>
      <c r="CU124" s="173"/>
      <c r="CV124" s="173"/>
      <c r="CW124" s="173"/>
      <c r="CX124" s="173"/>
      <c r="CY124" s="151"/>
      <c r="CZ124" s="151"/>
      <c r="DA124" s="151"/>
      <c r="DB124" s="151"/>
      <c r="DC124" s="151"/>
      <c r="DD124" s="151"/>
      <c r="DE124" s="151"/>
      <c r="DF124" s="151"/>
      <c r="DG124" s="151"/>
      <c r="DH124" s="151"/>
      <c r="DI124" s="151"/>
      <c r="DJ124" s="151"/>
      <c r="DK124" s="151"/>
      <c r="DL124" s="151"/>
      <c r="DM124" s="151"/>
      <c r="DN124" s="151"/>
      <c r="DO124" s="151"/>
      <c r="DP124" s="151"/>
      <c r="DQ124" s="151"/>
      <c r="DR124" s="151"/>
      <c r="DS124" s="151"/>
      <c r="DT124" s="151"/>
      <c r="DU124" s="151"/>
      <c r="DV124" s="151"/>
      <c r="DW124" s="151"/>
      <c r="DX124" s="151"/>
      <c r="DY124" s="151"/>
      <c r="DZ124" s="151"/>
      <c r="EA124" s="151"/>
      <c r="EB124" s="151"/>
      <c r="EC124" s="151"/>
      <c r="ED124" s="151"/>
      <c r="EE124" s="151"/>
      <c r="EF124" s="151"/>
      <c r="EG124" s="151"/>
      <c r="EH124" s="151"/>
      <c r="EI124" s="151"/>
      <c r="EJ124" s="151"/>
      <c r="EK124" s="151"/>
      <c r="EL124" s="151"/>
      <c r="EM124" s="151"/>
      <c r="EN124" s="151"/>
      <c r="EO124" s="151"/>
      <c r="EP124" s="151"/>
      <c r="EQ124" s="151"/>
      <c r="ER124" s="151"/>
      <c r="ES124" s="151"/>
      <c r="ET124" s="151"/>
      <c r="EU124" s="151"/>
      <c r="EV124" s="151"/>
      <c r="EW124" s="151"/>
      <c r="EX124" s="151"/>
      <c r="EY124" s="151"/>
      <c r="EZ124" s="151"/>
      <c r="FA124" s="151"/>
      <c r="FB124" s="151"/>
      <c r="FC124" s="151"/>
      <c r="FD124" s="151"/>
      <c r="FE124" s="151"/>
      <c r="FF124" s="151"/>
      <c r="FG124" s="151"/>
      <c r="FH124" s="151"/>
      <c r="FI124" s="151"/>
      <c r="FJ124" s="151"/>
      <c r="FK124" s="151"/>
      <c r="FL124" s="151"/>
      <c r="FM124" s="151"/>
      <c r="FN124" s="151"/>
      <c r="FO124" s="151"/>
      <c r="FP124" s="151"/>
      <c r="FQ124" s="151"/>
      <c r="FR124" s="151"/>
      <c r="FS124" s="151"/>
      <c r="FT124" s="151"/>
      <c r="FU124" s="151"/>
      <c r="FV124" s="151"/>
      <c r="FW124" s="151"/>
      <c r="FX124" s="151"/>
      <c r="FY124" s="151"/>
      <c r="FZ124" s="151"/>
      <c r="GA124" s="151"/>
      <c r="GB124" s="151"/>
      <c r="GC124" s="151"/>
      <c r="GD124" s="151"/>
      <c r="GE124" s="151"/>
      <c r="GF124" s="151"/>
      <c r="GG124" s="152"/>
    </row>
    <row r="125" spans="1:189" x14ac:dyDescent="0.35">
      <c r="A125" s="297" t="s">
        <v>706</v>
      </c>
      <c r="B125" s="298" t="s">
        <v>1063</v>
      </c>
      <c r="C125" s="298"/>
      <c r="D125" s="299"/>
      <c r="E125" s="298" t="s">
        <v>296</v>
      </c>
      <c r="F125" s="298" t="s">
        <v>714</v>
      </c>
      <c r="G125" s="300">
        <v>2</v>
      </c>
      <c r="H125" s="301"/>
      <c r="I125" s="302"/>
      <c r="J125" s="302"/>
      <c r="K125" s="302"/>
      <c r="L125" s="303">
        <v>46266</v>
      </c>
      <c r="M125" s="303">
        <v>46326</v>
      </c>
      <c r="N125" s="303"/>
      <c r="O125" s="303">
        <v>46327</v>
      </c>
      <c r="P125" s="303">
        <v>46752</v>
      </c>
      <c r="Q125" s="304" t="s">
        <v>45</v>
      </c>
      <c r="R125" s="305">
        <v>4457840.2257410437</v>
      </c>
      <c r="S125" s="305">
        <v>4457840.2257410437</v>
      </c>
      <c r="T125" s="305"/>
      <c r="U125" s="191">
        <f t="shared" si="28"/>
        <v>0</v>
      </c>
      <c r="V125" s="306"/>
      <c r="W125" s="307"/>
      <c r="X125" s="46"/>
      <c r="Y125" s="167">
        <f t="shared" si="22"/>
        <v>4457840.2257410437</v>
      </c>
      <c r="Z125" s="167">
        <f t="shared" si="23"/>
        <v>0</v>
      </c>
      <c r="AA125" s="167">
        <f t="shared" si="24"/>
        <v>4457840.2257410437</v>
      </c>
      <c r="AB125" s="167">
        <f t="shared" si="25"/>
        <v>0</v>
      </c>
      <c r="AC125" s="167">
        <f t="shared" si="26"/>
        <v>0</v>
      </c>
      <c r="AD125" s="167">
        <f t="shared" si="27"/>
        <v>0</v>
      </c>
      <c r="AF125" s="47">
        <f t="shared" si="21"/>
        <v>1</v>
      </c>
      <c r="AG125" s="202" t="str">
        <f t="shared" si="13"/>
        <v>Agnieszka Zając Internal road</v>
      </c>
      <c r="AH125" s="172"/>
      <c r="AI125" s="173"/>
      <c r="AJ125" s="173"/>
      <c r="AK125" s="173"/>
      <c r="AL125" s="173"/>
      <c r="AM125" s="173"/>
      <c r="AN125" s="173"/>
      <c r="AO125" s="173"/>
      <c r="AP125" s="173"/>
      <c r="AQ125" s="173"/>
      <c r="AR125" s="173"/>
      <c r="AS125" s="173"/>
      <c r="AT125" s="173"/>
      <c r="AU125" s="173"/>
      <c r="AV125" s="173"/>
      <c r="AW125" s="173"/>
      <c r="AX125" s="173"/>
      <c r="AY125" s="173"/>
      <c r="AZ125" s="173"/>
      <c r="BA125" s="173"/>
      <c r="BB125" s="173"/>
      <c r="BC125" s="173"/>
      <c r="BD125" s="173"/>
      <c r="BE125" s="173"/>
      <c r="BF125" s="173"/>
      <c r="BG125" s="173"/>
      <c r="BH125" s="173"/>
      <c r="BI125" s="173"/>
      <c r="BJ125" s="173"/>
      <c r="BK125" s="173"/>
      <c r="BL125" s="173"/>
      <c r="BM125" s="173"/>
      <c r="BN125" s="173"/>
      <c r="BO125" s="173"/>
      <c r="BP125" s="173"/>
      <c r="BQ125" s="173"/>
      <c r="BR125" s="173"/>
      <c r="BS125" s="173"/>
      <c r="BT125" s="173"/>
      <c r="BU125" s="173"/>
      <c r="BV125" s="173"/>
      <c r="BW125" s="173"/>
      <c r="BX125" s="173"/>
      <c r="BY125" s="173"/>
      <c r="BZ125" s="173"/>
      <c r="CA125" s="173"/>
      <c r="CB125" s="173"/>
      <c r="CC125" s="173"/>
      <c r="CD125" s="173"/>
      <c r="CE125" s="173"/>
      <c r="CF125" s="173"/>
      <c r="CG125" s="173"/>
      <c r="CH125" s="173"/>
      <c r="CI125" s="173"/>
      <c r="CJ125" s="173"/>
      <c r="CK125" s="173"/>
      <c r="CL125" s="173"/>
      <c r="CM125" s="173"/>
      <c r="CN125" s="173"/>
      <c r="CO125" s="173"/>
      <c r="CP125" s="173"/>
      <c r="CQ125" s="173"/>
      <c r="CR125" s="173"/>
      <c r="CS125" s="173"/>
      <c r="CT125" s="173"/>
      <c r="CU125" s="173"/>
      <c r="CV125" s="173"/>
      <c r="CW125" s="173"/>
      <c r="CX125" s="173"/>
      <c r="CY125" s="148"/>
      <c r="CZ125" s="148"/>
      <c r="DA125" s="148"/>
      <c r="DB125" s="148"/>
      <c r="DC125" s="148"/>
      <c r="DD125" s="148"/>
      <c r="DE125" s="148"/>
      <c r="DF125" s="148"/>
      <c r="DG125" s="148"/>
      <c r="DH125" s="148"/>
      <c r="DI125" s="148"/>
      <c r="DJ125" s="148"/>
      <c r="DK125" s="148"/>
      <c r="DL125" s="148"/>
      <c r="DM125" s="148"/>
      <c r="DN125" s="148"/>
      <c r="DO125" s="148"/>
      <c r="DP125" s="148"/>
      <c r="DQ125" s="148"/>
      <c r="DR125" s="148"/>
      <c r="DS125" s="148"/>
      <c r="DT125" s="148"/>
      <c r="DU125" s="148"/>
      <c r="DV125" s="148"/>
      <c r="DW125" s="148"/>
      <c r="DX125" s="148"/>
      <c r="DY125" s="148"/>
      <c r="DZ125" s="148"/>
      <c r="EA125" s="148"/>
      <c r="EB125" s="148"/>
      <c r="EC125" s="148"/>
      <c r="ED125" s="148"/>
      <c r="EE125" s="148"/>
      <c r="EF125" s="148"/>
      <c r="EG125" s="148"/>
      <c r="EH125" s="148"/>
      <c r="EI125" s="148"/>
      <c r="EJ125" s="148"/>
      <c r="EK125" s="148"/>
      <c r="EL125" s="148"/>
      <c r="EM125" s="148"/>
      <c r="EN125" s="148"/>
      <c r="EO125" s="148"/>
      <c r="EP125" s="148"/>
      <c r="EQ125" s="148"/>
      <c r="ER125" s="148"/>
      <c r="ES125" s="148"/>
      <c r="ET125" s="148"/>
      <c r="EU125" s="148"/>
      <c r="EV125" s="148"/>
      <c r="EW125" s="148"/>
      <c r="EX125" s="148"/>
      <c r="EY125" s="148"/>
      <c r="EZ125" s="148"/>
      <c r="FA125" s="148"/>
      <c r="FB125" s="148"/>
      <c r="FC125" s="148"/>
      <c r="FD125" s="148"/>
      <c r="FE125" s="148"/>
      <c r="FF125" s="148"/>
      <c r="FG125" s="148"/>
      <c r="FH125" s="148"/>
      <c r="FI125" s="148"/>
      <c r="FJ125" s="148"/>
      <c r="FK125" s="148"/>
      <c r="FL125" s="148"/>
      <c r="FM125" s="148"/>
      <c r="FN125" s="148"/>
      <c r="FO125" s="148"/>
      <c r="FP125" s="148"/>
      <c r="FQ125" s="148"/>
      <c r="FR125" s="148"/>
      <c r="FS125" s="148"/>
      <c r="FT125" s="148"/>
      <c r="FU125" s="148"/>
      <c r="FV125" s="148"/>
      <c r="FW125" s="148"/>
      <c r="FX125" s="148"/>
      <c r="FY125" s="148"/>
      <c r="FZ125" s="148"/>
      <c r="GA125" s="148"/>
      <c r="GB125" s="148"/>
      <c r="GC125" s="148"/>
      <c r="GD125" s="148"/>
      <c r="GE125" s="148"/>
      <c r="GF125" s="148"/>
      <c r="GG125" s="149"/>
    </row>
    <row r="126" spans="1:189" x14ac:dyDescent="0.35">
      <c r="A126" s="297" t="s">
        <v>707</v>
      </c>
      <c r="B126" s="298" t="s">
        <v>1063</v>
      </c>
      <c r="C126" s="298" t="s">
        <v>1091</v>
      </c>
      <c r="D126" s="299"/>
      <c r="E126" s="298" t="s">
        <v>297</v>
      </c>
      <c r="F126" s="298" t="s">
        <v>715</v>
      </c>
      <c r="G126" s="300">
        <v>2</v>
      </c>
      <c r="H126" s="301"/>
      <c r="I126" s="302"/>
      <c r="J126" s="302"/>
      <c r="K126" s="302"/>
      <c r="L126" s="303"/>
      <c r="M126" s="303"/>
      <c r="N126" s="303"/>
      <c r="O126" s="303">
        <v>46082</v>
      </c>
      <c r="P126" s="303">
        <v>46721</v>
      </c>
      <c r="Q126" s="304" t="s">
        <v>11</v>
      </c>
      <c r="R126" s="305">
        <v>1833166.2735684454</v>
      </c>
      <c r="S126" s="305">
        <f>1833166.27356845-SUM(S127:S129)</f>
        <v>1448126.27356845</v>
      </c>
      <c r="T126" s="305"/>
      <c r="U126" s="191">
        <f t="shared" si="28"/>
        <v>0</v>
      </c>
      <c r="V126" s="306"/>
      <c r="W126" s="307"/>
      <c r="X126" s="46"/>
      <c r="Y126" s="167">
        <f t="shared" si="22"/>
        <v>1448126.27356845</v>
      </c>
      <c r="Z126" s="167">
        <f t="shared" si="23"/>
        <v>0</v>
      </c>
      <c r="AA126" s="167">
        <f t="shared" si="24"/>
        <v>1448126.27356845</v>
      </c>
      <c r="AB126" s="167">
        <f t="shared" si="25"/>
        <v>0</v>
      </c>
      <c r="AC126" s="167">
        <f t="shared" si="26"/>
        <v>0</v>
      </c>
      <c r="AD126" s="167">
        <f t="shared" si="27"/>
        <v>0</v>
      </c>
      <c r="AF126" s="47">
        <f t="shared" si="21"/>
        <v>1</v>
      </c>
      <c r="AG126" s="202" t="str">
        <f t="shared" si="13"/>
        <v>Agnieszka Zając External road</v>
      </c>
      <c r="AH126" s="172"/>
      <c r="AI126" s="173"/>
      <c r="AJ126" s="173"/>
      <c r="AK126" s="173"/>
      <c r="AL126" s="173"/>
      <c r="AM126" s="173"/>
      <c r="AN126" s="173"/>
      <c r="AO126" s="173"/>
      <c r="AP126" s="173"/>
      <c r="AQ126" s="173"/>
      <c r="AR126" s="173"/>
      <c r="AS126" s="173"/>
      <c r="AT126" s="173"/>
      <c r="AU126" s="173"/>
      <c r="AV126" s="173"/>
      <c r="AW126" s="173"/>
      <c r="AX126" s="173"/>
      <c r="AY126" s="173"/>
      <c r="AZ126" s="173"/>
      <c r="BA126" s="173"/>
      <c r="BB126" s="173"/>
      <c r="BC126" s="173"/>
      <c r="BD126" s="173"/>
      <c r="BE126" s="173"/>
      <c r="BF126" s="173"/>
      <c r="BG126" s="173"/>
      <c r="BH126" s="173"/>
      <c r="BI126" s="173"/>
      <c r="BJ126" s="173"/>
      <c r="BK126" s="173"/>
      <c r="BL126" s="173"/>
      <c r="BM126" s="173"/>
      <c r="BN126" s="173"/>
      <c r="BO126" s="173"/>
      <c r="BP126" s="173"/>
      <c r="BQ126" s="173"/>
      <c r="BR126" s="173"/>
      <c r="BS126" s="173"/>
      <c r="BT126" s="173"/>
      <c r="BU126" s="173"/>
      <c r="BV126" s="173"/>
      <c r="BW126" s="173"/>
      <c r="BX126" s="173"/>
      <c r="BY126" s="173"/>
      <c r="BZ126" s="173"/>
      <c r="CA126" s="173"/>
      <c r="CB126" s="173"/>
      <c r="CC126" s="173"/>
      <c r="CD126" s="173"/>
      <c r="CE126" s="173"/>
      <c r="CF126" s="173"/>
      <c r="CG126" s="173"/>
      <c r="CH126" s="173"/>
      <c r="CI126" s="173"/>
      <c r="CJ126" s="173"/>
      <c r="CK126" s="173"/>
      <c r="CL126" s="173"/>
      <c r="CM126" s="173"/>
      <c r="CN126" s="173"/>
      <c r="CO126" s="173"/>
      <c r="CP126" s="173"/>
      <c r="CQ126" s="173"/>
      <c r="CR126" s="173"/>
      <c r="CS126" s="173"/>
      <c r="CT126" s="173"/>
      <c r="CU126" s="173"/>
      <c r="CV126" s="173"/>
      <c r="CW126" s="173"/>
      <c r="CX126" s="173"/>
      <c r="CY126" s="148"/>
      <c r="CZ126" s="148"/>
      <c r="DA126" s="148"/>
      <c r="DB126" s="148"/>
      <c r="DC126" s="148"/>
      <c r="DD126" s="148"/>
      <c r="DE126" s="148"/>
      <c r="DF126" s="148"/>
      <c r="DG126" s="148"/>
      <c r="DH126" s="148"/>
      <c r="DI126" s="148"/>
      <c r="DJ126" s="148"/>
      <c r="DK126" s="148"/>
      <c r="DL126" s="148"/>
      <c r="DM126" s="148"/>
      <c r="DN126" s="148"/>
      <c r="DO126" s="148"/>
      <c r="DP126" s="148"/>
      <c r="DQ126" s="148"/>
      <c r="DR126" s="148"/>
      <c r="DS126" s="148"/>
      <c r="DT126" s="148"/>
      <c r="DU126" s="148"/>
      <c r="DV126" s="148"/>
      <c r="DW126" s="148"/>
      <c r="DX126" s="148"/>
      <c r="DY126" s="148"/>
      <c r="DZ126" s="148"/>
      <c r="EA126" s="148"/>
      <c r="EB126" s="148"/>
      <c r="EC126" s="148"/>
      <c r="ED126" s="148"/>
      <c r="EE126" s="148"/>
      <c r="EF126" s="148"/>
      <c r="EG126" s="148"/>
      <c r="EH126" s="148"/>
      <c r="EI126" s="148"/>
      <c r="EJ126" s="148"/>
      <c r="EK126" s="148"/>
      <c r="EL126" s="148"/>
      <c r="EM126" s="148"/>
      <c r="EN126" s="148"/>
      <c r="EO126" s="148"/>
      <c r="EP126" s="148"/>
      <c r="EQ126" s="148"/>
      <c r="ER126" s="148"/>
      <c r="ES126" s="148"/>
      <c r="ET126" s="148"/>
      <c r="EU126" s="148"/>
      <c r="EV126" s="148"/>
      <c r="EW126" s="148"/>
      <c r="EX126" s="148"/>
      <c r="EY126" s="148"/>
      <c r="EZ126" s="148"/>
      <c r="FA126" s="148"/>
      <c r="FB126" s="148"/>
      <c r="FC126" s="148"/>
      <c r="FD126" s="148"/>
      <c r="FE126" s="148"/>
      <c r="FF126" s="148"/>
      <c r="FG126" s="148"/>
      <c r="FH126" s="148"/>
      <c r="FI126" s="148"/>
      <c r="FJ126" s="148"/>
      <c r="FK126" s="148"/>
      <c r="FL126" s="148"/>
      <c r="FM126" s="148"/>
      <c r="FN126" s="148"/>
      <c r="FO126" s="148"/>
      <c r="FP126" s="148"/>
      <c r="FQ126" s="148"/>
      <c r="FR126" s="148"/>
      <c r="FS126" s="148"/>
      <c r="FT126" s="148"/>
      <c r="FU126" s="148"/>
      <c r="FV126" s="148"/>
      <c r="FW126" s="148"/>
      <c r="FX126" s="148"/>
      <c r="FY126" s="148"/>
      <c r="FZ126" s="148"/>
      <c r="GA126" s="148"/>
      <c r="GB126" s="148"/>
      <c r="GC126" s="148"/>
      <c r="GD126" s="148"/>
      <c r="GE126" s="148"/>
      <c r="GF126" s="148"/>
      <c r="GG126" s="149"/>
    </row>
    <row r="127" spans="1:189" ht="27.75" x14ac:dyDescent="0.35">
      <c r="A127" s="267" t="s">
        <v>1268</v>
      </c>
      <c r="B127" s="221" t="s">
        <v>1063</v>
      </c>
      <c r="C127" s="221" t="s">
        <v>1091</v>
      </c>
      <c r="D127" s="222"/>
      <c r="E127" s="221" t="s">
        <v>1271</v>
      </c>
      <c r="F127" s="221" t="s">
        <v>1273</v>
      </c>
      <c r="G127" s="223">
        <v>2</v>
      </c>
      <c r="H127" s="224" t="s">
        <v>877</v>
      </c>
      <c r="I127" s="225"/>
      <c r="J127" s="225"/>
      <c r="K127" s="225"/>
      <c r="L127" s="226">
        <v>46044</v>
      </c>
      <c r="M127" s="226">
        <v>46122</v>
      </c>
      <c r="N127" s="226">
        <v>46122</v>
      </c>
      <c r="O127" s="226">
        <v>46122</v>
      </c>
      <c r="P127" s="226">
        <v>46721</v>
      </c>
      <c r="Q127" s="227" t="s">
        <v>20</v>
      </c>
      <c r="R127" s="228"/>
      <c r="S127" s="228">
        <v>250640</v>
      </c>
      <c r="T127" s="228">
        <v>250640</v>
      </c>
      <c r="U127" s="191">
        <f t="shared" ref="U127:U129" si="155">IF(Q127="",0,IF(T127="",0,+S127-T127))</f>
        <v>0</v>
      </c>
      <c r="V127" s="230"/>
      <c r="W127" s="231"/>
      <c r="X127" s="46"/>
      <c r="Y127" s="167">
        <f t="shared" ref="Y127:Y129" si="156">IF(G127=2,S127,0)</f>
        <v>250640</v>
      </c>
      <c r="Z127" s="167">
        <f t="shared" ref="Z127:Z129" si="157">IF(Q127="",0,IF(G127=2,T127,0))</f>
        <v>250640</v>
      </c>
      <c r="AA127" s="167">
        <f t="shared" ref="AA127:AA129" si="158">Y127-Z127</f>
        <v>0</v>
      </c>
      <c r="AB127" s="167">
        <f t="shared" ref="AB127:AB129" si="159">IF(G127=1,S127,0)</f>
        <v>0</v>
      </c>
      <c r="AC127" s="167">
        <f t="shared" ref="AC127:AC129" si="160">IF(Q127="",0,IF(G127=1,T127,0))</f>
        <v>0</v>
      </c>
      <c r="AD127" s="167">
        <f t="shared" ref="AD127:AD129" si="161">AB127-AC127</f>
        <v>0</v>
      </c>
      <c r="AF127" s="180">
        <f t="shared" ref="AF127:AF129" si="162">IF(S127&lt;&gt;"",1,0)</f>
        <v>1</v>
      </c>
      <c r="AG127" s="202" t="str">
        <f t="shared" ref="AG127:AG129" si="163">B127&amp;" "&amp;F127</f>
        <v>Agnieszka Zając External road- sub-base construction</v>
      </c>
      <c r="AH127" s="153"/>
      <c r="AI127" s="154"/>
      <c r="AJ127" s="154"/>
      <c r="AK127" s="154"/>
      <c r="AL127" s="154"/>
      <c r="AM127" s="154"/>
      <c r="AN127" s="154"/>
      <c r="AO127" s="154"/>
      <c r="AP127" s="154"/>
      <c r="AQ127" s="154"/>
      <c r="AR127" s="154"/>
      <c r="AS127" s="154"/>
      <c r="AT127" s="154"/>
      <c r="AU127" s="154"/>
      <c r="AV127" s="154"/>
      <c r="AW127" s="154"/>
      <c r="AX127" s="154"/>
      <c r="AY127" s="154"/>
      <c r="AZ127" s="154"/>
      <c r="BA127" s="151"/>
      <c r="BB127" s="151"/>
      <c r="BC127" s="151"/>
      <c r="BD127" s="151"/>
      <c r="BE127" s="151"/>
      <c r="BF127" s="151"/>
      <c r="BG127" s="151"/>
      <c r="BH127" s="151"/>
      <c r="BI127" s="151"/>
      <c r="BJ127" s="151"/>
      <c r="BK127" s="151"/>
      <c r="BL127" s="151"/>
      <c r="BM127" s="151"/>
      <c r="BN127" s="151"/>
      <c r="BO127" s="151"/>
      <c r="BP127" s="151"/>
      <c r="BQ127" s="151"/>
      <c r="BR127" s="151"/>
      <c r="BS127" s="151"/>
      <c r="BT127" s="151"/>
      <c r="BU127" s="151"/>
      <c r="BV127" s="151"/>
      <c r="BW127" s="151"/>
      <c r="BX127" s="151"/>
      <c r="BY127" s="151"/>
      <c r="BZ127" s="151"/>
      <c r="CA127" s="151"/>
      <c r="CB127" s="151"/>
      <c r="CC127" s="151"/>
      <c r="CD127" s="151"/>
      <c r="CE127" s="151"/>
      <c r="CF127" s="151"/>
      <c r="CG127" s="151"/>
      <c r="CH127" s="151"/>
      <c r="CI127" s="151"/>
      <c r="CJ127" s="151"/>
      <c r="CK127" s="151"/>
      <c r="CL127" s="151"/>
      <c r="CM127" s="151"/>
      <c r="CN127" s="151"/>
      <c r="CO127" s="151"/>
      <c r="CP127" s="151"/>
      <c r="CQ127" s="151"/>
      <c r="CR127" s="151"/>
      <c r="CS127" s="151"/>
      <c r="CT127" s="151"/>
      <c r="CU127" s="151"/>
      <c r="CV127" s="151"/>
      <c r="CW127" s="151"/>
      <c r="CX127" s="151"/>
      <c r="CY127" s="151"/>
      <c r="CZ127" s="151"/>
      <c r="DA127" s="151"/>
      <c r="DB127" s="151"/>
      <c r="DC127" s="151"/>
      <c r="DD127" s="151"/>
      <c r="DE127" s="151"/>
      <c r="DF127" s="151"/>
      <c r="DG127" s="151"/>
      <c r="DH127" s="151"/>
      <c r="DI127" s="151"/>
      <c r="DJ127" s="151"/>
      <c r="DK127" s="151"/>
      <c r="DL127" s="151"/>
      <c r="DM127" s="151"/>
      <c r="DN127" s="151"/>
      <c r="DO127" s="151"/>
      <c r="DP127" s="151"/>
      <c r="DQ127" s="151"/>
      <c r="DR127" s="151"/>
      <c r="DS127" s="151"/>
      <c r="DT127" s="151"/>
      <c r="DU127" s="151"/>
      <c r="DV127" s="151"/>
      <c r="DW127" s="151"/>
      <c r="DX127" s="151"/>
      <c r="DY127" s="151"/>
      <c r="DZ127" s="151"/>
      <c r="EA127" s="151"/>
      <c r="EB127" s="151"/>
      <c r="EC127" s="151"/>
      <c r="ED127" s="151"/>
      <c r="EE127" s="151"/>
      <c r="EF127" s="151"/>
      <c r="EG127" s="151"/>
      <c r="EH127" s="151"/>
      <c r="EI127" s="151"/>
      <c r="EJ127" s="151"/>
      <c r="EK127" s="151"/>
      <c r="EL127" s="151"/>
      <c r="EM127" s="151"/>
      <c r="EN127" s="151"/>
      <c r="EO127" s="151"/>
      <c r="EP127" s="151"/>
      <c r="EQ127" s="151"/>
      <c r="ER127" s="151"/>
      <c r="ES127" s="151"/>
      <c r="ET127" s="151"/>
      <c r="EU127" s="151"/>
      <c r="EV127" s="151"/>
      <c r="EW127" s="151"/>
      <c r="EX127" s="151"/>
      <c r="EY127" s="151"/>
      <c r="EZ127" s="151"/>
      <c r="FA127" s="151"/>
      <c r="FB127" s="151"/>
      <c r="FC127" s="151"/>
      <c r="FD127" s="151"/>
      <c r="FE127" s="151"/>
      <c r="FF127" s="151"/>
      <c r="FG127" s="151"/>
      <c r="FH127" s="151"/>
      <c r="FI127" s="151"/>
      <c r="FJ127" s="151"/>
      <c r="FK127" s="151"/>
      <c r="FL127" s="151"/>
      <c r="FM127" s="151"/>
      <c r="FN127" s="151"/>
      <c r="FO127" s="151"/>
      <c r="FP127" s="151"/>
      <c r="FQ127" s="151"/>
      <c r="FR127" s="151"/>
      <c r="FS127" s="151"/>
      <c r="FT127" s="151"/>
      <c r="FU127" s="151"/>
      <c r="FV127" s="151"/>
      <c r="FW127" s="151"/>
      <c r="FX127" s="151"/>
      <c r="FY127" s="151"/>
      <c r="FZ127" s="151"/>
      <c r="GA127" s="151"/>
      <c r="GB127" s="151"/>
      <c r="GC127" s="151"/>
      <c r="GD127" s="151"/>
      <c r="GE127" s="151"/>
      <c r="GF127" s="151"/>
      <c r="GG127" s="152"/>
    </row>
    <row r="128" spans="1:189" ht="27.75" x14ac:dyDescent="0.35">
      <c r="A128" s="267" t="s">
        <v>1269</v>
      </c>
      <c r="B128" s="221" t="s">
        <v>1063</v>
      </c>
      <c r="C128" s="221" t="s">
        <v>1091</v>
      </c>
      <c r="D128" s="222"/>
      <c r="E128" s="221" t="s">
        <v>1341</v>
      </c>
      <c r="F128" s="221" t="s">
        <v>1342</v>
      </c>
      <c r="G128" s="223">
        <v>1</v>
      </c>
      <c r="H128" s="224" t="s">
        <v>1329</v>
      </c>
      <c r="I128" s="225"/>
      <c r="J128" s="225"/>
      <c r="K128" s="225"/>
      <c r="L128" s="226">
        <v>46044</v>
      </c>
      <c r="M128" s="226">
        <v>46106</v>
      </c>
      <c r="N128" s="226">
        <v>46106</v>
      </c>
      <c r="O128" s="226">
        <v>46106</v>
      </c>
      <c r="P128" s="226">
        <v>46142</v>
      </c>
      <c r="Q128" s="227" t="s">
        <v>20</v>
      </c>
      <c r="R128" s="228"/>
      <c r="S128" s="228">
        <v>134400</v>
      </c>
      <c r="T128" s="228">
        <v>134400</v>
      </c>
      <c r="U128" s="191">
        <f t="shared" ref="U128" si="164">IF(Q128="",0,IF(T128="",0,+S128-T128))</f>
        <v>0</v>
      </c>
      <c r="V128" s="230"/>
      <c r="W128" s="231"/>
      <c r="X128" s="46"/>
      <c r="Y128" s="167">
        <f t="shared" ref="Y128" si="165">IF(G128=2,S128,0)</f>
        <v>0</v>
      </c>
      <c r="Z128" s="167">
        <f t="shared" ref="Z128" si="166">IF(Q128="",0,IF(G128=2,T128,0))</f>
        <v>0</v>
      </c>
      <c r="AA128" s="167">
        <f t="shared" ref="AA128" si="167">Y128-Z128</f>
        <v>0</v>
      </c>
      <c r="AB128" s="167">
        <f t="shared" ref="AB128" si="168">IF(G128=1,S128,0)</f>
        <v>134400</v>
      </c>
      <c r="AC128" s="167">
        <f t="shared" ref="AC128" si="169">IF(Q128="",0,IF(G128=1,T128,0))</f>
        <v>134400</v>
      </c>
      <c r="AD128" s="167">
        <f t="shared" ref="AD128" si="170">AB128-AC128</f>
        <v>0</v>
      </c>
      <c r="AF128" s="180">
        <f t="shared" ref="AF128" si="171">IF(S128&lt;&gt;"",1,0)</f>
        <v>1</v>
      </c>
      <c r="AG128" s="202" t="str">
        <f t="shared" ref="AG128" si="172">B128&amp;" "&amp;F128</f>
        <v>Agnieszka Zając External road - aggregate delivery ECd_46</v>
      </c>
      <c r="AH128" s="153"/>
      <c r="AI128" s="154"/>
      <c r="AJ128" s="154"/>
      <c r="AK128" s="154"/>
      <c r="AL128" s="154"/>
      <c r="AM128" s="154"/>
      <c r="AN128" s="154"/>
      <c r="AO128" s="154"/>
      <c r="AP128" s="154"/>
      <c r="AQ128" s="154"/>
      <c r="AR128" s="154"/>
      <c r="AS128" s="154"/>
      <c r="AT128" s="154"/>
      <c r="AU128" s="154"/>
      <c r="AV128" s="154"/>
      <c r="AW128" s="154"/>
      <c r="AX128" s="154"/>
      <c r="AY128" s="154"/>
      <c r="AZ128" s="154"/>
      <c r="BA128" s="151"/>
      <c r="BB128" s="151"/>
      <c r="BC128" s="151"/>
      <c r="BD128" s="151"/>
      <c r="BE128" s="151"/>
      <c r="BF128" s="151"/>
      <c r="BG128" s="151"/>
      <c r="BH128" s="151"/>
      <c r="BI128" s="151"/>
      <c r="BJ128" s="151"/>
      <c r="BK128" s="151"/>
      <c r="BL128" s="151"/>
      <c r="BM128" s="151"/>
      <c r="BN128" s="151"/>
      <c r="BO128" s="151"/>
      <c r="BP128" s="151"/>
      <c r="BQ128" s="151"/>
      <c r="BR128" s="151"/>
      <c r="BS128" s="151"/>
      <c r="BT128" s="151"/>
      <c r="BU128" s="151"/>
      <c r="BV128" s="151"/>
      <c r="BW128" s="151"/>
      <c r="BX128" s="151"/>
      <c r="BY128" s="151"/>
      <c r="BZ128" s="151"/>
      <c r="CA128" s="151"/>
      <c r="CB128" s="151"/>
      <c r="CC128" s="151"/>
      <c r="CD128" s="151"/>
      <c r="CE128" s="151"/>
      <c r="CF128" s="151"/>
      <c r="CG128" s="151"/>
      <c r="CH128" s="151"/>
      <c r="CI128" s="151"/>
      <c r="CJ128" s="151"/>
      <c r="CK128" s="151"/>
      <c r="CL128" s="151"/>
      <c r="CM128" s="151"/>
      <c r="CN128" s="151"/>
      <c r="CO128" s="151"/>
      <c r="CP128" s="151"/>
      <c r="CQ128" s="151"/>
      <c r="CR128" s="151"/>
      <c r="CS128" s="151"/>
      <c r="CT128" s="151"/>
      <c r="CU128" s="151"/>
      <c r="CV128" s="151"/>
      <c r="CW128" s="151"/>
      <c r="CX128" s="151"/>
      <c r="CY128" s="151"/>
      <c r="CZ128" s="151"/>
      <c r="DA128" s="151"/>
      <c r="DB128" s="151"/>
      <c r="DC128" s="151"/>
      <c r="DD128" s="151"/>
      <c r="DE128" s="151"/>
      <c r="DF128" s="151"/>
      <c r="DG128" s="151"/>
      <c r="DH128" s="151"/>
      <c r="DI128" s="151"/>
      <c r="DJ128" s="151"/>
      <c r="DK128" s="151"/>
      <c r="DL128" s="151"/>
      <c r="DM128" s="151"/>
      <c r="DN128" s="151"/>
      <c r="DO128" s="151"/>
      <c r="DP128" s="151"/>
      <c r="DQ128" s="151"/>
      <c r="DR128" s="151"/>
      <c r="DS128" s="151"/>
      <c r="DT128" s="151"/>
      <c r="DU128" s="151"/>
      <c r="DV128" s="151"/>
      <c r="DW128" s="151"/>
      <c r="DX128" s="151"/>
      <c r="DY128" s="151"/>
      <c r="DZ128" s="151"/>
      <c r="EA128" s="151"/>
      <c r="EB128" s="151"/>
      <c r="EC128" s="151"/>
      <c r="ED128" s="151"/>
      <c r="EE128" s="151"/>
      <c r="EF128" s="151"/>
      <c r="EG128" s="151"/>
      <c r="EH128" s="151"/>
      <c r="EI128" s="151"/>
      <c r="EJ128" s="151"/>
      <c r="EK128" s="151"/>
      <c r="EL128" s="151"/>
      <c r="EM128" s="151"/>
      <c r="EN128" s="151"/>
      <c r="EO128" s="151"/>
      <c r="EP128" s="151"/>
      <c r="EQ128" s="151"/>
      <c r="ER128" s="151"/>
      <c r="ES128" s="151"/>
      <c r="ET128" s="151"/>
      <c r="EU128" s="151"/>
      <c r="EV128" s="151"/>
      <c r="EW128" s="151"/>
      <c r="EX128" s="151"/>
      <c r="EY128" s="151"/>
      <c r="EZ128" s="151"/>
      <c r="FA128" s="151"/>
      <c r="FB128" s="151"/>
      <c r="FC128" s="151"/>
      <c r="FD128" s="151"/>
      <c r="FE128" s="151"/>
      <c r="FF128" s="151"/>
      <c r="FG128" s="151"/>
      <c r="FH128" s="151"/>
      <c r="FI128" s="151"/>
      <c r="FJ128" s="151"/>
      <c r="FK128" s="151"/>
      <c r="FL128" s="151"/>
      <c r="FM128" s="151"/>
      <c r="FN128" s="151"/>
      <c r="FO128" s="151"/>
      <c r="FP128" s="151"/>
      <c r="FQ128" s="151"/>
      <c r="FR128" s="151"/>
      <c r="FS128" s="151"/>
      <c r="FT128" s="151"/>
      <c r="FU128" s="151"/>
      <c r="FV128" s="151"/>
      <c r="FW128" s="151"/>
      <c r="FX128" s="151"/>
      <c r="FY128" s="151"/>
      <c r="FZ128" s="151"/>
      <c r="GA128" s="151"/>
      <c r="GB128" s="151"/>
      <c r="GC128" s="151"/>
      <c r="GD128" s="151"/>
      <c r="GE128" s="151"/>
      <c r="GF128" s="151"/>
      <c r="GG128" s="152"/>
    </row>
    <row r="129" spans="1:189" ht="27.75" x14ac:dyDescent="0.35">
      <c r="A129" s="267" t="s">
        <v>1270</v>
      </c>
      <c r="B129" s="221" t="s">
        <v>1063</v>
      </c>
      <c r="C129" s="221" t="s">
        <v>1091</v>
      </c>
      <c r="D129" s="222"/>
      <c r="E129" s="221" t="s">
        <v>1272</v>
      </c>
      <c r="F129" s="221" t="s">
        <v>1274</v>
      </c>
      <c r="G129" s="223">
        <v>2</v>
      </c>
      <c r="H129" s="224"/>
      <c r="I129" s="225"/>
      <c r="J129" s="225"/>
      <c r="K129" s="225"/>
      <c r="L129" s="226">
        <v>46094</v>
      </c>
      <c r="M129" s="226">
        <v>46116</v>
      </c>
      <c r="N129" s="226"/>
      <c r="O129" s="226">
        <v>46082</v>
      </c>
      <c r="P129" s="226">
        <v>46721</v>
      </c>
      <c r="Q129" s="227" t="s">
        <v>45</v>
      </c>
      <c r="R129" s="228"/>
      <c r="S129" s="228"/>
      <c r="T129" s="228"/>
      <c r="U129" s="191">
        <f t="shared" si="155"/>
        <v>0</v>
      </c>
      <c r="V129" s="230"/>
      <c r="W129" s="231"/>
      <c r="X129" s="46"/>
      <c r="Y129" s="167">
        <f t="shared" si="156"/>
        <v>0</v>
      </c>
      <c r="Z129" s="167">
        <f t="shared" si="157"/>
        <v>0</v>
      </c>
      <c r="AA129" s="167">
        <f t="shared" si="158"/>
        <v>0</v>
      </c>
      <c r="AB129" s="167">
        <f t="shared" si="159"/>
        <v>0</v>
      </c>
      <c r="AC129" s="167">
        <f t="shared" si="160"/>
        <v>0</v>
      </c>
      <c r="AD129" s="167">
        <f t="shared" si="161"/>
        <v>0</v>
      </c>
      <c r="AF129" s="180">
        <f t="shared" si="162"/>
        <v>0</v>
      </c>
      <c r="AG129" s="202" t="str">
        <f t="shared" si="163"/>
        <v>Agnieszka Zając External road - surface layer construction</v>
      </c>
      <c r="AH129" s="172"/>
      <c r="AI129" s="173"/>
      <c r="AJ129" s="173"/>
      <c r="AK129" s="173"/>
      <c r="AL129" s="173"/>
      <c r="AM129" s="173"/>
      <c r="AN129" s="173"/>
      <c r="AO129" s="173"/>
      <c r="AP129" s="173"/>
      <c r="AQ129" s="173"/>
      <c r="AR129" s="173"/>
      <c r="AS129" s="173"/>
      <c r="AT129" s="173"/>
      <c r="AU129" s="173"/>
      <c r="AV129" s="173"/>
      <c r="AW129" s="173"/>
      <c r="AX129" s="173"/>
      <c r="AY129" s="173"/>
      <c r="AZ129" s="173"/>
      <c r="BA129" s="173"/>
      <c r="BB129" s="173"/>
      <c r="BC129" s="173"/>
      <c r="BD129" s="173"/>
      <c r="BE129" s="173"/>
      <c r="BF129" s="173"/>
      <c r="BG129" s="173"/>
      <c r="BH129" s="173"/>
      <c r="BI129" s="173"/>
      <c r="BJ129" s="173"/>
      <c r="BK129" s="173"/>
      <c r="BL129" s="173"/>
      <c r="BM129" s="173"/>
      <c r="BN129" s="173"/>
      <c r="BO129" s="173"/>
      <c r="BP129" s="173"/>
      <c r="BQ129" s="173"/>
      <c r="BR129" s="173"/>
      <c r="BS129" s="173"/>
      <c r="BT129" s="173"/>
      <c r="BU129" s="173"/>
      <c r="BV129" s="173"/>
      <c r="BW129" s="173"/>
      <c r="BX129" s="173"/>
      <c r="BY129" s="173"/>
      <c r="BZ129" s="173"/>
      <c r="CA129" s="173"/>
      <c r="CB129" s="173"/>
      <c r="CC129" s="173"/>
      <c r="CD129" s="173"/>
      <c r="CE129" s="173"/>
      <c r="CF129" s="173"/>
      <c r="CG129" s="173"/>
      <c r="CH129" s="173"/>
      <c r="CI129" s="173"/>
      <c r="CJ129" s="173"/>
      <c r="CK129" s="173"/>
      <c r="CL129" s="173"/>
      <c r="CM129" s="173"/>
      <c r="CN129" s="173"/>
      <c r="CO129" s="173"/>
      <c r="CP129" s="173"/>
      <c r="CQ129" s="173"/>
      <c r="CR129" s="173"/>
      <c r="CS129" s="173"/>
      <c r="CT129" s="173"/>
      <c r="CU129" s="173"/>
      <c r="CV129" s="173"/>
      <c r="CW129" s="173"/>
      <c r="CX129" s="173"/>
      <c r="CY129" s="151"/>
      <c r="CZ129" s="151"/>
      <c r="DA129" s="151"/>
      <c r="DB129" s="151"/>
      <c r="DC129" s="151"/>
      <c r="DD129" s="151"/>
      <c r="DE129" s="151"/>
      <c r="DF129" s="151"/>
      <c r="DG129" s="151"/>
      <c r="DH129" s="151"/>
      <c r="DI129" s="151"/>
      <c r="DJ129" s="151"/>
      <c r="DK129" s="151"/>
      <c r="DL129" s="151"/>
      <c r="DM129" s="151"/>
      <c r="DN129" s="151"/>
      <c r="DO129" s="151"/>
      <c r="DP129" s="151"/>
      <c r="DQ129" s="151"/>
      <c r="DR129" s="151"/>
      <c r="DS129" s="151"/>
      <c r="DT129" s="151"/>
      <c r="DU129" s="151"/>
      <c r="DV129" s="151"/>
      <c r="DW129" s="151"/>
      <c r="DX129" s="151"/>
      <c r="DY129" s="151"/>
      <c r="DZ129" s="151"/>
      <c r="EA129" s="151"/>
      <c r="EB129" s="151"/>
      <c r="EC129" s="151"/>
      <c r="ED129" s="151"/>
      <c r="EE129" s="151"/>
      <c r="EF129" s="151"/>
      <c r="EG129" s="151"/>
      <c r="EH129" s="151"/>
      <c r="EI129" s="151"/>
      <c r="EJ129" s="151"/>
      <c r="EK129" s="151"/>
      <c r="EL129" s="151"/>
      <c r="EM129" s="151"/>
      <c r="EN129" s="151"/>
      <c r="EO129" s="151"/>
      <c r="EP129" s="151"/>
      <c r="EQ129" s="151"/>
      <c r="ER129" s="151"/>
      <c r="ES129" s="151"/>
      <c r="ET129" s="151"/>
      <c r="EU129" s="151"/>
      <c r="EV129" s="151"/>
      <c r="EW129" s="151"/>
      <c r="EX129" s="151"/>
      <c r="EY129" s="151"/>
      <c r="EZ129" s="151"/>
      <c r="FA129" s="151"/>
      <c r="FB129" s="151"/>
      <c r="FC129" s="151"/>
      <c r="FD129" s="151"/>
      <c r="FE129" s="151"/>
      <c r="FF129" s="151"/>
      <c r="FG129" s="151"/>
      <c r="FH129" s="151"/>
      <c r="FI129" s="151"/>
      <c r="FJ129" s="151"/>
      <c r="FK129" s="151"/>
      <c r="FL129" s="151"/>
      <c r="FM129" s="151"/>
      <c r="FN129" s="151"/>
      <c r="FO129" s="151"/>
      <c r="FP129" s="151"/>
      <c r="FQ129" s="151"/>
      <c r="FR129" s="151"/>
      <c r="FS129" s="151"/>
      <c r="FT129" s="151"/>
      <c r="FU129" s="151"/>
      <c r="FV129" s="151"/>
      <c r="FW129" s="151"/>
      <c r="FX129" s="151"/>
      <c r="FY129" s="151"/>
      <c r="FZ129" s="151"/>
      <c r="GA129" s="151"/>
      <c r="GB129" s="151"/>
      <c r="GC129" s="151"/>
      <c r="GD129" s="151"/>
      <c r="GE129" s="151"/>
      <c r="GF129" s="151"/>
      <c r="GG129" s="152"/>
    </row>
    <row r="130" spans="1:189" x14ac:dyDescent="0.35">
      <c r="A130" s="297" t="s">
        <v>770</v>
      </c>
      <c r="B130" s="298" t="s">
        <v>1063</v>
      </c>
      <c r="C130" s="298"/>
      <c r="D130" s="299"/>
      <c r="E130" s="298" t="s">
        <v>298</v>
      </c>
      <c r="F130" s="298" t="s">
        <v>716</v>
      </c>
      <c r="G130" s="300">
        <v>2</v>
      </c>
      <c r="H130" s="301"/>
      <c r="I130" s="302"/>
      <c r="J130" s="302"/>
      <c r="K130" s="302"/>
      <c r="L130" s="303">
        <v>46266</v>
      </c>
      <c r="M130" s="303">
        <v>46326</v>
      </c>
      <c r="N130" s="303"/>
      <c r="O130" s="303">
        <v>46327</v>
      </c>
      <c r="P130" s="303">
        <v>46752</v>
      </c>
      <c r="Q130" s="304" t="s">
        <v>45</v>
      </c>
      <c r="R130" s="305">
        <v>1112964.7210705113</v>
      </c>
      <c r="S130" s="305">
        <v>1112964.7210705113</v>
      </c>
      <c r="T130" s="305"/>
      <c r="U130" s="191">
        <f t="shared" si="28"/>
        <v>0</v>
      </c>
      <c r="V130" s="306"/>
      <c r="W130" s="307"/>
      <c r="X130" s="46"/>
      <c r="Y130" s="167">
        <f t="shared" si="22"/>
        <v>1112964.7210705113</v>
      </c>
      <c r="Z130" s="167">
        <f t="shared" si="23"/>
        <v>0</v>
      </c>
      <c r="AA130" s="167">
        <f t="shared" si="24"/>
        <v>1112964.7210705113</v>
      </c>
      <c r="AB130" s="167">
        <f t="shared" si="25"/>
        <v>0</v>
      </c>
      <c r="AC130" s="167">
        <f t="shared" si="26"/>
        <v>0</v>
      </c>
      <c r="AD130" s="167">
        <f t="shared" si="27"/>
        <v>0</v>
      </c>
      <c r="AF130" s="47">
        <f t="shared" si="21"/>
        <v>1</v>
      </c>
      <c r="AG130" s="202" t="str">
        <f t="shared" si="13"/>
        <v>Agnieszka Zając Pavement surface</v>
      </c>
      <c r="AH130" s="172"/>
      <c r="AI130" s="173"/>
      <c r="AJ130" s="173"/>
      <c r="AK130" s="173"/>
      <c r="AL130" s="173"/>
      <c r="AM130" s="173"/>
      <c r="AN130" s="173"/>
      <c r="AO130" s="173"/>
      <c r="AP130" s="173"/>
      <c r="AQ130" s="173"/>
      <c r="AR130" s="173"/>
      <c r="AS130" s="173"/>
      <c r="AT130" s="173"/>
      <c r="AU130" s="173"/>
      <c r="AV130" s="173"/>
      <c r="AW130" s="173"/>
      <c r="AX130" s="173"/>
      <c r="AY130" s="173"/>
      <c r="AZ130" s="173"/>
      <c r="BA130" s="173"/>
      <c r="BB130" s="173"/>
      <c r="BC130" s="173"/>
      <c r="BD130" s="173"/>
      <c r="BE130" s="173"/>
      <c r="BF130" s="173"/>
      <c r="BG130" s="173"/>
      <c r="BH130" s="173"/>
      <c r="BI130" s="173"/>
      <c r="BJ130" s="173"/>
      <c r="BK130" s="173"/>
      <c r="BL130" s="173"/>
      <c r="BM130" s="173"/>
      <c r="BN130" s="173"/>
      <c r="BO130" s="173"/>
      <c r="BP130" s="173"/>
      <c r="BQ130" s="173"/>
      <c r="BR130" s="173"/>
      <c r="BS130" s="173"/>
      <c r="BT130" s="173"/>
      <c r="BU130" s="173"/>
      <c r="BV130" s="173"/>
      <c r="BW130" s="173"/>
      <c r="BX130" s="173"/>
      <c r="BY130" s="173"/>
      <c r="BZ130" s="173"/>
      <c r="CA130" s="173"/>
      <c r="CB130" s="173"/>
      <c r="CC130" s="173"/>
      <c r="CD130" s="173"/>
      <c r="CE130" s="173"/>
      <c r="CF130" s="173"/>
      <c r="CG130" s="173"/>
      <c r="CH130" s="173"/>
      <c r="CI130" s="173"/>
      <c r="CJ130" s="173"/>
      <c r="CK130" s="173"/>
      <c r="CL130" s="173"/>
      <c r="CM130" s="173"/>
      <c r="CN130" s="173"/>
      <c r="CO130" s="173"/>
      <c r="CP130" s="173"/>
      <c r="CQ130" s="173"/>
      <c r="CR130" s="173"/>
      <c r="CS130" s="173"/>
      <c r="CT130" s="173"/>
      <c r="CU130" s="173"/>
      <c r="CV130" s="173"/>
      <c r="CW130" s="173"/>
      <c r="CX130" s="173"/>
      <c r="CY130" s="148"/>
      <c r="CZ130" s="148"/>
      <c r="DA130" s="148"/>
      <c r="DB130" s="148"/>
      <c r="DC130" s="148"/>
      <c r="DD130" s="148"/>
      <c r="DE130" s="148"/>
      <c r="DF130" s="148"/>
      <c r="DG130" s="148"/>
      <c r="DH130" s="148"/>
      <c r="DI130" s="148"/>
      <c r="DJ130" s="148"/>
      <c r="DK130" s="148"/>
      <c r="DL130" s="148"/>
      <c r="DM130" s="148"/>
      <c r="DN130" s="148"/>
      <c r="DO130" s="148"/>
      <c r="DP130" s="148"/>
      <c r="DQ130" s="148"/>
      <c r="DR130" s="148"/>
      <c r="DS130" s="148"/>
      <c r="DT130" s="148"/>
      <c r="DU130" s="148"/>
      <c r="DV130" s="148"/>
      <c r="DW130" s="148"/>
      <c r="DX130" s="148"/>
      <c r="DY130" s="148"/>
      <c r="DZ130" s="148"/>
      <c r="EA130" s="148"/>
      <c r="EB130" s="148"/>
      <c r="EC130" s="148"/>
      <c r="ED130" s="148"/>
      <c r="EE130" s="148"/>
      <c r="EF130" s="148"/>
      <c r="EG130" s="148"/>
      <c r="EH130" s="148"/>
      <c r="EI130" s="148"/>
      <c r="EJ130" s="148"/>
      <c r="EK130" s="148"/>
      <c r="EL130" s="148"/>
      <c r="EM130" s="148"/>
      <c r="EN130" s="148"/>
      <c r="EO130" s="148"/>
      <c r="EP130" s="148"/>
      <c r="EQ130" s="148"/>
      <c r="ER130" s="148"/>
      <c r="ES130" s="148"/>
      <c r="ET130" s="148"/>
      <c r="EU130" s="148"/>
      <c r="EV130" s="148"/>
      <c r="EW130" s="148"/>
      <c r="EX130" s="148"/>
      <c r="EY130" s="148"/>
      <c r="EZ130" s="148"/>
      <c r="FA130" s="148"/>
      <c r="FB130" s="148"/>
      <c r="FC130" s="148"/>
      <c r="FD130" s="148"/>
      <c r="FE130" s="148"/>
      <c r="FF130" s="148"/>
      <c r="FG130" s="148"/>
      <c r="FH130" s="148"/>
      <c r="FI130" s="148"/>
      <c r="FJ130" s="148"/>
      <c r="FK130" s="148"/>
      <c r="FL130" s="148"/>
      <c r="FM130" s="148"/>
      <c r="FN130" s="148"/>
      <c r="FO130" s="148"/>
      <c r="FP130" s="148"/>
      <c r="FQ130" s="148"/>
      <c r="FR130" s="148"/>
      <c r="FS130" s="148"/>
      <c r="FT130" s="148"/>
      <c r="FU130" s="148"/>
      <c r="FV130" s="148"/>
      <c r="FW130" s="148"/>
      <c r="FX130" s="148"/>
      <c r="FY130" s="148"/>
      <c r="FZ130" s="148"/>
      <c r="GA130" s="148"/>
      <c r="GB130" s="148"/>
      <c r="GC130" s="148"/>
      <c r="GD130" s="148"/>
      <c r="GE130" s="148"/>
      <c r="GF130" s="148"/>
      <c r="GG130" s="149"/>
    </row>
    <row r="131" spans="1:189" x14ac:dyDescent="0.35">
      <c r="A131" s="237" t="s">
        <v>709</v>
      </c>
      <c r="B131" s="236" t="s">
        <v>1063</v>
      </c>
      <c r="C131" s="236"/>
      <c r="D131" s="237"/>
      <c r="E131" s="236" t="s">
        <v>299</v>
      </c>
      <c r="F131" s="236" t="s">
        <v>717</v>
      </c>
      <c r="G131" s="238">
        <v>2</v>
      </c>
      <c r="H131" s="239"/>
      <c r="I131" s="240"/>
      <c r="J131" s="240"/>
      <c r="K131" s="240"/>
      <c r="L131" s="241">
        <v>46447</v>
      </c>
      <c r="M131" s="241">
        <v>46507</v>
      </c>
      <c r="N131" s="241"/>
      <c r="O131" s="241">
        <v>46508</v>
      </c>
      <c r="P131" s="241">
        <v>46783</v>
      </c>
      <c r="Q131" s="242" t="s">
        <v>45</v>
      </c>
      <c r="R131" s="243">
        <v>1097187.355</v>
      </c>
      <c r="S131" s="243">
        <v>1097187.355</v>
      </c>
      <c r="T131" s="243"/>
      <c r="U131" s="191">
        <f t="shared" si="28"/>
        <v>0</v>
      </c>
      <c r="V131" s="244"/>
      <c r="W131" s="245"/>
      <c r="X131" s="46"/>
      <c r="Y131" s="167">
        <f t="shared" si="22"/>
        <v>1097187.355</v>
      </c>
      <c r="Z131" s="167">
        <f t="shared" si="23"/>
        <v>0</v>
      </c>
      <c r="AA131" s="167">
        <f t="shared" si="24"/>
        <v>1097187.355</v>
      </c>
      <c r="AB131" s="167">
        <f t="shared" si="25"/>
        <v>0</v>
      </c>
      <c r="AC131" s="167">
        <f t="shared" si="26"/>
        <v>0</v>
      </c>
      <c r="AD131" s="167">
        <f t="shared" si="27"/>
        <v>0</v>
      </c>
      <c r="AF131" s="180">
        <f t="shared" si="21"/>
        <v>1</v>
      </c>
      <c r="AG131" s="202" t="str">
        <f t="shared" si="13"/>
        <v>Agnieszka Zając Greenery</v>
      </c>
      <c r="AH131" s="172"/>
      <c r="AI131" s="173"/>
      <c r="AJ131" s="173"/>
      <c r="AK131" s="173"/>
      <c r="AL131" s="173"/>
      <c r="AM131" s="173"/>
      <c r="AN131" s="173"/>
      <c r="AO131" s="173"/>
      <c r="AP131" s="173"/>
      <c r="AQ131" s="173"/>
      <c r="AR131" s="173"/>
      <c r="AS131" s="173"/>
      <c r="AT131" s="173"/>
      <c r="AU131" s="173"/>
      <c r="AV131" s="173"/>
      <c r="AW131" s="173"/>
      <c r="AX131" s="173"/>
      <c r="AY131" s="173"/>
      <c r="AZ131" s="173"/>
      <c r="BA131" s="173"/>
      <c r="BB131" s="173"/>
      <c r="BC131" s="173"/>
      <c r="BD131" s="173"/>
      <c r="BE131" s="173"/>
      <c r="BF131" s="173"/>
      <c r="BG131" s="173"/>
      <c r="BH131" s="173"/>
      <c r="BI131" s="173"/>
      <c r="BJ131" s="173"/>
      <c r="BK131" s="173"/>
      <c r="BL131" s="173"/>
      <c r="BM131" s="173"/>
      <c r="BN131" s="173"/>
      <c r="BO131" s="173"/>
      <c r="BP131" s="173"/>
      <c r="BQ131" s="173"/>
      <c r="BR131" s="173"/>
      <c r="BS131" s="173"/>
      <c r="BT131" s="173"/>
      <c r="BU131" s="173"/>
      <c r="BV131" s="173"/>
      <c r="BW131" s="173"/>
      <c r="BX131" s="173"/>
      <c r="BY131" s="173"/>
      <c r="BZ131" s="173"/>
      <c r="CA131" s="173"/>
      <c r="CB131" s="173"/>
      <c r="CC131" s="173"/>
      <c r="CD131" s="173"/>
      <c r="CE131" s="173"/>
      <c r="CF131" s="173"/>
      <c r="CG131" s="173"/>
      <c r="CH131" s="173"/>
      <c r="CI131" s="173"/>
      <c r="CJ131" s="173"/>
      <c r="CK131" s="173"/>
      <c r="CL131" s="173"/>
      <c r="CM131" s="173"/>
      <c r="CN131" s="173"/>
      <c r="CO131" s="173"/>
      <c r="CP131" s="173"/>
      <c r="CQ131" s="173"/>
      <c r="CR131" s="173"/>
      <c r="CS131" s="173"/>
      <c r="CT131" s="173"/>
      <c r="CU131" s="173"/>
      <c r="CV131" s="173"/>
      <c r="CW131" s="173"/>
      <c r="CX131" s="173"/>
      <c r="CY131" s="151"/>
      <c r="CZ131" s="151"/>
      <c r="DA131" s="151"/>
      <c r="DB131" s="151"/>
      <c r="DC131" s="151"/>
      <c r="DD131" s="151"/>
      <c r="DE131" s="151"/>
      <c r="DF131" s="151"/>
      <c r="DG131" s="151"/>
      <c r="DH131" s="151"/>
      <c r="DI131" s="151"/>
      <c r="DJ131" s="151"/>
      <c r="DK131" s="151"/>
      <c r="DL131" s="151"/>
      <c r="DM131" s="151"/>
      <c r="DN131" s="151"/>
      <c r="DO131" s="151"/>
      <c r="DP131" s="151"/>
      <c r="DQ131" s="151"/>
      <c r="DR131" s="151"/>
      <c r="DS131" s="151"/>
      <c r="DT131" s="151"/>
      <c r="DU131" s="151"/>
      <c r="DV131" s="151"/>
      <c r="DW131" s="151"/>
      <c r="DX131" s="151"/>
      <c r="DY131" s="151"/>
      <c r="DZ131" s="151"/>
      <c r="EA131" s="151"/>
      <c r="EB131" s="151"/>
      <c r="EC131" s="151"/>
      <c r="ED131" s="151"/>
      <c r="EE131" s="151"/>
      <c r="EF131" s="151"/>
      <c r="EG131" s="151"/>
      <c r="EH131" s="151"/>
      <c r="EI131" s="151"/>
      <c r="EJ131" s="151"/>
      <c r="EK131" s="151"/>
      <c r="EL131" s="151"/>
      <c r="EM131" s="151"/>
      <c r="EN131" s="151"/>
      <c r="EO131" s="151"/>
      <c r="EP131" s="151"/>
      <c r="EQ131" s="151"/>
      <c r="ER131" s="151"/>
      <c r="ES131" s="151"/>
      <c r="ET131" s="151"/>
      <c r="EU131" s="151"/>
      <c r="EV131" s="151"/>
      <c r="EW131" s="151"/>
      <c r="EX131" s="151"/>
      <c r="EY131" s="151"/>
      <c r="EZ131" s="151"/>
      <c r="FA131" s="151"/>
      <c r="FB131" s="151"/>
      <c r="FC131" s="151"/>
      <c r="FD131" s="151"/>
      <c r="FE131" s="151"/>
      <c r="FF131" s="151"/>
      <c r="FG131" s="151"/>
      <c r="FH131" s="151"/>
      <c r="FI131" s="151"/>
      <c r="FJ131" s="151"/>
      <c r="FK131" s="151"/>
      <c r="FL131" s="151"/>
      <c r="FM131" s="151"/>
      <c r="FN131" s="151"/>
      <c r="FO131" s="151"/>
      <c r="FP131" s="151"/>
      <c r="FQ131" s="151"/>
      <c r="FR131" s="151"/>
      <c r="FS131" s="151"/>
      <c r="FT131" s="151"/>
      <c r="FU131" s="151"/>
      <c r="FV131" s="151"/>
      <c r="FW131" s="151"/>
      <c r="FX131" s="151"/>
      <c r="FY131" s="151"/>
      <c r="FZ131" s="151"/>
      <c r="GA131" s="151"/>
      <c r="GB131" s="151"/>
      <c r="GC131" s="151"/>
      <c r="GD131" s="151"/>
      <c r="GE131" s="151"/>
      <c r="GF131" s="151"/>
      <c r="GG131" s="152"/>
    </row>
    <row r="132" spans="1:189" x14ac:dyDescent="0.35">
      <c r="A132" s="237" t="s">
        <v>768</v>
      </c>
      <c r="B132" s="236"/>
      <c r="C132" s="236"/>
      <c r="D132" s="237"/>
      <c r="E132" s="236" t="s">
        <v>302</v>
      </c>
      <c r="F132" s="236" t="s">
        <v>718</v>
      </c>
      <c r="G132" s="238">
        <v>2</v>
      </c>
      <c r="H132" s="239"/>
      <c r="I132" s="240"/>
      <c r="J132" s="240"/>
      <c r="K132" s="240"/>
      <c r="L132" s="241"/>
      <c r="M132" s="241"/>
      <c r="N132" s="241"/>
      <c r="O132" s="241">
        <v>46143</v>
      </c>
      <c r="P132" s="241">
        <v>46752</v>
      </c>
      <c r="Q132" s="242" t="s">
        <v>45</v>
      </c>
      <c r="R132" s="243"/>
      <c r="S132" s="243"/>
      <c r="T132" s="243"/>
      <c r="U132" s="191">
        <f t="shared" si="28"/>
        <v>0</v>
      </c>
      <c r="V132" s="244"/>
      <c r="W132" s="245"/>
      <c r="X132" s="46"/>
      <c r="Y132" s="167">
        <f t="shared" si="22"/>
        <v>0</v>
      </c>
      <c r="Z132" s="167">
        <f t="shared" si="23"/>
        <v>0</v>
      </c>
      <c r="AA132" s="167">
        <f t="shared" si="24"/>
        <v>0</v>
      </c>
      <c r="AB132" s="167">
        <f t="shared" si="25"/>
        <v>0</v>
      </c>
      <c r="AC132" s="167">
        <f t="shared" si="26"/>
        <v>0</v>
      </c>
      <c r="AD132" s="167">
        <f t="shared" si="27"/>
        <v>0</v>
      </c>
      <c r="AF132" s="47">
        <f t="shared" si="21"/>
        <v>0</v>
      </c>
      <c r="AG132" s="202" t="str">
        <f t="shared" si="13"/>
        <v xml:space="preserve"> Fencing</v>
      </c>
      <c r="AH132" s="172"/>
      <c r="AI132" s="173"/>
      <c r="AJ132" s="173"/>
      <c r="AK132" s="173"/>
      <c r="AL132" s="173"/>
      <c r="AM132" s="173"/>
      <c r="AN132" s="173"/>
      <c r="AO132" s="173"/>
      <c r="AP132" s="173"/>
      <c r="AQ132" s="173"/>
      <c r="AR132" s="173"/>
      <c r="AS132" s="173"/>
      <c r="AT132" s="173"/>
      <c r="AU132" s="173"/>
      <c r="AV132" s="173"/>
      <c r="AW132" s="173"/>
      <c r="AX132" s="173"/>
      <c r="AY132" s="173"/>
      <c r="AZ132" s="173"/>
      <c r="BA132" s="173"/>
      <c r="BB132" s="173"/>
      <c r="BC132" s="173"/>
      <c r="BD132" s="173"/>
      <c r="BE132" s="173"/>
      <c r="BF132" s="173"/>
      <c r="BG132" s="173"/>
      <c r="BH132" s="173"/>
      <c r="BI132" s="173"/>
      <c r="BJ132" s="173"/>
      <c r="BK132" s="173"/>
      <c r="BL132" s="173"/>
      <c r="BM132" s="173"/>
      <c r="BN132" s="173"/>
      <c r="BO132" s="173"/>
      <c r="BP132" s="173"/>
      <c r="BQ132" s="173"/>
      <c r="BR132" s="173"/>
      <c r="BS132" s="173"/>
      <c r="BT132" s="173"/>
      <c r="BU132" s="173"/>
      <c r="BV132" s="173"/>
      <c r="BW132" s="173"/>
      <c r="BX132" s="173"/>
      <c r="BY132" s="173"/>
      <c r="BZ132" s="173"/>
      <c r="CA132" s="173"/>
      <c r="CB132" s="173"/>
      <c r="CC132" s="173"/>
      <c r="CD132" s="173"/>
      <c r="CE132" s="173"/>
      <c r="CF132" s="173"/>
      <c r="CG132" s="173"/>
      <c r="CH132" s="173"/>
      <c r="CI132" s="173"/>
      <c r="CJ132" s="173"/>
      <c r="CK132" s="173"/>
      <c r="CL132" s="173"/>
      <c r="CM132" s="173"/>
      <c r="CN132" s="173"/>
      <c r="CO132" s="173"/>
      <c r="CP132" s="173"/>
      <c r="CQ132" s="173"/>
      <c r="CR132" s="173"/>
      <c r="CS132" s="173"/>
      <c r="CT132" s="173"/>
      <c r="CU132" s="173"/>
      <c r="CV132" s="173"/>
      <c r="CW132" s="173"/>
      <c r="CX132" s="173"/>
      <c r="CY132" s="151"/>
      <c r="CZ132" s="151"/>
      <c r="DA132" s="151"/>
      <c r="DB132" s="151"/>
      <c r="DC132" s="151"/>
      <c r="DD132" s="151"/>
      <c r="DE132" s="151"/>
      <c r="DF132" s="151"/>
      <c r="DG132" s="151"/>
      <c r="DH132" s="151"/>
      <c r="DI132" s="151"/>
      <c r="DJ132" s="151"/>
      <c r="DK132" s="151"/>
      <c r="DL132" s="151"/>
      <c r="DM132" s="151"/>
      <c r="DN132" s="151"/>
      <c r="DO132" s="151"/>
      <c r="DP132" s="151"/>
      <c r="DQ132" s="151"/>
      <c r="DR132" s="151"/>
      <c r="DS132" s="151"/>
      <c r="DT132" s="151"/>
      <c r="DU132" s="151"/>
      <c r="DV132" s="151"/>
      <c r="DW132" s="151"/>
      <c r="DX132" s="151"/>
      <c r="DY132" s="151"/>
      <c r="DZ132" s="151"/>
      <c r="EA132" s="151"/>
      <c r="EB132" s="151"/>
      <c r="EC132" s="151"/>
      <c r="ED132" s="151"/>
      <c r="EE132" s="151"/>
      <c r="EF132" s="151"/>
      <c r="EG132" s="151"/>
      <c r="EH132" s="151"/>
      <c r="EI132" s="151"/>
      <c r="EJ132" s="151"/>
      <c r="EK132" s="151"/>
      <c r="EL132" s="151"/>
      <c r="EM132" s="151"/>
      <c r="EN132" s="151"/>
      <c r="EO132" s="151"/>
      <c r="EP132" s="151"/>
      <c r="EQ132" s="151"/>
      <c r="ER132" s="151"/>
      <c r="ES132" s="151"/>
      <c r="ET132" s="151"/>
      <c r="EU132" s="151"/>
      <c r="EV132" s="151"/>
      <c r="EW132" s="151"/>
      <c r="EX132" s="151"/>
      <c r="EY132" s="151"/>
      <c r="EZ132" s="151"/>
      <c r="FA132" s="151"/>
      <c r="FB132" s="151"/>
      <c r="FC132" s="151"/>
      <c r="FD132" s="151"/>
      <c r="FE132" s="151"/>
      <c r="FF132" s="151"/>
      <c r="FG132" s="151"/>
      <c r="FH132" s="151"/>
      <c r="FI132" s="151"/>
      <c r="FJ132" s="151"/>
      <c r="FK132" s="151"/>
      <c r="FL132" s="151"/>
      <c r="FM132" s="151"/>
      <c r="FN132" s="151"/>
      <c r="FO132" s="151"/>
      <c r="FP132" s="151"/>
      <c r="FQ132" s="151"/>
      <c r="FR132" s="151"/>
      <c r="FS132" s="151"/>
      <c r="FT132" s="151"/>
      <c r="FU132" s="151"/>
      <c r="FV132" s="151"/>
      <c r="FW132" s="151"/>
      <c r="FX132" s="151"/>
      <c r="FY132" s="151"/>
      <c r="FZ132" s="151"/>
      <c r="GA132" s="151"/>
      <c r="GB132" s="151"/>
      <c r="GC132" s="151"/>
      <c r="GD132" s="151"/>
      <c r="GE132" s="151"/>
      <c r="GF132" s="151"/>
      <c r="GG132" s="152"/>
    </row>
    <row r="133" spans="1:189" x14ac:dyDescent="0.35">
      <c r="A133" s="267" t="s">
        <v>769</v>
      </c>
      <c r="B133" s="221" t="s">
        <v>1051</v>
      </c>
      <c r="C133" s="221"/>
      <c r="D133" s="222"/>
      <c r="E133" s="221" t="s">
        <v>303</v>
      </c>
      <c r="F133" s="221" t="s">
        <v>719</v>
      </c>
      <c r="G133" s="223">
        <v>1</v>
      </c>
      <c r="H133" s="224"/>
      <c r="I133" s="225"/>
      <c r="J133" s="225"/>
      <c r="K133" s="225"/>
      <c r="L133" s="226">
        <v>46236</v>
      </c>
      <c r="M133" s="226">
        <v>46282</v>
      </c>
      <c r="N133" s="226"/>
      <c r="O133" s="226">
        <v>46143</v>
      </c>
      <c r="P133" s="226">
        <v>46752</v>
      </c>
      <c r="Q133" s="227" t="s">
        <v>45</v>
      </c>
      <c r="R133" s="228">
        <v>321394.76</v>
      </c>
      <c r="S133" s="228">
        <v>321394.76</v>
      </c>
      <c r="T133" s="228"/>
      <c r="U133" s="191">
        <f t="shared" si="28"/>
        <v>0</v>
      </c>
      <c r="V133" s="230"/>
      <c r="W133" s="232"/>
      <c r="X133" s="46"/>
      <c r="Y133" s="167">
        <f t="shared" si="22"/>
        <v>0</v>
      </c>
      <c r="Z133" s="167">
        <f t="shared" si="23"/>
        <v>0</v>
      </c>
      <c r="AA133" s="167">
        <f t="shared" si="24"/>
        <v>0</v>
      </c>
      <c r="AB133" s="167">
        <f t="shared" si="25"/>
        <v>321394.76</v>
      </c>
      <c r="AC133" s="167">
        <f t="shared" si="26"/>
        <v>0</v>
      </c>
      <c r="AD133" s="167">
        <f t="shared" si="27"/>
        <v>321394.76</v>
      </c>
      <c r="AF133" s="180">
        <f t="shared" si="21"/>
        <v>1</v>
      </c>
      <c r="AG133" s="202" t="str">
        <f t="shared" si="13"/>
        <v>Roger Gołombek Delivery of fences, gates and wickets</v>
      </c>
      <c r="AH133" s="172"/>
      <c r="AI133" s="173"/>
      <c r="AJ133" s="173"/>
      <c r="AK133" s="173"/>
      <c r="AL133" s="173"/>
      <c r="AM133" s="173"/>
      <c r="AN133" s="173"/>
      <c r="AO133" s="173"/>
      <c r="AP133" s="173"/>
      <c r="AQ133" s="173"/>
      <c r="AR133" s="173"/>
      <c r="AS133" s="173"/>
      <c r="AT133" s="173"/>
      <c r="AU133" s="173"/>
      <c r="AV133" s="173"/>
      <c r="AW133" s="173"/>
      <c r="AX133" s="173"/>
      <c r="AY133" s="173"/>
      <c r="AZ133" s="173"/>
      <c r="BA133" s="173"/>
      <c r="BB133" s="173"/>
      <c r="BC133" s="173"/>
      <c r="BD133" s="173"/>
      <c r="BE133" s="173"/>
      <c r="BF133" s="173"/>
      <c r="BG133" s="173"/>
      <c r="BH133" s="173"/>
      <c r="BI133" s="173"/>
      <c r="BJ133" s="173"/>
      <c r="BK133" s="173"/>
      <c r="BL133" s="173"/>
      <c r="BM133" s="173"/>
      <c r="BN133" s="173"/>
      <c r="BO133" s="173"/>
      <c r="BP133" s="173"/>
      <c r="BQ133" s="173"/>
      <c r="BR133" s="173"/>
      <c r="BS133" s="173"/>
      <c r="BT133" s="173"/>
      <c r="BU133" s="173"/>
      <c r="BV133" s="173"/>
      <c r="BW133" s="173"/>
      <c r="BX133" s="173"/>
      <c r="BY133" s="173"/>
      <c r="BZ133" s="173"/>
      <c r="CA133" s="173"/>
      <c r="CB133" s="173"/>
      <c r="CC133" s="173"/>
      <c r="CD133" s="173"/>
      <c r="CE133" s="173"/>
      <c r="CF133" s="173"/>
      <c r="CG133" s="173"/>
      <c r="CH133" s="173"/>
      <c r="CI133" s="173"/>
      <c r="CJ133" s="173"/>
      <c r="CK133" s="173"/>
      <c r="CL133" s="173"/>
      <c r="CM133" s="173"/>
      <c r="CN133" s="173"/>
      <c r="CO133" s="173"/>
      <c r="CP133" s="173"/>
      <c r="CQ133" s="173"/>
      <c r="CR133" s="173"/>
      <c r="CS133" s="173"/>
      <c r="CT133" s="173"/>
      <c r="CU133" s="173"/>
      <c r="CV133" s="173"/>
      <c r="CW133" s="173"/>
      <c r="CX133" s="173"/>
      <c r="CY133" s="151"/>
      <c r="CZ133" s="151"/>
      <c r="DA133" s="151"/>
      <c r="DB133" s="151"/>
      <c r="DC133" s="151"/>
      <c r="DD133" s="151"/>
      <c r="DE133" s="151"/>
      <c r="DF133" s="151"/>
      <c r="DG133" s="151"/>
      <c r="DH133" s="151"/>
      <c r="DI133" s="151"/>
      <c r="DJ133" s="151"/>
      <c r="DK133" s="151"/>
      <c r="DL133" s="151"/>
      <c r="DM133" s="151"/>
      <c r="DN133" s="151"/>
      <c r="DO133" s="151"/>
      <c r="DP133" s="151"/>
      <c r="DQ133" s="151"/>
      <c r="DR133" s="151"/>
      <c r="DS133" s="151"/>
      <c r="DT133" s="151"/>
      <c r="DU133" s="151"/>
      <c r="DV133" s="151"/>
      <c r="DW133" s="151"/>
      <c r="DX133" s="151"/>
      <c r="DY133" s="151"/>
      <c r="DZ133" s="151"/>
      <c r="EA133" s="151"/>
      <c r="EB133" s="151"/>
      <c r="EC133" s="151"/>
      <c r="ED133" s="151"/>
      <c r="EE133" s="151"/>
      <c r="EF133" s="151"/>
      <c r="EG133" s="151"/>
      <c r="EH133" s="151"/>
      <c r="EI133" s="151"/>
      <c r="EJ133" s="151"/>
      <c r="EK133" s="151"/>
      <c r="EL133" s="151"/>
      <c r="EM133" s="151"/>
      <c r="EN133" s="151"/>
      <c r="EO133" s="151"/>
      <c r="EP133" s="151"/>
      <c r="EQ133" s="151"/>
      <c r="ER133" s="151"/>
      <c r="ES133" s="151"/>
      <c r="ET133" s="151"/>
      <c r="EU133" s="151"/>
      <c r="EV133" s="151"/>
      <c r="EW133" s="151"/>
      <c r="EX133" s="151"/>
      <c r="EY133" s="151"/>
      <c r="EZ133" s="151"/>
      <c r="FA133" s="151"/>
      <c r="FB133" s="151"/>
      <c r="FC133" s="151"/>
      <c r="FD133" s="151"/>
      <c r="FE133" s="151"/>
      <c r="FF133" s="151"/>
      <c r="FG133" s="151"/>
      <c r="FH133" s="151"/>
      <c r="FI133" s="151"/>
      <c r="FJ133" s="151"/>
      <c r="FK133" s="151"/>
      <c r="FL133" s="151"/>
      <c r="FM133" s="151"/>
      <c r="FN133" s="151"/>
      <c r="FO133" s="151"/>
      <c r="FP133" s="151"/>
      <c r="FQ133" s="151"/>
      <c r="FR133" s="151"/>
      <c r="FS133" s="151"/>
      <c r="FT133" s="151"/>
      <c r="FU133" s="151"/>
      <c r="FV133" s="151"/>
      <c r="FW133" s="151"/>
      <c r="FX133" s="151"/>
      <c r="FY133" s="151"/>
      <c r="FZ133" s="151"/>
      <c r="GA133" s="151"/>
      <c r="GB133" s="151"/>
      <c r="GC133" s="151"/>
      <c r="GD133" s="151"/>
      <c r="GE133" s="151"/>
      <c r="GF133" s="151"/>
      <c r="GG133" s="152"/>
    </row>
    <row r="134" spans="1:189" x14ac:dyDescent="0.35">
      <c r="A134" s="267" t="s">
        <v>771</v>
      </c>
      <c r="B134" s="221" t="s">
        <v>1051</v>
      </c>
      <c r="C134" s="221"/>
      <c r="D134" s="222"/>
      <c r="E134" s="221" t="s">
        <v>304</v>
      </c>
      <c r="F134" s="221" t="s">
        <v>720</v>
      </c>
      <c r="G134" s="223">
        <v>2</v>
      </c>
      <c r="H134" s="224"/>
      <c r="I134" s="225"/>
      <c r="J134" s="225"/>
      <c r="K134" s="225"/>
      <c r="L134" s="226">
        <v>46236</v>
      </c>
      <c r="M134" s="226">
        <v>46282</v>
      </c>
      <c r="N134" s="226"/>
      <c r="O134" s="226">
        <v>46143</v>
      </c>
      <c r="P134" s="226">
        <v>46752</v>
      </c>
      <c r="Q134" s="227" t="s">
        <v>45</v>
      </c>
      <c r="R134" s="228">
        <v>416382.29399999999</v>
      </c>
      <c r="S134" s="228">
        <v>416382.29399999999</v>
      </c>
      <c r="T134" s="228"/>
      <c r="U134" s="191">
        <f t="shared" si="28"/>
        <v>0</v>
      </c>
      <c r="V134" s="230"/>
      <c r="W134" s="232"/>
      <c r="X134" s="46"/>
      <c r="Y134" s="167">
        <f t="shared" si="22"/>
        <v>416382.29399999999</v>
      </c>
      <c r="Z134" s="167">
        <f t="shared" si="23"/>
        <v>0</v>
      </c>
      <c r="AA134" s="167">
        <f t="shared" si="24"/>
        <v>416382.29399999999</v>
      </c>
      <c r="AB134" s="167">
        <f t="shared" si="25"/>
        <v>0</v>
      </c>
      <c r="AC134" s="167">
        <f t="shared" si="26"/>
        <v>0</v>
      </c>
      <c r="AD134" s="167">
        <f t="shared" si="27"/>
        <v>0</v>
      </c>
      <c r="AF134" s="47">
        <f t="shared" si="21"/>
        <v>1</v>
      </c>
      <c r="AG134" s="202" t="str">
        <f t="shared" si="13"/>
        <v>Roger Gołombek Installation of fences, gates and wickets</v>
      </c>
      <c r="AH134" s="172"/>
      <c r="AI134" s="173"/>
      <c r="AJ134" s="173"/>
      <c r="AK134" s="173"/>
      <c r="AL134" s="173"/>
      <c r="AM134" s="173"/>
      <c r="AN134" s="173"/>
      <c r="AO134" s="173"/>
      <c r="AP134" s="173"/>
      <c r="AQ134" s="173"/>
      <c r="AR134" s="173"/>
      <c r="AS134" s="173"/>
      <c r="AT134" s="173"/>
      <c r="AU134" s="173"/>
      <c r="AV134" s="173"/>
      <c r="AW134" s="173"/>
      <c r="AX134" s="173"/>
      <c r="AY134" s="173"/>
      <c r="AZ134" s="173"/>
      <c r="BA134" s="173"/>
      <c r="BB134" s="173"/>
      <c r="BC134" s="173"/>
      <c r="BD134" s="173"/>
      <c r="BE134" s="173"/>
      <c r="BF134" s="173"/>
      <c r="BG134" s="173"/>
      <c r="BH134" s="173"/>
      <c r="BI134" s="173"/>
      <c r="BJ134" s="173"/>
      <c r="BK134" s="173"/>
      <c r="BL134" s="173"/>
      <c r="BM134" s="173"/>
      <c r="BN134" s="173"/>
      <c r="BO134" s="173"/>
      <c r="BP134" s="173"/>
      <c r="BQ134" s="173"/>
      <c r="BR134" s="173"/>
      <c r="BS134" s="173"/>
      <c r="BT134" s="173"/>
      <c r="BU134" s="173"/>
      <c r="BV134" s="173"/>
      <c r="BW134" s="173"/>
      <c r="BX134" s="173"/>
      <c r="BY134" s="173"/>
      <c r="BZ134" s="173"/>
      <c r="CA134" s="173"/>
      <c r="CB134" s="173"/>
      <c r="CC134" s="173"/>
      <c r="CD134" s="173"/>
      <c r="CE134" s="173"/>
      <c r="CF134" s="173"/>
      <c r="CG134" s="173"/>
      <c r="CH134" s="173"/>
      <c r="CI134" s="173"/>
      <c r="CJ134" s="173"/>
      <c r="CK134" s="173"/>
      <c r="CL134" s="173"/>
      <c r="CM134" s="173"/>
      <c r="CN134" s="173"/>
      <c r="CO134" s="173"/>
      <c r="CP134" s="173"/>
      <c r="CQ134" s="173"/>
      <c r="CR134" s="173"/>
      <c r="CS134" s="173"/>
      <c r="CT134" s="173"/>
      <c r="CU134" s="173"/>
      <c r="CV134" s="173"/>
      <c r="CW134" s="173"/>
      <c r="CX134" s="173"/>
      <c r="CY134" s="151"/>
      <c r="CZ134" s="151"/>
      <c r="DA134" s="151"/>
      <c r="DB134" s="151"/>
      <c r="DC134" s="151"/>
      <c r="DD134" s="151"/>
      <c r="DE134" s="151"/>
      <c r="DF134" s="151"/>
      <c r="DG134" s="151"/>
      <c r="DH134" s="151"/>
      <c r="DI134" s="151"/>
      <c r="DJ134" s="151"/>
      <c r="DK134" s="151"/>
      <c r="DL134" s="151"/>
      <c r="DM134" s="151"/>
      <c r="DN134" s="151"/>
      <c r="DO134" s="151"/>
      <c r="DP134" s="151"/>
      <c r="DQ134" s="151"/>
      <c r="DR134" s="151"/>
      <c r="DS134" s="151"/>
      <c r="DT134" s="151"/>
      <c r="DU134" s="151"/>
      <c r="DV134" s="151"/>
      <c r="DW134" s="151"/>
      <c r="DX134" s="151"/>
      <c r="DY134" s="151"/>
      <c r="DZ134" s="151"/>
      <c r="EA134" s="151"/>
      <c r="EB134" s="151"/>
      <c r="EC134" s="151"/>
      <c r="ED134" s="151"/>
      <c r="EE134" s="151"/>
      <c r="EF134" s="151"/>
      <c r="EG134" s="151"/>
      <c r="EH134" s="151"/>
      <c r="EI134" s="151"/>
      <c r="EJ134" s="151"/>
      <c r="EK134" s="151"/>
      <c r="EL134" s="151"/>
      <c r="EM134" s="151"/>
      <c r="EN134" s="151"/>
      <c r="EO134" s="151"/>
      <c r="EP134" s="151"/>
      <c r="EQ134" s="151"/>
      <c r="ER134" s="151"/>
      <c r="ES134" s="151"/>
      <c r="ET134" s="151"/>
      <c r="EU134" s="151"/>
      <c r="EV134" s="151"/>
      <c r="EW134" s="151"/>
      <c r="EX134" s="151"/>
      <c r="EY134" s="151"/>
      <c r="EZ134" s="151"/>
      <c r="FA134" s="151"/>
      <c r="FB134" s="151"/>
      <c r="FC134" s="151"/>
      <c r="FD134" s="151"/>
      <c r="FE134" s="151"/>
      <c r="FF134" s="151"/>
      <c r="FG134" s="151"/>
      <c r="FH134" s="151"/>
      <c r="FI134" s="151"/>
      <c r="FJ134" s="151"/>
      <c r="FK134" s="151"/>
      <c r="FL134" s="151"/>
      <c r="FM134" s="151"/>
      <c r="FN134" s="151"/>
      <c r="FO134" s="151"/>
      <c r="FP134" s="151"/>
      <c r="FQ134" s="151"/>
      <c r="FR134" s="151"/>
      <c r="FS134" s="151"/>
      <c r="FT134" s="151"/>
      <c r="FU134" s="151"/>
      <c r="FV134" s="151"/>
      <c r="FW134" s="151"/>
      <c r="FX134" s="151"/>
      <c r="FY134" s="151"/>
      <c r="FZ134" s="151"/>
      <c r="GA134" s="151"/>
      <c r="GB134" s="151"/>
      <c r="GC134" s="151"/>
      <c r="GD134" s="151"/>
      <c r="GE134" s="151"/>
      <c r="GF134" s="151"/>
      <c r="GG134" s="152"/>
    </row>
    <row r="135" spans="1:189" s="168" customFormat="1" ht="28.5" x14ac:dyDescent="0.35">
      <c r="A135" s="266">
        <v>3</v>
      </c>
      <c r="B135" s="206"/>
      <c r="C135" s="207"/>
      <c r="D135" s="208"/>
      <c r="E135" s="207" t="s">
        <v>306</v>
      </c>
      <c r="F135" s="206" t="s">
        <v>305</v>
      </c>
      <c r="G135" s="209">
        <v>2</v>
      </c>
      <c r="H135" s="210"/>
      <c r="I135" s="206"/>
      <c r="J135" s="207"/>
      <c r="K135" s="206"/>
      <c r="L135" s="211"/>
      <c r="M135" s="211"/>
      <c r="N135" s="212"/>
      <c r="O135" s="211"/>
      <c r="P135" s="211"/>
      <c r="Q135" s="213"/>
      <c r="R135" s="214"/>
      <c r="S135" s="215"/>
      <c r="T135" s="214"/>
      <c r="U135" s="191">
        <f t="shared" si="28"/>
        <v>0</v>
      </c>
      <c r="V135" s="217"/>
      <c r="W135" s="218"/>
      <c r="X135" s="219"/>
      <c r="Y135" s="167">
        <f t="shared" si="22"/>
        <v>0</v>
      </c>
      <c r="Z135" s="167">
        <f t="shared" si="23"/>
        <v>0</v>
      </c>
      <c r="AA135" s="167">
        <f t="shared" si="24"/>
        <v>0</v>
      </c>
      <c r="AB135" s="167">
        <f t="shared" si="25"/>
        <v>0</v>
      </c>
      <c r="AC135" s="167">
        <f t="shared" si="26"/>
        <v>0</v>
      </c>
      <c r="AD135" s="167">
        <f t="shared" si="27"/>
        <v>0</v>
      </c>
      <c r="AF135" s="47">
        <f t="shared" si="21"/>
        <v>0</v>
      </c>
      <c r="AG135" s="202" t="str">
        <f t="shared" ref="AG135:AG202" si="173">B135&amp;" "&amp;F135</f>
        <v xml:space="preserve"> Electrical, teletechnical and I&amp;C works</v>
      </c>
      <c r="AH135" s="172"/>
      <c r="AI135" s="173"/>
      <c r="AJ135" s="173"/>
      <c r="AK135" s="173"/>
      <c r="AL135" s="173"/>
      <c r="AM135" s="173"/>
      <c r="AN135" s="173"/>
      <c r="AO135" s="173"/>
      <c r="AP135" s="173"/>
      <c r="AQ135" s="173"/>
      <c r="AR135" s="173"/>
      <c r="AS135" s="173"/>
      <c r="AT135" s="173"/>
      <c r="AU135" s="173"/>
      <c r="AV135" s="173"/>
      <c r="AW135" s="173"/>
      <c r="AX135" s="173"/>
      <c r="AY135" s="173"/>
      <c r="AZ135" s="173"/>
      <c r="BA135" s="173"/>
      <c r="BB135" s="173"/>
      <c r="BC135" s="173"/>
      <c r="BD135" s="173"/>
      <c r="BE135" s="173"/>
      <c r="BF135" s="173"/>
      <c r="BG135" s="173"/>
      <c r="BH135" s="173"/>
      <c r="BI135" s="173"/>
      <c r="BJ135" s="173"/>
      <c r="BK135" s="173"/>
      <c r="BL135" s="173"/>
      <c r="BM135" s="173"/>
      <c r="BN135" s="173"/>
      <c r="BO135" s="173"/>
      <c r="BP135" s="173"/>
      <c r="BQ135" s="173"/>
      <c r="BR135" s="173"/>
      <c r="BS135" s="173"/>
      <c r="BT135" s="173"/>
      <c r="BU135" s="173"/>
      <c r="BV135" s="173"/>
      <c r="BW135" s="173"/>
      <c r="BX135" s="173"/>
      <c r="BY135" s="173"/>
      <c r="BZ135" s="173"/>
      <c r="CA135" s="173"/>
      <c r="CB135" s="173"/>
      <c r="CC135" s="173"/>
      <c r="CD135" s="173"/>
      <c r="CE135" s="173"/>
      <c r="CF135" s="173"/>
      <c r="CG135" s="173"/>
      <c r="CH135" s="173"/>
      <c r="CI135" s="173"/>
      <c r="CJ135" s="173"/>
      <c r="CK135" s="173"/>
      <c r="CL135" s="173"/>
      <c r="CM135" s="173"/>
      <c r="CN135" s="173"/>
      <c r="CO135" s="173"/>
      <c r="CP135" s="173"/>
      <c r="CQ135" s="173"/>
      <c r="CR135" s="173"/>
      <c r="CS135" s="173"/>
      <c r="CT135" s="173"/>
      <c r="CU135" s="173"/>
      <c r="CV135" s="173"/>
      <c r="CW135" s="173"/>
      <c r="CX135" s="173"/>
      <c r="CY135" s="151"/>
      <c r="CZ135" s="173"/>
      <c r="DA135" s="173"/>
      <c r="DB135" s="173"/>
      <c r="DC135" s="173"/>
      <c r="DD135" s="173"/>
      <c r="DE135" s="173"/>
      <c r="DF135" s="173"/>
      <c r="DG135" s="173"/>
      <c r="DH135" s="173"/>
      <c r="DI135" s="173"/>
      <c r="DJ135" s="173"/>
      <c r="DK135" s="173"/>
      <c r="DL135" s="173"/>
      <c r="DM135" s="173"/>
      <c r="DN135" s="173"/>
      <c r="DO135" s="173"/>
      <c r="DP135" s="173"/>
      <c r="DQ135" s="173"/>
      <c r="DR135" s="173"/>
      <c r="DS135" s="173"/>
      <c r="DT135" s="173"/>
      <c r="DU135" s="173"/>
      <c r="DV135" s="173"/>
      <c r="DW135" s="173"/>
      <c r="DX135" s="173"/>
      <c r="DY135" s="173"/>
      <c r="DZ135" s="173"/>
      <c r="EA135" s="173"/>
      <c r="EB135" s="173"/>
      <c r="EC135" s="173"/>
      <c r="ED135" s="173"/>
      <c r="EE135" s="173"/>
      <c r="EF135" s="173"/>
      <c r="EG135" s="173"/>
      <c r="EH135" s="173"/>
      <c r="EI135" s="173"/>
      <c r="EJ135" s="173"/>
      <c r="EK135" s="173"/>
      <c r="EL135" s="173"/>
      <c r="EM135" s="173"/>
      <c r="EN135" s="173"/>
      <c r="EO135" s="173"/>
      <c r="EP135" s="173"/>
      <c r="EQ135" s="173"/>
      <c r="ER135" s="173"/>
      <c r="ES135" s="173"/>
      <c r="ET135" s="173"/>
      <c r="EU135" s="173"/>
      <c r="EV135" s="173"/>
      <c r="EW135" s="173"/>
      <c r="EX135" s="173"/>
      <c r="EY135" s="173"/>
      <c r="EZ135" s="173"/>
      <c r="FA135" s="173"/>
      <c r="FB135" s="173"/>
      <c r="FC135" s="173"/>
      <c r="FD135" s="173"/>
      <c r="FE135" s="173"/>
      <c r="FF135" s="173"/>
      <c r="FG135" s="173"/>
      <c r="FH135" s="173"/>
      <c r="FI135" s="173"/>
      <c r="FJ135" s="173"/>
      <c r="FK135" s="173"/>
      <c r="FL135" s="173"/>
      <c r="FM135" s="173"/>
      <c r="FN135" s="173"/>
      <c r="FO135" s="173"/>
      <c r="FP135" s="173"/>
      <c r="FQ135" s="173"/>
      <c r="FR135" s="173"/>
      <c r="FS135" s="173"/>
      <c r="FT135" s="173"/>
      <c r="FU135" s="173"/>
      <c r="FV135" s="173"/>
      <c r="FW135" s="173"/>
      <c r="FX135" s="173"/>
      <c r="FY135" s="173"/>
      <c r="FZ135" s="173"/>
      <c r="GA135" s="173"/>
      <c r="GB135" s="173"/>
      <c r="GC135" s="173"/>
      <c r="GD135" s="173"/>
      <c r="GE135" s="173"/>
      <c r="GF135" s="173"/>
      <c r="GG135" s="174"/>
    </row>
    <row r="136" spans="1:189" x14ac:dyDescent="0.35">
      <c r="A136" s="237" t="s">
        <v>445</v>
      </c>
      <c r="B136" s="236"/>
      <c r="C136" s="236"/>
      <c r="D136" s="237"/>
      <c r="E136" s="236" t="s">
        <v>439</v>
      </c>
      <c r="F136" s="236" t="s">
        <v>440</v>
      </c>
      <c r="G136" s="238">
        <v>2</v>
      </c>
      <c r="H136" s="239"/>
      <c r="I136" s="240"/>
      <c r="J136" s="240"/>
      <c r="K136" s="240"/>
      <c r="L136" s="241"/>
      <c r="M136" s="241"/>
      <c r="N136" s="241"/>
      <c r="O136" s="241"/>
      <c r="P136" s="241"/>
      <c r="Q136" s="242"/>
      <c r="R136" s="243"/>
      <c r="S136" s="243"/>
      <c r="T136" s="243"/>
      <c r="U136" s="191">
        <f t="shared" si="28"/>
        <v>0</v>
      </c>
      <c r="V136" s="244"/>
      <c r="W136" s="245"/>
      <c r="X136" s="46"/>
      <c r="Y136" s="167">
        <f t="shared" ref="Y136:Y204" si="174">IF(G136=2,S136,0)</f>
        <v>0</v>
      </c>
      <c r="Z136" s="167">
        <f t="shared" ref="Z136:Z204" si="175">IF(Q136="",0,IF(G136=2,T136,0))</f>
        <v>0</v>
      </c>
      <c r="AA136" s="167">
        <f t="shared" ref="AA136:AA204" si="176">Y136-Z136</f>
        <v>0</v>
      </c>
      <c r="AB136" s="167">
        <f t="shared" ref="AB136:AB204" si="177">IF(G136=1,S136,0)</f>
        <v>0</v>
      </c>
      <c r="AC136" s="167">
        <f t="shared" ref="AC136:AC204" si="178">IF(Q136="",0,IF(G136=1,T136,0))</f>
        <v>0</v>
      </c>
      <c r="AD136" s="167">
        <f t="shared" ref="AD136:AD204" si="179">AB136-AC136</f>
        <v>0</v>
      </c>
      <c r="AF136" s="180">
        <f t="shared" ref="AF136:AF204" si="180">IF(S136&lt;&gt;"",1,0)</f>
        <v>0</v>
      </c>
      <c r="AG136" s="202" t="str">
        <f t="shared" si="173"/>
        <v xml:space="preserve"> Electrical installations</v>
      </c>
      <c r="AH136" s="172"/>
      <c r="AI136" s="173"/>
      <c r="AJ136" s="173"/>
      <c r="AK136" s="173"/>
      <c r="AL136" s="173"/>
      <c r="AM136" s="173"/>
      <c r="AN136" s="173"/>
      <c r="AO136" s="173"/>
      <c r="AP136" s="173"/>
      <c r="AQ136" s="173"/>
      <c r="AR136" s="173"/>
      <c r="AS136" s="173"/>
      <c r="AT136" s="173"/>
      <c r="AU136" s="173"/>
      <c r="AV136" s="173"/>
      <c r="AW136" s="173"/>
      <c r="AX136" s="173"/>
      <c r="AY136" s="173"/>
      <c r="AZ136" s="173"/>
      <c r="BA136" s="173"/>
      <c r="BB136" s="173"/>
      <c r="BC136" s="173"/>
      <c r="BD136" s="173"/>
      <c r="BE136" s="173"/>
      <c r="BF136" s="173"/>
      <c r="BG136" s="173"/>
      <c r="BH136" s="173"/>
      <c r="BI136" s="173"/>
      <c r="BJ136" s="173"/>
      <c r="BK136" s="173"/>
      <c r="BL136" s="173"/>
      <c r="BM136" s="173"/>
      <c r="BN136" s="173"/>
      <c r="BO136" s="173"/>
      <c r="BP136" s="173"/>
      <c r="BQ136" s="173"/>
      <c r="BR136" s="173"/>
      <c r="BS136" s="173"/>
      <c r="BT136" s="173"/>
      <c r="BU136" s="173"/>
      <c r="BV136" s="173"/>
      <c r="BW136" s="173"/>
      <c r="BX136" s="173"/>
      <c r="BY136" s="173"/>
      <c r="BZ136" s="173"/>
      <c r="CA136" s="173"/>
      <c r="CB136" s="173"/>
      <c r="CC136" s="173"/>
      <c r="CD136" s="173"/>
      <c r="CE136" s="173"/>
      <c r="CF136" s="173"/>
      <c r="CG136" s="173"/>
      <c r="CH136" s="173"/>
      <c r="CI136" s="173"/>
      <c r="CJ136" s="173"/>
      <c r="CK136" s="173"/>
      <c r="CL136" s="173"/>
      <c r="CM136" s="173"/>
      <c r="CN136" s="173"/>
      <c r="CO136" s="173"/>
      <c r="CP136" s="173"/>
      <c r="CQ136" s="173"/>
      <c r="CR136" s="173"/>
      <c r="CS136" s="173"/>
      <c r="CT136" s="173"/>
      <c r="CU136" s="173"/>
      <c r="CV136" s="173"/>
      <c r="CW136" s="173"/>
      <c r="CX136" s="173"/>
      <c r="CY136" s="151"/>
      <c r="CZ136" s="151"/>
      <c r="DA136" s="151"/>
      <c r="DB136" s="151"/>
      <c r="DC136" s="151"/>
      <c r="DD136" s="151"/>
      <c r="DE136" s="151"/>
      <c r="DF136" s="151"/>
      <c r="DG136" s="151"/>
      <c r="DH136" s="151"/>
      <c r="DI136" s="151"/>
      <c r="DJ136" s="151"/>
      <c r="DK136" s="151"/>
      <c r="DL136" s="151"/>
      <c r="DM136" s="151"/>
      <c r="DN136" s="151"/>
      <c r="DO136" s="151"/>
      <c r="DP136" s="151"/>
      <c r="DQ136" s="151"/>
      <c r="DR136" s="151"/>
      <c r="DS136" s="151"/>
      <c r="DT136" s="151"/>
      <c r="DU136" s="151"/>
      <c r="DV136" s="151"/>
      <c r="DW136" s="151"/>
      <c r="DX136" s="151"/>
      <c r="DY136" s="151"/>
      <c r="DZ136" s="151"/>
      <c r="EA136" s="151"/>
      <c r="EB136" s="151"/>
      <c r="EC136" s="151"/>
      <c r="ED136" s="151"/>
      <c r="EE136" s="151"/>
      <c r="EF136" s="151"/>
      <c r="EG136" s="151"/>
      <c r="EH136" s="151"/>
      <c r="EI136" s="151"/>
      <c r="EJ136" s="151"/>
      <c r="EK136" s="151"/>
      <c r="EL136" s="151"/>
      <c r="EM136" s="151"/>
      <c r="EN136" s="151"/>
      <c r="EO136" s="151"/>
      <c r="EP136" s="151"/>
      <c r="EQ136" s="151"/>
      <c r="ER136" s="151"/>
      <c r="ES136" s="151"/>
      <c r="ET136" s="151"/>
      <c r="EU136" s="151"/>
      <c r="EV136" s="151"/>
      <c r="EW136" s="151"/>
      <c r="EX136" s="151"/>
      <c r="EY136" s="151"/>
      <c r="EZ136" s="151"/>
      <c r="FA136" s="151"/>
      <c r="FB136" s="151"/>
      <c r="FC136" s="151"/>
      <c r="FD136" s="151"/>
      <c r="FE136" s="151"/>
      <c r="FF136" s="151"/>
      <c r="FG136" s="151"/>
      <c r="FH136" s="151"/>
      <c r="FI136" s="151"/>
      <c r="FJ136" s="151"/>
      <c r="FK136" s="151"/>
      <c r="FL136" s="151"/>
      <c r="FM136" s="151"/>
      <c r="FN136" s="151"/>
      <c r="FO136" s="151"/>
      <c r="FP136" s="151"/>
      <c r="FQ136" s="151"/>
      <c r="FR136" s="151"/>
      <c r="FS136" s="151"/>
      <c r="FT136" s="151"/>
      <c r="FU136" s="151"/>
      <c r="FV136" s="151"/>
      <c r="FW136" s="151"/>
      <c r="FX136" s="151"/>
      <c r="FY136" s="151"/>
      <c r="FZ136" s="151"/>
      <c r="GA136" s="151"/>
      <c r="GB136" s="151"/>
      <c r="GC136" s="151"/>
      <c r="GD136" s="151"/>
      <c r="GE136" s="151"/>
      <c r="GF136" s="151"/>
      <c r="GG136" s="152"/>
    </row>
    <row r="137" spans="1:189" ht="27.75" x14ac:dyDescent="0.35">
      <c r="A137" s="297" t="s">
        <v>447</v>
      </c>
      <c r="B137" s="298" t="s">
        <v>1067</v>
      </c>
      <c r="C137" s="298"/>
      <c r="D137" s="299"/>
      <c r="E137" s="298" t="s">
        <v>443</v>
      </c>
      <c r="F137" s="298" t="s">
        <v>444</v>
      </c>
      <c r="G137" s="300">
        <v>2</v>
      </c>
      <c r="H137" s="301"/>
      <c r="I137" s="302"/>
      <c r="J137" s="302"/>
      <c r="K137" s="302"/>
      <c r="L137" s="303"/>
      <c r="M137" s="303"/>
      <c r="N137" s="303">
        <v>46134</v>
      </c>
      <c r="O137" s="303">
        <v>46134</v>
      </c>
      <c r="P137" s="303">
        <v>46934</v>
      </c>
      <c r="Q137" s="304" t="s">
        <v>20</v>
      </c>
      <c r="R137" s="305">
        <v>29982000</v>
      </c>
      <c r="S137" s="305">
        <f>29982000-SUM(S138:S139)</f>
        <v>0</v>
      </c>
      <c r="T137" s="305">
        <v>0</v>
      </c>
      <c r="U137" s="191">
        <f t="shared" ref="U137:U205" si="181">IF(Q137="",0,IF(T137="",0,+S137-T137))</f>
        <v>0</v>
      </c>
      <c r="V137" s="306"/>
      <c r="W137" s="307"/>
      <c r="X137" s="46"/>
      <c r="Y137" s="167">
        <f t="shared" si="174"/>
        <v>0</v>
      </c>
      <c r="Z137" s="167">
        <f t="shared" si="175"/>
        <v>0</v>
      </c>
      <c r="AA137" s="167">
        <f t="shared" si="176"/>
        <v>0</v>
      </c>
      <c r="AB137" s="167">
        <f t="shared" si="177"/>
        <v>0</v>
      </c>
      <c r="AC137" s="167">
        <f t="shared" si="178"/>
        <v>0</v>
      </c>
      <c r="AD137" s="167">
        <f t="shared" si="179"/>
        <v>0</v>
      </c>
      <c r="AF137" s="47">
        <f t="shared" si="180"/>
        <v>1</v>
      </c>
      <c r="AG137" s="202" t="str">
        <f t="shared" si="173"/>
        <v>Radosław Zdancewicz Delivery and installation of electrical equipment</v>
      </c>
      <c r="AH137" s="172"/>
      <c r="AI137" s="173"/>
      <c r="AJ137" s="173"/>
      <c r="AK137" s="173"/>
      <c r="AL137" s="173"/>
      <c r="AM137" s="173"/>
      <c r="AN137" s="173"/>
      <c r="AO137" s="173"/>
      <c r="AP137" s="173"/>
      <c r="AQ137" s="173"/>
      <c r="AR137" s="173"/>
      <c r="AS137" s="173"/>
      <c r="AT137" s="173"/>
      <c r="AU137" s="173"/>
      <c r="AV137" s="173"/>
      <c r="AW137" s="173"/>
      <c r="AX137" s="173"/>
      <c r="AY137" s="173"/>
      <c r="AZ137" s="173"/>
      <c r="BA137" s="173"/>
      <c r="BB137" s="173"/>
      <c r="BC137" s="173"/>
      <c r="BD137" s="173"/>
      <c r="BE137" s="173"/>
      <c r="BF137" s="173"/>
      <c r="BG137" s="173"/>
      <c r="BH137" s="173"/>
      <c r="BI137" s="173"/>
      <c r="BJ137" s="173"/>
      <c r="BK137" s="173"/>
      <c r="BL137" s="173"/>
      <c r="BM137" s="173"/>
      <c r="BN137" s="173"/>
      <c r="BO137" s="173"/>
      <c r="BP137" s="173"/>
      <c r="BQ137" s="173"/>
      <c r="BR137" s="173"/>
      <c r="BS137" s="173"/>
      <c r="BT137" s="173"/>
      <c r="BU137" s="173"/>
      <c r="BV137" s="173"/>
      <c r="BW137" s="173"/>
      <c r="BX137" s="173"/>
      <c r="BY137" s="173"/>
      <c r="BZ137" s="173"/>
      <c r="CA137" s="173"/>
      <c r="CB137" s="173"/>
      <c r="CC137" s="173"/>
      <c r="CD137" s="173"/>
      <c r="CE137" s="173"/>
      <c r="CF137" s="173"/>
      <c r="CG137" s="173"/>
      <c r="CH137" s="173"/>
      <c r="CI137" s="173"/>
      <c r="CJ137" s="173"/>
      <c r="CK137" s="173"/>
      <c r="CL137" s="173"/>
      <c r="CM137" s="173"/>
      <c r="CN137" s="173"/>
      <c r="CO137" s="173"/>
      <c r="CP137" s="173"/>
      <c r="CQ137" s="173"/>
      <c r="CR137" s="173"/>
      <c r="CS137" s="173"/>
      <c r="CT137" s="173"/>
      <c r="CU137" s="173"/>
      <c r="CV137" s="173"/>
      <c r="CW137" s="173"/>
      <c r="CX137" s="173"/>
      <c r="CY137" s="148"/>
      <c r="CZ137" s="148"/>
      <c r="DA137" s="148"/>
      <c r="DB137" s="148"/>
      <c r="DC137" s="148"/>
      <c r="DD137" s="148"/>
      <c r="DE137" s="148"/>
      <c r="DF137" s="148"/>
      <c r="DG137" s="148"/>
      <c r="DH137" s="148"/>
      <c r="DI137" s="148"/>
      <c r="DJ137" s="148"/>
      <c r="DK137" s="148"/>
      <c r="DL137" s="148"/>
      <c r="DM137" s="148"/>
      <c r="DN137" s="148"/>
      <c r="DO137" s="148"/>
      <c r="DP137" s="148"/>
      <c r="DQ137" s="148"/>
      <c r="DR137" s="148"/>
      <c r="DS137" s="148"/>
      <c r="DT137" s="148"/>
      <c r="DU137" s="148"/>
      <c r="DV137" s="148"/>
      <c r="DW137" s="148"/>
      <c r="DX137" s="148"/>
      <c r="DY137" s="148"/>
      <c r="DZ137" s="148"/>
      <c r="EA137" s="148"/>
      <c r="EB137" s="148"/>
      <c r="EC137" s="148"/>
      <c r="ED137" s="148"/>
      <c r="EE137" s="148"/>
      <c r="EF137" s="148"/>
      <c r="EG137" s="148"/>
      <c r="EH137" s="148"/>
      <c r="EI137" s="148"/>
      <c r="EJ137" s="148"/>
      <c r="EK137" s="148"/>
      <c r="EL137" s="148"/>
      <c r="EM137" s="148"/>
      <c r="EN137" s="148"/>
      <c r="EO137" s="148"/>
      <c r="EP137" s="148"/>
      <c r="EQ137" s="148"/>
      <c r="ER137" s="148"/>
      <c r="ES137" s="148"/>
      <c r="ET137" s="148"/>
      <c r="EU137" s="148"/>
      <c r="EV137" s="148"/>
      <c r="EW137" s="148"/>
      <c r="EX137" s="148"/>
      <c r="EY137" s="148"/>
      <c r="EZ137" s="148"/>
      <c r="FA137" s="148"/>
      <c r="FB137" s="148"/>
      <c r="FC137" s="148"/>
      <c r="FD137" s="148"/>
      <c r="FE137" s="148"/>
      <c r="FF137" s="148"/>
      <c r="FG137" s="148"/>
      <c r="FH137" s="148"/>
      <c r="FI137" s="148"/>
      <c r="FJ137" s="148"/>
      <c r="FK137" s="148"/>
      <c r="FL137" s="148"/>
      <c r="FM137" s="148"/>
      <c r="FN137" s="148"/>
      <c r="FO137" s="148"/>
      <c r="FP137" s="148"/>
      <c r="FQ137" s="148"/>
      <c r="FR137" s="148"/>
      <c r="FS137" s="148"/>
      <c r="FT137" s="148"/>
      <c r="FU137" s="148"/>
      <c r="FV137" s="148"/>
      <c r="FW137" s="148"/>
      <c r="FX137" s="148"/>
      <c r="FY137" s="148"/>
      <c r="FZ137" s="148"/>
      <c r="GA137" s="148"/>
      <c r="GB137" s="148"/>
      <c r="GC137" s="148"/>
      <c r="GD137" s="148"/>
      <c r="GE137" s="148"/>
      <c r="GF137" s="148"/>
      <c r="GG137" s="149"/>
    </row>
    <row r="138" spans="1:189" ht="27.75" x14ac:dyDescent="0.35">
      <c r="A138" s="267" t="s">
        <v>1179</v>
      </c>
      <c r="B138" s="221" t="s">
        <v>1067</v>
      </c>
      <c r="C138" s="221" t="s">
        <v>1187</v>
      </c>
      <c r="D138" s="222"/>
      <c r="E138" s="221" t="s">
        <v>443</v>
      </c>
      <c r="F138" s="221" t="s">
        <v>444</v>
      </c>
      <c r="G138" s="223">
        <v>2</v>
      </c>
      <c r="H138" s="224" t="s">
        <v>1050</v>
      </c>
      <c r="I138" s="225"/>
      <c r="J138" s="225"/>
      <c r="K138" s="225"/>
      <c r="L138" s="226">
        <v>45962</v>
      </c>
      <c r="M138" s="226">
        <v>46387</v>
      </c>
      <c r="N138" s="226">
        <v>46134</v>
      </c>
      <c r="O138" s="226">
        <v>46134</v>
      </c>
      <c r="P138" s="226">
        <v>46783</v>
      </c>
      <c r="Q138" s="227" t="s">
        <v>20</v>
      </c>
      <c r="R138" s="228"/>
      <c r="S138" s="228">
        <v>28282000</v>
      </c>
      <c r="T138" s="228">
        <f>27750000</f>
        <v>27750000</v>
      </c>
      <c r="U138" s="191">
        <f t="shared" ref="U138" si="182">IF(Q138="",0,IF(T138="",0,+S138-T138))</f>
        <v>532000</v>
      </c>
      <c r="V138" s="230"/>
      <c r="W138" s="231"/>
      <c r="X138" s="46"/>
      <c r="Y138" s="167">
        <f t="shared" ref="Y138" si="183">IF(G138=2,S138,0)</f>
        <v>28282000</v>
      </c>
      <c r="Z138" s="167">
        <f t="shared" ref="Z138" si="184">IF(Q138="",0,IF(G138=2,T138,0))</f>
        <v>27750000</v>
      </c>
      <c r="AA138" s="167">
        <f t="shared" ref="AA138" si="185">Y138-Z138</f>
        <v>532000</v>
      </c>
      <c r="AB138" s="167">
        <f t="shared" ref="AB138" si="186">IF(G138=1,S138,0)</f>
        <v>0</v>
      </c>
      <c r="AC138" s="167">
        <f t="shared" ref="AC138" si="187">IF(Q138="",0,IF(G138=1,T138,0))</f>
        <v>0</v>
      </c>
      <c r="AD138" s="167">
        <f t="shared" ref="AD138" si="188">AB138-AC138</f>
        <v>0</v>
      </c>
      <c r="AF138" s="47">
        <f t="shared" ref="AF138" si="189">IF(S138&lt;&gt;"",1,0)</f>
        <v>1</v>
      </c>
      <c r="AG138" s="202" t="str">
        <f t="shared" ref="AG138" si="190">B138&amp;" "&amp;F138</f>
        <v>Radosław Zdancewicz Delivery and installation of electrical equipment</v>
      </c>
      <c r="AH138" s="172"/>
      <c r="AI138" s="173"/>
      <c r="AJ138" s="173"/>
      <c r="AK138" s="173"/>
      <c r="AL138" s="173"/>
      <c r="AM138" s="173"/>
      <c r="AN138" s="173"/>
      <c r="AO138" s="173"/>
      <c r="AP138" s="173"/>
      <c r="AQ138" s="173"/>
      <c r="AR138" s="173"/>
      <c r="AS138" s="173"/>
      <c r="AT138" s="173"/>
      <c r="AU138" s="173"/>
      <c r="AV138" s="173"/>
      <c r="AW138" s="173"/>
      <c r="AX138" s="173"/>
      <c r="AY138" s="173"/>
      <c r="AZ138" s="173"/>
      <c r="BA138" s="173"/>
      <c r="BB138" s="173"/>
      <c r="BC138" s="173"/>
      <c r="BD138" s="173"/>
      <c r="BE138" s="173"/>
      <c r="BF138" s="173"/>
      <c r="BG138" s="173"/>
      <c r="BH138" s="173"/>
      <c r="BI138" s="173"/>
      <c r="BJ138" s="173"/>
      <c r="BK138" s="173"/>
      <c r="BL138" s="173"/>
      <c r="BM138" s="173"/>
      <c r="BN138" s="173"/>
      <c r="BO138" s="173"/>
      <c r="BP138" s="173"/>
      <c r="BQ138" s="173"/>
      <c r="BR138" s="173"/>
      <c r="BS138" s="173"/>
      <c r="BT138" s="173"/>
      <c r="BU138" s="173"/>
      <c r="BV138" s="173"/>
      <c r="BW138" s="173"/>
      <c r="BX138" s="173"/>
      <c r="BY138" s="173"/>
      <c r="BZ138" s="173"/>
      <c r="CA138" s="173"/>
      <c r="CB138" s="173"/>
      <c r="CC138" s="173"/>
      <c r="CD138" s="173"/>
      <c r="CE138" s="173"/>
      <c r="CF138" s="173"/>
      <c r="CG138" s="173"/>
      <c r="CH138" s="173"/>
      <c r="CI138" s="173"/>
      <c r="CJ138" s="173"/>
      <c r="CK138" s="173"/>
      <c r="CL138" s="173"/>
      <c r="CM138" s="173"/>
      <c r="CN138" s="173"/>
      <c r="CO138" s="173"/>
      <c r="CP138" s="173"/>
      <c r="CQ138" s="173"/>
      <c r="CR138" s="173"/>
      <c r="CS138" s="173"/>
      <c r="CT138" s="173"/>
      <c r="CU138" s="173"/>
      <c r="CV138" s="173"/>
      <c r="CW138" s="173"/>
      <c r="CX138" s="173"/>
      <c r="CY138" s="151"/>
      <c r="CZ138" s="151"/>
      <c r="DA138" s="151"/>
      <c r="DB138" s="151"/>
      <c r="DC138" s="151"/>
      <c r="DD138" s="151"/>
      <c r="DE138" s="151"/>
      <c r="DF138" s="151"/>
      <c r="DG138" s="151"/>
      <c r="DH138" s="151"/>
      <c r="DI138" s="151"/>
      <c r="DJ138" s="151"/>
      <c r="DK138" s="151"/>
      <c r="DL138" s="151"/>
      <c r="DM138" s="151"/>
      <c r="DN138" s="151"/>
      <c r="DO138" s="151"/>
      <c r="DP138" s="151"/>
      <c r="DQ138" s="151"/>
      <c r="DR138" s="151"/>
      <c r="DS138" s="151"/>
      <c r="DT138" s="151"/>
      <c r="DU138" s="151"/>
      <c r="DV138" s="151"/>
      <c r="DW138" s="151"/>
      <c r="DX138" s="151"/>
      <c r="DY138" s="151"/>
      <c r="DZ138" s="151"/>
      <c r="EA138" s="151"/>
      <c r="EB138" s="151"/>
      <c r="EC138" s="151"/>
      <c r="ED138" s="151"/>
      <c r="EE138" s="151"/>
      <c r="EF138" s="151"/>
      <c r="EG138" s="151"/>
      <c r="EH138" s="151"/>
      <c r="EI138" s="151"/>
      <c r="EJ138" s="151"/>
      <c r="EK138" s="151"/>
      <c r="EL138" s="151"/>
      <c r="EM138" s="151"/>
      <c r="EN138" s="151"/>
      <c r="EO138" s="151"/>
      <c r="EP138" s="151"/>
      <c r="EQ138" s="151"/>
      <c r="ER138" s="151"/>
      <c r="ES138" s="151"/>
      <c r="ET138" s="151"/>
      <c r="EU138" s="151"/>
      <c r="EV138" s="151"/>
      <c r="EW138" s="151"/>
      <c r="EX138" s="151"/>
      <c r="EY138" s="151"/>
      <c r="EZ138" s="151"/>
      <c r="FA138" s="151"/>
      <c r="FB138" s="151"/>
      <c r="FC138" s="151"/>
      <c r="FD138" s="151"/>
      <c r="FE138" s="151"/>
      <c r="FF138" s="151"/>
      <c r="FG138" s="151"/>
      <c r="FH138" s="151"/>
      <c r="FI138" s="151"/>
      <c r="FJ138" s="151"/>
      <c r="FK138" s="151"/>
      <c r="FL138" s="151"/>
      <c r="FM138" s="151"/>
      <c r="FN138" s="151"/>
      <c r="FO138" s="151"/>
      <c r="FP138" s="151"/>
      <c r="FQ138" s="151"/>
      <c r="FR138" s="151"/>
      <c r="FS138" s="151"/>
      <c r="FT138" s="151"/>
      <c r="FU138" s="151"/>
      <c r="FV138" s="151"/>
      <c r="FW138" s="151"/>
      <c r="FX138" s="151"/>
      <c r="FY138" s="151"/>
      <c r="FZ138" s="151"/>
      <c r="GA138" s="151"/>
      <c r="GB138" s="151"/>
      <c r="GC138" s="151"/>
      <c r="GD138" s="151"/>
      <c r="GE138" s="151"/>
      <c r="GF138" s="151"/>
      <c r="GG138" s="152"/>
    </row>
    <row r="139" spans="1:189" ht="27.75" x14ac:dyDescent="0.35">
      <c r="A139" s="267" t="s">
        <v>1180</v>
      </c>
      <c r="B139" s="221" t="s">
        <v>1067</v>
      </c>
      <c r="C139" s="221"/>
      <c r="D139" s="222"/>
      <c r="E139" s="221" t="s">
        <v>1181</v>
      </c>
      <c r="F139" s="221" t="s">
        <v>1182</v>
      </c>
      <c r="G139" s="223">
        <v>2</v>
      </c>
      <c r="H139" s="224"/>
      <c r="I139" s="225"/>
      <c r="J139" s="225"/>
      <c r="K139" s="225"/>
      <c r="L139" s="226">
        <v>45962</v>
      </c>
      <c r="M139" s="226">
        <v>46387</v>
      </c>
      <c r="N139" s="226"/>
      <c r="O139" s="226">
        <v>46235</v>
      </c>
      <c r="P139" s="226">
        <v>46934</v>
      </c>
      <c r="Q139" s="227" t="s">
        <v>45</v>
      </c>
      <c r="R139" s="228"/>
      <c r="S139" s="228">
        <v>1700000</v>
      </c>
      <c r="T139" s="228"/>
      <c r="U139" s="191">
        <f t="shared" ref="U139" si="191">IF(Q139="",0,IF(T139="",0,+S139-T139))</f>
        <v>0</v>
      </c>
      <c r="V139" s="230"/>
      <c r="W139" s="231"/>
      <c r="X139" s="46"/>
      <c r="Y139" s="167">
        <f t="shared" ref="Y139" si="192">IF(G139=2,S139,0)</f>
        <v>1700000</v>
      </c>
      <c r="Z139" s="167">
        <f t="shared" ref="Z139" si="193">IF(Q139="",0,IF(G139=2,T139,0))</f>
        <v>0</v>
      </c>
      <c r="AA139" s="167">
        <f t="shared" ref="AA139" si="194">Y139-Z139</f>
        <v>1700000</v>
      </c>
      <c r="AB139" s="167">
        <f t="shared" ref="AB139" si="195">IF(G139=1,S139,0)</f>
        <v>0</v>
      </c>
      <c r="AC139" s="167">
        <f t="shared" ref="AC139" si="196">IF(Q139="",0,IF(G139=1,T139,0))</f>
        <v>0</v>
      </c>
      <c r="AD139" s="167">
        <f t="shared" ref="AD139" si="197">AB139-AC139</f>
        <v>0</v>
      </c>
      <c r="AF139" s="47">
        <f t="shared" ref="AF139" si="198">IF(S139&lt;&gt;"",1,0)</f>
        <v>1</v>
      </c>
      <c r="AG139" s="202" t="str">
        <f t="shared" ref="AG139" si="199">B139&amp;" "&amp;F139</f>
        <v>Radosław Zdancewicz Implementation of power supply and control for HVAC devices</v>
      </c>
      <c r="AH139" s="172"/>
      <c r="AI139" s="173"/>
      <c r="AJ139" s="173"/>
      <c r="AK139" s="173"/>
      <c r="AL139" s="173"/>
      <c r="AM139" s="173"/>
      <c r="AN139" s="173"/>
      <c r="AO139" s="173"/>
      <c r="AP139" s="173"/>
      <c r="AQ139" s="173"/>
      <c r="AR139" s="173"/>
      <c r="AS139" s="173"/>
      <c r="AT139" s="173"/>
      <c r="AU139" s="173"/>
      <c r="AV139" s="173"/>
      <c r="AW139" s="173"/>
      <c r="AX139" s="173"/>
      <c r="AY139" s="173"/>
      <c r="AZ139" s="173"/>
      <c r="BA139" s="173"/>
      <c r="BB139" s="173"/>
      <c r="BC139" s="173"/>
      <c r="BD139" s="173"/>
      <c r="BE139" s="173"/>
      <c r="BF139" s="173"/>
      <c r="BG139" s="173"/>
      <c r="BH139" s="173"/>
      <c r="BI139" s="173"/>
      <c r="BJ139" s="173"/>
      <c r="BK139" s="173"/>
      <c r="BL139" s="173"/>
      <c r="BM139" s="173"/>
      <c r="BN139" s="173"/>
      <c r="BO139" s="173"/>
      <c r="BP139" s="173"/>
      <c r="BQ139" s="173"/>
      <c r="BR139" s="173"/>
      <c r="BS139" s="173"/>
      <c r="BT139" s="173"/>
      <c r="BU139" s="173"/>
      <c r="BV139" s="173"/>
      <c r="BW139" s="173"/>
      <c r="BX139" s="173"/>
      <c r="BY139" s="173"/>
      <c r="BZ139" s="173"/>
      <c r="CA139" s="173"/>
      <c r="CB139" s="173"/>
      <c r="CC139" s="173"/>
      <c r="CD139" s="173"/>
      <c r="CE139" s="173"/>
      <c r="CF139" s="173"/>
      <c r="CG139" s="173"/>
      <c r="CH139" s="173"/>
      <c r="CI139" s="173"/>
      <c r="CJ139" s="173"/>
      <c r="CK139" s="173"/>
      <c r="CL139" s="173"/>
      <c r="CM139" s="173"/>
      <c r="CN139" s="173"/>
      <c r="CO139" s="173"/>
      <c r="CP139" s="173"/>
      <c r="CQ139" s="173"/>
      <c r="CR139" s="173"/>
      <c r="CS139" s="173"/>
      <c r="CT139" s="173"/>
      <c r="CU139" s="173"/>
      <c r="CV139" s="173"/>
      <c r="CW139" s="173"/>
      <c r="CX139" s="173"/>
      <c r="CY139" s="151"/>
      <c r="CZ139" s="151"/>
      <c r="DA139" s="151"/>
      <c r="DB139" s="151"/>
      <c r="DC139" s="151"/>
      <c r="DD139" s="151"/>
      <c r="DE139" s="151"/>
      <c r="DF139" s="151"/>
      <c r="DG139" s="151"/>
      <c r="DH139" s="151"/>
      <c r="DI139" s="151"/>
      <c r="DJ139" s="151"/>
      <c r="DK139" s="151"/>
      <c r="DL139" s="151"/>
      <c r="DM139" s="151"/>
      <c r="DN139" s="151"/>
      <c r="DO139" s="151"/>
      <c r="DP139" s="151"/>
      <c r="DQ139" s="151"/>
      <c r="DR139" s="151"/>
      <c r="DS139" s="151"/>
      <c r="DT139" s="151"/>
      <c r="DU139" s="151"/>
      <c r="DV139" s="151"/>
      <c r="DW139" s="151"/>
      <c r="DX139" s="151"/>
      <c r="DY139" s="151"/>
      <c r="DZ139" s="151"/>
      <c r="EA139" s="151"/>
      <c r="EB139" s="151"/>
      <c r="EC139" s="151"/>
      <c r="ED139" s="151"/>
      <c r="EE139" s="151"/>
      <c r="EF139" s="151"/>
      <c r="EG139" s="151"/>
      <c r="EH139" s="151"/>
      <c r="EI139" s="151"/>
      <c r="EJ139" s="151"/>
      <c r="EK139" s="151"/>
      <c r="EL139" s="151"/>
      <c r="EM139" s="151"/>
      <c r="EN139" s="151"/>
      <c r="EO139" s="151"/>
      <c r="EP139" s="151"/>
      <c r="EQ139" s="151"/>
      <c r="ER139" s="151"/>
      <c r="ES139" s="151"/>
      <c r="ET139" s="151"/>
      <c r="EU139" s="151"/>
      <c r="EV139" s="151"/>
      <c r="EW139" s="151"/>
      <c r="EX139" s="151"/>
      <c r="EY139" s="151"/>
      <c r="EZ139" s="151"/>
      <c r="FA139" s="151"/>
      <c r="FB139" s="151"/>
      <c r="FC139" s="151"/>
      <c r="FD139" s="151"/>
      <c r="FE139" s="151"/>
      <c r="FF139" s="151"/>
      <c r="FG139" s="151"/>
      <c r="FH139" s="151"/>
      <c r="FI139" s="151"/>
      <c r="FJ139" s="151"/>
      <c r="FK139" s="151"/>
      <c r="FL139" s="151"/>
      <c r="FM139" s="151"/>
      <c r="FN139" s="151"/>
      <c r="FO139" s="151"/>
      <c r="FP139" s="151"/>
      <c r="FQ139" s="151"/>
      <c r="FR139" s="151"/>
      <c r="FS139" s="151"/>
      <c r="FT139" s="151"/>
      <c r="FU139" s="151"/>
      <c r="FV139" s="151"/>
      <c r="FW139" s="151"/>
      <c r="FX139" s="151"/>
      <c r="FY139" s="151"/>
      <c r="FZ139" s="151"/>
      <c r="GA139" s="151"/>
      <c r="GB139" s="151"/>
      <c r="GC139" s="151"/>
      <c r="GD139" s="151"/>
      <c r="GE139" s="151"/>
      <c r="GF139" s="151"/>
      <c r="GG139" s="152"/>
    </row>
    <row r="140" spans="1:189" ht="27.75" x14ac:dyDescent="0.35">
      <c r="A140" s="297" t="s">
        <v>448</v>
      </c>
      <c r="B140" s="298" t="s">
        <v>1071</v>
      </c>
      <c r="C140" s="298"/>
      <c r="D140" s="299"/>
      <c r="E140" s="298" t="s">
        <v>441</v>
      </c>
      <c r="F140" s="298" t="s">
        <v>442</v>
      </c>
      <c r="G140" s="300">
        <v>2</v>
      </c>
      <c r="H140" s="301"/>
      <c r="I140" s="302"/>
      <c r="J140" s="302"/>
      <c r="K140" s="302"/>
      <c r="L140" s="303">
        <v>45962</v>
      </c>
      <c r="M140" s="303">
        <v>46387</v>
      </c>
      <c r="N140" s="303"/>
      <c r="O140" s="303">
        <v>46388</v>
      </c>
      <c r="P140" s="303">
        <v>46660</v>
      </c>
      <c r="Q140" s="304" t="s">
        <v>45</v>
      </c>
      <c r="R140" s="305">
        <v>742140</v>
      </c>
      <c r="S140" s="305">
        <v>742140</v>
      </c>
      <c r="T140" s="305"/>
      <c r="U140" s="191">
        <f t="shared" si="181"/>
        <v>0</v>
      </c>
      <c r="V140" s="306"/>
      <c r="W140" s="307"/>
      <c r="X140" s="46"/>
      <c r="Y140" s="167">
        <f t="shared" si="174"/>
        <v>742140</v>
      </c>
      <c r="Z140" s="167">
        <f t="shared" si="175"/>
        <v>0</v>
      </c>
      <c r="AA140" s="167">
        <f t="shared" si="176"/>
        <v>742140</v>
      </c>
      <c r="AB140" s="167">
        <f t="shared" si="177"/>
        <v>0</v>
      </c>
      <c r="AC140" s="167">
        <f t="shared" si="178"/>
        <v>0</v>
      </c>
      <c r="AD140" s="167">
        <f t="shared" si="179"/>
        <v>0</v>
      </c>
      <c r="AF140" s="47">
        <f t="shared" si="180"/>
        <v>1</v>
      </c>
      <c r="AG140" s="202" t="str">
        <f t="shared" si="173"/>
        <v>Magdalena Białorucka Electrical heat treacing of piping - hot part</v>
      </c>
      <c r="AH140" s="172"/>
      <c r="AI140" s="173"/>
      <c r="AJ140" s="173"/>
      <c r="AK140" s="173"/>
      <c r="AL140" s="173"/>
      <c r="AM140" s="173"/>
      <c r="AN140" s="173"/>
      <c r="AO140" s="173"/>
      <c r="AP140" s="173"/>
      <c r="AQ140" s="173"/>
      <c r="AR140" s="173"/>
      <c r="AS140" s="173"/>
      <c r="AT140" s="173"/>
      <c r="AU140" s="173"/>
      <c r="AV140" s="173"/>
      <c r="AW140" s="173"/>
      <c r="AX140" s="173"/>
      <c r="AY140" s="173"/>
      <c r="AZ140" s="173"/>
      <c r="BA140" s="173"/>
      <c r="BB140" s="173"/>
      <c r="BC140" s="173"/>
      <c r="BD140" s="173"/>
      <c r="BE140" s="173"/>
      <c r="BF140" s="173"/>
      <c r="BG140" s="173"/>
      <c r="BH140" s="173"/>
      <c r="BI140" s="173"/>
      <c r="BJ140" s="173"/>
      <c r="BK140" s="173"/>
      <c r="BL140" s="173"/>
      <c r="BM140" s="173"/>
      <c r="BN140" s="173"/>
      <c r="BO140" s="173"/>
      <c r="BP140" s="173"/>
      <c r="BQ140" s="173"/>
      <c r="BR140" s="173"/>
      <c r="BS140" s="173"/>
      <c r="BT140" s="173"/>
      <c r="BU140" s="173"/>
      <c r="BV140" s="173"/>
      <c r="BW140" s="173"/>
      <c r="BX140" s="173"/>
      <c r="BY140" s="173"/>
      <c r="BZ140" s="173"/>
      <c r="CA140" s="173"/>
      <c r="CB140" s="173"/>
      <c r="CC140" s="173"/>
      <c r="CD140" s="173"/>
      <c r="CE140" s="173"/>
      <c r="CF140" s="173"/>
      <c r="CG140" s="173"/>
      <c r="CH140" s="173"/>
      <c r="CI140" s="173"/>
      <c r="CJ140" s="173"/>
      <c r="CK140" s="173"/>
      <c r="CL140" s="173"/>
      <c r="CM140" s="173"/>
      <c r="CN140" s="173"/>
      <c r="CO140" s="173"/>
      <c r="CP140" s="173"/>
      <c r="CQ140" s="173"/>
      <c r="CR140" s="173"/>
      <c r="CS140" s="173"/>
      <c r="CT140" s="173"/>
      <c r="CU140" s="173"/>
      <c r="CV140" s="173"/>
      <c r="CW140" s="173"/>
      <c r="CX140" s="173"/>
      <c r="CY140" s="148"/>
      <c r="CZ140" s="148"/>
      <c r="DA140" s="148"/>
      <c r="DB140" s="148"/>
      <c r="DC140" s="148"/>
      <c r="DD140" s="148"/>
      <c r="DE140" s="148"/>
      <c r="DF140" s="148"/>
      <c r="DG140" s="148"/>
      <c r="DH140" s="148"/>
      <c r="DI140" s="148"/>
      <c r="DJ140" s="148"/>
      <c r="DK140" s="148"/>
      <c r="DL140" s="148"/>
      <c r="DM140" s="148"/>
      <c r="DN140" s="148"/>
      <c r="DO140" s="148"/>
      <c r="DP140" s="148"/>
      <c r="DQ140" s="148"/>
      <c r="DR140" s="148"/>
      <c r="DS140" s="148"/>
      <c r="DT140" s="148"/>
      <c r="DU140" s="148"/>
      <c r="DV140" s="148"/>
      <c r="DW140" s="148"/>
      <c r="DX140" s="148"/>
      <c r="DY140" s="148"/>
      <c r="DZ140" s="148"/>
      <c r="EA140" s="148"/>
      <c r="EB140" s="148"/>
      <c r="EC140" s="148"/>
      <c r="ED140" s="148"/>
      <c r="EE140" s="148"/>
      <c r="EF140" s="148"/>
      <c r="EG140" s="148"/>
      <c r="EH140" s="148"/>
      <c r="EI140" s="148"/>
      <c r="EJ140" s="148"/>
      <c r="EK140" s="148"/>
      <c r="EL140" s="148"/>
      <c r="EM140" s="148"/>
      <c r="EN140" s="148"/>
      <c r="EO140" s="148"/>
      <c r="EP140" s="148"/>
      <c r="EQ140" s="148"/>
      <c r="ER140" s="148"/>
      <c r="ES140" s="148"/>
      <c r="ET140" s="148"/>
      <c r="EU140" s="148"/>
      <c r="EV140" s="148"/>
      <c r="EW140" s="148"/>
      <c r="EX140" s="148"/>
      <c r="EY140" s="148"/>
      <c r="EZ140" s="148"/>
      <c r="FA140" s="148"/>
      <c r="FB140" s="148"/>
      <c r="FC140" s="148"/>
      <c r="FD140" s="148"/>
      <c r="FE140" s="148"/>
      <c r="FF140" s="148"/>
      <c r="FG140" s="148"/>
      <c r="FH140" s="148"/>
      <c r="FI140" s="148"/>
      <c r="FJ140" s="148"/>
      <c r="FK140" s="148"/>
      <c r="FL140" s="148"/>
      <c r="FM140" s="148"/>
      <c r="FN140" s="148"/>
      <c r="FO140" s="148"/>
      <c r="FP140" s="148"/>
      <c r="FQ140" s="148"/>
      <c r="FR140" s="148"/>
      <c r="FS140" s="148"/>
      <c r="FT140" s="148"/>
      <c r="FU140" s="148"/>
      <c r="FV140" s="148"/>
      <c r="FW140" s="148"/>
      <c r="FX140" s="148"/>
      <c r="FY140" s="148"/>
      <c r="FZ140" s="148"/>
      <c r="GA140" s="148"/>
      <c r="GB140" s="148"/>
      <c r="GC140" s="148"/>
      <c r="GD140" s="148"/>
      <c r="GE140" s="148"/>
      <c r="GF140" s="148"/>
      <c r="GG140" s="149"/>
    </row>
    <row r="141" spans="1:189" x14ac:dyDescent="0.35">
      <c r="A141" s="297" t="s">
        <v>449</v>
      </c>
      <c r="B141" s="298"/>
      <c r="C141" s="298"/>
      <c r="D141" s="299"/>
      <c r="E141" s="298" t="s">
        <v>417</v>
      </c>
      <c r="F141" s="298" t="s">
        <v>307</v>
      </c>
      <c r="G141" s="300">
        <v>2</v>
      </c>
      <c r="H141" s="301"/>
      <c r="I141" s="302"/>
      <c r="J141" s="302"/>
      <c r="K141" s="302"/>
      <c r="L141" s="303">
        <v>46110</v>
      </c>
      <c r="M141" s="303">
        <v>46147</v>
      </c>
      <c r="N141" s="303"/>
      <c r="O141" s="303">
        <v>46388</v>
      </c>
      <c r="P141" s="303">
        <v>46660</v>
      </c>
      <c r="Q141" s="304" t="s">
        <v>45</v>
      </c>
      <c r="R141" s="305">
        <v>140000</v>
      </c>
      <c r="S141" s="305">
        <v>140000</v>
      </c>
      <c r="T141" s="305"/>
      <c r="U141" s="191">
        <f t="shared" si="181"/>
        <v>0</v>
      </c>
      <c r="V141" s="306"/>
      <c r="W141" s="307"/>
      <c r="X141" s="46"/>
      <c r="Y141" s="167">
        <f t="shared" si="174"/>
        <v>140000</v>
      </c>
      <c r="Z141" s="167">
        <f t="shared" si="175"/>
        <v>0</v>
      </c>
      <c r="AA141" s="167">
        <f t="shared" si="176"/>
        <v>140000</v>
      </c>
      <c r="AB141" s="167">
        <f t="shared" si="177"/>
        <v>0</v>
      </c>
      <c r="AC141" s="167">
        <f t="shared" si="178"/>
        <v>0</v>
      </c>
      <c r="AD141" s="167">
        <f t="shared" si="179"/>
        <v>0</v>
      </c>
      <c r="AF141" s="47">
        <f t="shared" si="180"/>
        <v>1</v>
      </c>
      <c r="AG141" s="202" t="str">
        <f t="shared" si="173"/>
        <v xml:space="preserve"> Aviation warning lights</v>
      </c>
      <c r="AH141" s="172"/>
      <c r="AI141" s="173"/>
      <c r="AJ141" s="173"/>
      <c r="AK141" s="173"/>
      <c r="AL141" s="173"/>
      <c r="AM141" s="173"/>
      <c r="AN141" s="173"/>
      <c r="AO141" s="173"/>
      <c r="AP141" s="173"/>
      <c r="AQ141" s="173"/>
      <c r="AR141" s="173"/>
      <c r="AS141" s="173"/>
      <c r="AT141" s="173"/>
      <c r="AU141" s="173"/>
      <c r="AV141" s="173"/>
      <c r="AW141" s="173"/>
      <c r="AX141" s="173"/>
      <c r="AY141" s="173"/>
      <c r="AZ141" s="173"/>
      <c r="BA141" s="173"/>
      <c r="BB141" s="173"/>
      <c r="BC141" s="173"/>
      <c r="BD141" s="173"/>
      <c r="BE141" s="173"/>
      <c r="BF141" s="173"/>
      <c r="BG141" s="173"/>
      <c r="BH141" s="173"/>
      <c r="BI141" s="173"/>
      <c r="BJ141" s="173"/>
      <c r="BK141" s="173"/>
      <c r="BL141" s="173"/>
      <c r="BM141" s="173"/>
      <c r="BN141" s="173"/>
      <c r="BO141" s="173"/>
      <c r="BP141" s="173"/>
      <c r="BQ141" s="173"/>
      <c r="BR141" s="173"/>
      <c r="BS141" s="173"/>
      <c r="BT141" s="173"/>
      <c r="BU141" s="173"/>
      <c r="BV141" s="173"/>
      <c r="BW141" s="173"/>
      <c r="BX141" s="173"/>
      <c r="BY141" s="173"/>
      <c r="BZ141" s="173"/>
      <c r="CA141" s="173"/>
      <c r="CB141" s="173"/>
      <c r="CC141" s="173"/>
      <c r="CD141" s="173"/>
      <c r="CE141" s="173"/>
      <c r="CF141" s="173"/>
      <c r="CG141" s="173"/>
      <c r="CH141" s="173"/>
      <c r="CI141" s="173"/>
      <c r="CJ141" s="173"/>
      <c r="CK141" s="173"/>
      <c r="CL141" s="173"/>
      <c r="CM141" s="173"/>
      <c r="CN141" s="173"/>
      <c r="CO141" s="173"/>
      <c r="CP141" s="173"/>
      <c r="CQ141" s="173"/>
      <c r="CR141" s="173"/>
      <c r="CS141" s="173"/>
      <c r="CT141" s="173"/>
      <c r="CU141" s="173"/>
      <c r="CV141" s="173"/>
      <c r="CW141" s="173"/>
      <c r="CX141" s="173"/>
      <c r="CY141" s="148"/>
      <c r="CZ141" s="148"/>
      <c r="DA141" s="148"/>
      <c r="DB141" s="148"/>
      <c r="DC141" s="148"/>
      <c r="DD141" s="148"/>
      <c r="DE141" s="148"/>
      <c r="DF141" s="148"/>
      <c r="DG141" s="148"/>
      <c r="DH141" s="148"/>
      <c r="DI141" s="148"/>
      <c r="DJ141" s="148"/>
      <c r="DK141" s="148"/>
      <c r="DL141" s="148"/>
      <c r="DM141" s="148"/>
      <c r="DN141" s="148"/>
      <c r="DO141" s="148"/>
      <c r="DP141" s="148"/>
      <c r="DQ141" s="148"/>
      <c r="DR141" s="148"/>
      <c r="DS141" s="148"/>
      <c r="DT141" s="148"/>
      <c r="DU141" s="148"/>
      <c r="DV141" s="148"/>
      <c r="DW141" s="148"/>
      <c r="DX141" s="148"/>
      <c r="DY141" s="148"/>
      <c r="DZ141" s="148"/>
      <c r="EA141" s="148"/>
      <c r="EB141" s="148"/>
      <c r="EC141" s="148"/>
      <c r="ED141" s="148"/>
      <c r="EE141" s="148"/>
      <c r="EF141" s="148"/>
      <c r="EG141" s="148"/>
      <c r="EH141" s="148"/>
      <c r="EI141" s="148"/>
      <c r="EJ141" s="148"/>
      <c r="EK141" s="148"/>
      <c r="EL141" s="148"/>
      <c r="EM141" s="148"/>
      <c r="EN141" s="148"/>
      <c r="EO141" s="148"/>
      <c r="EP141" s="148"/>
      <c r="EQ141" s="148"/>
      <c r="ER141" s="148"/>
      <c r="ES141" s="148"/>
      <c r="ET141" s="148"/>
      <c r="EU141" s="148"/>
      <c r="EV141" s="148"/>
      <c r="EW141" s="148"/>
      <c r="EX141" s="148"/>
      <c r="EY141" s="148"/>
      <c r="EZ141" s="148"/>
      <c r="FA141" s="148"/>
      <c r="FB141" s="148"/>
      <c r="FC141" s="148"/>
      <c r="FD141" s="148"/>
      <c r="FE141" s="148"/>
      <c r="FF141" s="148"/>
      <c r="FG141" s="148"/>
      <c r="FH141" s="148"/>
      <c r="FI141" s="148"/>
      <c r="FJ141" s="148"/>
      <c r="FK141" s="148"/>
      <c r="FL141" s="148"/>
      <c r="FM141" s="148"/>
      <c r="FN141" s="148"/>
      <c r="FO141" s="148"/>
      <c r="FP141" s="148"/>
      <c r="FQ141" s="148"/>
      <c r="FR141" s="148"/>
      <c r="FS141" s="148"/>
      <c r="FT141" s="148"/>
      <c r="FU141" s="148"/>
      <c r="FV141" s="148"/>
      <c r="FW141" s="148"/>
      <c r="FX141" s="148"/>
      <c r="FY141" s="148"/>
      <c r="FZ141" s="148"/>
      <c r="GA141" s="148"/>
      <c r="GB141" s="148"/>
      <c r="GC141" s="148"/>
      <c r="GD141" s="148"/>
      <c r="GE141" s="148"/>
      <c r="GF141" s="148"/>
      <c r="GG141" s="149"/>
    </row>
    <row r="142" spans="1:189" ht="27.75" x14ac:dyDescent="0.35">
      <c r="A142" s="297" t="s">
        <v>450</v>
      </c>
      <c r="B142" s="298" t="s">
        <v>1067</v>
      </c>
      <c r="C142" s="298"/>
      <c r="D142" s="299"/>
      <c r="E142" s="298" t="s">
        <v>418</v>
      </c>
      <c r="F142" s="298" t="s">
        <v>308</v>
      </c>
      <c r="G142" s="300">
        <v>2</v>
      </c>
      <c r="H142" s="301"/>
      <c r="I142" s="302"/>
      <c r="J142" s="302"/>
      <c r="K142" s="302"/>
      <c r="L142" s="303">
        <v>46214</v>
      </c>
      <c r="M142" s="303">
        <v>46265</v>
      </c>
      <c r="N142" s="303"/>
      <c r="O142" s="303">
        <v>46113</v>
      </c>
      <c r="P142" s="303">
        <v>46660</v>
      </c>
      <c r="Q142" s="304" t="s">
        <v>45</v>
      </c>
      <c r="R142" s="305">
        <v>980000</v>
      </c>
      <c r="S142" s="305">
        <v>980000</v>
      </c>
      <c r="T142" s="305"/>
      <c r="U142" s="191">
        <f t="shared" si="181"/>
        <v>0</v>
      </c>
      <c r="V142" s="306"/>
      <c r="W142" s="307"/>
      <c r="X142" s="46"/>
      <c r="Y142" s="167">
        <f t="shared" si="174"/>
        <v>980000</v>
      </c>
      <c r="Z142" s="167">
        <f t="shared" si="175"/>
        <v>0</v>
      </c>
      <c r="AA142" s="167">
        <f t="shared" si="176"/>
        <v>980000</v>
      </c>
      <c r="AB142" s="167">
        <f t="shared" si="177"/>
        <v>0</v>
      </c>
      <c r="AC142" s="167">
        <f t="shared" si="178"/>
        <v>0</v>
      </c>
      <c r="AD142" s="167">
        <f t="shared" si="179"/>
        <v>0</v>
      </c>
      <c r="AF142" s="47">
        <f t="shared" si="180"/>
        <v>1</v>
      </c>
      <c r="AG142" s="202" t="str">
        <f t="shared" si="173"/>
        <v>Radosław Zdancewicz Fire detection and alarm system ( electrical&amp;teletechnical part )</v>
      </c>
      <c r="AH142" s="172"/>
      <c r="AI142" s="173"/>
      <c r="AJ142" s="173"/>
      <c r="AK142" s="173"/>
      <c r="AL142" s="173"/>
      <c r="AM142" s="173"/>
      <c r="AN142" s="173"/>
      <c r="AO142" s="173"/>
      <c r="AP142" s="173"/>
      <c r="AQ142" s="173"/>
      <c r="AR142" s="173"/>
      <c r="AS142" s="173"/>
      <c r="AT142" s="173"/>
      <c r="AU142" s="173"/>
      <c r="AV142" s="173"/>
      <c r="AW142" s="173"/>
      <c r="AX142" s="173"/>
      <c r="AY142" s="173"/>
      <c r="AZ142" s="173"/>
      <c r="BA142" s="173"/>
      <c r="BB142" s="173"/>
      <c r="BC142" s="173"/>
      <c r="BD142" s="173"/>
      <c r="BE142" s="173"/>
      <c r="BF142" s="173"/>
      <c r="BG142" s="173"/>
      <c r="BH142" s="173"/>
      <c r="BI142" s="173"/>
      <c r="BJ142" s="173"/>
      <c r="BK142" s="173"/>
      <c r="BL142" s="173"/>
      <c r="BM142" s="173"/>
      <c r="BN142" s="173"/>
      <c r="BO142" s="173"/>
      <c r="BP142" s="173"/>
      <c r="BQ142" s="173"/>
      <c r="BR142" s="173"/>
      <c r="BS142" s="173"/>
      <c r="BT142" s="173"/>
      <c r="BU142" s="173"/>
      <c r="BV142" s="173"/>
      <c r="BW142" s="173"/>
      <c r="BX142" s="173"/>
      <c r="BY142" s="173"/>
      <c r="BZ142" s="173"/>
      <c r="CA142" s="173"/>
      <c r="CB142" s="173"/>
      <c r="CC142" s="173"/>
      <c r="CD142" s="173"/>
      <c r="CE142" s="173"/>
      <c r="CF142" s="173"/>
      <c r="CG142" s="173"/>
      <c r="CH142" s="173"/>
      <c r="CI142" s="173"/>
      <c r="CJ142" s="173"/>
      <c r="CK142" s="173"/>
      <c r="CL142" s="173"/>
      <c r="CM142" s="173"/>
      <c r="CN142" s="173"/>
      <c r="CO142" s="173"/>
      <c r="CP142" s="173"/>
      <c r="CQ142" s="173"/>
      <c r="CR142" s="173"/>
      <c r="CS142" s="173"/>
      <c r="CT142" s="173"/>
      <c r="CU142" s="173"/>
      <c r="CV142" s="173"/>
      <c r="CW142" s="173"/>
      <c r="CX142" s="173"/>
      <c r="CY142" s="148"/>
      <c r="CZ142" s="148"/>
      <c r="DA142" s="148"/>
      <c r="DB142" s="148"/>
      <c r="DC142" s="148"/>
      <c r="DD142" s="148"/>
      <c r="DE142" s="148"/>
      <c r="DF142" s="148"/>
      <c r="DG142" s="148"/>
      <c r="DH142" s="148"/>
      <c r="DI142" s="148"/>
      <c r="DJ142" s="148"/>
      <c r="DK142" s="148"/>
      <c r="DL142" s="148"/>
      <c r="DM142" s="148"/>
      <c r="DN142" s="148"/>
      <c r="DO142" s="148"/>
      <c r="DP142" s="148"/>
      <c r="DQ142" s="148"/>
      <c r="DR142" s="148"/>
      <c r="DS142" s="148"/>
      <c r="DT142" s="148"/>
      <c r="DU142" s="148"/>
      <c r="DV142" s="148"/>
      <c r="DW142" s="148"/>
      <c r="DX142" s="148"/>
      <c r="DY142" s="148"/>
      <c r="DZ142" s="148"/>
      <c r="EA142" s="148"/>
      <c r="EB142" s="148"/>
      <c r="EC142" s="148"/>
      <c r="ED142" s="148"/>
      <c r="EE142" s="148"/>
      <c r="EF142" s="148"/>
      <c r="EG142" s="148"/>
      <c r="EH142" s="148"/>
      <c r="EI142" s="148"/>
      <c r="EJ142" s="148"/>
      <c r="EK142" s="148"/>
      <c r="EL142" s="148"/>
      <c r="EM142" s="148"/>
      <c r="EN142" s="148"/>
      <c r="EO142" s="148"/>
      <c r="EP142" s="148"/>
      <c r="EQ142" s="148"/>
      <c r="ER142" s="148"/>
      <c r="ES142" s="148"/>
      <c r="ET142" s="148"/>
      <c r="EU142" s="148"/>
      <c r="EV142" s="148"/>
      <c r="EW142" s="148"/>
      <c r="EX142" s="148"/>
      <c r="EY142" s="148"/>
      <c r="EZ142" s="148"/>
      <c r="FA142" s="148"/>
      <c r="FB142" s="148"/>
      <c r="FC142" s="148"/>
      <c r="FD142" s="148"/>
      <c r="FE142" s="148"/>
      <c r="FF142" s="148"/>
      <c r="FG142" s="148"/>
      <c r="FH142" s="148"/>
      <c r="FI142" s="148"/>
      <c r="FJ142" s="148"/>
      <c r="FK142" s="148"/>
      <c r="FL142" s="148"/>
      <c r="FM142" s="148"/>
      <c r="FN142" s="148"/>
      <c r="FO142" s="148"/>
      <c r="FP142" s="148"/>
      <c r="FQ142" s="148"/>
      <c r="FR142" s="148"/>
      <c r="FS142" s="148"/>
      <c r="FT142" s="148"/>
      <c r="FU142" s="148"/>
      <c r="FV142" s="148"/>
      <c r="FW142" s="148"/>
      <c r="FX142" s="148"/>
      <c r="FY142" s="148"/>
      <c r="FZ142" s="148"/>
      <c r="GA142" s="148"/>
      <c r="GB142" s="148"/>
      <c r="GC142" s="148"/>
      <c r="GD142" s="148"/>
      <c r="GE142" s="148"/>
      <c r="GF142" s="148"/>
      <c r="GG142" s="149"/>
    </row>
    <row r="143" spans="1:189" ht="41.65" x14ac:dyDescent="0.35">
      <c r="A143" s="297" t="s">
        <v>451</v>
      </c>
      <c r="B143" s="298" t="s">
        <v>1067</v>
      </c>
      <c r="C143" s="298"/>
      <c r="D143" s="299"/>
      <c r="E143" s="298" t="s">
        <v>419</v>
      </c>
      <c r="F143" s="298" t="s">
        <v>309</v>
      </c>
      <c r="G143" s="300">
        <v>2</v>
      </c>
      <c r="H143" s="301"/>
      <c r="I143" s="302"/>
      <c r="J143" s="302"/>
      <c r="K143" s="302"/>
      <c r="L143" s="303">
        <v>46214</v>
      </c>
      <c r="M143" s="303">
        <v>46265</v>
      </c>
      <c r="N143" s="303"/>
      <c r="O143" s="303">
        <v>46113</v>
      </c>
      <c r="P143" s="303">
        <v>46660</v>
      </c>
      <c r="Q143" s="304" t="s">
        <v>45</v>
      </c>
      <c r="R143" s="305">
        <v>175000</v>
      </c>
      <c r="S143" s="305">
        <v>175000</v>
      </c>
      <c r="T143" s="305"/>
      <c r="U143" s="191">
        <f t="shared" si="181"/>
        <v>0</v>
      </c>
      <c r="V143" s="306"/>
      <c r="W143" s="307"/>
      <c r="X143" s="46"/>
      <c r="Y143" s="167">
        <f t="shared" si="174"/>
        <v>175000</v>
      </c>
      <c r="Z143" s="167">
        <f t="shared" si="175"/>
        <v>0</v>
      </c>
      <c r="AA143" s="167">
        <f t="shared" si="176"/>
        <v>175000</v>
      </c>
      <c r="AB143" s="167">
        <f t="shared" si="177"/>
        <v>0</v>
      </c>
      <c r="AC143" s="167">
        <f t="shared" si="178"/>
        <v>0</v>
      </c>
      <c r="AD143" s="167">
        <f t="shared" si="179"/>
        <v>0</v>
      </c>
      <c r="AF143" s="47">
        <f t="shared" si="180"/>
        <v>1</v>
      </c>
      <c r="AG143" s="202" t="str">
        <f t="shared" si="173"/>
        <v>Radosław Zdancewicz Smoke extraction from waste bunker and tipping hall (electrical&amp;teletechnical part )</v>
      </c>
      <c r="AH143" s="172"/>
      <c r="AI143" s="173"/>
      <c r="AJ143" s="173"/>
      <c r="AK143" s="173"/>
      <c r="AL143" s="173"/>
      <c r="AM143" s="173"/>
      <c r="AN143" s="173"/>
      <c r="AO143" s="173"/>
      <c r="AP143" s="173"/>
      <c r="AQ143" s="173"/>
      <c r="AR143" s="173"/>
      <c r="AS143" s="173"/>
      <c r="AT143" s="173"/>
      <c r="AU143" s="173"/>
      <c r="AV143" s="173"/>
      <c r="AW143" s="173"/>
      <c r="AX143" s="173"/>
      <c r="AY143" s="173"/>
      <c r="AZ143" s="173"/>
      <c r="BA143" s="173"/>
      <c r="BB143" s="173"/>
      <c r="BC143" s="173"/>
      <c r="BD143" s="173"/>
      <c r="BE143" s="173"/>
      <c r="BF143" s="173"/>
      <c r="BG143" s="173"/>
      <c r="BH143" s="173"/>
      <c r="BI143" s="173"/>
      <c r="BJ143" s="173"/>
      <c r="BK143" s="173"/>
      <c r="BL143" s="173"/>
      <c r="BM143" s="173"/>
      <c r="BN143" s="173"/>
      <c r="BO143" s="173"/>
      <c r="BP143" s="173"/>
      <c r="BQ143" s="173"/>
      <c r="BR143" s="173"/>
      <c r="BS143" s="173"/>
      <c r="BT143" s="173"/>
      <c r="BU143" s="173"/>
      <c r="BV143" s="173"/>
      <c r="BW143" s="173"/>
      <c r="BX143" s="173"/>
      <c r="BY143" s="173"/>
      <c r="BZ143" s="173"/>
      <c r="CA143" s="173"/>
      <c r="CB143" s="173"/>
      <c r="CC143" s="173"/>
      <c r="CD143" s="173"/>
      <c r="CE143" s="173"/>
      <c r="CF143" s="173"/>
      <c r="CG143" s="173"/>
      <c r="CH143" s="173"/>
      <c r="CI143" s="173"/>
      <c r="CJ143" s="173"/>
      <c r="CK143" s="173"/>
      <c r="CL143" s="173"/>
      <c r="CM143" s="173"/>
      <c r="CN143" s="173"/>
      <c r="CO143" s="173"/>
      <c r="CP143" s="173"/>
      <c r="CQ143" s="173"/>
      <c r="CR143" s="173"/>
      <c r="CS143" s="173"/>
      <c r="CT143" s="173"/>
      <c r="CU143" s="173"/>
      <c r="CV143" s="173"/>
      <c r="CW143" s="173"/>
      <c r="CX143" s="173"/>
      <c r="CY143" s="148"/>
      <c r="CZ143" s="148"/>
      <c r="DA143" s="148"/>
      <c r="DB143" s="148"/>
      <c r="DC143" s="148"/>
      <c r="DD143" s="148"/>
      <c r="DE143" s="148"/>
      <c r="DF143" s="148"/>
      <c r="DG143" s="148"/>
      <c r="DH143" s="148"/>
      <c r="DI143" s="148"/>
      <c r="DJ143" s="148"/>
      <c r="DK143" s="148"/>
      <c r="DL143" s="148"/>
      <c r="DM143" s="148"/>
      <c r="DN143" s="148"/>
      <c r="DO143" s="148"/>
      <c r="DP143" s="148"/>
      <c r="DQ143" s="148"/>
      <c r="DR143" s="148"/>
      <c r="DS143" s="148"/>
      <c r="DT143" s="148"/>
      <c r="DU143" s="148"/>
      <c r="DV143" s="148"/>
      <c r="DW143" s="148"/>
      <c r="DX143" s="148"/>
      <c r="DY143" s="148"/>
      <c r="DZ143" s="148"/>
      <c r="EA143" s="148"/>
      <c r="EB143" s="148"/>
      <c r="EC143" s="148"/>
      <c r="ED143" s="148"/>
      <c r="EE143" s="148"/>
      <c r="EF143" s="148"/>
      <c r="EG143" s="148"/>
      <c r="EH143" s="148"/>
      <c r="EI143" s="148"/>
      <c r="EJ143" s="148"/>
      <c r="EK143" s="148"/>
      <c r="EL143" s="148"/>
      <c r="EM143" s="148"/>
      <c r="EN143" s="148"/>
      <c r="EO143" s="148"/>
      <c r="EP143" s="148"/>
      <c r="EQ143" s="148"/>
      <c r="ER143" s="148"/>
      <c r="ES143" s="148"/>
      <c r="ET143" s="148"/>
      <c r="EU143" s="148"/>
      <c r="EV143" s="148"/>
      <c r="EW143" s="148"/>
      <c r="EX143" s="148"/>
      <c r="EY143" s="148"/>
      <c r="EZ143" s="148"/>
      <c r="FA143" s="148"/>
      <c r="FB143" s="148"/>
      <c r="FC143" s="148"/>
      <c r="FD143" s="148"/>
      <c r="FE143" s="148"/>
      <c r="FF143" s="148"/>
      <c r="FG143" s="148"/>
      <c r="FH143" s="148"/>
      <c r="FI143" s="148"/>
      <c r="FJ143" s="148"/>
      <c r="FK143" s="148"/>
      <c r="FL143" s="148"/>
      <c r="FM143" s="148"/>
      <c r="FN143" s="148"/>
      <c r="FO143" s="148"/>
      <c r="FP143" s="148"/>
      <c r="FQ143" s="148"/>
      <c r="FR143" s="148"/>
      <c r="FS143" s="148"/>
      <c r="FT143" s="148"/>
      <c r="FU143" s="148"/>
      <c r="FV143" s="148"/>
      <c r="FW143" s="148"/>
      <c r="FX143" s="148"/>
      <c r="FY143" s="148"/>
      <c r="FZ143" s="148"/>
      <c r="GA143" s="148"/>
      <c r="GB143" s="148"/>
      <c r="GC143" s="148"/>
      <c r="GD143" s="148"/>
      <c r="GE143" s="148"/>
      <c r="GF143" s="148"/>
      <c r="GG143" s="149"/>
    </row>
    <row r="144" spans="1:189" ht="27.75" x14ac:dyDescent="0.35">
      <c r="A144" s="237" t="s">
        <v>452</v>
      </c>
      <c r="B144" s="236" t="s">
        <v>1067</v>
      </c>
      <c r="C144" s="236" t="s">
        <v>1187</v>
      </c>
      <c r="D144" s="237"/>
      <c r="E144" s="236" t="s">
        <v>458</v>
      </c>
      <c r="F144" s="236" t="s">
        <v>459</v>
      </c>
      <c r="G144" s="238">
        <v>2</v>
      </c>
      <c r="H144" s="239" t="s">
        <v>1050</v>
      </c>
      <c r="I144" s="240"/>
      <c r="J144" s="240"/>
      <c r="K144" s="240"/>
      <c r="L144" s="241">
        <v>45962</v>
      </c>
      <c r="M144" s="241">
        <v>46387</v>
      </c>
      <c r="N144" s="241">
        <v>46134</v>
      </c>
      <c r="O144" s="241">
        <v>46134</v>
      </c>
      <c r="P144" s="241">
        <v>46783</v>
      </c>
      <c r="Q144" s="242" t="s">
        <v>20</v>
      </c>
      <c r="R144" s="243">
        <v>2579200</v>
      </c>
      <c r="S144" s="243">
        <v>2579200</v>
      </c>
      <c r="T144" s="243">
        <v>1750000</v>
      </c>
      <c r="U144" s="191">
        <f t="shared" si="181"/>
        <v>829200</v>
      </c>
      <c r="V144" s="244"/>
      <c r="W144" s="245"/>
      <c r="X144" s="46"/>
      <c r="Y144" s="167">
        <f t="shared" si="174"/>
        <v>2579200</v>
      </c>
      <c r="Z144" s="167">
        <f t="shared" si="175"/>
        <v>1750000</v>
      </c>
      <c r="AA144" s="167">
        <f t="shared" si="176"/>
        <v>829200</v>
      </c>
      <c r="AB144" s="167">
        <f t="shared" si="177"/>
        <v>0</v>
      </c>
      <c r="AC144" s="167">
        <f t="shared" si="178"/>
        <v>0</v>
      </c>
      <c r="AD144" s="167">
        <f t="shared" si="179"/>
        <v>0</v>
      </c>
      <c r="AF144" s="180">
        <f t="shared" si="180"/>
        <v>1</v>
      </c>
      <c r="AG144" s="202" t="str">
        <f t="shared" si="173"/>
        <v>Radosław Zdancewicz Teletechnical installations</v>
      </c>
      <c r="AH144" s="172"/>
      <c r="AI144" s="173"/>
      <c r="AJ144" s="173"/>
      <c r="AK144" s="173"/>
      <c r="AL144" s="173"/>
      <c r="AM144" s="173"/>
      <c r="AN144" s="173"/>
      <c r="AO144" s="173"/>
      <c r="AP144" s="173"/>
      <c r="AQ144" s="173"/>
      <c r="AR144" s="173"/>
      <c r="AS144" s="173"/>
      <c r="AT144" s="173"/>
      <c r="AU144" s="173"/>
      <c r="AV144" s="173"/>
      <c r="AW144" s="173"/>
      <c r="AX144" s="173"/>
      <c r="AY144" s="173"/>
      <c r="AZ144" s="173"/>
      <c r="BA144" s="173"/>
      <c r="BB144" s="173"/>
      <c r="BC144" s="173"/>
      <c r="BD144" s="173"/>
      <c r="BE144" s="173"/>
      <c r="BF144" s="173"/>
      <c r="BG144" s="173"/>
      <c r="BH144" s="173"/>
      <c r="BI144" s="173"/>
      <c r="BJ144" s="173"/>
      <c r="BK144" s="173"/>
      <c r="BL144" s="173"/>
      <c r="BM144" s="173"/>
      <c r="BN144" s="173"/>
      <c r="BO144" s="173"/>
      <c r="BP144" s="173"/>
      <c r="BQ144" s="173"/>
      <c r="BR144" s="173"/>
      <c r="BS144" s="173"/>
      <c r="BT144" s="173"/>
      <c r="BU144" s="173"/>
      <c r="BV144" s="173"/>
      <c r="BW144" s="173"/>
      <c r="BX144" s="173"/>
      <c r="BY144" s="173"/>
      <c r="BZ144" s="173"/>
      <c r="CA144" s="173"/>
      <c r="CB144" s="173"/>
      <c r="CC144" s="173"/>
      <c r="CD144" s="173"/>
      <c r="CE144" s="173"/>
      <c r="CF144" s="173"/>
      <c r="CG144" s="173"/>
      <c r="CH144" s="173"/>
      <c r="CI144" s="173"/>
      <c r="CJ144" s="173"/>
      <c r="CK144" s="173"/>
      <c r="CL144" s="173"/>
      <c r="CM144" s="173"/>
      <c r="CN144" s="173"/>
      <c r="CO144" s="173"/>
      <c r="CP144" s="173"/>
      <c r="CQ144" s="173"/>
      <c r="CR144" s="173"/>
      <c r="CS144" s="173"/>
      <c r="CT144" s="173"/>
      <c r="CU144" s="173"/>
      <c r="CV144" s="173"/>
      <c r="CW144" s="173"/>
      <c r="CX144" s="173"/>
      <c r="CY144" s="151"/>
      <c r="CZ144" s="151"/>
      <c r="DA144" s="151"/>
      <c r="DB144" s="151"/>
      <c r="DC144" s="151"/>
      <c r="DD144" s="151"/>
      <c r="DE144" s="151"/>
      <c r="DF144" s="151"/>
      <c r="DG144" s="151"/>
      <c r="DH144" s="151"/>
      <c r="DI144" s="151"/>
      <c r="DJ144" s="151"/>
      <c r="DK144" s="151"/>
      <c r="DL144" s="151"/>
      <c r="DM144" s="151"/>
      <c r="DN144" s="151"/>
      <c r="DO144" s="151"/>
      <c r="DP144" s="151"/>
      <c r="DQ144" s="151"/>
      <c r="DR144" s="151"/>
      <c r="DS144" s="151"/>
      <c r="DT144" s="151"/>
      <c r="DU144" s="151"/>
      <c r="DV144" s="151"/>
      <c r="DW144" s="151"/>
      <c r="DX144" s="151"/>
      <c r="DY144" s="151"/>
      <c r="DZ144" s="151"/>
      <c r="EA144" s="151"/>
      <c r="EB144" s="151"/>
      <c r="EC144" s="151"/>
      <c r="ED144" s="151"/>
      <c r="EE144" s="151"/>
      <c r="EF144" s="151"/>
      <c r="EG144" s="151"/>
      <c r="EH144" s="151"/>
      <c r="EI144" s="151"/>
      <c r="EJ144" s="151"/>
      <c r="EK144" s="151"/>
      <c r="EL144" s="151"/>
      <c r="EM144" s="151"/>
      <c r="EN144" s="151"/>
      <c r="EO144" s="151"/>
      <c r="EP144" s="151"/>
      <c r="EQ144" s="151"/>
      <c r="ER144" s="151"/>
      <c r="ES144" s="151"/>
      <c r="ET144" s="151"/>
      <c r="EU144" s="151"/>
      <c r="EV144" s="151"/>
      <c r="EW144" s="151"/>
      <c r="EX144" s="151"/>
      <c r="EY144" s="151"/>
      <c r="EZ144" s="151"/>
      <c r="FA144" s="151"/>
      <c r="FB144" s="151"/>
      <c r="FC144" s="151"/>
      <c r="FD144" s="151"/>
      <c r="FE144" s="151"/>
      <c r="FF144" s="151"/>
      <c r="FG144" s="151"/>
      <c r="FH144" s="151"/>
      <c r="FI144" s="151"/>
      <c r="FJ144" s="151"/>
      <c r="FK144" s="151"/>
      <c r="FL144" s="151"/>
      <c r="FM144" s="151"/>
      <c r="FN144" s="151"/>
      <c r="FO144" s="151"/>
      <c r="FP144" s="151"/>
      <c r="FQ144" s="151"/>
      <c r="FR144" s="151"/>
      <c r="FS144" s="151"/>
      <c r="FT144" s="151"/>
      <c r="FU144" s="151"/>
      <c r="FV144" s="151"/>
      <c r="FW144" s="151"/>
      <c r="FX144" s="151"/>
      <c r="FY144" s="151"/>
      <c r="FZ144" s="151"/>
      <c r="GA144" s="151"/>
      <c r="GB144" s="151"/>
      <c r="GC144" s="151"/>
      <c r="GD144" s="151"/>
      <c r="GE144" s="151"/>
      <c r="GF144" s="151"/>
      <c r="GG144" s="152"/>
    </row>
    <row r="145" spans="1:189" x14ac:dyDescent="0.35">
      <c r="A145" s="237" t="s">
        <v>453</v>
      </c>
      <c r="B145" s="236" t="s">
        <v>1067</v>
      </c>
      <c r="C145" s="236"/>
      <c r="D145" s="237"/>
      <c r="E145" s="236" t="s">
        <v>310</v>
      </c>
      <c r="F145" s="236" t="s">
        <v>420</v>
      </c>
      <c r="G145" s="238">
        <v>2</v>
      </c>
      <c r="H145" s="239"/>
      <c r="I145" s="240"/>
      <c r="J145" s="240"/>
      <c r="K145" s="240"/>
      <c r="L145" s="241">
        <v>46204</v>
      </c>
      <c r="M145" s="241">
        <v>46265</v>
      </c>
      <c r="N145" s="241"/>
      <c r="O145" s="241">
        <v>46266</v>
      </c>
      <c r="P145" s="241">
        <v>46568</v>
      </c>
      <c r="Q145" s="242" t="s">
        <v>11</v>
      </c>
      <c r="R145" s="243">
        <f>13600000-90000</f>
        <v>13510000</v>
      </c>
      <c r="S145" s="243">
        <f>13600000-90000</f>
        <v>13510000</v>
      </c>
      <c r="T145" s="243"/>
      <c r="U145" s="191">
        <f t="shared" si="181"/>
        <v>0</v>
      </c>
      <c r="V145" s="244"/>
      <c r="W145" s="245"/>
      <c r="X145" s="46"/>
      <c r="Y145" s="167">
        <f t="shared" si="174"/>
        <v>13510000</v>
      </c>
      <c r="Z145" s="167">
        <f t="shared" si="175"/>
        <v>0</v>
      </c>
      <c r="AA145" s="167">
        <f t="shared" si="176"/>
        <v>13510000</v>
      </c>
      <c r="AB145" s="167">
        <f t="shared" si="177"/>
        <v>0</v>
      </c>
      <c r="AC145" s="167">
        <f t="shared" si="178"/>
        <v>0</v>
      </c>
      <c r="AD145" s="167">
        <f t="shared" si="179"/>
        <v>0</v>
      </c>
      <c r="AF145" s="47">
        <f t="shared" si="180"/>
        <v>1</v>
      </c>
      <c r="AG145" s="202" t="str">
        <f t="shared" si="173"/>
        <v>Radosław Zdancewicz GPO/GPZ power supply</v>
      </c>
      <c r="AH145" s="172"/>
      <c r="AI145" s="173"/>
      <c r="AJ145" s="173"/>
      <c r="AK145" s="173"/>
      <c r="AL145" s="173"/>
      <c r="AM145" s="173"/>
      <c r="AN145" s="173"/>
      <c r="AO145" s="173"/>
      <c r="AP145" s="173"/>
      <c r="AQ145" s="173"/>
      <c r="AR145" s="173"/>
      <c r="AS145" s="173"/>
      <c r="AT145" s="173"/>
      <c r="AU145" s="173"/>
      <c r="AV145" s="173"/>
      <c r="AW145" s="173"/>
      <c r="AX145" s="173"/>
      <c r="AY145" s="173"/>
      <c r="AZ145" s="173"/>
      <c r="BA145" s="173"/>
      <c r="BB145" s="173"/>
      <c r="BC145" s="173"/>
      <c r="BD145" s="173"/>
      <c r="BE145" s="173"/>
      <c r="BF145" s="173"/>
      <c r="BG145" s="173"/>
      <c r="BH145" s="173"/>
      <c r="BI145" s="173"/>
      <c r="BJ145" s="173"/>
      <c r="BK145" s="173"/>
      <c r="BL145" s="173"/>
      <c r="BM145" s="173"/>
      <c r="BN145" s="173"/>
      <c r="BO145" s="173"/>
      <c r="BP145" s="173"/>
      <c r="BQ145" s="173"/>
      <c r="BR145" s="173"/>
      <c r="BS145" s="173"/>
      <c r="BT145" s="173"/>
      <c r="BU145" s="173"/>
      <c r="BV145" s="173"/>
      <c r="BW145" s="173"/>
      <c r="BX145" s="173"/>
      <c r="BY145" s="173"/>
      <c r="BZ145" s="173"/>
      <c r="CA145" s="173"/>
      <c r="CB145" s="173"/>
      <c r="CC145" s="173"/>
      <c r="CD145" s="173"/>
      <c r="CE145" s="173"/>
      <c r="CF145" s="173"/>
      <c r="CG145" s="173"/>
      <c r="CH145" s="173"/>
      <c r="CI145" s="173"/>
      <c r="CJ145" s="173"/>
      <c r="CK145" s="173"/>
      <c r="CL145" s="173"/>
      <c r="CM145" s="173"/>
      <c r="CN145" s="173"/>
      <c r="CO145" s="173"/>
      <c r="CP145" s="173"/>
      <c r="CQ145" s="173"/>
      <c r="CR145" s="173"/>
      <c r="CS145" s="173"/>
      <c r="CT145" s="173"/>
      <c r="CU145" s="173"/>
      <c r="CV145" s="173"/>
      <c r="CW145" s="173"/>
      <c r="CX145" s="173"/>
      <c r="CY145" s="151"/>
      <c r="CZ145" s="151"/>
      <c r="DA145" s="151"/>
      <c r="DB145" s="151"/>
      <c r="DC145" s="151"/>
      <c r="DD145" s="151"/>
      <c r="DE145" s="151"/>
      <c r="DF145" s="151"/>
      <c r="DG145" s="151"/>
      <c r="DH145" s="151"/>
      <c r="DI145" s="151"/>
      <c r="DJ145" s="151"/>
      <c r="DK145" s="151"/>
      <c r="DL145" s="151"/>
      <c r="DM145" s="151"/>
      <c r="DN145" s="151"/>
      <c r="DO145" s="151"/>
      <c r="DP145" s="151"/>
      <c r="DQ145" s="151"/>
      <c r="DR145" s="151"/>
      <c r="DS145" s="151"/>
      <c r="DT145" s="151"/>
      <c r="DU145" s="151"/>
      <c r="DV145" s="151"/>
      <c r="DW145" s="151"/>
      <c r="DX145" s="151"/>
      <c r="DY145" s="151"/>
      <c r="DZ145" s="151"/>
      <c r="EA145" s="151"/>
      <c r="EB145" s="151"/>
      <c r="EC145" s="151"/>
      <c r="ED145" s="151"/>
      <c r="EE145" s="151"/>
      <c r="EF145" s="151"/>
      <c r="EG145" s="151"/>
      <c r="EH145" s="151"/>
      <c r="EI145" s="151"/>
      <c r="EJ145" s="151"/>
      <c r="EK145" s="151"/>
      <c r="EL145" s="151"/>
      <c r="EM145" s="151"/>
      <c r="EN145" s="151"/>
      <c r="EO145" s="151"/>
      <c r="EP145" s="151"/>
      <c r="EQ145" s="151"/>
      <c r="ER145" s="151"/>
      <c r="ES145" s="151"/>
      <c r="ET145" s="151"/>
      <c r="EU145" s="151"/>
      <c r="EV145" s="151"/>
      <c r="EW145" s="151"/>
      <c r="EX145" s="151"/>
      <c r="EY145" s="151"/>
      <c r="EZ145" s="151"/>
      <c r="FA145" s="151"/>
      <c r="FB145" s="151"/>
      <c r="FC145" s="151"/>
      <c r="FD145" s="151"/>
      <c r="FE145" s="151"/>
      <c r="FF145" s="151"/>
      <c r="FG145" s="151"/>
      <c r="FH145" s="151"/>
      <c r="FI145" s="151"/>
      <c r="FJ145" s="151"/>
      <c r="FK145" s="151"/>
      <c r="FL145" s="151"/>
      <c r="FM145" s="151"/>
      <c r="FN145" s="151"/>
      <c r="FO145" s="151"/>
      <c r="FP145" s="151"/>
      <c r="FQ145" s="151"/>
      <c r="FR145" s="151"/>
      <c r="FS145" s="151"/>
      <c r="FT145" s="151"/>
      <c r="FU145" s="151"/>
      <c r="FV145" s="151"/>
      <c r="FW145" s="151"/>
      <c r="FX145" s="151"/>
      <c r="FY145" s="151"/>
      <c r="FZ145" s="151"/>
      <c r="GA145" s="151"/>
      <c r="GB145" s="151"/>
      <c r="GC145" s="151"/>
      <c r="GD145" s="151"/>
      <c r="GE145" s="151"/>
      <c r="GF145" s="151"/>
      <c r="GG145" s="152"/>
    </row>
    <row r="146" spans="1:189" x14ac:dyDescent="0.35">
      <c r="A146" s="237" t="s">
        <v>454</v>
      </c>
      <c r="B146" s="236"/>
      <c r="C146" s="236"/>
      <c r="D146" s="237"/>
      <c r="E146" s="236" t="s">
        <v>460</v>
      </c>
      <c r="F146" s="236" t="s">
        <v>461</v>
      </c>
      <c r="G146" s="238">
        <v>2</v>
      </c>
      <c r="H146" s="239"/>
      <c r="I146" s="240"/>
      <c r="J146" s="240"/>
      <c r="K146" s="240"/>
      <c r="L146" s="241"/>
      <c r="M146" s="241"/>
      <c r="N146" s="241"/>
      <c r="O146" s="241"/>
      <c r="P146" s="241"/>
      <c r="Q146" s="242"/>
      <c r="R146" s="243"/>
      <c r="S146" s="243"/>
      <c r="T146" s="243"/>
      <c r="U146" s="191">
        <f t="shared" si="181"/>
        <v>0</v>
      </c>
      <c r="V146" s="244"/>
      <c r="W146" s="245"/>
      <c r="X146" s="46"/>
      <c r="Y146" s="167">
        <f t="shared" si="174"/>
        <v>0</v>
      </c>
      <c r="Z146" s="167">
        <f t="shared" si="175"/>
        <v>0</v>
      </c>
      <c r="AA146" s="167">
        <f t="shared" si="176"/>
        <v>0</v>
      </c>
      <c r="AB146" s="167">
        <f t="shared" si="177"/>
        <v>0</v>
      </c>
      <c r="AC146" s="167">
        <f t="shared" si="178"/>
        <v>0</v>
      </c>
      <c r="AD146" s="167">
        <f t="shared" si="179"/>
        <v>0</v>
      </c>
      <c r="AF146" s="180">
        <f t="shared" si="180"/>
        <v>0</v>
      </c>
      <c r="AG146" s="202" t="str">
        <f t="shared" si="173"/>
        <v xml:space="preserve"> I&amp;C works</v>
      </c>
      <c r="AH146" s="172"/>
      <c r="AI146" s="173"/>
      <c r="AJ146" s="173"/>
      <c r="AK146" s="173"/>
      <c r="AL146" s="173"/>
      <c r="AM146" s="173"/>
      <c r="AN146" s="173"/>
      <c r="AO146" s="173"/>
      <c r="AP146" s="173"/>
      <c r="AQ146" s="173"/>
      <c r="AR146" s="173"/>
      <c r="AS146" s="173"/>
      <c r="AT146" s="173"/>
      <c r="AU146" s="173"/>
      <c r="AV146" s="173"/>
      <c r="AW146" s="173"/>
      <c r="AX146" s="173"/>
      <c r="AY146" s="173"/>
      <c r="AZ146" s="173"/>
      <c r="BA146" s="173"/>
      <c r="BB146" s="173"/>
      <c r="BC146" s="173"/>
      <c r="BD146" s="173"/>
      <c r="BE146" s="173"/>
      <c r="BF146" s="173"/>
      <c r="BG146" s="173"/>
      <c r="BH146" s="173"/>
      <c r="BI146" s="173"/>
      <c r="BJ146" s="173"/>
      <c r="BK146" s="173"/>
      <c r="BL146" s="173"/>
      <c r="BM146" s="173"/>
      <c r="BN146" s="173"/>
      <c r="BO146" s="173"/>
      <c r="BP146" s="173"/>
      <c r="BQ146" s="173"/>
      <c r="BR146" s="173"/>
      <c r="BS146" s="173"/>
      <c r="BT146" s="173"/>
      <c r="BU146" s="173"/>
      <c r="BV146" s="173"/>
      <c r="BW146" s="173"/>
      <c r="BX146" s="173"/>
      <c r="BY146" s="173"/>
      <c r="BZ146" s="173"/>
      <c r="CA146" s="173"/>
      <c r="CB146" s="173"/>
      <c r="CC146" s="173"/>
      <c r="CD146" s="173"/>
      <c r="CE146" s="173"/>
      <c r="CF146" s="173"/>
      <c r="CG146" s="173"/>
      <c r="CH146" s="173"/>
      <c r="CI146" s="173"/>
      <c r="CJ146" s="173"/>
      <c r="CK146" s="173"/>
      <c r="CL146" s="173"/>
      <c r="CM146" s="173"/>
      <c r="CN146" s="173"/>
      <c r="CO146" s="173"/>
      <c r="CP146" s="173"/>
      <c r="CQ146" s="173"/>
      <c r="CR146" s="173"/>
      <c r="CS146" s="173"/>
      <c r="CT146" s="173"/>
      <c r="CU146" s="173"/>
      <c r="CV146" s="173"/>
      <c r="CW146" s="173"/>
      <c r="CX146" s="173"/>
      <c r="CY146" s="151"/>
      <c r="CZ146" s="151"/>
      <c r="DA146" s="151"/>
      <c r="DB146" s="151"/>
      <c r="DC146" s="151"/>
      <c r="DD146" s="151"/>
      <c r="DE146" s="151"/>
      <c r="DF146" s="151"/>
      <c r="DG146" s="151"/>
      <c r="DH146" s="151"/>
      <c r="DI146" s="151"/>
      <c r="DJ146" s="151"/>
      <c r="DK146" s="151"/>
      <c r="DL146" s="151"/>
      <c r="DM146" s="151"/>
      <c r="DN146" s="151"/>
      <c r="DO146" s="151"/>
      <c r="DP146" s="151"/>
      <c r="DQ146" s="151"/>
      <c r="DR146" s="151"/>
      <c r="DS146" s="151"/>
      <c r="DT146" s="151"/>
      <c r="DU146" s="151"/>
      <c r="DV146" s="151"/>
      <c r="DW146" s="151"/>
      <c r="DX146" s="151"/>
      <c r="DY146" s="151"/>
      <c r="DZ146" s="151"/>
      <c r="EA146" s="151"/>
      <c r="EB146" s="151"/>
      <c r="EC146" s="151"/>
      <c r="ED146" s="151"/>
      <c r="EE146" s="151"/>
      <c r="EF146" s="151"/>
      <c r="EG146" s="151"/>
      <c r="EH146" s="151"/>
      <c r="EI146" s="151"/>
      <c r="EJ146" s="151"/>
      <c r="EK146" s="151"/>
      <c r="EL146" s="151"/>
      <c r="EM146" s="151"/>
      <c r="EN146" s="151"/>
      <c r="EO146" s="151"/>
      <c r="EP146" s="151"/>
      <c r="EQ146" s="151"/>
      <c r="ER146" s="151"/>
      <c r="ES146" s="151"/>
      <c r="ET146" s="151"/>
      <c r="EU146" s="151"/>
      <c r="EV146" s="151"/>
      <c r="EW146" s="151"/>
      <c r="EX146" s="151"/>
      <c r="EY146" s="151"/>
      <c r="EZ146" s="151"/>
      <c r="FA146" s="151"/>
      <c r="FB146" s="151"/>
      <c r="FC146" s="151"/>
      <c r="FD146" s="151"/>
      <c r="FE146" s="151"/>
      <c r="FF146" s="151"/>
      <c r="FG146" s="151"/>
      <c r="FH146" s="151"/>
      <c r="FI146" s="151"/>
      <c r="FJ146" s="151"/>
      <c r="FK146" s="151"/>
      <c r="FL146" s="151"/>
      <c r="FM146" s="151"/>
      <c r="FN146" s="151"/>
      <c r="FO146" s="151"/>
      <c r="FP146" s="151"/>
      <c r="FQ146" s="151"/>
      <c r="FR146" s="151"/>
      <c r="FS146" s="151"/>
      <c r="FT146" s="151"/>
      <c r="FU146" s="151"/>
      <c r="FV146" s="151"/>
      <c r="FW146" s="151"/>
      <c r="FX146" s="151"/>
      <c r="FY146" s="151"/>
      <c r="FZ146" s="151"/>
      <c r="GA146" s="151"/>
      <c r="GB146" s="151"/>
      <c r="GC146" s="151"/>
      <c r="GD146" s="151"/>
      <c r="GE146" s="151"/>
      <c r="GF146" s="151"/>
      <c r="GG146" s="152"/>
    </row>
    <row r="147" spans="1:189" ht="41.65" x14ac:dyDescent="0.35">
      <c r="A147" s="297" t="s">
        <v>455</v>
      </c>
      <c r="B147" s="298" t="s">
        <v>1067</v>
      </c>
      <c r="C147" s="298"/>
      <c r="D147" s="299"/>
      <c r="E147" s="298" t="s">
        <v>462</v>
      </c>
      <c r="F147" s="298" t="s">
        <v>463</v>
      </c>
      <c r="G147" s="300">
        <v>2</v>
      </c>
      <c r="H147" s="301"/>
      <c r="I147" s="302"/>
      <c r="J147" s="302"/>
      <c r="K147" s="302"/>
      <c r="L147" s="303"/>
      <c r="M147" s="303"/>
      <c r="N147" s="303">
        <v>46134</v>
      </c>
      <c r="O147" s="303">
        <v>46134</v>
      </c>
      <c r="P147" s="303">
        <v>46691</v>
      </c>
      <c r="Q147" s="304" t="s">
        <v>20</v>
      </c>
      <c r="R147" s="305">
        <v>5525000</v>
      </c>
      <c r="S147" s="305">
        <f>5525000-SUM(S148:S149)</f>
        <v>0</v>
      </c>
      <c r="T147" s="305">
        <v>0</v>
      </c>
      <c r="U147" s="191">
        <f t="shared" si="181"/>
        <v>0</v>
      </c>
      <c r="V147" s="306"/>
      <c r="W147" s="307"/>
      <c r="X147" s="46"/>
      <c r="Y147" s="167">
        <f t="shared" si="174"/>
        <v>0</v>
      </c>
      <c r="Z147" s="167">
        <f t="shared" si="175"/>
        <v>0</v>
      </c>
      <c r="AA147" s="167">
        <f t="shared" si="176"/>
        <v>0</v>
      </c>
      <c r="AB147" s="167">
        <f t="shared" si="177"/>
        <v>0</v>
      </c>
      <c r="AC147" s="167">
        <f t="shared" si="178"/>
        <v>0</v>
      </c>
      <c r="AD147" s="167">
        <f t="shared" si="179"/>
        <v>0</v>
      </c>
      <c r="AF147" s="47">
        <f t="shared" si="180"/>
        <v>1</v>
      </c>
      <c r="AG147" s="202" t="str">
        <f t="shared" si="173"/>
        <v>Radosław Zdancewicz Automation system and instrumentation, communication networks and control room devices</v>
      </c>
      <c r="AH147" s="172"/>
      <c r="AI147" s="173"/>
      <c r="AJ147" s="173"/>
      <c r="AK147" s="173"/>
      <c r="AL147" s="173"/>
      <c r="AM147" s="173"/>
      <c r="AN147" s="173"/>
      <c r="AO147" s="173"/>
      <c r="AP147" s="173"/>
      <c r="AQ147" s="173"/>
      <c r="AR147" s="173"/>
      <c r="AS147" s="173"/>
      <c r="AT147" s="173"/>
      <c r="AU147" s="173"/>
      <c r="AV147" s="173"/>
      <c r="AW147" s="173"/>
      <c r="AX147" s="173"/>
      <c r="AY147" s="173"/>
      <c r="AZ147" s="173"/>
      <c r="BA147" s="173"/>
      <c r="BB147" s="173"/>
      <c r="BC147" s="173"/>
      <c r="BD147" s="173"/>
      <c r="BE147" s="173"/>
      <c r="BF147" s="173"/>
      <c r="BG147" s="173"/>
      <c r="BH147" s="173"/>
      <c r="BI147" s="173"/>
      <c r="BJ147" s="173"/>
      <c r="BK147" s="173"/>
      <c r="BL147" s="173"/>
      <c r="BM147" s="173"/>
      <c r="BN147" s="173"/>
      <c r="BO147" s="173"/>
      <c r="BP147" s="173"/>
      <c r="BQ147" s="173"/>
      <c r="BR147" s="173"/>
      <c r="BS147" s="173"/>
      <c r="BT147" s="173"/>
      <c r="BU147" s="173"/>
      <c r="BV147" s="173"/>
      <c r="BW147" s="173"/>
      <c r="BX147" s="173"/>
      <c r="BY147" s="173"/>
      <c r="BZ147" s="173"/>
      <c r="CA147" s="173"/>
      <c r="CB147" s="173"/>
      <c r="CC147" s="173"/>
      <c r="CD147" s="173"/>
      <c r="CE147" s="173"/>
      <c r="CF147" s="173"/>
      <c r="CG147" s="173"/>
      <c r="CH147" s="173"/>
      <c r="CI147" s="173"/>
      <c r="CJ147" s="173"/>
      <c r="CK147" s="173"/>
      <c r="CL147" s="173"/>
      <c r="CM147" s="173"/>
      <c r="CN147" s="173"/>
      <c r="CO147" s="173"/>
      <c r="CP147" s="173"/>
      <c r="CQ147" s="173"/>
      <c r="CR147" s="173"/>
      <c r="CS147" s="173"/>
      <c r="CT147" s="173"/>
      <c r="CU147" s="173"/>
      <c r="CV147" s="173"/>
      <c r="CW147" s="173"/>
      <c r="CX147" s="173"/>
      <c r="CY147" s="148"/>
      <c r="CZ147" s="148"/>
      <c r="DA147" s="148"/>
      <c r="DB147" s="148"/>
      <c r="DC147" s="148"/>
      <c r="DD147" s="148"/>
      <c r="DE147" s="148"/>
      <c r="DF147" s="148"/>
      <c r="DG147" s="148"/>
      <c r="DH147" s="148"/>
      <c r="DI147" s="148"/>
      <c r="DJ147" s="148"/>
      <c r="DK147" s="148"/>
      <c r="DL147" s="148"/>
      <c r="DM147" s="148"/>
      <c r="DN147" s="148"/>
      <c r="DO147" s="148"/>
      <c r="DP147" s="148"/>
      <c r="DQ147" s="148"/>
      <c r="DR147" s="148"/>
      <c r="DS147" s="148"/>
      <c r="DT147" s="148"/>
      <c r="DU147" s="148"/>
      <c r="DV147" s="148"/>
      <c r="DW147" s="148"/>
      <c r="DX147" s="148"/>
      <c r="DY147" s="148"/>
      <c r="DZ147" s="148"/>
      <c r="EA147" s="148"/>
      <c r="EB147" s="148"/>
      <c r="EC147" s="148"/>
      <c r="ED147" s="148"/>
      <c r="EE147" s="148"/>
      <c r="EF147" s="148"/>
      <c r="EG147" s="148"/>
      <c r="EH147" s="148"/>
      <c r="EI147" s="148"/>
      <c r="EJ147" s="148"/>
      <c r="EK147" s="148"/>
      <c r="EL147" s="148"/>
      <c r="EM147" s="148"/>
      <c r="EN147" s="148"/>
      <c r="EO147" s="148"/>
      <c r="EP147" s="148"/>
      <c r="EQ147" s="148"/>
      <c r="ER147" s="148"/>
      <c r="ES147" s="148"/>
      <c r="ET147" s="148"/>
      <c r="EU147" s="148"/>
      <c r="EV147" s="148"/>
      <c r="EW147" s="148"/>
      <c r="EX147" s="148"/>
      <c r="EY147" s="148"/>
      <c r="EZ147" s="148"/>
      <c r="FA147" s="148"/>
      <c r="FB147" s="148"/>
      <c r="FC147" s="148"/>
      <c r="FD147" s="148"/>
      <c r="FE147" s="148"/>
      <c r="FF147" s="148"/>
      <c r="FG147" s="148"/>
      <c r="FH147" s="148"/>
      <c r="FI147" s="148"/>
      <c r="FJ147" s="148"/>
      <c r="FK147" s="148"/>
      <c r="FL147" s="148"/>
      <c r="FM147" s="148"/>
      <c r="FN147" s="148"/>
      <c r="FO147" s="148"/>
      <c r="FP147" s="148"/>
      <c r="FQ147" s="148"/>
      <c r="FR147" s="148"/>
      <c r="FS147" s="148"/>
      <c r="FT147" s="148"/>
      <c r="FU147" s="148"/>
      <c r="FV147" s="148"/>
      <c r="FW147" s="148"/>
      <c r="FX147" s="148"/>
      <c r="FY147" s="148"/>
      <c r="FZ147" s="148"/>
      <c r="GA147" s="148"/>
      <c r="GB147" s="148"/>
      <c r="GC147" s="148"/>
      <c r="GD147" s="148"/>
      <c r="GE147" s="148"/>
      <c r="GF147" s="148"/>
      <c r="GG147" s="149"/>
    </row>
    <row r="148" spans="1:189" ht="41.65" x14ac:dyDescent="0.35">
      <c r="A148" s="267" t="s">
        <v>1183</v>
      </c>
      <c r="B148" s="221" t="s">
        <v>1067</v>
      </c>
      <c r="C148" s="221" t="s">
        <v>1187</v>
      </c>
      <c r="D148" s="222"/>
      <c r="E148" s="221" t="s">
        <v>462</v>
      </c>
      <c r="F148" s="221" t="s">
        <v>463</v>
      </c>
      <c r="G148" s="223">
        <v>2</v>
      </c>
      <c r="H148" s="224" t="s">
        <v>1050</v>
      </c>
      <c r="I148" s="225"/>
      <c r="J148" s="225"/>
      <c r="K148" s="225"/>
      <c r="L148" s="226">
        <v>46296</v>
      </c>
      <c r="M148" s="226">
        <v>46387</v>
      </c>
      <c r="N148" s="226">
        <v>46134</v>
      </c>
      <c r="O148" s="226">
        <v>46134</v>
      </c>
      <c r="P148" s="226">
        <v>46783</v>
      </c>
      <c r="Q148" s="227" t="s">
        <v>20</v>
      </c>
      <c r="R148" s="228"/>
      <c r="S148" s="228">
        <f>5525000-300000</f>
        <v>5225000</v>
      </c>
      <c r="T148" s="228">
        <v>6280000</v>
      </c>
      <c r="U148" s="191">
        <f t="shared" ref="U148:U149" si="200">IF(Q148="",0,IF(T148="",0,+S148-T148))</f>
        <v>-1055000</v>
      </c>
      <c r="V148" s="230"/>
      <c r="W148" s="231"/>
      <c r="X148" s="46"/>
      <c r="Y148" s="167">
        <f t="shared" ref="Y148:Y149" si="201">IF(G148=2,S148,0)</f>
        <v>5225000</v>
      </c>
      <c r="Z148" s="167">
        <f t="shared" ref="Z148:Z149" si="202">IF(Q148="",0,IF(G148=2,T148,0))</f>
        <v>6280000</v>
      </c>
      <c r="AA148" s="167">
        <f t="shared" ref="AA148:AA149" si="203">Y148-Z148</f>
        <v>-1055000</v>
      </c>
      <c r="AB148" s="167">
        <f t="shared" ref="AB148:AB149" si="204">IF(G148=1,S148,0)</f>
        <v>0</v>
      </c>
      <c r="AC148" s="167">
        <f t="shared" ref="AC148:AC149" si="205">IF(Q148="",0,IF(G148=1,T148,0))</f>
        <v>0</v>
      </c>
      <c r="AD148" s="167">
        <f t="shared" ref="AD148:AD149" si="206">AB148-AC148</f>
        <v>0</v>
      </c>
      <c r="AF148" s="47">
        <f t="shared" ref="AF148:AF149" si="207">IF(S148&lt;&gt;"",1,0)</f>
        <v>1</v>
      </c>
      <c r="AG148" s="202" t="str">
        <f t="shared" ref="AG148:AG149" si="208">B148&amp;" "&amp;F148</f>
        <v>Radosław Zdancewicz Automation system and instrumentation, communication networks and control room devices</v>
      </c>
      <c r="AH148" s="172"/>
      <c r="AI148" s="173"/>
      <c r="AJ148" s="173"/>
      <c r="AK148" s="173"/>
      <c r="AL148" s="173"/>
      <c r="AM148" s="173"/>
      <c r="AN148" s="173"/>
      <c r="AO148" s="173"/>
      <c r="AP148" s="173"/>
      <c r="AQ148" s="173"/>
      <c r="AR148" s="173"/>
      <c r="AS148" s="173"/>
      <c r="AT148" s="173"/>
      <c r="AU148" s="173"/>
      <c r="AV148" s="173"/>
      <c r="AW148" s="173"/>
      <c r="AX148" s="173"/>
      <c r="AY148" s="173"/>
      <c r="AZ148" s="173"/>
      <c r="BA148" s="173"/>
      <c r="BB148" s="173"/>
      <c r="BC148" s="173"/>
      <c r="BD148" s="173"/>
      <c r="BE148" s="173"/>
      <c r="BF148" s="173"/>
      <c r="BG148" s="173"/>
      <c r="BH148" s="173"/>
      <c r="BI148" s="173"/>
      <c r="BJ148" s="173"/>
      <c r="BK148" s="173"/>
      <c r="BL148" s="173"/>
      <c r="BM148" s="173"/>
      <c r="BN148" s="173"/>
      <c r="BO148" s="173"/>
      <c r="BP148" s="173"/>
      <c r="BQ148" s="173"/>
      <c r="BR148" s="173"/>
      <c r="BS148" s="173"/>
      <c r="BT148" s="173"/>
      <c r="BU148" s="173"/>
      <c r="BV148" s="173"/>
      <c r="BW148" s="173"/>
      <c r="BX148" s="173"/>
      <c r="BY148" s="173"/>
      <c r="BZ148" s="173"/>
      <c r="CA148" s="173"/>
      <c r="CB148" s="173"/>
      <c r="CC148" s="173"/>
      <c r="CD148" s="173"/>
      <c r="CE148" s="173"/>
      <c r="CF148" s="173"/>
      <c r="CG148" s="173"/>
      <c r="CH148" s="173"/>
      <c r="CI148" s="173"/>
      <c r="CJ148" s="173"/>
      <c r="CK148" s="173"/>
      <c r="CL148" s="173"/>
      <c r="CM148" s="173"/>
      <c r="CN148" s="173"/>
      <c r="CO148" s="173"/>
      <c r="CP148" s="173"/>
      <c r="CQ148" s="173"/>
      <c r="CR148" s="173"/>
      <c r="CS148" s="173"/>
      <c r="CT148" s="173"/>
      <c r="CU148" s="173"/>
      <c r="CV148" s="173"/>
      <c r="CW148" s="173"/>
      <c r="CX148" s="173"/>
      <c r="CY148" s="151"/>
      <c r="CZ148" s="151"/>
      <c r="DA148" s="151"/>
      <c r="DB148" s="151"/>
      <c r="DC148" s="151"/>
      <c r="DD148" s="151"/>
      <c r="DE148" s="151"/>
      <c r="DF148" s="151"/>
      <c r="DG148" s="151"/>
      <c r="DH148" s="151"/>
      <c r="DI148" s="151"/>
      <c r="DJ148" s="151"/>
      <c r="DK148" s="151"/>
      <c r="DL148" s="151"/>
      <c r="DM148" s="151"/>
      <c r="DN148" s="151"/>
      <c r="DO148" s="151"/>
      <c r="DP148" s="151"/>
      <c r="DQ148" s="151"/>
      <c r="DR148" s="151"/>
      <c r="DS148" s="151"/>
      <c r="DT148" s="151"/>
      <c r="DU148" s="151"/>
      <c r="DV148" s="151"/>
      <c r="DW148" s="151"/>
      <c r="DX148" s="151"/>
      <c r="DY148" s="151"/>
      <c r="DZ148" s="151"/>
      <c r="EA148" s="151"/>
      <c r="EB148" s="151"/>
      <c r="EC148" s="151"/>
      <c r="ED148" s="151"/>
      <c r="EE148" s="151"/>
      <c r="EF148" s="151"/>
      <c r="EG148" s="151"/>
      <c r="EH148" s="151"/>
      <c r="EI148" s="151"/>
      <c r="EJ148" s="151"/>
      <c r="EK148" s="151"/>
      <c r="EL148" s="151"/>
      <c r="EM148" s="151"/>
      <c r="EN148" s="151"/>
      <c r="EO148" s="151"/>
      <c r="EP148" s="151"/>
      <c r="EQ148" s="151"/>
      <c r="ER148" s="151"/>
      <c r="ES148" s="151"/>
      <c r="ET148" s="151"/>
      <c r="EU148" s="151"/>
      <c r="EV148" s="151"/>
      <c r="EW148" s="151"/>
      <c r="EX148" s="151"/>
      <c r="EY148" s="151"/>
      <c r="EZ148" s="151"/>
      <c r="FA148" s="151"/>
      <c r="FB148" s="151"/>
      <c r="FC148" s="151"/>
      <c r="FD148" s="151"/>
      <c r="FE148" s="151"/>
      <c r="FF148" s="151"/>
      <c r="FG148" s="151"/>
      <c r="FH148" s="151"/>
      <c r="FI148" s="151"/>
      <c r="FJ148" s="151"/>
      <c r="FK148" s="151"/>
      <c r="FL148" s="151"/>
      <c r="FM148" s="151"/>
      <c r="FN148" s="151"/>
      <c r="FO148" s="151"/>
      <c r="FP148" s="151"/>
      <c r="FQ148" s="151"/>
      <c r="FR148" s="151"/>
      <c r="FS148" s="151"/>
      <c r="FT148" s="151"/>
      <c r="FU148" s="151"/>
      <c r="FV148" s="151"/>
      <c r="FW148" s="151"/>
      <c r="FX148" s="151"/>
      <c r="FY148" s="151"/>
      <c r="FZ148" s="151"/>
      <c r="GA148" s="151"/>
      <c r="GB148" s="151"/>
      <c r="GC148" s="151"/>
      <c r="GD148" s="151"/>
      <c r="GE148" s="151"/>
      <c r="GF148" s="151"/>
      <c r="GG148" s="152"/>
    </row>
    <row r="149" spans="1:189" x14ac:dyDescent="0.35">
      <c r="A149" s="267" t="s">
        <v>1184</v>
      </c>
      <c r="B149" s="221" t="s">
        <v>1067</v>
      </c>
      <c r="C149" s="221"/>
      <c r="D149" s="222"/>
      <c r="E149" s="221" t="s">
        <v>1185</v>
      </c>
      <c r="F149" s="221" t="s">
        <v>1186</v>
      </c>
      <c r="G149" s="223">
        <v>1</v>
      </c>
      <c r="H149" s="224"/>
      <c r="I149" s="225"/>
      <c r="J149" s="225"/>
      <c r="K149" s="225"/>
      <c r="L149" s="226">
        <v>46281</v>
      </c>
      <c r="M149" s="226">
        <v>46372</v>
      </c>
      <c r="N149" s="226"/>
      <c r="O149" s="226">
        <v>46266</v>
      </c>
      <c r="P149" s="226">
        <v>46507</v>
      </c>
      <c r="Q149" s="227" t="s">
        <v>45</v>
      </c>
      <c r="R149" s="228"/>
      <c r="S149" s="228">
        <v>300000</v>
      </c>
      <c r="T149" s="228"/>
      <c r="U149" s="191">
        <f t="shared" si="200"/>
        <v>0</v>
      </c>
      <c r="V149" s="230"/>
      <c r="W149" s="231"/>
      <c r="X149" s="46"/>
      <c r="Y149" s="167">
        <f t="shared" si="201"/>
        <v>0</v>
      </c>
      <c r="Z149" s="167">
        <f t="shared" si="202"/>
        <v>0</v>
      </c>
      <c r="AA149" s="167">
        <f t="shared" si="203"/>
        <v>0</v>
      </c>
      <c r="AB149" s="167">
        <f t="shared" si="204"/>
        <v>300000</v>
      </c>
      <c r="AC149" s="167">
        <f t="shared" si="205"/>
        <v>0</v>
      </c>
      <c r="AD149" s="167">
        <f t="shared" si="206"/>
        <v>300000</v>
      </c>
      <c r="AF149" s="47">
        <f t="shared" si="207"/>
        <v>1</v>
      </c>
      <c r="AG149" s="202" t="str">
        <f t="shared" si="208"/>
        <v>Radosław Zdancewicz Delivery of instrumentation for the boiler</v>
      </c>
      <c r="AH149" s="172"/>
      <c r="AI149" s="173"/>
      <c r="AJ149" s="173"/>
      <c r="AK149" s="173"/>
      <c r="AL149" s="173"/>
      <c r="AM149" s="173"/>
      <c r="AN149" s="173"/>
      <c r="AO149" s="173"/>
      <c r="AP149" s="173"/>
      <c r="AQ149" s="173"/>
      <c r="AR149" s="173"/>
      <c r="AS149" s="173"/>
      <c r="AT149" s="173"/>
      <c r="AU149" s="173"/>
      <c r="AV149" s="173"/>
      <c r="AW149" s="173"/>
      <c r="AX149" s="173"/>
      <c r="AY149" s="173"/>
      <c r="AZ149" s="173"/>
      <c r="BA149" s="173"/>
      <c r="BB149" s="173"/>
      <c r="BC149" s="173"/>
      <c r="BD149" s="173"/>
      <c r="BE149" s="173"/>
      <c r="BF149" s="173"/>
      <c r="BG149" s="173"/>
      <c r="BH149" s="173"/>
      <c r="BI149" s="173"/>
      <c r="BJ149" s="173"/>
      <c r="BK149" s="173"/>
      <c r="BL149" s="173"/>
      <c r="BM149" s="173"/>
      <c r="BN149" s="173"/>
      <c r="BO149" s="173"/>
      <c r="BP149" s="173"/>
      <c r="BQ149" s="173"/>
      <c r="BR149" s="173"/>
      <c r="BS149" s="173"/>
      <c r="BT149" s="173"/>
      <c r="BU149" s="173"/>
      <c r="BV149" s="173"/>
      <c r="BW149" s="173"/>
      <c r="BX149" s="173"/>
      <c r="BY149" s="173"/>
      <c r="BZ149" s="173"/>
      <c r="CA149" s="173"/>
      <c r="CB149" s="173"/>
      <c r="CC149" s="173"/>
      <c r="CD149" s="173"/>
      <c r="CE149" s="173"/>
      <c r="CF149" s="173"/>
      <c r="CG149" s="173"/>
      <c r="CH149" s="173"/>
      <c r="CI149" s="173"/>
      <c r="CJ149" s="173"/>
      <c r="CK149" s="173"/>
      <c r="CL149" s="173"/>
      <c r="CM149" s="173"/>
      <c r="CN149" s="173"/>
      <c r="CO149" s="173"/>
      <c r="CP149" s="173"/>
      <c r="CQ149" s="173"/>
      <c r="CR149" s="173"/>
      <c r="CS149" s="173"/>
      <c r="CT149" s="173"/>
      <c r="CU149" s="173"/>
      <c r="CV149" s="173"/>
      <c r="CW149" s="173"/>
      <c r="CX149" s="173"/>
      <c r="CY149" s="151"/>
      <c r="CZ149" s="151"/>
      <c r="DA149" s="151"/>
      <c r="DB149" s="151"/>
      <c r="DC149" s="151"/>
      <c r="DD149" s="151"/>
      <c r="DE149" s="151"/>
      <c r="DF149" s="151"/>
      <c r="DG149" s="151"/>
      <c r="DH149" s="151"/>
      <c r="DI149" s="151"/>
      <c r="DJ149" s="151"/>
      <c r="DK149" s="151"/>
      <c r="DL149" s="151"/>
      <c r="DM149" s="151"/>
      <c r="DN149" s="151"/>
      <c r="DO149" s="151"/>
      <c r="DP149" s="151"/>
      <c r="DQ149" s="151"/>
      <c r="DR149" s="151"/>
      <c r="DS149" s="151"/>
      <c r="DT149" s="151"/>
      <c r="DU149" s="151"/>
      <c r="DV149" s="151"/>
      <c r="DW149" s="151"/>
      <c r="DX149" s="151"/>
      <c r="DY149" s="151"/>
      <c r="DZ149" s="151"/>
      <c r="EA149" s="151"/>
      <c r="EB149" s="151"/>
      <c r="EC149" s="151"/>
      <c r="ED149" s="151"/>
      <c r="EE149" s="151"/>
      <c r="EF149" s="151"/>
      <c r="EG149" s="151"/>
      <c r="EH149" s="151"/>
      <c r="EI149" s="151"/>
      <c r="EJ149" s="151"/>
      <c r="EK149" s="151"/>
      <c r="EL149" s="151"/>
      <c r="EM149" s="151"/>
      <c r="EN149" s="151"/>
      <c r="EO149" s="151"/>
      <c r="EP149" s="151"/>
      <c r="EQ149" s="151"/>
      <c r="ER149" s="151"/>
      <c r="ES149" s="151"/>
      <c r="ET149" s="151"/>
      <c r="EU149" s="151"/>
      <c r="EV149" s="151"/>
      <c r="EW149" s="151"/>
      <c r="EX149" s="151"/>
      <c r="EY149" s="151"/>
      <c r="EZ149" s="151"/>
      <c r="FA149" s="151"/>
      <c r="FB149" s="151"/>
      <c r="FC149" s="151"/>
      <c r="FD149" s="151"/>
      <c r="FE149" s="151"/>
      <c r="FF149" s="151"/>
      <c r="FG149" s="151"/>
      <c r="FH149" s="151"/>
      <c r="FI149" s="151"/>
      <c r="FJ149" s="151"/>
      <c r="FK149" s="151"/>
      <c r="FL149" s="151"/>
      <c r="FM149" s="151"/>
      <c r="FN149" s="151"/>
      <c r="FO149" s="151"/>
      <c r="FP149" s="151"/>
      <c r="FQ149" s="151"/>
      <c r="FR149" s="151"/>
      <c r="FS149" s="151"/>
      <c r="FT149" s="151"/>
      <c r="FU149" s="151"/>
      <c r="FV149" s="151"/>
      <c r="FW149" s="151"/>
      <c r="FX149" s="151"/>
      <c r="FY149" s="151"/>
      <c r="FZ149" s="151"/>
      <c r="GA149" s="151"/>
      <c r="GB149" s="151"/>
      <c r="GC149" s="151"/>
      <c r="GD149" s="151"/>
      <c r="GE149" s="151"/>
      <c r="GF149" s="151"/>
      <c r="GG149" s="152"/>
    </row>
    <row r="150" spans="1:189" x14ac:dyDescent="0.35">
      <c r="A150" s="297" t="s">
        <v>456</v>
      </c>
      <c r="B150" s="298" t="s">
        <v>1051</v>
      </c>
      <c r="C150" s="298"/>
      <c r="D150" s="299"/>
      <c r="E150" s="298" t="s">
        <v>311</v>
      </c>
      <c r="F150" s="298" t="s">
        <v>421</v>
      </c>
      <c r="G150" s="300">
        <v>2</v>
      </c>
      <c r="H150" s="301"/>
      <c r="I150" s="302"/>
      <c r="J150" s="302"/>
      <c r="K150" s="302"/>
      <c r="L150" s="303">
        <v>46189</v>
      </c>
      <c r="M150" s="303">
        <v>46250</v>
      </c>
      <c r="N150" s="303"/>
      <c r="O150" s="303">
        <v>46235</v>
      </c>
      <c r="P150" s="303">
        <v>46691</v>
      </c>
      <c r="Q150" s="304" t="s">
        <v>45</v>
      </c>
      <c r="R150" s="305">
        <v>2752000</v>
      </c>
      <c r="S150" s="305">
        <v>2752000</v>
      </c>
      <c r="T150" s="305"/>
      <c r="U150" s="191">
        <f t="shared" si="181"/>
        <v>0</v>
      </c>
      <c r="V150" s="306"/>
      <c r="W150" s="307"/>
      <c r="X150" s="46"/>
      <c r="Y150" s="167">
        <f t="shared" si="174"/>
        <v>2752000</v>
      </c>
      <c r="Z150" s="167">
        <f t="shared" si="175"/>
        <v>0</v>
      </c>
      <c r="AA150" s="167">
        <f t="shared" si="176"/>
        <v>2752000</v>
      </c>
      <c r="AB150" s="167">
        <f t="shared" si="177"/>
        <v>0</v>
      </c>
      <c r="AC150" s="167">
        <f t="shared" si="178"/>
        <v>0</v>
      </c>
      <c r="AD150" s="167">
        <f t="shared" si="179"/>
        <v>0</v>
      </c>
      <c r="AF150" s="47">
        <f t="shared" si="180"/>
        <v>1</v>
      </c>
      <c r="AG150" s="202" t="str">
        <f t="shared" si="173"/>
        <v>Roger Gołombek DCS System</v>
      </c>
      <c r="AH150" s="172"/>
      <c r="AI150" s="173"/>
      <c r="AJ150" s="173"/>
      <c r="AK150" s="173"/>
      <c r="AL150" s="173"/>
      <c r="AM150" s="173"/>
      <c r="AN150" s="173"/>
      <c r="AO150" s="173"/>
      <c r="AP150" s="173"/>
      <c r="AQ150" s="173"/>
      <c r="AR150" s="173"/>
      <c r="AS150" s="173"/>
      <c r="AT150" s="173"/>
      <c r="AU150" s="173"/>
      <c r="AV150" s="173"/>
      <c r="AW150" s="173"/>
      <c r="AX150" s="173"/>
      <c r="AY150" s="173"/>
      <c r="AZ150" s="173"/>
      <c r="BA150" s="173"/>
      <c r="BB150" s="173"/>
      <c r="BC150" s="173"/>
      <c r="BD150" s="173"/>
      <c r="BE150" s="173"/>
      <c r="BF150" s="173"/>
      <c r="BG150" s="173"/>
      <c r="BH150" s="173"/>
      <c r="BI150" s="173"/>
      <c r="BJ150" s="173"/>
      <c r="BK150" s="173"/>
      <c r="BL150" s="173"/>
      <c r="BM150" s="173"/>
      <c r="BN150" s="173"/>
      <c r="BO150" s="173"/>
      <c r="BP150" s="173"/>
      <c r="BQ150" s="173"/>
      <c r="BR150" s="173"/>
      <c r="BS150" s="173"/>
      <c r="BT150" s="173"/>
      <c r="BU150" s="173"/>
      <c r="BV150" s="173"/>
      <c r="BW150" s="173"/>
      <c r="BX150" s="173"/>
      <c r="BY150" s="173"/>
      <c r="BZ150" s="173"/>
      <c r="CA150" s="173"/>
      <c r="CB150" s="173"/>
      <c r="CC150" s="173"/>
      <c r="CD150" s="173"/>
      <c r="CE150" s="173"/>
      <c r="CF150" s="173"/>
      <c r="CG150" s="173"/>
      <c r="CH150" s="173"/>
      <c r="CI150" s="173"/>
      <c r="CJ150" s="173"/>
      <c r="CK150" s="173"/>
      <c r="CL150" s="173"/>
      <c r="CM150" s="173"/>
      <c r="CN150" s="173"/>
      <c r="CO150" s="173"/>
      <c r="CP150" s="173"/>
      <c r="CQ150" s="173"/>
      <c r="CR150" s="173"/>
      <c r="CS150" s="173"/>
      <c r="CT150" s="173"/>
      <c r="CU150" s="173"/>
      <c r="CV150" s="173"/>
      <c r="CW150" s="173"/>
      <c r="CX150" s="173"/>
      <c r="CY150" s="148"/>
      <c r="CZ150" s="148"/>
      <c r="DA150" s="148"/>
      <c r="DB150" s="148"/>
      <c r="DC150" s="148"/>
      <c r="DD150" s="148"/>
      <c r="DE150" s="148"/>
      <c r="DF150" s="148"/>
      <c r="DG150" s="148"/>
      <c r="DH150" s="148"/>
      <c r="DI150" s="148"/>
      <c r="DJ150" s="148"/>
      <c r="DK150" s="148"/>
      <c r="DL150" s="148"/>
      <c r="DM150" s="148"/>
      <c r="DN150" s="148"/>
      <c r="DO150" s="148"/>
      <c r="DP150" s="148"/>
      <c r="DQ150" s="148"/>
      <c r="DR150" s="148"/>
      <c r="DS150" s="148"/>
      <c r="DT150" s="148"/>
      <c r="DU150" s="148"/>
      <c r="DV150" s="148"/>
      <c r="DW150" s="148"/>
      <c r="DX150" s="148"/>
      <c r="DY150" s="148"/>
      <c r="DZ150" s="148"/>
      <c r="EA150" s="148"/>
      <c r="EB150" s="148"/>
      <c r="EC150" s="148"/>
      <c r="ED150" s="148"/>
      <c r="EE150" s="148"/>
      <c r="EF150" s="148"/>
      <c r="EG150" s="148"/>
      <c r="EH150" s="148"/>
      <c r="EI150" s="148"/>
      <c r="EJ150" s="148"/>
      <c r="EK150" s="148"/>
      <c r="EL150" s="148"/>
      <c r="EM150" s="148"/>
      <c r="EN150" s="148"/>
      <c r="EO150" s="148"/>
      <c r="EP150" s="148"/>
      <c r="EQ150" s="148"/>
      <c r="ER150" s="148"/>
      <c r="ES150" s="148"/>
      <c r="ET150" s="148"/>
      <c r="EU150" s="148"/>
      <c r="EV150" s="148"/>
      <c r="EW150" s="148"/>
      <c r="EX150" s="148"/>
      <c r="EY150" s="148"/>
      <c r="EZ150" s="148"/>
      <c r="FA150" s="148"/>
      <c r="FB150" s="148"/>
      <c r="FC150" s="148"/>
      <c r="FD150" s="148"/>
      <c r="FE150" s="148"/>
      <c r="FF150" s="148"/>
      <c r="FG150" s="148"/>
      <c r="FH150" s="148"/>
      <c r="FI150" s="148"/>
      <c r="FJ150" s="148"/>
      <c r="FK150" s="148"/>
      <c r="FL150" s="148"/>
      <c r="FM150" s="148"/>
      <c r="FN150" s="148"/>
      <c r="FO150" s="148"/>
      <c r="FP150" s="148"/>
      <c r="FQ150" s="148"/>
      <c r="FR150" s="148"/>
      <c r="FS150" s="148"/>
      <c r="FT150" s="148"/>
      <c r="FU150" s="148"/>
      <c r="FV150" s="148"/>
      <c r="FW150" s="148"/>
      <c r="FX150" s="148"/>
      <c r="FY150" s="148"/>
      <c r="FZ150" s="148"/>
      <c r="GA150" s="148"/>
      <c r="GB150" s="148"/>
      <c r="GC150" s="148"/>
      <c r="GD150" s="148"/>
      <c r="GE150" s="148"/>
      <c r="GF150" s="148"/>
      <c r="GG150" s="149"/>
    </row>
    <row r="151" spans="1:189" x14ac:dyDescent="0.35">
      <c r="A151" s="297" t="s">
        <v>457</v>
      </c>
      <c r="B151" s="298" t="s">
        <v>1067</v>
      </c>
      <c r="C151" s="298"/>
      <c r="D151" s="299"/>
      <c r="E151" s="298" t="s">
        <v>312</v>
      </c>
      <c r="F151" s="298" t="s">
        <v>373</v>
      </c>
      <c r="G151" s="300">
        <v>2</v>
      </c>
      <c r="H151" s="301"/>
      <c r="I151" s="302"/>
      <c r="J151" s="302"/>
      <c r="K151" s="302"/>
      <c r="L151" s="303">
        <v>46158</v>
      </c>
      <c r="M151" s="303">
        <v>46219</v>
      </c>
      <c r="N151" s="303"/>
      <c r="O151" s="303">
        <v>46174</v>
      </c>
      <c r="P151" s="303">
        <v>46507</v>
      </c>
      <c r="Q151" s="304" t="s">
        <v>45</v>
      </c>
      <c r="R151" s="305">
        <v>1960000</v>
      </c>
      <c r="S151" s="305">
        <v>1960000</v>
      </c>
      <c r="T151" s="305"/>
      <c r="U151" s="191">
        <f t="shared" si="181"/>
        <v>0</v>
      </c>
      <c r="V151" s="306"/>
      <c r="W151" s="307"/>
      <c r="X151" s="46"/>
      <c r="Y151" s="167">
        <f t="shared" si="174"/>
        <v>1960000</v>
      </c>
      <c r="Z151" s="167">
        <f t="shared" si="175"/>
        <v>0</v>
      </c>
      <c r="AA151" s="167">
        <f t="shared" si="176"/>
        <v>1960000</v>
      </c>
      <c r="AB151" s="167">
        <f t="shared" si="177"/>
        <v>0</v>
      </c>
      <c r="AC151" s="167">
        <f t="shared" si="178"/>
        <v>0</v>
      </c>
      <c r="AD151" s="167">
        <f t="shared" si="179"/>
        <v>0</v>
      </c>
      <c r="AF151" s="47">
        <f t="shared" si="180"/>
        <v>1</v>
      </c>
      <c r="AG151" s="202" t="str">
        <f t="shared" si="173"/>
        <v>Radosław Zdancewicz Emission monitoring system (CEMS)</v>
      </c>
      <c r="AH151" s="172"/>
      <c r="AI151" s="173"/>
      <c r="AJ151" s="173"/>
      <c r="AK151" s="173"/>
      <c r="AL151" s="173"/>
      <c r="AM151" s="173"/>
      <c r="AN151" s="173"/>
      <c r="AO151" s="173"/>
      <c r="AP151" s="173"/>
      <c r="AQ151" s="173"/>
      <c r="AR151" s="173"/>
      <c r="AS151" s="173"/>
      <c r="AT151" s="173"/>
      <c r="AU151" s="173"/>
      <c r="AV151" s="173"/>
      <c r="AW151" s="173"/>
      <c r="AX151" s="173"/>
      <c r="AY151" s="173"/>
      <c r="AZ151" s="173"/>
      <c r="BA151" s="173"/>
      <c r="BB151" s="173"/>
      <c r="BC151" s="173"/>
      <c r="BD151" s="173"/>
      <c r="BE151" s="173"/>
      <c r="BF151" s="173"/>
      <c r="BG151" s="173"/>
      <c r="BH151" s="173"/>
      <c r="BI151" s="173"/>
      <c r="BJ151" s="173"/>
      <c r="BK151" s="173"/>
      <c r="BL151" s="173"/>
      <c r="BM151" s="173"/>
      <c r="BN151" s="173"/>
      <c r="BO151" s="173"/>
      <c r="BP151" s="173"/>
      <c r="BQ151" s="173"/>
      <c r="BR151" s="173"/>
      <c r="BS151" s="173"/>
      <c r="BT151" s="173"/>
      <c r="BU151" s="173"/>
      <c r="BV151" s="173"/>
      <c r="BW151" s="173"/>
      <c r="BX151" s="173"/>
      <c r="BY151" s="173"/>
      <c r="BZ151" s="173"/>
      <c r="CA151" s="173"/>
      <c r="CB151" s="173"/>
      <c r="CC151" s="173"/>
      <c r="CD151" s="173"/>
      <c r="CE151" s="173"/>
      <c r="CF151" s="173"/>
      <c r="CG151" s="173"/>
      <c r="CH151" s="173"/>
      <c r="CI151" s="173"/>
      <c r="CJ151" s="173"/>
      <c r="CK151" s="173"/>
      <c r="CL151" s="173"/>
      <c r="CM151" s="173"/>
      <c r="CN151" s="173"/>
      <c r="CO151" s="173"/>
      <c r="CP151" s="173"/>
      <c r="CQ151" s="173"/>
      <c r="CR151" s="173"/>
      <c r="CS151" s="173"/>
      <c r="CT151" s="173"/>
      <c r="CU151" s="173"/>
      <c r="CV151" s="173"/>
      <c r="CW151" s="173"/>
      <c r="CX151" s="173"/>
      <c r="CY151" s="148"/>
      <c r="CZ151" s="148"/>
      <c r="DA151" s="148"/>
      <c r="DB151" s="148"/>
      <c r="DC151" s="148"/>
      <c r="DD151" s="148"/>
      <c r="DE151" s="148"/>
      <c r="DF151" s="148"/>
      <c r="DG151" s="148"/>
      <c r="DH151" s="148"/>
      <c r="DI151" s="148"/>
      <c r="DJ151" s="148"/>
      <c r="DK151" s="148"/>
      <c r="DL151" s="148"/>
      <c r="DM151" s="148"/>
      <c r="DN151" s="148"/>
      <c r="DO151" s="148"/>
      <c r="DP151" s="148"/>
      <c r="DQ151" s="148"/>
      <c r="DR151" s="148"/>
      <c r="DS151" s="148"/>
      <c r="DT151" s="148"/>
      <c r="DU151" s="148"/>
      <c r="DV151" s="148"/>
      <c r="DW151" s="148"/>
      <c r="DX151" s="148"/>
      <c r="DY151" s="148"/>
      <c r="DZ151" s="148"/>
      <c r="EA151" s="148"/>
      <c r="EB151" s="148"/>
      <c r="EC151" s="148"/>
      <c r="ED151" s="148"/>
      <c r="EE151" s="148"/>
      <c r="EF151" s="148"/>
      <c r="EG151" s="148"/>
      <c r="EH151" s="148"/>
      <c r="EI151" s="148"/>
      <c r="EJ151" s="148"/>
      <c r="EK151" s="148"/>
      <c r="EL151" s="148"/>
      <c r="EM151" s="148"/>
      <c r="EN151" s="148"/>
      <c r="EO151" s="148"/>
      <c r="EP151" s="148"/>
      <c r="EQ151" s="148"/>
      <c r="ER151" s="148"/>
      <c r="ES151" s="148"/>
      <c r="ET151" s="148"/>
      <c r="EU151" s="148"/>
      <c r="EV151" s="148"/>
      <c r="EW151" s="148"/>
      <c r="EX151" s="148"/>
      <c r="EY151" s="148"/>
      <c r="EZ151" s="148"/>
      <c r="FA151" s="148"/>
      <c r="FB151" s="148"/>
      <c r="FC151" s="148"/>
      <c r="FD151" s="148"/>
      <c r="FE151" s="148"/>
      <c r="FF151" s="148"/>
      <c r="FG151" s="148"/>
      <c r="FH151" s="148"/>
      <c r="FI151" s="148"/>
      <c r="FJ151" s="148"/>
      <c r="FK151" s="148"/>
      <c r="FL151" s="148"/>
      <c r="FM151" s="148"/>
      <c r="FN151" s="148"/>
      <c r="FO151" s="148"/>
      <c r="FP151" s="148"/>
      <c r="FQ151" s="148"/>
      <c r="FR151" s="148"/>
      <c r="FS151" s="148"/>
      <c r="FT151" s="148"/>
      <c r="FU151" s="148"/>
      <c r="FV151" s="148"/>
      <c r="FW151" s="148"/>
      <c r="FX151" s="148"/>
      <c r="FY151" s="148"/>
      <c r="FZ151" s="148"/>
      <c r="GA151" s="148"/>
      <c r="GB151" s="148"/>
      <c r="GC151" s="148"/>
      <c r="GD151" s="148"/>
      <c r="GE151" s="148"/>
      <c r="GF151" s="148"/>
      <c r="GG151" s="149"/>
    </row>
    <row r="152" spans="1:189" s="168" customFormat="1" ht="14.25" x14ac:dyDescent="0.35">
      <c r="A152" s="266">
        <v>4</v>
      </c>
      <c r="B152" s="206"/>
      <c r="C152" s="207"/>
      <c r="D152" s="208"/>
      <c r="E152" s="207" t="s">
        <v>313</v>
      </c>
      <c r="F152" s="206" t="s">
        <v>314</v>
      </c>
      <c r="G152" s="209">
        <v>2</v>
      </c>
      <c r="H152" s="210"/>
      <c r="I152" s="206"/>
      <c r="J152" s="207"/>
      <c r="K152" s="206"/>
      <c r="L152" s="211"/>
      <c r="M152" s="211"/>
      <c r="N152" s="212"/>
      <c r="O152" s="211"/>
      <c r="P152" s="211"/>
      <c r="Q152" s="213"/>
      <c r="R152" s="214"/>
      <c r="S152" s="215"/>
      <c r="T152" s="214"/>
      <c r="U152" s="191">
        <f t="shared" si="181"/>
        <v>0</v>
      </c>
      <c r="V152" s="217"/>
      <c r="W152" s="218"/>
      <c r="X152" s="219"/>
      <c r="Y152" s="167">
        <f t="shared" si="174"/>
        <v>0</v>
      </c>
      <c r="Z152" s="167">
        <f t="shared" si="175"/>
        <v>0</v>
      </c>
      <c r="AA152" s="167">
        <f t="shared" si="176"/>
        <v>0</v>
      </c>
      <c r="AB152" s="167">
        <f t="shared" si="177"/>
        <v>0</v>
      </c>
      <c r="AC152" s="167">
        <f t="shared" si="178"/>
        <v>0</v>
      </c>
      <c r="AD152" s="167">
        <f t="shared" si="179"/>
        <v>0</v>
      </c>
      <c r="AF152" s="180">
        <f t="shared" si="180"/>
        <v>0</v>
      </c>
      <c r="AG152" s="202" t="str">
        <f t="shared" si="173"/>
        <v xml:space="preserve"> Sanitary works and fire-fighting system</v>
      </c>
      <c r="AH152" s="172"/>
      <c r="AI152" s="173"/>
      <c r="AJ152" s="173"/>
      <c r="AK152" s="173"/>
      <c r="AL152" s="173"/>
      <c r="AM152" s="173"/>
      <c r="AN152" s="173"/>
      <c r="AO152" s="173"/>
      <c r="AP152" s="173"/>
      <c r="AQ152" s="173"/>
      <c r="AR152" s="173"/>
      <c r="AS152" s="173"/>
      <c r="AT152" s="173"/>
      <c r="AU152" s="173"/>
      <c r="AV152" s="173"/>
      <c r="AW152" s="173"/>
      <c r="AX152" s="173"/>
      <c r="AY152" s="173"/>
      <c r="AZ152" s="173"/>
      <c r="BA152" s="173"/>
      <c r="BB152" s="173"/>
      <c r="BC152" s="173"/>
      <c r="BD152" s="173"/>
      <c r="BE152" s="173"/>
      <c r="BF152" s="173"/>
      <c r="BG152" s="173"/>
      <c r="BH152" s="173"/>
      <c r="BI152" s="173"/>
      <c r="BJ152" s="173"/>
      <c r="BK152" s="173"/>
      <c r="BL152" s="173"/>
      <c r="BM152" s="173"/>
      <c r="BN152" s="173"/>
      <c r="BO152" s="173"/>
      <c r="BP152" s="173"/>
      <c r="BQ152" s="173"/>
      <c r="BR152" s="173"/>
      <c r="BS152" s="173"/>
      <c r="BT152" s="173"/>
      <c r="BU152" s="173"/>
      <c r="BV152" s="173"/>
      <c r="BW152" s="173"/>
      <c r="BX152" s="173"/>
      <c r="BY152" s="173"/>
      <c r="BZ152" s="173"/>
      <c r="CA152" s="173"/>
      <c r="CB152" s="173"/>
      <c r="CC152" s="173"/>
      <c r="CD152" s="173"/>
      <c r="CE152" s="173"/>
      <c r="CF152" s="173"/>
      <c r="CG152" s="173"/>
      <c r="CH152" s="173"/>
      <c r="CI152" s="173"/>
      <c r="CJ152" s="173"/>
      <c r="CK152" s="173"/>
      <c r="CL152" s="173"/>
      <c r="CM152" s="173"/>
      <c r="CN152" s="173"/>
      <c r="CO152" s="173"/>
      <c r="CP152" s="173"/>
      <c r="CQ152" s="173"/>
      <c r="CR152" s="173"/>
      <c r="CS152" s="173"/>
      <c r="CT152" s="173"/>
      <c r="CU152" s="173"/>
      <c r="CV152" s="173"/>
      <c r="CW152" s="173"/>
      <c r="CX152" s="173"/>
      <c r="CY152" s="151"/>
      <c r="CZ152" s="173"/>
      <c r="DA152" s="173"/>
      <c r="DB152" s="173"/>
      <c r="DC152" s="173"/>
      <c r="DD152" s="173"/>
      <c r="DE152" s="173"/>
      <c r="DF152" s="173"/>
      <c r="DG152" s="173"/>
      <c r="DH152" s="173"/>
      <c r="DI152" s="173"/>
      <c r="DJ152" s="173"/>
      <c r="DK152" s="173"/>
      <c r="DL152" s="173"/>
      <c r="DM152" s="173"/>
      <c r="DN152" s="173"/>
      <c r="DO152" s="173"/>
      <c r="DP152" s="173"/>
      <c r="DQ152" s="173"/>
      <c r="DR152" s="173"/>
      <c r="DS152" s="173"/>
      <c r="DT152" s="173"/>
      <c r="DU152" s="173"/>
      <c r="DV152" s="173"/>
      <c r="DW152" s="173"/>
      <c r="DX152" s="173"/>
      <c r="DY152" s="173"/>
      <c r="DZ152" s="173"/>
      <c r="EA152" s="173"/>
      <c r="EB152" s="173"/>
      <c r="EC152" s="173"/>
      <c r="ED152" s="173"/>
      <c r="EE152" s="173"/>
      <c r="EF152" s="173"/>
      <c r="EG152" s="173"/>
      <c r="EH152" s="173"/>
      <c r="EI152" s="173"/>
      <c r="EJ152" s="173"/>
      <c r="EK152" s="173"/>
      <c r="EL152" s="173"/>
      <c r="EM152" s="173"/>
      <c r="EN152" s="173"/>
      <c r="EO152" s="173"/>
      <c r="EP152" s="173"/>
      <c r="EQ152" s="173"/>
      <c r="ER152" s="173"/>
      <c r="ES152" s="173"/>
      <c r="ET152" s="173"/>
      <c r="EU152" s="173"/>
      <c r="EV152" s="173"/>
      <c r="EW152" s="173"/>
      <c r="EX152" s="173"/>
      <c r="EY152" s="173"/>
      <c r="EZ152" s="173"/>
      <c r="FA152" s="173"/>
      <c r="FB152" s="173"/>
      <c r="FC152" s="173"/>
      <c r="FD152" s="173"/>
      <c r="FE152" s="173"/>
      <c r="FF152" s="173"/>
      <c r="FG152" s="173"/>
      <c r="FH152" s="173"/>
      <c r="FI152" s="173"/>
      <c r="FJ152" s="173"/>
      <c r="FK152" s="173"/>
      <c r="FL152" s="173"/>
      <c r="FM152" s="173"/>
      <c r="FN152" s="173"/>
      <c r="FO152" s="173"/>
      <c r="FP152" s="173"/>
      <c r="FQ152" s="173"/>
      <c r="FR152" s="173"/>
      <c r="FS152" s="173"/>
      <c r="FT152" s="173"/>
      <c r="FU152" s="173"/>
      <c r="FV152" s="173"/>
      <c r="FW152" s="173"/>
      <c r="FX152" s="173"/>
      <c r="FY152" s="173"/>
      <c r="FZ152" s="173"/>
      <c r="GA152" s="173"/>
      <c r="GB152" s="173"/>
      <c r="GC152" s="173"/>
      <c r="GD152" s="173"/>
      <c r="GE152" s="173"/>
      <c r="GF152" s="173"/>
      <c r="GG152" s="174"/>
    </row>
    <row r="153" spans="1:189" ht="21" customHeight="1" x14ac:dyDescent="0.35">
      <c r="A153" s="237" t="s">
        <v>503</v>
      </c>
      <c r="B153" s="236" t="s">
        <v>1066</v>
      </c>
      <c r="C153" s="236"/>
      <c r="D153" s="237"/>
      <c r="E153" s="236" t="s">
        <v>416</v>
      </c>
      <c r="F153" s="236" t="s">
        <v>315</v>
      </c>
      <c r="G153" s="238">
        <v>2</v>
      </c>
      <c r="H153" s="239"/>
      <c r="I153" s="240"/>
      <c r="J153" s="240"/>
      <c r="K153" s="240"/>
      <c r="L153" s="241">
        <v>46158</v>
      </c>
      <c r="M153" s="241">
        <v>46219</v>
      </c>
      <c r="N153" s="241"/>
      <c r="O153" s="241">
        <v>46174</v>
      </c>
      <c r="P153" s="241">
        <v>46507</v>
      </c>
      <c r="Q153" s="242" t="s">
        <v>11</v>
      </c>
      <c r="R153" s="243">
        <v>1009700</v>
      </c>
      <c r="S153" s="243">
        <v>1009700</v>
      </c>
      <c r="T153" s="243"/>
      <c r="U153" s="191">
        <f t="shared" si="181"/>
        <v>0</v>
      </c>
      <c r="V153" s="244"/>
      <c r="W153" s="245"/>
      <c r="X153" s="46"/>
      <c r="Y153" s="167">
        <f t="shared" si="174"/>
        <v>1009700</v>
      </c>
      <c r="Z153" s="167">
        <f t="shared" si="175"/>
        <v>0</v>
      </c>
      <c r="AA153" s="167">
        <f t="shared" si="176"/>
        <v>1009700</v>
      </c>
      <c r="AB153" s="167">
        <f t="shared" si="177"/>
        <v>0</v>
      </c>
      <c r="AC153" s="167">
        <f t="shared" si="178"/>
        <v>0</v>
      </c>
      <c r="AD153" s="167">
        <f t="shared" si="179"/>
        <v>0</v>
      </c>
      <c r="AF153" s="47">
        <f t="shared" si="180"/>
        <v>1</v>
      </c>
      <c r="AG153" s="202" t="str">
        <f t="shared" si="173"/>
        <v>Stanisław Rucki Deodorization system</v>
      </c>
      <c r="AH153" s="172"/>
      <c r="AI153" s="173"/>
      <c r="AJ153" s="173"/>
      <c r="AK153" s="173"/>
      <c r="AL153" s="173"/>
      <c r="AM153" s="173"/>
      <c r="AN153" s="173"/>
      <c r="AO153" s="173"/>
      <c r="AP153" s="173"/>
      <c r="AQ153" s="173"/>
      <c r="AR153" s="173"/>
      <c r="AS153" s="173"/>
      <c r="AT153" s="173"/>
      <c r="AU153" s="173"/>
      <c r="AV153" s="173"/>
      <c r="AW153" s="173"/>
      <c r="AX153" s="173"/>
      <c r="AY153" s="173"/>
      <c r="AZ153" s="173"/>
      <c r="BA153" s="173"/>
      <c r="BB153" s="173"/>
      <c r="BC153" s="173"/>
      <c r="BD153" s="173"/>
      <c r="BE153" s="173"/>
      <c r="BF153" s="173"/>
      <c r="BG153" s="173"/>
      <c r="BH153" s="173"/>
      <c r="BI153" s="173"/>
      <c r="BJ153" s="173"/>
      <c r="BK153" s="173"/>
      <c r="BL153" s="173"/>
      <c r="BM153" s="173"/>
      <c r="BN153" s="173"/>
      <c r="BO153" s="173"/>
      <c r="BP153" s="173"/>
      <c r="BQ153" s="173"/>
      <c r="BR153" s="173"/>
      <c r="BS153" s="173"/>
      <c r="BT153" s="173"/>
      <c r="BU153" s="173"/>
      <c r="BV153" s="173"/>
      <c r="BW153" s="173"/>
      <c r="BX153" s="173"/>
      <c r="BY153" s="173"/>
      <c r="BZ153" s="173"/>
      <c r="CA153" s="173"/>
      <c r="CB153" s="173"/>
      <c r="CC153" s="173"/>
      <c r="CD153" s="173"/>
      <c r="CE153" s="173"/>
      <c r="CF153" s="173"/>
      <c r="CG153" s="173"/>
      <c r="CH153" s="173"/>
      <c r="CI153" s="173"/>
      <c r="CJ153" s="173"/>
      <c r="CK153" s="173"/>
      <c r="CL153" s="173"/>
      <c r="CM153" s="173"/>
      <c r="CN153" s="173"/>
      <c r="CO153" s="173"/>
      <c r="CP153" s="173"/>
      <c r="CQ153" s="173"/>
      <c r="CR153" s="173"/>
      <c r="CS153" s="173"/>
      <c r="CT153" s="173"/>
      <c r="CU153" s="173"/>
      <c r="CV153" s="173"/>
      <c r="CW153" s="173"/>
      <c r="CX153" s="173"/>
      <c r="CY153" s="151"/>
      <c r="CZ153" s="151"/>
      <c r="DA153" s="151"/>
      <c r="DB153" s="151"/>
      <c r="DC153" s="151"/>
      <c r="DD153" s="151"/>
      <c r="DE153" s="151"/>
      <c r="DF153" s="151"/>
      <c r="DG153" s="151"/>
      <c r="DH153" s="151"/>
      <c r="DI153" s="151"/>
      <c r="DJ153" s="151"/>
      <c r="DK153" s="151"/>
      <c r="DL153" s="151"/>
      <c r="DM153" s="151"/>
      <c r="DN153" s="151"/>
      <c r="DO153" s="151"/>
      <c r="DP153" s="151"/>
      <c r="DQ153" s="151"/>
      <c r="DR153" s="151"/>
      <c r="DS153" s="151"/>
      <c r="DT153" s="151"/>
      <c r="DU153" s="151"/>
      <c r="DV153" s="151"/>
      <c r="DW153" s="151"/>
      <c r="DX153" s="151"/>
      <c r="DY153" s="151"/>
      <c r="DZ153" s="151"/>
      <c r="EA153" s="151"/>
      <c r="EB153" s="151"/>
      <c r="EC153" s="151"/>
      <c r="ED153" s="151"/>
      <c r="EE153" s="151"/>
      <c r="EF153" s="151"/>
      <c r="EG153" s="151"/>
      <c r="EH153" s="151"/>
      <c r="EI153" s="151"/>
      <c r="EJ153" s="151"/>
      <c r="EK153" s="151"/>
      <c r="EL153" s="151"/>
      <c r="EM153" s="151"/>
      <c r="EN153" s="151"/>
      <c r="EO153" s="151"/>
      <c r="EP153" s="151"/>
      <c r="EQ153" s="151"/>
      <c r="ER153" s="151"/>
      <c r="ES153" s="151"/>
      <c r="ET153" s="151"/>
      <c r="EU153" s="151"/>
      <c r="EV153" s="151"/>
      <c r="EW153" s="151"/>
      <c r="EX153" s="151"/>
      <c r="EY153" s="151"/>
      <c r="EZ153" s="151"/>
      <c r="FA153" s="151"/>
      <c r="FB153" s="151"/>
      <c r="FC153" s="151"/>
      <c r="FD153" s="151"/>
      <c r="FE153" s="151"/>
      <c r="FF153" s="151"/>
      <c r="FG153" s="151"/>
      <c r="FH153" s="151"/>
      <c r="FI153" s="151"/>
      <c r="FJ153" s="151"/>
      <c r="FK153" s="151"/>
      <c r="FL153" s="151"/>
      <c r="FM153" s="151"/>
      <c r="FN153" s="151"/>
      <c r="FO153" s="151"/>
      <c r="FP153" s="151"/>
      <c r="FQ153" s="151"/>
      <c r="FR153" s="151"/>
      <c r="FS153" s="151"/>
      <c r="FT153" s="151"/>
      <c r="FU153" s="151"/>
      <c r="FV153" s="151"/>
      <c r="FW153" s="151"/>
      <c r="FX153" s="151"/>
      <c r="FY153" s="151"/>
      <c r="FZ153" s="151"/>
      <c r="GA153" s="151"/>
      <c r="GB153" s="151"/>
      <c r="GC153" s="151"/>
      <c r="GD153" s="151"/>
      <c r="GE153" s="151"/>
      <c r="GF153" s="151"/>
      <c r="GG153" s="152"/>
    </row>
    <row r="154" spans="1:189" ht="21" customHeight="1" x14ac:dyDescent="0.35">
      <c r="A154" s="237" t="s">
        <v>504</v>
      </c>
      <c r="B154" s="236"/>
      <c r="C154" s="236"/>
      <c r="D154" s="237"/>
      <c r="E154" s="236" t="s">
        <v>415</v>
      </c>
      <c r="F154" s="236" t="s">
        <v>334</v>
      </c>
      <c r="G154" s="238">
        <v>2</v>
      </c>
      <c r="H154" s="239"/>
      <c r="I154" s="240"/>
      <c r="J154" s="240"/>
      <c r="K154" s="240"/>
      <c r="L154" s="241"/>
      <c r="M154" s="241"/>
      <c r="N154" s="241"/>
      <c r="O154" s="241"/>
      <c r="P154" s="241"/>
      <c r="Q154" s="242"/>
      <c r="R154" s="243"/>
      <c r="S154" s="243"/>
      <c r="T154" s="243"/>
      <c r="U154" s="191">
        <f t="shared" si="181"/>
        <v>0</v>
      </c>
      <c r="V154" s="244"/>
      <c r="W154" s="245"/>
      <c r="X154" s="46"/>
      <c r="Y154" s="167">
        <f t="shared" si="174"/>
        <v>0</v>
      </c>
      <c r="Z154" s="167">
        <f t="shared" si="175"/>
        <v>0</v>
      </c>
      <c r="AA154" s="167">
        <f t="shared" si="176"/>
        <v>0</v>
      </c>
      <c r="AB154" s="167">
        <f t="shared" si="177"/>
        <v>0</v>
      </c>
      <c r="AC154" s="167">
        <f t="shared" si="178"/>
        <v>0</v>
      </c>
      <c r="AD154" s="167">
        <f t="shared" si="179"/>
        <v>0</v>
      </c>
      <c r="AF154" s="180">
        <f t="shared" si="180"/>
        <v>0</v>
      </c>
      <c r="AG154" s="202" t="str">
        <f t="shared" si="173"/>
        <v xml:space="preserve"> Firefighting system</v>
      </c>
      <c r="AH154" s="172"/>
      <c r="AI154" s="173"/>
      <c r="AJ154" s="173"/>
      <c r="AK154" s="173"/>
      <c r="AL154" s="173"/>
      <c r="AM154" s="173"/>
      <c r="AN154" s="173"/>
      <c r="AO154" s="173"/>
      <c r="AP154" s="173"/>
      <c r="AQ154" s="173"/>
      <c r="AR154" s="173"/>
      <c r="AS154" s="173"/>
      <c r="AT154" s="173"/>
      <c r="AU154" s="173"/>
      <c r="AV154" s="173"/>
      <c r="AW154" s="173"/>
      <c r="AX154" s="173"/>
      <c r="AY154" s="173"/>
      <c r="AZ154" s="173"/>
      <c r="BA154" s="173"/>
      <c r="BB154" s="173"/>
      <c r="BC154" s="173"/>
      <c r="BD154" s="173"/>
      <c r="BE154" s="173"/>
      <c r="BF154" s="173"/>
      <c r="BG154" s="173"/>
      <c r="BH154" s="173"/>
      <c r="BI154" s="173"/>
      <c r="BJ154" s="173"/>
      <c r="BK154" s="173"/>
      <c r="BL154" s="173"/>
      <c r="BM154" s="173"/>
      <c r="BN154" s="173"/>
      <c r="BO154" s="173"/>
      <c r="BP154" s="173"/>
      <c r="BQ154" s="173"/>
      <c r="BR154" s="173"/>
      <c r="BS154" s="173"/>
      <c r="BT154" s="173"/>
      <c r="BU154" s="173"/>
      <c r="BV154" s="173"/>
      <c r="BW154" s="173"/>
      <c r="BX154" s="173"/>
      <c r="BY154" s="173"/>
      <c r="BZ154" s="173"/>
      <c r="CA154" s="173"/>
      <c r="CB154" s="173"/>
      <c r="CC154" s="173"/>
      <c r="CD154" s="173"/>
      <c r="CE154" s="173"/>
      <c r="CF154" s="173"/>
      <c r="CG154" s="173"/>
      <c r="CH154" s="173"/>
      <c r="CI154" s="173"/>
      <c r="CJ154" s="173"/>
      <c r="CK154" s="173"/>
      <c r="CL154" s="173"/>
      <c r="CM154" s="173"/>
      <c r="CN154" s="173"/>
      <c r="CO154" s="173"/>
      <c r="CP154" s="173"/>
      <c r="CQ154" s="173"/>
      <c r="CR154" s="173"/>
      <c r="CS154" s="173"/>
      <c r="CT154" s="173"/>
      <c r="CU154" s="173"/>
      <c r="CV154" s="173"/>
      <c r="CW154" s="173"/>
      <c r="CX154" s="173"/>
      <c r="CY154" s="151"/>
      <c r="CZ154" s="151"/>
      <c r="DA154" s="151"/>
      <c r="DB154" s="151"/>
      <c r="DC154" s="151"/>
      <c r="DD154" s="151"/>
      <c r="DE154" s="151"/>
      <c r="DF154" s="151"/>
      <c r="DG154" s="151"/>
      <c r="DH154" s="151"/>
      <c r="DI154" s="151"/>
      <c r="DJ154" s="151"/>
      <c r="DK154" s="151"/>
      <c r="DL154" s="151"/>
      <c r="DM154" s="151"/>
      <c r="DN154" s="151"/>
      <c r="DO154" s="151"/>
      <c r="DP154" s="151"/>
      <c r="DQ154" s="151"/>
      <c r="DR154" s="151"/>
      <c r="DS154" s="151"/>
      <c r="DT154" s="151"/>
      <c r="DU154" s="151"/>
      <c r="DV154" s="151"/>
      <c r="DW154" s="151"/>
      <c r="DX154" s="151"/>
      <c r="DY154" s="151"/>
      <c r="DZ154" s="151"/>
      <c r="EA154" s="151"/>
      <c r="EB154" s="151"/>
      <c r="EC154" s="151"/>
      <c r="ED154" s="151"/>
      <c r="EE154" s="151"/>
      <c r="EF154" s="151"/>
      <c r="EG154" s="151"/>
      <c r="EH154" s="151"/>
      <c r="EI154" s="151"/>
      <c r="EJ154" s="151"/>
      <c r="EK154" s="151"/>
      <c r="EL154" s="151"/>
      <c r="EM154" s="151"/>
      <c r="EN154" s="151"/>
      <c r="EO154" s="151"/>
      <c r="EP154" s="151"/>
      <c r="EQ154" s="151"/>
      <c r="ER154" s="151"/>
      <c r="ES154" s="151"/>
      <c r="ET154" s="151"/>
      <c r="EU154" s="151"/>
      <c r="EV154" s="151"/>
      <c r="EW154" s="151"/>
      <c r="EX154" s="151"/>
      <c r="EY154" s="151"/>
      <c r="EZ154" s="151"/>
      <c r="FA154" s="151"/>
      <c r="FB154" s="151"/>
      <c r="FC154" s="151"/>
      <c r="FD154" s="151"/>
      <c r="FE154" s="151"/>
      <c r="FF154" s="151"/>
      <c r="FG154" s="151"/>
      <c r="FH154" s="151"/>
      <c r="FI154" s="151"/>
      <c r="FJ154" s="151"/>
      <c r="FK154" s="151"/>
      <c r="FL154" s="151"/>
      <c r="FM154" s="151"/>
      <c r="FN154" s="151"/>
      <c r="FO154" s="151"/>
      <c r="FP154" s="151"/>
      <c r="FQ154" s="151"/>
      <c r="FR154" s="151"/>
      <c r="FS154" s="151"/>
      <c r="FT154" s="151"/>
      <c r="FU154" s="151"/>
      <c r="FV154" s="151"/>
      <c r="FW154" s="151"/>
      <c r="FX154" s="151"/>
      <c r="FY154" s="151"/>
      <c r="FZ154" s="151"/>
      <c r="GA154" s="151"/>
      <c r="GB154" s="151"/>
      <c r="GC154" s="151"/>
      <c r="GD154" s="151"/>
      <c r="GE154" s="151"/>
      <c r="GF154" s="151"/>
      <c r="GG154" s="152"/>
    </row>
    <row r="155" spans="1:189" ht="34.5" customHeight="1" x14ac:dyDescent="0.35">
      <c r="A155" s="267" t="s">
        <v>505</v>
      </c>
      <c r="B155" s="221" t="s">
        <v>1071</v>
      </c>
      <c r="C155" s="221"/>
      <c r="D155" s="222"/>
      <c r="E155" s="221" t="s">
        <v>406</v>
      </c>
      <c r="F155" s="221" t="s">
        <v>316</v>
      </c>
      <c r="G155" s="223">
        <v>2</v>
      </c>
      <c r="H155" s="224"/>
      <c r="I155" s="225"/>
      <c r="J155" s="225"/>
      <c r="K155" s="225"/>
      <c r="L155" s="226">
        <v>46173</v>
      </c>
      <c r="M155" s="226">
        <v>46284</v>
      </c>
      <c r="N155" s="226"/>
      <c r="O155" s="226">
        <v>46569</v>
      </c>
      <c r="P155" s="226">
        <v>46721</v>
      </c>
      <c r="Q155" s="227" t="s">
        <v>11</v>
      </c>
      <c r="R155" s="228">
        <v>2211870</v>
      </c>
      <c r="S155" s="228">
        <v>2211870</v>
      </c>
      <c r="T155" s="228"/>
      <c r="U155" s="191">
        <f t="shared" si="181"/>
        <v>0</v>
      </c>
      <c r="V155" s="230"/>
      <c r="W155" s="232"/>
      <c r="X155" s="46"/>
      <c r="Y155" s="167">
        <f t="shared" si="174"/>
        <v>2211870</v>
      </c>
      <c r="Z155" s="167">
        <f t="shared" si="175"/>
        <v>0</v>
      </c>
      <c r="AA155" s="167">
        <f t="shared" si="176"/>
        <v>2211870</v>
      </c>
      <c r="AB155" s="167">
        <f t="shared" si="177"/>
        <v>0</v>
      </c>
      <c r="AC155" s="167">
        <f t="shared" si="178"/>
        <v>0</v>
      </c>
      <c r="AD155" s="167">
        <f t="shared" si="179"/>
        <v>0</v>
      </c>
      <c r="AF155" s="47">
        <f t="shared" si="180"/>
        <v>1</v>
      </c>
      <c r="AG155" s="202" t="str">
        <f t="shared" si="173"/>
        <v>Magdalena Białorucka Fire detection and alarm system</v>
      </c>
      <c r="AH155" s="172"/>
      <c r="AI155" s="173"/>
      <c r="AJ155" s="173"/>
      <c r="AK155" s="173"/>
      <c r="AL155" s="173"/>
      <c r="AM155" s="173"/>
      <c r="AN155" s="173"/>
      <c r="AO155" s="173"/>
      <c r="AP155" s="173"/>
      <c r="AQ155" s="173"/>
      <c r="AR155" s="173"/>
      <c r="AS155" s="173"/>
      <c r="AT155" s="173"/>
      <c r="AU155" s="173"/>
      <c r="AV155" s="173"/>
      <c r="AW155" s="173"/>
      <c r="AX155" s="173"/>
      <c r="AY155" s="173"/>
      <c r="AZ155" s="173"/>
      <c r="BA155" s="173"/>
      <c r="BB155" s="173"/>
      <c r="BC155" s="173"/>
      <c r="BD155" s="173"/>
      <c r="BE155" s="173"/>
      <c r="BF155" s="173"/>
      <c r="BG155" s="173"/>
      <c r="BH155" s="173"/>
      <c r="BI155" s="173"/>
      <c r="BJ155" s="173"/>
      <c r="BK155" s="173"/>
      <c r="BL155" s="173"/>
      <c r="BM155" s="173"/>
      <c r="BN155" s="173"/>
      <c r="BO155" s="173"/>
      <c r="BP155" s="173"/>
      <c r="BQ155" s="173"/>
      <c r="BR155" s="173"/>
      <c r="BS155" s="173"/>
      <c r="BT155" s="173"/>
      <c r="BU155" s="173"/>
      <c r="BV155" s="173"/>
      <c r="BW155" s="173"/>
      <c r="BX155" s="173"/>
      <c r="BY155" s="173"/>
      <c r="BZ155" s="173"/>
      <c r="CA155" s="173"/>
      <c r="CB155" s="173"/>
      <c r="CC155" s="173"/>
      <c r="CD155" s="173"/>
      <c r="CE155" s="173"/>
      <c r="CF155" s="173"/>
      <c r="CG155" s="173"/>
      <c r="CH155" s="173"/>
      <c r="CI155" s="173"/>
      <c r="CJ155" s="173"/>
      <c r="CK155" s="173"/>
      <c r="CL155" s="173"/>
      <c r="CM155" s="173"/>
      <c r="CN155" s="173"/>
      <c r="CO155" s="173"/>
      <c r="CP155" s="173"/>
      <c r="CQ155" s="173"/>
      <c r="CR155" s="173"/>
      <c r="CS155" s="173"/>
      <c r="CT155" s="173"/>
      <c r="CU155" s="173"/>
      <c r="CV155" s="173"/>
      <c r="CW155" s="173"/>
      <c r="CX155" s="173"/>
      <c r="CY155" s="151"/>
      <c r="CZ155" s="151"/>
      <c r="DA155" s="151"/>
      <c r="DB155" s="151"/>
      <c r="DC155" s="151"/>
      <c r="DD155" s="151"/>
      <c r="DE155" s="151"/>
      <c r="DF155" s="151"/>
      <c r="DG155" s="151"/>
      <c r="DH155" s="151"/>
      <c r="DI155" s="151"/>
      <c r="DJ155" s="151"/>
      <c r="DK155" s="151"/>
      <c r="DL155" s="151"/>
      <c r="DM155" s="151"/>
      <c r="DN155" s="151"/>
      <c r="DO155" s="151"/>
      <c r="DP155" s="151"/>
      <c r="DQ155" s="151"/>
      <c r="DR155" s="151"/>
      <c r="DS155" s="151"/>
      <c r="DT155" s="151"/>
      <c r="DU155" s="151"/>
      <c r="DV155" s="151"/>
      <c r="DW155" s="151"/>
      <c r="DX155" s="151"/>
      <c r="DY155" s="151"/>
      <c r="DZ155" s="151"/>
      <c r="EA155" s="151"/>
      <c r="EB155" s="151"/>
      <c r="EC155" s="151"/>
      <c r="ED155" s="151"/>
      <c r="EE155" s="151"/>
      <c r="EF155" s="151"/>
      <c r="EG155" s="151"/>
      <c r="EH155" s="151"/>
      <c r="EI155" s="151"/>
      <c r="EJ155" s="151"/>
      <c r="EK155" s="151"/>
      <c r="EL155" s="151"/>
      <c r="EM155" s="151"/>
      <c r="EN155" s="151"/>
      <c r="EO155" s="151"/>
      <c r="EP155" s="151"/>
      <c r="EQ155" s="151"/>
      <c r="ER155" s="151"/>
      <c r="ES155" s="151"/>
      <c r="ET155" s="151"/>
      <c r="EU155" s="151"/>
      <c r="EV155" s="151"/>
      <c r="EW155" s="151"/>
      <c r="EX155" s="151"/>
      <c r="EY155" s="151"/>
      <c r="EZ155" s="151"/>
      <c r="FA155" s="151"/>
      <c r="FB155" s="151"/>
      <c r="FC155" s="151"/>
      <c r="FD155" s="151"/>
      <c r="FE155" s="151"/>
      <c r="FF155" s="151"/>
      <c r="FG155" s="151"/>
      <c r="FH155" s="151"/>
      <c r="FI155" s="151"/>
      <c r="FJ155" s="151"/>
      <c r="FK155" s="151"/>
      <c r="FL155" s="151"/>
      <c r="FM155" s="151"/>
      <c r="FN155" s="151"/>
      <c r="FO155" s="151"/>
      <c r="FP155" s="151"/>
      <c r="FQ155" s="151"/>
      <c r="FR155" s="151"/>
      <c r="FS155" s="151"/>
      <c r="FT155" s="151"/>
      <c r="FU155" s="151"/>
      <c r="FV155" s="151"/>
      <c r="FW155" s="151"/>
      <c r="FX155" s="151"/>
      <c r="FY155" s="151"/>
      <c r="FZ155" s="151"/>
      <c r="GA155" s="151"/>
      <c r="GB155" s="151"/>
      <c r="GC155" s="151"/>
      <c r="GD155" s="151"/>
      <c r="GE155" s="151"/>
      <c r="GF155" s="151"/>
      <c r="GG155" s="152"/>
    </row>
    <row r="156" spans="1:189" x14ac:dyDescent="0.35">
      <c r="A156" s="267" t="s">
        <v>506</v>
      </c>
      <c r="B156" s="221" t="s">
        <v>1071</v>
      </c>
      <c r="C156" s="221"/>
      <c r="D156" s="222"/>
      <c r="E156" s="221" t="s">
        <v>407</v>
      </c>
      <c r="F156" s="221" t="s">
        <v>317</v>
      </c>
      <c r="G156" s="223">
        <v>2</v>
      </c>
      <c r="H156" s="224"/>
      <c r="I156" s="225"/>
      <c r="J156" s="225"/>
      <c r="K156" s="225"/>
      <c r="L156" s="226">
        <v>46124</v>
      </c>
      <c r="M156" s="226">
        <v>46235</v>
      </c>
      <c r="N156" s="226"/>
      <c r="O156" s="226">
        <v>46569</v>
      </c>
      <c r="P156" s="226">
        <v>46721</v>
      </c>
      <c r="Q156" s="227" t="s">
        <v>11</v>
      </c>
      <c r="R156" s="228">
        <v>275700</v>
      </c>
      <c r="S156" s="228">
        <v>275700</v>
      </c>
      <c r="T156" s="228"/>
      <c r="U156" s="191">
        <f t="shared" si="181"/>
        <v>0</v>
      </c>
      <c r="V156" s="230"/>
      <c r="W156" s="232"/>
      <c r="X156" s="46"/>
      <c r="Y156" s="167">
        <f t="shared" si="174"/>
        <v>275700</v>
      </c>
      <c r="Z156" s="167">
        <f t="shared" si="175"/>
        <v>0</v>
      </c>
      <c r="AA156" s="167">
        <f t="shared" si="176"/>
        <v>275700</v>
      </c>
      <c r="AB156" s="167">
        <f t="shared" si="177"/>
        <v>0</v>
      </c>
      <c r="AC156" s="167">
        <f t="shared" si="178"/>
        <v>0</v>
      </c>
      <c r="AD156" s="167">
        <f t="shared" si="179"/>
        <v>0</v>
      </c>
      <c r="AF156" s="180">
        <f t="shared" si="180"/>
        <v>1</v>
      </c>
      <c r="AG156" s="202" t="str">
        <f t="shared" si="173"/>
        <v>Magdalena Białorucka Firefighting water tank</v>
      </c>
      <c r="AH156" s="172"/>
      <c r="AI156" s="173"/>
      <c r="AJ156" s="173"/>
      <c r="AK156" s="173"/>
      <c r="AL156" s="173"/>
      <c r="AM156" s="173"/>
      <c r="AN156" s="173"/>
      <c r="AO156" s="173"/>
      <c r="AP156" s="173"/>
      <c r="AQ156" s="173"/>
      <c r="AR156" s="173"/>
      <c r="AS156" s="173"/>
      <c r="AT156" s="173"/>
      <c r="AU156" s="173"/>
      <c r="AV156" s="173"/>
      <c r="AW156" s="173"/>
      <c r="AX156" s="173"/>
      <c r="AY156" s="173"/>
      <c r="AZ156" s="173"/>
      <c r="BA156" s="173"/>
      <c r="BB156" s="173"/>
      <c r="BC156" s="173"/>
      <c r="BD156" s="173"/>
      <c r="BE156" s="173"/>
      <c r="BF156" s="173"/>
      <c r="BG156" s="173"/>
      <c r="BH156" s="173"/>
      <c r="BI156" s="173"/>
      <c r="BJ156" s="173"/>
      <c r="BK156" s="173"/>
      <c r="BL156" s="173"/>
      <c r="BM156" s="173"/>
      <c r="BN156" s="173"/>
      <c r="BO156" s="173"/>
      <c r="BP156" s="173"/>
      <c r="BQ156" s="173"/>
      <c r="BR156" s="173"/>
      <c r="BS156" s="173"/>
      <c r="BT156" s="173"/>
      <c r="BU156" s="173"/>
      <c r="BV156" s="173"/>
      <c r="BW156" s="173"/>
      <c r="BX156" s="173"/>
      <c r="BY156" s="173"/>
      <c r="BZ156" s="173"/>
      <c r="CA156" s="173"/>
      <c r="CB156" s="173"/>
      <c r="CC156" s="173"/>
      <c r="CD156" s="173"/>
      <c r="CE156" s="173"/>
      <c r="CF156" s="173"/>
      <c r="CG156" s="173"/>
      <c r="CH156" s="173"/>
      <c r="CI156" s="173"/>
      <c r="CJ156" s="173"/>
      <c r="CK156" s="173"/>
      <c r="CL156" s="173"/>
      <c r="CM156" s="173"/>
      <c r="CN156" s="173"/>
      <c r="CO156" s="173"/>
      <c r="CP156" s="173"/>
      <c r="CQ156" s="173"/>
      <c r="CR156" s="173"/>
      <c r="CS156" s="173"/>
      <c r="CT156" s="173"/>
      <c r="CU156" s="173"/>
      <c r="CV156" s="173"/>
      <c r="CW156" s="173"/>
      <c r="CX156" s="173"/>
      <c r="CY156" s="148"/>
      <c r="CZ156" s="148"/>
      <c r="DA156" s="148"/>
      <c r="DB156" s="148"/>
      <c r="DC156" s="148"/>
      <c r="DD156" s="148"/>
      <c r="DE156" s="148"/>
      <c r="DF156" s="148"/>
      <c r="DG156" s="148"/>
      <c r="DH156" s="148"/>
      <c r="DI156" s="148"/>
      <c r="DJ156" s="148"/>
      <c r="DK156" s="148"/>
      <c r="DL156" s="148"/>
      <c r="DM156" s="148"/>
      <c r="DN156" s="148"/>
      <c r="DO156" s="148"/>
      <c r="DP156" s="148"/>
      <c r="DQ156" s="148"/>
      <c r="DR156" s="148"/>
      <c r="DS156" s="148"/>
      <c r="DT156" s="148"/>
      <c r="DU156" s="148"/>
      <c r="DV156" s="148"/>
      <c r="DW156" s="148"/>
      <c r="DX156" s="148"/>
      <c r="DY156" s="148"/>
      <c r="DZ156" s="148"/>
      <c r="EA156" s="148"/>
      <c r="EB156" s="148"/>
      <c r="EC156" s="148"/>
      <c r="ED156" s="148"/>
      <c r="EE156" s="148"/>
      <c r="EF156" s="148"/>
      <c r="EG156" s="148"/>
      <c r="EH156" s="148"/>
      <c r="EI156" s="148"/>
      <c r="EJ156" s="148"/>
      <c r="EK156" s="148"/>
      <c r="EL156" s="148"/>
      <c r="EM156" s="148"/>
      <c r="EN156" s="148"/>
      <c r="EO156" s="148"/>
      <c r="EP156" s="148"/>
      <c r="EQ156" s="148"/>
      <c r="ER156" s="148"/>
      <c r="ES156" s="148"/>
      <c r="ET156" s="148"/>
      <c r="EU156" s="148"/>
      <c r="EV156" s="148"/>
      <c r="EW156" s="148"/>
      <c r="EX156" s="148"/>
      <c r="EY156" s="148"/>
      <c r="EZ156" s="148"/>
      <c r="FA156" s="148"/>
      <c r="FB156" s="148"/>
      <c r="FC156" s="148"/>
      <c r="FD156" s="148"/>
      <c r="FE156" s="148"/>
      <c r="FF156" s="148"/>
      <c r="FG156" s="148"/>
      <c r="FH156" s="148"/>
      <c r="FI156" s="148"/>
      <c r="FJ156" s="148"/>
      <c r="FK156" s="148"/>
      <c r="FL156" s="148"/>
      <c r="FM156" s="148"/>
      <c r="FN156" s="148"/>
      <c r="FO156" s="148"/>
      <c r="FP156" s="148"/>
      <c r="FQ156" s="148"/>
      <c r="FR156" s="148"/>
      <c r="FS156" s="148"/>
      <c r="FT156" s="148"/>
      <c r="FU156" s="148"/>
      <c r="FV156" s="148"/>
      <c r="FW156" s="148"/>
      <c r="FX156" s="148"/>
      <c r="FY156" s="148"/>
      <c r="FZ156" s="148"/>
      <c r="GA156" s="148"/>
      <c r="GB156" s="148"/>
      <c r="GC156" s="148"/>
      <c r="GD156" s="148"/>
      <c r="GE156" s="148"/>
      <c r="GF156" s="148"/>
      <c r="GG156" s="149"/>
    </row>
    <row r="157" spans="1:189" x14ac:dyDescent="0.35">
      <c r="A157" s="267" t="s">
        <v>507</v>
      </c>
      <c r="B157" s="221" t="s">
        <v>1071</v>
      </c>
      <c r="C157" s="221"/>
      <c r="D157" s="222"/>
      <c r="E157" s="221" t="s">
        <v>408</v>
      </c>
      <c r="F157" s="221" t="s">
        <v>318</v>
      </c>
      <c r="G157" s="223">
        <v>2</v>
      </c>
      <c r="H157" s="224"/>
      <c r="I157" s="225"/>
      <c r="J157" s="225"/>
      <c r="K157" s="225"/>
      <c r="L157" s="226">
        <v>46176</v>
      </c>
      <c r="M157" s="226">
        <v>46287</v>
      </c>
      <c r="N157" s="226"/>
      <c r="O157" s="226">
        <v>46569</v>
      </c>
      <c r="P157" s="226">
        <v>46721</v>
      </c>
      <c r="Q157" s="227" t="s">
        <v>11</v>
      </c>
      <c r="R157" s="228">
        <v>715920</v>
      </c>
      <c r="S157" s="228">
        <v>715920</v>
      </c>
      <c r="T157" s="228"/>
      <c r="U157" s="191">
        <f t="shared" si="181"/>
        <v>0</v>
      </c>
      <c r="V157" s="230"/>
      <c r="W157" s="231"/>
      <c r="X157" s="46"/>
      <c r="Y157" s="167">
        <f t="shared" si="174"/>
        <v>715920</v>
      </c>
      <c r="Z157" s="167">
        <f t="shared" si="175"/>
        <v>0</v>
      </c>
      <c r="AA157" s="167">
        <f t="shared" si="176"/>
        <v>715920</v>
      </c>
      <c r="AB157" s="167">
        <f t="shared" si="177"/>
        <v>0</v>
      </c>
      <c r="AC157" s="167">
        <f t="shared" si="178"/>
        <v>0</v>
      </c>
      <c r="AD157" s="167">
        <f t="shared" si="179"/>
        <v>0</v>
      </c>
      <c r="AF157" s="47">
        <f t="shared" si="180"/>
        <v>1</v>
      </c>
      <c r="AG157" s="202" t="str">
        <f t="shared" si="173"/>
        <v>Magdalena Białorucka Firefighting water pumping</v>
      </c>
      <c r="AH157" s="172"/>
      <c r="AI157" s="173"/>
      <c r="AJ157" s="173"/>
      <c r="AK157" s="173"/>
      <c r="AL157" s="173"/>
      <c r="AM157" s="173"/>
      <c r="AN157" s="173"/>
      <c r="AO157" s="173"/>
      <c r="AP157" s="173"/>
      <c r="AQ157" s="173"/>
      <c r="AR157" s="173"/>
      <c r="AS157" s="173"/>
      <c r="AT157" s="173"/>
      <c r="AU157" s="173"/>
      <c r="AV157" s="173"/>
      <c r="AW157" s="173"/>
      <c r="AX157" s="173"/>
      <c r="AY157" s="173"/>
      <c r="AZ157" s="173"/>
      <c r="BA157" s="173"/>
      <c r="BB157" s="173"/>
      <c r="BC157" s="173"/>
      <c r="BD157" s="173"/>
      <c r="BE157" s="173"/>
      <c r="BF157" s="173"/>
      <c r="BG157" s="173"/>
      <c r="BH157" s="173"/>
      <c r="BI157" s="173"/>
      <c r="BJ157" s="173"/>
      <c r="BK157" s="173"/>
      <c r="BL157" s="173"/>
      <c r="BM157" s="173"/>
      <c r="BN157" s="173"/>
      <c r="BO157" s="173"/>
      <c r="BP157" s="173"/>
      <c r="BQ157" s="173"/>
      <c r="BR157" s="173"/>
      <c r="BS157" s="173"/>
      <c r="BT157" s="173"/>
      <c r="BU157" s="173"/>
      <c r="BV157" s="173"/>
      <c r="BW157" s="173"/>
      <c r="BX157" s="173"/>
      <c r="BY157" s="173"/>
      <c r="BZ157" s="173"/>
      <c r="CA157" s="173"/>
      <c r="CB157" s="173"/>
      <c r="CC157" s="173"/>
      <c r="CD157" s="173"/>
      <c r="CE157" s="173"/>
      <c r="CF157" s="173"/>
      <c r="CG157" s="173"/>
      <c r="CH157" s="173"/>
      <c r="CI157" s="173"/>
      <c r="CJ157" s="173"/>
      <c r="CK157" s="173"/>
      <c r="CL157" s="173"/>
      <c r="CM157" s="173"/>
      <c r="CN157" s="173"/>
      <c r="CO157" s="173"/>
      <c r="CP157" s="173"/>
      <c r="CQ157" s="173"/>
      <c r="CR157" s="173"/>
      <c r="CS157" s="173"/>
      <c r="CT157" s="173"/>
      <c r="CU157" s="173"/>
      <c r="CV157" s="173"/>
      <c r="CW157" s="173"/>
      <c r="CX157" s="173"/>
      <c r="CY157" s="151"/>
      <c r="CZ157" s="151"/>
      <c r="DA157" s="151"/>
      <c r="DB157" s="151"/>
      <c r="DC157" s="151"/>
      <c r="DD157" s="151"/>
      <c r="DE157" s="151"/>
      <c r="DF157" s="151"/>
      <c r="DG157" s="151"/>
      <c r="DH157" s="151"/>
      <c r="DI157" s="151"/>
      <c r="DJ157" s="151"/>
      <c r="DK157" s="151"/>
      <c r="DL157" s="151"/>
      <c r="DM157" s="151"/>
      <c r="DN157" s="151"/>
      <c r="DO157" s="151"/>
      <c r="DP157" s="151"/>
      <c r="DQ157" s="151"/>
      <c r="DR157" s="151"/>
      <c r="DS157" s="151"/>
      <c r="DT157" s="151"/>
      <c r="DU157" s="151"/>
      <c r="DV157" s="151"/>
      <c r="DW157" s="151"/>
      <c r="DX157" s="151"/>
      <c r="DY157" s="151"/>
      <c r="DZ157" s="151"/>
      <c r="EA157" s="151"/>
      <c r="EB157" s="151"/>
      <c r="EC157" s="151"/>
      <c r="ED157" s="151"/>
      <c r="EE157" s="151"/>
      <c r="EF157" s="151"/>
      <c r="EG157" s="151"/>
      <c r="EH157" s="151"/>
      <c r="EI157" s="151"/>
      <c r="EJ157" s="151"/>
      <c r="EK157" s="151"/>
      <c r="EL157" s="151"/>
      <c r="EM157" s="151"/>
      <c r="EN157" s="151"/>
      <c r="EO157" s="151"/>
      <c r="EP157" s="151"/>
      <c r="EQ157" s="151"/>
      <c r="ER157" s="151"/>
      <c r="ES157" s="151"/>
      <c r="ET157" s="151"/>
      <c r="EU157" s="151"/>
      <c r="EV157" s="151"/>
      <c r="EW157" s="151"/>
      <c r="EX157" s="151"/>
      <c r="EY157" s="151"/>
      <c r="EZ157" s="151"/>
      <c r="FA157" s="151"/>
      <c r="FB157" s="151"/>
      <c r="FC157" s="151"/>
      <c r="FD157" s="151"/>
      <c r="FE157" s="151"/>
      <c r="FF157" s="151"/>
      <c r="FG157" s="151"/>
      <c r="FH157" s="151"/>
      <c r="FI157" s="151"/>
      <c r="FJ157" s="151"/>
      <c r="FK157" s="151"/>
      <c r="FL157" s="151"/>
      <c r="FM157" s="151"/>
      <c r="FN157" s="151"/>
      <c r="FO157" s="151"/>
      <c r="FP157" s="151"/>
      <c r="FQ157" s="151"/>
      <c r="FR157" s="151"/>
      <c r="FS157" s="151"/>
      <c r="FT157" s="151"/>
      <c r="FU157" s="151"/>
      <c r="FV157" s="151"/>
      <c r="FW157" s="151"/>
      <c r="FX157" s="151"/>
      <c r="FY157" s="151"/>
      <c r="FZ157" s="151"/>
      <c r="GA157" s="151"/>
      <c r="GB157" s="151"/>
      <c r="GC157" s="151"/>
      <c r="GD157" s="151"/>
      <c r="GE157" s="151"/>
      <c r="GF157" s="151"/>
      <c r="GG157" s="152"/>
    </row>
    <row r="158" spans="1:189" ht="27.75" x14ac:dyDescent="0.35">
      <c r="A158" s="267" t="s">
        <v>508</v>
      </c>
      <c r="B158" s="221" t="s">
        <v>1071</v>
      </c>
      <c r="C158" s="221"/>
      <c r="D158" s="222"/>
      <c r="E158" s="221" t="s">
        <v>409</v>
      </c>
      <c r="F158" s="221" t="s">
        <v>319</v>
      </c>
      <c r="G158" s="223">
        <v>2</v>
      </c>
      <c r="H158" s="224"/>
      <c r="I158" s="225"/>
      <c r="J158" s="225"/>
      <c r="K158" s="225"/>
      <c r="L158" s="226">
        <v>46176</v>
      </c>
      <c r="M158" s="226">
        <v>46287</v>
      </c>
      <c r="N158" s="226"/>
      <c r="O158" s="226">
        <v>46569</v>
      </c>
      <c r="P158" s="226">
        <v>46721</v>
      </c>
      <c r="Q158" s="227" t="s">
        <v>11</v>
      </c>
      <c r="R158" s="228">
        <v>821016</v>
      </c>
      <c r="S158" s="228">
        <v>821016</v>
      </c>
      <c r="T158" s="228"/>
      <c r="U158" s="191">
        <f t="shared" si="181"/>
        <v>0</v>
      </c>
      <c r="V158" s="230"/>
      <c r="W158" s="231"/>
      <c r="X158" s="46"/>
      <c r="Y158" s="167">
        <f t="shared" si="174"/>
        <v>821016</v>
      </c>
      <c r="Z158" s="167">
        <f t="shared" si="175"/>
        <v>0</v>
      </c>
      <c r="AA158" s="167">
        <f t="shared" si="176"/>
        <v>821016</v>
      </c>
      <c r="AB158" s="167">
        <f t="shared" si="177"/>
        <v>0</v>
      </c>
      <c r="AC158" s="167">
        <f t="shared" si="178"/>
        <v>0</v>
      </c>
      <c r="AD158" s="167">
        <f t="shared" si="179"/>
        <v>0</v>
      </c>
      <c r="AF158" s="180">
        <f t="shared" si="180"/>
        <v>1</v>
      </c>
      <c r="AG158" s="202" t="str">
        <f t="shared" si="173"/>
        <v>Magdalena Białorucka Firefighting water external distribution, hoses, sprinklers</v>
      </c>
      <c r="AH158" s="172"/>
      <c r="AI158" s="173"/>
      <c r="AJ158" s="173"/>
      <c r="AK158" s="173"/>
      <c r="AL158" s="173"/>
      <c r="AM158" s="173"/>
      <c r="AN158" s="173"/>
      <c r="AO158" s="173"/>
      <c r="AP158" s="173"/>
      <c r="AQ158" s="173"/>
      <c r="AR158" s="173"/>
      <c r="AS158" s="173"/>
      <c r="AT158" s="173"/>
      <c r="AU158" s="173"/>
      <c r="AV158" s="173"/>
      <c r="AW158" s="173"/>
      <c r="AX158" s="173"/>
      <c r="AY158" s="173"/>
      <c r="AZ158" s="173"/>
      <c r="BA158" s="173"/>
      <c r="BB158" s="173"/>
      <c r="BC158" s="173"/>
      <c r="BD158" s="173"/>
      <c r="BE158" s="173"/>
      <c r="BF158" s="173"/>
      <c r="BG158" s="173"/>
      <c r="BH158" s="173"/>
      <c r="BI158" s="173"/>
      <c r="BJ158" s="173"/>
      <c r="BK158" s="173"/>
      <c r="BL158" s="173"/>
      <c r="BM158" s="173"/>
      <c r="BN158" s="173"/>
      <c r="BO158" s="173"/>
      <c r="BP158" s="173"/>
      <c r="BQ158" s="173"/>
      <c r="BR158" s="173"/>
      <c r="BS158" s="173"/>
      <c r="BT158" s="173"/>
      <c r="BU158" s="173"/>
      <c r="BV158" s="173"/>
      <c r="BW158" s="173"/>
      <c r="BX158" s="173"/>
      <c r="BY158" s="173"/>
      <c r="BZ158" s="173"/>
      <c r="CA158" s="173"/>
      <c r="CB158" s="173"/>
      <c r="CC158" s="173"/>
      <c r="CD158" s="173"/>
      <c r="CE158" s="173"/>
      <c r="CF158" s="173"/>
      <c r="CG158" s="173"/>
      <c r="CH158" s="173"/>
      <c r="CI158" s="173"/>
      <c r="CJ158" s="173"/>
      <c r="CK158" s="173"/>
      <c r="CL158" s="173"/>
      <c r="CM158" s="173"/>
      <c r="CN158" s="173"/>
      <c r="CO158" s="173"/>
      <c r="CP158" s="173"/>
      <c r="CQ158" s="173"/>
      <c r="CR158" s="173"/>
      <c r="CS158" s="173"/>
      <c r="CT158" s="173"/>
      <c r="CU158" s="173"/>
      <c r="CV158" s="173"/>
      <c r="CW158" s="173"/>
      <c r="CX158" s="173"/>
      <c r="CY158" s="148"/>
      <c r="CZ158" s="148"/>
      <c r="DA158" s="148"/>
      <c r="DB158" s="148"/>
      <c r="DC158" s="148"/>
      <c r="DD158" s="148"/>
      <c r="DE158" s="148"/>
      <c r="DF158" s="148"/>
      <c r="DG158" s="148"/>
      <c r="DH158" s="148"/>
      <c r="DI158" s="148"/>
      <c r="DJ158" s="148"/>
      <c r="DK158" s="148"/>
      <c r="DL158" s="148"/>
      <c r="DM158" s="148"/>
      <c r="DN158" s="148"/>
      <c r="DO158" s="148"/>
      <c r="DP158" s="148"/>
      <c r="DQ158" s="148"/>
      <c r="DR158" s="148"/>
      <c r="DS158" s="148"/>
      <c r="DT158" s="148"/>
      <c r="DU158" s="148"/>
      <c r="DV158" s="148"/>
      <c r="DW158" s="148"/>
      <c r="DX158" s="148"/>
      <c r="DY158" s="148"/>
      <c r="DZ158" s="148"/>
      <c r="EA158" s="148"/>
      <c r="EB158" s="148"/>
      <c r="EC158" s="148"/>
      <c r="ED158" s="148"/>
      <c r="EE158" s="148"/>
      <c r="EF158" s="148"/>
      <c r="EG158" s="148"/>
      <c r="EH158" s="148"/>
      <c r="EI158" s="148"/>
      <c r="EJ158" s="148"/>
      <c r="EK158" s="148"/>
      <c r="EL158" s="148"/>
      <c r="EM158" s="148"/>
      <c r="EN158" s="148"/>
      <c r="EO158" s="148"/>
      <c r="EP158" s="148"/>
      <c r="EQ158" s="148"/>
      <c r="ER158" s="148"/>
      <c r="ES158" s="151"/>
      <c r="ET158" s="151"/>
      <c r="EU158" s="151"/>
      <c r="EV158" s="151"/>
      <c r="EW158" s="151"/>
      <c r="EX158" s="151"/>
      <c r="EY158" s="151"/>
      <c r="EZ158" s="151"/>
      <c r="FA158" s="151"/>
      <c r="FB158" s="151"/>
      <c r="FC158" s="151"/>
      <c r="FD158" s="151"/>
      <c r="FE158" s="151"/>
      <c r="FF158" s="151"/>
      <c r="FG158" s="151"/>
      <c r="FH158" s="151"/>
      <c r="FI158" s="151"/>
      <c r="FJ158" s="151"/>
      <c r="FK158" s="151"/>
      <c r="FL158" s="151"/>
      <c r="FM158" s="151"/>
      <c r="FN158" s="151"/>
      <c r="FO158" s="151"/>
      <c r="FP158" s="151"/>
      <c r="FQ158" s="151"/>
      <c r="FR158" s="151"/>
      <c r="FS158" s="151"/>
      <c r="FT158" s="151"/>
      <c r="FU158" s="151"/>
      <c r="FV158" s="151"/>
      <c r="FW158" s="151"/>
      <c r="FX158" s="151"/>
      <c r="FY158" s="151"/>
      <c r="FZ158" s="151"/>
      <c r="GA158" s="151"/>
      <c r="GB158" s="151"/>
      <c r="GC158" s="151"/>
      <c r="GD158" s="151"/>
      <c r="GE158" s="151"/>
      <c r="GF158" s="151"/>
      <c r="GG158" s="152"/>
    </row>
    <row r="159" spans="1:189" ht="27.75" x14ac:dyDescent="0.35">
      <c r="A159" s="267" t="s">
        <v>509</v>
      </c>
      <c r="B159" s="221" t="s">
        <v>1071</v>
      </c>
      <c r="C159" s="221"/>
      <c r="D159" s="222"/>
      <c r="E159" s="221" t="s">
        <v>410</v>
      </c>
      <c r="F159" s="221" t="s">
        <v>320</v>
      </c>
      <c r="G159" s="223">
        <v>2</v>
      </c>
      <c r="H159" s="224"/>
      <c r="I159" s="225"/>
      <c r="J159" s="225"/>
      <c r="K159" s="225"/>
      <c r="L159" s="226">
        <v>46205</v>
      </c>
      <c r="M159" s="226">
        <v>46316</v>
      </c>
      <c r="N159" s="226"/>
      <c r="O159" s="226">
        <v>46569</v>
      </c>
      <c r="P159" s="226">
        <v>46721</v>
      </c>
      <c r="Q159" s="227" t="s">
        <v>11</v>
      </c>
      <c r="R159" s="228">
        <v>240990</v>
      </c>
      <c r="S159" s="228">
        <v>240990</v>
      </c>
      <c r="T159" s="228"/>
      <c r="U159" s="191">
        <f t="shared" si="181"/>
        <v>0</v>
      </c>
      <c r="V159" s="230"/>
      <c r="W159" s="231"/>
      <c r="X159" s="46"/>
      <c r="Y159" s="167">
        <f t="shared" si="174"/>
        <v>240990</v>
      </c>
      <c r="Z159" s="167">
        <f t="shared" si="175"/>
        <v>0</v>
      </c>
      <c r="AA159" s="167">
        <f t="shared" si="176"/>
        <v>240990</v>
      </c>
      <c r="AB159" s="167">
        <f t="shared" si="177"/>
        <v>0</v>
      </c>
      <c r="AC159" s="167">
        <f t="shared" si="178"/>
        <v>0</v>
      </c>
      <c r="AD159" s="167">
        <f t="shared" si="179"/>
        <v>0</v>
      </c>
      <c r="AF159" s="47">
        <f t="shared" si="180"/>
        <v>1</v>
      </c>
      <c r="AG159" s="202" t="str">
        <f t="shared" si="173"/>
        <v>Magdalena Białorucka Installation of internal hydrants in buildings B1 and B2</v>
      </c>
      <c r="AH159" s="172"/>
      <c r="AI159" s="173"/>
      <c r="AJ159" s="173"/>
      <c r="AK159" s="173"/>
      <c r="AL159" s="173"/>
      <c r="AM159" s="173"/>
      <c r="AN159" s="173"/>
      <c r="AO159" s="173"/>
      <c r="AP159" s="173"/>
      <c r="AQ159" s="173"/>
      <c r="AR159" s="173"/>
      <c r="AS159" s="173"/>
      <c r="AT159" s="173"/>
      <c r="AU159" s="173"/>
      <c r="AV159" s="173"/>
      <c r="AW159" s="173"/>
      <c r="AX159" s="173"/>
      <c r="AY159" s="173"/>
      <c r="AZ159" s="173"/>
      <c r="BA159" s="173"/>
      <c r="BB159" s="173"/>
      <c r="BC159" s="173"/>
      <c r="BD159" s="173"/>
      <c r="BE159" s="173"/>
      <c r="BF159" s="173"/>
      <c r="BG159" s="173"/>
      <c r="BH159" s="173"/>
      <c r="BI159" s="173"/>
      <c r="BJ159" s="173"/>
      <c r="BK159" s="173"/>
      <c r="BL159" s="173"/>
      <c r="BM159" s="173"/>
      <c r="BN159" s="173"/>
      <c r="BO159" s="173"/>
      <c r="BP159" s="173"/>
      <c r="BQ159" s="173"/>
      <c r="BR159" s="173"/>
      <c r="BS159" s="173"/>
      <c r="BT159" s="173"/>
      <c r="BU159" s="173"/>
      <c r="BV159" s="173"/>
      <c r="BW159" s="173"/>
      <c r="BX159" s="173"/>
      <c r="BY159" s="173"/>
      <c r="BZ159" s="173"/>
      <c r="CA159" s="173"/>
      <c r="CB159" s="173"/>
      <c r="CC159" s="173"/>
      <c r="CD159" s="173"/>
      <c r="CE159" s="173"/>
      <c r="CF159" s="173"/>
      <c r="CG159" s="173"/>
      <c r="CH159" s="173"/>
      <c r="CI159" s="173"/>
      <c r="CJ159" s="173"/>
      <c r="CK159" s="173"/>
      <c r="CL159" s="173"/>
      <c r="CM159" s="173"/>
      <c r="CN159" s="173"/>
      <c r="CO159" s="173"/>
      <c r="CP159" s="173"/>
      <c r="CQ159" s="173"/>
      <c r="CR159" s="173"/>
      <c r="CS159" s="173"/>
      <c r="CT159" s="173"/>
      <c r="CU159" s="173"/>
      <c r="CV159" s="173"/>
      <c r="CW159" s="173"/>
      <c r="CX159" s="173"/>
      <c r="CY159" s="148"/>
      <c r="CZ159" s="148"/>
      <c r="DA159" s="148"/>
      <c r="DB159" s="148"/>
      <c r="DC159" s="148"/>
      <c r="DD159" s="148"/>
      <c r="DE159" s="148"/>
      <c r="DF159" s="148"/>
      <c r="DG159" s="148"/>
      <c r="DH159" s="148"/>
      <c r="DI159" s="148"/>
      <c r="DJ159" s="148"/>
      <c r="DK159" s="148"/>
      <c r="DL159" s="148"/>
      <c r="DM159" s="148"/>
      <c r="DN159" s="148"/>
      <c r="DO159" s="148"/>
      <c r="DP159" s="148"/>
      <c r="DQ159" s="148"/>
      <c r="DR159" s="148"/>
      <c r="DS159" s="148"/>
      <c r="DT159" s="148"/>
      <c r="DU159" s="148"/>
      <c r="DV159" s="148"/>
      <c r="DW159" s="148"/>
      <c r="DX159" s="148"/>
      <c r="DY159" s="148"/>
      <c r="DZ159" s="148"/>
      <c r="EA159" s="148"/>
      <c r="EB159" s="148"/>
      <c r="EC159" s="148"/>
      <c r="ED159" s="148"/>
      <c r="EE159" s="148"/>
      <c r="EF159" s="148"/>
      <c r="EG159" s="148"/>
      <c r="EH159" s="148"/>
      <c r="EI159" s="148"/>
      <c r="EJ159" s="148"/>
      <c r="EK159" s="148"/>
      <c r="EL159" s="148"/>
      <c r="EM159" s="148"/>
      <c r="EN159" s="148"/>
      <c r="EO159" s="148"/>
      <c r="EP159" s="148"/>
      <c r="EQ159" s="148"/>
      <c r="ER159" s="148"/>
      <c r="ES159" s="151"/>
      <c r="ET159" s="151"/>
      <c r="EU159" s="151"/>
      <c r="EV159" s="151"/>
      <c r="EW159" s="151"/>
      <c r="EX159" s="151"/>
      <c r="EY159" s="151"/>
      <c r="EZ159" s="151"/>
      <c r="FA159" s="151"/>
      <c r="FB159" s="151"/>
      <c r="FC159" s="151"/>
      <c r="FD159" s="151"/>
      <c r="FE159" s="151"/>
      <c r="FF159" s="151"/>
      <c r="FG159" s="151"/>
      <c r="FH159" s="151"/>
      <c r="FI159" s="151"/>
      <c r="FJ159" s="151"/>
      <c r="FK159" s="151"/>
      <c r="FL159" s="151"/>
      <c r="FM159" s="151"/>
      <c r="FN159" s="151"/>
      <c r="FO159" s="151"/>
      <c r="FP159" s="151"/>
      <c r="FQ159" s="151"/>
      <c r="FR159" s="151"/>
      <c r="FS159" s="151"/>
      <c r="FT159" s="151"/>
      <c r="FU159" s="151"/>
      <c r="FV159" s="151"/>
      <c r="FW159" s="151"/>
      <c r="FX159" s="151"/>
      <c r="FY159" s="151"/>
      <c r="FZ159" s="151"/>
      <c r="GA159" s="151"/>
      <c r="GB159" s="151"/>
      <c r="GC159" s="151"/>
      <c r="GD159" s="151"/>
      <c r="GE159" s="151"/>
      <c r="GF159" s="151"/>
      <c r="GG159" s="152"/>
    </row>
    <row r="160" spans="1:189" ht="41.65" x14ac:dyDescent="0.35">
      <c r="A160" s="267" t="s">
        <v>510</v>
      </c>
      <c r="B160" s="221" t="s">
        <v>1071</v>
      </c>
      <c r="C160" s="221"/>
      <c r="D160" s="222"/>
      <c r="E160" s="221" t="s">
        <v>414</v>
      </c>
      <c r="F160" s="221" t="s">
        <v>321</v>
      </c>
      <c r="G160" s="223">
        <v>2</v>
      </c>
      <c r="H160" s="224"/>
      <c r="I160" s="225"/>
      <c r="J160" s="225"/>
      <c r="K160" s="225"/>
      <c r="L160" s="226">
        <v>46173</v>
      </c>
      <c r="M160" s="226">
        <v>46284</v>
      </c>
      <c r="N160" s="226"/>
      <c r="O160" s="226">
        <v>46569</v>
      </c>
      <c r="P160" s="226">
        <v>46721</v>
      </c>
      <c r="Q160" s="227" t="s">
        <v>11</v>
      </c>
      <c r="R160" s="228">
        <v>45500</v>
      </c>
      <c r="S160" s="228">
        <v>45500</v>
      </c>
      <c r="T160" s="228"/>
      <c r="U160" s="191">
        <f t="shared" si="181"/>
        <v>0</v>
      </c>
      <c r="V160" s="230"/>
      <c r="W160" s="231"/>
      <c r="X160" s="46"/>
      <c r="Y160" s="167">
        <f t="shared" si="174"/>
        <v>45500</v>
      </c>
      <c r="Z160" s="167">
        <f t="shared" si="175"/>
        <v>0</v>
      </c>
      <c r="AA160" s="167">
        <f t="shared" si="176"/>
        <v>45500</v>
      </c>
      <c r="AB160" s="167">
        <f t="shared" si="177"/>
        <v>0</v>
      </c>
      <c r="AC160" s="167">
        <f t="shared" si="178"/>
        <v>0</v>
      </c>
      <c r="AD160" s="167">
        <f t="shared" si="179"/>
        <v>0</v>
      </c>
      <c r="AF160" s="180">
        <f t="shared" si="180"/>
        <v>1</v>
      </c>
      <c r="AG160" s="202" t="str">
        <f t="shared" si="173"/>
        <v>Magdalena Białorucka Wireless radio controller system type WRC, gun control</v>
      </c>
      <c r="AH160" s="172"/>
      <c r="AI160" s="173"/>
      <c r="AJ160" s="173"/>
      <c r="AK160" s="173"/>
      <c r="AL160" s="173"/>
      <c r="AM160" s="173"/>
      <c r="AN160" s="173"/>
      <c r="AO160" s="173"/>
      <c r="AP160" s="173"/>
      <c r="AQ160" s="173"/>
      <c r="AR160" s="173"/>
      <c r="AS160" s="173"/>
      <c r="AT160" s="173"/>
      <c r="AU160" s="173"/>
      <c r="AV160" s="173"/>
      <c r="AW160" s="173"/>
      <c r="AX160" s="173"/>
      <c r="AY160" s="173"/>
      <c r="AZ160" s="173"/>
      <c r="BA160" s="173"/>
      <c r="BB160" s="173"/>
      <c r="BC160" s="173"/>
      <c r="BD160" s="173"/>
      <c r="BE160" s="173"/>
      <c r="BF160" s="173"/>
      <c r="BG160" s="173"/>
      <c r="BH160" s="173"/>
      <c r="BI160" s="173"/>
      <c r="BJ160" s="173"/>
      <c r="BK160" s="173"/>
      <c r="BL160" s="173"/>
      <c r="BM160" s="173"/>
      <c r="BN160" s="173"/>
      <c r="BO160" s="173"/>
      <c r="BP160" s="173"/>
      <c r="BQ160" s="173"/>
      <c r="BR160" s="173"/>
      <c r="BS160" s="173"/>
      <c r="BT160" s="173"/>
      <c r="BU160" s="173"/>
      <c r="BV160" s="173"/>
      <c r="BW160" s="173"/>
      <c r="BX160" s="173"/>
      <c r="BY160" s="173"/>
      <c r="BZ160" s="173"/>
      <c r="CA160" s="173"/>
      <c r="CB160" s="173"/>
      <c r="CC160" s="173"/>
      <c r="CD160" s="173"/>
      <c r="CE160" s="173"/>
      <c r="CF160" s="173"/>
      <c r="CG160" s="173"/>
      <c r="CH160" s="173"/>
      <c r="CI160" s="173"/>
      <c r="CJ160" s="173"/>
      <c r="CK160" s="173"/>
      <c r="CL160" s="173"/>
      <c r="CM160" s="173"/>
      <c r="CN160" s="173"/>
      <c r="CO160" s="173"/>
      <c r="CP160" s="173"/>
      <c r="CQ160" s="173"/>
      <c r="CR160" s="173"/>
      <c r="CS160" s="173"/>
      <c r="CT160" s="173"/>
      <c r="CU160" s="173"/>
      <c r="CV160" s="173"/>
      <c r="CW160" s="173"/>
      <c r="CX160" s="173"/>
      <c r="CY160" s="148"/>
      <c r="CZ160" s="148"/>
      <c r="DA160" s="148"/>
      <c r="DB160" s="148"/>
      <c r="DC160" s="148"/>
      <c r="DD160" s="148"/>
      <c r="DE160" s="148"/>
      <c r="DF160" s="148"/>
      <c r="DG160" s="148"/>
      <c r="DH160" s="148"/>
      <c r="DI160" s="148"/>
      <c r="DJ160" s="148"/>
      <c r="DK160" s="148"/>
      <c r="DL160" s="148"/>
      <c r="DM160" s="148"/>
      <c r="DN160" s="148"/>
      <c r="DO160" s="148"/>
      <c r="DP160" s="148"/>
      <c r="DQ160" s="148"/>
      <c r="DR160" s="148"/>
      <c r="DS160" s="148"/>
      <c r="DT160" s="148"/>
      <c r="DU160" s="148"/>
      <c r="DV160" s="148"/>
      <c r="DW160" s="148"/>
      <c r="DX160" s="148"/>
      <c r="DY160" s="148"/>
      <c r="DZ160" s="148"/>
      <c r="EA160" s="148"/>
      <c r="EB160" s="148"/>
      <c r="EC160" s="148"/>
      <c r="ED160" s="148"/>
      <c r="EE160" s="148"/>
      <c r="EF160" s="148"/>
      <c r="EG160" s="148"/>
      <c r="EH160" s="148"/>
      <c r="EI160" s="148"/>
      <c r="EJ160" s="148"/>
      <c r="EK160" s="148"/>
      <c r="EL160" s="148"/>
      <c r="EM160" s="148"/>
      <c r="EN160" s="148"/>
      <c r="EO160" s="148"/>
      <c r="EP160" s="148"/>
      <c r="EQ160" s="148"/>
      <c r="ER160" s="148"/>
      <c r="ES160" s="148"/>
      <c r="ET160" s="148"/>
      <c r="EU160" s="148"/>
      <c r="EV160" s="148"/>
      <c r="EW160" s="148"/>
      <c r="EX160" s="148"/>
      <c r="EY160" s="148"/>
      <c r="EZ160" s="148"/>
      <c r="FA160" s="148"/>
      <c r="FB160" s="148"/>
      <c r="FC160" s="148"/>
      <c r="FD160" s="148"/>
      <c r="FE160" s="148"/>
      <c r="FF160" s="148"/>
      <c r="FG160" s="148"/>
      <c r="FH160" s="148"/>
      <c r="FI160" s="148"/>
      <c r="FJ160" s="148"/>
      <c r="FK160" s="148"/>
      <c r="FL160" s="148"/>
      <c r="FM160" s="148"/>
      <c r="FN160" s="148"/>
      <c r="FO160" s="148"/>
      <c r="FP160" s="148"/>
      <c r="FQ160" s="148"/>
      <c r="FR160" s="148"/>
      <c r="FS160" s="148"/>
      <c r="FT160" s="148"/>
      <c r="FU160" s="148"/>
      <c r="FV160" s="148"/>
      <c r="FW160" s="148"/>
      <c r="FX160" s="148"/>
      <c r="FY160" s="148"/>
      <c r="FZ160" s="148"/>
      <c r="GA160" s="148"/>
      <c r="GB160" s="148"/>
      <c r="GC160" s="148"/>
      <c r="GD160" s="148"/>
      <c r="GE160" s="148"/>
      <c r="GF160" s="148"/>
      <c r="GG160" s="149"/>
    </row>
    <row r="161" spans="1:189" ht="27.75" x14ac:dyDescent="0.35">
      <c r="A161" s="267" t="s">
        <v>511</v>
      </c>
      <c r="B161" s="221" t="s">
        <v>1071</v>
      </c>
      <c r="C161" s="221"/>
      <c r="D161" s="222"/>
      <c r="E161" s="221" t="s">
        <v>411</v>
      </c>
      <c r="F161" s="221" t="s">
        <v>319</v>
      </c>
      <c r="G161" s="223">
        <v>2</v>
      </c>
      <c r="H161" s="224"/>
      <c r="I161" s="225"/>
      <c r="J161" s="225"/>
      <c r="K161" s="225"/>
      <c r="L161" s="226">
        <v>46176</v>
      </c>
      <c r="M161" s="226">
        <v>46287</v>
      </c>
      <c r="N161" s="226"/>
      <c r="O161" s="226">
        <v>46569</v>
      </c>
      <c r="P161" s="226">
        <v>46721</v>
      </c>
      <c r="Q161" s="227" t="s">
        <v>11</v>
      </c>
      <c r="R161" s="228">
        <v>542750</v>
      </c>
      <c r="S161" s="228">
        <v>542750</v>
      </c>
      <c r="T161" s="228"/>
      <c r="U161" s="191">
        <f t="shared" si="181"/>
        <v>0</v>
      </c>
      <c r="V161" s="230"/>
      <c r="W161" s="232"/>
      <c r="X161" s="46"/>
      <c r="Y161" s="167">
        <f t="shared" si="174"/>
        <v>542750</v>
      </c>
      <c r="Z161" s="167">
        <f t="shared" si="175"/>
        <v>0</v>
      </c>
      <c r="AA161" s="167">
        <f t="shared" si="176"/>
        <v>542750</v>
      </c>
      <c r="AB161" s="167">
        <f t="shared" si="177"/>
        <v>0</v>
      </c>
      <c r="AC161" s="167">
        <f t="shared" si="178"/>
        <v>0</v>
      </c>
      <c r="AD161" s="167">
        <f t="shared" si="179"/>
        <v>0</v>
      </c>
      <c r="AF161" s="47">
        <f t="shared" si="180"/>
        <v>1</v>
      </c>
      <c r="AG161" s="202" t="str">
        <f t="shared" si="173"/>
        <v>Magdalena Białorucka Firefighting water external distribution, hoses, sprinklers</v>
      </c>
      <c r="AH161" s="172"/>
      <c r="AI161" s="173"/>
      <c r="AJ161" s="173"/>
      <c r="AK161" s="173"/>
      <c r="AL161" s="173"/>
      <c r="AM161" s="173"/>
      <c r="AN161" s="173"/>
      <c r="AO161" s="173"/>
      <c r="AP161" s="173"/>
      <c r="AQ161" s="173"/>
      <c r="AR161" s="173"/>
      <c r="AS161" s="173"/>
      <c r="AT161" s="173"/>
      <c r="AU161" s="173"/>
      <c r="AV161" s="173"/>
      <c r="AW161" s="173"/>
      <c r="AX161" s="173"/>
      <c r="AY161" s="173"/>
      <c r="AZ161" s="173"/>
      <c r="BA161" s="173"/>
      <c r="BB161" s="173"/>
      <c r="BC161" s="173"/>
      <c r="BD161" s="173"/>
      <c r="BE161" s="173"/>
      <c r="BF161" s="173"/>
      <c r="BG161" s="173"/>
      <c r="BH161" s="173"/>
      <c r="BI161" s="173"/>
      <c r="BJ161" s="173"/>
      <c r="BK161" s="173"/>
      <c r="BL161" s="173"/>
      <c r="BM161" s="173"/>
      <c r="BN161" s="173"/>
      <c r="BO161" s="173"/>
      <c r="BP161" s="173"/>
      <c r="BQ161" s="173"/>
      <c r="BR161" s="173"/>
      <c r="BS161" s="173"/>
      <c r="BT161" s="173"/>
      <c r="BU161" s="173"/>
      <c r="BV161" s="173"/>
      <c r="BW161" s="173"/>
      <c r="BX161" s="173"/>
      <c r="BY161" s="173"/>
      <c r="BZ161" s="173"/>
      <c r="CA161" s="173"/>
      <c r="CB161" s="173"/>
      <c r="CC161" s="173"/>
      <c r="CD161" s="173"/>
      <c r="CE161" s="173"/>
      <c r="CF161" s="173"/>
      <c r="CG161" s="173"/>
      <c r="CH161" s="173"/>
      <c r="CI161" s="173"/>
      <c r="CJ161" s="173"/>
      <c r="CK161" s="173"/>
      <c r="CL161" s="173"/>
      <c r="CM161" s="173"/>
      <c r="CN161" s="173"/>
      <c r="CO161" s="173"/>
      <c r="CP161" s="173"/>
      <c r="CQ161" s="173"/>
      <c r="CR161" s="173"/>
      <c r="CS161" s="173"/>
      <c r="CT161" s="173"/>
      <c r="CU161" s="173"/>
      <c r="CV161" s="173"/>
      <c r="CW161" s="173"/>
      <c r="CX161" s="173"/>
      <c r="CY161" s="148"/>
      <c r="CZ161" s="148"/>
      <c r="DA161" s="148"/>
      <c r="DB161" s="148"/>
      <c r="DC161" s="148"/>
      <c r="DD161" s="148"/>
      <c r="DE161" s="148"/>
      <c r="DF161" s="148"/>
      <c r="DG161" s="148"/>
      <c r="DH161" s="148"/>
      <c r="DI161" s="148"/>
      <c r="DJ161" s="148"/>
      <c r="DK161" s="148"/>
      <c r="DL161" s="148"/>
      <c r="DM161" s="148"/>
      <c r="DN161" s="148"/>
      <c r="DO161" s="148"/>
      <c r="DP161" s="148"/>
      <c r="DQ161" s="148"/>
      <c r="DR161" s="148"/>
      <c r="DS161" s="148"/>
      <c r="DT161" s="148"/>
      <c r="DU161" s="148"/>
      <c r="DV161" s="148"/>
      <c r="DW161" s="148"/>
      <c r="DX161" s="148"/>
      <c r="DY161" s="148"/>
      <c r="DZ161" s="148"/>
      <c r="EA161" s="148"/>
      <c r="EB161" s="148"/>
      <c r="EC161" s="148"/>
      <c r="ED161" s="148"/>
      <c r="EE161" s="148"/>
      <c r="EF161" s="148"/>
      <c r="EG161" s="148"/>
      <c r="EH161" s="148"/>
      <c r="EI161" s="148"/>
      <c r="EJ161" s="148"/>
      <c r="EK161" s="148"/>
      <c r="EL161" s="148"/>
      <c r="EM161" s="148"/>
      <c r="EN161" s="148"/>
      <c r="EO161" s="148"/>
      <c r="EP161" s="148"/>
      <c r="EQ161" s="148"/>
      <c r="ER161" s="148"/>
      <c r="ES161" s="151"/>
      <c r="ET161" s="151"/>
      <c r="EU161" s="151"/>
      <c r="EV161" s="151"/>
      <c r="EW161" s="151"/>
      <c r="EX161" s="151"/>
      <c r="EY161" s="151"/>
      <c r="EZ161" s="151"/>
      <c r="FA161" s="151"/>
      <c r="FB161" s="151"/>
      <c r="FC161" s="151"/>
      <c r="FD161" s="151"/>
      <c r="FE161" s="151"/>
      <c r="FF161" s="151"/>
      <c r="FG161" s="151"/>
      <c r="FH161" s="151"/>
      <c r="FI161" s="151"/>
      <c r="FJ161" s="151"/>
      <c r="FK161" s="151"/>
      <c r="FL161" s="151"/>
      <c r="FM161" s="151"/>
      <c r="FN161" s="151"/>
      <c r="FO161" s="151"/>
      <c r="FP161" s="151"/>
      <c r="FQ161" s="151"/>
      <c r="FR161" s="151"/>
      <c r="FS161" s="151"/>
      <c r="FT161" s="151"/>
      <c r="FU161" s="151"/>
      <c r="FV161" s="151"/>
      <c r="FW161" s="151"/>
      <c r="FX161" s="151"/>
      <c r="FY161" s="151"/>
      <c r="FZ161" s="151"/>
      <c r="GA161" s="151"/>
      <c r="GB161" s="151"/>
      <c r="GC161" s="151"/>
      <c r="GD161" s="151"/>
      <c r="GE161" s="151"/>
      <c r="GF161" s="151"/>
      <c r="GG161" s="152"/>
    </row>
    <row r="162" spans="1:189" ht="55.5" x14ac:dyDescent="0.35">
      <c r="A162" s="267" t="s">
        <v>512</v>
      </c>
      <c r="B162" s="221" t="s">
        <v>1071</v>
      </c>
      <c r="C162" s="221"/>
      <c r="D162" s="222"/>
      <c r="E162" s="221" t="s">
        <v>412</v>
      </c>
      <c r="F162" s="221" t="s">
        <v>322</v>
      </c>
      <c r="G162" s="223">
        <v>2</v>
      </c>
      <c r="H162" s="224"/>
      <c r="I162" s="225"/>
      <c r="J162" s="225"/>
      <c r="K162" s="225"/>
      <c r="L162" s="226">
        <v>46173</v>
      </c>
      <c r="M162" s="226">
        <v>46284</v>
      </c>
      <c r="N162" s="226"/>
      <c r="O162" s="226">
        <v>46569</v>
      </c>
      <c r="P162" s="226">
        <v>46721</v>
      </c>
      <c r="Q162" s="227" t="s">
        <v>11</v>
      </c>
      <c r="R162" s="228">
        <v>1925350</v>
      </c>
      <c r="S162" s="228">
        <v>1925350</v>
      </c>
      <c r="T162" s="228"/>
      <c r="U162" s="191">
        <f t="shared" si="181"/>
        <v>0</v>
      </c>
      <c r="V162" s="230"/>
      <c r="W162" s="232"/>
      <c r="X162" s="46"/>
      <c r="Y162" s="167">
        <f t="shared" si="174"/>
        <v>1925350</v>
      </c>
      <c r="Z162" s="167">
        <f t="shared" si="175"/>
        <v>0</v>
      </c>
      <c r="AA162" s="167">
        <f t="shared" si="176"/>
        <v>1925350</v>
      </c>
      <c r="AB162" s="167">
        <f t="shared" si="177"/>
        <v>0</v>
      </c>
      <c r="AC162" s="167">
        <f t="shared" si="178"/>
        <v>0</v>
      </c>
      <c r="AD162" s="167">
        <f t="shared" si="179"/>
        <v>0</v>
      </c>
      <c r="AF162" s="180">
        <f t="shared" si="180"/>
        <v>1</v>
      </c>
      <c r="AG162" s="202" t="str">
        <f t="shared" si="173"/>
        <v>Magdalena Białorucka Dry bunker sprinkler system. Installation of water and foam cannons in the bunker hall, and assembly of the valve sub-control unit.</v>
      </c>
      <c r="AH162" s="172"/>
      <c r="AI162" s="173"/>
      <c r="AJ162" s="173"/>
      <c r="AK162" s="173"/>
      <c r="AL162" s="173"/>
      <c r="AM162" s="173"/>
      <c r="AN162" s="173"/>
      <c r="AO162" s="173"/>
      <c r="AP162" s="173"/>
      <c r="AQ162" s="173"/>
      <c r="AR162" s="173"/>
      <c r="AS162" s="173"/>
      <c r="AT162" s="173"/>
      <c r="AU162" s="173"/>
      <c r="AV162" s="173"/>
      <c r="AW162" s="173"/>
      <c r="AX162" s="173"/>
      <c r="AY162" s="173"/>
      <c r="AZ162" s="173"/>
      <c r="BA162" s="173"/>
      <c r="BB162" s="173"/>
      <c r="BC162" s="173"/>
      <c r="BD162" s="173"/>
      <c r="BE162" s="173"/>
      <c r="BF162" s="173"/>
      <c r="BG162" s="173"/>
      <c r="BH162" s="173"/>
      <c r="BI162" s="173"/>
      <c r="BJ162" s="173"/>
      <c r="BK162" s="173"/>
      <c r="BL162" s="173"/>
      <c r="BM162" s="173"/>
      <c r="BN162" s="173"/>
      <c r="BO162" s="173"/>
      <c r="BP162" s="173"/>
      <c r="BQ162" s="173"/>
      <c r="BR162" s="173"/>
      <c r="BS162" s="173"/>
      <c r="BT162" s="173"/>
      <c r="BU162" s="173"/>
      <c r="BV162" s="173"/>
      <c r="BW162" s="173"/>
      <c r="BX162" s="173"/>
      <c r="BY162" s="173"/>
      <c r="BZ162" s="173"/>
      <c r="CA162" s="173"/>
      <c r="CB162" s="173"/>
      <c r="CC162" s="173"/>
      <c r="CD162" s="173"/>
      <c r="CE162" s="173"/>
      <c r="CF162" s="173"/>
      <c r="CG162" s="173"/>
      <c r="CH162" s="173"/>
      <c r="CI162" s="173"/>
      <c r="CJ162" s="173"/>
      <c r="CK162" s="173"/>
      <c r="CL162" s="173"/>
      <c r="CM162" s="173"/>
      <c r="CN162" s="173"/>
      <c r="CO162" s="173"/>
      <c r="CP162" s="173"/>
      <c r="CQ162" s="173"/>
      <c r="CR162" s="173"/>
      <c r="CS162" s="173"/>
      <c r="CT162" s="173"/>
      <c r="CU162" s="173"/>
      <c r="CV162" s="173"/>
      <c r="CW162" s="173"/>
      <c r="CX162" s="173"/>
      <c r="CY162" s="148"/>
      <c r="CZ162" s="148"/>
      <c r="DA162" s="148"/>
      <c r="DB162" s="148"/>
      <c r="DC162" s="148"/>
      <c r="DD162" s="148"/>
      <c r="DE162" s="148"/>
      <c r="DF162" s="148"/>
      <c r="DG162" s="148"/>
      <c r="DH162" s="148"/>
      <c r="DI162" s="148"/>
      <c r="DJ162" s="148"/>
      <c r="DK162" s="148"/>
      <c r="DL162" s="148"/>
      <c r="DM162" s="148"/>
      <c r="DN162" s="148"/>
      <c r="DO162" s="148"/>
      <c r="DP162" s="148"/>
      <c r="DQ162" s="148"/>
      <c r="DR162" s="148"/>
      <c r="DS162" s="148"/>
      <c r="DT162" s="148"/>
      <c r="DU162" s="148"/>
      <c r="DV162" s="148"/>
      <c r="DW162" s="148"/>
      <c r="DX162" s="148"/>
      <c r="DY162" s="148"/>
      <c r="DZ162" s="148"/>
      <c r="EA162" s="148"/>
      <c r="EB162" s="148"/>
      <c r="EC162" s="148"/>
      <c r="ED162" s="148"/>
      <c r="EE162" s="148"/>
      <c r="EF162" s="148"/>
      <c r="EG162" s="148"/>
      <c r="EH162" s="148"/>
      <c r="EI162" s="148"/>
      <c r="EJ162" s="148"/>
      <c r="EK162" s="148"/>
      <c r="EL162" s="148"/>
      <c r="EM162" s="148"/>
      <c r="EN162" s="148"/>
      <c r="EO162" s="148"/>
      <c r="EP162" s="148"/>
      <c r="EQ162" s="148"/>
      <c r="ER162" s="148"/>
      <c r="ES162" s="151"/>
      <c r="ET162" s="151"/>
      <c r="EU162" s="151"/>
      <c r="EV162" s="151"/>
      <c r="EW162" s="151"/>
      <c r="EX162" s="151"/>
      <c r="EY162" s="151"/>
      <c r="EZ162" s="151"/>
      <c r="FA162" s="151"/>
      <c r="FB162" s="151"/>
      <c r="FC162" s="151"/>
      <c r="FD162" s="151"/>
      <c r="FE162" s="151"/>
      <c r="FF162" s="151"/>
      <c r="FG162" s="151"/>
      <c r="FH162" s="151"/>
      <c r="FI162" s="151"/>
      <c r="FJ162" s="151"/>
      <c r="FK162" s="151"/>
      <c r="FL162" s="151"/>
      <c r="FM162" s="151"/>
      <c r="FN162" s="151"/>
      <c r="FO162" s="151"/>
      <c r="FP162" s="151"/>
      <c r="FQ162" s="151"/>
      <c r="FR162" s="151"/>
      <c r="FS162" s="151"/>
      <c r="FT162" s="151"/>
      <c r="FU162" s="151"/>
      <c r="FV162" s="151"/>
      <c r="FW162" s="151"/>
      <c r="FX162" s="151"/>
      <c r="FY162" s="151"/>
      <c r="FZ162" s="151"/>
      <c r="GA162" s="151"/>
      <c r="GB162" s="151"/>
      <c r="GC162" s="151"/>
      <c r="GD162" s="151"/>
      <c r="GE162" s="151"/>
      <c r="GF162" s="151"/>
      <c r="GG162" s="152"/>
    </row>
    <row r="163" spans="1:189" ht="27.75" x14ac:dyDescent="0.35">
      <c r="A163" s="267" t="s">
        <v>513</v>
      </c>
      <c r="B163" s="221" t="s">
        <v>1071</v>
      </c>
      <c r="C163" s="221"/>
      <c r="D163" s="222"/>
      <c r="E163" s="221" t="s">
        <v>502</v>
      </c>
      <c r="F163" s="221" t="s">
        <v>323</v>
      </c>
      <c r="G163" s="223">
        <v>2</v>
      </c>
      <c r="H163" s="224"/>
      <c r="I163" s="225"/>
      <c r="J163" s="225"/>
      <c r="K163" s="225"/>
      <c r="L163" s="226">
        <v>1</v>
      </c>
      <c r="M163" s="226">
        <v>112</v>
      </c>
      <c r="N163" s="226"/>
      <c r="O163" s="226">
        <v>46569</v>
      </c>
      <c r="P163" s="226">
        <v>46721</v>
      </c>
      <c r="Q163" s="227" t="s">
        <v>11</v>
      </c>
      <c r="R163" s="228">
        <v>285000</v>
      </c>
      <c r="S163" s="228">
        <v>285000</v>
      </c>
      <c r="T163" s="228"/>
      <c r="U163" s="191">
        <f t="shared" si="181"/>
        <v>0</v>
      </c>
      <c r="V163" s="230"/>
      <c r="W163" s="232"/>
      <c r="X163" s="46"/>
      <c r="Y163" s="167">
        <f t="shared" si="174"/>
        <v>285000</v>
      </c>
      <c r="Z163" s="167">
        <f t="shared" si="175"/>
        <v>0</v>
      </c>
      <c r="AA163" s="167">
        <f t="shared" si="176"/>
        <v>285000</v>
      </c>
      <c r="AB163" s="167">
        <f t="shared" si="177"/>
        <v>0</v>
      </c>
      <c r="AC163" s="167">
        <f t="shared" si="178"/>
        <v>0</v>
      </c>
      <c r="AD163" s="167">
        <f t="shared" si="179"/>
        <v>0</v>
      </c>
      <c r="AF163" s="47">
        <f t="shared" si="180"/>
        <v>1</v>
      </c>
      <c r="AG163" s="202" t="str">
        <f t="shared" si="173"/>
        <v>Magdalena Białorucka Natural gas (if any) and ammonia detection system</v>
      </c>
      <c r="AH163" s="172"/>
      <c r="AI163" s="173"/>
      <c r="AJ163" s="173"/>
      <c r="AK163" s="173"/>
      <c r="AL163" s="173"/>
      <c r="AM163" s="173"/>
      <c r="AN163" s="173"/>
      <c r="AO163" s="173"/>
      <c r="AP163" s="173"/>
      <c r="AQ163" s="173"/>
      <c r="AR163" s="173"/>
      <c r="AS163" s="173"/>
      <c r="AT163" s="173"/>
      <c r="AU163" s="173"/>
      <c r="AV163" s="173"/>
      <c r="AW163" s="173"/>
      <c r="AX163" s="173"/>
      <c r="AY163" s="173"/>
      <c r="AZ163" s="173"/>
      <c r="BA163" s="173"/>
      <c r="BB163" s="173"/>
      <c r="BC163" s="173"/>
      <c r="BD163" s="173"/>
      <c r="BE163" s="173"/>
      <c r="BF163" s="173"/>
      <c r="BG163" s="173"/>
      <c r="BH163" s="173"/>
      <c r="BI163" s="173"/>
      <c r="BJ163" s="173"/>
      <c r="BK163" s="173"/>
      <c r="BL163" s="173"/>
      <c r="BM163" s="173"/>
      <c r="BN163" s="173"/>
      <c r="BO163" s="173"/>
      <c r="BP163" s="173"/>
      <c r="BQ163" s="173"/>
      <c r="BR163" s="173"/>
      <c r="BS163" s="173"/>
      <c r="BT163" s="173"/>
      <c r="BU163" s="173"/>
      <c r="BV163" s="173"/>
      <c r="BW163" s="173"/>
      <c r="BX163" s="173"/>
      <c r="BY163" s="173"/>
      <c r="BZ163" s="173"/>
      <c r="CA163" s="173"/>
      <c r="CB163" s="173"/>
      <c r="CC163" s="173"/>
      <c r="CD163" s="173"/>
      <c r="CE163" s="173"/>
      <c r="CF163" s="173"/>
      <c r="CG163" s="173"/>
      <c r="CH163" s="173"/>
      <c r="CI163" s="173"/>
      <c r="CJ163" s="173"/>
      <c r="CK163" s="173"/>
      <c r="CL163" s="173"/>
      <c r="CM163" s="173"/>
      <c r="CN163" s="173"/>
      <c r="CO163" s="173"/>
      <c r="CP163" s="173"/>
      <c r="CQ163" s="173"/>
      <c r="CR163" s="173"/>
      <c r="CS163" s="173"/>
      <c r="CT163" s="173"/>
      <c r="CU163" s="173"/>
      <c r="CV163" s="173"/>
      <c r="CW163" s="173"/>
      <c r="CX163" s="173"/>
      <c r="CY163" s="148"/>
      <c r="CZ163" s="148"/>
      <c r="DA163" s="148"/>
      <c r="DB163" s="148"/>
      <c r="DC163" s="148"/>
      <c r="DD163" s="148"/>
      <c r="DE163" s="148"/>
      <c r="DF163" s="148"/>
      <c r="DG163" s="148"/>
      <c r="DH163" s="148"/>
      <c r="DI163" s="148"/>
      <c r="DJ163" s="148"/>
      <c r="DK163" s="148"/>
      <c r="DL163" s="148"/>
      <c r="DM163" s="148"/>
      <c r="DN163" s="148"/>
      <c r="DO163" s="148"/>
      <c r="DP163" s="148"/>
      <c r="DQ163" s="148"/>
      <c r="DR163" s="148"/>
      <c r="DS163" s="148"/>
      <c r="DT163" s="148"/>
      <c r="DU163" s="148"/>
      <c r="DV163" s="148"/>
      <c r="DW163" s="148"/>
      <c r="DX163" s="148"/>
      <c r="DY163" s="148"/>
      <c r="DZ163" s="148"/>
      <c r="EA163" s="148"/>
      <c r="EB163" s="148"/>
      <c r="EC163" s="148"/>
      <c r="ED163" s="148"/>
      <c r="EE163" s="148"/>
      <c r="EF163" s="148"/>
      <c r="EG163" s="148"/>
      <c r="EH163" s="148"/>
      <c r="EI163" s="148"/>
      <c r="EJ163" s="148"/>
      <c r="EK163" s="148"/>
      <c r="EL163" s="148"/>
      <c r="EM163" s="148"/>
      <c r="EN163" s="148"/>
      <c r="EO163" s="148"/>
      <c r="EP163" s="148"/>
      <c r="EQ163" s="148"/>
      <c r="ER163" s="148"/>
      <c r="ES163" s="151"/>
      <c r="ET163" s="151"/>
      <c r="EU163" s="151"/>
      <c r="EV163" s="151"/>
      <c r="EW163" s="151"/>
      <c r="EX163" s="151"/>
      <c r="EY163" s="151"/>
      <c r="EZ163" s="151"/>
      <c r="FA163" s="151"/>
      <c r="FB163" s="151"/>
      <c r="FC163" s="151"/>
      <c r="FD163" s="151"/>
      <c r="FE163" s="151"/>
      <c r="FF163" s="151"/>
      <c r="FG163" s="151"/>
      <c r="FH163" s="151"/>
      <c r="FI163" s="151"/>
      <c r="FJ163" s="151"/>
      <c r="FK163" s="151"/>
      <c r="FL163" s="151"/>
      <c r="FM163" s="151"/>
      <c r="FN163" s="151"/>
      <c r="FO163" s="151"/>
      <c r="FP163" s="151"/>
      <c r="FQ163" s="151"/>
      <c r="FR163" s="151"/>
      <c r="FS163" s="151"/>
      <c r="FT163" s="151"/>
      <c r="FU163" s="151"/>
      <c r="FV163" s="151"/>
      <c r="FW163" s="151"/>
      <c r="FX163" s="151"/>
      <c r="FY163" s="151"/>
      <c r="FZ163" s="151"/>
      <c r="GA163" s="151"/>
      <c r="GB163" s="151"/>
      <c r="GC163" s="151"/>
      <c r="GD163" s="151"/>
      <c r="GE163" s="151"/>
      <c r="GF163" s="151"/>
      <c r="GG163" s="152"/>
    </row>
    <row r="164" spans="1:189" ht="27.75" x14ac:dyDescent="0.35">
      <c r="A164" s="267" t="s">
        <v>514</v>
      </c>
      <c r="B164" s="221" t="s">
        <v>1071</v>
      </c>
      <c r="C164" s="221"/>
      <c r="D164" s="222"/>
      <c r="E164" s="221" t="s">
        <v>413</v>
      </c>
      <c r="F164" s="221" t="s">
        <v>324</v>
      </c>
      <c r="G164" s="223">
        <v>2</v>
      </c>
      <c r="H164" s="224"/>
      <c r="I164" s="225"/>
      <c r="J164" s="225"/>
      <c r="K164" s="225"/>
      <c r="L164" s="226">
        <v>46152</v>
      </c>
      <c r="M164" s="226">
        <v>46263</v>
      </c>
      <c r="N164" s="226"/>
      <c r="O164" s="226">
        <v>46569</v>
      </c>
      <c r="P164" s="226">
        <v>46721</v>
      </c>
      <c r="Q164" s="227" t="s">
        <v>11</v>
      </c>
      <c r="R164" s="228">
        <v>1178293</v>
      </c>
      <c r="S164" s="228">
        <v>1178293</v>
      </c>
      <c r="T164" s="228"/>
      <c r="U164" s="191">
        <f t="shared" si="181"/>
        <v>0</v>
      </c>
      <c r="V164" s="230"/>
      <c r="W164" s="232"/>
      <c r="X164" s="46"/>
      <c r="Y164" s="167">
        <f t="shared" si="174"/>
        <v>1178293</v>
      </c>
      <c r="Z164" s="167">
        <f t="shared" si="175"/>
        <v>0</v>
      </c>
      <c r="AA164" s="167">
        <f t="shared" si="176"/>
        <v>1178293</v>
      </c>
      <c r="AB164" s="167">
        <f t="shared" si="177"/>
        <v>0</v>
      </c>
      <c r="AC164" s="167">
        <f t="shared" si="178"/>
        <v>0</v>
      </c>
      <c r="AD164" s="167">
        <f t="shared" si="179"/>
        <v>0</v>
      </c>
      <c r="AF164" s="180">
        <f t="shared" si="180"/>
        <v>1</v>
      </c>
      <c r="AG164" s="202" t="str">
        <f t="shared" si="173"/>
        <v>Magdalena Białorucka Smoke extraction from waste bunker and tipping hall</v>
      </c>
      <c r="AH164" s="172"/>
      <c r="AI164" s="173"/>
      <c r="AJ164" s="173"/>
      <c r="AK164" s="173"/>
      <c r="AL164" s="173"/>
      <c r="AM164" s="173"/>
      <c r="AN164" s="173"/>
      <c r="AO164" s="173"/>
      <c r="AP164" s="173"/>
      <c r="AQ164" s="173"/>
      <c r="AR164" s="173"/>
      <c r="AS164" s="173"/>
      <c r="AT164" s="173"/>
      <c r="AU164" s="173"/>
      <c r="AV164" s="173"/>
      <c r="AW164" s="173"/>
      <c r="AX164" s="173"/>
      <c r="AY164" s="173"/>
      <c r="AZ164" s="173"/>
      <c r="BA164" s="173"/>
      <c r="BB164" s="173"/>
      <c r="BC164" s="173"/>
      <c r="BD164" s="173"/>
      <c r="BE164" s="173"/>
      <c r="BF164" s="173"/>
      <c r="BG164" s="173"/>
      <c r="BH164" s="173"/>
      <c r="BI164" s="173"/>
      <c r="BJ164" s="173"/>
      <c r="BK164" s="173"/>
      <c r="BL164" s="173"/>
      <c r="BM164" s="173"/>
      <c r="BN164" s="173"/>
      <c r="BO164" s="173"/>
      <c r="BP164" s="173"/>
      <c r="BQ164" s="173"/>
      <c r="BR164" s="173"/>
      <c r="BS164" s="173"/>
      <c r="BT164" s="173"/>
      <c r="BU164" s="173"/>
      <c r="BV164" s="173"/>
      <c r="BW164" s="173"/>
      <c r="BX164" s="173"/>
      <c r="BY164" s="173"/>
      <c r="BZ164" s="173"/>
      <c r="CA164" s="173"/>
      <c r="CB164" s="173"/>
      <c r="CC164" s="173"/>
      <c r="CD164" s="173"/>
      <c r="CE164" s="173"/>
      <c r="CF164" s="173"/>
      <c r="CG164" s="173"/>
      <c r="CH164" s="173"/>
      <c r="CI164" s="173"/>
      <c r="CJ164" s="173"/>
      <c r="CK164" s="173"/>
      <c r="CL164" s="173"/>
      <c r="CM164" s="173"/>
      <c r="CN164" s="173"/>
      <c r="CO164" s="173"/>
      <c r="CP164" s="173"/>
      <c r="CQ164" s="173"/>
      <c r="CR164" s="173"/>
      <c r="CS164" s="173"/>
      <c r="CT164" s="173"/>
      <c r="CU164" s="173"/>
      <c r="CV164" s="173"/>
      <c r="CW164" s="173"/>
      <c r="CX164" s="173"/>
      <c r="CY164" s="148"/>
      <c r="CZ164" s="148"/>
      <c r="DA164" s="148"/>
      <c r="DB164" s="148"/>
      <c r="DC164" s="148"/>
      <c r="DD164" s="148"/>
      <c r="DE164" s="148"/>
      <c r="DF164" s="148"/>
      <c r="DG164" s="148"/>
      <c r="DH164" s="148"/>
      <c r="DI164" s="148"/>
      <c r="DJ164" s="148"/>
      <c r="DK164" s="148"/>
      <c r="DL164" s="148"/>
      <c r="DM164" s="148"/>
      <c r="DN164" s="148"/>
      <c r="DO164" s="148"/>
      <c r="DP164" s="148"/>
      <c r="DQ164" s="148"/>
      <c r="DR164" s="148"/>
      <c r="DS164" s="148"/>
      <c r="DT164" s="148"/>
      <c r="DU164" s="148"/>
      <c r="DV164" s="148"/>
      <c r="DW164" s="148"/>
      <c r="DX164" s="148"/>
      <c r="DY164" s="148"/>
      <c r="DZ164" s="148"/>
      <c r="EA164" s="148"/>
      <c r="EB164" s="148"/>
      <c r="EC164" s="148"/>
      <c r="ED164" s="148"/>
      <c r="EE164" s="148"/>
      <c r="EF164" s="148"/>
      <c r="EG164" s="148"/>
      <c r="EH164" s="148"/>
      <c r="EI164" s="148"/>
      <c r="EJ164" s="148"/>
      <c r="EK164" s="148"/>
      <c r="EL164" s="148"/>
      <c r="EM164" s="148"/>
      <c r="EN164" s="148"/>
      <c r="EO164" s="148"/>
      <c r="EP164" s="148"/>
      <c r="EQ164" s="148"/>
      <c r="ER164" s="148"/>
      <c r="ES164" s="148"/>
      <c r="ET164" s="148"/>
      <c r="EU164" s="148"/>
      <c r="EV164" s="148"/>
      <c r="EW164" s="148"/>
      <c r="EX164" s="148"/>
      <c r="EY164" s="148"/>
      <c r="EZ164" s="148"/>
      <c r="FA164" s="148"/>
      <c r="FB164" s="148"/>
      <c r="FC164" s="148"/>
      <c r="FD164" s="148"/>
      <c r="FE164" s="148"/>
      <c r="FF164" s="148"/>
      <c r="FG164" s="148"/>
      <c r="FH164" s="148"/>
      <c r="FI164" s="148"/>
      <c r="FJ164" s="148"/>
      <c r="FK164" s="148"/>
      <c r="FL164" s="148"/>
      <c r="FM164" s="148"/>
      <c r="FN164" s="148"/>
      <c r="FO164" s="148"/>
      <c r="FP164" s="148"/>
      <c r="FQ164" s="148"/>
      <c r="FR164" s="148"/>
      <c r="FS164" s="148"/>
      <c r="FT164" s="148"/>
      <c r="FU164" s="148"/>
      <c r="FV164" s="148"/>
      <c r="FW164" s="148"/>
      <c r="FX164" s="148"/>
      <c r="FY164" s="148"/>
      <c r="FZ164" s="148"/>
      <c r="GA164" s="148"/>
      <c r="GB164" s="148"/>
      <c r="GC164" s="148"/>
      <c r="GD164" s="148"/>
      <c r="GE164" s="148"/>
      <c r="GF164" s="148"/>
      <c r="GG164" s="149"/>
    </row>
    <row r="165" spans="1:189" x14ac:dyDescent="0.35">
      <c r="A165" s="237" t="s">
        <v>515</v>
      </c>
      <c r="B165" s="236"/>
      <c r="C165" s="236"/>
      <c r="D165" s="237"/>
      <c r="E165" s="236" t="s">
        <v>516</v>
      </c>
      <c r="F165" s="236" t="s">
        <v>517</v>
      </c>
      <c r="G165" s="238">
        <v>2</v>
      </c>
      <c r="H165" s="239"/>
      <c r="I165" s="240"/>
      <c r="J165" s="240"/>
      <c r="K165" s="240"/>
      <c r="L165" s="241"/>
      <c r="M165" s="241"/>
      <c r="N165" s="241"/>
      <c r="O165" s="241"/>
      <c r="P165" s="241"/>
      <c r="Q165" s="242"/>
      <c r="R165" s="243"/>
      <c r="S165" s="243"/>
      <c r="T165" s="243"/>
      <c r="U165" s="191">
        <f t="shared" si="181"/>
        <v>0</v>
      </c>
      <c r="V165" s="244"/>
      <c r="W165" s="245"/>
      <c r="X165" s="46"/>
      <c r="Y165" s="167">
        <f t="shared" si="174"/>
        <v>0</v>
      </c>
      <c r="Z165" s="167">
        <f t="shared" si="175"/>
        <v>0</v>
      </c>
      <c r="AA165" s="167">
        <f t="shared" si="176"/>
        <v>0</v>
      </c>
      <c r="AB165" s="167">
        <f t="shared" si="177"/>
        <v>0</v>
      </c>
      <c r="AC165" s="167">
        <f t="shared" si="178"/>
        <v>0</v>
      </c>
      <c r="AD165" s="167">
        <f t="shared" si="179"/>
        <v>0</v>
      </c>
      <c r="AF165" s="47">
        <f t="shared" si="180"/>
        <v>0</v>
      </c>
      <c r="AG165" s="202" t="str">
        <f t="shared" si="173"/>
        <v xml:space="preserve"> Sanitary installations</v>
      </c>
      <c r="AH165" s="172"/>
      <c r="AI165" s="173"/>
      <c r="AJ165" s="173"/>
      <c r="AK165" s="173"/>
      <c r="AL165" s="173"/>
      <c r="AM165" s="173"/>
      <c r="AN165" s="173"/>
      <c r="AO165" s="173"/>
      <c r="AP165" s="173"/>
      <c r="AQ165" s="173"/>
      <c r="AR165" s="173"/>
      <c r="AS165" s="173"/>
      <c r="AT165" s="173"/>
      <c r="AU165" s="173"/>
      <c r="AV165" s="173"/>
      <c r="AW165" s="173"/>
      <c r="AX165" s="173"/>
      <c r="AY165" s="173"/>
      <c r="AZ165" s="173"/>
      <c r="BA165" s="173"/>
      <c r="BB165" s="173"/>
      <c r="BC165" s="173"/>
      <c r="BD165" s="173"/>
      <c r="BE165" s="173"/>
      <c r="BF165" s="173"/>
      <c r="BG165" s="173"/>
      <c r="BH165" s="173"/>
      <c r="BI165" s="173"/>
      <c r="BJ165" s="173"/>
      <c r="BK165" s="173"/>
      <c r="BL165" s="173"/>
      <c r="BM165" s="173"/>
      <c r="BN165" s="173"/>
      <c r="BO165" s="173"/>
      <c r="BP165" s="173"/>
      <c r="BQ165" s="173"/>
      <c r="BR165" s="173"/>
      <c r="BS165" s="173"/>
      <c r="BT165" s="173"/>
      <c r="BU165" s="173"/>
      <c r="BV165" s="173"/>
      <c r="BW165" s="173"/>
      <c r="BX165" s="173"/>
      <c r="BY165" s="173"/>
      <c r="BZ165" s="173"/>
      <c r="CA165" s="173"/>
      <c r="CB165" s="173"/>
      <c r="CC165" s="173"/>
      <c r="CD165" s="173"/>
      <c r="CE165" s="173"/>
      <c r="CF165" s="173"/>
      <c r="CG165" s="173"/>
      <c r="CH165" s="173"/>
      <c r="CI165" s="173"/>
      <c r="CJ165" s="173"/>
      <c r="CK165" s="173"/>
      <c r="CL165" s="173"/>
      <c r="CM165" s="173"/>
      <c r="CN165" s="173"/>
      <c r="CO165" s="173"/>
      <c r="CP165" s="173"/>
      <c r="CQ165" s="173"/>
      <c r="CR165" s="173"/>
      <c r="CS165" s="173"/>
      <c r="CT165" s="173"/>
      <c r="CU165" s="173"/>
      <c r="CV165" s="173"/>
      <c r="CW165" s="173"/>
      <c r="CX165" s="173"/>
      <c r="CY165" s="148"/>
      <c r="CZ165" s="148"/>
      <c r="DA165" s="148"/>
      <c r="DB165" s="148"/>
      <c r="DC165" s="148"/>
      <c r="DD165" s="148"/>
      <c r="DE165" s="148"/>
      <c r="DF165" s="148"/>
      <c r="DG165" s="148"/>
      <c r="DH165" s="148"/>
      <c r="DI165" s="148"/>
      <c r="DJ165" s="148"/>
      <c r="DK165" s="148"/>
      <c r="DL165" s="148"/>
      <c r="DM165" s="148"/>
      <c r="DN165" s="148"/>
      <c r="DO165" s="148"/>
      <c r="DP165" s="148"/>
      <c r="DQ165" s="148"/>
      <c r="DR165" s="148"/>
      <c r="DS165" s="148"/>
      <c r="DT165" s="148"/>
      <c r="DU165" s="148"/>
      <c r="DV165" s="148"/>
      <c r="DW165" s="148"/>
      <c r="DX165" s="148"/>
      <c r="DY165" s="148"/>
      <c r="DZ165" s="148"/>
      <c r="EA165" s="148"/>
      <c r="EB165" s="148"/>
      <c r="EC165" s="148"/>
      <c r="ED165" s="148"/>
      <c r="EE165" s="148"/>
      <c r="EF165" s="148"/>
      <c r="EG165" s="148"/>
      <c r="EH165" s="148"/>
      <c r="EI165" s="148"/>
      <c r="EJ165" s="148"/>
      <c r="EK165" s="148"/>
      <c r="EL165" s="148"/>
      <c r="EM165" s="148"/>
      <c r="EN165" s="148"/>
      <c r="EO165" s="148"/>
      <c r="EP165" s="148"/>
      <c r="EQ165" s="148"/>
      <c r="ER165" s="148"/>
      <c r="ES165" s="151"/>
      <c r="ET165" s="151"/>
      <c r="EU165" s="151"/>
      <c r="EV165" s="151"/>
      <c r="EW165" s="151"/>
      <c r="EX165" s="151"/>
      <c r="EY165" s="151"/>
      <c r="EZ165" s="151"/>
      <c r="FA165" s="151"/>
      <c r="FB165" s="151"/>
      <c r="FC165" s="151"/>
      <c r="FD165" s="151"/>
      <c r="FE165" s="151"/>
      <c r="FF165" s="151"/>
      <c r="FG165" s="151"/>
      <c r="FH165" s="151"/>
      <c r="FI165" s="151"/>
      <c r="FJ165" s="151"/>
      <c r="FK165" s="151"/>
      <c r="FL165" s="151"/>
      <c r="FM165" s="151"/>
      <c r="FN165" s="151"/>
      <c r="FO165" s="151"/>
      <c r="FP165" s="151"/>
      <c r="FQ165" s="151"/>
      <c r="FR165" s="151"/>
      <c r="FS165" s="151"/>
      <c r="FT165" s="151"/>
      <c r="FU165" s="151"/>
      <c r="FV165" s="151"/>
      <c r="FW165" s="151"/>
      <c r="FX165" s="151"/>
      <c r="FY165" s="151"/>
      <c r="FZ165" s="151"/>
      <c r="GA165" s="151"/>
      <c r="GB165" s="151"/>
      <c r="GC165" s="151"/>
      <c r="GD165" s="151"/>
      <c r="GE165" s="151"/>
      <c r="GF165" s="151"/>
      <c r="GG165" s="152"/>
    </row>
    <row r="166" spans="1:189" ht="27.75" x14ac:dyDescent="0.35">
      <c r="A166" s="267" t="s">
        <v>527</v>
      </c>
      <c r="B166" s="221" t="s">
        <v>1074</v>
      </c>
      <c r="C166" s="221"/>
      <c r="D166" s="222"/>
      <c r="E166" s="221" t="s">
        <v>536</v>
      </c>
      <c r="F166" s="221" t="s">
        <v>537</v>
      </c>
      <c r="G166" s="223">
        <v>2</v>
      </c>
      <c r="H166" s="224"/>
      <c r="I166" s="225"/>
      <c r="J166" s="225"/>
      <c r="K166" s="225"/>
      <c r="L166" s="226">
        <v>46174</v>
      </c>
      <c r="M166" s="226">
        <v>46218</v>
      </c>
      <c r="N166" s="226"/>
      <c r="O166" s="226">
        <v>46235</v>
      </c>
      <c r="P166" s="226">
        <v>46660</v>
      </c>
      <c r="Q166" s="227" t="s">
        <v>45</v>
      </c>
      <c r="R166" s="228">
        <v>1500000</v>
      </c>
      <c r="S166" s="228">
        <v>1500000</v>
      </c>
      <c r="T166" s="228"/>
      <c r="U166" s="191">
        <f t="shared" si="181"/>
        <v>0</v>
      </c>
      <c r="V166" s="230"/>
      <c r="W166" s="231"/>
      <c r="X166" s="46"/>
      <c r="Y166" s="167">
        <f t="shared" si="174"/>
        <v>1500000</v>
      </c>
      <c r="Z166" s="167">
        <f t="shared" si="175"/>
        <v>0</v>
      </c>
      <c r="AA166" s="167">
        <f t="shared" si="176"/>
        <v>1500000</v>
      </c>
      <c r="AB166" s="167">
        <f t="shared" si="177"/>
        <v>0</v>
      </c>
      <c r="AC166" s="167">
        <f t="shared" si="178"/>
        <v>0</v>
      </c>
      <c r="AD166" s="167">
        <f t="shared" si="179"/>
        <v>0</v>
      </c>
      <c r="AF166" s="180">
        <f t="shared" si="180"/>
        <v>1</v>
      </c>
      <c r="AG166" s="202" t="str">
        <f t="shared" si="173"/>
        <v>Magdalena Przeździak Boiler room roof ventilators and wall shutters</v>
      </c>
      <c r="AH166" s="172"/>
      <c r="AI166" s="173"/>
      <c r="AJ166" s="173"/>
      <c r="AK166" s="173"/>
      <c r="AL166" s="173"/>
      <c r="AM166" s="173"/>
      <c r="AN166" s="173"/>
      <c r="AO166" s="173"/>
      <c r="AP166" s="173"/>
      <c r="AQ166" s="173"/>
      <c r="AR166" s="173"/>
      <c r="AS166" s="173"/>
      <c r="AT166" s="173"/>
      <c r="AU166" s="173"/>
      <c r="AV166" s="173"/>
      <c r="AW166" s="173"/>
      <c r="AX166" s="173"/>
      <c r="AY166" s="173"/>
      <c r="AZ166" s="173"/>
      <c r="BA166" s="173"/>
      <c r="BB166" s="173"/>
      <c r="BC166" s="173"/>
      <c r="BD166" s="173"/>
      <c r="BE166" s="173"/>
      <c r="BF166" s="173"/>
      <c r="BG166" s="173"/>
      <c r="BH166" s="173"/>
      <c r="BI166" s="173"/>
      <c r="BJ166" s="173"/>
      <c r="BK166" s="173"/>
      <c r="BL166" s="173"/>
      <c r="BM166" s="173"/>
      <c r="BN166" s="173"/>
      <c r="BO166" s="173"/>
      <c r="BP166" s="173"/>
      <c r="BQ166" s="173"/>
      <c r="BR166" s="173"/>
      <c r="BS166" s="173"/>
      <c r="BT166" s="173"/>
      <c r="BU166" s="173"/>
      <c r="BV166" s="173"/>
      <c r="BW166" s="173"/>
      <c r="BX166" s="173"/>
      <c r="BY166" s="173"/>
      <c r="BZ166" s="173"/>
      <c r="CA166" s="173"/>
      <c r="CB166" s="173"/>
      <c r="CC166" s="173"/>
      <c r="CD166" s="173"/>
      <c r="CE166" s="173"/>
      <c r="CF166" s="173"/>
      <c r="CG166" s="173"/>
      <c r="CH166" s="173"/>
      <c r="CI166" s="173"/>
      <c r="CJ166" s="173"/>
      <c r="CK166" s="173"/>
      <c r="CL166" s="173"/>
      <c r="CM166" s="173"/>
      <c r="CN166" s="173"/>
      <c r="CO166" s="173"/>
      <c r="CP166" s="173"/>
      <c r="CQ166" s="173"/>
      <c r="CR166" s="173"/>
      <c r="CS166" s="173"/>
      <c r="CT166" s="173"/>
      <c r="CU166" s="173"/>
      <c r="CV166" s="173"/>
      <c r="CW166" s="173"/>
      <c r="CX166" s="173"/>
      <c r="CY166" s="148"/>
      <c r="CZ166" s="148"/>
      <c r="DA166" s="148"/>
      <c r="DB166" s="148"/>
      <c r="DC166" s="148"/>
      <c r="DD166" s="148"/>
      <c r="DE166" s="148"/>
      <c r="DF166" s="148"/>
      <c r="DG166" s="148"/>
      <c r="DH166" s="148"/>
      <c r="DI166" s="148"/>
      <c r="DJ166" s="148"/>
      <c r="DK166" s="148"/>
      <c r="DL166" s="148"/>
      <c r="DM166" s="148"/>
      <c r="DN166" s="148"/>
      <c r="DO166" s="148"/>
      <c r="DP166" s="148"/>
      <c r="DQ166" s="148"/>
      <c r="DR166" s="148"/>
      <c r="DS166" s="148"/>
      <c r="DT166" s="148"/>
      <c r="DU166" s="148"/>
      <c r="DV166" s="148"/>
      <c r="DW166" s="148"/>
      <c r="DX166" s="148"/>
      <c r="DY166" s="148"/>
      <c r="DZ166" s="148"/>
      <c r="EA166" s="148"/>
      <c r="EB166" s="148"/>
      <c r="EC166" s="148"/>
      <c r="ED166" s="148"/>
      <c r="EE166" s="148"/>
      <c r="EF166" s="148"/>
      <c r="EG166" s="148"/>
      <c r="EH166" s="148"/>
      <c r="EI166" s="148"/>
      <c r="EJ166" s="148"/>
      <c r="EK166" s="148"/>
      <c r="EL166" s="148"/>
      <c r="EM166" s="148"/>
      <c r="EN166" s="148"/>
      <c r="EO166" s="148"/>
      <c r="EP166" s="148"/>
      <c r="EQ166" s="148"/>
      <c r="ER166" s="148"/>
      <c r="ES166" s="151"/>
      <c r="ET166" s="151"/>
      <c r="EU166" s="151"/>
      <c r="EV166" s="151"/>
      <c r="EW166" s="151"/>
      <c r="EX166" s="151"/>
      <c r="EY166" s="151"/>
      <c r="EZ166" s="151"/>
      <c r="FA166" s="151"/>
      <c r="FB166" s="151"/>
      <c r="FC166" s="151"/>
      <c r="FD166" s="151"/>
      <c r="FE166" s="151"/>
      <c r="FF166" s="151"/>
      <c r="FG166" s="151"/>
      <c r="FH166" s="151"/>
      <c r="FI166" s="151"/>
      <c r="FJ166" s="151"/>
      <c r="FK166" s="151"/>
      <c r="FL166" s="151"/>
      <c r="FM166" s="151"/>
      <c r="FN166" s="151"/>
      <c r="FO166" s="151"/>
      <c r="FP166" s="151"/>
      <c r="FQ166" s="151"/>
      <c r="FR166" s="151"/>
      <c r="FS166" s="151"/>
      <c r="FT166" s="151"/>
      <c r="FU166" s="151"/>
      <c r="FV166" s="151"/>
      <c r="FW166" s="151"/>
      <c r="FX166" s="151"/>
      <c r="FY166" s="151"/>
      <c r="FZ166" s="151"/>
      <c r="GA166" s="151"/>
      <c r="GB166" s="151"/>
      <c r="GC166" s="151"/>
      <c r="GD166" s="151"/>
      <c r="GE166" s="151"/>
      <c r="GF166" s="151"/>
      <c r="GG166" s="152"/>
    </row>
    <row r="167" spans="1:189" ht="27.75" x14ac:dyDescent="0.35">
      <c r="A167" s="267" t="s">
        <v>528</v>
      </c>
      <c r="B167" s="221" t="s">
        <v>1074</v>
      </c>
      <c r="C167" s="221"/>
      <c r="D167" s="222"/>
      <c r="E167" s="221" t="s">
        <v>519</v>
      </c>
      <c r="F167" s="221" t="s">
        <v>326</v>
      </c>
      <c r="G167" s="223">
        <v>2</v>
      </c>
      <c r="H167" s="224"/>
      <c r="I167" s="225"/>
      <c r="J167" s="225"/>
      <c r="K167" s="225"/>
      <c r="L167" s="226">
        <v>46174</v>
      </c>
      <c r="M167" s="226">
        <v>46218</v>
      </c>
      <c r="N167" s="226"/>
      <c r="O167" s="226">
        <v>46235</v>
      </c>
      <c r="P167" s="226">
        <v>46660</v>
      </c>
      <c r="Q167" s="227" t="s">
        <v>45</v>
      </c>
      <c r="R167" s="228">
        <v>3107033</v>
      </c>
      <c r="S167" s="228">
        <v>3107033</v>
      </c>
      <c r="T167" s="228"/>
      <c r="U167" s="191">
        <f t="shared" si="181"/>
        <v>0</v>
      </c>
      <c r="V167" s="230"/>
      <c r="W167" s="231"/>
      <c r="X167" s="46"/>
      <c r="Y167" s="167">
        <f t="shared" si="174"/>
        <v>3107033</v>
      </c>
      <c r="Z167" s="167">
        <f t="shared" si="175"/>
        <v>0</v>
      </c>
      <c r="AA167" s="167">
        <f t="shared" si="176"/>
        <v>3107033</v>
      </c>
      <c r="AB167" s="167">
        <f t="shared" si="177"/>
        <v>0</v>
      </c>
      <c r="AC167" s="167">
        <f t="shared" si="178"/>
        <v>0</v>
      </c>
      <c r="AD167" s="167">
        <f t="shared" si="179"/>
        <v>0</v>
      </c>
      <c r="AF167" s="47">
        <f t="shared" si="180"/>
        <v>1</v>
      </c>
      <c r="AG167" s="202" t="str">
        <f t="shared" si="173"/>
        <v>Magdalena Przeździak HVAC for the technological buildings</v>
      </c>
      <c r="AH167" s="172"/>
      <c r="AI167" s="173"/>
      <c r="AJ167" s="173"/>
      <c r="AK167" s="173"/>
      <c r="AL167" s="173"/>
      <c r="AM167" s="173"/>
      <c r="AN167" s="173"/>
      <c r="AO167" s="173"/>
      <c r="AP167" s="173"/>
      <c r="AQ167" s="173"/>
      <c r="AR167" s="173"/>
      <c r="AS167" s="173"/>
      <c r="AT167" s="173"/>
      <c r="AU167" s="173"/>
      <c r="AV167" s="173"/>
      <c r="AW167" s="173"/>
      <c r="AX167" s="173"/>
      <c r="AY167" s="173"/>
      <c r="AZ167" s="173"/>
      <c r="BA167" s="173"/>
      <c r="BB167" s="173"/>
      <c r="BC167" s="173"/>
      <c r="BD167" s="173"/>
      <c r="BE167" s="173"/>
      <c r="BF167" s="173"/>
      <c r="BG167" s="173"/>
      <c r="BH167" s="173"/>
      <c r="BI167" s="173"/>
      <c r="BJ167" s="173"/>
      <c r="BK167" s="173"/>
      <c r="BL167" s="173"/>
      <c r="BM167" s="173"/>
      <c r="BN167" s="173"/>
      <c r="BO167" s="173"/>
      <c r="BP167" s="173"/>
      <c r="BQ167" s="173"/>
      <c r="BR167" s="173"/>
      <c r="BS167" s="173"/>
      <c r="BT167" s="173"/>
      <c r="BU167" s="173"/>
      <c r="BV167" s="173"/>
      <c r="BW167" s="173"/>
      <c r="BX167" s="173"/>
      <c r="BY167" s="173"/>
      <c r="BZ167" s="173"/>
      <c r="CA167" s="173"/>
      <c r="CB167" s="173"/>
      <c r="CC167" s="173"/>
      <c r="CD167" s="173"/>
      <c r="CE167" s="173"/>
      <c r="CF167" s="173"/>
      <c r="CG167" s="173"/>
      <c r="CH167" s="173"/>
      <c r="CI167" s="173"/>
      <c r="CJ167" s="173"/>
      <c r="CK167" s="173"/>
      <c r="CL167" s="173"/>
      <c r="CM167" s="173"/>
      <c r="CN167" s="173"/>
      <c r="CO167" s="173"/>
      <c r="CP167" s="173"/>
      <c r="CQ167" s="173"/>
      <c r="CR167" s="173"/>
      <c r="CS167" s="173"/>
      <c r="CT167" s="173"/>
      <c r="CU167" s="173"/>
      <c r="CV167" s="173"/>
      <c r="CW167" s="173"/>
      <c r="CX167" s="173"/>
      <c r="CY167" s="148"/>
      <c r="CZ167" s="148"/>
      <c r="DA167" s="148"/>
      <c r="DB167" s="148"/>
      <c r="DC167" s="148"/>
      <c r="DD167" s="148"/>
      <c r="DE167" s="148"/>
      <c r="DF167" s="148"/>
      <c r="DG167" s="148"/>
      <c r="DH167" s="148"/>
      <c r="DI167" s="148"/>
      <c r="DJ167" s="148"/>
      <c r="DK167" s="148"/>
      <c r="DL167" s="148"/>
      <c r="DM167" s="148"/>
      <c r="DN167" s="148"/>
      <c r="DO167" s="148"/>
      <c r="DP167" s="148"/>
      <c r="DQ167" s="148"/>
      <c r="DR167" s="148"/>
      <c r="DS167" s="148"/>
      <c r="DT167" s="148"/>
      <c r="DU167" s="148"/>
      <c r="DV167" s="148"/>
      <c r="DW167" s="148"/>
      <c r="DX167" s="148"/>
      <c r="DY167" s="148"/>
      <c r="DZ167" s="148"/>
      <c r="EA167" s="148"/>
      <c r="EB167" s="148"/>
      <c r="EC167" s="148"/>
      <c r="ED167" s="148"/>
      <c r="EE167" s="148"/>
      <c r="EF167" s="148"/>
      <c r="EG167" s="148"/>
      <c r="EH167" s="148"/>
      <c r="EI167" s="148"/>
      <c r="EJ167" s="148"/>
      <c r="EK167" s="148"/>
      <c r="EL167" s="148"/>
      <c r="EM167" s="148"/>
      <c r="EN167" s="148"/>
      <c r="EO167" s="148"/>
      <c r="EP167" s="148"/>
      <c r="EQ167" s="148"/>
      <c r="ER167" s="148"/>
      <c r="ES167" s="151"/>
      <c r="ET167" s="151"/>
      <c r="EU167" s="151"/>
      <c r="EV167" s="151"/>
      <c r="EW167" s="151"/>
      <c r="EX167" s="151"/>
      <c r="EY167" s="151"/>
      <c r="EZ167" s="151"/>
      <c r="FA167" s="151"/>
      <c r="FB167" s="151"/>
      <c r="FC167" s="151"/>
      <c r="FD167" s="151"/>
      <c r="FE167" s="151"/>
      <c r="FF167" s="151"/>
      <c r="FG167" s="151"/>
      <c r="FH167" s="151"/>
      <c r="FI167" s="151"/>
      <c r="FJ167" s="151"/>
      <c r="FK167" s="151"/>
      <c r="FL167" s="151"/>
      <c r="FM167" s="151"/>
      <c r="FN167" s="151"/>
      <c r="FO167" s="151"/>
      <c r="FP167" s="151"/>
      <c r="FQ167" s="151"/>
      <c r="FR167" s="151"/>
      <c r="FS167" s="151"/>
      <c r="FT167" s="151"/>
      <c r="FU167" s="151"/>
      <c r="FV167" s="151"/>
      <c r="FW167" s="151"/>
      <c r="FX167" s="151"/>
      <c r="FY167" s="151"/>
      <c r="FZ167" s="151"/>
      <c r="GA167" s="151"/>
      <c r="GB167" s="151"/>
      <c r="GC167" s="151"/>
      <c r="GD167" s="151"/>
      <c r="GE167" s="151"/>
      <c r="GF167" s="151"/>
      <c r="GG167" s="152"/>
    </row>
    <row r="168" spans="1:189" ht="27.75" x14ac:dyDescent="0.35">
      <c r="A168" s="267" t="s">
        <v>529</v>
      </c>
      <c r="B168" s="221" t="s">
        <v>1074</v>
      </c>
      <c r="C168" s="221"/>
      <c r="D168" s="222"/>
      <c r="E168" s="221" t="s">
        <v>520</v>
      </c>
      <c r="F168" s="221" t="s">
        <v>327</v>
      </c>
      <c r="G168" s="223">
        <v>2</v>
      </c>
      <c r="H168" s="224"/>
      <c r="I168" s="225"/>
      <c r="J168" s="225"/>
      <c r="K168" s="225"/>
      <c r="L168" s="226">
        <v>46174</v>
      </c>
      <c r="M168" s="226">
        <v>46218</v>
      </c>
      <c r="N168" s="226"/>
      <c r="O168" s="226">
        <v>46235</v>
      </c>
      <c r="P168" s="226">
        <v>46660</v>
      </c>
      <c r="Q168" s="227" t="s">
        <v>45</v>
      </c>
      <c r="R168" s="228">
        <v>1548256</v>
      </c>
      <c r="S168" s="228">
        <v>1548256</v>
      </c>
      <c r="T168" s="228"/>
      <c r="U168" s="191">
        <f t="shared" si="181"/>
        <v>0</v>
      </c>
      <c r="V168" s="230"/>
      <c r="W168" s="231"/>
      <c r="X168" s="46"/>
      <c r="Y168" s="167">
        <f t="shared" si="174"/>
        <v>1548256</v>
      </c>
      <c r="Z168" s="167">
        <f t="shared" si="175"/>
        <v>0</v>
      </c>
      <c r="AA168" s="167">
        <f t="shared" si="176"/>
        <v>1548256</v>
      </c>
      <c r="AB168" s="167">
        <f t="shared" si="177"/>
        <v>0</v>
      </c>
      <c r="AC168" s="167">
        <f t="shared" si="178"/>
        <v>0</v>
      </c>
      <c r="AD168" s="167">
        <f t="shared" si="179"/>
        <v>0</v>
      </c>
      <c r="AF168" s="180">
        <f t="shared" si="180"/>
        <v>1</v>
      </c>
      <c r="AG168" s="202" t="str">
        <f t="shared" si="173"/>
        <v xml:space="preserve">Magdalena Przeździak HVAC for the other buildings </v>
      </c>
      <c r="AH168" s="172"/>
      <c r="AI168" s="173"/>
      <c r="AJ168" s="173"/>
      <c r="AK168" s="173"/>
      <c r="AL168" s="173"/>
      <c r="AM168" s="173"/>
      <c r="AN168" s="173"/>
      <c r="AO168" s="173"/>
      <c r="AP168" s="173"/>
      <c r="AQ168" s="173"/>
      <c r="AR168" s="173"/>
      <c r="AS168" s="173"/>
      <c r="AT168" s="173"/>
      <c r="AU168" s="173"/>
      <c r="AV168" s="173"/>
      <c r="AW168" s="173"/>
      <c r="AX168" s="173"/>
      <c r="AY168" s="173"/>
      <c r="AZ168" s="173"/>
      <c r="BA168" s="173"/>
      <c r="BB168" s="173"/>
      <c r="BC168" s="173"/>
      <c r="BD168" s="173"/>
      <c r="BE168" s="173"/>
      <c r="BF168" s="173"/>
      <c r="BG168" s="173"/>
      <c r="BH168" s="173"/>
      <c r="BI168" s="173"/>
      <c r="BJ168" s="173"/>
      <c r="BK168" s="173"/>
      <c r="BL168" s="173"/>
      <c r="BM168" s="173"/>
      <c r="BN168" s="173"/>
      <c r="BO168" s="173"/>
      <c r="BP168" s="173"/>
      <c r="BQ168" s="173"/>
      <c r="BR168" s="173"/>
      <c r="BS168" s="173"/>
      <c r="BT168" s="173"/>
      <c r="BU168" s="173"/>
      <c r="BV168" s="173"/>
      <c r="BW168" s="173"/>
      <c r="BX168" s="173"/>
      <c r="BY168" s="173"/>
      <c r="BZ168" s="173"/>
      <c r="CA168" s="173"/>
      <c r="CB168" s="173"/>
      <c r="CC168" s="173"/>
      <c r="CD168" s="173"/>
      <c r="CE168" s="173"/>
      <c r="CF168" s="173"/>
      <c r="CG168" s="173"/>
      <c r="CH168" s="173"/>
      <c r="CI168" s="173"/>
      <c r="CJ168" s="173"/>
      <c r="CK168" s="173"/>
      <c r="CL168" s="173"/>
      <c r="CM168" s="173"/>
      <c r="CN168" s="173"/>
      <c r="CO168" s="173"/>
      <c r="CP168" s="173"/>
      <c r="CQ168" s="173"/>
      <c r="CR168" s="173"/>
      <c r="CS168" s="173"/>
      <c r="CT168" s="173"/>
      <c r="CU168" s="173"/>
      <c r="CV168" s="173"/>
      <c r="CW168" s="173"/>
      <c r="CX168" s="173"/>
      <c r="CY168" s="148"/>
      <c r="CZ168" s="148"/>
      <c r="DA168" s="148"/>
      <c r="DB168" s="148"/>
      <c r="DC168" s="148"/>
      <c r="DD168" s="148"/>
      <c r="DE168" s="148"/>
      <c r="DF168" s="148"/>
      <c r="DG168" s="148"/>
      <c r="DH168" s="148"/>
      <c r="DI168" s="148"/>
      <c r="DJ168" s="148"/>
      <c r="DK168" s="148"/>
      <c r="DL168" s="148"/>
      <c r="DM168" s="148"/>
      <c r="DN168" s="148"/>
      <c r="DO168" s="148"/>
      <c r="DP168" s="148"/>
      <c r="DQ168" s="148"/>
      <c r="DR168" s="148"/>
      <c r="DS168" s="148"/>
      <c r="DT168" s="148"/>
      <c r="DU168" s="148"/>
      <c r="DV168" s="148"/>
      <c r="DW168" s="148"/>
      <c r="DX168" s="148"/>
      <c r="DY168" s="148"/>
      <c r="DZ168" s="148"/>
      <c r="EA168" s="148"/>
      <c r="EB168" s="148"/>
      <c r="EC168" s="148"/>
      <c r="ED168" s="148"/>
      <c r="EE168" s="148"/>
      <c r="EF168" s="148"/>
      <c r="EG168" s="148"/>
      <c r="EH168" s="148"/>
      <c r="EI168" s="148"/>
      <c r="EJ168" s="148"/>
      <c r="EK168" s="148"/>
      <c r="EL168" s="148"/>
      <c r="EM168" s="148"/>
      <c r="EN168" s="148"/>
      <c r="EO168" s="148"/>
      <c r="EP168" s="148"/>
      <c r="EQ168" s="148"/>
      <c r="ER168" s="148"/>
      <c r="ES168" s="151"/>
      <c r="ET168" s="151"/>
      <c r="EU168" s="151"/>
      <c r="EV168" s="151"/>
      <c r="EW168" s="151"/>
      <c r="EX168" s="151"/>
      <c r="EY168" s="151"/>
      <c r="EZ168" s="151"/>
      <c r="FA168" s="151"/>
      <c r="FB168" s="151"/>
      <c r="FC168" s="151"/>
      <c r="FD168" s="151"/>
      <c r="FE168" s="151"/>
      <c r="FF168" s="151"/>
      <c r="FG168" s="151"/>
      <c r="FH168" s="151"/>
      <c r="FI168" s="151"/>
      <c r="FJ168" s="151"/>
      <c r="FK168" s="151"/>
      <c r="FL168" s="151"/>
      <c r="FM168" s="151"/>
      <c r="FN168" s="151"/>
      <c r="FO168" s="151"/>
      <c r="FP168" s="151"/>
      <c r="FQ168" s="151"/>
      <c r="FR168" s="151"/>
      <c r="FS168" s="151"/>
      <c r="FT168" s="151"/>
      <c r="FU168" s="151"/>
      <c r="FV168" s="151"/>
      <c r="FW168" s="151"/>
      <c r="FX168" s="151"/>
      <c r="FY168" s="151"/>
      <c r="FZ168" s="151"/>
      <c r="GA168" s="151"/>
      <c r="GB168" s="151"/>
      <c r="GC168" s="151"/>
      <c r="GD168" s="151"/>
      <c r="GE168" s="151"/>
      <c r="GF168" s="151"/>
      <c r="GG168" s="152"/>
    </row>
    <row r="169" spans="1:189" ht="55.5" x14ac:dyDescent="0.35">
      <c r="A169" s="267" t="s">
        <v>530</v>
      </c>
      <c r="B169" s="221" t="s">
        <v>1074</v>
      </c>
      <c r="C169" s="221"/>
      <c r="D169" s="222"/>
      <c r="E169" s="221" t="s">
        <v>521</v>
      </c>
      <c r="F169" s="221" t="s">
        <v>333</v>
      </c>
      <c r="G169" s="223">
        <v>2</v>
      </c>
      <c r="H169" s="224"/>
      <c r="I169" s="225"/>
      <c r="J169" s="225"/>
      <c r="K169" s="225"/>
      <c r="L169" s="226">
        <v>46205</v>
      </c>
      <c r="M169" s="226">
        <v>46265</v>
      </c>
      <c r="N169" s="226"/>
      <c r="O169" s="226">
        <v>46569</v>
      </c>
      <c r="P169" s="226">
        <v>46691</v>
      </c>
      <c r="Q169" s="227" t="s">
        <v>45</v>
      </c>
      <c r="R169" s="228">
        <v>1053444</v>
      </c>
      <c r="S169" s="228">
        <v>1053444</v>
      </c>
      <c r="T169" s="228"/>
      <c r="U169" s="191">
        <f t="shared" si="181"/>
        <v>0</v>
      </c>
      <c r="V169" s="230"/>
      <c r="W169" s="231"/>
      <c r="X169" s="46"/>
      <c r="Y169" s="167">
        <f t="shared" si="174"/>
        <v>1053444</v>
      </c>
      <c r="Z169" s="167">
        <f t="shared" si="175"/>
        <v>0</v>
      </c>
      <c r="AA169" s="167">
        <f t="shared" si="176"/>
        <v>1053444</v>
      </c>
      <c r="AB169" s="167">
        <f t="shared" si="177"/>
        <v>0</v>
      </c>
      <c r="AC169" s="167">
        <f t="shared" si="178"/>
        <v>0</v>
      </c>
      <c r="AD169" s="167">
        <f t="shared" si="179"/>
        <v>0</v>
      </c>
      <c r="AF169" s="47">
        <f t="shared" si="180"/>
        <v>1</v>
      </c>
      <c r="AG169" s="202" t="str">
        <f t="shared" si="173"/>
        <v>Magdalena Przeździak Service water storage, pumping, underground and external distribution + Sanitary facilities (toilets, showers, etc.)</v>
      </c>
      <c r="AH169" s="172"/>
      <c r="AI169" s="173"/>
      <c r="AJ169" s="173"/>
      <c r="AK169" s="173"/>
      <c r="AL169" s="173"/>
      <c r="AM169" s="173"/>
      <c r="AN169" s="173"/>
      <c r="AO169" s="173"/>
      <c r="AP169" s="173"/>
      <c r="AQ169" s="173"/>
      <c r="AR169" s="173"/>
      <c r="AS169" s="173"/>
      <c r="AT169" s="173"/>
      <c r="AU169" s="173"/>
      <c r="AV169" s="173"/>
      <c r="AW169" s="173"/>
      <c r="AX169" s="173"/>
      <c r="AY169" s="173"/>
      <c r="AZ169" s="173"/>
      <c r="BA169" s="173"/>
      <c r="BB169" s="173"/>
      <c r="BC169" s="173"/>
      <c r="BD169" s="173"/>
      <c r="BE169" s="173"/>
      <c r="BF169" s="173"/>
      <c r="BG169" s="173"/>
      <c r="BH169" s="173"/>
      <c r="BI169" s="173"/>
      <c r="BJ169" s="173"/>
      <c r="BK169" s="173"/>
      <c r="BL169" s="173"/>
      <c r="BM169" s="173"/>
      <c r="BN169" s="173"/>
      <c r="BO169" s="173"/>
      <c r="BP169" s="173"/>
      <c r="BQ169" s="173"/>
      <c r="BR169" s="173"/>
      <c r="BS169" s="173"/>
      <c r="BT169" s="173"/>
      <c r="BU169" s="173"/>
      <c r="BV169" s="173"/>
      <c r="BW169" s="173"/>
      <c r="BX169" s="173"/>
      <c r="BY169" s="173"/>
      <c r="BZ169" s="173"/>
      <c r="CA169" s="173"/>
      <c r="CB169" s="173"/>
      <c r="CC169" s="173"/>
      <c r="CD169" s="173"/>
      <c r="CE169" s="173"/>
      <c r="CF169" s="173"/>
      <c r="CG169" s="173"/>
      <c r="CH169" s="173"/>
      <c r="CI169" s="173"/>
      <c r="CJ169" s="173"/>
      <c r="CK169" s="173"/>
      <c r="CL169" s="173"/>
      <c r="CM169" s="173"/>
      <c r="CN169" s="173"/>
      <c r="CO169" s="173"/>
      <c r="CP169" s="173"/>
      <c r="CQ169" s="173"/>
      <c r="CR169" s="173"/>
      <c r="CS169" s="173"/>
      <c r="CT169" s="173"/>
      <c r="CU169" s="173"/>
      <c r="CV169" s="173"/>
      <c r="CW169" s="173"/>
      <c r="CX169" s="173"/>
      <c r="CY169" s="148"/>
      <c r="CZ169" s="148"/>
      <c r="DA169" s="148"/>
      <c r="DB169" s="148"/>
      <c r="DC169" s="148"/>
      <c r="DD169" s="148"/>
      <c r="DE169" s="148"/>
      <c r="DF169" s="148"/>
      <c r="DG169" s="148"/>
      <c r="DH169" s="148"/>
      <c r="DI169" s="148"/>
      <c r="DJ169" s="148"/>
      <c r="DK169" s="148"/>
      <c r="DL169" s="148"/>
      <c r="DM169" s="148"/>
      <c r="DN169" s="148"/>
      <c r="DO169" s="148"/>
      <c r="DP169" s="148"/>
      <c r="DQ169" s="148"/>
      <c r="DR169" s="148"/>
      <c r="DS169" s="148"/>
      <c r="DT169" s="148"/>
      <c r="DU169" s="148"/>
      <c r="DV169" s="148"/>
      <c r="DW169" s="148"/>
      <c r="DX169" s="148"/>
      <c r="DY169" s="148"/>
      <c r="DZ169" s="148"/>
      <c r="EA169" s="148"/>
      <c r="EB169" s="148"/>
      <c r="EC169" s="148"/>
      <c r="ED169" s="148"/>
      <c r="EE169" s="148"/>
      <c r="EF169" s="148"/>
      <c r="EG169" s="148"/>
      <c r="EH169" s="148"/>
      <c r="EI169" s="148"/>
      <c r="EJ169" s="148"/>
      <c r="EK169" s="148"/>
      <c r="EL169" s="148"/>
      <c r="EM169" s="148"/>
      <c r="EN169" s="148"/>
      <c r="EO169" s="148"/>
      <c r="EP169" s="148"/>
      <c r="EQ169" s="148"/>
      <c r="ER169" s="148"/>
      <c r="ES169" s="148"/>
      <c r="ET169" s="148"/>
      <c r="EU169" s="148"/>
      <c r="EV169" s="148"/>
      <c r="EW169" s="148"/>
      <c r="EX169" s="148"/>
      <c r="EY169" s="148"/>
      <c r="EZ169" s="148"/>
      <c r="FA169" s="148"/>
      <c r="FB169" s="148"/>
      <c r="FC169" s="148"/>
      <c r="FD169" s="148"/>
      <c r="FE169" s="148"/>
      <c r="FF169" s="148"/>
      <c r="FG169" s="148"/>
      <c r="FH169" s="148"/>
      <c r="FI169" s="148"/>
      <c r="FJ169" s="148"/>
      <c r="FK169" s="148"/>
      <c r="FL169" s="148"/>
      <c r="FM169" s="148"/>
      <c r="FN169" s="148"/>
      <c r="FO169" s="148"/>
      <c r="FP169" s="148"/>
      <c r="FQ169" s="148"/>
      <c r="FR169" s="148"/>
      <c r="FS169" s="148"/>
      <c r="FT169" s="148"/>
      <c r="FU169" s="148"/>
      <c r="FV169" s="148"/>
      <c r="FW169" s="148"/>
      <c r="FX169" s="148"/>
      <c r="FY169" s="148"/>
      <c r="FZ169" s="148"/>
      <c r="GA169" s="148"/>
      <c r="GB169" s="148"/>
      <c r="GC169" s="148"/>
      <c r="GD169" s="148"/>
      <c r="GE169" s="148"/>
      <c r="GF169" s="148"/>
      <c r="GG169" s="149"/>
    </row>
    <row r="170" spans="1:189" ht="41.65" x14ac:dyDescent="0.35">
      <c r="A170" s="267" t="s">
        <v>531</v>
      </c>
      <c r="B170" s="221" t="s">
        <v>1074</v>
      </c>
      <c r="C170" s="221"/>
      <c r="D170" s="222"/>
      <c r="E170" s="221" t="s">
        <v>526</v>
      </c>
      <c r="F170" s="221" t="s">
        <v>328</v>
      </c>
      <c r="G170" s="223">
        <v>2</v>
      </c>
      <c r="H170" s="224"/>
      <c r="I170" s="225"/>
      <c r="J170" s="225"/>
      <c r="K170" s="225"/>
      <c r="L170" s="226">
        <v>46176</v>
      </c>
      <c r="M170" s="226">
        <v>46236</v>
      </c>
      <c r="N170" s="226"/>
      <c r="O170" s="226">
        <v>46569</v>
      </c>
      <c r="P170" s="226">
        <v>46691</v>
      </c>
      <c r="Q170" s="227" t="s">
        <v>45</v>
      </c>
      <c r="R170" s="228">
        <v>637613</v>
      </c>
      <c r="S170" s="228">
        <v>637613</v>
      </c>
      <c r="T170" s="228"/>
      <c r="U170" s="191">
        <f t="shared" si="181"/>
        <v>0</v>
      </c>
      <c r="V170" s="230"/>
      <c r="W170" s="232"/>
      <c r="X170" s="46"/>
      <c r="Y170" s="167">
        <f t="shared" si="174"/>
        <v>637613</v>
      </c>
      <c r="Z170" s="167">
        <f t="shared" si="175"/>
        <v>0</v>
      </c>
      <c r="AA170" s="167">
        <f t="shared" si="176"/>
        <v>637613</v>
      </c>
      <c r="AB170" s="167">
        <f t="shared" si="177"/>
        <v>0</v>
      </c>
      <c r="AC170" s="167">
        <f t="shared" si="178"/>
        <v>0</v>
      </c>
      <c r="AD170" s="167">
        <f t="shared" si="179"/>
        <v>0</v>
      </c>
      <c r="AF170" s="180">
        <f t="shared" si="180"/>
        <v>1</v>
      </c>
      <c r="AG170" s="202" t="str">
        <f t="shared" si="173"/>
        <v>Magdalena Przeździak Sanitary water, connection to source, storage, pumping, underground and external distribution</v>
      </c>
      <c r="AH170" s="172"/>
      <c r="AI170" s="173"/>
      <c r="AJ170" s="173"/>
      <c r="AK170" s="173"/>
      <c r="AL170" s="173"/>
      <c r="AM170" s="173"/>
      <c r="AN170" s="173"/>
      <c r="AO170" s="173"/>
      <c r="AP170" s="173"/>
      <c r="AQ170" s="173"/>
      <c r="AR170" s="173"/>
      <c r="AS170" s="173"/>
      <c r="AT170" s="173"/>
      <c r="AU170" s="173"/>
      <c r="AV170" s="173"/>
      <c r="AW170" s="173"/>
      <c r="AX170" s="173"/>
      <c r="AY170" s="173"/>
      <c r="AZ170" s="173"/>
      <c r="BA170" s="173"/>
      <c r="BB170" s="173"/>
      <c r="BC170" s="173"/>
      <c r="BD170" s="173"/>
      <c r="BE170" s="173"/>
      <c r="BF170" s="173"/>
      <c r="BG170" s="173"/>
      <c r="BH170" s="173"/>
      <c r="BI170" s="173"/>
      <c r="BJ170" s="173"/>
      <c r="BK170" s="173"/>
      <c r="BL170" s="173"/>
      <c r="BM170" s="173"/>
      <c r="BN170" s="173"/>
      <c r="BO170" s="173"/>
      <c r="BP170" s="173"/>
      <c r="BQ170" s="173"/>
      <c r="BR170" s="173"/>
      <c r="BS170" s="173"/>
      <c r="BT170" s="173"/>
      <c r="BU170" s="173"/>
      <c r="BV170" s="173"/>
      <c r="BW170" s="173"/>
      <c r="BX170" s="173"/>
      <c r="BY170" s="173"/>
      <c r="BZ170" s="173"/>
      <c r="CA170" s="173"/>
      <c r="CB170" s="173"/>
      <c r="CC170" s="173"/>
      <c r="CD170" s="173"/>
      <c r="CE170" s="173"/>
      <c r="CF170" s="173"/>
      <c r="CG170" s="173"/>
      <c r="CH170" s="173"/>
      <c r="CI170" s="173"/>
      <c r="CJ170" s="173"/>
      <c r="CK170" s="173"/>
      <c r="CL170" s="173"/>
      <c r="CM170" s="173"/>
      <c r="CN170" s="173"/>
      <c r="CO170" s="173"/>
      <c r="CP170" s="173"/>
      <c r="CQ170" s="173"/>
      <c r="CR170" s="173"/>
      <c r="CS170" s="173"/>
      <c r="CT170" s="173"/>
      <c r="CU170" s="173"/>
      <c r="CV170" s="173"/>
      <c r="CW170" s="173"/>
      <c r="CX170" s="173"/>
      <c r="CY170" s="148"/>
      <c r="CZ170" s="148"/>
      <c r="DA170" s="148"/>
      <c r="DB170" s="148"/>
      <c r="DC170" s="148"/>
      <c r="DD170" s="148"/>
      <c r="DE170" s="148"/>
      <c r="DF170" s="148"/>
      <c r="DG170" s="148"/>
      <c r="DH170" s="148"/>
      <c r="DI170" s="148"/>
      <c r="DJ170" s="148"/>
      <c r="DK170" s="148"/>
      <c r="DL170" s="148"/>
      <c r="DM170" s="148"/>
      <c r="DN170" s="148"/>
      <c r="DO170" s="148"/>
      <c r="DP170" s="148"/>
      <c r="DQ170" s="148"/>
      <c r="DR170" s="148"/>
      <c r="DS170" s="148"/>
      <c r="DT170" s="148"/>
      <c r="DU170" s="148"/>
      <c r="DV170" s="148"/>
      <c r="DW170" s="148"/>
      <c r="DX170" s="148"/>
      <c r="DY170" s="148"/>
      <c r="DZ170" s="148"/>
      <c r="EA170" s="148"/>
      <c r="EB170" s="148"/>
      <c r="EC170" s="148"/>
      <c r="ED170" s="148"/>
      <c r="EE170" s="148"/>
      <c r="EF170" s="148"/>
      <c r="EG170" s="148"/>
      <c r="EH170" s="148"/>
      <c r="EI170" s="148"/>
      <c r="EJ170" s="148"/>
      <c r="EK170" s="148"/>
      <c r="EL170" s="148"/>
      <c r="EM170" s="148"/>
      <c r="EN170" s="148"/>
      <c r="EO170" s="148"/>
      <c r="EP170" s="148"/>
      <c r="EQ170" s="148"/>
      <c r="ER170" s="148"/>
      <c r="ES170" s="151"/>
      <c r="ET170" s="151"/>
      <c r="EU170" s="151"/>
      <c r="EV170" s="151"/>
      <c r="EW170" s="151"/>
      <c r="EX170" s="151"/>
      <c r="EY170" s="151"/>
      <c r="EZ170" s="151"/>
      <c r="FA170" s="151"/>
      <c r="FB170" s="151"/>
      <c r="FC170" s="151"/>
      <c r="FD170" s="151"/>
      <c r="FE170" s="151"/>
      <c r="FF170" s="151"/>
      <c r="FG170" s="151"/>
      <c r="FH170" s="151"/>
      <c r="FI170" s="151"/>
      <c r="FJ170" s="151"/>
      <c r="FK170" s="151"/>
      <c r="FL170" s="151"/>
      <c r="FM170" s="151"/>
      <c r="FN170" s="151"/>
      <c r="FO170" s="151"/>
      <c r="FP170" s="151"/>
      <c r="FQ170" s="151"/>
      <c r="FR170" s="151"/>
      <c r="FS170" s="151"/>
      <c r="FT170" s="151"/>
      <c r="FU170" s="151"/>
      <c r="FV170" s="151"/>
      <c r="FW170" s="151"/>
      <c r="FX170" s="151"/>
      <c r="FY170" s="151"/>
      <c r="FZ170" s="151"/>
      <c r="GA170" s="151"/>
      <c r="GB170" s="151"/>
      <c r="GC170" s="151"/>
      <c r="GD170" s="151"/>
      <c r="GE170" s="151"/>
      <c r="GF170" s="151"/>
      <c r="GG170" s="152"/>
    </row>
    <row r="171" spans="1:189" ht="27.75" x14ac:dyDescent="0.35">
      <c r="A171" s="267" t="s">
        <v>532</v>
      </c>
      <c r="B171" s="221" t="s">
        <v>1074</v>
      </c>
      <c r="C171" s="221"/>
      <c r="D171" s="222"/>
      <c r="E171" s="221" t="s">
        <v>522</v>
      </c>
      <c r="F171" s="221" t="s">
        <v>329</v>
      </c>
      <c r="G171" s="223">
        <v>2</v>
      </c>
      <c r="H171" s="224"/>
      <c r="I171" s="225"/>
      <c r="J171" s="225"/>
      <c r="K171" s="225"/>
      <c r="L171" s="226">
        <v>46152</v>
      </c>
      <c r="M171" s="226">
        <v>46212</v>
      </c>
      <c r="N171" s="226"/>
      <c r="O171" s="226">
        <v>46569</v>
      </c>
      <c r="P171" s="226">
        <v>46691</v>
      </c>
      <c r="Q171" s="227" t="s">
        <v>45</v>
      </c>
      <c r="R171" s="228">
        <v>10000</v>
      </c>
      <c r="S171" s="228">
        <v>10000</v>
      </c>
      <c r="T171" s="228"/>
      <c r="U171" s="191">
        <f t="shared" si="181"/>
        <v>0</v>
      </c>
      <c r="V171" s="230"/>
      <c r="W171" s="232"/>
      <c r="X171" s="46"/>
      <c r="Y171" s="167">
        <f t="shared" si="174"/>
        <v>10000</v>
      </c>
      <c r="Z171" s="167">
        <f t="shared" si="175"/>
        <v>0</v>
      </c>
      <c r="AA171" s="167">
        <f t="shared" si="176"/>
        <v>10000</v>
      </c>
      <c r="AB171" s="167">
        <f t="shared" si="177"/>
        <v>0</v>
      </c>
      <c r="AC171" s="167">
        <f t="shared" si="178"/>
        <v>0</v>
      </c>
      <c r="AD171" s="167">
        <f t="shared" si="179"/>
        <v>0</v>
      </c>
      <c r="AF171" s="47">
        <f t="shared" si="180"/>
        <v>1</v>
      </c>
      <c r="AG171" s="202" t="str">
        <f t="shared" si="173"/>
        <v>Magdalena Przeździak Emergency showers and eye washers</v>
      </c>
      <c r="AH171" s="172"/>
      <c r="AI171" s="173"/>
      <c r="AJ171" s="173"/>
      <c r="AK171" s="173"/>
      <c r="AL171" s="173"/>
      <c r="AM171" s="173"/>
      <c r="AN171" s="173"/>
      <c r="AO171" s="173"/>
      <c r="AP171" s="173"/>
      <c r="AQ171" s="173"/>
      <c r="AR171" s="173"/>
      <c r="AS171" s="173"/>
      <c r="AT171" s="173"/>
      <c r="AU171" s="173"/>
      <c r="AV171" s="173"/>
      <c r="AW171" s="173"/>
      <c r="AX171" s="173"/>
      <c r="AY171" s="173"/>
      <c r="AZ171" s="173"/>
      <c r="BA171" s="173"/>
      <c r="BB171" s="173"/>
      <c r="BC171" s="173"/>
      <c r="BD171" s="173"/>
      <c r="BE171" s="173"/>
      <c r="BF171" s="173"/>
      <c r="BG171" s="173"/>
      <c r="BH171" s="173"/>
      <c r="BI171" s="173"/>
      <c r="BJ171" s="173"/>
      <c r="BK171" s="173"/>
      <c r="BL171" s="173"/>
      <c r="BM171" s="173"/>
      <c r="BN171" s="173"/>
      <c r="BO171" s="173"/>
      <c r="BP171" s="173"/>
      <c r="BQ171" s="173"/>
      <c r="BR171" s="173"/>
      <c r="BS171" s="173"/>
      <c r="BT171" s="173"/>
      <c r="BU171" s="173"/>
      <c r="BV171" s="173"/>
      <c r="BW171" s="173"/>
      <c r="BX171" s="173"/>
      <c r="BY171" s="173"/>
      <c r="BZ171" s="173"/>
      <c r="CA171" s="173"/>
      <c r="CB171" s="173"/>
      <c r="CC171" s="173"/>
      <c r="CD171" s="173"/>
      <c r="CE171" s="173"/>
      <c r="CF171" s="173"/>
      <c r="CG171" s="173"/>
      <c r="CH171" s="173"/>
      <c r="CI171" s="173"/>
      <c r="CJ171" s="173"/>
      <c r="CK171" s="173"/>
      <c r="CL171" s="173"/>
      <c r="CM171" s="173"/>
      <c r="CN171" s="173"/>
      <c r="CO171" s="173"/>
      <c r="CP171" s="173"/>
      <c r="CQ171" s="173"/>
      <c r="CR171" s="173"/>
      <c r="CS171" s="173"/>
      <c r="CT171" s="173"/>
      <c r="CU171" s="173"/>
      <c r="CV171" s="173"/>
      <c r="CW171" s="173"/>
      <c r="CX171" s="173"/>
      <c r="CY171" s="148"/>
      <c r="CZ171" s="148"/>
      <c r="DA171" s="148"/>
      <c r="DB171" s="148"/>
      <c r="DC171" s="148"/>
      <c r="DD171" s="148"/>
      <c r="DE171" s="148"/>
      <c r="DF171" s="148"/>
      <c r="DG171" s="148"/>
      <c r="DH171" s="148"/>
      <c r="DI171" s="148"/>
      <c r="DJ171" s="148"/>
      <c r="DK171" s="148"/>
      <c r="DL171" s="148"/>
      <c r="DM171" s="148"/>
      <c r="DN171" s="148"/>
      <c r="DO171" s="148"/>
      <c r="DP171" s="148"/>
      <c r="DQ171" s="148"/>
      <c r="DR171" s="148"/>
      <c r="DS171" s="148"/>
      <c r="DT171" s="148"/>
      <c r="DU171" s="148"/>
      <c r="DV171" s="148"/>
      <c r="DW171" s="148"/>
      <c r="DX171" s="148"/>
      <c r="DY171" s="148"/>
      <c r="DZ171" s="148"/>
      <c r="EA171" s="148"/>
      <c r="EB171" s="148"/>
      <c r="EC171" s="148"/>
      <c r="ED171" s="148"/>
      <c r="EE171" s="148"/>
      <c r="EF171" s="148"/>
      <c r="EG171" s="148"/>
      <c r="EH171" s="148"/>
      <c r="EI171" s="148"/>
      <c r="EJ171" s="148"/>
      <c r="EK171" s="148"/>
      <c r="EL171" s="148"/>
      <c r="EM171" s="148"/>
      <c r="EN171" s="148"/>
      <c r="EO171" s="148"/>
      <c r="EP171" s="148"/>
      <c r="EQ171" s="148"/>
      <c r="ER171" s="148"/>
      <c r="ES171" s="151"/>
      <c r="ET171" s="151"/>
      <c r="EU171" s="151"/>
      <c r="EV171" s="151"/>
      <c r="EW171" s="151"/>
      <c r="EX171" s="151"/>
      <c r="EY171" s="151"/>
      <c r="EZ171" s="151"/>
      <c r="FA171" s="151"/>
      <c r="FB171" s="151"/>
      <c r="FC171" s="151"/>
      <c r="FD171" s="151"/>
      <c r="FE171" s="151"/>
      <c r="FF171" s="151"/>
      <c r="FG171" s="151"/>
      <c r="FH171" s="151"/>
      <c r="FI171" s="151"/>
      <c r="FJ171" s="151"/>
      <c r="FK171" s="151"/>
      <c r="FL171" s="151"/>
      <c r="FM171" s="151"/>
      <c r="FN171" s="151"/>
      <c r="FO171" s="151"/>
      <c r="FP171" s="151"/>
      <c r="FQ171" s="151"/>
      <c r="FR171" s="151"/>
      <c r="FS171" s="151"/>
      <c r="FT171" s="151"/>
      <c r="FU171" s="151"/>
      <c r="FV171" s="151"/>
      <c r="FW171" s="151"/>
      <c r="FX171" s="151"/>
      <c r="FY171" s="151"/>
      <c r="FZ171" s="151"/>
      <c r="GA171" s="151"/>
      <c r="GB171" s="151"/>
      <c r="GC171" s="151"/>
      <c r="GD171" s="151"/>
      <c r="GE171" s="151"/>
      <c r="GF171" s="151"/>
      <c r="GG171" s="152"/>
    </row>
    <row r="172" spans="1:189" ht="41.65" x14ac:dyDescent="0.35">
      <c r="A172" s="267" t="s">
        <v>533</v>
      </c>
      <c r="B172" s="221" t="s">
        <v>1074</v>
      </c>
      <c r="C172" s="221"/>
      <c r="D172" s="222"/>
      <c r="E172" s="221" t="s">
        <v>523</v>
      </c>
      <c r="F172" s="221" t="s">
        <v>330</v>
      </c>
      <c r="G172" s="223">
        <v>2</v>
      </c>
      <c r="H172" s="224"/>
      <c r="I172" s="225"/>
      <c r="J172" s="225"/>
      <c r="K172" s="225"/>
      <c r="L172" s="226">
        <v>46176</v>
      </c>
      <c r="M172" s="226">
        <v>46236</v>
      </c>
      <c r="N172" s="226"/>
      <c r="O172" s="226">
        <v>46569</v>
      </c>
      <c r="P172" s="226">
        <v>46691</v>
      </c>
      <c r="Q172" s="227" t="s">
        <v>45</v>
      </c>
      <c r="R172" s="228">
        <v>624272</v>
      </c>
      <c r="S172" s="228">
        <v>624272</v>
      </c>
      <c r="T172" s="228"/>
      <c r="U172" s="191">
        <f t="shared" si="181"/>
        <v>0</v>
      </c>
      <c r="V172" s="230"/>
      <c r="W172" s="232"/>
      <c r="X172" s="46"/>
      <c r="Y172" s="167">
        <f t="shared" si="174"/>
        <v>624272</v>
      </c>
      <c r="Z172" s="167">
        <f t="shared" si="175"/>
        <v>0</v>
      </c>
      <c r="AA172" s="167">
        <f t="shared" si="176"/>
        <v>624272</v>
      </c>
      <c r="AB172" s="167">
        <f t="shared" si="177"/>
        <v>0</v>
      </c>
      <c r="AC172" s="167">
        <f t="shared" si="178"/>
        <v>0</v>
      </c>
      <c r="AD172" s="167">
        <f t="shared" si="179"/>
        <v>0</v>
      </c>
      <c r="AF172" s="180">
        <f t="shared" si="180"/>
        <v>1</v>
      </c>
      <c r="AG172" s="202" t="str">
        <f t="shared" si="173"/>
        <v>Magdalena Przeździak Sanitary waste water collection, treatment and connection to discharge point</v>
      </c>
      <c r="AH172" s="172"/>
      <c r="AI172" s="173"/>
      <c r="AJ172" s="173"/>
      <c r="AK172" s="173"/>
      <c r="AL172" s="173"/>
      <c r="AM172" s="173"/>
      <c r="AN172" s="173"/>
      <c r="AO172" s="173"/>
      <c r="AP172" s="173"/>
      <c r="AQ172" s="173"/>
      <c r="AR172" s="173"/>
      <c r="AS172" s="173"/>
      <c r="AT172" s="173"/>
      <c r="AU172" s="173"/>
      <c r="AV172" s="173"/>
      <c r="AW172" s="173"/>
      <c r="AX172" s="173"/>
      <c r="AY172" s="173"/>
      <c r="AZ172" s="173"/>
      <c r="BA172" s="173"/>
      <c r="BB172" s="173"/>
      <c r="BC172" s="173"/>
      <c r="BD172" s="173"/>
      <c r="BE172" s="173"/>
      <c r="BF172" s="173"/>
      <c r="BG172" s="173"/>
      <c r="BH172" s="173"/>
      <c r="BI172" s="173"/>
      <c r="BJ172" s="173"/>
      <c r="BK172" s="173"/>
      <c r="BL172" s="173"/>
      <c r="BM172" s="173"/>
      <c r="BN172" s="173"/>
      <c r="BO172" s="173"/>
      <c r="BP172" s="173"/>
      <c r="BQ172" s="173"/>
      <c r="BR172" s="173"/>
      <c r="BS172" s="173"/>
      <c r="BT172" s="173"/>
      <c r="BU172" s="173"/>
      <c r="BV172" s="173"/>
      <c r="BW172" s="173"/>
      <c r="BX172" s="173"/>
      <c r="BY172" s="173"/>
      <c r="BZ172" s="173"/>
      <c r="CA172" s="173"/>
      <c r="CB172" s="173"/>
      <c r="CC172" s="173"/>
      <c r="CD172" s="173"/>
      <c r="CE172" s="173"/>
      <c r="CF172" s="173"/>
      <c r="CG172" s="173"/>
      <c r="CH172" s="173"/>
      <c r="CI172" s="173"/>
      <c r="CJ172" s="173"/>
      <c r="CK172" s="173"/>
      <c r="CL172" s="173"/>
      <c r="CM172" s="173"/>
      <c r="CN172" s="173"/>
      <c r="CO172" s="173"/>
      <c r="CP172" s="173"/>
      <c r="CQ172" s="173"/>
      <c r="CR172" s="173"/>
      <c r="CS172" s="173"/>
      <c r="CT172" s="173"/>
      <c r="CU172" s="173"/>
      <c r="CV172" s="173"/>
      <c r="CW172" s="173"/>
      <c r="CX172" s="173"/>
      <c r="CY172" s="148"/>
      <c r="CZ172" s="148"/>
      <c r="DA172" s="148"/>
      <c r="DB172" s="148"/>
      <c r="DC172" s="148"/>
      <c r="DD172" s="148"/>
      <c r="DE172" s="148"/>
      <c r="DF172" s="148"/>
      <c r="DG172" s="148"/>
      <c r="DH172" s="148"/>
      <c r="DI172" s="148"/>
      <c r="DJ172" s="148"/>
      <c r="DK172" s="148"/>
      <c r="DL172" s="148"/>
      <c r="DM172" s="148"/>
      <c r="DN172" s="148"/>
      <c r="DO172" s="148"/>
      <c r="DP172" s="148"/>
      <c r="DQ172" s="148"/>
      <c r="DR172" s="148"/>
      <c r="DS172" s="148"/>
      <c r="DT172" s="148"/>
      <c r="DU172" s="148"/>
      <c r="DV172" s="148"/>
      <c r="DW172" s="148"/>
      <c r="DX172" s="148"/>
      <c r="DY172" s="148"/>
      <c r="DZ172" s="148"/>
      <c r="EA172" s="148"/>
      <c r="EB172" s="148"/>
      <c r="EC172" s="148"/>
      <c r="ED172" s="148"/>
      <c r="EE172" s="148"/>
      <c r="EF172" s="148"/>
      <c r="EG172" s="148"/>
      <c r="EH172" s="148"/>
      <c r="EI172" s="148"/>
      <c r="EJ172" s="148"/>
      <c r="EK172" s="148"/>
      <c r="EL172" s="148"/>
      <c r="EM172" s="148"/>
      <c r="EN172" s="148"/>
      <c r="EO172" s="148"/>
      <c r="EP172" s="148"/>
      <c r="EQ172" s="148"/>
      <c r="ER172" s="148"/>
      <c r="ES172" s="148"/>
      <c r="ET172" s="148"/>
      <c r="EU172" s="148"/>
      <c r="EV172" s="148"/>
      <c r="EW172" s="148"/>
      <c r="EX172" s="148"/>
      <c r="EY172" s="148"/>
      <c r="EZ172" s="148"/>
      <c r="FA172" s="148"/>
      <c r="FB172" s="148"/>
      <c r="FC172" s="148"/>
      <c r="FD172" s="148"/>
      <c r="FE172" s="148"/>
      <c r="FF172" s="148"/>
      <c r="FG172" s="148"/>
      <c r="FH172" s="148"/>
      <c r="FI172" s="148"/>
      <c r="FJ172" s="148"/>
      <c r="FK172" s="148"/>
      <c r="FL172" s="148"/>
      <c r="FM172" s="148"/>
      <c r="FN172" s="148"/>
      <c r="FO172" s="148"/>
      <c r="FP172" s="148"/>
      <c r="FQ172" s="148"/>
      <c r="FR172" s="148"/>
      <c r="FS172" s="148"/>
      <c r="FT172" s="148"/>
      <c r="FU172" s="148"/>
      <c r="FV172" s="148"/>
      <c r="FW172" s="148"/>
      <c r="FX172" s="148"/>
      <c r="FY172" s="148"/>
      <c r="FZ172" s="148"/>
      <c r="GA172" s="148"/>
      <c r="GB172" s="148"/>
      <c r="GC172" s="148"/>
      <c r="GD172" s="148"/>
      <c r="GE172" s="148"/>
      <c r="GF172" s="148"/>
      <c r="GG172" s="149"/>
    </row>
    <row r="173" spans="1:189" ht="27.75" x14ac:dyDescent="0.35">
      <c r="A173" s="267" t="s">
        <v>534</v>
      </c>
      <c r="B173" s="221" t="s">
        <v>1074</v>
      </c>
      <c r="C173" s="221"/>
      <c r="D173" s="222"/>
      <c r="E173" s="221" t="s">
        <v>524</v>
      </c>
      <c r="F173" s="221" t="s">
        <v>331</v>
      </c>
      <c r="G173" s="223">
        <v>2</v>
      </c>
      <c r="H173" s="224"/>
      <c r="I173" s="225"/>
      <c r="J173" s="225"/>
      <c r="K173" s="225"/>
      <c r="L173" s="226">
        <v>46176</v>
      </c>
      <c r="M173" s="226">
        <v>46236</v>
      </c>
      <c r="N173" s="226"/>
      <c r="O173" s="226">
        <v>46569</v>
      </c>
      <c r="P173" s="226">
        <v>46691</v>
      </c>
      <c r="Q173" s="227" t="s">
        <v>45</v>
      </c>
      <c r="R173" s="228">
        <v>200969</v>
      </c>
      <c r="S173" s="228">
        <v>200969</v>
      </c>
      <c r="T173" s="228"/>
      <c r="U173" s="191">
        <f t="shared" si="181"/>
        <v>0</v>
      </c>
      <c r="V173" s="230"/>
      <c r="W173" s="231"/>
      <c r="X173" s="46"/>
      <c r="Y173" s="167">
        <f t="shared" si="174"/>
        <v>200969</v>
      </c>
      <c r="Z173" s="167">
        <f t="shared" si="175"/>
        <v>0</v>
      </c>
      <c r="AA173" s="167">
        <f t="shared" si="176"/>
        <v>200969</v>
      </c>
      <c r="AB173" s="167">
        <f t="shared" si="177"/>
        <v>0</v>
      </c>
      <c r="AC173" s="167">
        <f t="shared" si="178"/>
        <v>0</v>
      </c>
      <c r="AD173" s="167">
        <f t="shared" si="179"/>
        <v>0</v>
      </c>
      <c r="AF173" s="47">
        <f t="shared" si="180"/>
        <v>1</v>
      </c>
      <c r="AG173" s="202" t="str">
        <f t="shared" si="173"/>
        <v>Magdalena Przeździak Waste water collection and connection to discharge point</v>
      </c>
      <c r="AH173" s="172"/>
      <c r="AI173" s="173"/>
      <c r="AJ173" s="173"/>
      <c r="AK173" s="173"/>
      <c r="AL173" s="173"/>
      <c r="AM173" s="173"/>
      <c r="AN173" s="173"/>
      <c r="AO173" s="173"/>
      <c r="AP173" s="173"/>
      <c r="AQ173" s="173"/>
      <c r="AR173" s="173"/>
      <c r="AS173" s="173"/>
      <c r="AT173" s="173"/>
      <c r="AU173" s="173"/>
      <c r="AV173" s="173"/>
      <c r="AW173" s="173"/>
      <c r="AX173" s="173"/>
      <c r="AY173" s="173"/>
      <c r="AZ173" s="173"/>
      <c r="BA173" s="173"/>
      <c r="BB173" s="173"/>
      <c r="BC173" s="173"/>
      <c r="BD173" s="173"/>
      <c r="BE173" s="173"/>
      <c r="BF173" s="173"/>
      <c r="BG173" s="173"/>
      <c r="BH173" s="173"/>
      <c r="BI173" s="173"/>
      <c r="BJ173" s="173"/>
      <c r="BK173" s="173"/>
      <c r="BL173" s="173"/>
      <c r="BM173" s="173"/>
      <c r="BN173" s="173"/>
      <c r="BO173" s="173"/>
      <c r="BP173" s="173"/>
      <c r="BQ173" s="173"/>
      <c r="BR173" s="173"/>
      <c r="BS173" s="173"/>
      <c r="BT173" s="173"/>
      <c r="BU173" s="173"/>
      <c r="BV173" s="173"/>
      <c r="BW173" s="173"/>
      <c r="BX173" s="173"/>
      <c r="BY173" s="173"/>
      <c r="BZ173" s="173"/>
      <c r="CA173" s="173"/>
      <c r="CB173" s="173"/>
      <c r="CC173" s="173"/>
      <c r="CD173" s="173"/>
      <c r="CE173" s="173"/>
      <c r="CF173" s="173"/>
      <c r="CG173" s="173"/>
      <c r="CH173" s="173"/>
      <c r="CI173" s="173"/>
      <c r="CJ173" s="173"/>
      <c r="CK173" s="173"/>
      <c r="CL173" s="173"/>
      <c r="CM173" s="173"/>
      <c r="CN173" s="173"/>
      <c r="CO173" s="173"/>
      <c r="CP173" s="173"/>
      <c r="CQ173" s="173"/>
      <c r="CR173" s="173"/>
      <c r="CS173" s="173"/>
      <c r="CT173" s="173"/>
      <c r="CU173" s="173"/>
      <c r="CV173" s="173"/>
      <c r="CW173" s="173"/>
      <c r="CX173" s="173"/>
      <c r="CY173" s="148"/>
      <c r="CZ173" s="148"/>
      <c r="DA173" s="148"/>
      <c r="DB173" s="148"/>
      <c r="DC173" s="148"/>
      <c r="DD173" s="148"/>
      <c r="DE173" s="148"/>
      <c r="DF173" s="148"/>
      <c r="DG173" s="148"/>
      <c r="DH173" s="148"/>
      <c r="DI173" s="148"/>
      <c r="DJ173" s="148"/>
      <c r="DK173" s="148"/>
      <c r="DL173" s="148"/>
      <c r="DM173" s="148"/>
      <c r="DN173" s="148"/>
      <c r="DO173" s="148"/>
      <c r="DP173" s="148"/>
      <c r="DQ173" s="148"/>
      <c r="DR173" s="148"/>
      <c r="DS173" s="148"/>
      <c r="DT173" s="148"/>
      <c r="DU173" s="148"/>
      <c r="DV173" s="148"/>
      <c r="DW173" s="148"/>
      <c r="DX173" s="148"/>
      <c r="DY173" s="148"/>
      <c r="DZ173" s="148"/>
      <c r="EA173" s="148"/>
      <c r="EB173" s="148"/>
      <c r="EC173" s="148"/>
      <c r="ED173" s="148"/>
      <c r="EE173" s="148"/>
      <c r="EF173" s="148"/>
      <c r="EG173" s="148"/>
      <c r="EH173" s="148"/>
      <c r="EI173" s="148"/>
      <c r="EJ173" s="148"/>
      <c r="EK173" s="148"/>
      <c r="EL173" s="148"/>
      <c r="EM173" s="148"/>
      <c r="EN173" s="148"/>
      <c r="EO173" s="148"/>
      <c r="EP173" s="148"/>
      <c r="EQ173" s="148"/>
      <c r="ER173" s="148"/>
      <c r="ES173" s="151"/>
      <c r="ET173" s="151"/>
      <c r="EU173" s="151"/>
      <c r="EV173" s="151"/>
      <c r="EW173" s="151"/>
      <c r="EX173" s="151"/>
      <c r="EY173" s="151"/>
      <c r="EZ173" s="151"/>
      <c r="FA173" s="151"/>
      <c r="FB173" s="151"/>
      <c r="FC173" s="151"/>
      <c r="FD173" s="151"/>
      <c r="FE173" s="151"/>
      <c r="FF173" s="151"/>
      <c r="FG173" s="151"/>
      <c r="FH173" s="151"/>
      <c r="FI173" s="151"/>
      <c r="FJ173" s="151"/>
      <c r="FK173" s="151"/>
      <c r="FL173" s="151"/>
      <c r="FM173" s="151"/>
      <c r="FN173" s="151"/>
      <c r="FO173" s="151"/>
      <c r="FP173" s="151"/>
      <c r="FQ173" s="151"/>
      <c r="FR173" s="151"/>
      <c r="FS173" s="151"/>
      <c r="FT173" s="151"/>
      <c r="FU173" s="151"/>
      <c r="FV173" s="151"/>
      <c r="FW173" s="151"/>
      <c r="FX173" s="151"/>
      <c r="FY173" s="151"/>
      <c r="FZ173" s="151"/>
      <c r="GA173" s="151"/>
      <c r="GB173" s="151"/>
      <c r="GC173" s="151"/>
      <c r="GD173" s="151"/>
      <c r="GE173" s="151"/>
      <c r="GF173" s="151"/>
      <c r="GG173" s="152"/>
    </row>
    <row r="174" spans="1:189" ht="41.65" x14ac:dyDescent="0.35">
      <c r="A174" s="267" t="s">
        <v>535</v>
      </c>
      <c r="B174" s="221" t="s">
        <v>1074</v>
      </c>
      <c r="C174" s="221"/>
      <c r="D174" s="222"/>
      <c r="E174" s="221" t="s">
        <v>525</v>
      </c>
      <c r="F174" s="221" t="s">
        <v>332</v>
      </c>
      <c r="G174" s="223">
        <v>2</v>
      </c>
      <c r="H174" s="224"/>
      <c r="I174" s="225"/>
      <c r="J174" s="225"/>
      <c r="K174" s="225"/>
      <c r="L174" s="226">
        <v>46176</v>
      </c>
      <c r="M174" s="226">
        <v>46236</v>
      </c>
      <c r="N174" s="226"/>
      <c r="O174" s="226">
        <v>46569</v>
      </c>
      <c r="P174" s="226">
        <v>46691</v>
      </c>
      <c r="Q174" s="227" t="s">
        <v>45</v>
      </c>
      <c r="R174" s="228">
        <v>3359643</v>
      </c>
      <c r="S174" s="228">
        <v>3359643</v>
      </c>
      <c r="T174" s="228"/>
      <c r="U174" s="191">
        <f t="shared" si="181"/>
        <v>0</v>
      </c>
      <c r="V174" s="230"/>
      <c r="W174" s="231"/>
      <c r="X174" s="46"/>
      <c r="Y174" s="167">
        <f t="shared" si="174"/>
        <v>3359643</v>
      </c>
      <c r="Z174" s="167">
        <f t="shared" si="175"/>
        <v>0</v>
      </c>
      <c r="AA174" s="167">
        <f t="shared" si="176"/>
        <v>3359643</v>
      </c>
      <c r="AB174" s="167">
        <f t="shared" si="177"/>
        <v>0</v>
      </c>
      <c r="AC174" s="167">
        <f t="shared" si="178"/>
        <v>0</v>
      </c>
      <c r="AD174" s="167">
        <f t="shared" si="179"/>
        <v>0</v>
      </c>
      <c r="AF174" s="180">
        <f t="shared" si="180"/>
        <v>1</v>
      </c>
      <c r="AG174" s="202" t="str">
        <f t="shared" si="173"/>
        <v>Magdalena Przeździak Rain water and snowmelt collection, treatment and connection to discharge point</v>
      </c>
      <c r="AH174" s="172"/>
      <c r="AI174" s="173"/>
      <c r="AJ174" s="173"/>
      <c r="AK174" s="173"/>
      <c r="AL174" s="173"/>
      <c r="AM174" s="173"/>
      <c r="AN174" s="173"/>
      <c r="AO174" s="173"/>
      <c r="AP174" s="173"/>
      <c r="AQ174" s="173"/>
      <c r="AR174" s="173"/>
      <c r="AS174" s="173"/>
      <c r="AT174" s="173"/>
      <c r="AU174" s="173"/>
      <c r="AV174" s="173"/>
      <c r="AW174" s="173"/>
      <c r="AX174" s="173"/>
      <c r="AY174" s="173"/>
      <c r="AZ174" s="173"/>
      <c r="BA174" s="173"/>
      <c r="BB174" s="173"/>
      <c r="BC174" s="173"/>
      <c r="BD174" s="173"/>
      <c r="BE174" s="173"/>
      <c r="BF174" s="173"/>
      <c r="BG174" s="173"/>
      <c r="BH174" s="173"/>
      <c r="BI174" s="173"/>
      <c r="BJ174" s="173"/>
      <c r="BK174" s="173"/>
      <c r="BL174" s="173"/>
      <c r="BM174" s="173"/>
      <c r="BN174" s="173"/>
      <c r="BO174" s="173"/>
      <c r="BP174" s="173"/>
      <c r="BQ174" s="173"/>
      <c r="BR174" s="173"/>
      <c r="BS174" s="173"/>
      <c r="BT174" s="173"/>
      <c r="BU174" s="173"/>
      <c r="BV174" s="173"/>
      <c r="BW174" s="173"/>
      <c r="BX174" s="173"/>
      <c r="BY174" s="173"/>
      <c r="BZ174" s="173"/>
      <c r="CA174" s="173"/>
      <c r="CB174" s="173"/>
      <c r="CC174" s="173"/>
      <c r="CD174" s="173"/>
      <c r="CE174" s="173"/>
      <c r="CF174" s="173"/>
      <c r="CG174" s="173"/>
      <c r="CH174" s="173"/>
      <c r="CI174" s="173"/>
      <c r="CJ174" s="173"/>
      <c r="CK174" s="173"/>
      <c r="CL174" s="173"/>
      <c r="CM174" s="173"/>
      <c r="CN174" s="173"/>
      <c r="CO174" s="173"/>
      <c r="CP174" s="173"/>
      <c r="CQ174" s="173"/>
      <c r="CR174" s="173"/>
      <c r="CS174" s="173"/>
      <c r="CT174" s="173"/>
      <c r="CU174" s="173"/>
      <c r="CV174" s="173"/>
      <c r="CW174" s="173"/>
      <c r="CX174" s="173"/>
      <c r="CY174" s="148"/>
      <c r="CZ174" s="148"/>
      <c r="DA174" s="148"/>
      <c r="DB174" s="148"/>
      <c r="DC174" s="148"/>
      <c r="DD174" s="148"/>
      <c r="DE174" s="148"/>
      <c r="DF174" s="148"/>
      <c r="DG174" s="148"/>
      <c r="DH174" s="148"/>
      <c r="DI174" s="148"/>
      <c r="DJ174" s="148"/>
      <c r="DK174" s="148"/>
      <c r="DL174" s="148"/>
      <c r="DM174" s="148"/>
      <c r="DN174" s="148"/>
      <c r="DO174" s="148"/>
      <c r="DP174" s="148"/>
      <c r="DQ174" s="148"/>
      <c r="DR174" s="148"/>
      <c r="DS174" s="148"/>
      <c r="DT174" s="148"/>
      <c r="DU174" s="148"/>
      <c r="DV174" s="148"/>
      <c r="DW174" s="148"/>
      <c r="DX174" s="148"/>
      <c r="DY174" s="148"/>
      <c r="DZ174" s="148"/>
      <c r="EA174" s="148"/>
      <c r="EB174" s="148"/>
      <c r="EC174" s="148"/>
      <c r="ED174" s="148"/>
      <c r="EE174" s="148"/>
      <c r="EF174" s="148"/>
      <c r="EG174" s="148"/>
      <c r="EH174" s="148"/>
      <c r="EI174" s="148"/>
      <c r="EJ174" s="148"/>
      <c r="EK174" s="148"/>
      <c r="EL174" s="148"/>
      <c r="EM174" s="148"/>
      <c r="EN174" s="148"/>
      <c r="EO174" s="148"/>
      <c r="EP174" s="148"/>
      <c r="EQ174" s="148"/>
      <c r="ER174" s="148"/>
      <c r="ES174" s="151"/>
      <c r="ET174" s="151"/>
      <c r="EU174" s="151"/>
      <c r="EV174" s="151"/>
      <c r="EW174" s="151"/>
      <c r="EX174" s="151"/>
      <c r="EY174" s="151"/>
      <c r="EZ174" s="151"/>
      <c r="FA174" s="151"/>
      <c r="FB174" s="151"/>
      <c r="FC174" s="151"/>
      <c r="FD174" s="151"/>
      <c r="FE174" s="151"/>
      <c r="FF174" s="151"/>
      <c r="FG174" s="151"/>
      <c r="FH174" s="151"/>
      <c r="FI174" s="151"/>
      <c r="FJ174" s="151"/>
      <c r="FK174" s="151"/>
      <c r="FL174" s="151"/>
      <c r="FM174" s="151"/>
      <c r="FN174" s="151"/>
      <c r="FO174" s="151"/>
      <c r="FP174" s="151"/>
      <c r="FQ174" s="151"/>
      <c r="FR174" s="151"/>
      <c r="FS174" s="151"/>
      <c r="FT174" s="151"/>
      <c r="FU174" s="151"/>
      <c r="FV174" s="151"/>
      <c r="FW174" s="151"/>
      <c r="FX174" s="151"/>
      <c r="FY174" s="151"/>
      <c r="FZ174" s="151"/>
      <c r="GA174" s="151"/>
      <c r="GB174" s="151"/>
      <c r="GC174" s="151"/>
      <c r="GD174" s="151"/>
      <c r="GE174" s="151"/>
      <c r="GF174" s="151"/>
      <c r="GG174" s="152"/>
    </row>
    <row r="175" spans="1:189" s="168" customFormat="1" ht="28.5" x14ac:dyDescent="0.35">
      <c r="A175" s="266">
        <v>5</v>
      </c>
      <c r="B175" s="206"/>
      <c r="C175" s="207"/>
      <c r="D175" s="208"/>
      <c r="E175" s="207" t="s">
        <v>335</v>
      </c>
      <c r="F175" s="206" t="s">
        <v>336</v>
      </c>
      <c r="G175" s="209">
        <v>2</v>
      </c>
      <c r="H175" s="210"/>
      <c r="I175" s="206"/>
      <c r="J175" s="207"/>
      <c r="K175" s="206"/>
      <c r="L175" s="211"/>
      <c r="M175" s="211"/>
      <c r="N175" s="212"/>
      <c r="O175" s="211"/>
      <c r="P175" s="211"/>
      <c r="Q175" s="213"/>
      <c r="R175" s="214"/>
      <c r="S175" s="215"/>
      <c r="T175" s="214"/>
      <c r="U175" s="191">
        <f t="shared" si="181"/>
        <v>0</v>
      </c>
      <c r="V175" s="217"/>
      <c r="W175" s="218"/>
      <c r="X175" s="219"/>
      <c r="Y175" s="167">
        <f t="shared" si="174"/>
        <v>0</v>
      </c>
      <c r="Z175" s="167">
        <f t="shared" si="175"/>
        <v>0</v>
      </c>
      <c r="AA175" s="167">
        <f t="shared" si="176"/>
        <v>0</v>
      </c>
      <c r="AB175" s="167">
        <f t="shared" si="177"/>
        <v>0</v>
      </c>
      <c r="AC175" s="167">
        <f t="shared" si="178"/>
        <v>0</v>
      </c>
      <c r="AD175" s="167">
        <f t="shared" si="179"/>
        <v>0</v>
      </c>
      <c r="AF175" s="47">
        <f t="shared" si="180"/>
        <v>0</v>
      </c>
      <c r="AG175" s="202" t="str">
        <f t="shared" si="173"/>
        <v xml:space="preserve"> Mechanical and technological works</v>
      </c>
      <c r="AH175" s="172"/>
      <c r="AI175" s="173"/>
      <c r="AJ175" s="173"/>
      <c r="AK175" s="173"/>
      <c r="AL175" s="173"/>
      <c r="AM175" s="173"/>
      <c r="AN175" s="173"/>
      <c r="AO175" s="173"/>
      <c r="AP175" s="173"/>
      <c r="AQ175" s="173"/>
      <c r="AR175" s="173"/>
      <c r="AS175" s="173"/>
      <c r="AT175" s="173"/>
      <c r="AU175" s="173"/>
      <c r="AV175" s="173"/>
      <c r="AW175" s="173"/>
      <c r="AX175" s="173"/>
      <c r="AY175" s="173"/>
      <c r="AZ175" s="173"/>
      <c r="BA175" s="173"/>
      <c r="BB175" s="173"/>
      <c r="BC175" s="173"/>
      <c r="BD175" s="173"/>
      <c r="BE175" s="173"/>
      <c r="BF175" s="173"/>
      <c r="BG175" s="173"/>
      <c r="BH175" s="173"/>
      <c r="BI175" s="173"/>
      <c r="BJ175" s="173"/>
      <c r="BK175" s="173"/>
      <c r="BL175" s="173"/>
      <c r="BM175" s="173"/>
      <c r="BN175" s="173"/>
      <c r="BO175" s="173"/>
      <c r="BP175" s="173"/>
      <c r="BQ175" s="173"/>
      <c r="BR175" s="173"/>
      <c r="BS175" s="173"/>
      <c r="BT175" s="173"/>
      <c r="BU175" s="173"/>
      <c r="BV175" s="173"/>
      <c r="BW175" s="173"/>
      <c r="BX175" s="173"/>
      <c r="BY175" s="173"/>
      <c r="BZ175" s="173"/>
      <c r="CA175" s="173"/>
      <c r="CB175" s="173"/>
      <c r="CC175" s="173"/>
      <c r="CD175" s="173"/>
      <c r="CE175" s="173"/>
      <c r="CF175" s="173"/>
      <c r="CG175" s="173"/>
      <c r="CH175" s="173"/>
      <c r="CI175" s="173"/>
      <c r="CJ175" s="173"/>
      <c r="CK175" s="173"/>
      <c r="CL175" s="173"/>
      <c r="CM175" s="173"/>
      <c r="CN175" s="173"/>
      <c r="CO175" s="173"/>
      <c r="CP175" s="173"/>
      <c r="CQ175" s="173"/>
      <c r="CR175" s="173"/>
      <c r="CS175" s="173"/>
      <c r="CT175" s="173"/>
      <c r="CU175" s="173"/>
      <c r="CV175" s="173"/>
      <c r="CW175" s="173"/>
      <c r="CX175" s="173"/>
      <c r="CY175" s="148"/>
      <c r="CZ175" s="148"/>
      <c r="DA175" s="148"/>
      <c r="DB175" s="148"/>
      <c r="DC175" s="148"/>
      <c r="DD175" s="148"/>
      <c r="DE175" s="148"/>
      <c r="DF175" s="148"/>
      <c r="DG175" s="148"/>
      <c r="DH175" s="148"/>
      <c r="DI175" s="148"/>
      <c r="DJ175" s="148"/>
      <c r="DK175" s="148"/>
      <c r="DL175" s="148"/>
      <c r="DM175" s="148"/>
      <c r="DN175" s="148"/>
      <c r="DO175" s="148"/>
      <c r="DP175" s="148"/>
      <c r="DQ175" s="148"/>
      <c r="DR175" s="148"/>
      <c r="DS175" s="148"/>
      <c r="DT175" s="148"/>
      <c r="DU175" s="148"/>
      <c r="DV175" s="148"/>
      <c r="DW175" s="148"/>
      <c r="DX175" s="148"/>
      <c r="DY175" s="148"/>
      <c r="DZ175" s="148"/>
      <c r="EA175" s="148"/>
      <c r="EB175" s="148"/>
      <c r="EC175" s="148"/>
      <c r="ED175" s="148"/>
      <c r="EE175" s="148"/>
      <c r="EF175" s="148"/>
      <c r="EG175" s="148"/>
      <c r="EH175" s="148"/>
      <c r="EI175" s="148"/>
      <c r="EJ175" s="148"/>
      <c r="EK175" s="148"/>
      <c r="EL175" s="148"/>
      <c r="EM175" s="148"/>
      <c r="EN175" s="148"/>
      <c r="EO175" s="148"/>
      <c r="EP175" s="148"/>
      <c r="EQ175" s="148"/>
      <c r="ER175" s="148"/>
      <c r="ES175" s="173"/>
      <c r="ET175" s="173"/>
      <c r="EU175" s="173"/>
      <c r="EV175" s="173"/>
      <c r="EW175" s="173"/>
      <c r="EX175" s="173"/>
      <c r="EY175" s="173"/>
      <c r="EZ175" s="173"/>
      <c r="FA175" s="173"/>
      <c r="FB175" s="173"/>
      <c r="FC175" s="173"/>
      <c r="FD175" s="173"/>
      <c r="FE175" s="173"/>
      <c r="FF175" s="173"/>
      <c r="FG175" s="173"/>
      <c r="FH175" s="173"/>
      <c r="FI175" s="173"/>
      <c r="FJ175" s="173"/>
      <c r="FK175" s="173"/>
      <c r="FL175" s="173"/>
      <c r="FM175" s="173"/>
      <c r="FN175" s="173"/>
      <c r="FO175" s="173"/>
      <c r="FP175" s="173"/>
      <c r="FQ175" s="173"/>
      <c r="FR175" s="173"/>
      <c r="FS175" s="173"/>
      <c r="FT175" s="173"/>
      <c r="FU175" s="173"/>
      <c r="FV175" s="173"/>
      <c r="FW175" s="173"/>
      <c r="FX175" s="173"/>
      <c r="FY175" s="173"/>
      <c r="FZ175" s="173"/>
      <c r="GA175" s="173"/>
      <c r="GB175" s="173"/>
      <c r="GC175" s="173"/>
      <c r="GD175" s="173"/>
      <c r="GE175" s="173"/>
      <c r="GF175" s="173"/>
      <c r="GG175" s="174"/>
    </row>
    <row r="176" spans="1:189" ht="27.75" x14ac:dyDescent="0.35">
      <c r="A176" s="237" t="s">
        <v>552</v>
      </c>
      <c r="B176" s="236"/>
      <c r="C176" s="236"/>
      <c r="D176" s="236" t="s">
        <v>1083</v>
      </c>
      <c r="E176" s="236" t="s">
        <v>538</v>
      </c>
      <c r="F176" s="236" t="s">
        <v>337</v>
      </c>
      <c r="G176" s="238">
        <v>2</v>
      </c>
      <c r="H176" s="239"/>
      <c r="I176" s="240"/>
      <c r="J176" s="240"/>
      <c r="K176" s="240"/>
      <c r="L176" s="241"/>
      <c r="M176" s="241"/>
      <c r="N176" s="241"/>
      <c r="O176" s="241"/>
      <c r="P176" s="241"/>
      <c r="Q176" s="242"/>
      <c r="R176" s="243"/>
      <c r="S176" s="243"/>
      <c r="T176" s="243"/>
      <c r="U176" s="191">
        <f t="shared" si="181"/>
        <v>0</v>
      </c>
      <c r="V176" s="244"/>
      <c r="W176" s="245"/>
      <c r="X176" s="46"/>
      <c r="Y176" s="167">
        <f t="shared" si="174"/>
        <v>0</v>
      </c>
      <c r="Z176" s="167">
        <f t="shared" si="175"/>
        <v>0</v>
      </c>
      <c r="AA176" s="167">
        <f t="shared" si="176"/>
        <v>0</v>
      </c>
      <c r="AB176" s="167">
        <f t="shared" si="177"/>
        <v>0</v>
      </c>
      <c r="AC176" s="167">
        <f t="shared" si="178"/>
        <v>0</v>
      </c>
      <c r="AD176" s="167">
        <f t="shared" si="179"/>
        <v>0</v>
      </c>
      <c r="AF176" s="180">
        <f t="shared" si="180"/>
        <v>0</v>
      </c>
      <c r="AG176" s="202" t="str">
        <f t="shared" si="173"/>
        <v xml:space="preserve"> Reception</v>
      </c>
      <c r="AH176" s="172"/>
      <c r="AI176" s="173"/>
      <c r="AJ176" s="173"/>
      <c r="AK176" s="173"/>
      <c r="AL176" s="173"/>
      <c r="AM176" s="173"/>
      <c r="AN176" s="173"/>
      <c r="AO176" s="173"/>
      <c r="AP176" s="173"/>
      <c r="AQ176" s="173"/>
      <c r="AR176" s="173"/>
      <c r="AS176" s="173"/>
      <c r="AT176" s="173"/>
      <c r="AU176" s="173"/>
      <c r="AV176" s="173"/>
      <c r="AW176" s="173"/>
      <c r="AX176" s="173"/>
      <c r="AY176" s="173"/>
      <c r="AZ176" s="173"/>
      <c r="BA176" s="173"/>
      <c r="BB176" s="173"/>
      <c r="BC176" s="173"/>
      <c r="BD176" s="173"/>
      <c r="BE176" s="173"/>
      <c r="BF176" s="173"/>
      <c r="BG176" s="173"/>
      <c r="BH176" s="173"/>
      <c r="BI176" s="173"/>
      <c r="BJ176" s="173"/>
      <c r="BK176" s="173"/>
      <c r="BL176" s="173"/>
      <c r="BM176" s="173"/>
      <c r="BN176" s="173"/>
      <c r="BO176" s="173"/>
      <c r="BP176" s="173"/>
      <c r="BQ176" s="173"/>
      <c r="BR176" s="173"/>
      <c r="BS176" s="173"/>
      <c r="BT176" s="173"/>
      <c r="BU176" s="173"/>
      <c r="BV176" s="173"/>
      <c r="BW176" s="173"/>
      <c r="BX176" s="173"/>
      <c r="BY176" s="173"/>
      <c r="BZ176" s="173"/>
      <c r="CA176" s="173"/>
      <c r="CB176" s="173"/>
      <c r="CC176" s="173"/>
      <c r="CD176" s="173"/>
      <c r="CE176" s="173"/>
      <c r="CF176" s="173"/>
      <c r="CG176" s="173"/>
      <c r="CH176" s="173"/>
      <c r="CI176" s="173"/>
      <c r="CJ176" s="173"/>
      <c r="CK176" s="173"/>
      <c r="CL176" s="173"/>
      <c r="CM176" s="173"/>
      <c r="CN176" s="173"/>
      <c r="CO176" s="173"/>
      <c r="CP176" s="173"/>
      <c r="CQ176" s="173"/>
      <c r="CR176" s="173"/>
      <c r="CS176" s="173"/>
      <c r="CT176" s="173"/>
      <c r="CU176" s="173"/>
      <c r="CV176" s="173"/>
      <c r="CW176" s="173"/>
      <c r="CX176" s="173"/>
      <c r="CY176" s="148"/>
      <c r="CZ176" s="148"/>
      <c r="DA176" s="148"/>
      <c r="DB176" s="148"/>
      <c r="DC176" s="148"/>
      <c r="DD176" s="148"/>
      <c r="DE176" s="148"/>
      <c r="DF176" s="148"/>
      <c r="DG176" s="148"/>
      <c r="DH176" s="148"/>
      <c r="DI176" s="148"/>
      <c r="DJ176" s="148"/>
      <c r="DK176" s="148"/>
      <c r="DL176" s="148"/>
      <c r="DM176" s="148"/>
      <c r="DN176" s="148"/>
      <c r="DO176" s="148"/>
      <c r="DP176" s="148"/>
      <c r="DQ176" s="148"/>
      <c r="DR176" s="148"/>
      <c r="DS176" s="148"/>
      <c r="DT176" s="148"/>
      <c r="DU176" s="148"/>
      <c r="DV176" s="148"/>
      <c r="DW176" s="148"/>
      <c r="DX176" s="148"/>
      <c r="DY176" s="148"/>
      <c r="DZ176" s="148"/>
      <c r="EA176" s="148"/>
      <c r="EB176" s="148"/>
      <c r="EC176" s="148"/>
      <c r="ED176" s="148"/>
      <c r="EE176" s="148"/>
      <c r="EF176" s="148"/>
      <c r="EG176" s="148"/>
      <c r="EH176" s="148"/>
      <c r="EI176" s="148"/>
      <c r="EJ176" s="148"/>
      <c r="EK176" s="148"/>
      <c r="EL176" s="148"/>
      <c r="EM176" s="148"/>
      <c r="EN176" s="148"/>
      <c r="EO176" s="148"/>
      <c r="EP176" s="148"/>
      <c r="EQ176" s="148"/>
      <c r="ER176" s="148"/>
      <c r="ES176" s="151"/>
      <c r="ET176" s="151"/>
      <c r="EU176" s="151"/>
      <c r="EV176" s="151"/>
      <c r="EW176" s="151"/>
      <c r="EX176" s="151"/>
      <c r="EY176" s="151"/>
      <c r="EZ176" s="151"/>
      <c r="FA176" s="151"/>
      <c r="FB176" s="151"/>
      <c r="FC176" s="151"/>
      <c r="FD176" s="151"/>
      <c r="FE176" s="151"/>
      <c r="FF176" s="151"/>
      <c r="FG176" s="151"/>
      <c r="FH176" s="151"/>
      <c r="FI176" s="151"/>
      <c r="FJ176" s="151"/>
      <c r="FK176" s="151"/>
      <c r="FL176" s="151"/>
      <c r="FM176" s="151"/>
      <c r="FN176" s="151"/>
      <c r="FO176" s="151"/>
      <c r="FP176" s="151"/>
      <c r="FQ176" s="151"/>
      <c r="FR176" s="151"/>
      <c r="FS176" s="151"/>
      <c r="FT176" s="151"/>
      <c r="FU176" s="151"/>
      <c r="FV176" s="151"/>
      <c r="FW176" s="151"/>
      <c r="FX176" s="151"/>
      <c r="FY176" s="151"/>
      <c r="FZ176" s="151"/>
      <c r="GA176" s="151"/>
      <c r="GB176" s="151"/>
      <c r="GC176" s="151"/>
      <c r="GD176" s="151"/>
      <c r="GE176" s="151"/>
      <c r="GF176" s="151"/>
      <c r="GG176" s="152"/>
    </row>
    <row r="177" spans="1:189" ht="27.75" x14ac:dyDescent="0.35">
      <c r="A177" s="222" t="s">
        <v>564</v>
      </c>
      <c r="B177" s="221"/>
      <c r="C177" s="221"/>
      <c r="D177" s="221" t="s">
        <v>1083</v>
      </c>
      <c r="E177" s="221" t="s">
        <v>539</v>
      </c>
      <c r="F177" s="221" t="s">
        <v>338</v>
      </c>
      <c r="G177" s="223">
        <v>2</v>
      </c>
      <c r="H177" s="224"/>
      <c r="I177" s="225"/>
      <c r="J177" s="225"/>
      <c r="K177" s="225"/>
      <c r="L177" s="226">
        <v>46214</v>
      </c>
      <c r="M177" s="226">
        <v>46278</v>
      </c>
      <c r="N177" s="226"/>
      <c r="O177" s="226"/>
      <c r="P177" s="226"/>
      <c r="Q177" s="227" t="s">
        <v>45</v>
      </c>
      <c r="R177" s="228">
        <v>185000</v>
      </c>
      <c r="S177" s="228">
        <v>185000</v>
      </c>
      <c r="T177" s="228"/>
      <c r="U177" s="191">
        <f t="shared" si="181"/>
        <v>0</v>
      </c>
      <c r="V177" s="230"/>
      <c r="W177" s="232"/>
      <c r="X177" s="46"/>
      <c r="Y177" s="167">
        <f t="shared" si="174"/>
        <v>185000</v>
      </c>
      <c r="Z177" s="167">
        <f t="shared" si="175"/>
        <v>0</v>
      </c>
      <c r="AA177" s="167">
        <f t="shared" si="176"/>
        <v>185000</v>
      </c>
      <c r="AB177" s="167">
        <f t="shared" si="177"/>
        <v>0</v>
      </c>
      <c r="AC177" s="167">
        <f t="shared" si="178"/>
        <v>0</v>
      </c>
      <c r="AD177" s="167">
        <f t="shared" si="179"/>
        <v>0</v>
      </c>
      <c r="AF177" s="47">
        <f t="shared" si="180"/>
        <v>1</v>
      </c>
      <c r="AG177" s="202" t="str">
        <f t="shared" si="173"/>
        <v xml:space="preserve"> Radioactivity detector</v>
      </c>
      <c r="AH177" s="172"/>
      <c r="AI177" s="173"/>
      <c r="AJ177" s="173"/>
      <c r="AK177" s="173"/>
      <c r="AL177" s="173"/>
      <c r="AM177" s="173"/>
      <c r="AN177" s="173"/>
      <c r="AO177" s="173"/>
      <c r="AP177" s="173"/>
      <c r="AQ177" s="173"/>
      <c r="AR177" s="173"/>
      <c r="AS177" s="173"/>
      <c r="AT177" s="173"/>
      <c r="AU177" s="173"/>
      <c r="AV177" s="173"/>
      <c r="AW177" s="173"/>
      <c r="AX177" s="173"/>
      <c r="AY177" s="173"/>
      <c r="AZ177" s="173"/>
      <c r="BA177" s="173"/>
      <c r="BB177" s="173"/>
      <c r="BC177" s="173"/>
      <c r="BD177" s="173"/>
      <c r="BE177" s="173"/>
      <c r="BF177" s="173"/>
      <c r="BG177" s="173"/>
      <c r="BH177" s="173"/>
      <c r="BI177" s="173"/>
      <c r="BJ177" s="173"/>
      <c r="BK177" s="173"/>
      <c r="BL177" s="173"/>
      <c r="BM177" s="173"/>
      <c r="BN177" s="173"/>
      <c r="BO177" s="173"/>
      <c r="BP177" s="173"/>
      <c r="BQ177" s="173"/>
      <c r="BR177" s="173"/>
      <c r="BS177" s="173"/>
      <c r="BT177" s="173"/>
      <c r="BU177" s="173"/>
      <c r="BV177" s="173"/>
      <c r="BW177" s="173"/>
      <c r="BX177" s="173"/>
      <c r="BY177" s="173"/>
      <c r="BZ177" s="173"/>
      <c r="CA177" s="173"/>
      <c r="CB177" s="173"/>
      <c r="CC177" s="173"/>
      <c r="CD177" s="173"/>
      <c r="CE177" s="173"/>
      <c r="CF177" s="173"/>
      <c r="CG177" s="173"/>
      <c r="CH177" s="173"/>
      <c r="CI177" s="173"/>
      <c r="CJ177" s="173"/>
      <c r="CK177" s="173"/>
      <c r="CL177" s="173"/>
      <c r="CM177" s="173"/>
      <c r="CN177" s="173"/>
      <c r="CO177" s="173"/>
      <c r="CP177" s="173"/>
      <c r="CQ177" s="173"/>
      <c r="CR177" s="173"/>
      <c r="CS177" s="173"/>
      <c r="CT177" s="173"/>
      <c r="CU177" s="173"/>
      <c r="CV177" s="173"/>
      <c r="CW177" s="173"/>
      <c r="CX177" s="173"/>
      <c r="CY177" s="148"/>
      <c r="CZ177" s="148"/>
      <c r="DA177" s="148"/>
      <c r="DB177" s="148"/>
      <c r="DC177" s="148"/>
      <c r="DD177" s="148"/>
      <c r="DE177" s="148"/>
      <c r="DF177" s="148"/>
      <c r="DG177" s="148"/>
      <c r="DH177" s="148"/>
      <c r="DI177" s="148"/>
      <c r="DJ177" s="148"/>
      <c r="DK177" s="148"/>
      <c r="DL177" s="148"/>
      <c r="DM177" s="148"/>
      <c r="DN177" s="148"/>
      <c r="DO177" s="148"/>
      <c r="DP177" s="148"/>
      <c r="DQ177" s="148"/>
      <c r="DR177" s="148"/>
      <c r="DS177" s="148"/>
      <c r="DT177" s="148"/>
      <c r="DU177" s="148"/>
      <c r="DV177" s="148"/>
      <c r="DW177" s="148"/>
      <c r="DX177" s="148"/>
      <c r="DY177" s="148"/>
      <c r="DZ177" s="148"/>
      <c r="EA177" s="148"/>
      <c r="EB177" s="148"/>
      <c r="EC177" s="148"/>
      <c r="ED177" s="148"/>
      <c r="EE177" s="148"/>
      <c r="EF177" s="148"/>
      <c r="EG177" s="148"/>
      <c r="EH177" s="148"/>
      <c r="EI177" s="148"/>
      <c r="EJ177" s="148"/>
      <c r="EK177" s="148"/>
      <c r="EL177" s="148"/>
      <c r="EM177" s="148"/>
      <c r="EN177" s="148"/>
      <c r="EO177" s="148"/>
      <c r="EP177" s="148"/>
      <c r="EQ177" s="148"/>
      <c r="ER177" s="148"/>
      <c r="ES177" s="151"/>
      <c r="ET177" s="151"/>
      <c r="EU177" s="151"/>
      <c r="EV177" s="151"/>
      <c r="EW177" s="151"/>
      <c r="EX177" s="151"/>
      <c r="EY177" s="151"/>
      <c r="EZ177" s="151"/>
      <c r="FA177" s="151"/>
      <c r="FB177" s="151"/>
      <c r="FC177" s="151"/>
      <c r="FD177" s="151"/>
      <c r="FE177" s="151"/>
      <c r="FF177" s="151"/>
      <c r="FG177" s="151"/>
      <c r="FH177" s="151"/>
      <c r="FI177" s="151"/>
      <c r="FJ177" s="151"/>
      <c r="FK177" s="151"/>
      <c r="FL177" s="151"/>
      <c r="FM177" s="151"/>
      <c r="FN177" s="151"/>
      <c r="FO177" s="151"/>
      <c r="FP177" s="151"/>
      <c r="FQ177" s="151"/>
      <c r="FR177" s="151"/>
      <c r="FS177" s="151"/>
      <c r="FT177" s="151"/>
      <c r="FU177" s="151"/>
      <c r="FV177" s="151"/>
      <c r="FW177" s="151"/>
      <c r="FX177" s="151"/>
      <c r="FY177" s="151"/>
      <c r="FZ177" s="151"/>
      <c r="GA177" s="151"/>
      <c r="GB177" s="151"/>
      <c r="GC177" s="151"/>
      <c r="GD177" s="151"/>
      <c r="GE177" s="151"/>
      <c r="GF177" s="151"/>
      <c r="GG177" s="152"/>
    </row>
    <row r="178" spans="1:189" ht="27.75" x14ac:dyDescent="0.35">
      <c r="A178" s="237" t="s">
        <v>553</v>
      </c>
      <c r="B178" s="236"/>
      <c r="C178" s="236"/>
      <c r="D178" s="236" t="s">
        <v>1083</v>
      </c>
      <c r="E178" s="236" t="s">
        <v>540</v>
      </c>
      <c r="F178" s="236" t="s">
        <v>339</v>
      </c>
      <c r="G178" s="238">
        <v>2</v>
      </c>
      <c r="H178" s="239"/>
      <c r="I178" s="240"/>
      <c r="J178" s="240"/>
      <c r="K178" s="240"/>
      <c r="L178" s="241"/>
      <c r="M178" s="241"/>
      <c r="N178" s="241"/>
      <c r="O178" s="241"/>
      <c r="P178" s="241"/>
      <c r="Q178" s="242"/>
      <c r="R178" s="243"/>
      <c r="S178" s="243"/>
      <c r="T178" s="243"/>
      <c r="U178" s="191">
        <f t="shared" si="181"/>
        <v>0</v>
      </c>
      <c r="V178" s="244"/>
      <c r="W178" s="245"/>
      <c r="X178" s="46"/>
      <c r="Y178" s="167">
        <f t="shared" si="174"/>
        <v>0</v>
      </c>
      <c r="Z178" s="167">
        <f t="shared" si="175"/>
        <v>0</v>
      </c>
      <c r="AA178" s="167">
        <f t="shared" si="176"/>
        <v>0</v>
      </c>
      <c r="AB178" s="167">
        <f t="shared" si="177"/>
        <v>0</v>
      </c>
      <c r="AC178" s="167">
        <f t="shared" si="178"/>
        <v>0</v>
      </c>
      <c r="AD178" s="167">
        <f t="shared" si="179"/>
        <v>0</v>
      </c>
      <c r="AF178" s="180">
        <f t="shared" si="180"/>
        <v>0</v>
      </c>
      <c r="AG178" s="202" t="str">
        <f t="shared" si="173"/>
        <v xml:space="preserve"> Waste bunker</v>
      </c>
      <c r="AH178" s="172"/>
      <c r="AI178" s="173"/>
      <c r="AJ178" s="173"/>
      <c r="AK178" s="173"/>
      <c r="AL178" s="173"/>
      <c r="AM178" s="173"/>
      <c r="AN178" s="173"/>
      <c r="AO178" s="173"/>
      <c r="AP178" s="173"/>
      <c r="AQ178" s="173"/>
      <c r="AR178" s="173"/>
      <c r="AS178" s="173"/>
      <c r="AT178" s="173"/>
      <c r="AU178" s="173"/>
      <c r="AV178" s="173"/>
      <c r="AW178" s="173"/>
      <c r="AX178" s="173"/>
      <c r="AY178" s="173"/>
      <c r="AZ178" s="173"/>
      <c r="BA178" s="173"/>
      <c r="BB178" s="173"/>
      <c r="BC178" s="173"/>
      <c r="BD178" s="173"/>
      <c r="BE178" s="173"/>
      <c r="BF178" s="173"/>
      <c r="BG178" s="173"/>
      <c r="BH178" s="173"/>
      <c r="BI178" s="173"/>
      <c r="BJ178" s="173"/>
      <c r="BK178" s="173"/>
      <c r="BL178" s="173"/>
      <c r="BM178" s="173"/>
      <c r="BN178" s="173"/>
      <c r="BO178" s="173"/>
      <c r="BP178" s="173"/>
      <c r="BQ178" s="173"/>
      <c r="BR178" s="173"/>
      <c r="BS178" s="173"/>
      <c r="BT178" s="173"/>
      <c r="BU178" s="173"/>
      <c r="BV178" s="173"/>
      <c r="BW178" s="173"/>
      <c r="BX178" s="173"/>
      <c r="BY178" s="173"/>
      <c r="BZ178" s="173"/>
      <c r="CA178" s="173"/>
      <c r="CB178" s="173"/>
      <c r="CC178" s="173"/>
      <c r="CD178" s="173"/>
      <c r="CE178" s="173"/>
      <c r="CF178" s="173"/>
      <c r="CG178" s="173"/>
      <c r="CH178" s="173"/>
      <c r="CI178" s="173"/>
      <c r="CJ178" s="173"/>
      <c r="CK178" s="173"/>
      <c r="CL178" s="173"/>
      <c r="CM178" s="173"/>
      <c r="CN178" s="173"/>
      <c r="CO178" s="173"/>
      <c r="CP178" s="173"/>
      <c r="CQ178" s="173"/>
      <c r="CR178" s="173"/>
      <c r="CS178" s="173"/>
      <c r="CT178" s="173"/>
      <c r="CU178" s="173"/>
      <c r="CV178" s="173"/>
      <c r="CW178" s="173"/>
      <c r="CX178" s="173"/>
      <c r="CY178" s="148"/>
      <c r="CZ178" s="148"/>
      <c r="DA178" s="148"/>
      <c r="DB178" s="148"/>
      <c r="DC178" s="148"/>
      <c r="DD178" s="148"/>
      <c r="DE178" s="148"/>
      <c r="DF178" s="148"/>
      <c r="DG178" s="148"/>
      <c r="DH178" s="148"/>
      <c r="DI178" s="148"/>
      <c r="DJ178" s="148"/>
      <c r="DK178" s="148"/>
      <c r="DL178" s="148"/>
      <c r="DM178" s="148"/>
      <c r="DN178" s="148"/>
      <c r="DO178" s="148"/>
      <c r="DP178" s="148"/>
      <c r="DQ178" s="148"/>
      <c r="DR178" s="148"/>
      <c r="DS178" s="148"/>
      <c r="DT178" s="148"/>
      <c r="DU178" s="148"/>
      <c r="DV178" s="148"/>
      <c r="DW178" s="148"/>
      <c r="DX178" s="148"/>
      <c r="DY178" s="148"/>
      <c r="DZ178" s="148"/>
      <c r="EA178" s="148"/>
      <c r="EB178" s="148"/>
      <c r="EC178" s="148"/>
      <c r="ED178" s="148"/>
      <c r="EE178" s="148"/>
      <c r="EF178" s="148"/>
      <c r="EG178" s="148"/>
      <c r="EH178" s="148"/>
      <c r="EI178" s="148"/>
      <c r="EJ178" s="148"/>
      <c r="EK178" s="148"/>
      <c r="EL178" s="148"/>
      <c r="EM178" s="148"/>
      <c r="EN178" s="148"/>
      <c r="EO178" s="148"/>
      <c r="EP178" s="148"/>
      <c r="EQ178" s="148"/>
      <c r="ER178" s="148"/>
      <c r="ES178" s="151"/>
      <c r="ET178" s="151"/>
      <c r="EU178" s="151"/>
      <c r="EV178" s="151"/>
      <c r="EW178" s="151"/>
      <c r="EX178" s="151"/>
      <c r="EY178" s="151"/>
      <c r="EZ178" s="151"/>
      <c r="FA178" s="151"/>
      <c r="FB178" s="151"/>
      <c r="FC178" s="151"/>
      <c r="FD178" s="151"/>
      <c r="FE178" s="151"/>
      <c r="FF178" s="151"/>
      <c r="FG178" s="151"/>
      <c r="FH178" s="151"/>
      <c r="FI178" s="151"/>
      <c r="FJ178" s="151"/>
      <c r="FK178" s="151"/>
      <c r="FL178" s="151"/>
      <c r="FM178" s="151"/>
      <c r="FN178" s="151"/>
      <c r="FO178" s="151"/>
      <c r="FP178" s="151"/>
      <c r="FQ178" s="151"/>
      <c r="FR178" s="151"/>
      <c r="FS178" s="151"/>
      <c r="FT178" s="151"/>
      <c r="FU178" s="151"/>
      <c r="FV178" s="151"/>
      <c r="FW178" s="151"/>
      <c r="FX178" s="151"/>
      <c r="FY178" s="151"/>
      <c r="FZ178" s="151"/>
      <c r="GA178" s="151"/>
      <c r="GB178" s="151"/>
      <c r="GC178" s="151"/>
      <c r="GD178" s="151"/>
      <c r="GE178" s="151"/>
      <c r="GF178" s="151"/>
      <c r="GG178" s="152"/>
    </row>
    <row r="179" spans="1:189" ht="27.75" x14ac:dyDescent="0.35">
      <c r="A179" s="267" t="s">
        <v>566</v>
      </c>
      <c r="B179" s="221" t="s">
        <v>1071</v>
      </c>
      <c r="C179" s="221"/>
      <c r="D179" s="221" t="s">
        <v>1083</v>
      </c>
      <c r="E179" s="221" t="s">
        <v>541</v>
      </c>
      <c r="F179" s="221" t="s">
        <v>366</v>
      </c>
      <c r="G179" s="223">
        <v>2</v>
      </c>
      <c r="H179" s="224" t="s">
        <v>1367</v>
      </c>
      <c r="I179" s="225"/>
      <c r="J179" s="225"/>
      <c r="K179" s="225"/>
      <c r="L179" s="226">
        <v>46110</v>
      </c>
      <c r="M179" s="226">
        <v>46134</v>
      </c>
      <c r="N179" s="226">
        <v>46125</v>
      </c>
      <c r="O179" s="226">
        <v>46125</v>
      </c>
      <c r="P179" s="226">
        <v>46418</v>
      </c>
      <c r="Q179" s="227" t="s">
        <v>20</v>
      </c>
      <c r="R179" s="228">
        <v>9072785</v>
      </c>
      <c r="S179" s="228">
        <v>9072785</v>
      </c>
      <c r="T179" s="228">
        <f>8601000+100000</f>
        <v>8701000</v>
      </c>
      <c r="U179" s="191">
        <f t="shared" si="181"/>
        <v>371785</v>
      </c>
      <c r="V179" s="230"/>
      <c r="W179" s="232"/>
      <c r="X179" s="46"/>
      <c r="Y179" s="167">
        <f t="shared" si="174"/>
        <v>9072785</v>
      </c>
      <c r="Z179" s="167">
        <f t="shared" si="175"/>
        <v>8701000</v>
      </c>
      <c r="AA179" s="167">
        <f t="shared" si="176"/>
        <v>371785</v>
      </c>
      <c r="AB179" s="167">
        <f t="shared" si="177"/>
        <v>0</v>
      </c>
      <c r="AC179" s="167">
        <f t="shared" si="178"/>
        <v>0</v>
      </c>
      <c r="AD179" s="167">
        <f t="shared" si="179"/>
        <v>0</v>
      </c>
      <c r="AF179" s="47">
        <f t="shared" si="180"/>
        <v>1</v>
      </c>
      <c r="AG179" s="202" t="str">
        <f t="shared" si="173"/>
        <v>Magdalena Białorucka Overhead crane, grab and operator seat + Spare Grab</v>
      </c>
      <c r="AH179" s="172"/>
      <c r="AI179" s="173"/>
      <c r="AJ179" s="173"/>
      <c r="AK179" s="173"/>
      <c r="AL179" s="173"/>
      <c r="AM179" s="173"/>
      <c r="AN179" s="173"/>
      <c r="AO179" s="173"/>
      <c r="AP179" s="173"/>
      <c r="AQ179" s="173"/>
      <c r="AR179" s="173"/>
      <c r="AS179" s="173"/>
      <c r="AT179" s="173"/>
      <c r="AU179" s="173"/>
      <c r="AV179" s="173"/>
      <c r="AW179" s="173"/>
      <c r="AX179" s="173"/>
      <c r="AY179" s="173"/>
      <c r="AZ179" s="173"/>
      <c r="BA179" s="173"/>
      <c r="BB179" s="173"/>
      <c r="BC179" s="173"/>
      <c r="BD179" s="173"/>
      <c r="BE179" s="173"/>
      <c r="BF179" s="173"/>
      <c r="BG179" s="173"/>
      <c r="BH179" s="173"/>
      <c r="BI179" s="173"/>
      <c r="BJ179" s="173"/>
      <c r="BK179" s="173"/>
      <c r="BL179" s="173"/>
      <c r="BM179" s="173"/>
      <c r="BN179" s="173"/>
      <c r="BO179" s="173"/>
      <c r="BP179" s="173"/>
      <c r="BQ179" s="173"/>
      <c r="BR179" s="173"/>
      <c r="BS179" s="173"/>
      <c r="BT179" s="173"/>
      <c r="BU179" s="173"/>
      <c r="BV179" s="173"/>
      <c r="BW179" s="173"/>
      <c r="BX179" s="173"/>
      <c r="BY179" s="173"/>
      <c r="BZ179" s="173"/>
      <c r="CA179" s="173"/>
      <c r="CB179" s="173"/>
      <c r="CC179" s="173"/>
      <c r="CD179" s="173"/>
      <c r="CE179" s="173"/>
      <c r="CF179" s="173"/>
      <c r="CG179" s="173"/>
      <c r="CH179" s="173"/>
      <c r="CI179" s="173"/>
      <c r="CJ179" s="173"/>
      <c r="CK179" s="173"/>
      <c r="CL179" s="173"/>
      <c r="CM179" s="173"/>
      <c r="CN179" s="173"/>
      <c r="CO179" s="173"/>
      <c r="CP179" s="173"/>
      <c r="CQ179" s="173"/>
      <c r="CR179" s="173"/>
      <c r="CS179" s="173"/>
      <c r="CT179" s="173"/>
      <c r="CU179" s="173"/>
      <c r="CV179" s="173"/>
      <c r="CW179" s="173"/>
      <c r="CX179" s="173"/>
      <c r="CY179" s="148"/>
      <c r="CZ179" s="148"/>
      <c r="DA179" s="148"/>
      <c r="DB179" s="148"/>
      <c r="DC179" s="148"/>
      <c r="DD179" s="148"/>
      <c r="DE179" s="148"/>
      <c r="DF179" s="148"/>
      <c r="DG179" s="148"/>
      <c r="DH179" s="148"/>
      <c r="DI179" s="148"/>
      <c r="DJ179" s="148"/>
      <c r="DK179" s="148"/>
      <c r="DL179" s="148"/>
      <c r="DM179" s="148"/>
      <c r="DN179" s="148"/>
      <c r="DO179" s="148"/>
      <c r="DP179" s="148"/>
      <c r="DQ179" s="148"/>
      <c r="DR179" s="148"/>
      <c r="DS179" s="148"/>
      <c r="DT179" s="148"/>
      <c r="DU179" s="148"/>
      <c r="DV179" s="148"/>
      <c r="DW179" s="148"/>
      <c r="DX179" s="148"/>
      <c r="DY179" s="148"/>
      <c r="DZ179" s="148"/>
      <c r="EA179" s="148"/>
      <c r="EB179" s="148"/>
      <c r="EC179" s="148"/>
      <c r="ED179" s="148"/>
      <c r="EE179" s="148"/>
      <c r="EF179" s="148"/>
      <c r="EG179" s="148"/>
      <c r="EH179" s="148"/>
      <c r="EI179" s="148"/>
      <c r="EJ179" s="148"/>
      <c r="EK179" s="148"/>
      <c r="EL179" s="148"/>
      <c r="EM179" s="148"/>
      <c r="EN179" s="148"/>
      <c r="EO179" s="148"/>
      <c r="EP179" s="148"/>
      <c r="EQ179" s="148"/>
      <c r="ER179" s="148"/>
      <c r="ES179" s="151"/>
      <c r="ET179" s="151"/>
      <c r="EU179" s="151"/>
      <c r="EV179" s="151"/>
      <c r="EW179" s="151"/>
      <c r="EX179" s="151"/>
      <c r="EY179" s="151"/>
      <c r="EZ179" s="151"/>
      <c r="FA179" s="151"/>
      <c r="FB179" s="151"/>
      <c r="FC179" s="151"/>
      <c r="FD179" s="151"/>
      <c r="FE179" s="151"/>
      <c r="FF179" s="151"/>
      <c r="FG179" s="151"/>
      <c r="FH179" s="151"/>
      <c r="FI179" s="151"/>
      <c r="FJ179" s="151"/>
      <c r="FK179" s="151"/>
      <c r="FL179" s="151"/>
      <c r="FM179" s="151"/>
      <c r="FN179" s="151"/>
      <c r="FO179" s="151"/>
      <c r="FP179" s="151"/>
      <c r="FQ179" s="151"/>
      <c r="FR179" s="151"/>
      <c r="FS179" s="151"/>
      <c r="FT179" s="151"/>
      <c r="FU179" s="151"/>
      <c r="FV179" s="151"/>
      <c r="FW179" s="151"/>
      <c r="FX179" s="151"/>
      <c r="FY179" s="151"/>
      <c r="FZ179" s="151"/>
      <c r="GA179" s="151"/>
      <c r="GB179" s="151"/>
      <c r="GC179" s="151"/>
      <c r="GD179" s="151"/>
      <c r="GE179" s="151"/>
      <c r="GF179" s="151"/>
      <c r="GG179" s="152"/>
    </row>
    <row r="180" spans="1:189" ht="27.75" x14ac:dyDescent="0.35">
      <c r="A180" s="267" t="s">
        <v>567</v>
      </c>
      <c r="B180" s="221"/>
      <c r="C180" s="221"/>
      <c r="D180" s="221" t="s">
        <v>1083</v>
      </c>
      <c r="E180" s="221" t="s">
        <v>542</v>
      </c>
      <c r="F180" s="221" t="s">
        <v>340</v>
      </c>
      <c r="G180" s="223">
        <v>2</v>
      </c>
      <c r="H180" s="224"/>
      <c r="I180" s="225"/>
      <c r="J180" s="225"/>
      <c r="K180" s="225"/>
      <c r="L180" s="226">
        <v>46142</v>
      </c>
      <c r="M180" s="226">
        <v>46173</v>
      </c>
      <c r="N180" s="226"/>
      <c r="O180" s="226"/>
      <c r="P180" s="226"/>
      <c r="Q180" s="227" t="s">
        <v>45</v>
      </c>
      <c r="R180" s="228">
        <v>81600</v>
      </c>
      <c r="S180" s="228">
        <v>81600</v>
      </c>
      <c r="T180" s="228"/>
      <c r="U180" s="191">
        <f t="shared" si="181"/>
        <v>0</v>
      </c>
      <c r="V180" s="230"/>
      <c r="W180" s="232"/>
      <c r="X180" s="46"/>
      <c r="Y180" s="167">
        <f t="shared" si="174"/>
        <v>81600</v>
      </c>
      <c r="Z180" s="167">
        <f t="shared" si="175"/>
        <v>0</v>
      </c>
      <c r="AA180" s="167">
        <f t="shared" si="176"/>
        <v>81600</v>
      </c>
      <c r="AB180" s="167">
        <f t="shared" si="177"/>
        <v>0</v>
      </c>
      <c r="AC180" s="167">
        <f t="shared" si="178"/>
        <v>0</v>
      </c>
      <c r="AD180" s="167">
        <f t="shared" si="179"/>
        <v>0</v>
      </c>
      <c r="AF180" s="180">
        <f t="shared" si="180"/>
        <v>1</v>
      </c>
      <c r="AG180" s="202" t="str">
        <f t="shared" si="173"/>
        <v xml:space="preserve"> Trapdoors for grab maintenance</v>
      </c>
      <c r="AH180" s="172"/>
      <c r="AI180" s="173"/>
      <c r="AJ180" s="173"/>
      <c r="AK180" s="173"/>
      <c r="AL180" s="173"/>
      <c r="AM180" s="173"/>
      <c r="AN180" s="173"/>
      <c r="AO180" s="173"/>
      <c r="AP180" s="173"/>
      <c r="AQ180" s="173"/>
      <c r="AR180" s="173"/>
      <c r="AS180" s="173"/>
      <c r="AT180" s="173"/>
      <c r="AU180" s="173"/>
      <c r="AV180" s="173"/>
      <c r="AW180" s="173"/>
      <c r="AX180" s="173"/>
      <c r="AY180" s="173"/>
      <c r="AZ180" s="173"/>
      <c r="BA180" s="173"/>
      <c r="BB180" s="173"/>
      <c r="BC180" s="173"/>
      <c r="BD180" s="173"/>
      <c r="BE180" s="173"/>
      <c r="BF180" s="173"/>
      <c r="BG180" s="173"/>
      <c r="BH180" s="173"/>
      <c r="BI180" s="173"/>
      <c r="BJ180" s="173"/>
      <c r="BK180" s="173"/>
      <c r="BL180" s="173"/>
      <c r="BM180" s="173"/>
      <c r="BN180" s="173"/>
      <c r="BO180" s="173"/>
      <c r="BP180" s="173"/>
      <c r="BQ180" s="173"/>
      <c r="BR180" s="173"/>
      <c r="BS180" s="173"/>
      <c r="BT180" s="173"/>
      <c r="BU180" s="173"/>
      <c r="BV180" s="173"/>
      <c r="BW180" s="173"/>
      <c r="BX180" s="173"/>
      <c r="BY180" s="173"/>
      <c r="BZ180" s="173"/>
      <c r="CA180" s="173"/>
      <c r="CB180" s="173"/>
      <c r="CC180" s="173"/>
      <c r="CD180" s="173"/>
      <c r="CE180" s="173"/>
      <c r="CF180" s="173"/>
      <c r="CG180" s="173"/>
      <c r="CH180" s="173"/>
      <c r="CI180" s="173"/>
      <c r="CJ180" s="173"/>
      <c r="CK180" s="173"/>
      <c r="CL180" s="173"/>
      <c r="CM180" s="173"/>
      <c r="CN180" s="173"/>
      <c r="CO180" s="173"/>
      <c r="CP180" s="173"/>
      <c r="CQ180" s="173"/>
      <c r="CR180" s="173"/>
      <c r="CS180" s="173"/>
      <c r="CT180" s="173"/>
      <c r="CU180" s="173"/>
      <c r="CV180" s="173"/>
      <c r="CW180" s="173"/>
      <c r="CX180" s="173"/>
      <c r="CY180" s="148"/>
      <c r="CZ180" s="148"/>
      <c r="DA180" s="148"/>
      <c r="DB180" s="148"/>
      <c r="DC180" s="148"/>
      <c r="DD180" s="148"/>
      <c r="DE180" s="148"/>
      <c r="DF180" s="148"/>
      <c r="DG180" s="148"/>
      <c r="DH180" s="148"/>
      <c r="DI180" s="148"/>
      <c r="DJ180" s="148"/>
      <c r="DK180" s="148"/>
      <c r="DL180" s="148"/>
      <c r="DM180" s="148"/>
      <c r="DN180" s="148"/>
      <c r="DO180" s="148"/>
      <c r="DP180" s="148"/>
      <c r="DQ180" s="148"/>
      <c r="DR180" s="148"/>
      <c r="DS180" s="148"/>
      <c r="DT180" s="148"/>
      <c r="DU180" s="148"/>
      <c r="DV180" s="148"/>
      <c r="DW180" s="148"/>
      <c r="DX180" s="148"/>
      <c r="DY180" s="148"/>
      <c r="DZ180" s="148"/>
      <c r="EA180" s="148"/>
      <c r="EB180" s="148"/>
      <c r="EC180" s="148"/>
      <c r="ED180" s="148"/>
      <c r="EE180" s="148"/>
      <c r="EF180" s="148"/>
      <c r="EG180" s="148"/>
      <c r="EH180" s="148"/>
      <c r="EI180" s="148"/>
      <c r="EJ180" s="148"/>
      <c r="EK180" s="148"/>
      <c r="EL180" s="148"/>
      <c r="EM180" s="148"/>
      <c r="EN180" s="148"/>
      <c r="EO180" s="148"/>
      <c r="EP180" s="148"/>
      <c r="EQ180" s="148"/>
      <c r="ER180" s="148"/>
      <c r="ES180" s="148"/>
      <c r="ET180" s="148"/>
      <c r="EU180" s="148"/>
      <c r="EV180" s="148"/>
      <c r="EW180" s="148"/>
      <c r="EX180" s="148"/>
      <c r="EY180" s="148"/>
      <c r="EZ180" s="148"/>
      <c r="FA180" s="148"/>
      <c r="FB180" s="148"/>
      <c r="FC180" s="148"/>
      <c r="FD180" s="148"/>
      <c r="FE180" s="148"/>
      <c r="FF180" s="148"/>
      <c r="FG180" s="148"/>
      <c r="FH180" s="148"/>
      <c r="FI180" s="148"/>
      <c r="FJ180" s="148"/>
      <c r="FK180" s="148"/>
      <c r="FL180" s="148"/>
      <c r="FM180" s="148"/>
      <c r="FN180" s="148"/>
      <c r="FO180" s="148"/>
      <c r="FP180" s="148"/>
      <c r="FQ180" s="148"/>
      <c r="FR180" s="148"/>
      <c r="FS180" s="148"/>
      <c r="FT180" s="148"/>
      <c r="FU180" s="148"/>
      <c r="FV180" s="148"/>
      <c r="FW180" s="148"/>
      <c r="FX180" s="148"/>
      <c r="FY180" s="148"/>
      <c r="FZ180" s="148"/>
      <c r="GA180" s="148"/>
      <c r="GB180" s="148"/>
      <c r="GC180" s="148"/>
      <c r="GD180" s="148"/>
      <c r="GE180" s="148"/>
      <c r="GF180" s="148"/>
      <c r="GG180" s="149"/>
    </row>
    <row r="181" spans="1:189" ht="27.75" x14ac:dyDescent="0.35">
      <c r="A181" s="237" t="s">
        <v>568</v>
      </c>
      <c r="B181" s="236"/>
      <c r="C181" s="236"/>
      <c r="D181" s="236" t="s">
        <v>1083</v>
      </c>
      <c r="E181" s="236" t="s">
        <v>543</v>
      </c>
      <c r="F181" s="236" t="s">
        <v>341</v>
      </c>
      <c r="G181" s="238">
        <v>2</v>
      </c>
      <c r="H181" s="239"/>
      <c r="I181" s="240"/>
      <c r="J181" s="240"/>
      <c r="K181" s="240"/>
      <c r="L181" s="241"/>
      <c r="M181" s="241"/>
      <c r="N181" s="241"/>
      <c r="O181" s="241"/>
      <c r="P181" s="241"/>
      <c r="Q181" s="242"/>
      <c r="R181" s="243"/>
      <c r="S181" s="243"/>
      <c r="T181" s="243"/>
      <c r="U181" s="191">
        <f t="shared" si="181"/>
        <v>0</v>
      </c>
      <c r="V181" s="244"/>
      <c r="W181" s="245"/>
      <c r="X181" s="46"/>
      <c r="Y181" s="167">
        <f t="shared" si="174"/>
        <v>0</v>
      </c>
      <c r="Z181" s="167">
        <f t="shared" si="175"/>
        <v>0</v>
      </c>
      <c r="AA181" s="167">
        <f t="shared" si="176"/>
        <v>0</v>
      </c>
      <c r="AB181" s="167">
        <f t="shared" si="177"/>
        <v>0</v>
      </c>
      <c r="AC181" s="167">
        <f t="shared" si="178"/>
        <v>0</v>
      </c>
      <c r="AD181" s="167">
        <f t="shared" si="179"/>
        <v>0</v>
      </c>
      <c r="AF181" s="47">
        <f t="shared" si="180"/>
        <v>0</v>
      </c>
      <c r="AG181" s="202" t="str">
        <f t="shared" si="173"/>
        <v xml:space="preserve"> Furnace</v>
      </c>
      <c r="AH181" s="172"/>
      <c r="AI181" s="173"/>
      <c r="AJ181" s="173"/>
      <c r="AK181" s="173"/>
      <c r="AL181" s="173"/>
      <c r="AM181" s="173"/>
      <c r="AN181" s="173"/>
      <c r="AO181" s="173"/>
      <c r="AP181" s="173"/>
      <c r="AQ181" s="173"/>
      <c r="AR181" s="173"/>
      <c r="AS181" s="173"/>
      <c r="AT181" s="173"/>
      <c r="AU181" s="173"/>
      <c r="AV181" s="173"/>
      <c r="AW181" s="173"/>
      <c r="AX181" s="173"/>
      <c r="AY181" s="173"/>
      <c r="AZ181" s="173"/>
      <c r="BA181" s="173"/>
      <c r="BB181" s="173"/>
      <c r="BC181" s="173"/>
      <c r="BD181" s="173"/>
      <c r="BE181" s="173"/>
      <c r="BF181" s="173"/>
      <c r="BG181" s="173"/>
      <c r="BH181" s="173"/>
      <c r="BI181" s="173"/>
      <c r="BJ181" s="173"/>
      <c r="BK181" s="173"/>
      <c r="BL181" s="173"/>
      <c r="BM181" s="173"/>
      <c r="BN181" s="173"/>
      <c r="BO181" s="173"/>
      <c r="BP181" s="173"/>
      <c r="BQ181" s="173"/>
      <c r="BR181" s="173"/>
      <c r="BS181" s="173"/>
      <c r="BT181" s="173"/>
      <c r="BU181" s="173"/>
      <c r="BV181" s="173"/>
      <c r="BW181" s="173"/>
      <c r="BX181" s="173"/>
      <c r="BY181" s="173"/>
      <c r="BZ181" s="173"/>
      <c r="CA181" s="173"/>
      <c r="CB181" s="173"/>
      <c r="CC181" s="173"/>
      <c r="CD181" s="173"/>
      <c r="CE181" s="173"/>
      <c r="CF181" s="173"/>
      <c r="CG181" s="173"/>
      <c r="CH181" s="173"/>
      <c r="CI181" s="173"/>
      <c r="CJ181" s="173"/>
      <c r="CK181" s="173"/>
      <c r="CL181" s="173"/>
      <c r="CM181" s="173"/>
      <c r="CN181" s="173"/>
      <c r="CO181" s="173"/>
      <c r="CP181" s="173"/>
      <c r="CQ181" s="173"/>
      <c r="CR181" s="173"/>
      <c r="CS181" s="173"/>
      <c r="CT181" s="173"/>
      <c r="CU181" s="173"/>
      <c r="CV181" s="173"/>
      <c r="CW181" s="173"/>
      <c r="CX181" s="173"/>
      <c r="CY181" s="148"/>
      <c r="CZ181" s="148"/>
      <c r="DA181" s="148"/>
      <c r="DB181" s="148"/>
      <c r="DC181" s="148"/>
      <c r="DD181" s="148"/>
      <c r="DE181" s="148"/>
      <c r="DF181" s="148"/>
      <c r="DG181" s="148"/>
      <c r="DH181" s="148"/>
      <c r="DI181" s="148"/>
      <c r="DJ181" s="148"/>
      <c r="DK181" s="148"/>
      <c r="DL181" s="148"/>
      <c r="DM181" s="148"/>
      <c r="DN181" s="148"/>
      <c r="DO181" s="148"/>
      <c r="DP181" s="148"/>
      <c r="DQ181" s="148"/>
      <c r="DR181" s="148"/>
      <c r="DS181" s="148"/>
      <c r="DT181" s="148"/>
      <c r="DU181" s="148"/>
      <c r="DV181" s="148"/>
      <c r="DW181" s="148"/>
      <c r="DX181" s="148"/>
      <c r="DY181" s="148"/>
      <c r="DZ181" s="148"/>
      <c r="EA181" s="148"/>
      <c r="EB181" s="148"/>
      <c r="EC181" s="148"/>
      <c r="ED181" s="148"/>
      <c r="EE181" s="148"/>
      <c r="EF181" s="148"/>
      <c r="EG181" s="148"/>
      <c r="EH181" s="148"/>
      <c r="EI181" s="148"/>
      <c r="EJ181" s="148"/>
      <c r="EK181" s="148"/>
      <c r="EL181" s="148"/>
      <c r="EM181" s="148"/>
      <c r="EN181" s="148"/>
      <c r="EO181" s="148"/>
      <c r="EP181" s="148"/>
      <c r="EQ181" s="148"/>
      <c r="ER181" s="148"/>
      <c r="ES181" s="151"/>
      <c r="ET181" s="151"/>
      <c r="EU181" s="151"/>
      <c r="EV181" s="151"/>
      <c r="EW181" s="151"/>
      <c r="EX181" s="151"/>
      <c r="EY181" s="151"/>
      <c r="EZ181" s="151"/>
      <c r="FA181" s="151"/>
      <c r="FB181" s="151"/>
      <c r="FC181" s="151"/>
      <c r="FD181" s="151"/>
      <c r="FE181" s="151"/>
      <c r="FF181" s="151"/>
      <c r="FG181" s="151"/>
      <c r="FH181" s="151"/>
      <c r="FI181" s="151"/>
      <c r="FJ181" s="151"/>
      <c r="FK181" s="151"/>
      <c r="FL181" s="151"/>
      <c r="FM181" s="151"/>
      <c r="FN181" s="151"/>
      <c r="FO181" s="151"/>
      <c r="FP181" s="151"/>
      <c r="FQ181" s="151"/>
      <c r="FR181" s="151"/>
      <c r="FS181" s="151"/>
      <c r="FT181" s="151"/>
      <c r="FU181" s="151"/>
      <c r="FV181" s="151"/>
      <c r="FW181" s="151"/>
      <c r="FX181" s="151"/>
      <c r="FY181" s="151"/>
      <c r="FZ181" s="151"/>
      <c r="GA181" s="151"/>
      <c r="GB181" s="151"/>
      <c r="GC181" s="151"/>
      <c r="GD181" s="151"/>
      <c r="GE181" s="151"/>
      <c r="GF181" s="151"/>
      <c r="GG181" s="152"/>
    </row>
    <row r="182" spans="1:189" ht="55.5" x14ac:dyDescent="0.35">
      <c r="A182" s="267" t="s">
        <v>569</v>
      </c>
      <c r="B182" s="221" t="s">
        <v>1075</v>
      </c>
      <c r="C182" s="221"/>
      <c r="D182" s="221" t="s">
        <v>1083</v>
      </c>
      <c r="E182" s="221" t="s">
        <v>424</v>
      </c>
      <c r="F182" s="221" t="s">
        <v>367</v>
      </c>
      <c r="G182" s="223">
        <v>2</v>
      </c>
      <c r="H182" s="224" t="s">
        <v>276</v>
      </c>
      <c r="I182" s="225"/>
      <c r="J182" s="225"/>
      <c r="K182" s="225"/>
      <c r="L182" s="226">
        <v>46173</v>
      </c>
      <c r="M182" s="226">
        <v>46174</v>
      </c>
      <c r="N182" s="226">
        <v>45995</v>
      </c>
      <c r="O182" s="226">
        <v>45995</v>
      </c>
      <c r="P182" s="226">
        <v>46326</v>
      </c>
      <c r="Q182" s="227" t="s">
        <v>20</v>
      </c>
      <c r="R182" s="228">
        <v>33755000</v>
      </c>
      <c r="S182" s="228">
        <v>33755000</v>
      </c>
      <c r="T182" s="228">
        <f>S182</f>
        <v>33755000</v>
      </c>
      <c r="U182" s="191">
        <f t="shared" si="181"/>
        <v>0</v>
      </c>
      <c r="V182" s="230"/>
      <c r="W182" s="231"/>
      <c r="X182" s="46"/>
      <c r="Y182" s="167">
        <f t="shared" si="174"/>
        <v>33755000</v>
      </c>
      <c r="Z182" s="167">
        <f t="shared" si="175"/>
        <v>33755000</v>
      </c>
      <c r="AA182" s="167">
        <f t="shared" si="176"/>
        <v>0</v>
      </c>
      <c r="AB182" s="167">
        <f t="shared" si="177"/>
        <v>0</v>
      </c>
      <c r="AC182" s="167">
        <f t="shared" si="178"/>
        <v>0</v>
      </c>
      <c r="AD182" s="167">
        <f t="shared" si="179"/>
        <v>0</v>
      </c>
      <c r="AF182" s="180">
        <f t="shared" si="180"/>
        <v>1</v>
      </c>
      <c r="AG182" s="202" t="str">
        <f t="shared" si="173"/>
        <v>- Furnace charging hopper + Furnace supporting steel structure + Complete grate fired furnace with waste feeding system + Hoppers under grate</v>
      </c>
      <c r="AH182" s="153"/>
      <c r="AI182" s="154"/>
      <c r="AJ182" s="154"/>
      <c r="AK182" s="154"/>
      <c r="AL182" s="154"/>
      <c r="AM182" s="154"/>
      <c r="AN182" s="154"/>
      <c r="AO182" s="154"/>
      <c r="AP182" s="154"/>
      <c r="AQ182" s="154"/>
      <c r="AR182" s="154"/>
      <c r="AS182" s="154"/>
      <c r="AT182" s="154"/>
      <c r="AU182" s="154"/>
      <c r="AV182" s="154"/>
      <c r="AW182" s="154"/>
      <c r="AX182" s="154"/>
      <c r="AY182" s="154"/>
      <c r="AZ182" s="154"/>
      <c r="BA182" s="151"/>
      <c r="BB182" s="151"/>
      <c r="BC182" s="151"/>
      <c r="BD182" s="151"/>
      <c r="BE182" s="151"/>
      <c r="BF182" s="151"/>
      <c r="BG182" s="151"/>
      <c r="BH182" s="151"/>
      <c r="BI182" s="151"/>
      <c r="BJ182" s="151"/>
      <c r="BK182" s="151"/>
      <c r="BL182" s="151"/>
      <c r="BM182" s="151"/>
      <c r="BN182" s="151"/>
      <c r="BO182" s="151"/>
      <c r="BP182" s="151"/>
      <c r="BQ182" s="151"/>
      <c r="BR182" s="151"/>
      <c r="BS182" s="151"/>
      <c r="BT182" s="151"/>
      <c r="BU182" s="151"/>
      <c r="BV182" s="151"/>
      <c r="BW182" s="151"/>
      <c r="BX182" s="151"/>
      <c r="BY182" s="151"/>
      <c r="BZ182" s="151"/>
      <c r="CA182" s="151"/>
      <c r="CB182" s="151"/>
      <c r="CC182" s="151"/>
      <c r="CD182" s="151"/>
      <c r="CE182" s="151"/>
      <c r="CF182" s="151"/>
      <c r="CG182" s="151"/>
      <c r="CH182" s="151"/>
      <c r="CI182" s="151"/>
      <c r="CJ182" s="151"/>
      <c r="CK182" s="151"/>
      <c r="CL182" s="151"/>
      <c r="CM182" s="151"/>
      <c r="CN182" s="151"/>
      <c r="CO182" s="151"/>
      <c r="CP182" s="151"/>
      <c r="CQ182" s="151"/>
      <c r="CR182" s="151"/>
      <c r="CS182" s="151"/>
      <c r="CT182" s="151"/>
      <c r="CU182" s="151"/>
      <c r="CV182" s="151"/>
      <c r="CW182" s="151"/>
      <c r="CX182" s="151"/>
      <c r="CY182" s="151"/>
      <c r="CZ182" s="151"/>
      <c r="DA182" s="151"/>
      <c r="DB182" s="151"/>
      <c r="DC182" s="151"/>
      <c r="DD182" s="151"/>
      <c r="DE182" s="151"/>
      <c r="DF182" s="151"/>
      <c r="DG182" s="151"/>
      <c r="DH182" s="151"/>
      <c r="DI182" s="151"/>
      <c r="DJ182" s="151"/>
      <c r="DK182" s="151"/>
      <c r="DL182" s="151"/>
      <c r="DM182" s="151"/>
      <c r="DN182" s="151"/>
      <c r="DO182" s="151"/>
      <c r="DP182" s="151"/>
      <c r="DQ182" s="151"/>
      <c r="DR182" s="151"/>
      <c r="DS182" s="151"/>
      <c r="DT182" s="151"/>
      <c r="DU182" s="151"/>
      <c r="DV182" s="151"/>
      <c r="DW182" s="151"/>
      <c r="DX182" s="151"/>
      <c r="DY182" s="151"/>
      <c r="DZ182" s="151"/>
      <c r="EA182" s="151"/>
      <c r="EB182" s="151"/>
      <c r="EC182" s="151"/>
      <c r="ED182" s="151"/>
      <c r="EE182" s="151"/>
      <c r="EF182" s="151"/>
      <c r="EG182" s="151"/>
      <c r="EH182" s="151"/>
      <c r="EI182" s="151"/>
      <c r="EJ182" s="151"/>
      <c r="EK182" s="151"/>
      <c r="EL182" s="151"/>
      <c r="EM182" s="151"/>
      <c r="EN182" s="151"/>
      <c r="EO182" s="151"/>
      <c r="EP182" s="151"/>
      <c r="EQ182" s="151"/>
      <c r="ER182" s="151"/>
      <c r="ES182" s="151"/>
      <c r="ET182" s="151"/>
      <c r="EU182" s="151"/>
      <c r="EV182" s="151"/>
      <c r="EW182" s="151"/>
      <c r="EX182" s="151"/>
      <c r="EY182" s="151"/>
      <c r="EZ182" s="151"/>
      <c r="FA182" s="151"/>
      <c r="FB182" s="151"/>
      <c r="FC182" s="151"/>
      <c r="FD182" s="151"/>
      <c r="FE182" s="151"/>
      <c r="FF182" s="151"/>
      <c r="FG182" s="151"/>
      <c r="FH182" s="151"/>
      <c r="FI182" s="151"/>
      <c r="FJ182" s="151"/>
      <c r="FK182" s="151"/>
      <c r="FL182" s="151"/>
      <c r="FM182" s="151"/>
      <c r="FN182" s="151"/>
      <c r="FO182" s="151"/>
      <c r="FP182" s="151"/>
      <c r="FQ182" s="151"/>
      <c r="FR182" s="151"/>
      <c r="FS182" s="151"/>
      <c r="FT182" s="151"/>
      <c r="FU182" s="151"/>
      <c r="FV182" s="151"/>
      <c r="FW182" s="151"/>
      <c r="FX182" s="151"/>
      <c r="FY182" s="151"/>
      <c r="FZ182" s="151"/>
      <c r="GA182" s="151"/>
      <c r="GB182" s="151"/>
      <c r="GC182" s="151"/>
      <c r="GD182" s="151"/>
      <c r="GE182" s="151"/>
      <c r="GF182" s="151"/>
      <c r="GG182" s="152"/>
    </row>
    <row r="183" spans="1:189" ht="41.65" x14ac:dyDescent="0.35">
      <c r="A183" s="267" t="s">
        <v>570</v>
      </c>
      <c r="B183" s="221" t="s">
        <v>1071</v>
      </c>
      <c r="C183" s="221"/>
      <c r="D183" s="221" t="s">
        <v>1083</v>
      </c>
      <c r="E183" s="221" t="s">
        <v>544</v>
      </c>
      <c r="F183" s="221" t="s">
        <v>545</v>
      </c>
      <c r="G183" s="223">
        <v>1</v>
      </c>
      <c r="H183" s="224" t="s">
        <v>1370</v>
      </c>
      <c r="I183" s="225"/>
      <c r="J183" s="225"/>
      <c r="K183" s="225"/>
      <c r="L183" s="226">
        <v>46110</v>
      </c>
      <c r="M183" s="226">
        <v>46143</v>
      </c>
      <c r="N183" s="226"/>
      <c r="O183" s="226"/>
      <c r="P183" s="226"/>
      <c r="Q183" s="227" t="s">
        <v>11</v>
      </c>
      <c r="R183" s="228">
        <v>595000</v>
      </c>
      <c r="S183" s="228">
        <v>595000</v>
      </c>
      <c r="T183" s="228"/>
      <c r="U183" s="191">
        <f t="shared" si="181"/>
        <v>0</v>
      </c>
      <c r="V183" s="230"/>
      <c r="W183" s="232"/>
      <c r="X183" s="46"/>
      <c r="Y183" s="167">
        <f t="shared" si="174"/>
        <v>0</v>
      </c>
      <c r="Z183" s="167">
        <f t="shared" si="175"/>
        <v>0</v>
      </c>
      <c r="AA183" s="167">
        <f t="shared" si="176"/>
        <v>0</v>
      </c>
      <c r="AB183" s="167">
        <f t="shared" si="177"/>
        <v>595000</v>
      </c>
      <c r="AC183" s="167">
        <f t="shared" si="178"/>
        <v>0</v>
      </c>
      <c r="AD183" s="167">
        <f t="shared" si="179"/>
        <v>595000</v>
      </c>
      <c r="AF183" s="47">
        <f t="shared" si="180"/>
        <v>1</v>
      </c>
      <c r="AG183" s="202" t="str">
        <f t="shared" si="173"/>
        <v>Magdalena Białorucka Primary and secondary air fan, Flue gas recirculation fan, ID Fan</v>
      </c>
      <c r="AH183" s="172"/>
      <c r="AI183" s="173"/>
      <c r="AJ183" s="173"/>
      <c r="AK183" s="173"/>
      <c r="AL183" s="173"/>
      <c r="AM183" s="173"/>
      <c r="AN183" s="173"/>
      <c r="AO183" s="173"/>
      <c r="AP183" s="173"/>
      <c r="AQ183" s="173"/>
      <c r="AR183" s="173"/>
      <c r="AS183" s="173"/>
      <c r="AT183" s="173"/>
      <c r="AU183" s="173"/>
      <c r="AV183" s="173"/>
      <c r="AW183" s="173"/>
      <c r="AX183" s="173"/>
      <c r="AY183" s="173"/>
      <c r="AZ183" s="173"/>
      <c r="BA183" s="173"/>
      <c r="BB183" s="173"/>
      <c r="BC183" s="173"/>
      <c r="BD183" s="173"/>
      <c r="BE183" s="173"/>
      <c r="BF183" s="173"/>
      <c r="BG183" s="173"/>
      <c r="BH183" s="173"/>
      <c r="BI183" s="173"/>
      <c r="BJ183" s="173"/>
      <c r="BK183" s="173"/>
      <c r="BL183" s="173"/>
      <c r="BM183" s="173"/>
      <c r="BN183" s="173"/>
      <c r="BO183" s="173"/>
      <c r="BP183" s="173"/>
      <c r="BQ183" s="173"/>
      <c r="BR183" s="173"/>
      <c r="BS183" s="173"/>
      <c r="BT183" s="173"/>
      <c r="BU183" s="173"/>
      <c r="BV183" s="173"/>
      <c r="BW183" s="173"/>
      <c r="BX183" s="173"/>
      <c r="BY183" s="173"/>
      <c r="BZ183" s="173"/>
      <c r="CA183" s="173"/>
      <c r="CB183" s="173"/>
      <c r="CC183" s="173"/>
      <c r="CD183" s="173"/>
      <c r="CE183" s="173"/>
      <c r="CF183" s="173"/>
      <c r="CG183" s="173"/>
      <c r="CH183" s="173"/>
      <c r="CI183" s="173"/>
      <c r="CJ183" s="173"/>
      <c r="CK183" s="173"/>
      <c r="CL183" s="173"/>
      <c r="CM183" s="173"/>
      <c r="CN183" s="173"/>
      <c r="CO183" s="173"/>
      <c r="CP183" s="173"/>
      <c r="CQ183" s="173"/>
      <c r="CR183" s="173"/>
      <c r="CS183" s="173"/>
      <c r="CT183" s="173"/>
      <c r="CU183" s="173"/>
      <c r="CV183" s="173"/>
      <c r="CW183" s="173"/>
      <c r="CX183" s="173"/>
      <c r="CY183" s="148"/>
      <c r="CZ183" s="148"/>
      <c r="DA183" s="148"/>
      <c r="DB183" s="148"/>
      <c r="DC183" s="148"/>
      <c r="DD183" s="148"/>
      <c r="DE183" s="148"/>
      <c r="DF183" s="148"/>
      <c r="DG183" s="148"/>
      <c r="DH183" s="148"/>
      <c r="DI183" s="148"/>
      <c r="DJ183" s="148"/>
      <c r="DK183" s="148"/>
      <c r="DL183" s="148"/>
      <c r="DM183" s="148"/>
      <c r="DN183" s="148"/>
      <c r="DO183" s="148"/>
      <c r="DP183" s="148"/>
      <c r="DQ183" s="148"/>
      <c r="DR183" s="148"/>
      <c r="DS183" s="148"/>
      <c r="DT183" s="148"/>
      <c r="DU183" s="148"/>
      <c r="DV183" s="148"/>
      <c r="DW183" s="148"/>
      <c r="DX183" s="148"/>
      <c r="DY183" s="148"/>
      <c r="DZ183" s="148"/>
      <c r="EA183" s="148"/>
      <c r="EB183" s="148"/>
      <c r="EC183" s="148"/>
      <c r="ED183" s="148"/>
      <c r="EE183" s="148"/>
      <c r="EF183" s="148"/>
      <c r="EG183" s="148"/>
      <c r="EH183" s="148"/>
      <c r="EI183" s="148"/>
      <c r="EJ183" s="148"/>
      <c r="EK183" s="148"/>
      <c r="EL183" s="148"/>
      <c r="EM183" s="148"/>
      <c r="EN183" s="148"/>
      <c r="EO183" s="148"/>
      <c r="EP183" s="148"/>
      <c r="EQ183" s="148"/>
      <c r="ER183" s="148"/>
      <c r="ES183" s="151"/>
      <c r="ET183" s="151"/>
      <c r="EU183" s="151"/>
      <c r="EV183" s="151"/>
      <c r="EW183" s="151"/>
      <c r="EX183" s="151"/>
      <c r="EY183" s="151"/>
      <c r="EZ183" s="151"/>
      <c r="FA183" s="151"/>
      <c r="FB183" s="151"/>
      <c r="FC183" s="151"/>
      <c r="FD183" s="151"/>
      <c r="FE183" s="151"/>
      <c r="FF183" s="151"/>
      <c r="FG183" s="151"/>
      <c r="FH183" s="151"/>
      <c r="FI183" s="151"/>
      <c r="FJ183" s="151"/>
      <c r="FK183" s="151"/>
      <c r="FL183" s="151"/>
      <c r="FM183" s="151"/>
      <c r="FN183" s="151"/>
      <c r="FO183" s="151"/>
      <c r="FP183" s="151"/>
      <c r="FQ183" s="151"/>
      <c r="FR183" s="151"/>
      <c r="FS183" s="151"/>
      <c r="FT183" s="151"/>
      <c r="FU183" s="151"/>
      <c r="FV183" s="151"/>
      <c r="FW183" s="151"/>
      <c r="FX183" s="151"/>
      <c r="FY183" s="151"/>
      <c r="FZ183" s="151"/>
      <c r="GA183" s="151"/>
      <c r="GB183" s="151"/>
      <c r="GC183" s="151"/>
      <c r="GD183" s="151"/>
      <c r="GE183" s="151"/>
      <c r="GF183" s="151"/>
      <c r="GG183" s="152"/>
    </row>
    <row r="184" spans="1:189" ht="27.75" x14ac:dyDescent="0.35">
      <c r="A184" s="267" t="s">
        <v>565</v>
      </c>
      <c r="B184" s="221" t="s">
        <v>1066</v>
      </c>
      <c r="C184" s="221"/>
      <c r="D184" s="221" t="s">
        <v>1083</v>
      </c>
      <c r="E184" s="221" t="s">
        <v>425</v>
      </c>
      <c r="F184" s="221" t="s">
        <v>368</v>
      </c>
      <c r="G184" s="223">
        <v>1</v>
      </c>
      <c r="H184" s="224" t="s">
        <v>1371</v>
      </c>
      <c r="I184" s="225"/>
      <c r="J184" s="225"/>
      <c r="K184" s="225"/>
      <c r="L184" s="226">
        <v>46117</v>
      </c>
      <c r="M184" s="226">
        <v>46150</v>
      </c>
      <c r="N184" s="226"/>
      <c r="O184" s="226"/>
      <c r="P184" s="226"/>
      <c r="Q184" s="227" t="s">
        <v>11</v>
      </c>
      <c r="R184" s="228">
        <v>1281400</v>
      </c>
      <c r="S184" s="228">
        <v>1281400</v>
      </c>
      <c r="T184" s="228"/>
      <c r="U184" s="191">
        <f t="shared" si="181"/>
        <v>0</v>
      </c>
      <c r="V184" s="230"/>
      <c r="W184" s="232"/>
      <c r="X184" s="46"/>
      <c r="Y184" s="167">
        <f t="shared" si="174"/>
        <v>0</v>
      </c>
      <c r="Z184" s="167">
        <f t="shared" si="175"/>
        <v>0</v>
      </c>
      <c r="AA184" s="167">
        <f t="shared" si="176"/>
        <v>0</v>
      </c>
      <c r="AB184" s="167">
        <f t="shared" si="177"/>
        <v>1281400</v>
      </c>
      <c r="AC184" s="167">
        <f t="shared" si="178"/>
        <v>0</v>
      </c>
      <c r="AD184" s="167">
        <f t="shared" si="179"/>
        <v>1281400</v>
      </c>
      <c r="AF184" s="180">
        <f t="shared" si="180"/>
        <v>1</v>
      </c>
      <c r="AG184" s="202" t="str">
        <f t="shared" si="173"/>
        <v>Stanisław Rucki Primary &amp; secondary air heat exchanger</v>
      </c>
      <c r="AH184" s="172"/>
      <c r="AI184" s="173"/>
      <c r="AJ184" s="173"/>
      <c r="AK184" s="173"/>
      <c r="AL184" s="173"/>
      <c r="AM184" s="173"/>
      <c r="AN184" s="173"/>
      <c r="AO184" s="173"/>
      <c r="AP184" s="173"/>
      <c r="AQ184" s="173"/>
      <c r="AR184" s="173"/>
      <c r="AS184" s="173"/>
      <c r="AT184" s="173"/>
      <c r="AU184" s="173"/>
      <c r="AV184" s="173"/>
      <c r="AW184" s="173"/>
      <c r="AX184" s="173"/>
      <c r="AY184" s="173"/>
      <c r="AZ184" s="173"/>
      <c r="BA184" s="173"/>
      <c r="BB184" s="173"/>
      <c r="BC184" s="173"/>
      <c r="BD184" s="173"/>
      <c r="BE184" s="173"/>
      <c r="BF184" s="173"/>
      <c r="BG184" s="173"/>
      <c r="BH184" s="173"/>
      <c r="BI184" s="173"/>
      <c r="BJ184" s="173"/>
      <c r="BK184" s="173"/>
      <c r="BL184" s="173"/>
      <c r="BM184" s="173"/>
      <c r="BN184" s="173"/>
      <c r="BO184" s="173"/>
      <c r="BP184" s="173"/>
      <c r="BQ184" s="173"/>
      <c r="BR184" s="173"/>
      <c r="BS184" s="173"/>
      <c r="BT184" s="173"/>
      <c r="BU184" s="173"/>
      <c r="BV184" s="173"/>
      <c r="BW184" s="173"/>
      <c r="BX184" s="173"/>
      <c r="BY184" s="173"/>
      <c r="BZ184" s="173"/>
      <c r="CA184" s="173"/>
      <c r="CB184" s="173"/>
      <c r="CC184" s="173"/>
      <c r="CD184" s="173"/>
      <c r="CE184" s="173"/>
      <c r="CF184" s="173"/>
      <c r="CG184" s="173"/>
      <c r="CH184" s="173"/>
      <c r="CI184" s="173"/>
      <c r="CJ184" s="173"/>
      <c r="CK184" s="173"/>
      <c r="CL184" s="173"/>
      <c r="CM184" s="173"/>
      <c r="CN184" s="173"/>
      <c r="CO184" s="173"/>
      <c r="CP184" s="173"/>
      <c r="CQ184" s="173"/>
      <c r="CR184" s="173"/>
      <c r="CS184" s="173"/>
      <c r="CT184" s="173"/>
      <c r="CU184" s="173"/>
      <c r="CV184" s="173"/>
      <c r="CW184" s="173"/>
      <c r="CX184" s="173"/>
      <c r="CY184" s="148"/>
      <c r="CZ184" s="148"/>
      <c r="DA184" s="148"/>
      <c r="DB184" s="148"/>
      <c r="DC184" s="148"/>
      <c r="DD184" s="148"/>
      <c r="DE184" s="148"/>
      <c r="DF184" s="148"/>
      <c r="DG184" s="148"/>
      <c r="DH184" s="148"/>
      <c r="DI184" s="148"/>
      <c r="DJ184" s="148"/>
      <c r="DK184" s="148"/>
      <c r="DL184" s="148"/>
      <c r="DM184" s="148"/>
      <c r="DN184" s="148"/>
      <c r="DO184" s="148"/>
      <c r="DP184" s="148"/>
      <c r="DQ184" s="148"/>
      <c r="DR184" s="148"/>
      <c r="DS184" s="148"/>
      <c r="DT184" s="148"/>
      <c r="DU184" s="148"/>
      <c r="DV184" s="148"/>
      <c r="DW184" s="148"/>
      <c r="DX184" s="148"/>
      <c r="DY184" s="148"/>
      <c r="DZ184" s="148"/>
      <c r="EA184" s="148"/>
      <c r="EB184" s="148"/>
      <c r="EC184" s="148"/>
      <c r="ED184" s="148"/>
      <c r="EE184" s="148"/>
      <c r="EF184" s="148"/>
      <c r="EG184" s="148"/>
      <c r="EH184" s="148"/>
      <c r="EI184" s="148"/>
      <c r="EJ184" s="148"/>
      <c r="EK184" s="148"/>
      <c r="EL184" s="148"/>
      <c r="EM184" s="148"/>
      <c r="EN184" s="148"/>
      <c r="EO184" s="148"/>
      <c r="EP184" s="148"/>
      <c r="EQ184" s="148"/>
      <c r="ER184" s="148"/>
      <c r="ES184" s="151"/>
      <c r="ET184" s="151"/>
      <c r="EU184" s="151"/>
      <c r="EV184" s="151"/>
      <c r="EW184" s="151"/>
      <c r="EX184" s="151"/>
      <c r="EY184" s="151"/>
      <c r="EZ184" s="151"/>
      <c r="FA184" s="151"/>
      <c r="FB184" s="151"/>
      <c r="FC184" s="151"/>
      <c r="FD184" s="151"/>
      <c r="FE184" s="151"/>
      <c r="FF184" s="151"/>
      <c r="FG184" s="151"/>
      <c r="FH184" s="151"/>
      <c r="FI184" s="151"/>
      <c r="FJ184" s="151"/>
      <c r="FK184" s="151"/>
      <c r="FL184" s="151"/>
      <c r="FM184" s="151"/>
      <c r="FN184" s="151"/>
      <c r="FO184" s="151"/>
      <c r="FP184" s="151"/>
      <c r="FQ184" s="151"/>
      <c r="FR184" s="151"/>
      <c r="FS184" s="151"/>
      <c r="FT184" s="151"/>
      <c r="FU184" s="151"/>
      <c r="FV184" s="151"/>
      <c r="FW184" s="151"/>
      <c r="FX184" s="151"/>
      <c r="FY184" s="151"/>
      <c r="FZ184" s="151"/>
      <c r="GA184" s="151"/>
      <c r="GB184" s="151"/>
      <c r="GC184" s="151"/>
      <c r="GD184" s="151"/>
      <c r="GE184" s="151"/>
      <c r="GF184" s="151"/>
      <c r="GG184" s="152"/>
    </row>
    <row r="185" spans="1:189" ht="55.5" x14ac:dyDescent="0.35">
      <c r="A185" s="267" t="s">
        <v>571</v>
      </c>
      <c r="B185" s="221" t="s">
        <v>1066</v>
      </c>
      <c r="C185" s="221"/>
      <c r="D185" s="221" t="s">
        <v>1083</v>
      </c>
      <c r="E185" s="221" t="s">
        <v>546</v>
      </c>
      <c r="F185" s="221" t="s">
        <v>369</v>
      </c>
      <c r="G185" s="223">
        <v>2</v>
      </c>
      <c r="H185" s="224"/>
      <c r="I185" s="225"/>
      <c r="J185" s="225"/>
      <c r="K185" s="225"/>
      <c r="L185" s="226">
        <v>46234</v>
      </c>
      <c r="M185" s="226">
        <v>46266</v>
      </c>
      <c r="N185" s="226"/>
      <c r="O185" s="226"/>
      <c r="P185" s="226"/>
      <c r="Q185" s="227" t="s">
        <v>45</v>
      </c>
      <c r="R185" s="228">
        <v>2502500</v>
      </c>
      <c r="S185" s="228">
        <v>2502500</v>
      </c>
      <c r="T185" s="228"/>
      <c r="U185" s="191">
        <f t="shared" si="181"/>
        <v>0</v>
      </c>
      <c r="V185" s="230"/>
      <c r="W185" s="232"/>
      <c r="X185" s="46"/>
      <c r="Y185" s="167">
        <f t="shared" si="174"/>
        <v>2502500</v>
      </c>
      <c r="Z185" s="167">
        <f t="shared" si="175"/>
        <v>0</v>
      </c>
      <c r="AA185" s="167">
        <f t="shared" si="176"/>
        <v>2502500</v>
      </c>
      <c r="AB185" s="167">
        <f t="shared" si="177"/>
        <v>0</v>
      </c>
      <c r="AC185" s="167">
        <f t="shared" si="178"/>
        <v>0</v>
      </c>
      <c r="AD185" s="167">
        <f t="shared" si="179"/>
        <v>0</v>
      </c>
      <c r="AF185" s="47">
        <f t="shared" si="180"/>
        <v>1</v>
      </c>
      <c r="AG185" s="202" t="str">
        <f t="shared" si="173"/>
        <v>Stanisław Rucki Primary / secondary air ducts + Flue gas recirculation ducts + Auxiliary burners ducts + Supporting structures</v>
      </c>
      <c r="AH185" s="172"/>
      <c r="AI185" s="173"/>
      <c r="AJ185" s="173"/>
      <c r="AK185" s="173"/>
      <c r="AL185" s="173"/>
      <c r="AM185" s="173"/>
      <c r="AN185" s="173"/>
      <c r="AO185" s="173"/>
      <c r="AP185" s="173"/>
      <c r="AQ185" s="173"/>
      <c r="AR185" s="173"/>
      <c r="AS185" s="173"/>
      <c r="AT185" s="173"/>
      <c r="AU185" s="173"/>
      <c r="AV185" s="173"/>
      <c r="AW185" s="173"/>
      <c r="AX185" s="173"/>
      <c r="AY185" s="173"/>
      <c r="AZ185" s="173"/>
      <c r="BA185" s="173"/>
      <c r="BB185" s="173"/>
      <c r="BC185" s="173"/>
      <c r="BD185" s="173"/>
      <c r="BE185" s="173"/>
      <c r="BF185" s="173"/>
      <c r="BG185" s="173"/>
      <c r="BH185" s="173"/>
      <c r="BI185" s="173"/>
      <c r="BJ185" s="173"/>
      <c r="BK185" s="173"/>
      <c r="BL185" s="173"/>
      <c r="BM185" s="173"/>
      <c r="BN185" s="173"/>
      <c r="BO185" s="173"/>
      <c r="BP185" s="173"/>
      <c r="BQ185" s="173"/>
      <c r="BR185" s="173"/>
      <c r="BS185" s="173"/>
      <c r="BT185" s="173"/>
      <c r="BU185" s="173"/>
      <c r="BV185" s="173"/>
      <c r="BW185" s="173"/>
      <c r="BX185" s="173"/>
      <c r="BY185" s="173"/>
      <c r="BZ185" s="173"/>
      <c r="CA185" s="173"/>
      <c r="CB185" s="173"/>
      <c r="CC185" s="173"/>
      <c r="CD185" s="173"/>
      <c r="CE185" s="173"/>
      <c r="CF185" s="173"/>
      <c r="CG185" s="173"/>
      <c r="CH185" s="173"/>
      <c r="CI185" s="173"/>
      <c r="CJ185" s="173"/>
      <c r="CK185" s="173"/>
      <c r="CL185" s="173"/>
      <c r="CM185" s="173"/>
      <c r="CN185" s="173"/>
      <c r="CO185" s="173"/>
      <c r="CP185" s="173"/>
      <c r="CQ185" s="173"/>
      <c r="CR185" s="173"/>
      <c r="CS185" s="173"/>
      <c r="CT185" s="173"/>
      <c r="CU185" s="173"/>
      <c r="CV185" s="173"/>
      <c r="CW185" s="173"/>
      <c r="CX185" s="173"/>
      <c r="CY185" s="148"/>
      <c r="CZ185" s="148"/>
      <c r="DA185" s="148"/>
      <c r="DB185" s="148"/>
      <c r="DC185" s="148"/>
      <c r="DD185" s="148"/>
      <c r="DE185" s="148"/>
      <c r="DF185" s="148"/>
      <c r="DG185" s="148"/>
      <c r="DH185" s="148"/>
      <c r="DI185" s="148"/>
      <c r="DJ185" s="148"/>
      <c r="DK185" s="148"/>
      <c r="DL185" s="148"/>
      <c r="DM185" s="148"/>
      <c r="DN185" s="148"/>
      <c r="DO185" s="148"/>
      <c r="DP185" s="148"/>
      <c r="DQ185" s="148"/>
      <c r="DR185" s="148"/>
      <c r="DS185" s="148"/>
      <c r="DT185" s="148"/>
      <c r="DU185" s="148"/>
      <c r="DV185" s="148"/>
      <c r="DW185" s="148"/>
      <c r="DX185" s="148"/>
      <c r="DY185" s="148"/>
      <c r="DZ185" s="148"/>
      <c r="EA185" s="148"/>
      <c r="EB185" s="148"/>
      <c r="EC185" s="148"/>
      <c r="ED185" s="148"/>
      <c r="EE185" s="148"/>
      <c r="EF185" s="148"/>
      <c r="EG185" s="148"/>
      <c r="EH185" s="148"/>
      <c r="EI185" s="148"/>
      <c r="EJ185" s="148"/>
      <c r="EK185" s="148"/>
      <c r="EL185" s="148"/>
      <c r="EM185" s="148"/>
      <c r="EN185" s="148"/>
      <c r="EO185" s="148"/>
      <c r="EP185" s="148"/>
      <c r="EQ185" s="148"/>
      <c r="ER185" s="148"/>
      <c r="ES185" s="148"/>
      <c r="ET185" s="148"/>
      <c r="EU185" s="148"/>
      <c r="EV185" s="148"/>
      <c r="EW185" s="148"/>
      <c r="EX185" s="148"/>
      <c r="EY185" s="148"/>
      <c r="EZ185" s="148"/>
      <c r="FA185" s="148"/>
      <c r="FB185" s="148"/>
      <c r="FC185" s="148"/>
      <c r="FD185" s="148"/>
      <c r="FE185" s="148"/>
      <c r="FF185" s="148"/>
      <c r="FG185" s="148"/>
      <c r="FH185" s="148"/>
      <c r="FI185" s="148"/>
      <c r="FJ185" s="148"/>
      <c r="FK185" s="148"/>
      <c r="FL185" s="148"/>
      <c r="FM185" s="148"/>
      <c r="FN185" s="148"/>
      <c r="FO185" s="148"/>
      <c r="FP185" s="148"/>
      <c r="FQ185" s="148"/>
      <c r="FR185" s="148"/>
      <c r="FS185" s="148"/>
      <c r="FT185" s="148"/>
      <c r="FU185" s="148"/>
      <c r="FV185" s="148"/>
      <c r="FW185" s="148"/>
      <c r="FX185" s="148"/>
      <c r="FY185" s="148"/>
      <c r="FZ185" s="148"/>
      <c r="GA185" s="148"/>
      <c r="GB185" s="148"/>
      <c r="GC185" s="148"/>
      <c r="GD185" s="148"/>
      <c r="GE185" s="148"/>
      <c r="GF185" s="148"/>
      <c r="GG185" s="149"/>
    </row>
    <row r="186" spans="1:189" ht="27.75" x14ac:dyDescent="0.35">
      <c r="A186" s="267" t="s">
        <v>572</v>
      </c>
      <c r="B186" s="221" t="s">
        <v>1074</v>
      </c>
      <c r="C186" s="221"/>
      <c r="D186" s="221" t="s">
        <v>1083</v>
      </c>
      <c r="E186" s="221" t="s">
        <v>550</v>
      </c>
      <c r="F186" s="221" t="s">
        <v>551</v>
      </c>
      <c r="G186" s="223">
        <v>2</v>
      </c>
      <c r="H186" s="224"/>
      <c r="I186" s="225"/>
      <c r="J186" s="225"/>
      <c r="K186" s="225"/>
      <c r="L186" s="226">
        <v>46234</v>
      </c>
      <c r="M186" s="226">
        <v>46266</v>
      </c>
      <c r="N186" s="226"/>
      <c r="O186" s="226"/>
      <c r="P186" s="226"/>
      <c r="Q186" s="227" t="s">
        <v>45</v>
      </c>
      <c r="R186" s="228">
        <v>100000</v>
      </c>
      <c r="S186" s="228">
        <v>100000</v>
      </c>
      <c r="T186" s="228"/>
      <c r="U186" s="191">
        <f t="shared" si="181"/>
        <v>0</v>
      </c>
      <c r="V186" s="230"/>
      <c r="W186" s="232"/>
      <c r="X186" s="46"/>
      <c r="Y186" s="167">
        <f t="shared" si="174"/>
        <v>100000</v>
      </c>
      <c r="Z186" s="167">
        <f t="shared" si="175"/>
        <v>0</v>
      </c>
      <c r="AA186" s="167">
        <f t="shared" si="176"/>
        <v>100000</v>
      </c>
      <c r="AB186" s="167">
        <f t="shared" si="177"/>
        <v>0</v>
      </c>
      <c r="AC186" s="167">
        <f t="shared" si="178"/>
        <v>0</v>
      </c>
      <c r="AD186" s="167">
        <f t="shared" si="179"/>
        <v>0</v>
      </c>
      <c r="AF186" s="180">
        <f t="shared" si="180"/>
        <v>1</v>
      </c>
      <c r="AG186" s="202" t="str">
        <f t="shared" si="173"/>
        <v>Magdalena Przeździak Fire curtain for primary air opening</v>
      </c>
      <c r="AH186" s="172"/>
      <c r="AI186" s="173"/>
      <c r="AJ186" s="173"/>
      <c r="AK186" s="173"/>
      <c r="AL186" s="173"/>
      <c r="AM186" s="173"/>
      <c r="AN186" s="173"/>
      <c r="AO186" s="173"/>
      <c r="AP186" s="173"/>
      <c r="AQ186" s="173"/>
      <c r="AR186" s="173"/>
      <c r="AS186" s="173"/>
      <c r="AT186" s="173"/>
      <c r="AU186" s="173"/>
      <c r="AV186" s="173"/>
      <c r="AW186" s="173"/>
      <c r="AX186" s="173"/>
      <c r="AY186" s="173"/>
      <c r="AZ186" s="173"/>
      <c r="BA186" s="173"/>
      <c r="BB186" s="173"/>
      <c r="BC186" s="173"/>
      <c r="BD186" s="173"/>
      <c r="BE186" s="173"/>
      <c r="BF186" s="173"/>
      <c r="BG186" s="173"/>
      <c r="BH186" s="173"/>
      <c r="BI186" s="173"/>
      <c r="BJ186" s="173"/>
      <c r="BK186" s="173"/>
      <c r="BL186" s="173"/>
      <c r="BM186" s="173"/>
      <c r="BN186" s="173"/>
      <c r="BO186" s="173"/>
      <c r="BP186" s="173"/>
      <c r="BQ186" s="173"/>
      <c r="BR186" s="173"/>
      <c r="BS186" s="173"/>
      <c r="BT186" s="173"/>
      <c r="BU186" s="173"/>
      <c r="BV186" s="173"/>
      <c r="BW186" s="173"/>
      <c r="BX186" s="173"/>
      <c r="BY186" s="173"/>
      <c r="BZ186" s="173"/>
      <c r="CA186" s="173"/>
      <c r="CB186" s="173"/>
      <c r="CC186" s="173"/>
      <c r="CD186" s="173"/>
      <c r="CE186" s="173"/>
      <c r="CF186" s="173"/>
      <c r="CG186" s="173"/>
      <c r="CH186" s="173"/>
      <c r="CI186" s="173"/>
      <c r="CJ186" s="173"/>
      <c r="CK186" s="173"/>
      <c r="CL186" s="173"/>
      <c r="CM186" s="173"/>
      <c r="CN186" s="173"/>
      <c r="CO186" s="173"/>
      <c r="CP186" s="173"/>
      <c r="CQ186" s="173"/>
      <c r="CR186" s="173"/>
      <c r="CS186" s="173"/>
      <c r="CT186" s="173"/>
      <c r="CU186" s="173"/>
      <c r="CV186" s="173"/>
      <c r="CW186" s="173"/>
      <c r="CX186" s="173"/>
      <c r="CY186" s="148"/>
      <c r="CZ186" s="148"/>
      <c r="DA186" s="148"/>
      <c r="DB186" s="148"/>
      <c r="DC186" s="148"/>
      <c r="DD186" s="148"/>
      <c r="DE186" s="148"/>
      <c r="DF186" s="148"/>
      <c r="DG186" s="148"/>
      <c r="DH186" s="148"/>
      <c r="DI186" s="148"/>
      <c r="DJ186" s="148"/>
      <c r="DK186" s="148"/>
      <c r="DL186" s="148"/>
      <c r="DM186" s="148"/>
      <c r="DN186" s="148"/>
      <c r="DO186" s="148"/>
      <c r="DP186" s="148"/>
      <c r="DQ186" s="148"/>
      <c r="DR186" s="148"/>
      <c r="DS186" s="148"/>
      <c r="DT186" s="148"/>
      <c r="DU186" s="148"/>
      <c r="DV186" s="148"/>
      <c r="DW186" s="148"/>
      <c r="DX186" s="148"/>
      <c r="DY186" s="148"/>
      <c r="DZ186" s="148"/>
      <c r="EA186" s="148"/>
      <c r="EB186" s="148"/>
      <c r="EC186" s="148"/>
      <c r="ED186" s="148"/>
      <c r="EE186" s="148"/>
      <c r="EF186" s="148"/>
      <c r="EG186" s="148"/>
      <c r="EH186" s="148"/>
      <c r="EI186" s="148"/>
      <c r="EJ186" s="148"/>
      <c r="EK186" s="148"/>
      <c r="EL186" s="148"/>
      <c r="EM186" s="148"/>
      <c r="EN186" s="148"/>
      <c r="EO186" s="148"/>
      <c r="EP186" s="148"/>
      <c r="EQ186" s="148"/>
      <c r="ER186" s="148"/>
      <c r="ES186" s="148"/>
      <c r="ET186" s="148"/>
      <c r="EU186" s="148"/>
      <c r="EV186" s="148"/>
      <c r="EW186" s="148"/>
      <c r="EX186" s="148"/>
      <c r="EY186" s="148"/>
      <c r="EZ186" s="148"/>
      <c r="FA186" s="148"/>
      <c r="FB186" s="148"/>
      <c r="FC186" s="148"/>
      <c r="FD186" s="148"/>
      <c r="FE186" s="148"/>
      <c r="FF186" s="148"/>
      <c r="FG186" s="148"/>
      <c r="FH186" s="148"/>
      <c r="FI186" s="148"/>
      <c r="FJ186" s="148"/>
      <c r="FK186" s="148"/>
      <c r="FL186" s="148"/>
      <c r="FM186" s="148"/>
      <c r="FN186" s="148"/>
      <c r="FO186" s="148"/>
      <c r="FP186" s="148"/>
      <c r="FQ186" s="148"/>
      <c r="FR186" s="148"/>
      <c r="FS186" s="148"/>
      <c r="FT186" s="148"/>
      <c r="FU186" s="148"/>
      <c r="FV186" s="148"/>
      <c r="FW186" s="148"/>
      <c r="FX186" s="148"/>
      <c r="FY186" s="148"/>
      <c r="FZ186" s="148"/>
      <c r="GA186" s="148"/>
      <c r="GB186" s="148"/>
      <c r="GC186" s="148"/>
      <c r="GD186" s="148"/>
      <c r="GE186" s="148"/>
      <c r="GF186" s="148"/>
      <c r="GG186" s="149"/>
    </row>
    <row r="187" spans="1:189" ht="27.75" x14ac:dyDescent="0.35">
      <c r="A187" s="267" t="s">
        <v>573</v>
      </c>
      <c r="B187" s="221"/>
      <c r="C187" s="221"/>
      <c r="D187" s="221" t="s">
        <v>1083</v>
      </c>
      <c r="E187" s="221" t="s">
        <v>422</v>
      </c>
      <c r="F187" s="221" t="s">
        <v>1062</v>
      </c>
      <c r="G187" s="223">
        <v>1</v>
      </c>
      <c r="H187" s="224"/>
      <c r="I187" s="225"/>
      <c r="J187" s="225"/>
      <c r="K187" s="225"/>
      <c r="L187" s="226">
        <v>46234</v>
      </c>
      <c r="M187" s="226">
        <v>46266</v>
      </c>
      <c r="N187" s="226"/>
      <c r="O187" s="226"/>
      <c r="P187" s="226"/>
      <c r="Q187" s="227" t="s">
        <v>45</v>
      </c>
      <c r="R187" s="228">
        <v>220000</v>
      </c>
      <c r="S187" s="228">
        <v>220000</v>
      </c>
      <c r="T187" s="228"/>
      <c r="U187" s="191">
        <f t="shared" si="181"/>
        <v>0</v>
      </c>
      <c r="V187" s="230"/>
      <c r="W187" s="231"/>
      <c r="X187" s="46"/>
      <c r="Y187" s="167">
        <f t="shared" si="174"/>
        <v>0</v>
      </c>
      <c r="Z187" s="167">
        <f t="shared" si="175"/>
        <v>0</v>
      </c>
      <c r="AA187" s="167">
        <f t="shared" si="176"/>
        <v>0</v>
      </c>
      <c r="AB187" s="167">
        <f t="shared" si="177"/>
        <v>220000</v>
      </c>
      <c r="AC187" s="167">
        <f t="shared" si="178"/>
        <v>0</v>
      </c>
      <c r="AD187" s="167">
        <f t="shared" si="179"/>
        <v>220000</v>
      </c>
      <c r="AF187" s="47">
        <f t="shared" si="180"/>
        <v>1</v>
      </c>
      <c r="AG187" s="202" t="str">
        <f t="shared" si="173"/>
        <v xml:space="preserve"> Primary &amp; secondary air dampers </v>
      </c>
      <c r="AH187" s="172"/>
      <c r="AI187" s="173"/>
      <c r="AJ187" s="173"/>
      <c r="AK187" s="173"/>
      <c r="AL187" s="173"/>
      <c r="AM187" s="173"/>
      <c r="AN187" s="173"/>
      <c r="AO187" s="173"/>
      <c r="AP187" s="173"/>
      <c r="AQ187" s="173"/>
      <c r="AR187" s="173"/>
      <c r="AS187" s="173"/>
      <c r="AT187" s="173"/>
      <c r="AU187" s="173"/>
      <c r="AV187" s="173"/>
      <c r="AW187" s="173"/>
      <c r="AX187" s="173"/>
      <c r="AY187" s="173"/>
      <c r="AZ187" s="173"/>
      <c r="BA187" s="173"/>
      <c r="BB187" s="173"/>
      <c r="BC187" s="173"/>
      <c r="BD187" s="173"/>
      <c r="BE187" s="173"/>
      <c r="BF187" s="173"/>
      <c r="BG187" s="173"/>
      <c r="BH187" s="173"/>
      <c r="BI187" s="173"/>
      <c r="BJ187" s="173"/>
      <c r="BK187" s="173"/>
      <c r="BL187" s="173"/>
      <c r="BM187" s="173"/>
      <c r="BN187" s="173"/>
      <c r="BO187" s="173"/>
      <c r="BP187" s="173"/>
      <c r="BQ187" s="173"/>
      <c r="BR187" s="173"/>
      <c r="BS187" s="173"/>
      <c r="BT187" s="173"/>
      <c r="BU187" s="173"/>
      <c r="BV187" s="173"/>
      <c r="BW187" s="173"/>
      <c r="BX187" s="173"/>
      <c r="BY187" s="173"/>
      <c r="BZ187" s="173"/>
      <c r="CA187" s="173"/>
      <c r="CB187" s="173"/>
      <c r="CC187" s="173"/>
      <c r="CD187" s="173"/>
      <c r="CE187" s="173"/>
      <c r="CF187" s="173"/>
      <c r="CG187" s="173"/>
      <c r="CH187" s="173"/>
      <c r="CI187" s="173"/>
      <c r="CJ187" s="173"/>
      <c r="CK187" s="173"/>
      <c r="CL187" s="173"/>
      <c r="CM187" s="173"/>
      <c r="CN187" s="173"/>
      <c r="CO187" s="173"/>
      <c r="CP187" s="173"/>
      <c r="CQ187" s="173"/>
      <c r="CR187" s="173"/>
      <c r="CS187" s="173"/>
      <c r="CT187" s="173"/>
      <c r="CU187" s="173"/>
      <c r="CV187" s="173"/>
      <c r="CW187" s="173"/>
      <c r="CX187" s="173"/>
      <c r="CY187" s="148"/>
      <c r="CZ187" s="148"/>
      <c r="DA187" s="148"/>
      <c r="DB187" s="148"/>
      <c r="DC187" s="148"/>
      <c r="DD187" s="148"/>
      <c r="DE187" s="148"/>
      <c r="DF187" s="148"/>
      <c r="DG187" s="148"/>
      <c r="DH187" s="148"/>
      <c r="DI187" s="148"/>
      <c r="DJ187" s="148"/>
      <c r="DK187" s="148"/>
      <c r="DL187" s="148"/>
      <c r="DM187" s="148"/>
      <c r="DN187" s="148"/>
      <c r="DO187" s="148"/>
      <c r="DP187" s="148"/>
      <c r="DQ187" s="148"/>
      <c r="DR187" s="148"/>
      <c r="DS187" s="148"/>
      <c r="DT187" s="148"/>
      <c r="DU187" s="148"/>
      <c r="DV187" s="148"/>
      <c r="DW187" s="148"/>
      <c r="DX187" s="148"/>
      <c r="DY187" s="148"/>
      <c r="DZ187" s="148"/>
      <c r="EA187" s="148"/>
      <c r="EB187" s="148"/>
      <c r="EC187" s="148"/>
      <c r="ED187" s="148"/>
      <c r="EE187" s="148"/>
      <c r="EF187" s="148"/>
      <c r="EG187" s="148"/>
      <c r="EH187" s="148"/>
      <c r="EI187" s="148"/>
      <c r="EJ187" s="148"/>
      <c r="EK187" s="148"/>
      <c r="EL187" s="148"/>
      <c r="EM187" s="148"/>
      <c r="EN187" s="148"/>
      <c r="EO187" s="148"/>
      <c r="EP187" s="148"/>
      <c r="EQ187" s="148"/>
      <c r="ER187" s="148"/>
      <c r="ES187" s="151"/>
      <c r="ET187" s="151"/>
      <c r="EU187" s="151"/>
      <c r="EV187" s="151"/>
      <c r="EW187" s="151"/>
      <c r="EX187" s="151"/>
      <c r="EY187" s="151"/>
      <c r="EZ187" s="151"/>
      <c r="FA187" s="151"/>
      <c r="FB187" s="151"/>
      <c r="FC187" s="151"/>
      <c r="FD187" s="151"/>
      <c r="FE187" s="151"/>
      <c r="FF187" s="151"/>
      <c r="FG187" s="151"/>
      <c r="FH187" s="151"/>
      <c r="FI187" s="151"/>
      <c r="FJ187" s="151"/>
      <c r="FK187" s="151"/>
      <c r="FL187" s="151"/>
      <c r="FM187" s="151"/>
      <c r="FN187" s="151"/>
      <c r="FO187" s="151"/>
      <c r="FP187" s="151"/>
      <c r="FQ187" s="151"/>
      <c r="FR187" s="151"/>
      <c r="FS187" s="151"/>
      <c r="FT187" s="151"/>
      <c r="FU187" s="151"/>
      <c r="FV187" s="151"/>
      <c r="FW187" s="151"/>
      <c r="FX187" s="151"/>
      <c r="FY187" s="151"/>
      <c r="FZ187" s="151"/>
      <c r="GA187" s="151"/>
      <c r="GB187" s="151"/>
      <c r="GC187" s="151"/>
      <c r="GD187" s="151"/>
      <c r="GE187" s="151"/>
      <c r="GF187" s="151"/>
      <c r="GG187" s="152"/>
    </row>
    <row r="188" spans="1:189" ht="27.75" x14ac:dyDescent="0.35">
      <c r="A188" s="267" t="s">
        <v>574</v>
      </c>
      <c r="B188" s="221"/>
      <c r="C188" s="221"/>
      <c r="D188" s="221" t="s">
        <v>1083</v>
      </c>
      <c r="E188" s="221" t="s">
        <v>423</v>
      </c>
      <c r="F188" s="221" t="s">
        <v>342</v>
      </c>
      <c r="G188" s="223">
        <v>1</v>
      </c>
      <c r="H188" s="224"/>
      <c r="I188" s="225"/>
      <c r="J188" s="225"/>
      <c r="K188" s="225"/>
      <c r="L188" s="226">
        <v>46234</v>
      </c>
      <c r="M188" s="226">
        <v>46266</v>
      </c>
      <c r="N188" s="226"/>
      <c r="O188" s="226"/>
      <c r="P188" s="226"/>
      <c r="Q188" s="227" t="s">
        <v>45</v>
      </c>
      <c r="R188" s="228">
        <v>40000</v>
      </c>
      <c r="S188" s="228">
        <v>40000</v>
      </c>
      <c r="T188" s="228"/>
      <c r="U188" s="191">
        <f t="shared" si="181"/>
        <v>0</v>
      </c>
      <c r="V188" s="230"/>
      <c r="W188" s="231"/>
      <c r="X188" s="46"/>
      <c r="Y188" s="167">
        <f t="shared" si="174"/>
        <v>0</v>
      </c>
      <c r="Z188" s="167">
        <f t="shared" si="175"/>
        <v>0</v>
      </c>
      <c r="AA188" s="167">
        <f t="shared" si="176"/>
        <v>0</v>
      </c>
      <c r="AB188" s="167">
        <f t="shared" si="177"/>
        <v>40000</v>
      </c>
      <c r="AC188" s="167">
        <f t="shared" si="178"/>
        <v>0</v>
      </c>
      <c r="AD188" s="167">
        <f t="shared" si="179"/>
        <v>40000</v>
      </c>
      <c r="AF188" s="180">
        <f t="shared" si="180"/>
        <v>1</v>
      </c>
      <c r="AG188" s="202" t="str">
        <f t="shared" si="173"/>
        <v xml:space="preserve"> Flue gas recirculation dampers</v>
      </c>
      <c r="AH188" s="172"/>
      <c r="AI188" s="173"/>
      <c r="AJ188" s="173"/>
      <c r="AK188" s="173"/>
      <c r="AL188" s="173"/>
      <c r="AM188" s="173"/>
      <c r="AN188" s="173"/>
      <c r="AO188" s="173"/>
      <c r="AP188" s="173"/>
      <c r="AQ188" s="173"/>
      <c r="AR188" s="173"/>
      <c r="AS188" s="173"/>
      <c r="AT188" s="173"/>
      <c r="AU188" s="173"/>
      <c r="AV188" s="173"/>
      <c r="AW188" s="173"/>
      <c r="AX188" s="173"/>
      <c r="AY188" s="173"/>
      <c r="AZ188" s="173"/>
      <c r="BA188" s="173"/>
      <c r="BB188" s="173"/>
      <c r="BC188" s="173"/>
      <c r="BD188" s="173"/>
      <c r="BE188" s="173"/>
      <c r="BF188" s="173"/>
      <c r="BG188" s="173"/>
      <c r="BH188" s="173"/>
      <c r="BI188" s="173"/>
      <c r="BJ188" s="173"/>
      <c r="BK188" s="173"/>
      <c r="BL188" s="173"/>
      <c r="BM188" s="173"/>
      <c r="BN188" s="173"/>
      <c r="BO188" s="173"/>
      <c r="BP188" s="173"/>
      <c r="BQ188" s="173"/>
      <c r="BR188" s="173"/>
      <c r="BS188" s="173"/>
      <c r="BT188" s="173"/>
      <c r="BU188" s="173"/>
      <c r="BV188" s="173"/>
      <c r="BW188" s="173"/>
      <c r="BX188" s="173"/>
      <c r="BY188" s="173"/>
      <c r="BZ188" s="173"/>
      <c r="CA188" s="173"/>
      <c r="CB188" s="173"/>
      <c r="CC188" s="173"/>
      <c r="CD188" s="173"/>
      <c r="CE188" s="173"/>
      <c r="CF188" s="173"/>
      <c r="CG188" s="173"/>
      <c r="CH188" s="173"/>
      <c r="CI188" s="173"/>
      <c r="CJ188" s="173"/>
      <c r="CK188" s="173"/>
      <c r="CL188" s="173"/>
      <c r="CM188" s="173"/>
      <c r="CN188" s="173"/>
      <c r="CO188" s="173"/>
      <c r="CP188" s="173"/>
      <c r="CQ188" s="173"/>
      <c r="CR188" s="173"/>
      <c r="CS188" s="173"/>
      <c r="CT188" s="173"/>
      <c r="CU188" s="173"/>
      <c r="CV188" s="173"/>
      <c r="CW188" s="173"/>
      <c r="CX188" s="173"/>
      <c r="CY188" s="148"/>
      <c r="CZ188" s="148"/>
      <c r="DA188" s="148"/>
      <c r="DB188" s="148"/>
      <c r="DC188" s="148"/>
      <c r="DD188" s="148"/>
      <c r="DE188" s="148"/>
      <c r="DF188" s="148"/>
      <c r="DG188" s="148"/>
      <c r="DH188" s="148"/>
      <c r="DI188" s="148"/>
      <c r="DJ188" s="148"/>
      <c r="DK188" s="148"/>
      <c r="DL188" s="148"/>
      <c r="DM188" s="148"/>
      <c r="DN188" s="148"/>
      <c r="DO188" s="148"/>
      <c r="DP188" s="148"/>
      <c r="DQ188" s="148"/>
      <c r="DR188" s="148"/>
      <c r="DS188" s="148"/>
      <c r="DT188" s="148"/>
      <c r="DU188" s="148"/>
      <c r="DV188" s="148"/>
      <c r="DW188" s="148"/>
      <c r="DX188" s="148"/>
      <c r="DY188" s="148"/>
      <c r="DZ188" s="148"/>
      <c r="EA188" s="148"/>
      <c r="EB188" s="148"/>
      <c r="EC188" s="148"/>
      <c r="ED188" s="148"/>
      <c r="EE188" s="148"/>
      <c r="EF188" s="148"/>
      <c r="EG188" s="148"/>
      <c r="EH188" s="148"/>
      <c r="EI188" s="148"/>
      <c r="EJ188" s="148"/>
      <c r="EK188" s="148"/>
      <c r="EL188" s="148"/>
      <c r="EM188" s="148"/>
      <c r="EN188" s="148"/>
      <c r="EO188" s="148"/>
      <c r="EP188" s="148"/>
      <c r="EQ188" s="148"/>
      <c r="ER188" s="148"/>
      <c r="ES188" s="148"/>
      <c r="ET188" s="148"/>
      <c r="EU188" s="148"/>
      <c r="EV188" s="148"/>
      <c r="EW188" s="148"/>
      <c r="EX188" s="148"/>
      <c r="EY188" s="148"/>
      <c r="EZ188" s="148"/>
      <c r="FA188" s="148"/>
      <c r="FB188" s="148"/>
      <c r="FC188" s="148"/>
      <c r="FD188" s="148"/>
      <c r="FE188" s="148"/>
      <c r="FF188" s="148"/>
      <c r="FG188" s="148"/>
      <c r="FH188" s="148"/>
      <c r="FI188" s="148"/>
      <c r="FJ188" s="148"/>
      <c r="FK188" s="148"/>
      <c r="FL188" s="148"/>
      <c r="FM188" s="148"/>
      <c r="FN188" s="148"/>
      <c r="FO188" s="148"/>
      <c r="FP188" s="148"/>
      <c r="FQ188" s="148"/>
      <c r="FR188" s="148"/>
      <c r="FS188" s="148"/>
      <c r="FT188" s="148"/>
      <c r="FU188" s="148"/>
      <c r="FV188" s="148"/>
      <c r="FW188" s="148"/>
      <c r="FX188" s="148"/>
      <c r="FY188" s="148"/>
      <c r="FZ188" s="148"/>
      <c r="GA188" s="148"/>
      <c r="GB188" s="148"/>
      <c r="GC188" s="148"/>
      <c r="GD188" s="148"/>
      <c r="GE188" s="148"/>
      <c r="GF188" s="148"/>
      <c r="GG188" s="149"/>
    </row>
    <row r="189" spans="1:189" ht="27.75" x14ac:dyDescent="0.35">
      <c r="A189" s="267" t="s">
        <v>575</v>
      </c>
      <c r="B189" s="221"/>
      <c r="C189" s="221"/>
      <c r="D189" s="221" t="s">
        <v>1083</v>
      </c>
      <c r="E189" s="221" t="s">
        <v>547</v>
      </c>
      <c r="F189" s="221" t="s">
        <v>343</v>
      </c>
      <c r="G189" s="223">
        <v>2</v>
      </c>
      <c r="H189" s="224"/>
      <c r="I189" s="225"/>
      <c r="J189" s="225"/>
      <c r="K189" s="225"/>
      <c r="L189" s="226">
        <v>46326</v>
      </c>
      <c r="M189" s="226">
        <v>46358</v>
      </c>
      <c r="N189" s="226"/>
      <c r="O189" s="226"/>
      <c r="P189" s="226"/>
      <c r="Q189" s="227" t="s">
        <v>45</v>
      </c>
      <c r="R189" s="228">
        <v>51600</v>
      </c>
      <c r="S189" s="228">
        <v>51600</v>
      </c>
      <c r="T189" s="228"/>
      <c r="U189" s="191">
        <f t="shared" si="181"/>
        <v>0</v>
      </c>
      <c r="V189" s="230"/>
      <c r="W189" s="232"/>
      <c r="X189" s="46"/>
      <c r="Y189" s="167">
        <f t="shared" si="174"/>
        <v>51600</v>
      </c>
      <c r="Z189" s="167">
        <f t="shared" si="175"/>
        <v>0</v>
      </c>
      <c r="AA189" s="167">
        <f t="shared" si="176"/>
        <v>51600</v>
      </c>
      <c r="AB189" s="167">
        <f t="shared" si="177"/>
        <v>0</v>
      </c>
      <c r="AC189" s="167">
        <f t="shared" si="178"/>
        <v>0</v>
      </c>
      <c r="AD189" s="167">
        <f t="shared" si="179"/>
        <v>0</v>
      </c>
      <c r="AF189" s="47">
        <f t="shared" si="180"/>
        <v>1</v>
      </c>
      <c r="AG189" s="202" t="str">
        <f t="shared" si="173"/>
        <v xml:space="preserve"> Camera for furnace monitoring</v>
      </c>
      <c r="AH189" s="172"/>
      <c r="AI189" s="173"/>
      <c r="AJ189" s="173"/>
      <c r="AK189" s="173"/>
      <c r="AL189" s="173"/>
      <c r="AM189" s="173"/>
      <c r="AN189" s="173"/>
      <c r="AO189" s="173"/>
      <c r="AP189" s="173"/>
      <c r="AQ189" s="173"/>
      <c r="AR189" s="173"/>
      <c r="AS189" s="173"/>
      <c r="AT189" s="173"/>
      <c r="AU189" s="173"/>
      <c r="AV189" s="173"/>
      <c r="AW189" s="173"/>
      <c r="AX189" s="173"/>
      <c r="AY189" s="173"/>
      <c r="AZ189" s="173"/>
      <c r="BA189" s="173"/>
      <c r="BB189" s="173"/>
      <c r="BC189" s="173"/>
      <c r="BD189" s="173"/>
      <c r="BE189" s="173"/>
      <c r="BF189" s="173"/>
      <c r="BG189" s="173"/>
      <c r="BH189" s="173"/>
      <c r="BI189" s="173"/>
      <c r="BJ189" s="173"/>
      <c r="BK189" s="173"/>
      <c r="BL189" s="173"/>
      <c r="BM189" s="173"/>
      <c r="BN189" s="173"/>
      <c r="BO189" s="173"/>
      <c r="BP189" s="173"/>
      <c r="BQ189" s="173"/>
      <c r="BR189" s="173"/>
      <c r="BS189" s="173"/>
      <c r="BT189" s="173"/>
      <c r="BU189" s="173"/>
      <c r="BV189" s="173"/>
      <c r="BW189" s="173"/>
      <c r="BX189" s="173"/>
      <c r="BY189" s="173"/>
      <c r="BZ189" s="173"/>
      <c r="CA189" s="173"/>
      <c r="CB189" s="173"/>
      <c r="CC189" s="173"/>
      <c r="CD189" s="173"/>
      <c r="CE189" s="173"/>
      <c r="CF189" s="173"/>
      <c r="CG189" s="173"/>
      <c r="CH189" s="173"/>
      <c r="CI189" s="173"/>
      <c r="CJ189" s="173"/>
      <c r="CK189" s="173"/>
      <c r="CL189" s="173"/>
      <c r="CM189" s="173"/>
      <c r="CN189" s="173"/>
      <c r="CO189" s="173"/>
      <c r="CP189" s="173"/>
      <c r="CQ189" s="173"/>
      <c r="CR189" s="173"/>
      <c r="CS189" s="173"/>
      <c r="CT189" s="173"/>
      <c r="CU189" s="173"/>
      <c r="CV189" s="173"/>
      <c r="CW189" s="173"/>
      <c r="CX189" s="173"/>
      <c r="CY189" s="148"/>
      <c r="CZ189" s="148"/>
      <c r="DA189" s="148"/>
      <c r="DB189" s="148"/>
      <c r="DC189" s="148"/>
      <c r="DD189" s="148"/>
      <c r="DE189" s="148"/>
      <c r="DF189" s="148"/>
      <c r="DG189" s="148"/>
      <c r="DH189" s="148"/>
      <c r="DI189" s="148"/>
      <c r="DJ189" s="148"/>
      <c r="DK189" s="148"/>
      <c r="DL189" s="148"/>
      <c r="DM189" s="148"/>
      <c r="DN189" s="148"/>
      <c r="DO189" s="148"/>
      <c r="DP189" s="148"/>
      <c r="DQ189" s="148"/>
      <c r="DR189" s="148"/>
      <c r="DS189" s="148"/>
      <c r="DT189" s="148"/>
      <c r="DU189" s="148"/>
      <c r="DV189" s="148"/>
      <c r="DW189" s="148"/>
      <c r="DX189" s="148"/>
      <c r="DY189" s="148"/>
      <c r="DZ189" s="148"/>
      <c r="EA189" s="148"/>
      <c r="EB189" s="148"/>
      <c r="EC189" s="148"/>
      <c r="ED189" s="148"/>
      <c r="EE189" s="148"/>
      <c r="EF189" s="148"/>
      <c r="EG189" s="148"/>
      <c r="EH189" s="148"/>
      <c r="EI189" s="148"/>
      <c r="EJ189" s="148"/>
      <c r="EK189" s="148"/>
      <c r="EL189" s="148"/>
      <c r="EM189" s="148"/>
      <c r="EN189" s="148"/>
      <c r="EO189" s="148"/>
      <c r="EP189" s="148"/>
      <c r="EQ189" s="148"/>
      <c r="ER189" s="148"/>
      <c r="ES189" s="151"/>
      <c r="ET189" s="151"/>
      <c r="EU189" s="151"/>
      <c r="EV189" s="151"/>
      <c r="EW189" s="151"/>
      <c r="EX189" s="151"/>
      <c r="EY189" s="151"/>
      <c r="EZ189" s="151"/>
      <c r="FA189" s="151"/>
      <c r="FB189" s="151"/>
      <c r="FC189" s="151"/>
      <c r="FD189" s="151"/>
      <c r="FE189" s="151"/>
      <c r="FF189" s="151"/>
      <c r="FG189" s="151"/>
      <c r="FH189" s="151"/>
      <c r="FI189" s="151"/>
      <c r="FJ189" s="151"/>
      <c r="FK189" s="151"/>
      <c r="FL189" s="151"/>
      <c r="FM189" s="151"/>
      <c r="FN189" s="151"/>
      <c r="FO189" s="151"/>
      <c r="FP189" s="151"/>
      <c r="FQ189" s="151"/>
      <c r="FR189" s="151"/>
      <c r="FS189" s="151"/>
      <c r="FT189" s="151"/>
      <c r="FU189" s="151"/>
      <c r="FV189" s="151"/>
      <c r="FW189" s="151"/>
      <c r="FX189" s="151"/>
      <c r="FY189" s="151"/>
      <c r="FZ189" s="151"/>
      <c r="GA189" s="151"/>
      <c r="GB189" s="151"/>
      <c r="GC189" s="151"/>
      <c r="GD189" s="151"/>
      <c r="GE189" s="151"/>
      <c r="GF189" s="151"/>
      <c r="GG189" s="152"/>
    </row>
    <row r="190" spans="1:189" ht="27.75" x14ac:dyDescent="0.35">
      <c r="A190" s="237" t="s">
        <v>576</v>
      </c>
      <c r="B190" s="236"/>
      <c r="C190" s="236"/>
      <c r="D190" s="236" t="s">
        <v>1083</v>
      </c>
      <c r="E190" s="236" t="s">
        <v>428</v>
      </c>
      <c r="F190" s="236" t="s">
        <v>344</v>
      </c>
      <c r="G190" s="238">
        <v>2</v>
      </c>
      <c r="H190" s="239"/>
      <c r="I190" s="240"/>
      <c r="J190" s="240"/>
      <c r="K190" s="240"/>
      <c r="L190" s="241"/>
      <c r="M190" s="241"/>
      <c r="N190" s="241"/>
      <c r="O190" s="241"/>
      <c r="P190" s="241"/>
      <c r="Q190" s="242"/>
      <c r="R190" s="243"/>
      <c r="S190" s="243"/>
      <c r="T190" s="243"/>
      <c r="U190" s="191">
        <f t="shared" si="181"/>
        <v>0</v>
      </c>
      <c r="V190" s="244"/>
      <c r="W190" s="245"/>
      <c r="X190" s="46"/>
      <c r="Y190" s="167">
        <f t="shared" si="174"/>
        <v>0</v>
      </c>
      <c r="Z190" s="167">
        <f t="shared" si="175"/>
        <v>0</v>
      </c>
      <c r="AA190" s="167">
        <f t="shared" si="176"/>
        <v>0</v>
      </c>
      <c r="AB190" s="167">
        <f t="shared" si="177"/>
        <v>0</v>
      </c>
      <c r="AC190" s="167">
        <f t="shared" si="178"/>
        <v>0</v>
      </c>
      <c r="AD190" s="167">
        <f t="shared" si="179"/>
        <v>0</v>
      </c>
      <c r="AF190" s="180">
        <f t="shared" si="180"/>
        <v>0</v>
      </c>
      <c r="AG190" s="202" t="str">
        <f t="shared" si="173"/>
        <v xml:space="preserve"> Boiler</v>
      </c>
      <c r="AH190" s="172"/>
      <c r="AI190" s="173"/>
      <c r="AJ190" s="173"/>
      <c r="AK190" s="173"/>
      <c r="AL190" s="173"/>
      <c r="AM190" s="173"/>
      <c r="AN190" s="173"/>
      <c r="AO190" s="173"/>
      <c r="AP190" s="173"/>
      <c r="AQ190" s="173"/>
      <c r="AR190" s="173"/>
      <c r="AS190" s="173"/>
      <c r="AT190" s="173"/>
      <c r="AU190" s="173"/>
      <c r="AV190" s="173"/>
      <c r="AW190" s="173"/>
      <c r="AX190" s="173"/>
      <c r="AY190" s="173"/>
      <c r="AZ190" s="173"/>
      <c r="BA190" s="173"/>
      <c r="BB190" s="173"/>
      <c r="BC190" s="173"/>
      <c r="BD190" s="173"/>
      <c r="BE190" s="173"/>
      <c r="BF190" s="173"/>
      <c r="BG190" s="173"/>
      <c r="BH190" s="173"/>
      <c r="BI190" s="173"/>
      <c r="BJ190" s="173"/>
      <c r="BK190" s="173"/>
      <c r="BL190" s="173"/>
      <c r="BM190" s="173"/>
      <c r="BN190" s="173"/>
      <c r="BO190" s="173"/>
      <c r="BP190" s="173"/>
      <c r="BQ190" s="173"/>
      <c r="BR190" s="173"/>
      <c r="BS190" s="173"/>
      <c r="BT190" s="173"/>
      <c r="BU190" s="173"/>
      <c r="BV190" s="173"/>
      <c r="BW190" s="173"/>
      <c r="BX190" s="173"/>
      <c r="BY190" s="173"/>
      <c r="BZ190" s="173"/>
      <c r="CA190" s="173"/>
      <c r="CB190" s="173"/>
      <c r="CC190" s="173"/>
      <c r="CD190" s="173"/>
      <c r="CE190" s="173"/>
      <c r="CF190" s="173"/>
      <c r="CG190" s="173"/>
      <c r="CH190" s="173"/>
      <c r="CI190" s="173"/>
      <c r="CJ190" s="173"/>
      <c r="CK190" s="173"/>
      <c r="CL190" s="173"/>
      <c r="CM190" s="173"/>
      <c r="CN190" s="173"/>
      <c r="CO190" s="173"/>
      <c r="CP190" s="173"/>
      <c r="CQ190" s="173"/>
      <c r="CR190" s="173"/>
      <c r="CS190" s="173"/>
      <c r="CT190" s="173"/>
      <c r="CU190" s="173"/>
      <c r="CV190" s="173"/>
      <c r="CW190" s="173"/>
      <c r="CX190" s="173"/>
      <c r="CY190" s="148"/>
      <c r="CZ190" s="148"/>
      <c r="DA190" s="148"/>
      <c r="DB190" s="148"/>
      <c r="DC190" s="148"/>
      <c r="DD190" s="148"/>
      <c r="DE190" s="148"/>
      <c r="DF190" s="148"/>
      <c r="DG190" s="148"/>
      <c r="DH190" s="148"/>
      <c r="DI190" s="148"/>
      <c r="DJ190" s="148"/>
      <c r="DK190" s="148"/>
      <c r="DL190" s="148"/>
      <c r="DM190" s="148"/>
      <c r="DN190" s="148"/>
      <c r="DO190" s="148"/>
      <c r="DP190" s="148"/>
      <c r="DQ190" s="148"/>
      <c r="DR190" s="148"/>
      <c r="DS190" s="148"/>
      <c r="DT190" s="148"/>
      <c r="DU190" s="148"/>
      <c r="DV190" s="148"/>
      <c r="DW190" s="148"/>
      <c r="DX190" s="148"/>
      <c r="DY190" s="148"/>
      <c r="DZ190" s="148"/>
      <c r="EA190" s="148"/>
      <c r="EB190" s="148"/>
      <c r="EC190" s="148"/>
      <c r="ED190" s="148"/>
      <c r="EE190" s="148"/>
      <c r="EF190" s="148"/>
      <c r="EG190" s="148"/>
      <c r="EH190" s="148"/>
      <c r="EI190" s="148"/>
      <c r="EJ190" s="148"/>
      <c r="EK190" s="148"/>
      <c r="EL190" s="148"/>
      <c r="EM190" s="148"/>
      <c r="EN190" s="148"/>
      <c r="EO190" s="148"/>
      <c r="EP190" s="148"/>
      <c r="EQ190" s="148"/>
      <c r="ER190" s="148"/>
      <c r="ES190" s="151"/>
      <c r="ET190" s="151"/>
      <c r="EU190" s="151"/>
      <c r="EV190" s="151"/>
      <c r="EW190" s="151"/>
      <c r="EX190" s="151"/>
      <c r="EY190" s="151"/>
      <c r="EZ190" s="151"/>
      <c r="FA190" s="151"/>
      <c r="FB190" s="151"/>
      <c r="FC190" s="151"/>
      <c r="FD190" s="151"/>
      <c r="FE190" s="151"/>
      <c r="FF190" s="151"/>
      <c r="FG190" s="151"/>
      <c r="FH190" s="151"/>
      <c r="FI190" s="151"/>
      <c r="FJ190" s="151"/>
      <c r="FK190" s="151"/>
      <c r="FL190" s="151"/>
      <c r="FM190" s="151"/>
      <c r="FN190" s="151"/>
      <c r="FO190" s="151"/>
      <c r="FP190" s="151"/>
      <c r="FQ190" s="151"/>
      <c r="FR190" s="151"/>
      <c r="FS190" s="151"/>
      <c r="FT190" s="151"/>
      <c r="FU190" s="151"/>
      <c r="FV190" s="151"/>
      <c r="FW190" s="151"/>
      <c r="FX190" s="151"/>
      <c r="FY190" s="151"/>
      <c r="FZ190" s="151"/>
      <c r="GA190" s="151"/>
      <c r="GB190" s="151"/>
      <c r="GC190" s="151"/>
      <c r="GD190" s="151"/>
      <c r="GE190" s="151"/>
      <c r="GF190" s="151"/>
      <c r="GG190" s="152"/>
    </row>
    <row r="191" spans="1:189" ht="27.75" x14ac:dyDescent="0.35">
      <c r="A191" s="297" t="s">
        <v>577</v>
      </c>
      <c r="B191" s="298" t="s">
        <v>1051</v>
      </c>
      <c r="C191" s="298"/>
      <c r="D191" s="298" t="s">
        <v>1083</v>
      </c>
      <c r="E191" s="298" t="s">
        <v>556</v>
      </c>
      <c r="F191" s="298" t="s">
        <v>557</v>
      </c>
      <c r="G191" s="300">
        <v>2</v>
      </c>
      <c r="H191" s="301"/>
      <c r="I191" s="302"/>
      <c r="J191" s="302"/>
      <c r="K191" s="302"/>
      <c r="L191" s="303"/>
      <c r="M191" s="303"/>
      <c r="N191" s="303"/>
      <c r="O191" s="303">
        <v>46174</v>
      </c>
      <c r="P191" s="303">
        <v>46507</v>
      </c>
      <c r="Q191" s="304" t="s">
        <v>20</v>
      </c>
      <c r="R191" s="305">
        <v>54332010.783500001</v>
      </c>
      <c r="S191" s="305">
        <f>54332010.7835-SUM(S192)</f>
        <v>5000000</v>
      </c>
      <c r="T191" s="305"/>
      <c r="U191" s="191">
        <f t="shared" si="181"/>
        <v>0</v>
      </c>
      <c r="V191" s="306"/>
      <c r="W191" s="307"/>
      <c r="X191" s="46"/>
      <c r="Y191" s="167">
        <f t="shared" si="174"/>
        <v>5000000</v>
      </c>
      <c r="Z191" s="167">
        <f t="shared" si="175"/>
        <v>0</v>
      </c>
      <c r="AA191" s="167">
        <f t="shared" si="176"/>
        <v>5000000</v>
      </c>
      <c r="AB191" s="167">
        <f t="shared" si="177"/>
        <v>0</v>
      </c>
      <c r="AC191" s="167">
        <f t="shared" si="178"/>
        <v>0</v>
      </c>
      <c r="AD191" s="167">
        <f t="shared" si="179"/>
        <v>0</v>
      </c>
      <c r="AF191" s="47">
        <f t="shared" si="180"/>
        <v>1</v>
      </c>
      <c r="AG191" s="202" t="str">
        <f t="shared" si="173"/>
        <v>Roger Gołombek Boiler - pressure parts</v>
      </c>
      <c r="AH191" s="172"/>
      <c r="AI191" s="173"/>
      <c r="AJ191" s="173"/>
      <c r="AK191" s="173"/>
      <c r="AL191" s="173"/>
      <c r="AM191" s="173"/>
      <c r="AN191" s="173"/>
      <c r="AO191" s="173"/>
      <c r="AP191" s="173"/>
      <c r="AQ191" s="173"/>
      <c r="AR191" s="173"/>
      <c r="AS191" s="173"/>
      <c r="AT191" s="173"/>
      <c r="AU191" s="173"/>
      <c r="AV191" s="173"/>
      <c r="AW191" s="173"/>
      <c r="AX191" s="173"/>
      <c r="AY191" s="173"/>
      <c r="AZ191" s="173"/>
      <c r="BA191" s="173"/>
      <c r="BB191" s="173"/>
      <c r="BC191" s="173"/>
      <c r="BD191" s="173"/>
      <c r="BE191" s="173"/>
      <c r="BF191" s="173"/>
      <c r="BG191" s="173"/>
      <c r="BH191" s="173"/>
      <c r="BI191" s="173"/>
      <c r="BJ191" s="173"/>
      <c r="BK191" s="173"/>
      <c r="BL191" s="173"/>
      <c r="BM191" s="173"/>
      <c r="BN191" s="173"/>
      <c r="BO191" s="173"/>
      <c r="BP191" s="173"/>
      <c r="BQ191" s="173"/>
      <c r="BR191" s="173"/>
      <c r="BS191" s="173"/>
      <c r="BT191" s="173"/>
      <c r="BU191" s="173"/>
      <c r="BV191" s="173"/>
      <c r="BW191" s="173"/>
      <c r="BX191" s="173"/>
      <c r="BY191" s="173"/>
      <c r="BZ191" s="173"/>
      <c r="CA191" s="173"/>
      <c r="CB191" s="173"/>
      <c r="CC191" s="173"/>
      <c r="CD191" s="173"/>
      <c r="CE191" s="173"/>
      <c r="CF191" s="173"/>
      <c r="CG191" s="173"/>
      <c r="CH191" s="173"/>
      <c r="CI191" s="173"/>
      <c r="CJ191" s="173"/>
      <c r="CK191" s="173"/>
      <c r="CL191" s="173"/>
      <c r="CM191" s="173"/>
      <c r="CN191" s="173"/>
      <c r="CO191" s="173"/>
      <c r="CP191" s="173"/>
      <c r="CQ191" s="173"/>
      <c r="CR191" s="173"/>
      <c r="CS191" s="173"/>
      <c r="CT191" s="173"/>
      <c r="CU191" s="173"/>
      <c r="CV191" s="173"/>
      <c r="CW191" s="173"/>
      <c r="CX191" s="173"/>
      <c r="CY191" s="148"/>
      <c r="CZ191" s="148"/>
      <c r="DA191" s="148"/>
      <c r="DB191" s="148"/>
      <c r="DC191" s="148"/>
      <c r="DD191" s="148"/>
      <c r="DE191" s="148"/>
      <c r="DF191" s="148"/>
      <c r="DG191" s="148"/>
      <c r="DH191" s="148"/>
      <c r="DI191" s="148"/>
      <c r="DJ191" s="148"/>
      <c r="DK191" s="148"/>
      <c r="DL191" s="148"/>
      <c r="DM191" s="148"/>
      <c r="DN191" s="148"/>
      <c r="DO191" s="148"/>
      <c r="DP191" s="148"/>
      <c r="DQ191" s="148"/>
      <c r="DR191" s="148"/>
      <c r="DS191" s="148"/>
      <c r="DT191" s="148"/>
      <c r="DU191" s="148"/>
      <c r="DV191" s="148"/>
      <c r="DW191" s="148"/>
      <c r="DX191" s="148"/>
      <c r="DY191" s="148"/>
      <c r="DZ191" s="148"/>
      <c r="EA191" s="148"/>
      <c r="EB191" s="148"/>
      <c r="EC191" s="148"/>
      <c r="ED191" s="148"/>
      <c r="EE191" s="148"/>
      <c r="EF191" s="148"/>
      <c r="EG191" s="148"/>
      <c r="EH191" s="148"/>
      <c r="EI191" s="148"/>
      <c r="EJ191" s="148"/>
      <c r="EK191" s="148"/>
      <c r="EL191" s="148"/>
      <c r="EM191" s="148"/>
      <c r="EN191" s="148"/>
      <c r="EO191" s="148"/>
      <c r="EP191" s="148"/>
      <c r="EQ191" s="148"/>
      <c r="ER191" s="148"/>
      <c r="ES191" s="148"/>
      <c r="ET191" s="148"/>
      <c r="EU191" s="148"/>
      <c r="EV191" s="148"/>
      <c r="EW191" s="148"/>
      <c r="EX191" s="148"/>
      <c r="EY191" s="148"/>
      <c r="EZ191" s="148"/>
      <c r="FA191" s="148"/>
      <c r="FB191" s="148"/>
      <c r="FC191" s="148"/>
      <c r="FD191" s="148"/>
      <c r="FE191" s="148"/>
      <c r="FF191" s="148"/>
      <c r="FG191" s="148"/>
      <c r="FH191" s="148"/>
      <c r="FI191" s="148"/>
      <c r="FJ191" s="148"/>
      <c r="FK191" s="148"/>
      <c r="FL191" s="148"/>
      <c r="FM191" s="148"/>
      <c r="FN191" s="148"/>
      <c r="FO191" s="148"/>
      <c r="FP191" s="148"/>
      <c r="FQ191" s="148"/>
      <c r="FR191" s="148"/>
      <c r="FS191" s="148"/>
      <c r="FT191" s="148"/>
      <c r="FU191" s="148"/>
      <c r="FV191" s="148"/>
      <c r="FW191" s="148"/>
      <c r="FX191" s="148"/>
      <c r="FY191" s="148"/>
      <c r="FZ191" s="148"/>
      <c r="GA191" s="148"/>
      <c r="GB191" s="148"/>
      <c r="GC191" s="148"/>
      <c r="GD191" s="148"/>
      <c r="GE191" s="148"/>
      <c r="GF191" s="148"/>
      <c r="GG191" s="149"/>
    </row>
    <row r="192" spans="1:189" ht="27.75" x14ac:dyDescent="0.35">
      <c r="A192" s="267" t="s">
        <v>1331</v>
      </c>
      <c r="B192" s="221" t="s">
        <v>1051</v>
      </c>
      <c r="C192" s="221"/>
      <c r="D192" s="221" t="s">
        <v>1083</v>
      </c>
      <c r="E192" s="221" t="s">
        <v>556</v>
      </c>
      <c r="F192" s="221" t="s">
        <v>557</v>
      </c>
      <c r="G192" s="223">
        <v>2</v>
      </c>
      <c r="H192" s="224" t="s">
        <v>1334</v>
      </c>
      <c r="I192" s="225"/>
      <c r="J192" s="225"/>
      <c r="K192" s="225"/>
      <c r="L192" s="226">
        <v>46084</v>
      </c>
      <c r="M192" s="226">
        <v>46142</v>
      </c>
      <c r="N192" s="226">
        <v>46127</v>
      </c>
      <c r="O192" s="226">
        <v>46174</v>
      </c>
      <c r="P192" s="226">
        <v>46507</v>
      </c>
      <c r="Q192" s="227" t="s">
        <v>20</v>
      </c>
      <c r="R192" s="228"/>
      <c r="S192" s="228">
        <f>54332010.7835-5000000</f>
        <v>49332010.783500001</v>
      </c>
      <c r="T192" s="228">
        <v>45990000</v>
      </c>
      <c r="U192" s="191">
        <f t="shared" ref="U192" si="209">IF(Q192="",0,IF(T192="",0,+S192-T192))</f>
        <v>3342010.7835000008</v>
      </c>
      <c r="V192" s="230"/>
      <c r="W192" s="232"/>
      <c r="X192" s="46"/>
      <c r="Y192" s="167">
        <f t="shared" ref="Y192" si="210">IF(G192=2,S192,0)</f>
        <v>49332010.783500001</v>
      </c>
      <c r="Z192" s="167">
        <f t="shared" ref="Z192" si="211">IF(Q192="",0,IF(G192=2,T192,0))</f>
        <v>45990000</v>
      </c>
      <c r="AA192" s="167">
        <f t="shared" ref="AA192" si="212">Y192-Z192</f>
        <v>3342010.7835000008</v>
      </c>
      <c r="AB192" s="167">
        <f t="shared" ref="AB192" si="213">IF(G192=1,S192,0)</f>
        <v>0</v>
      </c>
      <c r="AC192" s="167">
        <f t="shared" ref="AC192" si="214">IF(Q192="",0,IF(G192=1,T192,0))</f>
        <v>0</v>
      </c>
      <c r="AD192" s="167">
        <f t="shared" ref="AD192" si="215">AB192-AC192</f>
        <v>0</v>
      </c>
      <c r="AF192" s="47">
        <f t="shared" ref="AF192" si="216">IF(S192&lt;&gt;"",1,0)</f>
        <v>1</v>
      </c>
      <c r="AG192" s="202" t="str">
        <f t="shared" ref="AG192" si="217">B192&amp;" "&amp;F192</f>
        <v>Roger Gołombek Boiler - pressure parts</v>
      </c>
      <c r="AH192" s="172"/>
      <c r="AI192" s="173"/>
      <c r="AJ192" s="173"/>
      <c r="AK192" s="173"/>
      <c r="AL192" s="173"/>
      <c r="AM192" s="173"/>
      <c r="AN192" s="173"/>
      <c r="AO192" s="173"/>
      <c r="AP192" s="173"/>
      <c r="AQ192" s="173"/>
      <c r="AR192" s="173"/>
      <c r="AS192" s="173"/>
      <c r="AT192" s="173"/>
      <c r="AU192" s="173"/>
      <c r="AV192" s="173"/>
      <c r="AW192" s="173"/>
      <c r="AX192" s="173"/>
      <c r="AY192" s="173"/>
      <c r="AZ192" s="173"/>
      <c r="BA192" s="173"/>
      <c r="BB192" s="173"/>
      <c r="BC192" s="173"/>
      <c r="BD192" s="173"/>
      <c r="BE192" s="173"/>
      <c r="BF192" s="173"/>
      <c r="BG192" s="173"/>
      <c r="BH192" s="173"/>
      <c r="BI192" s="173"/>
      <c r="BJ192" s="173"/>
      <c r="BK192" s="173"/>
      <c r="BL192" s="173"/>
      <c r="BM192" s="173"/>
      <c r="BN192" s="173"/>
      <c r="BO192" s="173"/>
      <c r="BP192" s="173"/>
      <c r="BQ192" s="173"/>
      <c r="BR192" s="173"/>
      <c r="BS192" s="173"/>
      <c r="BT192" s="173"/>
      <c r="BU192" s="173"/>
      <c r="BV192" s="173"/>
      <c r="BW192" s="173"/>
      <c r="BX192" s="173"/>
      <c r="BY192" s="173"/>
      <c r="BZ192" s="173"/>
      <c r="CA192" s="173"/>
      <c r="CB192" s="173"/>
      <c r="CC192" s="173"/>
      <c r="CD192" s="173"/>
      <c r="CE192" s="173"/>
      <c r="CF192" s="173"/>
      <c r="CG192" s="173"/>
      <c r="CH192" s="173"/>
      <c r="CI192" s="173"/>
      <c r="CJ192" s="173"/>
      <c r="CK192" s="173"/>
      <c r="CL192" s="173"/>
      <c r="CM192" s="173"/>
      <c r="CN192" s="173"/>
      <c r="CO192" s="173"/>
      <c r="CP192" s="173"/>
      <c r="CQ192" s="173"/>
      <c r="CR192" s="173"/>
      <c r="CS192" s="173"/>
      <c r="CT192" s="173"/>
      <c r="CU192" s="173"/>
      <c r="CV192" s="173"/>
      <c r="CW192" s="173"/>
      <c r="CX192" s="173"/>
      <c r="CY192" s="148"/>
      <c r="CZ192" s="148"/>
      <c r="DA192" s="148"/>
      <c r="DB192" s="148"/>
      <c r="DC192" s="148"/>
      <c r="DD192" s="148"/>
      <c r="DE192" s="148"/>
      <c r="DF192" s="148"/>
      <c r="DG192" s="148"/>
      <c r="DH192" s="148"/>
      <c r="DI192" s="148"/>
      <c r="DJ192" s="148"/>
      <c r="DK192" s="148"/>
      <c r="DL192" s="148"/>
      <c r="DM192" s="148"/>
      <c r="DN192" s="148"/>
      <c r="DO192" s="148"/>
      <c r="DP192" s="148"/>
      <c r="DQ192" s="148"/>
      <c r="DR192" s="148"/>
      <c r="DS192" s="148"/>
      <c r="DT192" s="148"/>
      <c r="DU192" s="148"/>
      <c r="DV192" s="148"/>
      <c r="DW192" s="148"/>
      <c r="DX192" s="148"/>
      <c r="DY192" s="148"/>
      <c r="DZ192" s="148"/>
      <c r="EA192" s="148"/>
      <c r="EB192" s="148"/>
      <c r="EC192" s="148"/>
      <c r="ED192" s="148"/>
      <c r="EE192" s="148"/>
      <c r="EF192" s="148"/>
      <c r="EG192" s="148"/>
      <c r="EH192" s="148"/>
      <c r="EI192" s="148"/>
      <c r="EJ192" s="148"/>
      <c r="EK192" s="148"/>
      <c r="EL192" s="148"/>
      <c r="EM192" s="148"/>
      <c r="EN192" s="148"/>
      <c r="EO192" s="148"/>
      <c r="EP192" s="148"/>
      <c r="EQ192" s="148"/>
      <c r="ER192" s="148"/>
      <c r="ES192" s="151"/>
      <c r="ET192" s="151"/>
      <c r="EU192" s="151"/>
      <c r="EV192" s="151"/>
      <c r="EW192" s="151"/>
      <c r="EX192" s="151"/>
      <c r="EY192" s="151"/>
      <c r="EZ192" s="151"/>
      <c r="FA192" s="151"/>
      <c r="FB192" s="151"/>
      <c r="FC192" s="151"/>
      <c r="FD192" s="151"/>
      <c r="FE192" s="151"/>
      <c r="FF192" s="151"/>
      <c r="FG192" s="151"/>
      <c r="FH192" s="151"/>
      <c r="FI192" s="151"/>
      <c r="FJ192" s="151"/>
      <c r="FK192" s="151"/>
      <c r="FL192" s="151"/>
      <c r="FM192" s="151"/>
      <c r="FN192" s="151"/>
      <c r="FO192" s="151"/>
      <c r="FP192" s="151"/>
      <c r="FQ192" s="151"/>
      <c r="FR192" s="151"/>
      <c r="FS192" s="151"/>
      <c r="FT192" s="151"/>
      <c r="FU192" s="151"/>
      <c r="FV192" s="151"/>
      <c r="FW192" s="151"/>
      <c r="FX192" s="151"/>
      <c r="FY192" s="151"/>
      <c r="FZ192" s="151"/>
      <c r="GA192" s="151"/>
      <c r="GB192" s="151"/>
      <c r="GC192" s="151"/>
      <c r="GD192" s="151"/>
      <c r="GE192" s="151"/>
      <c r="GF192" s="151"/>
      <c r="GG192" s="152"/>
    </row>
    <row r="193" spans="1:189" ht="27.75" x14ac:dyDescent="0.35">
      <c r="A193" s="297" t="s">
        <v>578</v>
      </c>
      <c r="B193" s="298" t="s">
        <v>1051</v>
      </c>
      <c r="C193" s="298"/>
      <c r="D193" s="298" t="s">
        <v>1083</v>
      </c>
      <c r="E193" s="298" t="s">
        <v>558</v>
      </c>
      <c r="F193" s="298" t="s">
        <v>559</v>
      </c>
      <c r="G193" s="300">
        <v>2</v>
      </c>
      <c r="H193" s="301" t="s">
        <v>1368</v>
      </c>
      <c r="I193" s="302"/>
      <c r="J193" s="302"/>
      <c r="K193" s="302"/>
      <c r="L193" s="303">
        <v>46068</v>
      </c>
      <c r="M193" s="303">
        <v>46129</v>
      </c>
      <c r="N193" s="303">
        <v>46142</v>
      </c>
      <c r="O193" s="303">
        <v>46174</v>
      </c>
      <c r="P193" s="303">
        <v>46387</v>
      </c>
      <c r="Q193" s="304" t="s">
        <v>23</v>
      </c>
      <c r="R193" s="305">
        <v>6374146.5164999999</v>
      </c>
      <c r="S193" s="305">
        <v>6374146.5164999999</v>
      </c>
      <c r="T193" s="305">
        <v>6675500</v>
      </c>
      <c r="U193" s="191">
        <f t="shared" si="181"/>
        <v>-301353.48350000009</v>
      </c>
      <c r="V193" s="306"/>
      <c r="W193" s="307"/>
      <c r="X193" s="46"/>
      <c r="Y193" s="167">
        <f t="shared" si="174"/>
        <v>6374146.5164999999</v>
      </c>
      <c r="Z193" s="167">
        <f t="shared" si="175"/>
        <v>6675500</v>
      </c>
      <c r="AA193" s="167">
        <f t="shared" si="176"/>
        <v>-301353.48350000009</v>
      </c>
      <c r="AB193" s="167">
        <f t="shared" si="177"/>
        <v>0</v>
      </c>
      <c r="AC193" s="167">
        <f t="shared" si="178"/>
        <v>0</v>
      </c>
      <c r="AD193" s="167">
        <f t="shared" si="179"/>
        <v>0</v>
      </c>
      <c r="AF193" s="47">
        <f t="shared" si="180"/>
        <v>1</v>
      </c>
      <c r="AG193" s="202" t="str">
        <f t="shared" si="173"/>
        <v>Roger Gołombek Boiler - supporting structure including walkways</v>
      </c>
      <c r="AH193" s="172"/>
      <c r="AI193" s="173"/>
      <c r="AJ193" s="173"/>
      <c r="AK193" s="173"/>
      <c r="AL193" s="173"/>
      <c r="AM193" s="173"/>
      <c r="AN193" s="173"/>
      <c r="AO193" s="173"/>
      <c r="AP193" s="173"/>
      <c r="AQ193" s="173"/>
      <c r="AR193" s="173"/>
      <c r="AS193" s="173"/>
      <c r="AT193" s="173"/>
      <c r="AU193" s="173"/>
      <c r="AV193" s="173"/>
      <c r="AW193" s="173"/>
      <c r="AX193" s="173"/>
      <c r="AY193" s="173"/>
      <c r="AZ193" s="173"/>
      <c r="BA193" s="173"/>
      <c r="BB193" s="173"/>
      <c r="BC193" s="173"/>
      <c r="BD193" s="173"/>
      <c r="BE193" s="173"/>
      <c r="BF193" s="173"/>
      <c r="BG193" s="173"/>
      <c r="BH193" s="173"/>
      <c r="BI193" s="173"/>
      <c r="BJ193" s="173"/>
      <c r="BK193" s="173"/>
      <c r="BL193" s="173"/>
      <c r="BM193" s="173"/>
      <c r="BN193" s="173"/>
      <c r="BO193" s="173"/>
      <c r="BP193" s="173"/>
      <c r="BQ193" s="173"/>
      <c r="BR193" s="173"/>
      <c r="BS193" s="173"/>
      <c r="BT193" s="173"/>
      <c r="BU193" s="173"/>
      <c r="BV193" s="173"/>
      <c r="BW193" s="173"/>
      <c r="BX193" s="173"/>
      <c r="BY193" s="173"/>
      <c r="BZ193" s="173"/>
      <c r="CA193" s="173"/>
      <c r="CB193" s="173"/>
      <c r="CC193" s="173"/>
      <c r="CD193" s="173"/>
      <c r="CE193" s="173"/>
      <c r="CF193" s="173"/>
      <c r="CG193" s="173"/>
      <c r="CH193" s="173"/>
      <c r="CI193" s="173"/>
      <c r="CJ193" s="173"/>
      <c r="CK193" s="173"/>
      <c r="CL193" s="173"/>
      <c r="CM193" s="173"/>
      <c r="CN193" s="173"/>
      <c r="CO193" s="173"/>
      <c r="CP193" s="173"/>
      <c r="CQ193" s="173"/>
      <c r="CR193" s="173"/>
      <c r="CS193" s="173"/>
      <c r="CT193" s="173"/>
      <c r="CU193" s="173"/>
      <c r="CV193" s="173"/>
      <c r="CW193" s="173"/>
      <c r="CX193" s="173"/>
      <c r="CY193" s="148"/>
      <c r="CZ193" s="148"/>
      <c r="DA193" s="148"/>
      <c r="DB193" s="148"/>
      <c r="DC193" s="148"/>
      <c r="DD193" s="148"/>
      <c r="DE193" s="148"/>
      <c r="DF193" s="148"/>
      <c r="DG193" s="148"/>
      <c r="DH193" s="148"/>
      <c r="DI193" s="148"/>
      <c r="DJ193" s="148"/>
      <c r="DK193" s="148"/>
      <c r="DL193" s="148"/>
      <c r="DM193" s="148"/>
      <c r="DN193" s="148"/>
      <c r="DO193" s="148"/>
      <c r="DP193" s="148"/>
      <c r="DQ193" s="148"/>
      <c r="DR193" s="148"/>
      <c r="DS193" s="148"/>
      <c r="DT193" s="148"/>
      <c r="DU193" s="148"/>
      <c r="DV193" s="148"/>
      <c r="DW193" s="148"/>
      <c r="DX193" s="148"/>
      <c r="DY193" s="148"/>
      <c r="DZ193" s="148"/>
      <c r="EA193" s="148"/>
      <c r="EB193" s="148"/>
      <c r="EC193" s="148"/>
      <c r="ED193" s="148"/>
      <c r="EE193" s="148"/>
      <c r="EF193" s="148"/>
      <c r="EG193" s="148"/>
      <c r="EH193" s="148"/>
      <c r="EI193" s="148"/>
      <c r="EJ193" s="148"/>
      <c r="EK193" s="148"/>
      <c r="EL193" s="148"/>
      <c r="EM193" s="148"/>
      <c r="EN193" s="148"/>
      <c r="EO193" s="148"/>
      <c r="EP193" s="148"/>
      <c r="EQ193" s="148"/>
      <c r="ER193" s="148"/>
      <c r="ES193" s="148"/>
      <c r="ET193" s="148"/>
      <c r="EU193" s="148"/>
      <c r="EV193" s="148"/>
      <c r="EW193" s="148"/>
      <c r="EX193" s="148"/>
      <c r="EY193" s="148"/>
      <c r="EZ193" s="148"/>
      <c r="FA193" s="148"/>
      <c r="FB193" s="148"/>
      <c r="FC193" s="148"/>
      <c r="FD193" s="148"/>
      <c r="FE193" s="148"/>
      <c r="FF193" s="148"/>
      <c r="FG193" s="148"/>
      <c r="FH193" s="148"/>
      <c r="FI193" s="148"/>
      <c r="FJ193" s="148"/>
      <c r="FK193" s="148"/>
      <c r="FL193" s="148"/>
      <c r="FM193" s="148"/>
      <c r="FN193" s="148"/>
      <c r="FO193" s="148"/>
      <c r="FP193" s="148"/>
      <c r="FQ193" s="148"/>
      <c r="FR193" s="148"/>
      <c r="FS193" s="148"/>
      <c r="FT193" s="148"/>
      <c r="FU193" s="148"/>
      <c r="FV193" s="148"/>
      <c r="FW193" s="148"/>
      <c r="FX193" s="148"/>
      <c r="FY193" s="148"/>
      <c r="FZ193" s="148"/>
      <c r="GA193" s="148"/>
      <c r="GB193" s="148"/>
      <c r="GC193" s="148"/>
      <c r="GD193" s="148"/>
      <c r="GE193" s="148"/>
      <c r="GF193" s="148"/>
      <c r="GG193" s="149"/>
    </row>
    <row r="194" spans="1:189" ht="55.5" x14ac:dyDescent="0.35">
      <c r="A194" s="297" t="s">
        <v>579</v>
      </c>
      <c r="B194" s="298" t="s">
        <v>1051</v>
      </c>
      <c r="C194" s="298"/>
      <c r="D194" s="298" t="s">
        <v>1083</v>
      </c>
      <c r="E194" s="298" t="s">
        <v>1412</v>
      </c>
      <c r="F194" s="298" t="s">
        <v>1411</v>
      </c>
      <c r="G194" s="300">
        <v>2</v>
      </c>
      <c r="H194" s="301"/>
      <c r="I194" s="302"/>
      <c r="J194" s="302"/>
      <c r="K194" s="302"/>
      <c r="L194" s="303">
        <v>46172</v>
      </c>
      <c r="M194" s="303">
        <v>46202</v>
      </c>
      <c r="N194" s="303"/>
      <c r="O194" s="303"/>
      <c r="P194" s="303"/>
      <c r="Q194" s="304" t="s">
        <v>11</v>
      </c>
      <c r="R194" s="305">
        <v>4260000</v>
      </c>
      <c r="S194" s="305">
        <v>4260000</v>
      </c>
      <c r="T194" s="305"/>
      <c r="U194" s="191">
        <f t="shared" si="181"/>
        <v>0</v>
      </c>
      <c r="V194" s="306"/>
      <c r="W194" s="307"/>
      <c r="X194" s="46"/>
      <c r="Y194" s="167">
        <f t="shared" si="174"/>
        <v>4260000</v>
      </c>
      <c r="Z194" s="167">
        <f t="shared" si="175"/>
        <v>0</v>
      </c>
      <c r="AA194" s="167">
        <f t="shared" si="176"/>
        <v>4260000</v>
      </c>
      <c r="AB194" s="167">
        <f t="shared" si="177"/>
        <v>0</v>
      </c>
      <c r="AC194" s="167">
        <f t="shared" si="178"/>
        <v>0</v>
      </c>
      <c r="AD194" s="167">
        <f t="shared" si="179"/>
        <v>0</v>
      </c>
      <c r="AF194" s="47">
        <f t="shared" si="180"/>
        <v>1</v>
      </c>
      <c r="AG194" s="202" t="str">
        <f t="shared" si="173"/>
        <v>Roger Gołombek Fly ash extraction system for the boiler and conveyors / Mechanical &amp; pneumatic transport of boiler ash and fly ash</v>
      </c>
      <c r="AH194" s="172"/>
      <c r="AI194" s="173"/>
      <c r="AJ194" s="173"/>
      <c r="AK194" s="173"/>
      <c r="AL194" s="173"/>
      <c r="AM194" s="173"/>
      <c r="AN194" s="173"/>
      <c r="AO194" s="173"/>
      <c r="AP194" s="173"/>
      <c r="AQ194" s="173"/>
      <c r="AR194" s="173"/>
      <c r="AS194" s="173"/>
      <c r="AT194" s="173"/>
      <c r="AU194" s="173"/>
      <c r="AV194" s="173"/>
      <c r="AW194" s="173"/>
      <c r="AX194" s="173"/>
      <c r="AY194" s="173"/>
      <c r="AZ194" s="173"/>
      <c r="BA194" s="173"/>
      <c r="BB194" s="173"/>
      <c r="BC194" s="173"/>
      <c r="BD194" s="173"/>
      <c r="BE194" s="173"/>
      <c r="BF194" s="173"/>
      <c r="BG194" s="173"/>
      <c r="BH194" s="173"/>
      <c r="BI194" s="173"/>
      <c r="BJ194" s="173"/>
      <c r="BK194" s="173"/>
      <c r="BL194" s="173"/>
      <c r="BM194" s="173"/>
      <c r="BN194" s="173"/>
      <c r="BO194" s="173"/>
      <c r="BP194" s="173"/>
      <c r="BQ194" s="173"/>
      <c r="BR194" s="173"/>
      <c r="BS194" s="173"/>
      <c r="BT194" s="173"/>
      <c r="BU194" s="173"/>
      <c r="BV194" s="173"/>
      <c r="BW194" s="173"/>
      <c r="BX194" s="173"/>
      <c r="BY194" s="173"/>
      <c r="BZ194" s="173"/>
      <c r="CA194" s="173"/>
      <c r="CB194" s="173"/>
      <c r="CC194" s="173"/>
      <c r="CD194" s="173"/>
      <c r="CE194" s="173"/>
      <c r="CF194" s="173"/>
      <c r="CG194" s="173"/>
      <c r="CH194" s="173"/>
      <c r="CI194" s="173"/>
      <c r="CJ194" s="173"/>
      <c r="CK194" s="173"/>
      <c r="CL194" s="173"/>
      <c r="CM194" s="173"/>
      <c r="CN194" s="173"/>
      <c r="CO194" s="173"/>
      <c r="CP194" s="173"/>
      <c r="CQ194" s="173"/>
      <c r="CR194" s="173"/>
      <c r="CS194" s="173"/>
      <c r="CT194" s="173"/>
      <c r="CU194" s="173"/>
      <c r="CV194" s="173"/>
      <c r="CW194" s="173"/>
      <c r="CX194" s="173"/>
      <c r="CY194" s="148"/>
      <c r="CZ194" s="148"/>
      <c r="DA194" s="148"/>
      <c r="DB194" s="148"/>
      <c r="DC194" s="148"/>
      <c r="DD194" s="148"/>
      <c r="DE194" s="148"/>
      <c r="DF194" s="148"/>
      <c r="DG194" s="148"/>
      <c r="DH194" s="148"/>
      <c r="DI194" s="148"/>
      <c r="DJ194" s="148"/>
      <c r="DK194" s="148"/>
      <c r="DL194" s="148"/>
      <c r="DM194" s="148"/>
      <c r="DN194" s="148"/>
      <c r="DO194" s="148"/>
      <c r="DP194" s="148"/>
      <c r="DQ194" s="148"/>
      <c r="DR194" s="148"/>
      <c r="DS194" s="148"/>
      <c r="DT194" s="148"/>
      <c r="DU194" s="148"/>
      <c r="DV194" s="148"/>
      <c r="DW194" s="148"/>
      <c r="DX194" s="148"/>
      <c r="DY194" s="148"/>
      <c r="DZ194" s="148"/>
      <c r="EA194" s="148"/>
      <c r="EB194" s="148"/>
      <c r="EC194" s="148"/>
      <c r="ED194" s="148"/>
      <c r="EE194" s="148"/>
      <c r="EF194" s="148"/>
      <c r="EG194" s="148"/>
      <c r="EH194" s="148"/>
      <c r="EI194" s="148"/>
      <c r="EJ194" s="148"/>
      <c r="EK194" s="148"/>
      <c r="EL194" s="148"/>
      <c r="EM194" s="148"/>
      <c r="EN194" s="148"/>
      <c r="EO194" s="148"/>
      <c r="EP194" s="148"/>
      <c r="EQ194" s="148"/>
      <c r="ER194" s="148"/>
      <c r="ES194" s="148"/>
      <c r="ET194" s="148"/>
      <c r="EU194" s="148"/>
      <c r="EV194" s="148"/>
      <c r="EW194" s="148"/>
      <c r="EX194" s="148"/>
      <c r="EY194" s="148"/>
      <c r="EZ194" s="148"/>
      <c r="FA194" s="148"/>
      <c r="FB194" s="148"/>
      <c r="FC194" s="148"/>
      <c r="FD194" s="148"/>
      <c r="FE194" s="148"/>
      <c r="FF194" s="148"/>
      <c r="FG194" s="148"/>
      <c r="FH194" s="148"/>
      <c r="FI194" s="148"/>
      <c r="FJ194" s="148"/>
      <c r="FK194" s="148"/>
      <c r="FL194" s="148"/>
      <c r="FM194" s="148"/>
      <c r="FN194" s="148"/>
      <c r="FO194" s="148"/>
      <c r="FP194" s="148"/>
      <c r="FQ194" s="148"/>
      <c r="FR194" s="148"/>
      <c r="FS194" s="148"/>
      <c r="FT194" s="148"/>
      <c r="FU194" s="148"/>
      <c r="FV194" s="148"/>
      <c r="FW194" s="148"/>
      <c r="FX194" s="148"/>
      <c r="FY194" s="148"/>
      <c r="FZ194" s="148"/>
      <c r="GA194" s="148"/>
      <c r="GB194" s="148"/>
      <c r="GC194" s="148"/>
      <c r="GD194" s="148"/>
      <c r="GE194" s="148"/>
      <c r="GF194" s="148"/>
      <c r="GG194" s="149"/>
    </row>
    <row r="195" spans="1:189" ht="27.75" x14ac:dyDescent="0.35">
      <c r="A195" s="297" t="s">
        <v>580</v>
      </c>
      <c r="B195" s="298" t="s">
        <v>1071</v>
      </c>
      <c r="C195" s="298"/>
      <c r="D195" s="298" t="s">
        <v>1083</v>
      </c>
      <c r="E195" s="298" t="s">
        <v>426</v>
      </c>
      <c r="F195" s="298" t="s">
        <v>345</v>
      </c>
      <c r="G195" s="300">
        <v>1</v>
      </c>
      <c r="H195" s="301"/>
      <c r="I195" s="302"/>
      <c r="J195" s="302"/>
      <c r="K195" s="302"/>
      <c r="L195" s="303">
        <v>46276</v>
      </c>
      <c r="M195" s="303">
        <v>46308</v>
      </c>
      <c r="N195" s="303"/>
      <c r="O195" s="303"/>
      <c r="P195" s="303"/>
      <c r="Q195" s="304" t="s">
        <v>45</v>
      </c>
      <c r="R195" s="305">
        <v>1010500</v>
      </c>
      <c r="S195" s="305">
        <v>1010500</v>
      </c>
      <c r="T195" s="305"/>
      <c r="U195" s="191">
        <f t="shared" si="181"/>
        <v>0</v>
      </c>
      <c r="V195" s="306"/>
      <c r="W195" s="307"/>
      <c r="X195" s="46"/>
      <c r="Y195" s="167">
        <f t="shared" si="174"/>
        <v>0</v>
      </c>
      <c r="Z195" s="167">
        <f t="shared" si="175"/>
        <v>0</v>
      </c>
      <c r="AA195" s="167">
        <f t="shared" si="176"/>
        <v>0</v>
      </c>
      <c r="AB195" s="167">
        <f t="shared" si="177"/>
        <v>1010500</v>
      </c>
      <c r="AC195" s="167">
        <f t="shared" si="178"/>
        <v>0</v>
      </c>
      <c r="AD195" s="167">
        <f t="shared" si="179"/>
        <v>1010500</v>
      </c>
      <c r="AF195" s="47">
        <f t="shared" si="180"/>
        <v>1</v>
      </c>
      <c r="AG195" s="202" t="str">
        <f t="shared" si="173"/>
        <v>Magdalena Białorucka Sampling system</v>
      </c>
      <c r="AH195" s="172"/>
      <c r="AI195" s="173"/>
      <c r="AJ195" s="173"/>
      <c r="AK195" s="173"/>
      <c r="AL195" s="173"/>
      <c r="AM195" s="173"/>
      <c r="AN195" s="173"/>
      <c r="AO195" s="173"/>
      <c r="AP195" s="173"/>
      <c r="AQ195" s="173"/>
      <c r="AR195" s="173"/>
      <c r="AS195" s="173"/>
      <c r="AT195" s="173"/>
      <c r="AU195" s="173"/>
      <c r="AV195" s="173"/>
      <c r="AW195" s="173"/>
      <c r="AX195" s="173"/>
      <c r="AY195" s="173"/>
      <c r="AZ195" s="173"/>
      <c r="BA195" s="173"/>
      <c r="BB195" s="173"/>
      <c r="BC195" s="173"/>
      <c r="BD195" s="173"/>
      <c r="BE195" s="173"/>
      <c r="BF195" s="173"/>
      <c r="BG195" s="173"/>
      <c r="BH195" s="173"/>
      <c r="BI195" s="173"/>
      <c r="BJ195" s="173"/>
      <c r="BK195" s="173"/>
      <c r="BL195" s="173"/>
      <c r="BM195" s="173"/>
      <c r="BN195" s="173"/>
      <c r="BO195" s="173"/>
      <c r="BP195" s="173"/>
      <c r="BQ195" s="173"/>
      <c r="BR195" s="173"/>
      <c r="BS195" s="173"/>
      <c r="BT195" s="173"/>
      <c r="BU195" s="173"/>
      <c r="BV195" s="173"/>
      <c r="BW195" s="173"/>
      <c r="BX195" s="173"/>
      <c r="BY195" s="173"/>
      <c r="BZ195" s="173"/>
      <c r="CA195" s="173"/>
      <c r="CB195" s="173"/>
      <c r="CC195" s="173"/>
      <c r="CD195" s="173"/>
      <c r="CE195" s="173"/>
      <c r="CF195" s="173"/>
      <c r="CG195" s="173"/>
      <c r="CH195" s="173"/>
      <c r="CI195" s="173"/>
      <c r="CJ195" s="173"/>
      <c r="CK195" s="173"/>
      <c r="CL195" s="173"/>
      <c r="CM195" s="173"/>
      <c r="CN195" s="173"/>
      <c r="CO195" s="173"/>
      <c r="CP195" s="173"/>
      <c r="CQ195" s="173"/>
      <c r="CR195" s="173"/>
      <c r="CS195" s="173"/>
      <c r="CT195" s="173"/>
      <c r="CU195" s="173"/>
      <c r="CV195" s="173"/>
      <c r="CW195" s="173"/>
      <c r="CX195" s="173"/>
      <c r="CY195" s="148"/>
      <c r="CZ195" s="148"/>
      <c r="DA195" s="148"/>
      <c r="DB195" s="148"/>
      <c r="DC195" s="148"/>
      <c r="DD195" s="148"/>
      <c r="DE195" s="148"/>
      <c r="DF195" s="148"/>
      <c r="DG195" s="148"/>
      <c r="DH195" s="148"/>
      <c r="DI195" s="148"/>
      <c r="DJ195" s="148"/>
      <c r="DK195" s="148"/>
      <c r="DL195" s="148"/>
      <c r="DM195" s="148"/>
      <c r="DN195" s="148"/>
      <c r="DO195" s="148"/>
      <c r="DP195" s="148"/>
      <c r="DQ195" s="148"/>
      <c r="DR195" s="148"/>
      <c r="DS195" s="148"/>
      <c r="DT195" s="148"/>
      <c r="DU195" s="148"/>
      <c r="DV195" s="148"/>
      <c r="DW195" s="148"/>
      <c r="DX195" s="148"/>
      <c r="DY195" s="148"/>
      <c r="DZ195" s="148"/>
      <c r="EA195" s="148"/>
      <c r="EB195" s="148"/>
      <c r="EC195" s="148"/>
      <c r="ED195" s="148"/>
      <c r="EE195" s="148"/>
      <c r="EF195" s="148"/>
      <c r="EG195" s="148"/>
      <c r="EH195" s="148"/>
      <c r="EI195" s="148"/>
      <c r="EJ195" s="148"/>
      <c r="EK195" s="148"/>
      <c r="EL195" s="148"/>
      <c r="EM195" s="148"/>
      <c r="EN195" s="148"/>
      <c r="EO195" s="148"/>
      <c r="EP195" s="148"/>
      <c r="EQ195" s="148"/>
      <c r="ER195" s="148"/>
      <c r="ES195" s="148"/>
      <c r="ET195" s="148"/>
      <c r="EU195" s="148"/>
      <c r="EV195" s="148"/>
      <c r="EW195" s="148"/>
      <c r="EX195" s="148"/>
      <c r="EY195" s="148"/>
      <c r="EZ195" s="148"/>
      <c r="FA195" s="148"/>
      <c r="FB195" s="148"/>
      <c r="FC195" s="148"/>
      <c r="FD195" s="148"/>
      <c r="FE195" s="148"/>
      <c r="FF195" s="148"/>
      <c r="FG195" s="148"/>
      <c r="FH195" s="148"/>
      <c r="FI195" s="148"/>
      <c r="FJ195" s="148"/>
      <c r="FK195" s="148"/>
      <c r="FL195" s="148"/>
      <c r="FM195" s="148"/>
      <c r="FN195" s="148"/>
      <c r="FO195" s="148"/>
      <c r="FP195" s="148"/>
      <c r="FQ195" s="148"/>
      <c r="FR195" s="148"/>
      <c r="FS195" s="148"/>
      <c r="FT195" s="148"/>
      <c r="FU195" s="148"/>
      <c r="FV195" s="148"/>
      <c r="FW195" s="148"/>
      <c r="FX195" s="148"/>
      <c r="FY195" s="148"/>
      <c r="FZ195" s="148"/>
      <c r="GA195" s="148"/>
      <c r="GB195" s="148"/>
      <c r="GC195" s="148"/>
      <c r="GD195" s="148"/>
      <c r="GE195" s="148"/>
      <c r="GF195" s="148"/>
      <c r="GG195" s="149"/>
    </row>
    <row r="196" spans="1:189" ht="27.75" x14ac:dyDescent="0.35">
      <c r="A196" s="297" t="s">
        <v>581</v>
      </c>
      <c r="B196" s="298" t="s">
        <v>1071</v>
      </c>
      <c r="C196" s="298"/>
      <c r="D196" s="298" t="s">
        <v>1083</v>
      </c>
      <c r="E196" s="298" t="s">
        <v>555</v>
      </c>
      <c r="F196" s="298" t="s">
        <v>346</v>
      </c>
      <c r="G196" s="300">
        <v>2</v>
      </c>
      <c r="H196" s="301"/>
      <c r="I196" s="302"/>
      <c r="J196" s="302"/>
      <c r="K196" s="302"/>
      <c r="L196" s="303">
        <v>46219</v>
      </c>
      <c r="M196" s="303">
        <v>46251</v>
      </c>
      <c r="N196" s="303"/>
      <c r="O196" s="303"/>
      <c r="P196" s="303"/>
      <c r="Q196" s="304" t="s">
        <v>45</v>
      </c>
      <c r="R196" s="305">
        <v>223600</v>
      </c>
      <c r="S196" s="305">
        <v>223600</v>
      </c>
      <c r="T196" s="305"/>
      <c r="U196" s="191">
        <f t="shared" si="181"/>
        <v>0</v>
      </c>
      <c r="V196" s="306"/>
      <c r="W196" s="307"/>
      <c r="X196" s="46"/>
      <c r="Y196" s="167">
        <f t="shared" si="174"/>
        <v>223600</v>
      </c>
      <c r="Z196" s="167">
        <f t="shared" si="175"/>
        <v>0</v>
      </c>
      <c r="AA196" s="167">
        <f t="shared" si="176"/>
        <v>223600</v>
      </c>
      <c r="AB196" s="167">
        <f t="shared" si="177"/>
        <v>0</v>
      </c>
      <c r="AC196" s="167">
        <f t="shared" si="178"/>
        <v>0</v>
      </c>
      <c r="AD196" s="167">
        <f t="shared" si="179"/>
        <v>0</v>
      </c>
      <c r="AF196" s="47">
        <f t="shared" si="180"/>
        <v>1</v>
      </c>
      <c r="AG196" s="202" t="str">
        <f t="shared" si="173"/>
        <v>Magdalena Białorucka Chemical dosing for the boiler</v>
      </c>
      <c r="AH196" s="172"/>
      <c r="AI196" s="173"/>
      <c r="AJ196" s="173"/>
      <c r="AK196" s="173"/>
      <c r="AL196" s="173"/>
      <c r="AM196" s="173"/>
      <c r="AN196" s="173"/>
      <c r="AO196" s="173"/>
      <c r="AP196" s="173"/>
      <c r="AQ196" s="173"/>
      <c r="AR196" s="173"/>
      <c r="AS196" s="173"/>
      <c r="AT196" s="173"/>
      <c r="AU196" s="173"/>
      <c r="AV196" s="173"/>
      <c r="AW196" s="173"/>
      <c r="AX196" s="173"/>
      <c r="AY196" s="173"/>
      <c r="AZ196" s="173"/>
      <c r="BA196" s="173"/>
      <c r="BB196" s="173"/>
      <c r="BC196" s="173"/>
      <c r="BD196" s="173"/>
      <c r="BE196" s="173"/>
      <c r="BF196" s="173"/>
      <c r="BG196" s="173"/>
      <c r="BH196" s="173"/>
      <c r="BI196" s="173"/>
      <c r="BJ196" s="173"/>
      <c r="BK196" s="173"/>
      <c r="BL196" s="173"/>
      <c r="BM196" s="173"/>
      <c r="BN196" s="173"/>
      <c r="BO196" s="173"/>
      <c r="BP196" s="173"/>
      <c r="BQ196" s="173"/>
      <c r="BR196" s="173"/>
      <c r="BS196" s="173"/>
      <c r="BT196" s="173"/>
      <c r="BU196" s="173"/>
      <c r="BV196" s="173"/>
      <c r="BW196" s="173"/>
      <c r="BX196" s="173"/>
      <c r="BY196" s="173"/>
      <c r="BZ196" s="173"/>
      <c r="CA196" s="173"/>
      <c r="CB196" s="173"/>
      <c r="CC196" s="173"/>
      <c r="CD196" s="173"/>
      <c r="CE196" s="173"/>
      <c r="CF196" s="173"/>
      <c r="CG196" s="173"/>
      <c r="CH196" s="173"/>
      <c r="CI196" s="173"/>
      <c r="CJ196" s="173"/>
      <c r="CK196" s="173"/>
      <c r="CL196" s="173"/>
      <c r="CM196" s="173"/>
      <c r="CN196" s="173"/>
      <c r="CO196" s="173"/>
      <c r="CP196" s="173"/>
      <c r="CQ196" s="173"/>
      <c r="CR196" s="173"/>
      <c r="CS196" s="173"/>
      <c r="CT196" s="173"/>
      <c r="CU196" s="173"/>
      <c r="CV196" s="173"/>
      <c r="CW196" s="173"/>
      <c r="CX196" s="173"/>
      <c r="CY196" s="148"/>
      <c r="CZ196" s="148"/>
      <c r="DA196" s="148"/>
      <c r="DB196" s="148"/>
      <c r="DC196" s="148"/>
      <c r="DD196" s="148"/>
      <c r="DE196" s="148"/>
      <c r="DF196" s="148"/>
      <c r="DG196" s="148"/>
      <c r="DH196" s="148"/>
      <c r="DI196" s="148"/>
      <c r="DJ196" s="148"/>
      <c r="DK196" s="148"/>
      <c r="DL196" s="148"/>
      <c r="DM196" s="148"/>
      <c r="DN196" s="148"/>
      <c r="DO196" s="148"/>
      <c r="DP196" s="148"/>
      <c r="DQ196" s="148"/>
      <c r="DR196" s="148"/>
      <c r="DS196" s="148"/>
      <c r="DT196" s="148"/>
      <c r="DU196" s="148"/>
      <c r="DV196" s="148"/>
      <c r="DW196" s="148"/>
      <c r="DX196" s="148"/>
      <c r="DY196" s="148"/>
      <c r="DZ196" s="148"/>
      <c r="EA196" s="148"/>
      <c r="EB196" s="148"/>
      <c r="EC196" s="148"/>
      <c r="ED196" s="148"/>
      <c r="EE196" s="148"/>
      <c r="EF196" s="148"/>
      <c r="EG196" s="148"/>
      <c r="EH196" s="148"/>
      <c r="EI196" s="148"/>
      <c r="EJ196" s="148"/>
      <c r="EK196" s="148"/>
      <c r="EL196" s="148"/>
      <c r="EM196" s="148"/>
      <c r="EN196" s="148"/>
      <c r="EO196" s="148"/>
      <c r="EP196" s="148"/>
      <c r="EQ196" s="148"/>
      <c r="ER196" s="148"/>
      <c r="ES196" s="148"/>
      <c r="ET196" s="148"/>
      <c r="EU196" s="148"/>
      <c r="EV196" s="148"/>
      <c r="EW196" s="148"/>
      <c r="EX196" s="148"/>
      <c r="EY196" s="148"/>
      <c r="EZ196" s="148"/>
      <c r="FA196" s="148"/>
      <c r="FB196" s="148"/>
      <c r="FC196" s="148"/>
      <c r="FD196" s="148"/>
      <c r="FE196" s="148"/>
      <c r="FF196" s="148"/>
      <c r="FG196" s="148"/>
      <c r="FH196" s="148"/>
      <c r="FI196" s="148"/>
      <c r="FJ196" s="148"/>
      <c r="FK196" s="148"/>
      <c r="FL196" s="148"/>
      <c r="FM196" s="148"/>
      <c r="FN196" s="148"/>
      <c r="FO196" s="148"/>
      <c r="FP196" s="148"/>
      <c r="FQ196" s="148"/>
      <c r="FR196" s="148"/>
      <c r="FS196" s="148"/>
      <c r="FT196" s="148"/>
      <c r="FU196" s="148"/>
      <c r="FV196" s="148"/>
      <c r="FW196" s="148"/>
      <c r="FX196" s="148"/>
      <c r="FY196" s="148"/>
      <c r="FZ196" s="148"/>
      <c r="GA196" s="148"/>
      <c r="GB196" s="148"/>
      <c r="GC196" s="148"/>
      <c r="GD196" s="148"/>
      <c r="GE196" s="148"/>
      <c r="GF196" s="148"/>
      <c r="GG196" s="149"/>
    </row>
    <row r="197" spans="1:189" ht="27.75" x14ac:dyDescent="0.35">
      <c r="A197" s="297" t="s">
        <v>582</v>
      </c>
      <c r="B197" s="298"/>
      <c r="C197" s="298"/>
      <c r="D197" s="298" t="s">
        <v>1083</v>
      </c>
      <c r="E197" s="298" t="s">
        <v>427</v>
      </c>
      <c r="F197" s="298" t="s">
        <v>347</v>
      </c>
      <c r="G197" s="300">
        <v>1</v>
      </c>
      <c r="H197" s="301"/>
      <c r="I197" s="302"/>
      <c r="J197" s="302"/>
      <c r="K197" s="302"/>
      <c r="L197" s="303">
        <v>46203</v>
      </c>
      <c r="M197" s="303">
        <v>46234</v>
      </c>
      <c r="N197" s="303"/>
      <c r="O197" s="303"/>
      <c r="P197" s="303"/>
      <c r="Q197" s="304" t="s">
        <v>45</v>
      </c>
      <c r="R197" s="305">
        <v>129000</v>
      </c>
      <c r="S197" s="305">
        <v>129000</v>
      </c>
      <c r="T197" s="305"/>
      <c r="U197" s="191">
        <f t="shared" si="181"/>
        <v>0</v>
      </c>
      <c r="V197" s="306"/>
      <c r="W197" s="307"/>
      <c r="X197" s="46"/>
      <c r="Y197" s="167">
        <f t="shared" si="174"/>
        <v>0</v>
      </c>
      <c r="Z197" s="167">
        <f t="shared" si="175"/>
        <v>0</v>
      </c>
      <c r="AA197" s="167">
        <f t="shared" si="176"/>
        <v>0</v>
      </c>
      <c r="AB197" s="167">
        <f t="shared" si="177"/>
        <v>129000</v>
      </c>
      <c r="AC197" s="167">
        <f t="shared" si="178"/>
        <v>0</v>
      </c>
      <c r="AD197" s="167">
        <f t="shared" si="179"/>
        <v>129000</v>
      </c>
      <c r="AF197" s="47">
        <f t="shared" si="180"/>
        <v>1</v>
      </c>
      <c r="AG197" s="202" t="str">
        <f t="shared" si="173"/>
        <v xml:space="preserve"> Compensator between boiler and ECO</v>
      </c>
      <c r="AH197" s="172"/>
      <c r="AI197" s="173"/>
      <c r="AJ197" s="173"/>
      <c r="AK197" s="173"/>
      <c r="AL197" s="173"/>
      <c r="AM197" s="173"/>
      <c r="AN197" s="173"/>
      <c r="AO197" s="173"/>
      <c r="AP197" s="173"/>
      <c r="AQ197" s="173"/>
      <c r="AR197" s="173"/>
      <c r="AS197" s="173"/>
      <c r="AT197" s="173"/>
      <c r="AU197" s="173"/>
      <c r="AV197" s="173"/>
      <c r="AW197" s="173"/>
      <c r="AX197" s="173"/>
      <c r="AY197" s="173"/>
      <c r="AZ197" s="173"/>
      <c r="BA197" s="173"/>
      <c r="BB197" s="173"/>
      <c r="BC197" s="173"/>
      <c r="BD197" s="173"/>
      <c r="BE197" s="173"/>
      <c r="BF197" s="173"/>
      <c r="BG197" s="173"/>
      <c r="BH197" s="173"/>
      <c r="BI197" s="173"/>
      <c r="BJ197" s="173"/>
      <c r="BK197" s="173"/>
      <c r="BL197" s="173"/>
      <c r="BM197" s="173"/>
      <c r="BN197" s="173"/>
      <c r="BO197" s="173"/>
      <c r="BP197" s="173"/>
      <c r="BQ197" s="173"/>
      <c r="BR197" s="173"/>
      <c r="BS197" s="173"/>
      <c r="BT197" s="173"/>
      <c r="BU197" s="173"/>
      <c r="BV197" s="173"/>
      <c r="BW197" s="173"/>
      <c r="BX197" s="173"/>
      <c r="BY197" s="173"/>
      <c r="BZ197" s="173"/>
      <c r="CA197" s="173"/>
      <c r="CB197" s="173"/>
      <c r="CC197" s="173"/>
      <c r="CD197" s="173"/>
      <c r="CE197" s="173"/>
      <c r="CF197" s="173"/>
      <c r="CG197" s="173"/>
      <c r="CH197" s="173"/>
      <c r="CI197" s="173"/>
      <c r="CJ197" s="173"/>
      <c r="CK197" s="173"/>
      <c r="CL197" s="173"/>
      <c r="CM197" s="173"/>
      <c r="CN197" s="173"/>
      <c r="CO197" s="173"/>
      <c r="CP197" s="173"/>
      <c r="CQ197" s="173"/>
      <c r="CR197" s="173"/>
      <c r="CS197" s="173"/>
      <c r="CT197" s="173"/>
      <c r="CU197" s="173"/>
      <c r="CV197" s="173"/>
      <c r="CW197" s="173"/>
      <c r="CX197" s="173"/>
      <c r="CY197" s="148"/>
      <c r="CZ197" s="148"/>
      <c r="DA197" s="148"/>
      <c r="DB197" s="148"/>
      <c r="DC197" s="148"/>
      <c r="DD197" s="148"/>
      <c r="DE197" s="148"/>
      <c r="DF197" s="148"/>
      <c r="DG197" s="148"/>
      <c r="DH197" s="148"/>
      <c r="DI197" s="148"/>
      <c r="DJ197" s="148"/>
      <c r="DK197" s="148"/>
      <c r="DL197" s="148"/>
      <c r="DM197" s="148"/>
      <c r="DN197" s="148"/>
      <c r="DO197" s="148"/>
      <c r="DP197" s="148"/>
      <c r="DQ197" s="148"/>
      <c r="DR197" s="148"/>
      <c r="DS197" s="148"/>
      <c r="DT197" s="148"/>
      <c r="DU197" s="148"/>
      <c r="DV197" s="148"/>
      <c r="DW197" s="148"/>
      <c r="DX197" s="148"/>
      <c r="DY197" s="148"/>
      <c r="DZ197" s="148"/>
      <c r="EA197" s="148"/>
      <c r="EB197" s="148"/>
      <c r="EC197" s="148"/>
      <c r="ED197" s="148"/>
      <c r="EE197" s="148"/>
      <c r="EF197" s="148"/>
      <c r="EG197" s="148"/>
      <c r="EH197" s="148"/>
      <c r="EI197" s="148"/>
      <c r="EJ197" s="148"/>
      <c r="EK197" s="148"/>
      <c r="EL197" s="148"/>
      <c r="EM197" s="148"/>
      <c r="EN197" s="148"/>
      <c r="EO197" s="148"/>
      <c r="EP197" s="148"/>
      <c r="EQ197" s="148"/>
      <c r="ER197" s="148"/>
      <c r="ES197" s="148"/>
      <c r="ET197" s="148"/>
      <c r="EU197" s="148"/>
      <c r="EV197" s="148"/>
      <c r="EW197" s="148"/>
      <c r="EX197" s="148"/>
      <c r="EY197" s="148"/>
      <c r="EZ197" s="148"/>
      <c r="FA197" s="148"/>
      <c r="FB197" s="148"/>
      <c r="FC197" s="148"/>
      <c r="FD197" s="148"/>
      <c r="FE197" s="148"/>
      <c r="FF197" s="148"/>
      <c r="FG197" s="148"/>
      <c r="FH197" s="148"/>
      <c r="FI197" s="148"/>
      <c r="FJ197" s="148"/>
      <c r="FK197" s="148"/>
      <c r="FL197" s="148"/>
      <c r="FM197" s="148"/>
      <c r="FN197" s="148"/>
      <c r="FO197" s="148"/>
      <c r="FP197" s="148"/>
      <c r="FQ197" s="148"/>
      <c r="FR197" s="148"/>
      <c r="FS197" s="148"/>
      <c r="FT197" s="148"/>
      <c r="FU197" s="148"/>
      <c r="FV197" s="148"/>
      <c r="FW197" s="148"/>
      <c r="FX197" s="148"/>
      <c r="FY197" s="148"/>
      <c r="FZ197" s="148"/>
      <c r="GA197" s="148"/>
      <c r="GB197" s="148"/>
      <c r="GC197" s="148"/>
      <c r="GD197" s="148"/>
      <c r="GE197" s="148"/>
      <c r="GF197" s="148"/>
      <c r="GG197" s="149"/>
    </row>
    <row r="198" spans="1:189" ht="27.75" x14ac:dyDescent="0.35">
      <c r="A198" s="237" t="s">
        <v>583</v>
      </c>
      <c r="B198" s="236" t="s">
        <v>1071</v>
      </c>
      <c r="C198" s="236"/>
      <c r="D198" s="236" t="s">
        <v>1083</v>
      </c>
      <c r="E198" s="236" t="s">
        <v>429</v>
      </c>
      <c r="F198" s="236" t="s">
        <v>348</v>
      </c>
      <c r="G198" s="238">
        <v>2</v>
      </c>
      <c r="H198" s="239"/>
      <c r="I198" s="240"/>
      <c r="J198" s="240"/>
      <c r="K198" s="240"/>
      <c r="L198" s="241">
        <v>46203</v>
      </c>
      <c r="M198" s="241">
        <v>46234</v>
      </c>
      <c r="N198" s="241"/>
      <c r="O198" s="241"/>
      <c r="P198" s="241"/>
      <c r="Q198" s="242" t="s">
        <v>45</v>
      </c>
      <c r="R198" s="243">
        <v>3993000</v>
      </c>
      <c r="S198" s="243">
        <v>3993000</v>
      </c>
      <c r="T198" s="243"/>
      <c r="U198" s="191">
        <f t="shared" si="181"/>
        <v>0</v>
      </c>
      <c r="V198" s="244"/>
      <c r="W198" s="245"/>
      <c r="X198" s="46"/>
      <c r="Y198" s="167">
        <f t="shared" si="174"/>
        <v>3993000</v>
      </c>
      <c r="Z198" s="167">
        <f t="shared" si="175"/>
        <v>0</v>
      </c>
      <c r="AA198" s="167">
        <f t="shared" si="176"/>
        <v>3993000</v>
      </c>
      <c r="AB198" s="167">
        <f t="shared" si="177"/>
        <v>0</v>
      </c>
      <c r="AC198" s="167">
        <f t="shared" si="178"/>
        <v>0</v>
      </c>
      <c r="AD198" s="167">
        <f t="shared" si="179"/>
        <v>0</v>
      </c>
      <c r="AF198" s="47">
        <f t="shared" si="180"/>
        <v>1</v>
      </c>
      <c r="AG198" s="202" t="str">
        <f t="shared" si="173"/>
        <v>Magdalena Białorucka Refractory</v>
      </c>
      <c r="AH198" s="172"/>
      <c r="AI198" s="173"/>
      <c r="AJ198" s="173"/>
      <c r="AK198" s="173"/>
      <c r="AL198" s="173"/>
      <c r="AM198" s="173"/>
      <c r="AN198" s="173"/>
      <c r="AO198" s="173"/>
      <c r="AP198" s="173"/>
      <c r="AQ198" s="173"/>
      <c r="AR198" s="173"/>
      <c r="AS198" s="173"/>
      <c r="AT198" s="173"/>
      <c r="AU198" s="173"/>
      <c r="AV198" s="173"/>
      <c r="AW198" s="173"/>
      <c r="AX198" s="173"/>
      <c r="AY198" s="173"/>
      <c r="AZ198" s="173"/>
      <c r="BA198" s="173"/>
      <c r="BB198" s="173"/>
      <c r="BC198" s="173"/>
      <c r="BD198" s="173"/>
      <c r="BE198" s="173"/>
      <c r="BF198" s="173"/>
      <c r="BG198" s="173"/>
      <c r="BH198" s="173"/>
      <c r="BI198" s="173"/>
      <c r="BJ198" s="173"/>
      <c r="BK198" s="173"/>
      <c r="BL198" s="173"/>
      <c r="BM198" s="173"/>
      <c r="BN198" s="173"/>
      <c r="BO198" s="173"/>
      <c r="BP198" s="173"/>
      <c r="BQ198" s="173"/>
      <c r="BR198" s="173"/>
      <c r="BS198" s="173"/>
      <c r="BT198" s="173"/>
      <c r="BU198" s="173"/>
      <c r="BV198" s="173"/>
      <c r="BW198" s="173"/>
      <c r="BX198" s="173"/>
      <c r="BY198" s="173"/>
      <c r="BZ198" s="173"/>
      <c r="CA198" s="173"/>
      <c r="CB198" s="173"/>
      <c r="CC198" s="173"/>
      <c r="CD198" s="173"/>
      <c r="CE198" s="173"/>
      <c r="CF198" s="173"/>
      <c r="CG198" s="173"/>
      <c r="CH198" s="173"/>
      <c r="CI198" s="173"/>
      <c r="CJ198" s="173"/>
      <c r="CK198" s="173"/>
      <c r="CL198" s="173"/>
      <c r="CM198" s="173"/>
      <c r="CN198" s="173"/>
      <c r="CO198" s="173"/>
      <c r="CP198" s="173"/>
      <c r="CQ198" s="173"/>
      <c r="CR198" s="173"/>
      <c r="CS198" s="173"/>
      <c r="CT198" s="173"/>
      <c r="CU198" s="173"/>
      <c r="CV198" s="173"/>
      <c r="CW198" s="173"/>
      <c r="CX198" s="173"/>
      <c r="CY198" s="148"/>
      <c r="CZ198" s="148"/>
      <c r="DA198" s="148"/>
      <c r="DB198" s="148"/>
      <c r="DC198" s="148"/>
      <c r="DD198" s="148"/>
      <c r="DE198" s="148"/>
      <c r="DF198" s="148"/>
      <c r="DG198" s="148"/>
      <c r="DH198" s="148"/>
      <c r="DI198" s="148"/>
      <c r="DJ198" s="148"/>
      <c r="DK198" s="148"/>
      <c r="DL198" s="148"/>
      <c r="DM198" s="148"/>
      <c r="DN198" s="148"/>
      <c r="DO198" s="148"/>
      <c r="DP198" s="148"/>
      <c r="DQ198" s="148"/>
      <c r="DR198" s="148"/>
      <c r="DS198" s="148"/>
      <c r="DT198" s="148"/>
      <c r="DU198" s="148"/>
      <c r="DV198" s="148"/>
      <c r="DW198" s="148"/>
      <c r="DX198" s="148"/>
      <c r="DY198" s="148"/>
      <c r="DZ198" s="148"/>
      <c r="EA198" s="148"/>
      <c r="EB198" s="148"/>
      <c r="EC198" s="148"/>
      <c r="ED198" s="148"/>
      <c r="EE198" s="148"/>
      <c r="EF198" s="148"/>
      <c r="EG198" s="148"/>
      <c r="EH198" s="148"/>
      <c r="EI198" s="148"/>
      <c r="EJ198" s="148"/>
      <c r="EK198" s="148"/>
      <c r="EL198" s="148"/>
      <c r="EM198" s="148"/>
      <c r="EN198" s="148"/>
      <c r="EO198" s="148"/>
      <c r="EP198" s="148"/>
      <c r="EQ198" s="148"/>
      <c r="ER198" s="148"/>
      <c r="ES198" s="151"/>
      <c r="ET198" s="151"/>
      <c r="EU198" s="151"/>
      <c r="EV198" s="151"/>
      <c r="EW198" s="151"/>
      <c r="EX198" s="151"/>
      <c r="EY198" s="151"/>
      <c r="EZ198" s="151"/>
      <c r="FA198" s="151"/>
      <c r="FB198" s="151"/>
      <c r="FC198" s="151"/>
      <c r="FD198" s="151"/>
      <c r="FE198" s="151"/>
      <c r="FF198" s="151"/>
      <c r="FG198" s="151"/>
      <c r="FH198" s="151"/>
      <c r="FI198" s="151"/>
      <c r="FJ198" s="151"/>
      <c r="FK198" s="151"/>
      <c r="FL198" s="151"/>
      <c r="FM198" s="151"/>
      <c r="FN198" s="151"/>
      <c r="FO198" s="151"/>
      <c r="FP198" s="151"/>
      <c r="FQ198" s="151"/>
      <c r="FR198" s="151"/>
      <c r="FS198" s="151"/>
      <c r="FT198" s="151"/>
      <c r="FU198" s="151"/>
      <c r="FV198" s="151"/>
      <c r="FW198" s="151"/>
      <c r="FX198" s="151"/>
      <c r="FY198" s="151"/>
      <c r="FZ198" s="151"/>
      <c r="GA198" s="151"/>
      <c r="GB198" s="151"/>
      <c r="GC198" s="151"/>
      <c r="GD198" s="151"/>
      <c r="GE198" s="151"/>
      <c r="GF198" s="151"/>
      <c r="GG198" s="152"/>
    </row>
    <row r="199" spans="1:189" ht="27.75" x14ac:dyDescent="0.35">
      <c r="A199" s="237" t="s">
        <v>584</v>
      </c>
      <c r="B199" s="236" t="s">
        <v>1066</v>
      </c>
      <c r="C199" s="236"/>
      <c r="D199" s="236" t="s">
        <v>1083</v>
      </c>
      <c r="E199" s="236" t="s">
        <v>560</v>
      </c>
      <c r="F199" s="236" t="s">
        <v>561</v>
      </c>
      <c r="G199" s="238">
        <v>1</v>
      </c>
      <c r="H199" s="239" t="s">
        <v>1372</v>
      </c>
      <c r="I199" s="240"/>
      <c r="J199" s="240"/>
      <c r="K199" s="240"/>
      <c r="L199" s="241">
        <v>46129</v>
      </c>
      <c r="M199" s="241">
        <v>46158</v>
      </c>
      <c r="N199" s="241"/>
      <c r="O199" s="241"/>
      <c r="P199" s="241"/>
      <c r="Q199" s="242" t="s">
        <v>13</v>
      </c>
      <c r="R199" s="243">
        <v>1062800</v>
      </c>
      <c r="S199" s="243">
        <v>1062800</v>
      </c>
      <c r="T199" s="243"/>
      <c r="U199" s="191">
        <f t="shared" si="181"/>
        <v>0</v>
      </c>
      <c r="V199" s="244"/>
      <c r="W199" s="245"/>
      <c r="X199" s="46"/>
      <c r="Y199" s="167">
        <f t="shared" si="174"/>
        <v>0</v>
      </c>
      <c r="Z199" s="167">
        <f t="shared" si="175"/>
        <v>0</v>
      </c>
      <c r="AA199" s="167">
        <f t="shared" si="176"/>
        <v>0</v>
      </c>
      <c r="AB199" s="167">
        <f t="shared" si="177"/>
        <v>1062800</v>
      </c>
      <c r="AC199" s="167">
        <f t="shared" si="178"/>
        <v>0</v>
      </c>
      <c r="AD199" s="167">
        <f t="shared" si="179"/>
        <v>1062800</v>
      </c>
      <c r="AF199" s="180">
        <f t="shared" si="180"/>
        <v>1</v>
      </c>
      <c r="AG199" s="202" t="str">
        <f t="shared" si="173"/>
        <v>Stanisław Rucki Burners including fans</v>
      </c>
      <c r="AH199" s="172"/>
      <c r="AI199" s="173"/>
      <c r="AJ199" s="173"/>
      <c r="AK199" s="173"/>
      <c r="AL199" s="173"/>
      <c r="AM199" s="173"/>
      <c r="AN199" s="173"/>
      <c r="AO199" s="173"/>
      <c r="AP199" s="173"/>
      <c r="AQ199" s="173"/>
      <c r="AR199" s="173"/>
      <c r="AS199" s="173"/>
      <c r="AT199" s="173"/>
      <c r="AU199" s="173"/>
      <c r="AV199" s="173"/>
      <c r="AW199" s="173"/>
      <c r="AX199" s="173"/>
      <c r="AY199" s="173"/>
      <c r="AZ199" s="173"/>
      <c r="BA199" s="173"/>
      <c r="BB199" s="173"/>
      <c r="BC199" s="173"/>
      <c r="BD199" s="173"/>
      <c r="BE199" s="173"/>
      <c r="BF199" s="173"/>
      <c r="BG199" s="173"/>
      <c r="BH199" s="173"/>
      <c r="BI199" s="173"/>
      <c r="BJ199" s="173"/>
      <c r="BK199" s="173"/>
      <c r="BL199" s="173"/>
      <c r="BM199" s="173"/>
      <c r="BN199" s="173"/>
      <c r="BO199" s="173"/>
      <c r="BP199" s="173"/>
      <c r="BQ199" s="173"/>
      <c r="BR199" s="173"/>
      <c r="BS199" s="173"/>
      <c r="BT199" s="173"/>
      <c r="BU199" s="173"/>
      <c r="BV199" s="173"/>
      <c r="BW199" s="173"/>
      <c r="BX199" s="173"/>
      <c r="BY199" s="173"/>
      <c r="BZ199" s="173"/>
      <c r="CA199" s="173"/>
      <c r="CB199" s="173"/>
      <c r="CC199" s="173"/>
      <c r="CD199" s="173"/>
      <c r="CE199" s="173"/>
      <c r="CF199" s="173"/>
      <c r="CG199" s="173"/>
      <c r="CH199" s="173"/>
      <c r="CI199" s="173"/>
      <c r="CJ199" s="173"/>
      <c r="CK199" s="173"/>
      <c r="CL199" s="173"/>
      <c r="CM199" s="173"/>
      <c r="CN199" s="173"/>
      <c r="CO199" s="173"/>
      <c r="CP199" s="173"/>
      <c r="CQ199" s="173"/>
      <c r="CR199" s="173"/>
      <c r="CS199" s="173"/>
      <c r="CT199" s="173"/>
      <c r="CU199" s="173"/>
      <c r="CV199" s="173"/>
      <c r="CW199" s="173"/>
      <c r="CX199" s="173"/>
      <c r="CY199" s="148"/>
      <c r="CZ199" s="148"/>
      <c r="DA199" s="148"/>
      <c r="DB199" s="148"/>
      <c r="DC199" s="148"/>
      <c r="DD199" s="148"/>
      <c r="DE199" s="148"/>
      <c r="DF199" s="148"/>
      <c r="DG199" s="148"/>
      <c r="DH199" s="148"/>
      <c r="DI199" s="148"/>
      <c r="DJ199" s="148"/>
      <c r="DK199" s="148"/>
      <c r="DL199" s="148"/>
      <c r="DM199" s="148"/>
      <c r="DN199" s="148"/>
      <c r="DO199" s="148"/>
      <c r="DP199" s="148"/>
      <c r="DQ199" s="148"/>
      <c r="DR199" s="148"/>
      <c r="DS199" s="148"/>
      <c r="DT199" s="148"/>
      <c r="DU199" s="148"/>
      <c r="DV199" s="148"/>
      <c r="DW199" s="148"/>
      <c r="DX199" s="148"/>
      <c r="DY199" s="148"/>
      <c r="DZ199" s="148"/>
      <c r="EA199" s="148"/>
      <c r="EB199" s="148"/>
      <c r="EC199" s="148"/>
      <c r="ED199" s="148"/>
      <c r="EE199" s="148"/>
      <c r="EF199" s="148"/>
      <c r="EG199" s="148"/>
      <c r="EH199" s="148"/>
      <c r="EI199" s="148"/>
      <c r="EJ199" s="148"/>
      <c r="EK199" s="148"/>
      <c r="EL199" s="148"/>
      <c r="EM199" s="148"/>
      <c r="EN199" s="148"/>
      <c r="EO199" s="148"/>
      <c r="EP199" s="148"/>
      <c r="EQ199" s="148"/>
      <c r="ER199" s="148"/>
      <c r="ES199" s="151"/>
      <c r="ET199" s="151"/>
      <c r="EU199" s="151"/>
      <c r="EV199" s="151"/>
      <c r="EW199" s="151"/>
      <c r="EX199" s="151"/>
      <c r="EY199" s="151"/>
      <c r="EZ199" s="151"/>
      <c r="FA199" s="151"/>
      <c r="FB199" s="151"/>
      <c r="FC199" s="151"/>
      <c r="FD199" s="151"/>
      <c r="FE199" s="151"/>
      <c r="FF199" s="151"/>
      <c r="FG199" s="151"/>
      <c r="FH199" s="151"/>
      <c r="FI199" s="151"/>
      <c r="FJ199" s="151"/>
      <c r="FK199" s="151"/>
      <c r="FL199" s="151"/>
      <c r="FM199" s="151"/>
      <c r="FN199" s="151"/>
      <c r="FO199" s="151"/>
      <c r="FP199" s="151"/>
      <c r="FQ199" s="151"/>
      <c r="FR199" s="151"/>
      <c r="FS199" s="151"/>
      <c r="FT199" s="151"/>
      <c r="FU199" s="151"/>
      <c r="FV199" s="151"/>
      <c r="FW199" s="151"/>
      <c r="FX199" s="151"/>
      <c r="FY199" s="151"/>
      <c r="FZ199" s="151"/>
      <c r="GA199" s="151"/>
      <c r="GB199" s="151"/>
      <c r="GC199" s="151"/>
      <c r="GD199" s="151"/>
      <c r="GE199" s="151"/>
      <c r="GF199" s="151"/>
      <c r="GG199" s="152"/>
    </row>
    <row r="200" spans="1:189" ht="27.75" x14ac:dyDescent="0.35">
      <c r="A200" s="237" t="s">
        <v>585</v>
      </c>
      <c r="B200" s="236"/>
      <c r="C200" s="236"/>
      <c r="D200" s="236" t="s">
        <v>1083</v>
      </c>
      <c r="E200" s="236" t="s">
        <v>430</v>
      </c>
      <c r="F200" s="236" t="s">
        <v>370</v>
      </c>
      <c r="G200" s="238">
        <v>2</v>
      </c>
      <c r="H200" s="239"/>
      <c r="I200" s="240"/>
      <c r="J200" s="240"/>
      <c r="K200" s="240"/>
      <c r="L200" s="241"/>
      <c r="M200" s="241"/>
      <c r="N200" s="241"/>
      <c r="O200" s="241"/>
      <c r="P200" s="241"/>
      <c r="Q200" s="242"/>
      <c r="R200" s="243"/>
      <c r="S200" s="243"/>
      <c r="T200" s="243"/>
      <c r="U200" s="191">
        <f t="shared" si="181"/>
        <v>0</v>
      </c>
      <c r="V200" s="244"/>
      <c r="W200" s="245"/>
      <c r="X200" s="46"/>
      <c r="Y200" s="167">
        <f t="shared" si="174"/>
        <v>0</v>
      </c>
      <c r="Z200" s="167">
        <f t="shared" si="175"/>
        <v>0</v>
      </c>
      <c r="AA200" s="167">
        <f t="shared" si="176"/>
        <v>0</v>
      </c>
      <c r="AB200" s="167">
        <f t="shared" si="177"/>
        <v>0</v>
      </c>
      <c r="AC200" s="167">
        <f t="shared" si="178"/>
        <v>0</v>
      </c>
      <c r="AD200" s="167">
        <f t="shared" si="179"/>
        <v>0</v>
      </c>
      <c r="AF200" s="47">
        <f t="shared" si="180"/>
        <v>0</v>
      </c>
      <c r="AG200" s="202" t="str">
        <f t="shared" si="173"/>
        <v xml:space="preserve"> Flue gas treatment (FGT)</v>
      </c>
      <c r="AH200" s="172"/>
      <c r="AI200" s="173"/>
      <c r="AJ200" s="173"/>
      <c r="AK200" s="173"/>
      <c r="AL200" s="173"/>
      <c r="AM200" s="173"/>
      <c r="AN200" s="173"/>
      <c r="AO200" s="173"/>
      <c r="AP200" s="173"/>
      <c r="AQ200" s="173"/>
      <c r="AR200" s="173"/>
      <c r="AS200" s="173"/>
      <c r="AT200" s="173"/>
      <c r="AU200" s="173"/>
      <c r="AV200" s="173"/>
      <c r="AW200" s="173"/>
      <c r="AX200" s="173"/>
      <c r="AY200" s="173"/>
      <c r="AZ200" s="173"/>
      <c r="BA200" s="173"/>
      <c r="BB200" s="173"/>
      <c r="BC200" s="173"/>
      <c r="BD200" s="173"/>
      <c r="BE200" s="173"/>
      <c r="BF200" s="173"/>
      <c r="BG200" s="173"/>
      <c r="BH200" s="173"/>
      <c r="BI200" s="173"/>
      <c r="BJ200" s="173"/>
      <c r="BK200" s="173"/>
      <c r="BL200" s="173"/>
      <c r="BM200" s="173"/>
      <c r="BN200" s="173"/>
      <c r="BO200" s="173"/>
      <c r="BP200" s="173"/>
      <c r="BQ200" s="173"/>
      <c r="BR200" s="173"/>
      <c r="BS200" s="173"/>
      <c r="BT200" s="173"/>
      <c r="BU200" s="173"/>
      <c r="BV200" s="173"/>
      <c r="BW200" s="173"/>
      <c r="BX200" s="173"/>
      <c r="BY200" s="173"/>
      <c r="BZ200" s="173"/>
      <c r="CA200" s="173"/>
      <c r="CB200" s="173"/>
      <c r="CC200" s="173"/>
      <c r="CD200" s="173"/>
      <c r="CE200" s="173"/>
      <c r="CF200" s="173"/>
      <c r="CG200" s="173"/>
      <c r="CH200" s="173"/>
      <c r="CI200" s="173"/>
      <c r="CJ200" s="173"/>
      <c r="CK200" s="173"/>
      <c r="CL200" s="173"/>
      <c r="CM200" s="173"/>
      <c r="CN200" s="173"/>
      <c r="CO200" s="173"/>
      <c r="CP200" s="173"/>
      <c r="CQ200" s="173"/>
      <c r="CR200" s="173"/>
      <c r="CS200" s="173"/>
      <c r="CT200" s="173"/>
      <c r="CU200" s="173"/>
      <c r="CV200" s="173"/>
      <c r="CW200" s="173"/>
      <c r="CX200" s="173"/>
      <c r="CY200" s="148"/>
      <c r="CZ200" s="148"/>
      <c r="DA200" s="148"/>
      <c r="DB200" s="148"/>
      <c r="DC200" s="148"/>
      <c r="DD200" s="148"/>
      <c r="DE200" s="148"/>
      <c r="DF200" s="148"/>
      <c r="DG200" s="148"/>
      <c r="DH200" s="148"/>
      <c r="DI200" s="148"/>
      <c r="DJ200" s="148"/>
      <c r="DK200" s="148"/>
      <c r="DL200" s="148"/>
      <c r="DM200" s="148"/>
      <c r="DN200" s="148"/>
      <c r="DO200" s="148"/>
      <c r="DP200" s="148"/>
      <c r="DQ200" s="148"/>
      <c r="DR200" s="148"/>
      <c r="DS200" s="148"/>
      <c r="DT200" s="148"/>
      <c r="DU200" s="148"/>
      <c r="DV200" s="148"/>
      <c r="DW200" s="148"/>
      <c r="DX200" s="148"/>
      <c r="DY200" s="148"/>
      <c r="DZ200" s="148"/>
      <c r="EA200" s="148"/>
      <c r="EB200" s="148"/>
      <c r="EC200" s="148"/>
      <c r="ED200" s="148"/>
      <c r="EE200" s="148"/>
      <c r="EF200" s="148"/>
      <c r="EG200" s="148"/>
      <c r="EH200" s="148"/>
      <c r="EI200" s="148"/>
      <c r="EJ200" s="148"/>
      <c r="EK200" s="148"/>
      <c r="EL200" s="148"/>
      <c r="EM200" s="148"/>
      <c r="EN200" s="148"/>
      <c r="EO200" s="148"/>
      <c r="EP200" s="148"/>
      <c r="EQ200" s="148"/>
      <c r="ER200" s="148"/>
      <c r="ES200" s="151"/>
      <c r="ET200" s="151"/>
      <c r="EU200" s="151"/>
      <c r="EV200" s="151"/>
      <c r="EW200" s="151"/>
      <c r="EX200" s="151"/>
      <c r="EY200" s="151"/>
      <c r="EZ200" s="151"/>
      <c r="FA200" s="151"/>
      <c r="FB200" s="151"/>
      <c r="FC200" s="151"/>
      <c r="FD200" s="151"/>
      <c r="FE200" s="151"/>
      <c r="FF200" s="151"/>
      <c r="FG200" s="151"/>
      <c r="FH200" s="151"/>
      <c r="FI200" s="151"/>
      <c r="FJ200" s="151"/>
      <c r="FK200" s="151"/>
      <c r="FL200" s="151"/>
      <c r="FM200" s="151"/>
      <c r="FN200" s="151"/>
      <c r="FO200" s="151"/>
      <c r="FP200" s="151"/>
      <c r="FQ200" s="151"/>
      <c r="FR200" s="151"/>
      <c r="FS200" s="151"/>
      <c r="FT200" s="151"/>
      <c r="FU200" s="151"/>
      <c r="FV200" s="151"/>
      <c r="FW200" s="151"/>
      <c r="FX200" s="151"/>
      <c r="FY200" s="151"/>
      <c r="FZ200" s="151"/>
      <c r="GA200" s="151"/>
      <c r="GB200" s="151"/>
      <c r="GC200" s="151"/>
      <c r="GD200" s="151"/>
      <c r="GE200" s="151"/>
      <c r="GF200" s="151"/>
      <c r="GG200" s="152"/>
    </row>
    <row r="201" spans="1:189" ht="27.75" x14ac:dyDescent="0.35">
      <c r="A201" s="267" t="s">
        <v>586</v>
      </c>
      <c r="B201" s="221" t="s">
        <v>1071</v>
      </c>
      <c r="C201" s="221"/>
      <c r="D201" s="221" t="s">
        <v>1083</v>
      </c>
      <c r="E201" s="221" t="s">
        <v>431</v>
      </c>
      <c r="F201" s="221" t="s">
        <v>349</v>
      </c>
      <c r="G201" s="223">
        <v>2</v>
      </c>
      <c r="H201" s="224"/>
      <c r="I201" s="225"/>
      <c r="J201" s="225"/>
      <c r="K201" s="225"/>
      <c r="L201" s="226">
        <v>46172</v>
      </c>
      <c r="M201" s="226">
        <v>46205</v>
      </c>
      <c r="N201" s="226"/>
      <c r="O201" s="226"/>
      <c r="P201" s="226"/>
      <c r="Q201" s="227" t="s">
        <v>45</v>
      </c>
      <c r="R201" s="228">
        <v>1090000</v>
      </c>
      <c r="S201" s="228">
        <v>1090000</v>
      </c>
      <c r="T201" s="228"/>
      <c r="U201" s="191">
        <f t="shared" si="181"/>
        <v>0</v>
      </c>
      <c r="V201" s="230"/>
      <c r="W201" s="231"/>
      <c r="X201" s="46"/>
      <c r="Y201" s="167">
        <f t="shared" si="174"/>
        <v>1090000</v>
      </c>
      <c r="Z201" s="167">
        <f t="shared" si="175"/>
        <v>0</v>
      </c>
      <c r="AA201" s="167">
        <f t="shared" si="176"/>
        <v>1090000</v>
      </c>
      <c r="AB201" s="167">
        <f t="shared" si="177"/>
        <v>0</v>
      </c>
      <c r="AC201" s="167">
        <f t="shared" si="178"/>
        <v>0</v>
      </c>
      <c r="AD201" s="167">
        <f t="shared" si="179"/>
        <v>0</v>
      </c>
      <c r="AF201" s="180">
        <f t="shared" si="180"/>
        <v>1</v>
      </c>
      <c r="AG201" s="202" t="str">
        <f t="shared" si="173"/>
        <v>Magdalena Białorucka SNCR DeNOx system including silo, pumps</v>
      </c>
      <c r="AH201" s="172"/>
      <c r="AI201" s="173"/>
      <c r="AJ201" s="173"/>
      <c r="AK201" s="173"/>
      <c r="AL201" s="173"/>
      <c r="AM201" s="173"/>
      <c r="AN201" s="173"/>
      <c r="AO201" s="173"/>
      <c r="AP201" s="173"/>
      <c r="AQ201" s="173"/>
      <c r="AR201" s="173"/>
      <c r="AS201" s="173"/>
      <c r="AT201" s="173"/>
      <c r="AU201" s="173"/>
      <c r="AV201" s="173"/>
      <c r="AW201" s="173"/>
      <c r="AX201" s="173"/>
      <c r="AY201" s="173"/>
      <c r="AZ201" s="173"/>
      <c r="BA201" s="173"/>
      <c r="BB201" s="173"/>
      <c r="BC201" s="173"/>
      <c r="BD201" s="173"/>
      <c r="BE201" s="173"/>
      <c r="BF201" s="173"/>
      <c r="BG201" s="173"/>
      <c r="BH201" s="173"/>
      <c r="BI201" s="173"/>
      <c r="BJ201" s="173"/>
      <c r="BK201" s="173"/>
      <c r="BL201" s="173"/>
      <c r="BM201" s="173"/>
      <c r="BN201" s="173"/>
      <c r="BO201" s="173"/>
      <c r="BP201" s="173"/>
      <c r="BQ201" s="173"/>
      <c r="BR201" s="173"/>
      <c r="BS201" s="173"/>
      <c r="BT201" s="173"/>
      <c r="BU201" s="173"/>
      <c r="BV201" s="173"/>
      <c r="BW201" s="173"/>
      <c r="BX201" s="173"/>
      <c r="BY201" s="173"/>
      <c r="BZ201" s="173"/>
      <c r="CA201" s="173"/>
      <c r="CB201" s="173"/>
      <c r="CC201" s="173"/>
      <c r="CD201" s="173"/>
      <c r="CE201" s="173"/>
      <c r="CF201" s="173"/>
      <c r="CG201" s="173"/>
      <c r="CH201" s="173"/>
      <c r="CI201" s="173"/>
      <c r="CJ201" s="173"/>
      <c r="CK201" s="173"/>
      <c r="CL201" s="173"/>
      <c r="CM201" s="173"/>
      <c r="CN201" s="173"/>
      <c r="CO201" s="173"/>
      <c r="CP201" s="173"/>
      <c r="CQ201" s="173"/>
      <c r="CR201" s="173"/>
      <c r="CS201" s="173"/>
      <c r="CT201" s="173"/>
      <c r="CU201" s="173"/>
      <c r="CV201" s="173"/>
      <c r="CW201" s="173"/>
      <c r="CX201" s="173"/>
      <c r="CY201" s="148"/>
      <c r="CZ201" s="148"/>
      <c r="DA201" s="148"/>
      <c r="DB201" s="148"/>
      <c r="DC201" s="148"/>
      <c r="DD201" s="148"/>
      <c r="DE201" s="148"/>
      <c r="DF201" s="148"/>
      <c r="DG201" s="148"/>
      <c r="DH201" s="148"/>
      <c r="DI201" s="148"/>
      <c r="DJ201" s="148"/>
      <c r="DK201" s="148"/>
      <c r="DL201" s="148"/>
      <c r="DM201" s="148"/>
      <c r="DN201" s="148"/>
      <c r="DO201" s="148"/>
      <c r="DP201" s="148"/>
      <c r="DQ201" s="148"/>
      <c r="DR201" s="148"/>
      <c r="DS201" s="148"/>
      <c r="DT201" s="148"/>
      <c r="DU201" s="148"/>
      <c r="DV201" s="148"/>
      <c r="DW201" s="148"/>
      <c r="DX201" s="148"/>
      <c r="DY201" s="148"/>
      <c r="DZ201" s="148"/>
      <c r="EA201" s="148"/>
      <c r="EB201" s="148"/>
      <c r="EC201" s="148"/>
      <c r="ED201" s="148"/>
      <c r="EE201" s="148"/>
      <c r="EF201" s="148"/>
      <c r="EG201" s="148"/>
      <c r="EH201" s="148"/>
      <c r="EI201" s="148"/>
      <c r="EJ201" s="148"/>
      <c r="EK201" s="148"/>
      <c r="EL201" s="148"/>
      <c r="EM201" s="148"/>
      <c r="EN201" s="148"/>
      <c r="EO201" s="148"/>
      <c r="EP201" s="148"/>
      <c r="EQ201" s="148"/>
      <c r="ER201" s="148"/>
      <c r="ES201" s="151"/>
      <c r="ET201" s="151"/>
      <c r="EU201" s="151"/>
      <c r="EV201" s="151"/>
      <c r="EW201" s="151"/>
      <c r="EX201" s="151"/>
      <c r="EY201" s="151"/>
      <c r="EZ201" s="151"/>
      <c r="FA201" s="151"/>
      <c r="FB201" s="151"/>
      <c r="FC201" s="151"/>
      <c r="FD201" s="151"/>
      <c r="FE201" s="151"/>
      <c r="FF201" s="151"/>
      <c r="FG201" s="151"/>
      <c r="FH201" s="151"/>
      <c r="FI201" s="151"/>
      <c r="FJ201" s="151"/>
      <c r="FK201" s="151"/>
      <c r="FL201" s="151"/>
      <c r="FM201" s="151"/>
      <c r="FN201" s="151"/>
      <c r="FO201" s="151"/>
      <c r="FP201" s="151"/>
      <c r="FQ201" s="151"/>
      <c r="FR201" s="151"/>
      <c r="FS201" s="151"/>
      <c r="FT201" s="151"/>
      <c r="FU201" s="151"/>
      <c r="FV201" s="151"/>
      <c r="FW201" s="151"/>
      <c r="FX201" s="151"/>
      <c r="FY201" s="151"/>
      <c r="FZ201" s="151"/>
      <c r="GA201" s="151"/>
      <c r="GB201" s="151"/>
      <c r="GC201" s="151"/>
      <c r="GD201" s="151"/>
      <c r="GE201" s="151"/>
      <c r="GF201" s="151"/>
      <c r="GG201" s="152"/>
    </row>
    <row r="202" spans="1:189" ht="55.5" x14ac:dyDescent="0.35">
      <c r="A202" s="267" t="s">
        <v>587</v>
      </c>
      <c r="B202" s="221" t="s">
        <v>1075</v>
      </c>
      <c r="C202" s="221"/>
      <c r="D202" s="221" t="s">
        <v>1083</v>
      </c>
      <c r="E202" s="221" t="s">
        <v>562</v>
      </c>
      <c r="F202" s="221" t="s">
        <v>563</v>
      </c>
      <c r="G202" s="223">
        <v>2</v>
      </c>
      <c r="H202" s="224" t="s">
        <v>276</v>
      </c>
      <c r="I202" s="225"/>
      <c r="J202" s="225"/>
      <c r="K202" s="225"/>
      <c r="L202" s="226">
        <v>46081</v>
      </c>
      <c r="M202" s="226">
        <v>46111</v>
      </c>
      <c r="N202" s="226">
        <v>45995</v>
      </c>
      <c r="O202" s="226">
        <v>45995</v>
      </c>
      <c r="P202" s="226">
        <v>46507</v>
      </c>
      <c r="Q202" s="227" t="s">
        <v>20</v>
      </c>
      <c r="R202" s="228">
        <v>33755000</v>
      </c>
      <c r="S202" s="228">
        <v>33755000</v>
      </c>
      <c r="T202" s="228">
        <f>S202</f>
        <v>33755000</v>
      </c>
      <c r="U202" s="191">
        <f t="shared" si="181"/>
        <v>0</v>
      </c>
      <c r="V202" s="230"/>
      <c r="W202" s="231"/>
      <c r="X202" s="46"/>
      <c r="Y202" s="167">
        <f t="shared" si="174"/>
        <v>33755000</v>
      </c>
      <c r="Z202" s="167">
        <f t="shared" si="175"/>
        <v>33755000</v>
      </c>
      <c r="AA202" s="167">
        <f t="shared" si="176"/>
        <v>0</v>
      </c>
      <c r="AB202" s="167">
        <f t="shared" si="177"/>
        <v>0</v>
      </c>
      <c r="AC202" s="167">
        <f t="shared" si="178"/>
        <v>0</v>
      </c>
      <c r="AD202" s="167">
        <f t="shared" si="179"/>
        <v>0</v>
      </c>
      <c r="AF202" s="47">
        <f t="shared" si="180"/>
        <v>1</v>
      </c>
      <c r="AG202" s="202" t="str">
        <f t="shared" si="173"/>
        <v>- Flue gas treatment (FGT): Bag filter, Reactor, DeNOx, Flue gas condensation, Lime and activated carbon silos, dosing system</v>
      </c>
      <c r="AH202" s="153"/>
      <c r="AI202" s="154"/>
      <c r="AJ202" s="154"/>
      <c r="AK202" s="154"/>
      <c r="AL202" s="154"/>
      <c r="AM202" s="154"/>
      <c r="AN202" s="154"/>
      <c r="AO202" s="154"/>
      <c r="AP202" s="154"/>
      <c r="AQ202" s="154"/>
      <c r="AR202" s="154"/>
      <c r="AS202" s="154"/>
      <c r="AT202" s="154"/>
      <c r="AU202" s="154"/>
      <c r="AV202" s="154"/>
      <c r="AW202" s="154"/>
      <c r="AX202" s="154"/>
      <c r="AY202" s="154"/>
      <c r="AZ202" s="154"/>
      <c r="BA202" s="151"/>
      <c r="BB202" s="151"/>
      <c r="BC202" s="151"/>
      <c r="BD202" s="151"/>
      <c r="BE202" s="151"/>
      <c r="BF202" s="151"/>
      <c r="BG202" s="151"/>
      <c r="BH202" s="151"/>
      <c r="BI202" s="151"/>
      <c r="BJ202" s="151"/>
      <c r="BK202" s="151"/>
      <c r="BL202" s="151"/>
      <c r="BM202" s="151"/>
      <c r="BN202" s="151"/>
      <c r="BO202" s="151"/>
      <c r="BP202" s="151"/>
      <c r="BQ202" s="151"/>
      <c r="BR202" s="151"/>
      <c r="BS202" s="151"/>
      <c r="BT202" s="151"/>
      <c r="BU202" s="151"/>
      <c r="BV202" s="151"/>
      <c r="BW202" s="151"/>
      <c r="BX202" s="151"/>
      <c r="BY202" s="151"/>
      <c r="BZ202" s="151"/>
      <c r="CA202" s="151"/>
      <c r="CB202" s="151"/>
      <c r="CC202" s="151"/>
      <c r="CD202" s="151"/>
      <c r="CE202" s="151"/>
      <c r="CF202" s="151"/>
      <c r="CG202" s="151"/>
      <c r="CH202" s="151"/>
      <c r="CI202" s="151"/>
      <c r="CJ202" s="151"/>
      <c r="CK202" s="151"/>
      <c r="CL202" s="151"/>
      <c r="CM202" s="151"/>
      <c r="CN202" s="151"/>
      <c r="CO202" s="151"/>
      <c r="CP202" s="151"/>
      <c r="CQ202" s="151"/>
      <c r="CR202" s="151"/>
      <c r="CS202" s="151"/>
      <c r="CT202" s="151"/>
      <c r="CU202" s="151"/>
      <c r="CV202" s="151"/>
      <c r="CW202" s="151"/>
      <c r="CX202" s="151"/>
      <c r="CY202" s="151"/>
      <c r="CZ202" s="151"/>
      <c r="DA202" s="151"/>
      <c r="DB202" s="151"/>
      <c r="DC202" s="151"/>
      <c r="DD202" s="151"/>
      <c r="DE202" s="151"/>
      <c r="DF202" s="151"/>
      <c r="DG202" s="151"/>
      <c r="DH202" s="151"/>
      <c r="DI202" s="151"/>
      <c r="DJ202" s="151"/>
      <c r="DK202" s="151"/>
      <c r="DL202" s="151"/>
      <c r="DM202" s="151"/>
      <c r="DN202" s="151"/>
      <c r="DO202" s="151"/>
      <c r="DP202" s="151"/>
      <c r="DQ202" s="151"/>
      <c r="DR202" s="151"/>
      <c r="DS202" s="151"/>
      <c r="DT202" s="151"/>
      <c r="DU202" s="151"/>
      <c r="DV202" s="151"/>
      <c r="DW202" s="151"/>
      <c r="DX202" s="151"/>
      <c r="DY202" s="151"/>
      <c r="DZ202" s="151"/>
      <c r="EA202" s="151"/>
      <c r="EB202" s="151"/>
      <c r="EC202" s="151"/>
      <c r="ED202" s="151"/>
      <c r="EE202" s="151"/>
      <c r="EF202" s="151"/>
      <c r="EG202" s="151"/>
      <c r="EH202" s="151"/>
      <c r="EI202" s="151"/>
      <c r="EJ202" s="151"/>
      <c r="EK202" s="151"/>
      <c r="EL202" s="151"/>
      <c r="EM202" s="151"/>
      <c r="EN202" s="151"/>
      <c r="EO202" s="151"/>
      <c r="EP202" s="151"/>
      <c r="EQ202" s="151"/>
      <c r="ER202" s="151"/>
      <c r="ES202" s="151"/>
      <c r="ET202" s="151"/>
      <c r="EU202" s="151"/>
      <c r="EV202" s="151"/>
      <c r="EW202" s="151"/>
      <c r="EX202" s="151"/>
      <c r="EY202" s="151"/>
      <c r="EZ202" s="151"/>
      <c r="FA202" s="151"/>
      <c r="FB202" s="151"/>
      <c r="FC202" s="151"/>
      <c r="FD202" s="151"/>
      <c r="FE202" s="151"/>
      <c r="FF202" s="151"/>
      <c r="FG202" s="151"/>
      <c r="FH202" s="151"/>
      <c r="FI202" s="151"/>
      <c r="FJ202" s="151"/>
      <c r="FK202" s="151"/>
      <c r="FL202" s="151"/>
      <c r="FM202" s="151"/>
      <c r="FN202" s="151"/>
      <c r="FO202" s="151"/>
      <c r="FP202" s="151"/>
      <c r="FQ202" s="151"/>
      <c r="FR202" s="151"/>
      <c r="FS202" s="151"/>
      <c r="FT202" s="151"/>
      <c r="FU202" s="151"/>
      <c r="FV202" s="151"/>
      <c r="FW202" s="151"/>
      <c r="FX202" s="151"/>
      <c r="FY202" s="151"/>
      <c r="FZ202" s="151"/>
      <c r="GA202" s="151"/>
      <c r="GB202" s="151"/>
      <c r="GC202" s="151"/>
      <c r="GD202" s="151"/>
      <c r="GE202" s="151"/>
      <c r="GF202" s="151"/>
      <c r="GG202" s="152"/>
    </row>
    <row r="203" spans="1:189" ht="27.75" x14ac:dyDescent="0.35">
      <c r="A203" s="267" t="s">
        <v>766</v>
      </c>
      <c r="B203" s="221" t="s">
        <v>1051</v>
      </c>
      <c r="C203" s="221"/>
      <c r="D203" s="221" t="s">
        <v>1083</v>
      </c>
      <c r="E203" s="221" t="s">
        <v>744</v>
      </c>
      <c r="F203" s="221" t="s">
        <v>745</v>
      </c>
      <c r="G203" s="223">
        <v>1</v>
      </c>
      <c r="H203" s="224"/>
      <c r="I203" s="225"/>
      <c r="J203" s="225"/>
      <c r="K203" s="225"/>
      <c r="L203" s="226">
        <v>46081</v>
      </c>
      <c r="M203" s="226">
        <v>46111</v>
      </c>
      <c r="N203" s="226"/>
      <c r="O203" s="226"/>
      <c r="P203" s="226"/>
      <c r="Q203" s="227" t="s">
        <v>45</v>
      </c>
      <c r="R203" s="228">
        <v>400000</v>
      </c>
      <c r="S203" s="228">
        <v>400000</v>
      </c>
      <c r="T203" s="228"/>
      <c r="U203" s="191">
        <f t="shared" si="181"/>
        <v>0</v>
      </c>
      <c r="V203" s="230"/>
      <c r="W203" s="231"/>
      <c r="X203" s="46"/>
      <c r="Y203" s="167">
        <f t="shared" si="174"/>
        <v>0</v>
      </c>
      <c r="Z203" s="167">
        <f t="shared" si="175"/>
        <v>0</v>
      </c>
      <c r="AA203" s="167">
        <f t="shared" si="176"/>
        <v>0</v>
      </c>
      <c r="AB203" s="167">
        <f t="shared" si="177"/>
        <v>400000</v>
      </c>
      <c r="AC203" s="167">
        <f t="shared" si="178"/>
        <v>0</v>
      </c>
      <c r="AD203" s="167">
        <f t="shared" si="179"/>
        <v>400000</v>
      </c>
      <c r="AF203" s="180">
        <f t="shared" si="180"/>
        <v>1</v>
      </c>
      <c r="AG203" s="202" t="str">
        <f t="shared" ref="AG203:AG267" si="218">B203&amp;" "&amp;F203</f>
        <v>Roger Gołombek Bag filters delivery</v>
      </c>
      <c r="AH203" s="172"/>
      <c r="AI203" s="173"/>
      <c r="AJ203" s="173"/>
      <c r="AK203" s="173"/>
      <c r="AL203" s="173"/>
      <c r="AM203" s="173"/>
      <c r="AN203" s="173"/>
      <c r="AO203" s="173"/>
      <c r="AP203" s="173"/>
      <c r="AQ203" s="173"/>
      <c r="AR203" s="173"/>
      <c r="AS203" s="173"/>
      <c r="AT203" s="173"/>
      <c r="AU203" s="173"/>
      <c r="AV203" s="173"/>
      <c r="AW203" s="173"/>
      <c r="AX203" s="173"/>
      <c r="AY203" s="173"/>
      <c r="AZ203" s="173"/>
      <c r="BA203" s="173"/>
      <c r="BB203" s="173"/>
      <c r="BC203" s="173"/>
      <c r="BD203" s="173"/>
      <c r="BE203" s="173"/>
      <c r="BF203" s="173"/>
      <c r="BG203" s="173"/>
      <c r="BH203" s="173"/>
      <c r="BI203" s="173"/>
      <c r="BJ203" s="173"/>
      <c r="BK203" s="173"/>
      <c r="BL203" s="173"/>
      <c r="BM203" s="173"/>
      <c r="BN203" s="173"/>
      <c r="BO203" s="173"/>
      <c r="BP203" s="173"/>
      <c r="BQ203" s="173"/>
      <c r="BR203" s="173"/>
      <c r="BS203" s="173"/>
      <c r="BT203" s="173"/>
      <c r="BU203" s="173"/>
      <c r="BV203" s="173"/>
      <c r="BW203" s="173"/>
      <c r="BX203" s="173"/>
      <c r="BY203" s="173"/>
      <c r="BZ203" s="173"/>
      <c r="CA203" s="173"/>
      <c r="CB203" s="173"/>
      <c r="CC203" s="173"/>
      <c r="CD203" s="173"/>
      <c r="CE203" s="173"/>
      <c r="CF203" s="173"/>
      <c r="CG203" s="173"/>
      <c r="CH203" s="173"/>
      <c r="CI203" s="173"/>
      <c r="CJ203" s="173"/>
      <c r="CK203" s="173"/>
      <c r="CL203" s="173"/>
      <c r="CM203" s="173"/>
      <c r="CN203" s="173"/>
      <c r="CO203" s="173"/>
      <c r="CP203" s="173"/>
      <c r="CQ203" s="173"/>
      <c r="CR203" s="173"/>
      <c r="CS203" s="173"/>
      <c r="CT203" s="173"/>
      <c r="CU203" s="173"/>
      <c r="CV203" s="173"/>
      <c r="CW203" s="173"/>
      <c r="CX203" s="173"/>
      <c r="CY203" s="148"/>
      <c r="CZ203" s="148"/>
      <c r="DA203" s="148"/>
      <c r="DB203" s="148"/>
      <c r="DC203" s="148"/>
      <c r="DD203" s="148"/>
      <c r="DE203" s="148"/>
      <c r="DF203" s="148"/>
      <c r="DG203" s="148"/>
      <c r="DH203" s="148"/>
      <c r="DI203" s="148"/>
      <c r="DJ203" s="148"/>
      <c r="DK203" s="148"/>
      <c r="DL203" s="148"/>
      <c r="DM203" s="148"/>
      <c r="DN203" s="148"/>
      <c r="DO203" s="148"/>
      <c r="DP203" s="148"/>
      <c r="DQ203" s="148"/>
      <c r="DR203" s="148"/>
      <c r="DS203" s="148"/>
      <c r="DT203" s="148"/>
      <c r="DU203" s="148"/>
      <c r="DV203" s="148"/>
      <c r="DW203" s="148"/>
      <c r="DX203" s="148"/>
      <c r="DY203" s="148"/>
      <c r="DZ203" s="148"/>
      <c r="EA203" s="148"/>
      <c r="EB203" s="148"/>
      <c r="EC203" s="148"/>
      <c r="ED203" s="148"/>
      <c r="EE203" s="148"/>
      <c r="EF203" s="148"/>
      <c r="EG203" s="148"/>
      <c r="EH203" s="148"/>
      <c r="EI203" s="148"/>
      <c r="EJ203" s="148"/>
      <c r="EK203" s="148"/>
      <c r="EL203" s="148"/>
      <c r="EM203" s="148"/>
      <c r="EN203" s="148"/>
      <c r="EO203" s="148"/>
      <c r="EP203" s="148"/>
      <c r="EQ203" s="148"/>
      <c r="ER203" s="148"/>
      <c r="ES203" s="151"/>
      <c r="ET203" s="151"/>
      <c r="EU203" s="151"/>
      <c r="EV203" s="151"/>
      <c r="EW203" s="151"/>
      <c r="EX203" s="151"/>
      <c r="EY203" s="151"/>
      <c r="EZ203" s="151"/>
      <c r="FA203" s="151"/>
      <c r="FB203" s="151"/>
      <c r="FC203" s="151"/>
      <c r="FD203" s="151"/>
      <c r="FE203" s="151"/>
      <c r="FF203" s="151"/>
      <c r="FG203" s="151"/>
      <c r="FH203" s="151"/>
      <c r="FI203" s="151"/>
      <c r="FJ203" s="151"/>
      <c r="FK203" s="151"/>
      <c r="FL203" s="151"/>
      <c r="FM203" s="151"/>
      <c r="FN203" s="151"/>
      <c r="FO203" s="151"/>
      <c r="FP203" s="151"/>
      <c r="FQ203" s="151"/>
      <c r="FR203" s="151"/>
      <c r="FS203" s="151"/>
      <c r="FT203" s="151"/>
      <c r="FU203" s="151"/>
      <c r="FV203" s="151"/>
      <c r="FW203" s="151"/>
      <c r="FX203" s="151"/>
      <c r="FY203" s="151"/>
      <c r="FZ203" s="151"/>
      <c r="GA203" s="151"/>
      <c r="GB203" s="151"/>
      <c r="GC203" s="151"/>
      <c r="GD203" s="151"/>
      <c r="GE203" s="151"/>
      <c r="GF203" s="151"/>
      <c r="GG203" s="152"/>
    </row>
    <row r="204" spans="1:189" ht="27.75" x14ac:dyDescent="0.35">
      <c r="A204" s="267" t="s">
        <v>767</v>
      </c>
      <c r="B204" s="221" t="s">
        <v>1051</v>
      </c>
      <c r="C204" s="221"/>
      <c r="D204" s="221" t="s">
        <v>1083</v>
      </c>
      <c r="E204" s="221" t="s">
        <v>746</v>
      </c>
      <c r="F204" s="221" t="s">
        <v>747</v>
      </c>
      <c r="G204" s="223">
        <v>2</v>
      </c>
      <c r="H204" s="224"/>
      <c r="I204" s="225"/>
      <c r="J204" s="225"/>
      <c r="K204" s="225"/>
      <c r="L204" s="226">
        <v>46219</v>
      </c>
      <c r="M204" s="226">
        <v>46250</v>
      </c>
      <c r="N204" s="226"/>
      <c r="O204" s="226"/>
      <c r="P204" s="226"/>
      <c r="Q204" s="227" t="s">
        <v>45</v>
      </c>
      <c r="R204" s="228">
        <v>2000000</v>
      </c>
      <c r="S204" s="228">
        <v>2000000</v>
      </c>
      <c r="T204" s="228"/>
      <c r="U204" s="191">
        <f t="shared" si="181"/>
        <v>0</v>
      </c>
      <c r="V204" s="230"/>
      <c r="W204" s="231"/>
      <c r="X204" s="46"/>
      <c r="Y204" s="167">
        <f t="shared" si="174"/>
        <v>2000000</v>
      </c>
      <c r="Z204" s="167">
        <f t="shared" si="175"/>
        <v>0</v>
      </c>
      <c r="AA204" s="167">
        <f t="shared" si="176"/>
        <v>2000000</v>
      </c>
      <c r="AB204" s="167">
        <f t="shared" si="177"/>
        <v>0</v>
      </c>
      <c r="AC204" s="167">
        <f t="shared" si="178"/>
        <v>0</v>
      </c>
      <c r="AD204" s="167">
        <f t="shared" si="179"/>
        <v>0</v>
      </c>
      <c r="AF204" s="47">
        <f t="shared" si="180"/>
        <v>1</v>
      </c>
      <c r="AG204" s="202" t="str">
        <f t="shared" si="218"/>
        <v>Roger Gołombek Fly ash silos</v>
      </c>
      <c r="AH204" s="172"/>
      <c r="AI204" s="173"/>
      <c r="AJ204" s="173"/>
      <c r="AK204" s="173"/>
      <c r="AL204" s="173"/>
      <c r="AM204" s="173"/>
      <c r="AN204" s="173"/>
      <c r="AO204" s="173"/>
      <c r="AP204" s="173"/>
      <c r="AQ204" s="173"/>
      <c r="AR204" s="173"/>
      <c r="AS204" s="173"/>
      <c r="AT204" s="173"/>
      <c r="AU204" s="173"/>
      <c r="AV204" s="173"/>
      <c r="AW204" s="173"/>
      <c r="AX204" s="173"/>
      <c r="AY204" s="173"/>
      <c r="AZ204" s="173"/>
      <c r="BA204" s="173"/>
      <c r="BB204" s="173"/>
      <c r="BC204" s="173"/>
      <c r="BD204" s="173"/>
      <c r="BE204" s="173"/>
      <c r="BF204" s="173"/>
      <c r="BG204" s="173"/>
      <c r="BH204" s="173"/>
      <c r="BI204" s="173"/>
      <c r="BJ204" s="173"/>
      <c r="BK204" s="173"/>
      <c r="BL204" s="173"/>
      <c r="BM204" s="173"/>
      <c r="BN204" s="173"/>
      <c r="BO204" s="173"/>
      <c r="BP204" s="173"/>
      <c r="BQ204" s="173"/>
      <c r="BR204" s="173"/>
      <c r="BS204" s="173"/>
      <c r="BT204" s="173"/>
      <c r="BU204" s="173"/>
      <c r="BV204" s="173"/>
      <c r="BW204" s="173"/>
      <c r="BX204" s="173"/>
      <c r="BY204" s="173"/>
      <c r="BZ204" s="173"/>
      <c r="CA204" s="173"/>
      <c r="CB204" s="173"/>
      <c r="CC204" s="173"/>
      <c r="CD204" s="173"/>
      <c r="CE204" s="173"/>
      <c r="CF204" s="173"/>
      <c r="CG204" s="173"/>
      <c r="CH204" s="173"/>
      <c r="CI204" s="173"/>
      <c r="CJ204" s="173"/>
      <c r="CK204" s="173"/>
      <c r="CL204" s="173"/>
      <c r="CM204" s="173"/>
      <c r="CN204" s="173"/>
      <c r="CO204" s="173"/>
      <c r="CP204" s="173"/>
      <c r="CQ204" s="173"/>
      <c r="CR204" s="173"/>
      <c r="CS204" s="173"/>
      <c r="CT204" s="173"/>
      <c r="CU204" s="173"/>
      <c r="CV204" s="173"/>
      <c r="CW204" s="173"/>
      <c r="CX204" s="173"/>
      <c r="CY204" s="148"/>
      <c r="CZ204" s="148"/>
      <c r="DA204" s="148"/>
      <c r="DB204" s="148"/>
      <c r="DC204" s="148"/>
      <c r="DD204" s="148"/>
      <c r="DE204" s="148"/>
      <c r="DF204" s="148"/>
      <c r="DG204" s="148"/>
      <c r="DH204" s="148"/>
      <c r="DI204" s="148"/>
      <c r="DJ204" s="148"/>
      <c r="DK204" s="148"/>
      <c r="DL204" s="148"/>
      <c r="DM204" s="148"/>
      <c r="DN204" s="148"/>
      <c r="DO204" s="148"/>
      <c r="DP204" s="148"/>
      <c r="DQ204" s="148"/>
      <c r="DR204" s="148"/>
      <c r="DS204" s="148"/>
      <c r="DT204" s="148"/>
      <c r="DU204" s="148"/>
      <c r="DV204" s="148"/>
      <c r="DW204" s="148"/>
      <c r="DX204" s="148"/>
      <c r="DY204" s="148"/>
      <c r="DZ204" s="148"/>
      <c r="EA204" s="148"/>
      <c r="EB204" s="148"/>
      <c r="EC204" s="148"/>
      <c r="ED204" s="148"/>
      <c r="EE204" s="148"/>
      <c r="EF204" s="148"/>
      <c r="EG204" s="148"/>
      <c r="EH204" s="148"/>
      <c r="EI204" s="148"/>
      <c r="EJ204" s="148"/>
      <c r="EK204" s="148"/>
      <c r="EL204" s="148"/>
      <c r="EM204" s="148"/>
      <c r="EN204" s="148"/>
      <c r="EO204" s="148"/>
      <c r="EP204" s="148"/>
      <c r="EQ204" s="148"/>
      <c r="ER204" s="148"/>
      <c r="ES204" s="151"/>
      <c r="ET204" s="151"/>
      <c r="EU204" s="151"/>
      <c r="EV204" s="151"/>
      <c r="EW204" s="151"/>
      <c r="EX204" s="151"/>
      <c r="EY204" s="151"/>
      <c r="EZ204" s="151"/>
      <c r="FA204" s="151"/>
      <c r="FB204" s="151"/>
      <c r="FC204" s="151"/>
      <c r="FD204" s="151"/>
      <c r="FE204" s="151"/>
      <c r="FF204" s="151"/>
      <c r="FG204" s="151"/>
      <c r="FH204" s="151"/>
      <c r="FI204" s="151"/>
      <c r="FJ204" s="151"/>
      <c r="FK204" s="151"/>
      <c r="FL204" s="151"/>
      <c r="FM204" s="151"/>
      <c r="FN204" s="151"/>
      <c r="FO204" s="151"/>
      <c r="FP204" s="151"/>
      <c r="FQ204" s="151"/>
      <c r="FR204" s="151"/>
      <c r="FS204" s="151"/>
      <c r="FT204" s="151"/>
      <c r="FU204" s="151"/>
      <c r="FV204" s="151"/>
      <c r="FW204" s="151"/>
      <c r="FX204" s="151"/>
      <c r="FY204" s="151"/>
      <c r="FZ204" s="151"/>
      <c r="GA204" s="151"/>
      <c r="GB204" s="151"/>
      <c r="GC204" s="151"/>
      <c r="GD204" s="151"/>
      <c r="GE204" s="151"/>
      <c r="GF204" s="151"/>
      <c r="GG204" s="152"/>
    </row>
    <row r="205" spans="1:189" ht="27.75" x14ac:dyDescent="0.35">
      <c r="A205" s="237" t="s">
        <v>588</v>
      </c>
      <c r="B205" s="236"/>
      <c r="C205" s="236"/>
      <c r="D205" s="236" t="s">
        <v>1083</v>
      </c>
      <c r="E205" s="236" t="s">
        <v>591</v>
      </c>
      <c r="F205" s="236" t="s">
        <v>350</v>
      </c>
      <c r="G205" s="238">
        <v>1</v>
      </c>
      <c r="H205" s="239"/>
      <c r="I205" s="240"/>
      <c r="J205" s="240"/>
      <c r="K205" s="240"/>
      <c r="L205" s="241"/>
      <c r="M205" s="241"/>
      <c r="N205" s="241"/>
      <c r="O205" s="241"/>
      <c r="P205" s="241"/>
      <c r="Q205" s="242"/>
      <c r="R205" s="243"/>
      <c r="S205" s="243"/>
      <c r="T205" s="243"/>
      <c r="U205" s="191">
        <f t="shared" si="181"/>
        <v>0</v>
      </c>
      <c r="V205" s="244"/>
      <c r="W205" s="245"/>
      <c r="X205" s="46"/>
      <c r="Y205" s="167">
        <f t="shared" ref="Y205:Y267" si="219">IF(G205=2,S205,0)</f>
        <v>0</v>
      </c>
      <c r="Z205" s="167">
        <f t="shared" ref="Z205:Z267" si="220">IF(Q205="",0,IF(G205=2,T205,0))</f>
        <v>0</v>
      </c>
      <c r="AA205" s="167">
        <f t="shared" ref="AA205:AA267" si="221">Y205-Z205</f>
        <v>0</v>
      </c>
      <c r="AB205" s="167">
        <f t="shared" ref="AB205:AB267" si="222">IF(G205=1,S205,0)</f>
        <v>0</v>
      </c>
      <c r="AC205" s="167">
        <f t="shared" ref="AC205:AC267" si="223">IF(Q205="",0,IF(G205=1,T205,0))</f>
        <v>0</v>
      </c>
      <c r="AD205" s="167">
        <f t="shared" ref="AD205:AD267" si="224">AB205-AC205</f>
        <v>0</v>
      </c>
      <c r="AF205" s="180">
        <f t="shared" ref="AF205:AF267" si="225">IF(S205&lt;&gt;"",1,0)</f>
        <v>0</v>
      </c>
      <c r="AG205" s="202" t="str">
        <f t="shared" si="218"/>
        <v xml:space="preserve"> Bottom ash extraction</v>
      </c>
      <c r="AH205" s="172"/>
      <c r="AI205" s="173"/>
      <c r="AJ205" s="173"/>
      <c r="AK205" s="173"/>
      <c r="AL205" s="173"/>
      <c r="AM205" s="173"/>
      <c r="AN205" s="173"/>
      <c r="AO205" s="173"/>
      <c r="AP205" s="173"/>
      <c r="AQ205" s="173"/>
      <c r="AR205" s="173"/>
      <c r="AS205" s="173"/>
      <c r="AT205" s="173"/>
      <c r="AU205" s="173"/>
      <c r="AV205" s="173"/>
      <c r="AW205" s="173"/>
      <c r="AX205" s="173"/>
      <c r="AY205" s="173"/>
      <c r="AZ205" s="173"/>
      <c r="BA205" s="173"/>
      <c r="BB205" s="173"/>
      <c r="BC205" s="173"/>
      <c r="BD205" s="173"/>
      <c r="BE205" s="173"/>
      <c r="BF205" s="173"/>
      <c r="BG205" s="173"/>
      <c r="BH205" s="173"/>
      <c r="BI205" s="173"/>
      <c r="BJ205" s="173"/>
      <c r="BK205" s="173"/>
      <c r="BL205" s="173"/>
      <c r="BM205" s="173"/>
      <c r="BN205" s="173"/>
      <c r="BO205" s="173"/>
      <c r="BP205" s="173"/>
      <c r="BQ205" s="173"/>
      <c r="BR205" s="173"/>
      <c r="BS205" s="173"/>
      <c r="BT205" s="173"/>
      <c r="BU205" s="173"/>
      <c r="BV205" s="173"/>
      <c r="BW205" s="173"/>
      <c r="BX205" s="173"/>
      <c r="BY205" s="173"/>
      <c r="BZ205" s="173"/>
      <c r="CA205" s="173"/>
      <c r="CB205" s="173"/>
      <c r="CC205" s="173"/>
      <c r="CD205" s="173"/>
      <c r="CE205" s="173"/>
      <c r="CF205" s="173"/>
      <c r="CG205" s="173"/>
      <c r="CH205" s="173"/>
      <c r="CI205" s="173"/>
      <c r="CJ205" s="173"/>
      <c r="CK205" s="173"/>
      <c r="CL205" s="173"/>
      <c r="CM205" s="173"/>
      <c r="CN205" s="173"/>
      <c r="CO205" s="173"/>
      <c r="CP205" s="173"/>
      <c r="CQ205" s="173"/>
      <c r="CR205" s="173"/>
      <c r="CS205" s="173"/>
      <c r="CT205" s="173"/>
      <c r="CU205" s="173"/>
      <c r="CV205" s="173"/>
      <c r="CW205" s="173"/>
      <c r="CX205" s="173"/>
      <c r="CY205" s="148"/>
      <c r="CZ205" s="148"/>
      <c r="DA205" s="148"/>
      <c r="DB205" s="148"/>
      <c r="DC205" s="148"/>
      <c r="DD205" s="148"/>
      <c r="DE205" s="148"/>
      <c r="DF205" s="148"/>
      <c r="DG205" s="148"/>
      <c r="DH205" s="148"/>
      <c r="DI205" s="148"/>
      <c r="DJ205" s="148"/>
      <c r="DK205" s="148"/>
      <c r="DL205" s="148"/>
      <c r="DM205" s="148"/>
      <c r="DN205" s="148"/>
      <c r="DO205" s="148"/>
      <c r="DP205" s="148"/>
      <c r="DQ205" s="148"/>
      <c r="DR205" s="148"/>
      <c r="DS205" s="148"/>
      <c r="DT205" s="148"/>
      <c r="DU205" s="148"/>
      <c r="DV205" s="148"/>
      <c r="DW205" s="148"/>
      <c r="DX205" s="148"/>
      <c r="DY205" s="148"/>
      <c r="DZ205" s="148"/>
      <c r="EA205" s="148"/>
      <c r="EB205" s="148"/>
      <c r="EC205" s="148"/>
      <c r="ED205" s="148"/>
      <c r="EE205" s="148"/>
      <c r="EF205" s="148"/>
      <c r="EG205" s="148"/>
      <c r="EH205" s="148"/>
      <c r="EI205" s="148"/>
      <c r="EJ205" s="148"/>
      <c r="EK205" s="148"/>
      <c r="EL205" s="148"/>
      <c r="EM205" s="148"/>
      <c r="EN205" s="148"/>
      <c r="EO205" s="148"/>
      <c r="EP205" s="148"/>
      <c r="EQ205" s="148"/>
      <c r="ER205" s="148"/>
      <c r="ES205" s="151"/>
      <c r="ET205" s="151"/>
      <c r="EU205" s="151"/>
      <c r="EV205" s="151"/>
      <c r="EW205" s="151"/>
      <c r="EX205" s="151"/>
      <c r="EY205" s="151"/>
      <c r="EZ205" s="151"/>
      <c r="FA205" s="151"/>
      <c r="FB205" s="151"/>
      <c r="FC205" s="151"/>
      <c r="FD205" s="151"/>
      <c r="FE205" s="151"/>
      <c r="FF205" s="151"/>
      <c r="FG205" s="151"/>
      <c r="FH205" s="151"/>
      <c r="FI205" s="151"/>
      <c r="FJ205" s="151"/>
      <c r="FK205" s="151"/>
      <c r="FL205" s="151"/>
      <c r="FM205" s="151"/>
      <c r="FN205" s="151"/>
      <c r="FO205" s="151"/>
      <c r="FP205" s="151"/>
      <c r="FQ205" s="151"/>
      <c r="FR205" s="151"/>
      <c r="FS205" s="151"/>
      <c r="FT205" s="151"/>
      <c r="FU205" s="151"/>
      <c r="FV205" s="151"/>
      <c r="FW205" s="151"/>
      <c r="FX205" s="151"/>
      <c r="FY205" s="151"/>
      <c r="FZ205" s="151"/>
      <c r="GA205" s="151"/>
      <c r="GB205" s="151"/>
      <c r="GC205" s="151"/>
      <c r="GD205" s="151"/>
      <c r="GE205" s="151"/>
      <c r="GF205" s="151"/>
      <c r="GG205" s="152"/>
    </row>
    <row r="206" spans="1:189" ht="55.5" x14ac:dyDescent="0.35">
      <c r="A206" s="222" t="s">
        <v>589</v>
      </c>
      <c r="B206" s="221" t="s">
        <v>1066</v>
      </c>
      <c r="C206" s="221"/>
      <c r="D206" s="221" t="s">
        <v>1083</v>
      </c>
      <c r="E206" s="221" t="s">
        <v>1336</v>
      </c>
      <c r="F206" s="221" t="s">
        <v>371</v>
      </c>
      <c r="G206" s="223">
        <v>1</v>
      </c>
      <c r="H206" s="224" t="s">
        <v>1362</v>
      </c>
      <c r="I206" s="225"/>
      <c r="J206" s="225"/>
      <c r="K206" s="225"/>
      <c r="L206" s="226">
        <v>46104</v>
      </c>
      <c r="M206" s="226">
        <v>46137</v>
      </c>
      <c r="N206" s="226"/>
      <c r="O206" s="226"/>
      <c r="P206" s="226"/>
      <c r="Q206" s="227" t="s">
        <v>19</v>
      </c>
      <c r="R206" s="228">
        <v>1567228</v>
      </c>
      <c r="S206" s="228">
        <v>1567228</v>
      </c>
      <c r="T206" s="228">
        <f>340000*4.3</f>
        <v>1462000</v>
      </c>
      <c r="U206" s="191">
        <f t="shared" ref="U206:U267" si="226">IF(Q206="",0,IF(T206="",0,+S206-T206))</f>
        <v>105228</v>
      </c>
      <c r="V206" s="230"/>
      <c r="W206" s="232"/>
      <c r="X206" s="46"/>
      <c r="Y206" s="167">
        <f t="shared" si="219"/>
        <v>0</v>
      </c>
      <c r="Z206" s="167">
        <f t="shared" si="220"/>
        <v>0</v>
      </c>
      <c r="AA206" s="167">
        <f t="shared" si="221"/>
        <v>0</v>
      </c>
      <c r="AB206" s="167">
        <f t="shared" si="222"/>
        <v>1567228</v>
      </c>
      <c r="AC206" s="167">
        <f t="shared" si="223"/>
        <v>1462000</v>
      </c>
      <c r="AD206" s="167">
        <f t="shared" si="224"/>
        <v>105228</v>
      </c>
      <c r="AF206" s="47">
        <f t="shared" si="225"/>
        <v>1</v>
      </c>
      <c r="AG206" s="202" t="str">
        <f t="shared" si="218"/>
        <v>Stanisław Rucki Chain conveyor under grate + Bottom ash extractor + Vibrating table / bulk screen</v>
      </c>
      <c r="AH206" s="172"/>
      <c r="AI206" s="173"/>
      <c r="AJ206" s="173"/>
      <c r="AK206" s="173"/>
      <c r="AL206" s="173"/>
      <c r="AM206" s="173"/>
      <c r="AN206" s="173"/>
      <c r="AO206" s="173"/>
      <c r="AP206" s="173"/>
      <c r="AQ206" s="173"/>
      <c r="AR206" s="173"/>
      <c r="AS206" s="173"/>
      <c r="AT206" s="173"/>
      <c r="AU206" s="173"/>
      <c r="AV206" s="173"/>
      <c r="AW206" s="173"/>
      <c r="AX206" s="173"/>
      <c r="AY206" s="173"/>
      <c r="AZ206" s="173"/>
      <c r="BA206" s="173"/>
      <c r="BB206" s="173"/>
      <c r="BC206" s="173"/>
      <c r="BD206" s="173"/>
      <c r="BE206" s="173"/>
      <c r="BF206" s="173"/>
      <c r="BG206" s="173"/>
      <c r="BH206" s="173"/>
      <c r="BI206" s="173"/>
      <c r="BJ206" s="173"/>
      <c r="BK206" s="173"/>
      <c r="BL206" s="173"/>
      <c r="BM206" s="173"/>
      <c r="BN206" s="173"/>
      <c r="BO206" s="173"/>
      <c r="BP206" s="173"/>
      <c r="BQ206" s="173"/>
      <c r="BR206" s="173"/>
      <c r="BS206" s="173"/>
      <c r="BT206" s="173"/>
      <c r="BU206" s="173"/>
      <c r="BV206" s="173"/>
      <c r="BW206" s="173"/>
      <c r="BX206" s="173"/>
      <c r="BY206" s="173"/>
      <c r="BZ206" s="173"/>
      <c r="CA206" s="173"/>
      <c r="CB206" s="173"/>
      <c r="CC206" s="173"/>
      <c r="CD206" s="173"/>
      <c r="CE206" s="173"/>
      <c r="CF206" s="173"/>
      <c r="CG206" s="173"/>
      <c r="CH206" s="173"/>
      <c r="CI206" s="173"/>
      <c r="CJ206" s="173"/>
      <c r="CK206" s="173"/>
      <c r="CL206" s="173"/>
      <c r="CM206" s="173"/>
      <c r="CN206" s="173"/>
      <c r="CO206" s="173"/>
      <c r="CP206" s="173"/>
      <c r="CQ206" s="173"/>
      <c r="CR206" s="173"/>
      <c r="CS206" s="173"/>
      <c r="CT206" s="173"/>
      <c r="CU206" s="173"/>
      <c r="CV206" s="173"/>
      <c r="CW206" s="173"/>
      <c r="CX206" s="173"/>
      <c r="CY206" s="148"/>
      <c r="CZ206" s="148"/>
      <c r="DA206" s="148"/>
      <c r="DB206" s="148"/>
      <c r="DC206" s="148"/>
      <c r="DD206" s="148"/>
      <c r="DE206" s="148"/>
      <c r="DF206" s="148"/>
      <c r="DG206" s="148"/>
      <c r="DH206" s="148"/>
      <c r="DI206" s="148"/>
      <c r="DJ206" s="148"/>
      <c r="DK206" s="148"/>
      <c r="DL206" s="148"/>
      <c r="DM206" s="148"/>
      <c r="DN206" s="148"/>
      <c r="DO206" s="148"/>
      <c r="DP206" s="148"/>
      <c r="DQ206" s="148"/>
      <c r="DR206" s="148"/>
      <c r="DS206" s="148"/>
      <c r="DT206" s="148"/>
      <c r="DU206" s="148"/>
      <c r="DV206" s="148"/>
      <c r="DW206" s="148"/>
      <c r="DX206" s="148"/>
      <c r="DY206" s="148"/>
      <c r="DZ206" s="148"/>
      <c r="EA206" s="148"/>
      <c r="EB206" s="148"/>
      <c r="EC206" s="148"/>
      <c r="ED206" s="148"/>
      <c r="EE206" s="148"/>
      <c r="EF206" s="148"/>
      <c r="EG206" s="148"/>
      <c r="EH206" s="148"/>
      <c r="EI206" s="148"/>
      <c r="EJ206" s="148"/>
      <c r="EK206" s="148"/>
      <c r="EL206" s="148"/>
      <c r="EM206" s="148"/>
      <c r="EN206" s="148"/>
      <c r="EO206" s="148"/>
      <c r="EP206" s="148"/>
      <c r="EQ206" s="148"/>
      <c r="ER206" s="148"/>
      <c r="ES206" s="151"/>
      <c r="ET206" s="151"/>
      <c r="EU206" s="151"/>
      <c r="EV206" s="151"/>
      <c r="EW206" s="151"/>
      <c r="EX206" s="151"/>
      <c r="EY206" s="151"/>
      <c r="EZ206" s="151"/>
      <c r="FA206" s="151"/>
      <c r="FB206" s="151"/>
      <c r="FC206" s="151"/>
      <c r="FD206" s="151"/>
      <c r="FE206" s="151"/>
      <c r="FF206" s="151"/>
      <c r="FG206" s="151"/>
      <c r="FH206" s="151"/>
      <c r="FI206" s="151"/>
      <c r="FJ206" s="151"/>
      <c r="FK206" s="151"/>
      <c r="FL206" s="151"/>
      <c r="FM206" s="151"/>
      <c r="FN206" s="151"/>
      <c r="FO206" s="151"/>
      <c r="FP206" s="151"/>
      <c r="FQ206" s="151"/>
      <c r="FR206" s="151"/>
      <c r="FS206" s="151"/>
      <c r="FT206" s="151"/>
      <c r="FU206" s="151"/>
      <c r="FV206" s="151"/>
      <c r="FW206" s="151"/>
      <c r="FX206" s="151"/>
      <c r="FY206" s="151"/>
      <c r="FZ206" s="151"/>
      <c r="GA206" s="151"/>
      <c r="GB206" s="151"/>
      <c r="GC206" s="151"/>
      <c r="GD206" s="151"/>
      <c r="GE206" s="151"/>
      <c r="GF206" s="151"/>
      <c r="GG206" s="152"/>
    </row>
    <row r="207" spans="1:189" ht="27.75" x14ac:dyDescent="0.35">
      <c r="A207" s="267" t="s">
        <v>590</v>
      </c>
      <c r="B207" s="221" t="s">
        <v>1066</v>
      </c>
      <c r="C207" s="221"/>
      <c r="D207" s="221" t="s">
        <v>1083</v>
      </c>
      <c r="E207" s="221" t="s">
        <v>432</v>
      </c>
      <c r="F207" s="221" t="s">
        <v>351</v>
      </c>
      <c r="G207" s="223">
        <v>1</v>
      </c>
      <c r="H207" s="224"/>
      <c r="I207" s="225"/>
      <c r="J207" s="225"/>
      <c r="K207" s="225"/>
      <c r="L207" s="226">
        <v>46143</v>
      </c>
      <c r="M207" s="226">
        <v>46176</v>
      </c>
      <c r="N207" s="226"/>
      <c r="O207" s="226"/>
      <c r="P207" s="226"/>
      <c r="Q207" s="227" t="s">
        <v>45</v>
      </c>
      <c r="R207" s="228">
        <v>2347800</v>
      </c>
      <c r="S207" s="228">
        <v>2347800</v>
      </c>
      <c r="T207" s="228"/>
      <c r="U207" s="191">
        <f t="shared" si="226"/>
        <v>0</v>
      </c>
      <c r="V207" s="230"/>
      <c r="W207" s="232"/>
      <c r="X207" s="46"/>
      <c r="Y207" s="167">
        <f t="shared" si="219"/>
        <v>0</v>
      </c>
      <c r="Z207" s="167">
        <f t="shared" si="220"/>
        <v>0</v>
      </c>
      <c r="AA207" s="167">
        <f t="shared" si="221"/>
        <v>0</v>
      </c>
      <c r="AB207" s="167">
        <f t="shared" si="222"/>
        <v>2347800</v>
      </c>
      <c r="AC207" s="167">
        <f t="shared" si="223"/>
        <v>0</v>
      </c>
      <c r="AD207" s="167">
        <f t="shared" si="224"/>
        <v>2347800</v>
      </c>
      <c r="AF207" s="180">
        <f t="shared" si="225"/>
        <v>1</v>
      </c>
      <c r="AG207" s="202" t="str">
        <f t="shared" si="218"/>
        <v>Stanisław Rucki Belt conveyors</v>
      </c>
      <c r="AH207" s="172"/>
      <c r="AI207" s="173"/>
      <c r="AJ207" s="173"/>
      <c r="AK207" s="173"/>
      <c r="AL207" s="173"/>
      <c r="AM207" s="173"/>
      <c r="AN207" s="173"/>
      <c r="AO207" s="173"/>
      <c r="AP207" s="173"/>
      <c r="AQ207" s="173"/>
      <c r="AR207" s="173"/>
      <c r="AS207" s="173"/>
      <c r="AT207" s="173"/>
      <c r="AU207" s="173"/>
      <c r="AV207" s="173"/>
      <c r="AW207" s="173"/>
      <c r="AX207" s="173"/>
      <c r="AY207" s="173"/>
      <c r="AZ207" s="173"/>
      <c r="BA207" s="173"/>
      <c r="BB207" s="173"/>
      <c r="BC207" s="173"/>
      <c r="BD207" s="173"/>
      <c r="BE207" s="173"/>
      <c r="BF207" s="173"/>
      <c r="BG207" s="173"/>
      <c r="BH207" s="173"/>
      <c r="BI207" s="173"/>
      <c r="BJ207" s="173"/>
      <c r="BK207" s="173"/>
      <c r="BL207" s="173"/>
      <c r="BM207" s="173"/>
      <c r="BN207" s="173"/>
      <c r="BO207" s="173"/>
      <c r="BP207" s="173"/>
      <c r="BQ207" s="173"/>
      <c r="BR207" s="173"/>
      <c r="BS207" s="173"/>
      <c r="BT207" s="173"/>
      <c r="BU207" s="173"/>
      <c r="BV207" s="173"/>
      <c r="BW207" s="173"/>
      <c r="BX207" s="173"/>
      <c r="BY207" s="173"/>
      <c r="BZ207" s="173"/>
      <c r="CA207" s="173"/>
      <c r="CB207" s="173"/>
      <c r="CC207" s="173"/>
      <c r="CD207" s="173"/>
      <c r="CE207" s="173"/>
      <c r="CF207" s="173"/>
      <c r="CG207" s="173"/>
      <c r="CH207" s="173"/>
      <c r="CI207" s="173"/>
      <c r="CJ207" s="173"/>
      <c r="CK207" s="173"/>
      <c r="CL207" s="173"/>
      <c r="CM207" s="173"/>
      <c r="CN207" s="173"/>
      <c r="CO207" s="173"/>
      <c r="CP207" s="173"/>
      <c r="CQ207" s="173"/>
      <c r="CR207" s="173"/>
      <c r="CS207" s="173"/>
      <c r="CT207" s="173"/>
      <c r="CU207" s="173"/>
      <c r="CV207" s="173"/>
      <c r="CW207" s="173"/>
      <c r="CX207" s="173"/>
      <c r="CY207" s="148"/>
      <c r="CZ207" s="148"/>
      <c r="DA207" s="148"/>
      <c r="DB207" s="148"/>
      <c r="DC207" s="148"/>
      <c r="DD207" s="148"/>
      <c r="DE207" s="148"/>
      <c r="DF207" s="148"/>
      <c r="DG207" s="148"/>
      <c r="DH207" s="148"/>
      <c r="DI207" s="148"/>
      <c r="DJ207" s="148"/>
      <c r="DK207" s="148"/>
      <c r="DL207" s="148"/>
      <c r="DM207" s="148"/>
      <c r="DN207" s="148"/>
      <c r="DO207" s="148"/>
      <c r="DP207" s="148"/>
      <c r="DQ207" s="148"/>
      <c r="DR207" s="148"/>
      <c r="DS207" s="148"/>
      <c r="DT207" s="148"/>
      <c r="DU207" s="148"/>
      <c r="DV207" s="148"/>
      <c r="DW207" s="148"/>
      <c r="DX207" s="148"/>
      <c r="DY207" s="148"/>
      <c r="DZ207" s="148"/>
      <c r="EA207" s="148"/>
      <c r="EB207" s="148"/>
      <c r="EC207" s="148"/>
      <c r="ED207" s="148"/>
      <c r="EE207" s="148"/>
      <c r="EF207" s="148"/>
      <c r="EG207" s="148"/>
      <c r="EH207" s="148"/>
      <c r="EI207" s="148"/>
      <c r="EJ207" s="148"/>
      <c r="EK207" s="148"/>
      <c r="EL207" s="148"/>
      <c r="EM207" s="148"/>
      <c r="EN207" s="148"/>
      <c r="EO207" s="148"/>
      <c r="EP207" s="148"/>
      <c r="EQ207" s="148"/>
      <c r="ER207" s="148"/>
      <c r="ES207" s="148"/>
      <c r="ET207" s="148"/>
      <c r="EU207" s="148"/>
      <c r="EV207" s="148"/>
      <c r="EW207" s="148"/>
      <c r="EX207" s="148"/>
      <c r="EY207" s="148"/>
      <c r="EZ207" s="148"/>
      <c r="FA207" s="148"/>
      <c r="FB207" s="148"/>
      <c r="FC207" s="148"/>
      <c r="FD207" s="148"/>
      <c r="FE207" s="148"/>
      <c r="FF207" s="148"/>
      <c r="FG207" s="148"/>
      <c r="FH207" s="148"/>
      <c r="FI207" s="148"/>
      <c r="FJ207" s="148"/>
      <c r="FK207" s="148"/>
      <c r="FL207" s="148"/>
      <c r="FM207" s="148"/>
      <c r="FN207" s="148"/>
      <c r="FO207" s="148"/>
      <c r="FP207" s="148"/>
      <c r="FQ207" s="148"/>
      <c r="FR207" s="148"/>
      <c r="FS207" s="148"/>
      <c r="FT207" s="148"/>
      <c r="FU207" s="148"/>
      <c r="FV207" s="148"/>
      <c r="FW207" s="148"/>
      <c r="FX207" s="148"/>
      <c r="FY207" s="148"/>
      <c r="FZ207" s="148"/>
      <c r="GA207" s="148"/>
      <c r="GB207" s="148"/>
      <c r="GC207" s="148"/>
      <c r="GD207" s="148"/>
      <c r="GE207" s="148"/>
      <c r="GF207" s="148"/>
      <c r="GG207" s="149"/>
    </row>
    <row r="208" spans="1:189" ht="27.75" x14ac:dyDescent="0.35">
      <c r="A208" s="237" t="s">
        <v>592</v>
      </c>
      <c r="B208" s="236" t="s">
        <v>1051</v>
      </c>
      <c r="C208" s="236"/>
      <c r="D208" s="236" t="s">
        <v>1083</v>
      </c>
      <c r="E208" s="236" t="s">
        <v>593</v>
      </c>
      <c r="F208" s="236" t="s">
        <v>352</v>
      </c>
      <c r="G208" s="238">
        <v>1</v>
      </c>
      <c r="H208" s="239"/>
      <c r="I208" s="240"/>
      <c r="J208" s="240"/>
      <c r="K208" s="240"/>
      <c r="L208" s="241">
        <v>46143</v>
      </c>
      <c r="M208" s="241">
        <v>46175</v>
      </c>
      <c r="N208" s="241"/>
      <c r="O208" s="241"/>
      <c r="P208" s="241"/>
      <c r="Q208" s="242" t="s">
        <v>45</v>
      </c>
      <c r="R208" s="243">
        <v>8271000</v>
      </c>
      <c r="S208" s="243">
        <v>8271000</v>
      </c>
      <c r="T208" s="243"/>
      <c r="U208" s="191">
        <f t="shared" si="226"/>
        <v>0</v>
      </c>
      <c r="V208" s="244"/>
      <c r="W208" s="245"/>
      <c r="X208" s="46"/>
      <c r="Y208" s="167">
        <f t="shared" si="219"/>
        <v>0</v>
      </c>
      <c r="Z208" s="167">
        <f t="shared" si="220"/>
        <v>0</v>
      </c>
      <c r="AA208" s="167">
        <f t="shared" si="221"/>
        <v>0</v>
      </c>
      <c r="AB208" s="167">
        <f t="shared" si="222"/>
        <v>8271000</v>
      </c>
      <c r="AC208" s="167">
        <f t="shared" si="223"/>
        <v>0</v>
      </c>
      <c r="AD208" s="167">
        <f t="shared" si="224"/>
        <v>8271000</v>
      </c>
      <c r="AF208" s="47">
        <f t="shared" si="225"/>
        <v>1</v>
      </c>
      <c r="AG208" s="202" t="str">
        <f t="shared" si="218"/>
        <v>Roger Gołombek Bottom ash / slag valorization</v>
      </c>
      <c r="AH208" s="172"/>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48"/>
      <c r="CZ208" s="148"/>
      <c r="DA208" s="148"/>
      <c r="DB208" s="148"/>
      <c r="DC208" s="148"/>
      <c r="DD208" s="148"/>
      <c r="DE208" s="148"/>
      <c r="DF208" s="148"/>
      <c r="DG208" s="148"/>
      <c r="DH208" s="148"/>
      <c r="DI208" s="148"/>
      <c r="DJ208" s="148"/>
      <c r="DK208" s="148"/>
      <c r="DL208" s="148"/>
      <c r="DM208" s="148"/>
      <c r="DN208" s="148"/>
      <c r="DO208" s="148"/>
      <c r="DP208" s="148"/>
      <c r="DQ208" s="148"/>
      <c r="DR208" s="148"/>
      <c r="DS208" s="148"/>
      <c r="DT208" s="148"/>
      <c r="DU208" s="148"/>
      <c r="DV208" s="148"/>
      <c r="DW208" s="148"/>
      <c r="DX208" s="148"/>
      <c r="DY208" s="148"/>
      <c r="DZ208" s="148"/>
      <c r="EA208" s="148"/>
      <c r="EB208" s="148"/>
      <c r="EC208" s="148"/>
      <c r="ED208" s="148"/>
      <c r="EE208" s="148"/>
      <c r="EF208" s="148"/>
      <c r="EG208" s="148"/>
      <c r="EH208" s="148"/>
      <c r="EI208" s="148"/>
      <c r="EJ208" s="148"/>
      <c r="EK208" s="148"/>
      <c r="EL208" s="148"/>
      <c r="EM208" s="148"/>
      <c r="EN208" s="148"/>
      <c r="EO208" s="148"/>
      <c r="EP208" s="148"/>
      <c r="EQ208" s="148"/>
      <c r="ER208" s="148"/>
      <c r="ES208" s="151"/>
      <c r="ET208" s="151"/>
      <c r="EU208" s="151"/>
      <c r="EV208" s="151"/>
      <c r="EW208" s="151"/>
      <c r="EX208" s="151"/>
      <c r="EY208" s="151"/>
      <c r="EZ208" s="151"/>
      <c r="FA208" s="151"/>
      <c r="FB208" s="151"/>
      <c r="FC208" s="151"/>
      <c r="FD208" s="151"/>
      <c r="FE208" s="151"/>
      <c r="FF208" s="151"/>
      <c r="FG208" s="151"/>
      <c r="FH208" s="151"/>
      <c r="FI208" s="151"/>
      <c r="FJ208" s="151"/>
      <c r="FK208" s="151"/>
      <c r="FL208" s="151"/>
      <c r="FM208" s="151"/>
      <c r="FN208" s="151"/>
      <c r="FO208" s="151"/>
      <c r="FP208" s="151"/>
      <c r="FQ208" s="151"/>
      <c r="FR208" s="151"/>
      <c r="FS208" s="151"/>
      <c r="FT208" s="151"/>
      <c r="FU208" s="151"/>
      <c r="FV208" s="151"/>
      <c r="FW208" s="151"/>
      <c r="FX208" s="151"/>
      <c r="FY208" s="151"/>
      <c r="FZ208" s="151"/>
      <c r="GA208" s="151"/>
      <c r="GB208" s="151"/>
      <c r="GC208" s="151"/>
      <c r="GD208" s="151"/>
      <c r="GE208" s="151"/>
      <c r="GF208" s="151"/>
      <c r="GG208" s="152"/>
    </row>
    <row r="209" spans="1:189" ht="27.75" x14ac:dyDescent="0.35">
      <c r="A209" s="237" t="s">
        <v>594</v>
      </c>
      <c r="B209" s="236"/>
      <c r="C209" s="236"/>
      <c r="D209" s="236" t="s">
        <v>1083</v>
      </c>
      <c r="E209" s="236" t="s">
        <v>618</v>
      </c>
      <c r="F209" s="236" t="s">
        <v>619</v>
      </c>
      <c r="G209" s="238">
        <v>2</v>
      </c>
      <c r="H209" s="239"/>
      <c r="I209" s="240"/>
      <c r="J209" s="240"/>
      <c r="K209" s="240"/>
      <c r="L209" s="241"/>
      <c r="M209" s="241"/>
      <c r="N209" s="241"/>
      <c r="O209" s="241"/>
      <c r="P209" s="241"/>
      <c r="Q209" s="242"/>
      <c r="R209" s="243"/>
      <c r="S209" s="243"/>
      <c r="T209" s="243"/>
      <c r="U209" s="191">
        <f t="shared" si="226"/>
        <v>0</v>
      </c>
      <c r="V209" s="244"/>
      <c r="W209" s="245"/>
      <c r="X209" s="46"/>
      <c r="Y209" s="167">
        <f t="shared" si="219"/>
        <v>0</v>
      </c>
      <c r="Z209" s="167">
        <f t="shared" si="220"/>
        <v>0</v>
      </c>
      <c r="AA209" s="167">
        <f t="shared" si="221"/>
        <v>0</v>
      </c>
      <c r="AB209" s="167">
        <f t="shared" si="222"/>
        <v>0</v>
      </c>
      <c r="AC209" s="167">
        <f t="shared" si="223"/>
        <v>0</v>
      </c>
      <c r="AD209" s="167">
        <f t="shared" si="224"/>
        <v>0</v>
      </c>
      <c r="AF209" s="180">
        <f t="shared" si="225"/>
        <v>0</v>
      </c>
      <c r="AG209" s="202" t="str">
        <f t="shared" si="218"/>
        <v xml:space="preserve"> Steam turbine, thermal cycle &amp; district heating network</v>
      </c>
      <c r="AH209" s="172"/>
      <c r="AI209" s="173"/>
      <c r="AJ209" s="173"/>
      <c r="AK209" s="173"/>
      <c r="AL209" s="173"/>
      <c r="AM209" s="173"/>
      <c r="AN209" s="173"/>
      <c r="AO209" s="173"/>
      <c r="AP209" s="173"/>
      <c r="AQ209" s="173"/>
      <c r="AR209" s="173"/>
      <c r="AS209" s="173"/>
      <c r="AT209" s="173"/>
      <c r="AU209" s="173"/>
      <c r="AV209" s="173"/>
      <c r="AW209" s="173"/>
      <c r="AX209" s="173"/>
      <c r="AY209" s="173"/>
      <c r="AZ209" s="173"/>
      <c r="BA209" s="173"/>
      <c r="BB209" s="173"/>
      <c r="BC209" s="173"/>
      <c r="BD209" s="173"/>
      <c r="BE209" s="173"/>
      <c r="BF209" s="173"/>
      <c r="BG209" s="173"/>
      <c r="BH209" s="173"/>
      <c r="BI209" s="173"/>
      <c r="BJ209" s="173"/>
      <c r="BK209" s="173"/>
      <c r="BL209" s="173"/>
      <c r="BM209" s="173"/>
      <c r="BN209" s="173"/>
      <c r="BO209" s="173"/>
      <c r="BP209" s="173"/>
      <c r="BQ209" s="173"/>
      <c r="BR209" s="173"/>
      <c r="BS209" s="173"/>
      <c r="BT209" s="173"/>
      <c r="BU209" s="173"/>
      <c r="BV209" s="173"/>
      <c r="BW209" s="173"/>
      <c r="BX209" s="173"/>
      <c r="BY209" s="173"/>
      <c r="BZ209" s="173"/>
      <c r="CA209" s="173"/>
      <c r="CB209" s="173"/>
      <c r="CC209" s="173"/>
      <c r="CD209" s="173"/>
      <c r="CE209" s="173"/>
      <c r="CF209" s="173"/>
      <c r="CG209" s="173"/>
      <c r="CH209" s="173"/>
      <c r="CI209" s="173"/>
      <c r="CJ209" s="173"/>
      <c r="CK209" s="173"/>
      <c r="CL209" s="173"/>
      <c r="CM209" s="173"/>
      <c r="CN209" s="173"/>
      <c r="CO209" s="173"/>
      <c r="CP209" s="173"/>
      <c r="CQ209" s="173"/>
      <c r="CR209" s="173"/>
      <c r="CS209" s="173"/>
      <c r="CT209" s="173"/>
      <c r="CU209" s="173"/>
      <c r="CV209" s="173"/>
      <c r="CW209" s="173"/>
      <c r="CX209" s="173"/>
      <c r="CY209" s="148"/>
      <c r="CZ209" s="148"/>
      <c r="DA209" s="148"/>
      <c r="DB209" s="148"/>
      <c r="DC209" s="148"/>
      <c r="DD209" s="148"/>
      <c r="DE209" s="148"/>
      <c r="DF209" s="148"/>
      <c r="DG209" s="148"/>
      <c r="DH209" s="148"/>
      <c r="DI209" s="148"/>
      <c r="DJ209" s="148"/>
      <c r="DK209" s="148"/>
      <c r="DL209" s="148"/>
      <c r="DM209" s="148"/>
      <c r="DN209" s="148"/>
      <c r="DO209" s="148"/>
      <c r="DP209" s="148"/>
      <c r="DQ209" s="148"/>
      <c r="DR209" s="148"/>
      <c r="DS209" s="148"/>
      <c r="DT209" s="148"/>
      <c r="DU209" s="148"/>
      <c r="DV209" s="148"/>
      <c r="DW209" s="148"/>
      <c r="DX209" s="148"/>
      <c r="DY209" s="148"/>
      <c r="DZ209" s="148"/>
      <c r="EA209" s="148"/>
      <c r="EB209" s="148"/>
      <c r="EC209" s="148"/>
      <c r="ED209" s="148"/>
      <c r="EE209" s="148"/>
      <c r="EF209" s="148"/>
      <c r="EG209" s="148"/>
      <c r="EH209" s="148"/>
      <c r="EI209" s="148"/>
      <c r="EJ209" s="148"/>
      <c r="EK209" s="148"/>
      <c r="EL209" s="148"/>
      <c r="EM209" s="148"/>
      <c r="EN209" s="148"/>
      <c r="EO209" s="148"/>
      <c r="EP209" s="148"/>
      <c r="EQ209" s="148"/>
      <c r="ER209" s="148"/>
      <c r="ES209" s="151"/>
      <c r="ET209" s="151"/>
      <c r="EU209" s="151"/>
      <c r="EV209" s="151"/>
      <c r="EW209" s="151"/>
      <c r="EX209" s="151"/>
      <c r="EY209" s="151"/>
      <c r="EZ209" s="151"/>
      <c r="FA209" s="151"/>
      <c r="FB209" s="151"/>
      <c r="FC209" s="151"/>
      <c r="FD209" s="151"/>
      <c r="FE209" s="151"/>
      <c r="FF209" s="151"/>
      <c r="FG209" s="151"/>
      <c r="FH209" s="151"/>
      <c r="FI209" s="151"/>
      <c r="FJ209" s="151"/>
      <c r="FK209" s="151"/>
      <c r="FL209" s="151"/>
      <c r="FM209" s="151"/>
      <c r="FN209" s="151"/>
      <c r="FO209" s="151"/>
      <c r="FP209" s="151"/>
      <c r="FQ209" s="151"/>
      <c r="FR209" s="151"/>
      <c r="FS209" s="151"/>
      <c r="FT209" s="151"/>
      <c r="FU209" s="151"/>
      <c r="FV209" s="151"/>
      <c r="FW209" s="151"/>
      <c r="FX209" s="151"/>
      <c r="FY209" s="151"/>
      <c r="FZ209" s="151"/>
      <c r="GA209" s="151"/>
      <c r="GB209" s="151"/>
      <c r="GC209" s="151"/>
      <c r="GD209" s="151"/>
      <c r="GE209" s="151"/>
      <c r="GF209" s="151"/>
      <c r="GG209" s="152"/>
    </row>
    <row r="210" spans="1:189" ht="69.400000000000006" x14ac:dyDescent="0.35">
      <c r="A210" s="267" t="s">
        <v>595</v>
      </c>
      <c r="B210" s="221" t="s">
        <v>1076</v>
      </c>
      <c r="C210" s="221"/>
      <c r="D210" s="221" t="s">
        <v>1083</v>
      </c>
      <c r="E210" s="221" t="s">
        <v>599</v>
      </c>
      <c r="F210" s="221" t="s">
        <v>353</v>
      </c>
      <c r="G210" s="223">
        <v>2</v>
      </c>
      <c r="H210" s="224" t="s">
        <v>1369</v>
      </c>
      <c r="I210" s="225"/>
      <c r="J210" s="225"/>
      <c r="K210" s="225"/>
      <c r="L210" s="226">
        <v>46078</v>
      </c>
      <c r="M210" s="226">
        <v>46137</v>
      </c>
      <c r="N210" s="226"/>
      <c r="O210" s="226"/>
      <c r="P210" s="226"/>
      <c r="Q210" s="227" t="s">
        <v>19</v>
      </c>
      <c r="R210" s="228">
        <v>13374290</v>
      </c>
      <c r="S210" s="228">
        <v>13374290</v>
      </c>
      <c r="T210" s="228"/>
      <c r="U210" s="191">
        <f t="shared" si="226"/>
        <v>0</v>
      </c>
      <c r="V210" s="230"/>
      <c r="W210" s="231"/>
      <c r="X210" s="46"/>
      <c r="Y210" s="167">
        <f t="shared" si="219"/>
        <v>13374290</v>
      </c>
      <c r="Z210" s="167">
        <f t="shared" si="220"/>
        <v>0</v>
      </c>
      <c r="AA210" s="167">
        <f t="shared" si="221"/>
        <v>13374290</v>
      </c>
      <c r="AB210" s="167">
        <f t="shared" si="222"/>
        <v>0</v>
      </c>
      <c r="AC210" s="167">
        <f t="shared" si="223"/>
        <v>0</v>
      </c>
      <c r="AD210" s="167">
        <f t="shared" si="224"/>
        <v>0</v>
      </c>
      <c r="AF210" s="47">
        <f t="shared" si="225"/>
        <v>1</v>
      </c>
      <c r="AG210" s="202" t="str">
        <f t="shared" si="218"/>
        <v>Magdalena Białorucka / Stanisław Rucki Steam turbine - gear box - generator. Including accessories: oil system, coolers, insulation, pipes and valves, control panel, protection panel, synchro system etc.</v>
      </c>
      <c r="AH210" s="172"/>
      <c r="AI210" s="173"/>
      <c r="AJ210" s="173"/>
      <c r="AK210" s="173"/>
      <c r="AL210" s="173"/>
      <c r="AM210" s="173"/>
      <c r="AN210" s="173"/>
      <c r="AO210" s="173"/>
      <c r="AP210" s="173"/>
      <c r="AQ210" s="173"/>
      <c r="AR210" s="173"/>
      <c r="AS210" s="173"/>
      <c r="AT210" s="173"/>
      <c r="AU210" s="173"/>
      <c r="AV210" s="173"/>
      <c r="AW210" s="173"/>
      <c r="AX210" s="173"/>
      <c r="AY210" s="173"/>
      <c r="AZ210" s="173"/>
      <c r="BA210" s="173"/>
      <c r="BB210" s="173"/>
      <c r="BC210" s="173"/>
      <c r="BD210" s="173"/>
      <c r="BE210" s="173"/>
      <c r="BF210" s="173"/>
      <c r="BG210" s="173"/>
      <c r="BH210" s="173"/>
      <c r="BI210" s="173"/>
      <c r="BJ210" s="173"/>
      <c r="BK210" s="173"/>
      <c r="BL210" s="173"/>
      <c r="BM210" s="173"/>
      <c r="BN210" s="173"/>
      <c r="BO210" s="173"/>
      <c r="BP210" s="173"/>
      <c r="BQ210" s="173"/>
      <c r="BR210" s="173"/>
      <c r="BS210" s="173"/>
      <c r="BT210" s="173"/>
      <c r="BU210" s="173"/>
      <c r="BV210" s="173"/>
      <c r="BW210" s="173"/>
      <c r="BX210" s="173"/>
      <c r="BY210" s="173"/>
      <c r="BZ210" s="173"/>
      <c r="CA210" s="173"/>
      <c r="CB210" s="173"/>
      <c r="CC210" s="173"/>
      <c r="CD210" s="173"/>
      <c r="CE210" s="173"/>
      <c r="CF210" s="173"/>
      <c r="CG210" s="173"/>
      <c r="CH210" s="173"/>
      <c r="CI210" s="173"/>
      <c r="CJ210" s="173"/>
      <c r="CK210" s="173"/>
      <c r="CL210" s="173"/>
      <c r="CM210" s="173"/>
      <c r="CN210" s="173"/>
      <c r="CO210" s="173"/>
      <c r="CP210" s="173"/>
      <c r="CQ210" s="173"/>
      <c r="CR210" s="173"/>
      <c r="CS210" s="173"/>
      <c r="CT210" s="173"/>
      <c r="CU210" s="173"/>
      <c r="CV210" s="173"/>
      <c r="CW210" s="173"/>
      <c r="CX210" s="173"/>
      <c r="CY210" s="148"/>
      <c r="CZ210" s="148"/>
      <c r="DA210" s="148"/>
      <c r="DB210" s="148"/>
      <c r="DC210" s="148"/>
      <c r="DD210" s="148"/>
      <c r="DE210" s="148"/>
      <c r="DF210" s="148"/>
      <c r="DG210" s="148"/>
      <c r="DH210" s="148"/>
      <c r="DI210" s="148"/>
      <c r="DJ210" s="148"/>
      <c r="DK210" s="148"/>
      <c r="DL210" s="148"/>
      <c r="DM210" s="148"/>
      <c r="DN210" s="148"/>
      <c r="DO210" s="148"/>
      <c r="DP210" s="148"/>
      <c r="DQ210" s="148"/>
      <c r="DR210" s="148"/>
      <c r="DS210" s="148"/>
      <c r="DT210" s="148"/>
      <c r="DU210" s="148"/>
      <c r="DV210" s="148"/>
      <c r="DW210" s="148"/>
      <c r="DX210" s="148"/>
      <c r="DY210" s="148"/>
      <c r="DZ210" s="148"/>
      <c r="EA210" s="148"/>
      <c r="EB210" s="148"/>
      <c r="EC210" s="148"/>
      <c r="ED210" s="148"/>
      <c r="EE210" s="148"/>
      <c r="EF210" s="148"/>
      <c r="EG210" s="148"/>
      <c r="EH210" s="148"/>
      <c r="EI210" s="148"/>
      <c r="EJ210" s="148"/>
      <c r="EK210" s="148"/>
      <c r="EL210" s="148"/>
      <c r="EM210" s="148"/>
      <c r="EN210" s="148"/>
      <c r="EO210" s="148"/>
      <c r="EP210" s="148"/>
      <c r="EQ210" s="148"/>
      <c r="ER210" s="148"/>
      <c r="ES210" s="148"/>
      <c r="ET210" s="148"/>
      <c r="EU210" s="148"/>
      <c r="EV210" s="148"/>
      <c r="EW210" s="148"/>
      <c r="EX210" s="148"/>
      <c r="EY210" s="148"/>
      <c r="EZ210" s="148"/>
      <c r="FA210" s="148"/>
      <c r="FB210" s="148"/>
      <c r="FC210" s="148"/>
      <c r="FD210" s="148"/>
      <c r="FE210" s="148"/>
      <c r="FF210" s="148"/>
      <c r="FG210" s="148"/>
      <c r="FH210" s="148"/>
      <c r="FI210" s="148"/>
      <c r="FJ210" s="148"/>
      <c r="FK210" s="148"/>
      <c r="FL210" s="148"/>
      <c r="FM210" s="148"/>
      <c r="FN210" s="148"/>
      <c r="FO210" s="148"/>
      <c r="FP210" s="148"/>
      <c r="FQ210" s="148"/>
      <c r="FR210" s="148"/>
      <c r="FS210" s="148"/>
      <c r="FT210" s="148"/>
      <c r="FU210" s="148"/>
      <c r="FV210" s="148"/>
      <c r="FW210" s="148"/>
      <c r="FX210" s="148"/>
      <c r="FY210" s="148"/>
      <c r="FZ210" s="148"/>
      <c r="GA210" s="148"/>
      <c r="GB210" s="148"/>
      <c r="GC210" s="148"/>
      <c r="GD210" s="148"/>
      <c r="GE210" s="148"/>
      <c r="GF210" s="148"/>
      <c r="GG210" s="149"/>
    </row>
    <row r="211" spans="1:189" ht="27.75" x14ac:dyDescent="0.35">
      <c r="A211" s="222" t="s">
        <v>598</v>
      </c>
      <c r="B211" s="221" t="s">
        <v>1071</v>
      </c>
      <c r="C211" s="221"/>
      <c r="D211" s="221" t="s">
        <v>1083</v>
      </c>
      <c r="E211" s="221" t="s">
        <v>600</v>
      </c>
      <c r="F211" s="221" t="s">
        <v>354</v>
      </c>
      <c r="G211" s="223">
        <v>2</v>
      </c>
      <c r="H211" s="224" t="s">
        <v>1367</v>
      </c>
      <c r="I211" s="225"/>
      <c r="J211" s="225"/>
      <c r="K211" s="225"/>
      <c r="L211" s="226">
        <v>46110</v>
      </c>
      <c r="M211" s="226">
        <v>46134</v>
      </c>
      <c r="N211" s="226">
        <v>46125</v>
      </c>
      <c r="O211" s="226">
        <v>46125</v>
      </c>
      <c r="P211" s="226">
        <v>46418</v>
      </c>
      <c r="Q211" s="227" t="s">
        <v>20</v>
      </c>
      <c r="R211" s="228">
        <v>300000</v>
      </c>
      <c r="S211" s="228">
        <v>300000</v>
      </c>
      <c r="T211" s="228">
        <v>499000</v>
      </c>
      <c r="U211" s="191">
        <f t="shared" si="226"/>
        <v>-199000</v>
      </c>
      <c r="V211" s="230"/>
      <c r="W211" s="232"/>
      <c r="X211" s="46"/>
      <c r="Y211" s="167">
        <f t="shared" si="219"/>
        <v>300000</v>
      </c>
      <c r="Z211" s="167">
        <f t="shared" si="220"/>
        <v>499000</v>
      </c>
      <c r="AA211" s="167">
        <f t="shared" si="221"/>
        <v>-199000</v>
      </c>
      <c r="AB211" s="167">
        <f t="shared" si="222"/>
        <v>0</v>
      </c>
      <c r="AC211" s="167">
        <f t="shared" si="223"/>
        <v>0</v>
      </c>
      <c r="AD211" s="167">
        <f t="shared" si="224"/>
        <v>0</v>
      </c>
      <c r="AF211" s="180">
        <f t="shared" si="225"/>
        <v>1</v>
      </c>
      <c r="AG211" s="202" t="str">
        <f t="shared" si="218"/>
        <v>Magdalena Białorucka Auxiliary crane and hoists for the maintenance of the steam turbine</v>
      </c>
      <c r="AH211" s="172"/>
      <c r="AI211" s="173"/>
      <c r="AJ211" s="173"/>
      <c r="AK211" s="173"/>
      <c r="AL211" s="173"/>
      <c r="AM211" s="173"/>
      <c r="AN211" s="173"/>
      <c r="AO211" s="173"/>
      <c r="AP211" s="173"/>
      <c r="AQ211" s="173"/>
      <c r="AR211" s="173"/>
      <c r="AS211" s="173"/>
      <c r="AT211" s="173"/>
      <c r="AU211" s="173"/>
      <c r="AV211" s="173"/>
      <c r="AW211" s="173"/>
      <c r="AX211" s="173"/>
      <c r="AY211" s="173"/>
      <c r="AZ211" s="173"/>
      <c r="BA211" s="173"/>
      <c r="BB211" s="173"/>
      <c r="BC211" s="173"/>
      <c r="BD211" s="173"/>
      <c r="BE211" s="173"/>
      <c r="BF211" s="173"/>
      <c r="BG211" s="173"/>
      <c r="BH211" s="173"/>
      <c r="BI211" s="173"/>
      <c r="BJ211" s="173"/>
      <c r="BK211" s="173"/>
      <c r="BL211" s="173"/>
      <c r="BM211" s="173"/>
      <c r="BN211" s="173"/>
      <c r="BO211" s="173"/>
      <c r="BP211" s="173"/>
      <c r="BQ211" s="173"/>
      <c r="BR211" s="173"/>
      <c r="BS211" s="173"/>
      <c r="BT211" s="173"/>
      <c r="BU211" s="173"/>
      <c r="BV211" s="173"/>
      <c r="BW211" s="173"/>
      <c r="BX211" s="173"/>
      <c r="BY211" s="173"/>
      <c r="BZ211" s="173"/>
      <c r="CA211" s="173"/>
      <c r="CB211" s="173"/>
      <c r="CC211" s="173"/>
      <c r="CD211" s="173"/>
      <c r="CE211" s="173"/>
      <c r="CF211" s="173"/>
      <c r="CG211" s="173"/>
      <c r="CH211" s="173"/>
      <c r="CI211" s="173"/>
      <c r="CJ211" s="173"/>
      <c r="CK211" s="173"/>
      <c r="CL211" s="173"/>
      <c r="CM211" s="173"/>
      <c r="CN211" s="173"/>
      <c r="CO211" s="173"/>
      <c r="CP211" s="173"/>
      <c r="CQ211" s="173"/>
      <c r="CR211" s="173"/>
      <c r="CS211" s="173"/>
      <c r="CT211" s="173"/>
      <c r="CU211" s="173"/>
      <c r="CV211" s="173"/>
      <c r="CW211" s="173"/>
      <c r="CX211" s="173"/>
      <c r="CY211" s="148"/>
      <c r="CZ211" s="148"/>
      <c r="DA211" s="148"/>
      <c r="DB211" s="148"/>
      <c r="DC211" s="148"/>
      <c r="DD211" s="148"/>
      <c r="DE211" s="148"/>
      <c r="DF211" s="148"/>
      <c r="DG211" s="148"/>
      <c r="DH211" s="148"/>
      <c r="DI211" s="148"/>
      <c r="DJ211" s="148"/>
      <c r="DK211" s="148"/>
      <c r="DL211" s="148"/>
      <c r="DM211" s="148"/>
      <c r="DN211" s="148"/>
      <c r="DO211" s="148"/>
      <c r="DP211" s="148"/>
      <c r="DQ211" s="148"/>
      <c r="DR211" s="148"/>
      <c r="DS211" s="148"/>
      <c r="DT211" s="148"/>
      <c r="DU211" s="148"/>
      <c r="DV211" s="148"/>
      <c r="DW211" s="148"/>
      <c r="DX211" s="148"/>
      <c r="DY211" s="148"/>
      <c r="DZ211" s="148"/>
      <c r="EA211" s="148"/>
      <c r="EB211" s="148"/>
      <c r="EC211" s="148"/>
      <c r="ED211" s="148"/>
      <c r="EE211" s="148"/>
      <c r="EF211" s="148"/>
      <c r="EG211" s="148"/>
      <c r="EH211" s="148"/>
      <c r="EI211" s="148"/>
      <c r="EJ211" s="148"/>
      <c r="EK211" s="148"/>
      <c r="EL211" s="148"/>
      <c r="EM211" s="148"/>
      <c r="EN211" s="148"/>
      <c r="EO211" s="148"/>
      <c r="EP211" s="148"/>
      <c r="EQ211" s="148"/>
      <c r="ER211" s="148"/>
      <c r="ES211" s="151"/>
      <c r="ET211" s="151"/>
      <c r="EU211" s="151"/>
      <c r="EV211" s="151"/>
      <c r="EW211" s="151"/>
      <c r="EX211" s="151"/>
      <c r="EY211" s="151"/>
      <c r="EZ211" s="151"/>
      <c r="FA211" s="151"/>
      <c r="FB211" s="151"/>
      <c r="FC211" s="151"/>
      <c r="FD211" s="151"/>
      <c r="FE211" s="151"/>
      <c r="FF211" s="151"/>
      <c r="FG211" s="151"/>
      <c r="FH211" s="151"/>
      <c r="FI211" s="151"/>
      <c r="FJ211" s="151"/>
      <c r="FK211" s="151"/>
      <c r="FL211" s="151"/>
      <c r="FM211" s="151"/>
      <c r="FN211" s="151"/>
      <c r="FO211" s="151"/>
      <c r="FP211" s="151"/>
      <c r="FQ211" s="151"/>
      <c r="FR211" s="151"/>
      <c r="FS211" s="151"/>
      <c r="FT211" s="151"/>
      <c r="FU211" s="151"/>
      <c r="FV211" s="151"/>
      <c r="FW211" s="151"/>
      <c r="FX211" s="151"/>
      <c r="FY211" s="151"/>
      <c r="FZ211" s="151"/>
      <c r="GA211" s="151"/>
      <c r="GB211" s="151"/>
      <c r="GC211" s="151"/>
      <c r="GD211" s="151"/>
      <c r="GE211" s="151"/>
      <c r="GF211" s="151"/>
      <c r="GG211" s="152"/>
    </row>
    <row r="212" spans="1:189" ht="27.75" x14ac:dyDescent="0.35">
      <c r="A212" s="267" t="s">
        <v>597</v>
      </c>
      <c r="B212" s="221" t="s">
        <v>1051</v>
      </c>
      <c r="C212" s="221"/>
      <c r="D212" s="221" t="s">
        <v>1083</v>
      </c>
      <c r="E212" s="221" t="s">
        <v>601</v>
      </c>
      <c r="F212" s="221" t="s">
        <v>355</v>
      </c>
      <c r="G212" s="223">
        <v>2</v>
      </c>
      <c r="H212" s="224"/>
      <c r="I212" s="225"/>
      <c r="J212" s="225"/>
      <c r="K212" s="225"/>
      <c r="L212" s="226">
        <v>46131</v>
      </c>
      <c r="M212" s="226">
        <v>46178</v>
      </c>
      <c r="N212" s="226"/>
      <c r="O212" s="226"/>
      <c r="P212" s="226"/>
      <c r="Q212" s="227" t="s">
        <v>11</v>
      </c>
      <c r="R212" s="228">
        <v>9000000</v>
      </c>
      <c r="S212" s="228">
        <v>9000000</v>
      </c>
      <c r="T212" s="228"/>
      <c r="U212" s="191">
        <f t="shared" si="226"/>
        <v>0</v>
      </c>
      <c r="V212" s="230"/>
      <c r="W212" s="232"/>
      <c r="X212" s="46"/>
      <c r="Y212" s="167">
        <f t="shared" si="219"/>
        <v>9000000</v>
      </c>
      <c r="Z212" s="167">
        <f t="shared" si="220"/>
        <v>0</v>
      </c>
      <c r="AA212" s="167">
        <f t="shared" si="221"/>
        <v>9000000</v>
      </c>
      <c r="AB212" s="167">
        <f t="shared" si="222"/>
        <v>0</v>
      </c>
      <c r="AC212" s="167">
        <f t="shared" si="223"/>
        <v>0</v>
      </c>
      <c r="AD212" s="167">
        <f t="shared" si="224"/>
        <v>0</v>
      </c>
      <c r="AF212" s="47">
        <f t="shared" si="225"/>
        <v>1</v>
      </c>
      <c r="AG212" s="202" t="str">
        <f t="shared" si="218"/>
        <v>Roger Gołombek Air cooled condenser</v>
      </c>
      <c r="AH212" s="172"/>
      <c r="AI212" s="173"/>
      <c r="AJ212" s="173"/>
      <c r="AK212" s="173"/>
      <c r="AL212" s="173"/>
      <c r="AM212" s="173"/>
      <c r="AN212" s="173"/>
      <c r="AO212" s="173"/>
      <c r="AP212" s="173"/>
      <c r="AQ212" s="173"/>
      <c r="AR212" s="173"/>
      <c r="AS212" s="173"/>
      <c r="AT212" s="173"/>
      <c r="AU212" s="173"/>
      <c r="AV212" s="173"/>
      <c r="AW212" s="173"/>
      <c r="AX212" s="173"/>
      <c r="AY212" s="173"/>
      <c r="AZ212" s="173"/>
      <c r="BA212" s="173"/>
      <c r="BB212" s="173"/>
      <c r="BC212" s="173"/>
      <c r="BD212" s="173"/>
      <c r="BE212" s="173"/>
      <c r="BF212" s="173"/>
      <c r="BG212" s="173"/>
      <c r="BH212" s="173"/>
      <c r="BI212" s="173"/>
      <c r="BJ212" s="173"/>
      <c r="BK212" s="173"/>
      <c r="BL212" s="173"/>
      <c r="BM212" s="173"/>
      <c r="BN212" s="173"/>
      <c r="BO212" s="173"/>
      <c r="BP212" s="173"/>
      <c r="BQ212" s="173"/>
      <c r="BR212" s="173"/>
      <c r="BS212" s="173"/>
      <c r="BT212" s="173"/>
      <c r="BU212" s="173"/>
      <c r="BV212" s="173"/>
      <c r="BW212" s="173"/>
      <c r="BX212" s="173"/>
      <c r="BY212" s="173"/>
      <c r="BZ212" s="173"/>
      <c r="CA212" s="173"/>
      <c r="CB212" s="173"/>
      <c r="CC212" s="173"/>
      <c r="CD212" s="173"/>
      <c r="CE212" s="173"/>
      <c r="CF212" s="173"/>
      <c r="CG212" s="173"/>
      <c r="CH212" s="173"/>
      <c r="CI212" s="173"/>
      <c r="CJ212" s="173"/>
      <c r="CK212" s="173"/>
      <c r="CL212" s="173"/>
      <c r="CM212" s="173"/>
      <c r="CN212" s="173"/>
      <c r="CO212" s="173"/>
      <c r="CP212" s="173"/>
      <c r="CQ212" s="173"/>
      <c r="CR212" s="173"/>
      <c r="CS212" s="173"/>
      <c r="CT212" s="173"/>
      <c r="CU212" s="173"/>
      <c r="CV212" s="173"/>
      <c r="CW212" s="173"/>
      <c r="CX212" s="173"/>
      <c r="CY212" s="148"/>
      <c r="CZ212" s="148"/>
      <c r="DA212" s="148"/>
      <c r="DB212" s="148"/>
      <c r="DC212" s="148"/>
      <c r="DD212" s="148"/>
      <c r="DE212" s="148"/>
      <c r="DF212" s="148"/>
      <c r="DG212" s="148"/>
      <c r="DH212" s="148"/>
      <c r="DI212" s="148"/>
      <c r="DJ212" s="148"/>
      <c r="DK212" s="148"/>
      <c r="DL212" s="148"/>
      <c r="DM212" s="148"/>
      <c r="DN212" s="148"/>
      <c r="DO212" s="148"/>
      <c r="DP212" s="148"/>
      <c r="DQ212" s="148"/>
      <c r="DR212" s="148"/>
      <c r="DS212" s="148"/>
      <c r="DT212" s="148"/>
      <c r="DU212" s="148"/>
      <c r="DV212" s="148"/>
      <c r="DW212" s="148"/>
      <c r="DX212" s="148"/>
      <c r="DY212" s="148"/>
      <c r="DZ212" s="148"/>
      <c r="EA212" s="148"/>
      <c r="EB212" s="148"/>
      <c r="EC212" s="148"/>
      <c r="ED212" s="148"/>
      <c r="EE212" s="148"/>
      <c r="EF212" s="148"/>
      <c r="EG212" s="148"/>
      <c r="EH212" s="148"/>
      <c r="EI212" s="148"/>
      <c r="EJ212" s="148"/>
      <c r="EK212" s="148"/>
      <c r="EL212" s="148"/>
      <c r="EM212" s="148"/>
      <c r="EN212" s="148"/>
      <c r="EO212" s="148"/>
      <c r="EP212" s="148"/>
      <c r="EQ212" s="148"/>
      <c r="ER212" s="148"/>
      <c r="ES212" s="151"/>
      <c r="ET212" s="151"/>
      <c r="EU212" s="151"/>
      <c r="EV212" s="151"/>
      <c r="EW212" s="151"/>
      <c r="EX212" s="151"/>
      <c r="EY212" s="151"/>
      <c r="EZ212" s="151"/>
      <c r="FA212" s="151"/>
      <c r="FB212" s="151"/>
      <c r="FC212" s="151"/>
      <c r="FD212" s="151"/>
      <c r="FE212" s="151"/>
      <c r="FF212" s="151"/>
      <c r="FG212" s="151"/>
      <c r="FH212" s="151"/>
      <c r="FI212" s="151"/>
      <c r="FJ212" s="151"/>
      <c r="FK212" s="151"/>
      <c r="FL212" s="151"/>
      <c r="FM212" s="151"/>
      <c r="FN212" s="151"/>
      <c r="FO212" s="151"/>
      <c r="FP212" s="151"/>
      <c r="FQ212" s="151"/>
      <c r="FR212" s="151"/>
      <c r="FS212" s="151"/>
      <c r="FT212" s="151"/>
      <c r="FU212" s="151"/>
      <c r="FV212" s="151"/>
      <c r="FW212" s="151"/>
      <c r="FX212" s="151"/>
      <c r="FY212" s="151"/>
      <c r="FZ212" s="151"/>
      <c r="GA212" s="151"/>
      <c r="GB212" s="151"/>
      <c r="GC212" s="151"/>
      <c r="GD212" s="151"/>
      <c r="GE212" s="151"/>
      <c r="GF212" s="151"/>
      <c r="GG212" s="152"/>
    </row>
    <row r="213" spans="1:189" ht="27.75" x14ac:dyDescent="0.35">
      <c r="A213" s="222" t="s">
        <v>604</v>
      </c>
      <c r="B213" s="221" t="s">
        <v>1071</v>
      </c>
      <c r="C213" s="221"/>
      <c r="D213" s="221" t="s">
        <v>1083</v>
      </c>
      <c r="E213" s="221" t="s">
        <v>1360</v>
      </c>
      <c r="F213" s="221" t="s">
        <v>356</v>
      </c>
      <c r="G213" s="223">
        <v>1</v>
      </c>
      <c r="H213" s="224" t="s">
        <v>1373</v>
      </c>
      <c r="I213" s="225"/>
      <c r="J213" s="225"/>
      <c r="K213" s="225"/>
      <c r="L213" s="226">
        <v>46142</v>
      </c>
      <c r="M213" s="226">
        <v>46174</v>
      </c>
      <c r="N213" s="226"/>
      <c r="O213" s="226"/>
      <c r="P213" s="226"/>
      <c r="Q213" s="227" t="s">
        <v>13</v>
      </c>
      <c r="R213" s="228">
        <v>1000000</v>
      </c>
      <c r="S213" s="228">
        <v>1000000</v>
      </c>
      <c r="T213" s="228"/>
      <c r="U213" s="191">
        <f t="shared" si="226"/>
        <v>0</v>
      </c>
      <c r="V213" s="230"/>
      <c r="W213" s="231"/>
      <c r="X213" s="46"/>
      <c r="Y213" s="167">
        <f t="shared" si="219"/>
        <v>0</v>
      </c>
      <c r="Z213" s="167">
        <f t="shared" si="220"/>
        <v>0</v>
      </c>
      <c r="AA213" s="167">
        <f t="shared" si="221"/>
        <v>0</v>
      </c>
      <c r="AB213" s="167">
        <f t="shared" si="222"/>
        <v>1000000</v>
      </c>
      <c r="AC213" s="167">
        <f t="shared" si="223"/>
        <v>0</v>
      </c>
      <c r="AD213" s="167">
        <f t="shared" si="224"/>
        <v>1000000</v>
      </c>
      <c r="AF213" s="180">
        <f t="shared" si="225"/>
        <v>1</v>
      </c>
      <c r="AG213" s="202" t="str">
        <f t="shared" si="218"/>
        <v>Magdalena Białorucka Feed water tank and Deaerator</v>
      </c>
      <c r="AH213" s="172"/>
      <c r="AI213" s="173"/>
      <c r="AJ213" s="173"/>
      <c r="AK213" s="173"/>
      <c r="AL213" s="173"/>
      <c r="AM213" s="173"/>
      <c r="AN213" s="173"/>
      <c r="AO213" s="173"/>
      <c r="AP213" s="173"/>
      <c r="AQ213" s="173"/>
      <c r="AR213" s="173"/>
      <c r="AS213" s="173"/>
      <c r="AT213" s="173"/>
      <c r="AU213" s="173"/>
      <c r="AV213" s="173"/>
      <c r="AW213" s="173"/>
      <c r="AX213" s="173"/>
      <c r="AY213" s="173"/>
      <c r="AZ213" s="173"/>
      <c r="BA213" s="173"/>
      <c r="BB213" s="173"/>
      <c r="BC213" s="173"/>
      <c r="BD213" s="173"/>
      <c r="BE213" s="173"/>
      <c r="BF213" s="173"/>
      <c r="BG213" s="173"/>
      <c r="BH213" s="173"/>
      <c r="BI213" s="173"/>
      <c r="BJ213" s="173"/>
      <c r="BK213" s="173"/>
      <c r="BL213" s="173"/>
      <c r="BM213" s="173"/>
      <c r="BN213" s="173"/>
      <c r="BO213" s="173"/>
      <c r="BP213" s="173"/>
      <c r="BQ213" s="173"/>
      <c r="BR213" s="173"/>
      <c r="BS213" s="173"/>
      <c r="BT213" s="173"/>
      <c r="BU213" s="173"/>
      <c r="BV213" s="173"/>
      <c r="BW213" s="173"/>
      <c r="BX213" s="173"/>
      <c r="BY213" s="173"/>
      <c r="BZ213" s="173"/>
      <c r="CA213" s="173"/>
      <c r="CB213" s="173"/>
      <c r="CC213" s="173"/>
      <c r="CD213" s="173"/>
      <c r="CE213" s="173"/>
      <c r="CF213" s="173"/>
      <c r="CG213" s="173"/>
      <c r="CH213" s="173"/>
      <c r="CI213" s="173"/>
      <c r="CJ213" s="173"/>
      <c r="CK213" s="173"/>
      <c r="CL213" s="173"/>
      <c r="CM213" s="173"/>
      <c r="CN213" s="173"/>
      <c r="CO213" s="173"/>
      <c r="CP213" s="173"/>
      <c r="CQ213" s="173"/>
      <c r="CR213" s="173"/>
      <c r="CS213" s="173"/>
      <c r="CT213" s="173"/>
      <c r="CU213" s="173"/>
      <c r="CV213" s="173"/>
      <c r="CW213" s="173"/>
      <c r="CX213" s="173"/>
      <c r="CY213" s="148"/>
      <c r="CZ213" s="148"/>
      <c r="DA213" s="148"/>
      <c r="DB213" s="148"/>
      <c r="DC213" s="148"/>
      <c r="DD213" s="148"/>
      <c r="DE213" s="148"/>
      <c r="DF213" s="148"/>
      <c r="DG213" s="148"/>
      <c r="DH213" s="148"/>
      <c r="DI213" s="148"/>
      <c r="DJ213" s="148"/>
      <c r="DK213" s="148"/>
      <c r="DL213" s="148"/>
      <c r="DM213" s="148"/>
      <c r="DN213" s="148"/>
      <c r="DO213" s="148"/>
      <c r="DP213" s="148"/>
      <c r="DQ213" s="148"/>
      <c r="DR213" s="148"/>
      <c r="DS213" s="148"/>
      <c r="DT213" s="148"/>
      <c r="DU213" s="148"/>
      <c r="DV213" s="148"/>
      <c r="DW213" s="148"/>
      <c r="DX213" s="148"/>
      <c r="DY213" s="148"/>
      <c r="DZ213" s="148"/>
      <c r="EA213" s="148"/>
      <c r="EB213" s="148"/>
      <c r="EC213" s="148"/>
      <c r="ED213" s="148"/>
      <c r="EE213" s="148"/>
      <c r="EF213" s="148"/>
      <c r="EG213" s="148"/>
      <c r="EH213" s="148"/>
      <c r="EI213" s="148"/>
      <c r="EJ213" s="148"/>
      <c r="EK213" s="148"/>
      <c r="EL213" s="148"/>
      <c r="EM213" s="148"/>
      <c r="EN213" s="148"/>
      <c r="EO213" s="148"/>
      <c r="EP213" s="148"/>
      <c r="EQ213" s="148"/>
      <c r="ER213" s="148"/>
      <c r="ES213" s="151"/>
      <c r="ET213" s="151"/>
      <c r="EU213" s="151"/>
      <c r="EV213" s="151"/>
      <c r="EW213" s="151"/>
      <c r="EX213" s="151"/>
      <c r="EY213" s="151"/>
      <c r="EZ213" s="151"/>
      <c r="FA213" s="151"/>
      <c r="FB213" s="151"/>
      <c r="FC213" s="151"/>
      <c r="FD213" s="151"/>
      <c r="FE213" s="151"/>
      <c r="FF213" s="151"/>
      <c r="FG213" s="151"/>
      <c r="FH213" s="151"/>
      <c r="FI213" s="151"/>
      <c r="FJ213" s="151"/>
      <c r="FK213" s="151"/>
      <c r="FL213" s="151"/>
      <c r="FM213" s="151"/>
      <c r="FN213" s="151"/>
      <c r="FO213" s="151"/>
      <c r="FP213" s="151"/>
      <c r="FQ213" s="151"/>
      <c r="FR213" s="151"/>
      <c r="FS213" s="151"/>
      <c r="FT213" s="151"/>
      <c r="FU213" s="151"/>
      <c r="FV213" s="151"/>
      <c r="FW213" s="151"/>
      <c r="FX213" s="151"/>
      <c r="FY213" s="151"/>
      <c r="FZ213" s="151"/>
      <c r="GA213" s="151"/>
      <c r="GB213" s="151"/>
      <c r="GC213" s="151"/>
      <c r="GD213" s="151"/>
      <c r="GE213" s="151"/>
      <c r="GF213" s="151"/>
      <c r="GG213" s="152"/>
    </row>
    <row r="214" spans="1:189" ht="27.75" x14ac:dyDescent="0.35">
      <c r="A214" s="267" t="s">
        <v>596</v>
      </c>
      <c r="B214" s="221" t="s">
        <v>1066</v>
      </c>
      <c r="C214" s="221"/>
      <c r="D214" s="221" t="s">
        <v>1083</v>
      </c>
      <c r="E214" s="221" t="s">
        <v>433</v>
      </c>
      <c r="F214" s="221" t="s">
        <v>357</v>
      </c>
      <c r="G214" s="223">
        <v>2</v>
      </c>
      <c r="H214" s="224"/>
      <c r="I214" s="225"/>
      <c r="J214" s="225"/>
      <c r="K214" s="225"/>
      <c r="L214" s="226">
        <v>46357</v>
      </c>
      <c r="M214" s="226">
        <v>46419</v>
      </c>
      <c r="N214" s="226"/>
      <c r="O214" s="226"/>
      <c r="P214" s="226"/>
      <c r="Q214" s="227" t="s">
        <v>45</v>
      </c>
      <c r="R214" s="228">
        <v>18664194</v>
      </c>
      <c r="S214" s="228">
        <v>18664194</v>
      </c>
      <c r="T214" s="228"/>
      <c r="U214" s="191">
        <f t="shared" si="226"/>
        <v>0</v>
      </c>
      <c r="V214" s="230"/>
      <c r="W214" s="231"/>
      <c r="X214" s="46"/>
      <c r="Y214" s="167">
        <f t="shared" si="219"/>
        <v>18664194</v>
      </c>
      <c r="Z214" s="167">
        <f t="shared" si="220"/>
        <v>0</v>
      </c>
      <c r="AA214" s="167">
        <f t="shared" si="221"/>
        <v>18664194</v>
      </c>
      <c r="AB214" s="167">
        <f t="shared" si="222"/>
        <v>0</v>
      </c>
      <c r="AC214" s="167">
        <f t="shared" si="223"/>
        <v>0</v>
      </c>
      <c r="AD214" s="167">
        <f t="shared" si="224"/>
        <v>0</v>
      </c>
      <c r="AF214" s="47">
        <f t="shared" si="225"/>
        <v>1</v>
      </c>
      <c r="AG214" s="202" t="str">
        <f t="shared" si="218"/>
        <v>Stanisław Rucki Piping, fitting and supports</v>
      </c>
      <c r="AH214" s="172"/>
      <c r="AI214" s="173"/>
      <c r="AJ214" s="173"/>
      <c r="AK214" s="173"/>
      <c r="AL214" s="173"/>
      <c r="AM214" s="173"/>
      <c r="AN214" s="173"/>
      <c r="AO214" s="173"/>
      <c r="AP214" s="173"/>
      <c r="AQ214" s="173"/>
      <c r="AR214" s="173"/>
      <c r="AS214" s="173"/>
      <c r="AT214" s="173"/>
      <c r="AU214" s="173"/>
      <c r="AV214" s="173"/>
      <c r="AW214" s="173"/>
      <c r="AX214" s="173"/>
      <c r="AY214" s="173"/>
      <c r="AZ214" s="173"/>
      <c r="BA214" s="173"/>
      <c r="BB214" s="173"/>
      <c r="BC214" s="173"/>
      <c r="BD214" s="173"/>
      <c r="BE214" s="173"/>
      <c r="BF214" s="173"/>
      <c r="BG214" s="173"/>
      <c r="BH214" s="173"/>
      <c r="BI214" s="173"/>
      <c r="BJ214" s="173"/>
      <c r="BK214" s="173"/>
      <c r="BL214" s="173"/>
      <c r="BM214" s="173"/>
      <c r="BN214" s="173"/>
      <c r="BO214" s="173"/>
      <c r="BP214" s="173"/>
      <c r="BQ214" s="173"/>
      <c r="BR214" s="173"/>
      <c r="BS214" s="173"/>
      <c r="BT214" s="173"/>
      <c r="BU214" s="173"/>
      <c r="BV214" s="173"/>
      <c r="BW214" s="173"/>
      <c r="BX214" s="173"/>
      <c r="BY214" s="173"/>
      <c r="BZ214" s="173"/>
      <c r="CA214" s="173"/>
      <c r="CB214" s="173"/>
      <c r="CC214" s="173"/>
      <c r="CD214" s="173"/>
      <c r="CE214" s="173"/>
      <c r="CF214" s="173"/>
      <c r="CG214" s="173"/>
      <c r="CH214" s="173"/>
      <c r="CI214" s="173"/>
      <c r="CJ214" s="173"/>
      <c r="CK214" s="173"/>
      <c r="CL214" s="173"/>
      <c r="CM214" s="173"/>
      <c r="CN214" s="173"/>
      <c r="CO214" s="173"/>
      <c r="CP214" s="173"/>
      <c r="CQ214" s="173"/>
      <c r="CR214" s="173"/>
      <c r="CS214" s="173"/>
      <c r="CT214" s="173"/>
      <c r="CU214" s="173"/>
      <c r="CV214" s="173"/>
      <c r="CW214" s="173"/>
      <c r="CX214" s="173"/>
      <c r="CY214" s="148"/>
      <c r="CZ214" s="148"/>
      <c r="DA214" s="148"/>
      <c r="DB214" s="148"/>
      <c r="DC214" s="148"/>
      <c r="DD214" s="148"/>
      <c r="DE214" s="148"/>
      <c r="DF214" s="148"/>
      <c r="DG214" s="148"/>
      <c r="DH214" s="148"/>
      <c r="DI214" s="148"/>
      <c r="DJ214" s="148"/>
      <c r="DK214" s="148"/>
      <c r="DL214" s="148"/>
      <c r="DM214" s="148"/>
      <c r="DN214" s="148"/>
      <c r="DO214" s="148"/>
      <c r="DP214" s="148"/>
      <c r="DQ214" s="148"/>
      <c r="DR214" s="148"/>
      <c r="DS214" s="148"/>
      <c r="DT214" s="148"/>
      <c r="DU214" s="148"/>
      <c r="DV214" s="148"/>
      <c r="DW214" s="148"/>
      <c r="DX214" s="148"/>
      <c r="DY214" s="148"/>
      <c r="DZ214" s="148"/>
      <c r="EA214" s="148"/>
      <c r="EB214" s="148"/>
      <c r="EC214" s="148"/>
      <c r="ED214" s="148"/>
      <c r="EE214" s="148"/>
      <c r="EF214" s="148"/>
      <c r="EG214" s="148"/>
      <c r="EH214" s="148"/>
      <c r="EI214" s="148"/>
      <c r="EJ214" s="148"/>
      <c r="EK214" s="148"/>
      <c r="EL214" s="148"/>
      <c r="EM214" s="148"/>
      <c r="EN214" s="148"/>
      <c r="EO214" s="148"/>
      <c r="EP214" s="148"/>
      <c r="EQ214" s="148"/>
      <c r="ER214" s="148"/>
      <c r="ES214" s="148"/>
      <c r="ET214" s="148"/>
      <c r="EU214" s="148"/>
      <c r="EV214" s="148"/>
      <c r="EW214" s="148"/>
      <c r="EX214" s="148"/>
      <c r="EY214" s="148"/>
      <c r="EZ214" s="148"/>
      <c r="FA214" s="148"/>
      <c r="FB214" s="148"/>
      <c r="FC214" s="148"/>
      <c r="FD214" s="148"/>
      <c r="FE214" s="148"/>
      <c r="FF214" s="148"/>
      <c r="FG214" s="148"/>
      <c r="FH214" s="148"/>
      <c r="FI214" s="148"/>
      <c r="FJ214" s="148"/>
      <c r="FK214" s="148"/>
      <c r="FL214" s="148"/>
      <c r="FM214" s="148"/>
      <c r="FN214" s="148"/>
      <c r="FO214" s="148"/>
      <c r="FP214" s="148"/>
      <c r="FQ214" s="148"/>
      <c r="FR214" s="148"/>
      <c r="FS214" s="148"/>
      <c r="FT214" s="148"/>
      <c r="FU214" s="148"/>
      <c r="FV214" s="148"/>
      <c r="FW214" s="148"/>
      <c r="FX214" s="148"/>
      <c r="FY214" s="148"/>
      <c r="FZ214" s="148"/>
      <c r="GA214" s="148"/>
      <c r="GB214" s="148"/>
      <c r="GC214" s="148"/>
      <c r="GD214" s="148"/>
      <c r="GE214" s="148"/>
      <c r="GF214" s="148"/>
      <c r="GG214" s="149"/>
    </row>
    <row r="215" spans="1:189" ht="27.75" x14ac:dyDescent="0.35">
      <c r="A215" s="222" t="s">
        <v>605</v>
      </c>
      <c r="B215" s="221" t="s">
        <v>1071</v>
      </c>
      <c r="C215" s="221"/>
      <c r="D215" s="221" t="s">
        <v>1083</v>
      </c>
      <c r="E215" s="221" t="s">
        <v>603</v>
      </c>
      <c r="F215" s="221" t="s">
        <v>359</v>
      </c>
      <c r="G215" s="223">
        <v>1</v>
      </c>
      <c r="H215" s="224"/>
      <c r="I215" s="225"/>
      <c r="J215" s="225"/>
      <c r="K215" s="225"/>
      <c r="L215" s="226">
        <v>46219</v>
      </c>
      <c r="M215" s="226">
        <v>46266</v>
      </c>
      <c r="N215" s="226"/>
      <c r="O215" s="226"/>
      <c r="P215" s="226"/>
      <c r="Q215" s="227" t="s">
        <v>45</v>
      </c>
      <c r="R215" s="228">
        <v>550000</v>
      </c>
      <c r="S215" s="228">
        <v>550000</v>
      </c>
      <c r="T215" s="228"/>
      <c r="U215" s="191">
        <f t="shared" si="226"/>
        <v>0</v>
      </c>
      <c r="V215" s="230"/>
      <c r="W215" s="231"/>
      <c r="X215" s="46"/>
      <c r="Y215" s="167">
        <f t="shared" si="219"/>
        <v>0</v>
      </c>
      <c r="Z215" s="167">
        <f t="shared" si="220"/>
        <v>0</v>
      </c>
      <c r="AA215" s="167">
        <f t="shared" si="221"/>
        <v>0</v>
      </c>
      <c r="AB215" s="167">
        <f t="shared" si="222"/>
        <v>550000</v>
      </c>
      <c r="AC215" s="167">
        <f t="shared" si="223"/>
        <v>0</v>
      </c>
      <c r="AD215" s="167">
        <f t="shared" si="224"/>
        <v>550000</v>
      </c>
      <c r="AF215" s="180">
        <f t="shared" si="225"/>
        <v>1</v>
      </c>
      <c r="AG215" s="202" t="str">
        <f t="shared" si="218"/>
        <v>Magdalena Białorucka Chemical dossing for thermal cycle and district heating</v>
      </c>
      <c r="AH215" s="172"/>
      <c r="AI215" s="173"/>
      <c r="AJ215" s="173"/>
      <c r="AK215" s="173"/>
      <c r="AL215" s="173"/>
      <c r="AM215" s="173"/>
      <c r="AN215" s="173"/>
      <c r="AO215" s="173"/>
      <c r="AP215" s="173"/>
      <c r="AQ215" s="173"/>
      <c r="AR215" s="173"/>
      <c r="AS215" s="173"/>
      <c r="AT215" s="173"/>
      <c r="AU215" s="173"/>
      <c r="AV215" s="173"/>
      <c r="AW215" s="173"/>
      <c r="AX215" s="173"/>
      <c r="AY215" s="173"/>
      <c r="AZ215" s="173"/>
      <c r="BA215" s="173"/>
      <c r="BB215" s="173"/>
      <c r="BC215" s="173"/>
      <c r="BD215" s="173"/>
      <c r="BE215" s="173"/>
      <c r="BF215" s="173"/>
      <c r="BG215" s="173"/>
      <c r="BH215" s="173"/>
      <c r="BI215" s="173"/>
      <c r="BJ215" s="173"/>
      <c r="BK215" s="173"/>
      <c r="BL215" s="173"/>
      <c r="BM215" s="173"/>
      <c r="BN215" s="173"/>
      <c r="BO215" s="173"/>
      <c r="BP215" s="173"/>
      <c r="BQ215" s="173"/>
      <c r="BR215" s="173"/>
      <c r="BS215" s="173"/>
      <c r="BT215" s="173"/>
      <c r="BU215" s="173"/>
      <c r="BV215" s="173"/>
      <c r="BW215" s="173"/>
      <c r="BX215" s="173"/>
      <c r="BY215" s="173"/>
      <c r="BZ215" s="173"/>
      <c r="CA215" s="173"/>
      <c r="CB215" s="173"/>
      <c r="CC215" s="173"/>
      <c r="CD215" s="173"/>
      <c r="CE215" s="173"/>
      <c r="CF215" s="173"/>
      <c r="CG215" s="173"/>
      <c r="CH215" s="173"/>
      <c r="CI215" s="173"/>
      <c r="CJ215" s="173"/>
      <c r="CK215" s="173"/>
      <c r="CL215" s="173"/>
      <c r="CM215" s="173"/>
      <c r="CN215" s="173"/>
      <c r="CO215" s="173"/>
      <c r="CP215" s="173"/>
      <c r="CQ215" s="173"/>
      <c r="CR215" s="173"/>
      <c r="CS215" s="173"/>
      <c r="CT215" s="173"/>
      <c r="CU215" s="173"/>
      <c r="CV215" s="173"/>
      <c r="CW215" s="173"/>
      <c r="CX215" s="173"/>
      <c r="CY215" s="148"/>
      <c r="CZ215" s="148"/>
      <c r="DA215" s="148"/>
      <c r="DB215" s="148"/>
      <c r="DC215" s="148"/>
      <c r="DD215" s="148"/>
      <c r="DE215" s="148"/>
      <c r="DF215" s="148"/>
      <c r="DG215" s="148"/>
      <c r="DH215" s="148"/>
      <c r="DI215" s="148"/>
      <c r="DJ215" s="148"/>
      <c r="DK215" s="148"/>
      <c r="DL215" s="148"/>
      <c r="DM215" s="148"/>
      <c r="DN215" s="148"/>
      <c r="DO215" s="148"/>
      <c r="DP215" s="148"/>
      <c r="DQ215" s="148"/>
      <c r="DR215" s="148"/>
      <c r="DS215" s="148"/>
      <c r="DT215" s="148"/>
      <c r="DU215" s="148"/>
      <c r="DV215" s="148"/>
      <c r="DW215" s="148"/>
      <c r="DX215" s="148"/>
      <c r="DY215" s="148"/>
      <c r="DZ215" s="148"/>
      <c r="EA215" s="148"/>
      <c r="EB215" s="148"/>
      <c r="EC215" s="148"/>
      <c r="ED215" s="148"/>
      <c r="EE215" s="148"/>
      <c r="EF215" s="148"/>
      <c r="EG215" s="148"/>
      <c r="EH215" s="148"/>
      <c r="EI215" s="148"/>
      <c r="EJ215" s="148"/>
      <c r="EK215" s="148"/>
      <c r="EL215" s="148"/>
      <c r="EM215" s="148"/>
      <c r="EN215" s="148"/>
      <c r="EO215" s="148"/>
      <c r="EP215" s="148"/>
      <c r="EQ215" s="148"/>
      <c r="ER215" s="148"/>
      <c r="ES215" s="148"/>
      <c r="ET215" s="148"/>
      <c r="EU215" s="148"/>
      <c r="EV215" s="148"/>
      <c r="EW215" s="148"/>
      <c r="EX215" s="148"/>
      <c r="EY215" s="148"/>
      <c r="EZ215" s="148"/>
      <c r="FA215" s="148"/>
      <c r="FB215" s="148"/>
      <c r="FC215" s="148"/>
      <c r="FD215" s="148"/>
      <c r="FE215" s="148"/>
      <c r="FF215" s="148"/>
      <c r="FG215" s="148"/>
      <c r="FH215" s="148"/>
      <c r="FI215" s="148"/>
      <c r="FJ215" s="148"/>
      <c r="FK215" s="148"/>
      <c r="FL215" s="148"/>
      <c r="FM215" s="148"/>
      <c r="FN215" s="148"/>
      <c r="FO215" s="148"/>
      <c r="FP215" s="148"/>
      <c r="FQ215" s="148"/>
      <c r="FR215" s="148"/>
      <c r="FS215" s="148"/>
      <c r="FT215" s="148"/>
      <c r="FU215" s="148"/>
      <c r="FV215" s="148"/>
      <c r="FW215" s="148"/>
      <c r="FX215" s="148"/>
      <c r="FY215" s="148"/>
      <c r="FZ215" s="148"/>
      <c r="GA215" s="148"/>
      <c r="GB215" s="148"/>
      <c r="GC215" s="148"/>
      <c r="GD215" s="148"/>
      <c r="GE215" s="148"/>
      <c r="GF215" s="148"/>
      <c r="GG215" s="149"/>
    </row>
    <row r="216" spans="1:189" ht="27.75" x14ac:dyDescent="0.35">
      <c r="A216" s="267" t="s">
        <v>606</v>
      </c>
      <c r="B216" s="221" t="s">
        <v>1051</v>
      </c>
      <c r="C216" s="221"/>
      <c r="D216" s="221" t="s">
        <v>1083</v>
      </c>
      <c r="E216" s="221" t="s">
        <v>1055</v>
      </c>
      <c r="F216" s="221" t="s">
        <v>1054</v>
      </c>
      <c r="G216" s="223">
        <v>1</v>
      </c>
      <c r="H216" s="224"/>
      <c r="I216" s="225"/>
      <c r="J216" s="225"/>
      <c r="K216" s="225"/>
      <c r="L216" s="226">
        <v>46204</v>
      </c>
      <c r="M216" s="226">
        <v>46251</v>
      </c>
      <c r="N216" s="226"/>
      <c r="O216" s="226"/>
      <c r="P216" s="226"/>
      <c r="Q216" s="227" t="s">
        <v>45</v>
      </c>
      <c r="R216" s="228">
        <v>2000000</v>
      </c>
      <c r="S216" s="228">
        <v>2000000</v>
      </c>
      <c r="T216" s="228"/>
      <c r="U216" s="191">
        <f t="shared" si="226"/>
        <v>0</v>
      </c>
      <c r="V216" s="230"/>
      <c r="W216" s="231"/>
      <c r="X216" s="46"/>
      <c r="Y216" s="167">
        <f t="shared" si="219"/>
        <v>0</v>
      </c>
      <c r="Z216" s="167">
        <f t="shared" si="220"/>
        <v>0</v>
      </c>
      <c r="AA216" s="167">
        <f t="shared" si="221"/>
        <v>0</v>
      </c>
      <c r="AB216" s="167">
        <f t="shared" si="222"/>
        <v>2000000</v>
      </c>
      <c r="AC216" s="167">
        <f t="shared" si="223"/>
        <v>0</v>
      </c>
      <c r="AD216" s="167">
        <f t="shared" si="224"/>
        <v>2000000</v>
      </c>
      <c r="AF216" s="47">
        <f t="shared" si="225"/>
        <v>1</v>
      </c>
      <c r="AG216" s="202" t="str">
        <f t="shared" si="218"/>
        <v>Roger Gołombek Main coolers</v>
      </c>
      <c r="AH216" s="172"/>
      <c r="AI216" s="173"/>
      <c r="AJ216" s="173"/>
      <c r="AK216" s="173"/>
      <c r="AL216" s="173"/>
      <c r="AM216" s="173"/>
      <c r="AN216" s="173"/>
      <c r="AO216" s="173"/>
      <c r="AP216" s="173"/>
      <c r="AQ216" s="173"/>
      <c r="AR216" s="173"/>
      <c r="AS216" s="173"/>
      <c r="AT216" s="173"/>
      <c r="AU216" s="173"/>
      <c r="AV216" s="173"/>
      <c r="AW216" s="173"/>
      <c r="AX216" s="173"/>
      <c r="AY216" s="173"/>
      <c r="AZ216" s="173"/>
      <c r="BA216" s="173"/>
      <c r="BB216" s="173"/>
      <c r="BC216" s="173"/>
      <c r="BD216" s="173"/>
      <c r="BE216" s="173"/>
      <c r="BF216" s="173"/>
      <c r="BG216" s="173"/>
      <c r="BH216" s="173"/>
      <c r="BI216" s="173"/>
      <c r="BJ216" s="173"/>
      <c r="BK216" s="173"/>
      <c r="BL216" s="173"/>
      <c r="BM216" s="173"/>
      <c r="BN216" s="173"/>
      <c r="BO216" s="173"/>
      <c r="BP216" s="173"/>
      <c r="BQ216" s="173"/>
      <c r="BR216" s="173"/>
      <c r="BS216" s="173"/>
      <c r="BT216" s="173"/>
      <c r="BU216" s="173"/>
      <c r="BV216" s="173"/>
      <c r="BW216" s="173"/>
      <c r="BX216" s="173"/>
      <c r="BY216" s="173"/>
      <c r="BZ216" s="173"/>
      <c r="CA216" s="173"/>
      <c r="CB216" s="173"/>
      <c r="CC216" s="173"/>
      <c r="CD216" s="173"/>
      <c r="CE216" s="173"/>
      <c r="CF216" s="173"/>
      <c r="CG216" s="173"/>
      <c r="CH216" s="173"/>
      <c r="CI216" s="173"/>
      <c r="CJ216" s="173"/>
      <c r="CK216" s="173"/>
      <c r="CL216" s="173"/>
      <c r="CM216" s="173"/>
      <c r="CN216" s="173"/>
      <c r="CO216" s="173"/>
      <c r="CP216" s="173"/>
      <c r="CQ216" s="173"/>
      <c r="CR216" s="173"/>
      <c r="CS216" s="173"/>
      <c r="CT216" s="173"/>
      <c r="CU216" s="173"/>
      <c r="CV216" s="173"/>
      <c r="CW216" s="173"/>
      <c r="CX216" s="173"/>
      <c r="CY216" s="148"/>
      <c r="CZ216" s="148"/>
      <c r="DA216" s="148"/>
      <c r="DB216" s="148"/>
      <c r="DC216" s="148"/>
      <c r="DD216" s="148"/>
      <c r="DE216" s="148"/>
      <c r="DF216" s="148"/>
      <c r="DG216" s="148"/>
      <c r="DH216" s="148"/>
      <c r="DI216" s="148"/>
      <c r="DJ216" s="148"/>
      <c r="DK216" s="148"/>
      <c r="DL216" s="148"/>
      <c r="DM216" s="148"/>
      <c r="DN216" s="148"/>
      <c r="DO216" s="148"/>
      <c r="DP216" s="148"/>
      <c r="DQ216" s="148"/>
      <c r="DR216" s="148"/>
      <c r="DS216" s="148"/>
      <c r="DT216" s="148"/>
      <c r="DU216" s="148"/>
      <c r="DV216" s="148"/>
      <c r="DW216" s="148"/>
      <c r="DX216" s="148"/>
      <c r="DY216" s="148"/>
      <c r="DZ216" s="148"/>
      <c r="EA216" s="148"/>
      <c r="EB216" s="148"/>
      <c r="EC216" s="148"/>
      <c r="ED216" s="148"/>
      <c r="EE216" s="148"/>
      <c r="EF216" s="148"/>
      <c r="EG216" s="148"/>
      <c r="EH216" s="148"/>
      <c r="EI216" s="148"/>
      <c r="EJ216" s="148"/>
      <c r="EK216" s="148"/>
      <c r="EL216" s="148"/>
      <c r="EM216" s="148"/>
      <c r="EN216" s="148"/>
      <c r="EO216" s="148"/>
      <c r="EP216" s="148"/>
      <c r="EQ216" s="148"/>
      <c r="ER216" s="148"/>
      <c r="ES216" s="148"/>
      <c r="ET216" s="148"/>
      <c r="EU216" s="148"/>
      <c r="EV216" s="148"/>
      <c r="EW216" s="148"/>
      <c r="EX216" s="148"/>
      <c r="EY216" s="148"/>
      <c r="EZ216" s="148"/>
      <c r="FA216" s="148"/>
      <c r="FB216" s="148"/>
      <c r="FC216" s="148"/>
      <c r="FD216" s="148"/>
      <c r="FE216" s="148"/>
      <c r="FF216" s="148"/>
      <c r="FG216" s="148"/>
      <c r="FH216" s="148"/>
      <c r="FI216" s="148"/>
      <c r="FJ216" s="148"/>
      <c r="FK216" s="148"/>
      <c r="FL216" s="148"/>
      <c r="FM216" s="148"/>
      <c r="FN216" s="148"/>
      <c r="FO216" s="148"/>
      <c r="FP216" s="148"/>
      <c r="FQ216" s="148"/>
      <c r="FR216" s="148"/>
      <c r="FS216" s="148"/>
      <c r="FT216" s="148"/>
      <c r="FU216" s="148"/>
      <c r="FV216" s="148"/>
      <c r="FW216" s="148"/>
      <c r="FX216" s="148"/>
      <c r="FY216" s="148"/>
      <c r="FZ216" s="148"/>
      <c r="GA216" s="148"/>
      <c r="GB216" s="148"/>
      <c r="GC216" s="148"/>
      <c r="GD216" s="148"/>
      <c r="GE216" s="148"/>
      <c r="GF216" s="148"/>
      <c r="GG216" s="149"/>
    </row>
    <row r="217" spans="1:189" ht="27.75" x14ac:dyDescent="0.35">
      <c r="A217" s="222" t="s">
        <v>607</v>
      </c>
      <c r="B217" s="221" t="s">
        <v>1051</v>
      </c>
      <c r="C217" s="221"/>
      <c r="D217" s="221" t="s">
        <v>1083</v>
      </c>
      <c r="E217" s="221" t="s">
        <v>620</v>
      </c>
      <c r="F217" s="221" t="s">
        <v>621</v>
      </c>
      <c r="G217" s="223">
        <v>1</v>
      </c>
      <c r="H217" s="224"/>
      <c r="I217" s="225"/>
      <c r="J217" s="225"/>
      <c r="K217" s="225"/>
      <c r="L217" s="226">
        <v>46204</v>
      </c>
      <c r="M217" s="226">
        <v>46251</v>
      </c>
      <c r="N217" s="226"/>
      <c r="O217" s="226"/>
      <c r="P217" s="226"/>
      <c r="Q217" s="227" t="s">
        <v>45</v>
      </c>
      <c r="R217" s="228">
        <v>1000000</v>
      </c>
      <c r="S217" s="228">
        <v>1000000</v>
      </c>
      <c r="T217" s="228"/>
      <c r="U217" s="191">
        <f t="shared" si="226"/>
        <v>0</v>
      </c>
      <c r="V217" s="230"/>
      <c r="W217" s="231"/>
      <c r="X217" s="46"/>
      <c r="Y217" s="167">
        <f t="shared" si="219"/>
        <v>0</v>
      </c>
      <c r="Z217" s="167">
        <f t="shared" si="220"/>
        <v>0</v>
      </c>
      <c r="AA217" s="167">
        <f t="shared" si="221"/>
        <v>0</v>
      </c>
      <c r="AB217" s="167">
        <f t="shared" si="222"/>
        <v>1000000</v>
      </c>
      <c r="AC217" s="167">
        <f t="shared" si="223"/>
        <v>0</v>
      </c>
      <c r="AD217" s="167">
        <f t="shared" si="224"/>
        <v>1000000</v>
      </c>
      <c r="AF217" s="180">
        <f t="shared" si="225"/>
        <v>1</v>
      </c>
      <c r="AG217" s="202" t="str">
        <f t="shared" si="218"/>
        <v>Roger Gołombek Cooler tank, condensate tank</v>
      </c>
      <c r="AH217" s="172"/>
      <c r="AI217" s="173"/>
      <c r="AJ217" s="173"/>
      <c r="AK217" s="173"/>
      <c r="AL217" s="173"/>
      <c r="AM217" s="173"/>
      <c r="AN217" s="173"/>
      <c r="AO217" s="173"/>
      <c r="AP217" s="173"/>
      <c r="AQ217" s="173"/>
      <c r="AR217" s="173"/>
      <c r="AS217" s="173"/>
      <c r="AT217" s="173"/>
      <c r="AU217" s="173"/>
      <c r="AV217" s="173"/>
      <c r="AW217" s="173"/>
      <c r="AX217" s="173"/>
      <c r="AY217" s="173"/>
      <c r="AZ217" s="173"/>
      <c r="BA217" s="173"/>
      <c r="BB217" s="173"/>
      <c r="BC217" s="173"/>
      <c r="BD217" s="173"/>
      <c r="BE217" s="173"/>
      <c r="BF217" s="173"/>
      <c r="BG217" s="173"/>
      <c r="BH217" s="173"/>
      <c r="BI217" s="173"/>
      <c r="BJ217" s="173"/>
      <c r="BK217" s="173"/>
      <c r="BL217" s="173"/>
      <c r="BM217" s="173"/>
      <c r="BN217" s="173"/>
      <c r="BO217" s="173"/>
      <c r="BP217" s="173"/>
      <c r="BQ217" s="173"/>
      <c r="BR217" s="173"/>
      <c r="BS217" s="173"/>
      <c r="BT217" s="173"/>
      <c r="BU217" s="173"/>
      <c r="BV217" s="173"/>
      <c r="BW217" s="173"/>
      <c r="BX217" s="173"/>
      <c r="BY217" s="173"/>
      <c r="BZ217" s="173"/>
      <c r="CA217" s="173"/>
      <c r="CB217" s="173"/>
      <c r="CC217" s="173"/>
      <c r="CD217" s="173"/>
      <c r="CE217" s="173"/>
      <c r="CF217" s="173"/>
      <c r="CG217" s="173"/>
      <c r="CH217" s="173"/>
      <c r="CI217" s="173"/>
      <c r="CJ217" s="173"/>
      <c r="CK217" s="173"/>
      <c r="CL217" s="173"/>
      <c r="CM217" s="173"/>
      <c r="CN217" s="173"/>
      <c r="CO217" s="173"/>
      <c r="CP217" s="173"/>
      <c r="CQ217" s="173"/>
      <c r="CR217" s="173"/>
      <c r="CS217" s="173"/>
      <c r="CT217" s="173"/>
      <c r="CU217" s="173"/>
      <c r="CV217" s="173"/>
      <c r="CW217" s="173"/>
      <c r="CX217" s="173"/>
      <c r="CY217" s="148"/>
      <c r="CZ217" s="148"/>
      <c r="DA217" s="148"/>
      <c r="DB217" s="148"/>
      <c r="DC217" s="148"/>
      <c r="DD217" s="148"/>
      <c r="DE217" s="148"/>
      <c r="DF217" s="148"/>
      <c r="DG217" s="148"/>
      <c r="DH217" s="148"/>
      <c r="DI217" s="148"/>
      <c r="DJ217" s="148"/>
      <c r="DK217" s="148"/>
      <c r="DL217" s="148"/>
      <c r="DM217" s="148"/>
      <c r="DN217" s="148"/>
      <c r="DO217" s="148"/>
      <c r="DP217" s="148"/>
      <c r="DQ217" s="148"/>
      <c r="DR217" s="148"/>
      <c r="DS217" s="148"/>
      <c r="DT217" s="148"/>
      <c r="DU217" s="148"/>
      <c r="DV217" s="148"/>
      <c r="DW217" s="148"/>
      <c r="DX217" s="148"/>
      <c r="DY217" s="148"/>
      <c r="DZ217" s="148"/>
      <c r="EA217" s="148"/>
      <c r="EB217" s="148"/>
      <c r="EC217" s="148"/>
      <c r="ED217" s="148"/>
      <c r="EE217" s="148"/>
      <c r="EF217" s="148"/>
      <c r="EG217" s="148"/>
      <c r="EH217" s="148"/>
      <c r="EI217" s="148"/>
      <c r="EJ217" s="148"/>
      <c r="EK217" s="148"/>
      <c r="EL217" s="148"/>
      <c r="EM217" s="148"/>
      <c r="EN217" s="148"/>
      <c r="EO217" s="148"/>
      <c r="EP217" s="148"/>
      <c r="EQ217" s="148"/>
      <c r="ER217" s="148"/>
      <c r="ES217" s="148"/>
      <c r="ET217" s="148"/>
      <c r="EU217" s="148"/>
      <c r="EV217" s="148"/>
      <c r="EW217" s="148"/>
      <c r="EX217" s="148"/>
      <c r="EY217" s="148"/>
      <c r="EZ217" s="148"/>
      <c r="FA217" s="148"/>
      <c r="FB217" s="148"/>
      <c r="FC217" s="148"/>
      <c r="FD217" s="148"/>
      <c r="FE217" s="148"/>
      <c r="FF217" s="148"/>
      <c r="FG217" s="148"/>
      <c r="FH217" s="148"/>
      <c r="FI217" s="148"/>
      <c r="FJ217" s="148"/>
      <c r="FK217" s="148"/>
      <c r="FL217" s="148"/>
      <c r="FM217" s="148"/>
      <c r="FN217" s="148"/>
      <c r="FO217" s="148"/>
      <c r="FP217" s="148"/>
      <c r="FQ217" s="148"/>
      <c r="FR217" s="148"/>
      <c r="FS217" s="148"/>
      <c r="FT217" s="148"/>
      <c r="FU217" s="148"/>
      <c r="FV217" s="148"/>
      <c r="FW217" s="148"/>
      <c r="FX217" s="148"/>
      <c r="FY217" s="148"/>
      <c r="FZ217" s="148"/>
      <c r="GA217" s="148"/>
      <c r="GB217" s="148"/>
      <c r="GC217" s="148"/>
      <c r="GD217" s="148"/>
      <c r="GE217" s="148"/>
      <c r="GF217" s="148"/>
      <c r="GG217" s="149"/>
    </row>
    <row r="218" spans="1:189" ht="27.75" x14ac:dyDescent="0.35">
      <c r="A218" s="267" t="s">
        <v>608</v>
      </c>
      <c r="B218" s="221"/>
      <c r="C218" s="221"/>
      <c r="D218" s="221" t="s">
        <v>1083</v>
      </c>
      <c r="E218" s="221" t="s">
        <v>1374</v>
      </c>
      <c r="F218" s="221" t="s">
        <v>1375</v>
      </c>
      <c r="G218" s="223">
        <v>1</v>
      </c>
      <c r="H218" s="224" t="s">
        <v>1373</v>
      </c>
      <c r="I218" s="225"/>
      <c r="J218" s="225"/>
      <c r="K218" s="225"/>
      <c r="L218" s="226">
        <v>46204</v>
      </c>
      <c r="M218" s="226">
        <v>46252</v>
      </c>
      <c r="N218" s="226"/>
      <c r="O218" s="226"/>
      <c r="P218" s="226"/>
      <c r="Q218" s="227" t="s">
        <v>13</v>
      </c>
      <c r="R218" s="228">
        <v>350000</v>
      </c>
      <c r="S218" s="228">
        <v>350000</v>
      </c>
      <c r="T218" s="228"/>
      <c r="U218" s="191">
        <f t="shared" si="226"/>
        <v>0</v>
      </c>
      <c r="V218" s="230"/>
      <c r="W218" s="231"/>
      <c r="X218" s="46"/>
      <c r="Y218" s="167">
        <f t="shared" si="219"/>
        <v>0</v>
      </c>
      <c r="Z218" s="167">
        <f t="shared" si="220"/>
        <v>0</v>
      </c>
      <c r="AA218" s="167">
        <f t="shared" si="221"/>
        <v>0</v>
      </c>
      <c r="AB218" s="167">
        <f t="shared" si="222"/>
        <v>350000</v>
      </c>
      <c r="AC218" s="167">
        <f t="shared" si="223"/>
        <v>0</v>
      </c>
      <c r="AD218" s="167">
        <f t="shared" si="224"/>
        <v>350000</v>
      </c>
      <c r="AF218" s="47">
        <f t="shared" si="225"/>
        <v>1</v>
      </c>
      <c r="AG218" s="202" t="str">
        <f t="shared" si="218"/>
        <v xml:space="preserve"> Water pressure stabilization system / deaerator</v>
      </c>
      <c r="AH218" s="172"/>
      <c r="AI218" s="173"/>
      <c r="AJ218" s="173"/>
      <c r="AK218" s="173"/>
      <c r="AL218" s="173"/>
      <c r="AM218" s="173"/>
      <c r="AN218" s="173"/>
      <c r="AO218" s="173"/>
      <c r="AP218" s="173"/>
      <c r="AQ218" s="173"/>
      <c r="AR218" s="173"/>
      <c r="AS218" s="173"/>
      <c r="AT218" s="173"/>
      <c r="AU218" s="173"/>
      <c r="AV218" s="173"/>
      <c r="AW218" s="173"/>
      <c r="AX218" s="173"/>
      <c r="AY218" s="173"/>
      <c r="AZ218" s="173"/>
      <c r="BA218" s="173"/>
      <c r="BB218" s="173"/>
      <c r="BC218" s="173"/>
      <c r="BD218" s="173"/>
      <c r="BE218" s="173"/>
      <c r="BF218" s="173"/>
      <c r="BG218" s="173"/>
      <c r="BH218" s="173"/>
      <c r="BI218" s="173"/>
      <c r="BJ218" s="173"/>
      <c r="BK218" s="173"/>
      <c r="BL218" s="173"/>
      <c r="BM218" s="173"/>
      <c r="BN218" s="173"/>
      <c r="BO218" s="173"/>
      <c r="BP218" s="173"/>
      <c r="BQ218" s="173"/>
      <c r="BR218" s="173"/>
      <c r="BS218" s="173"/>
      <c r="BT218" s="173"/>
      <c r="BU218" s="173"/>
      <c r="BV218" s="173"/>
      <c r="BW218" s="173"/>
      <c r="BX218" s="173"/>
      <c r="BY218" s="173"/>
      <c r="BZ218" s="173"/>
      <c r="CA218" s="173"/>
      <c r="CB218" s="173"/>
      <c r="CC218" s="173"/>
      <c r="CD218" s="173"/>
      <c r="CE218" s="173"/>
      <c r="CF218" s="173"/>
      <c r="CG218" s="173"/>
      <c r="CH218" s="173"/>
      <c r="CI218" s="173"/>
      <c r="CJ218" s="173"/>
      <c r="CK218" s="173"/>
      <c r="CL218" s="173"/>
      <c r="CM218" s="173"/>
      <c r="CN218" s="173"/>
      <c r="CO218" s="173"/>
      <c r="CP218" s="173"/>
      <c r="CQ218" s="173"/>
      <c r="CR218" s="173"/>
      <c r="CS218" s="173"/>
      <c r="CT218" s="173"/>
      <c r="CU218" s="173"/>
      <c r="CV218" s="173"/>
      <c r="CW218" s="173"/>
      <c r="CX218" s="173"/>
      <c r="CY218" s="148"/>
      <c r="CZ218" s="148"/>
      <c r="DA218" s="148"/>
      <c r="DB218" s="148"/>
      <c r="DC218" s="148"/>
      <c r="DD218" s="148"/>
      <c r="DE218" s="148"/>
      <c r="DF218" s="148"/>
      <c r="DG218" s="148"/>
      <c r="DH218" s="148"/>
      <c r="DI218" s="148"/>
      <c r="DJ218" s="148"/>
      <c r="DK218" s="148"/>
      <c r="DL218" s="148"/>
      <c r="DM218" s="148"/>
      <c r="DN218" s="148"/>
      <c r="DO218" s="148"/>
      <c r="DP218" s="148"/>
      <c r="DQ218" s="148"/>
      <c r="DR218" s="148"/>
      <c r="DS218" s="148"/>
      <c r="DT218" s="148"/>
      <c r="DU218" s="148"/>
      <c r="DV218" s="148"/>
      <c r="DW218" s="148"/>
      <c r="DX218" s="148"/>
      <c r="DY218" s="148"/>
      <c r="DZ218" s="148"/>
      <c r="EA218" s="148"/>
      <c r="EB218" s="148"/>
      <c r="EC218" s="148"/>
      <c r="ED218" s="148"/>
      <c r="EE218" s="148"/>
      <c r="EF218" s="148"/>
      <c r="EG218" s="148"/>
      <c r="EH218" s="148"/>
      <c r="EI218" s="148"/>
      <c r="EJ218" s="148"/>
      <c r="EK218" s="148"/>
      <c r="EL218" s="148"/>
      <c r="EM218" s="148"/>
      <c r="EN218" s="148"/>
      <c r="EO218" s="148"/>
      <c r="EP218" s="148"/>
      <c r="EQ218" s="148"/>
      <c r="ER218" s="148"/>
      <c r="ES218" s="148"/>
      <c r="ET218" s="148"/>
      <c r="EU218" s="148"/>
      <c r="EV218" s="148"/>
      <c r="EW218" s="148"/>
      <c r="EX218" s="148"/>
      <c r="EY218" s="148"/>
      <c r="EZ218" s="148"/>
      <c r="FA218" s="148"/>
      <c r="FB218" s="148"/>
      <c r="FC218" s="148"/>
      <c r="FD218" s="148"/>
      <c r="FE218" s="148"/>
      <c r="FF218" s="148"/>
      <c r="FG218" s="148"/>
      <c r="FH218" s="148"/>
      <c r="FI218" s="148"/>
      <c r="FJ218" s="148"/>
      <c r="FK218" s="148"/>
      <c r="FL218" s="148"/>
      <c r="FM218" s="148"/>
      <c r="FN218" s="148"/>
      <c r="FO218" s="148"/>
      <c r="FP218" s="148"/>
      <c r="FQ218" s="148"/>
      <c r="FR218" s="148"/>
      <c r="FS218" s="148"/>
      <c r="FT218" s="148"/>
      <c r="FU218" s="148"/>
      <c r="FV218" s="148"/>
      <c r="FW218" s="148"/>
      <c r="FX218" s="148"/>
      <c r="FY218" s="148"/>
      <c r="FZ218" s="148"/>
      <c r="GA218" s="148"/>
      <c r="GB218" s="148"/>
      <c r="GC218" s="148"/>
      <c r="GD218" s="148"/>
      <c r="GE218" s="148"/>
      <c r="GF218" s="148"/>
      <c r="GG218" s="149"/>
    </row>
    <row r="219" spans="1:189" ht="27.75" x14ac:dyDescent="0.35">
      <c r="A219" s="222" t="s">
        <v>609</v>
      </c>
      <c r="B219" s="221" t="s">
        <v>1071</v>
      </c>
      <c r="C219" s="221"/>
      <c r="D219" s="221" t="s">
        <v>1083</v>
      </c>
      <c r="E219" s="221" t="s">
        <v>434</v>
      </c>
      <c r="F219" s="221" t="s">
        <v>360</v>
      </c>
      <c r="G219" s="223">
        <v>2</v>
      </c>
      <c r="H219" s="224"/>
      <c r="I219" s="225"/>
      <c r="J219" s="225"/>
      <c r="K219" s="225"/>
      <c r="L219" s="226">
        <v>46224</v>
      </c>
      <c r="M219" s="226">
        <v>46271</v>
      </c>
      <c r="N219" s="226"/>
      <c r="O219" s="226"/>
      <c r="P219" s="226"/>
      <c r="Q219" s="227" t="s">
        <v>45</v>
      </c>
      <c r="R219" s="228">
        <v>200000</v>
      </c>
      <c r="S219" s="228">
        <v>200000</v>
      </c>
      <c r="T219" s="228"/>
      <c r="U219" s="191">
        <f t="shared" si="226"/>
        <v>0</v>
      </c>
      <c r="V219" s="230"/>
      <c r="W219" s="231"/>
      <c r="X219" s="46"/>
      <c r="Y219" s="167">
        <f t="shared" si="219"/>
        <v>200000</v>
      </c>
      <c r="Z219" s="167">
        <f t="shared" si="220"/>
        <v>0</v>
      </c>
      <c r="AA219" s="167">
        <f t="shared" si="221"/>
        <v>200000</v>
      </c>
      <c r="AB219" s="167">
        <f t="shared" si="222"/>
        <v>0</v>
      </c>
      <c r="AC219" s="167">
        <f t="shared" si="223"/>
        <v>0</v>
      </c>
      <c r="AD219" s="167">
        <f t="shared" si="224"/>
        <v>0</v>
      </c>
      <c r="AF219" s="180">
        <f t="shared" si="225"/>
        <v>1</v>
      </c>
      <c r="AG219" s="202" t="str">
        <f t="shared" si="218"/>
        <v>Magdalena Białorucka Water tank 100 m3</v>
      </c>
      <c r="AH219" s="172"/>
      <c r="AI219" s="173"/>
      <c r="AJ219" s="173"/>
      <c r="AK219" s="173"/>
      <c r="AL219" s="173"/>
      <c r="AM219" s="173"/>
      <c r="AN219" s="173"/>
      <c r="AO219" s="173"/>
      <c r="AP219" s="173"/>
      <c r="AQ219" s="173"/>
      <c r="AR219" s="173"/>
      <c r="AS219" s="173"/>
      <c r="AT219" s="173"/>
      <c r="AU219" s="173"/>
      <c r="AV219" s="173"/>
      <c r="AW219" s="173"/>
      <c r="AX219" s="173"/>
      <c r="AY219" s="173"/>
      <c r="AZ219" s="173"/>
      <c r="BA219" s="173"/>
      <c r="BB219" s="173"/>
      <c r="BC219" s="173"/>
      <c r="BD219" s="173"/>
      <c r="BE219" s="173"/>
      <c r="BF219" s="173"/>
      <c r="BG219" s="173"/>
      <c r="BH219" s="173"/>
      <c r="BI219" s="173"/>
      <c r="BJ219" s="173"/>
      <c r="BK219" s="173"/>
      <c r="BL219" s="173"/>
      <c r="BM219" s="173"/>
      <c r="BN219" s="173"/>
      <c r="BO219" s="173"/>
      <c r="BP219" s="173"/>
      <c r="BQ219" s="173"/>
      <c r="BR219" s="173"/>
      <c r="BS219" s="173"/>
      <c r="BT219" s="173"/>
      <c r="BU219" s="173"/>
      <c r="BV219" s="173"/>
      <c r="BW219" s="173"/>
      <c r="BX219" s="173"/>
      <c r="BY219" s="173"/>
      <c r="BZ219" s="173"/>
      <c r="CA219" s="173"/>
      <c r="CB219" s="173"/>
      <c r="CC219" s="173"/>
      <c r="CD219" s="173"/>
      <c r="CE219" s="173"/>
      <c r="CF219" s="173"/>
      <c r="CG219" s="173"/>
      <c r="CH219" s="173"/>
      <c r="CI219" s="173"/>
      <c r="CJ219" s="173"/>
      <c r="CK219" s="173"/>
      <c r="CL219" s="173"/>
      <c r="CM219" s="173"/>
      <c r="CN219" s="173"/>
      <c r="CO219" s="173"/>
      <c r="CP219" s="173"/>
      <c r="CQ219" s="173"/>
      <c r="CR219" s="173"/>
      <c r="CS219" s="173"/>
      <c r="CT219" s="173"/>
      <c r="CU219" s="173"/>
      <c r="CV219" s="173"/>
      <c r="CW219" s="173"/>
      <c r="CX219" s="173"/>
      <c r="CY219" s="148"/>
      <c r="CZ219" s="148"/>
      <c r="DA219" s="148"/>
      <c r="DB219" s="148"/>
      <c r="DC219" s="148"/>
      <c r="DD219" s="148"/>
      <c r="DE219" s="148"/>
      <c r="DF219" s="148"/>
      <c r="DG219" s="148"/>
      <c r="DH219" s="148"/>
      <c r="DI219" s="148"/>
      <c r="DJ219" s="148"/>
      <c r="DK219" s="148"/>
      <c r="DL219" s="148"/>
      <c r="DM219" s="148"/>
      <c r="DN219" s="148"/>
      <c r="DO219" s="148"/>
      <c r="DP219" s="148"/>
      <c r="DQ219" s="148"/>
      <c r="DR219" s="148"/>
      <c r="DS219" s="148"/>
      <c r="DT219" s="148"/>
      <c r="DU219" s="148"/>
      <c r="DV219" s="148"/>
      <c r="DW219" s="148"/>
      <c r="DX219" s="148"/>
      <c r="DY219" s="148"/>
      <c r="DZ219" s="148"/>
      <c r="EA219" s="148"/>
      <c r="EB219" s="148"/>
      <c r="EC219" s="148"/>
      <c r="ED219" s="148"/>
      <c r="EE219" s="148"/>
      <c r="EF219" s="148"/>
      <c r="EG219" s="148"/>
      <c r="EH219" s="148"/>
      <c r="EI219" s="148"/>
      <c r="EJ219" s="148"/>
      <c r="EK219" s="148"/>
      <c r="EL219" s="148"/>
      <c r="EM219" s="148"/>
      <c r="EN219" s="148"/>
      <c r="EO219" s="148"/>
      <c r="EP219" s="148"/>
      <c r="EQ219" s="148"/>
      <c r="ER219" s="148"/>
      <c r="ES219" s="148"/>
      <c r="ET219" s="148"/>
      <c r="EU219" s="148"/>
      <c r="EV219" s="148"/>
      <c r="EW219" s="148"/>
      <c r="EX219" s="148"/>
      <c r="EY219" s="148"/>
      <c r="EZ219" s="148"/>
      <c r="FA219" s="148"/>
      <c r="FB219" s="148"/>
      <c r="FC219" s="148"/>
      <c r="FD219" s="148"/>
      <c r="FE219" s="148"/>
      <c r="FF219" s="148"/>
      <c r="FG219" s="148"/>
      <c r="FH219" s="148"/>
      <c r="FI219" s="148"/>
      <c r="FJ219" s="148"/>
      <c r="FK219" s="148"/>
      <c r="FL219" s="148"/>
      <c r="FM219" s="148"/>
      <c r="FN219" s="148"/>
      <c r="FO219" s="148"/>
      <c r="FP219" s="148"/>
      <c r="FQ219" s="148"/>
      <c r="FR219" s="148"/>
      <c r="FS219" s="148"/>
      <c r="FT219" s="148"/>
      <c r="FU219" s="148"/>
      <c r="FV219" s="148"/>
      <c r="FW219" s="148"/>
      <c r="FX219" s="148"/>
      <c r="FY219" s="148"/>
      <c r="FZ219" s="148"/>
      <c r="GA219" s="148"/>
      <c r="GB219" s="148"/>
      <c r="GC219" s="148"/>
      <c r="GD219" s="148"/>
      <c r="GE219" s="148"/>
      <c r="GF219" s="148"/>
      <c r="GG219" s="149"/>
    </row>
    <row r="220" spans="1:189" ht="27.75" x14ac:dyDescent="0.35">
      <c r="A220" s="267" t="s">
        <v>610</v>
      </c>
      <c r="B220" s="221" t="s">
        <v>1066</v>
      </c>
      <c r="C220" s="221"/>
      <c r="D220" s="221" t="s">
        <v>1083</v>
      </c>
      <c r="E220" s="221" t="s">
        <v>614</v>
      </c>
      <c r="F220" s="221" t="s">
        <v>615</v>
      </c>
      <c r="G220" s="223">
        <v>2</v>
      </c>
      <c r="H220" s="224"/>
      <c r="I220" s="225"/>
      <c r="J220" s="225"/>
      <c r="K220" s="225"/>
      <c r="L220" s="226">
        <v>46153</v>
      </c>
      <c r="M220" s="226">
        <v>46215</v>
      </c>
      <c r="N220" s="226"/>
      <c r="O220" s="226"/>
      <c r="P220" s="226"/>
      <c r="Q220" s="227" t="s">
        <v>45</v>
      </c>
      <c r="R220" s="228">
        <v>3242866</v>
      </c>
      <c r="S220" s="228">
        <v>3242866</v>
      </c>
      <c r="T220" s="228"/>
      <c r="U220" s="191">
        <f t="shared" si="226"/>
        <v>0</v>
      </c>
      <c r="V220" s="230"/>
      <c r="W220" s="231"/>
      <c r="X220" s="46"/>
      <c r="Y220" s="167">
        <f t="shared" si="219"/>
        <v>3242866</v>
      </c>
      <c r="Z220" s="167">
        <f t="shared" si="220"/>
        <v>0</v>
      </c>
      <c r="AA220" s="167">
        <f t="shared" si="221"/>
        <v>3242866</v>
      </c>
      <c r="AB220" s="167">
        <f t="shared" si="222"/>
        <v>0</v>
      </c>
      <c r="AC220" s="167">
        <f t="shared" si="223"/>
        <v>0</v>
      </c>
      <c r="AD220" s="167">
        <f t="shared" si="224"/>
        <v>0</v>
      </c>
      <c r="AF220" s="47">
        <f t="shared" si="225"/>
        <v>1</v>
      </c>
      <c r="AG220" s="202" t="str">
        <f t="shared" si="218"/>
        <v>Stanisław Rucki Heat exchangers 2 pcs., LP pre-heater, external economizer</v>
      </c>
      <c r="AH220" s="172"/>
      <c r="AI220" s="173"/>
      <c r="AJ220" s="173"/>
      <c r="AK220" s="173"/>
      <c r="AL220" s="173"/>
      <c r="AM220" s="173"/>
      <c r="AN220" s="173"/>
      <c r="AO220" s="173"/>
      <c r="AP220" s="173"/>
      <c r="AQ220" s="173"/>
      <c r="AR220" s="173"/>
      <c r="AS220" s="173"/>
      <c r="AT220" s="173"/>
      <c r="AU220" s="173"/>
      <c r="AV220" s="173"/>
      <c r="AW220" s="173"/>
      <c r="AX220" s="173"/>
      <c r="AY220" s="173"/>
      <c r="AZ220" s="173"/>
      <c r="BA220" s="173"/>
      <c r="BB220" s="173"/>
      <c r="BC220" s="173"/>
      <c r="BD220" s="173"/>
      <c r="BE220" s="173"/>
      <c r="BF220" s="173"/>
      <c r="BG220" s="173"/>
      <c r="BH220" s="173"/>
      <c r="BI220" s="173"/>
      <c r="BJ220" s="173"/>
      <c r="BK220" s="173"/>
      <c r="BL220" s="173"/>
      <c r="BM220" s="173"/>
      <c r="BN220" s="173"/>
      <c r="BO220" s="173"/>
      <c r="BP220" s="173"/>
      <c r="BQ220" s="173"/>
      <c r="BR220" s="173"/>
      <c r="BS220" s="173"/>
      <c r="BT220" s="173"/>
      <c r="BU220" s="173"/>
      <c r="BV220" s="173"/>
      <c r="BW220" s="173"/>
      <c r="BX220" s="173"/>
      <c r="BY220" s="173"/>
      <c r="BZ220" s="173"/>
      <c r="CA220" s="173"/>
      <c r="CB220" s="173"/>
      <c r="CC220" s="173"/>
      <c r="CD220" s="173"/>
      <c r="CE220" s="173"/>
      <c r="CF220" s="173"/>
      <c r="CG220" s="173"/>
      <c r="CH220" s="173"/>
      <c r="CI220" s="173"/>
      <c r="CJ220" s="173"/>
      <c r="CK220" s="173"/>
      <c r="CL220" s="173"/>
      <c r="CM220" s="173"/>
      <c r="CN220" s="173"/>
      <c r="CO220" s="173"/>
      <c r="CP220" s="173"/>
      <c r="CQ220" s="173"/>
      <c r="CR220" s="173"/>
      <c r="CS220" s="173"/>
      <c r="CT220" s="173"/>
      <c r="CU220" s="173"/>
      <c r="CV220" s="173"/>
      <c r="CW220" s="173"/>
      <c r="CX220" s="173"/>
      <c r="CY220" s="148"/>
      <c r="CZ220" s="148"/>
      <c r="DA220" s="148"/>
      <c r="DB220" s="148"/>
      <c r="DC220" s="148"/>
      <c r="DD220" s="148"/>
      <c r="DE220" s="148"/>
      <c r="DF220" s="148"/>
      <c r="DG220" s="148"/>
      <c r="DH220" s="148"/>
      <c r="DI220" s="148"/>
      <c r="DJ220" s="148"/>
      <c r="DK220" s="148"/>
      <c r="DL220" s="148"/>
      <c r="DM220" s="148"/>
      <c r="DN220" s="148"/>
      <c r="DO220" s="148"/>
      <c r="DP220" s="148"/>
      <c r="DQ220" s="148"/>
      <c r="DR220" s="148"/>
      <c r="DS220" s="148"/>
      <c r="DT220" s="148"/>
      <c r="DU220" s="148"/>
      <c r="DV220" s="148"/>
      <c r="DW220" s="148"/>
      <c r="DX220" s="148"/>
      <c r="DY220" s="148"/>
      <c r="DZ220" s="148"/>
      <c r="EA220" s="148"/>
      <c r="EB220" s="148"/>
      <c r="EC220" s="148"/>
      <c r="ED220" s="148"/>
      <c r="EE220" s="148"/>
      <c r="EF220" s="148"/>
      <c r="EG220" s="148"/>
      <c r="EH220" s="148"/>
      <c r="EI220" s="148"/>
      <c r="EJ220" s="148"/>
      <c r="EK220" s="148"/>
      <c r="EL220" s="148"/>
      <c r="EM220" s="148"/>
      <c r="EN220" s="148"/>
      <c r="EO220" s="148"/>
      <c r="EP220" s="148"/>
      <c r="EQ220" s="148"/>
      <c r="ER220" s="148"/>
      <c r="ES220" s="148"/>
      <c r="ET220" s="148"/>
      <c r="EU220" s="148"/>
      <c r="EV220" s="148"/>
      <c r="EW220" s="148"/>
      <c r="EX220" s="148"/>
      <c r="EY220" s="148"/>
      <c r="EZ220" s="148"/>
      <c r="FA220" s="148"/>
      <c r="FB220" s="148"/>
      <c r="FC220" s="148"/>
      <c r="FD220" s="148"/>
      <c r="FE220" s="148"/>
      <c r="FF220" s="148"/>
      <c r="FG220" s="148"/>
      <c r="FH220" s="148"/>
      <c r="FI220" s="148"/>
      <c r="FJ220" s="148"/>
      <c r="FK220" s="148"/>
      <c r="FL220" s="148"/>
      <c r="FM220" s="148"/>
      <c r="FN220" s="148"/>
      <c r="FO220" s="148"/>
      <c r="FP220" s="148"/>
      <c r="FQ220" s="148"/>
      <c r="FR220" s="148"/>
      <c r="FS220" s="148"/>
      <c r="FT220" s="148"/>
      <c r="FU220" s="148"/>
      <c r="FV220" s="148"/>
      <c r="FW220" s="148"/>
      <c r="FX220" s="148"/>
      <c r="FY220" s="148"/>
      <c r="FZ220" s="148"/>
      <c r="GA220" s="148"/>
      <c r="GB220" s="148"/>
      <c r="GC220" s="148"/>
      <c r="GD220" s="148"/>
      <c r="GE220" s="148"/>
      <c r="GF220" s="148"/>
      <c r="GG220" s="149"/>
    </row>
    <row r="221" spans="1:189" ht="55.5" x14ac:dyDescent="0.35">
      <c r="A221" s="222" t="s">
        <v>611</v>
      </c>
      <c r="B221" s="221" t="s">
        <v>1066</v>
      </c>
      <c r="C221" s="221"/>
      <c r="D221" s="221" t="s">
        <v>1083</v>
      </c>
      <c r="E221" s="221" t="s">
        <v>616</v>
      </c>
      <c r="F221" s="221" t="s">
        <v>617</v>
      </c>
      <c r="G221" s="223">
        <v>1</v>
      </c>
      <c r="H221" s="224"/>
      <c r="I221" s="225"/>
      <c r="J221" s="225"/>
      <c r="K221" s="225"/>
      <c r="L221" s="226">
        <v>46184</v>
      </c>
      <c r="M221" s="226">
        <v>46231</v>
      </c>
      <c r="N221" s="226"/>
      <c r="O221" s="226"/>
      <c r="P221" s="226"/>
      <c r="Q221" s="227" t="s">
        <v>11</v>
      </c>
      <c r="R221" s="228">
        <v>5517325</v>
      </c>
      <c r="S221" s="228">
        <v>5517325</v>
      </c>
      <c r="T221" s="228"/>
      <c r="U221" s="191">
        <f t="shared" si="226"/>
        <v>0</v>
      </c>
      <c r="V221" s="230"/>
      <c r="W221" s="231"/>
      <c r="X221" s="46"/>
      <c r="Y221" s="167">
        <f t="shared" si="219"/>
        <v>0</v>
      </c>
      <c r="Z221" s="167">
        <f t="shared" si="220"/>
        <v>0</v>
      </c>
      <c r="AA221" s="167">
        <f t="shared" si="221"/>
        <v>0</v>
      </c>
      <c r="AB221" s="167">
        <f t="shared" si="222"/>
        <v>5517325</v>
      </c>
      <c r="AC221" s="167">
        <f t="shared" si="223"/>
        <v>0</v>
      </c>
      <c r="AD221" s="167">
        <f t="shared" si="224"/>
        <v>5517325</v>
      </c>
      <c r="AF221" s="180">
        <f t="shared" si="225"/>
        <v>1</v>
      </c>
      <c r="AG221" s="202" t="str">
        <f t="shared" si="218"/>
        <v>Stanisław Rucki Stabilising pumps 2 x 100%, network pumps 3 x 50%, condensate pumps 2 x 100%, feed water pumps 3 pcs., cooling pumps</v>
      </c>
      <c r="AH221" s="172"/>
      <c r="AI221" s="173"/>
      <c r="AJ221" s="173"/>
      <c r="AK221" s="173"/>
      <c r="AL221" s="173"/>
      <c r="AM221" s="173"/>
      <c r="AN221" s="173"/>
      <c r="AO221" s="173"/>
      <c r="AP221" s="173"/>
      <c r="AQ221" s="173"/>
      <c r="AR221" s="173"/>
      <c r="AS221" s="173"/>
      <c r="AT221" s="173"/>
      <c r="AU221" s="173"/>
      <c r="AV221" s="173"/>
      <c r="AW221" s="173"/>
      <c r="AX221" s="173"/>
      <c r="AY221" s="173"/>
      <c r="AZ221" s="173"/>
      <c r="BA221" s="173"/>
      <c r="BB221" s="173"/>
      <c r="BC221" s="173"/>
      <c r="BD221" s="173"/>
      <c r="BE221" s="173"/>
      <c r="BF221" s="173"/>
      <c r="BG221" s="173"/>
      <c r="BH221" s="173"/>
      <c r="BI221" s="173"/>
      <c r="BJ221" s="173"/>
      <c r="BK221" s="173"/>
      <c r="BL221" s="173"/>
      <c r="BM221" s="173"/>
      <c r="BN221" s="173"/>
      <c r="BO221" s="173"/>
      <c r="BP221" s="173"/>
      <c r="BQ221" s="173"/>
      <c r="BR221" s="173"/>
      <c r="BS221" s="173"/>
      <c r="BT221" s="173"/>
      <c r="BU221" s="173"/>
      <c r="BV221" s="173"/>
      <c r="BW221" s="173"/>
      <c r="BX221" s="173"/>
      <c r="BY221" s="173"/>
      <c r="BZ221" s="173"/>
      <c r="CA221" s="173"/>
      <c r="CB221" s="173"/>
      <c r="CC221" s="173"/>
      <c r="CD221" s="173"/>
      <c r="CE221" s="173"/>
      <c r="CF221" s="173"/>
      <c r="CG221" s="173"/>
      <c r="CH221" s="173"/>
      <c r="CI221" s="173"/>
      <c r="CJ221" s="173"/>
      <c r="CK221" s="173"/>
      <c r="CL221" s="173"/>
      <c r="CM221" s="173"/>
      <c r="CN221" s="173"/>
      <c r="CO221" s="173"/>
      <c r="CP221" s="173"/>
      <c r="CQ221" s="173"/>
      <c r="CR221" s="173"/>
      <c r="CS221" s="173"/>
      <c r="CT221" s="173"/>
      <c r="CU221" s="173"/>
      <c r="CV221" s="173"/>
      <c r="CW221" s="173"/>
      <c r="CX221" s="173"/>
      <c r="CY221" s="148"/>
      <c r="CZ221" s="148"/>
      <c r="DA221" s="148"/>
      <c r="DB221" s="148"/>
      <c r="DC221" s="148"/>
      <c r="DD221" s="148"/>
      <c r="DE221" s="148"/>
      <c r="DF221" s="148"/>
      <c r="DG221" s="148"/>
      <c r="DH221" s="148"/>
      <c r="DI221" s="148"/>
      <c r="DJ221" s="148"/>
      <c r="DK221" s="148"/>
      <c r="DL221" s="148"/>
      <c r="DM221" s="148"/>
      <c r="DN221" s="148"/>
      <c r="DO221" s="148"/>
      <c r="DP221" s="148"/>
      <c r="DQ221" s="148"/>
      <c r="DR221" s="148"/>
      <c r="DS221" s="148"/>
      <c r="DT221" s="148"/>
      <c r="DU221" s="148"/>
      <c r="DV221" s="148"/>
      <c r="DW221" s="148"/>
      <c r="DX221" s="148"/>
      <c r="DY221" s="148"/>
      <c r="DZ221" s="148"/>
      <c r="EA221" s="148"/>
      <c r="EB221" s="148"/>
      <c r="EC221" s="148"/>
      <c r="ED221" s="148"/>
      <c r="EE221" s="148"/>
      <c r="EF221" s="148"/>
      <c r="EG221" s="148"/>
      <c r="EH221" s="148"/>
      <c r="EI221" s="148"/>
      <c r="EJ221" s="148"/>
      <c r="EK221" s="148"/>
      <c r="EL221" s="148"/>
      <c r="EM221" s="148"/>
      <c r="EN221" s="148"/>
      <c r="EO221" s="148"/>
      <c r="EP221" s="148"/>
      <c r="EQ221" s="148"/>
      <c r="ER221" s="148"/>
      <c r="ES221" s="148"/>
      <c r="ET221" s="148"/>
      <c r="EU221" s="148"/>
      <c r="EV221" s="148"/>
      <c r="EW221" s="148"/>
      <c r="EX221" s="148"/>
      <c r="EY221" s="148"/>
      <c r="EZ221" s="148"/>
      <c r="FA221" s="148"/>
      <c r="FB221" s="148"/>
      <c r="FC221" s="148"/>
      <c r="FD221" s="148"/>
      <c r="FE221" s="148"/>
      <c r="FF221" s="148"/>
      <c r="FG221" s="148"/>
      <c r="FH221" s="148"/>
      <c r="FI221" s="148"/>
      <c r="FJ221" s="148"/>
      <c r="FK221" s="148"/>
      <c r="FL221" s="148"/>
      <c r="FM221" s="148"/>
      <c r="FN221" s="148"/>
      <c r="FO221" s="148"/>
      <c r="FP221" s="148"/>
      <c r="FQ221" s="148"/>
      <c r="FR221" s="148"/>
      <c r="FS221" s="148"/>
      <c r="FT221" s="148"/>
      <c r="FU221" s="148"/>
      <c r="FV221" s="148"/>
      <c r="FW221" s="148"/>
      <c r="FX221" s="148"/>
      <c r="FY221" s="148"/>
      <c r="FZ221" s="148"/>
      <c r="GA221" s="148"/>
      <c r="GB221" s="148"/>
      <c r="GC221" s="148"/>
      <c r="GD221" s="148"/>
      <c r="GE221" s="148"/>
      <c r="GF221" s="148"/>
      <c r="GG221" s="149"/>
    </row>
    <row r="222" spans="1:189" ht="27.75" x14ac:dyDescent="0.35">
      <c r="A222" s="237" t="s">
        <v>612</v>
      </c>
      <c r="B222" s="236"/>
      <c r="C222" s="236"/>
      <c r="D222" s="236" t="s">
        <v>1083</v>
      </c>
      <c r="E222" s="236" t="s">
        <v>602</v>
      </c>
      <c r="F222" s="236" t="s">
        <v>358</v>
      </c>
      <c r="G222" s="238">
        <v>1</v>
      </c>
      <c r="H222" s="239"/>
      <c r="I222" s="240"/>
      <c r="J222" s="240"/>
      <c r="K222" s="240"/>
      <c r="L222" s="241"/>
      <c r="M222" s="241"/>
      <c r="N222" s="241"/>
      <c r="O222" s="241"/>
      <c r="P222" s="241"/>
      <c r="Q222" s="242"/>
      <c r="R222" s="243"/>
      <c r="S222" s="243"/>
      <c r="T222" s="243"/>
      <c r="U222" s="191">
        <f t="shared" si="226"/>
        <v>0</v>
      </c>
      <c r="V222" s="244"/>
      <c r="W222" s="245"/>
      <c r="X222" s="46"/>
      <c r="Y222" s="167">
        <f t="shared" si="219"/>
        <v>0</v>
      </c>
      <c r="Z222" s="167">
        <f t="shared" si="220"/>
        <v>0</v>
      </c>
      <c r="AA222" s="167">
        <f t="shared" si="221"/>
        <v>0</v>
      </c>
      <c r="AB222" s="167">
        <f t="shared" si="222"/>
        <v>0</v>
      </c>
      <c r="AC222" s="167">
        <f t="shared" si="223"/>
        <v>0</v>
      </c>
      <c r="AD222" s="167">
        <f t="shared" si="224"/>
        <v>0</v>
      </c>
      <c r="AF222" s="47">
        <f t="shared" si="225"/>
        <v>0</v>
      </c>
      <c r="AG222" s="202" t="str">
        <f t="shared" si="218"/>
        <v xml:space="preserve"> Valves ( Manual, motorized , safety, ON-OF , control  etc… )</v>
      </c>
      <c r="AH222" s="172"/>
      <c r="AI222" s="173"/>
      <c r="AJ222" s="173"/>
      <c r="AK222" s="173"/>
      <c r="AL222" s="173"/>
      <c r="AM222" s="173"/>
      <c r="AN222" s="173"/>
      <c r="AO222" s="173"/>
      <c r="AP222" s="173"/>
      <c r="AQ222" s="173"/>
      <c r="AR222" s="173"/>
      <c r="AS222" s="173"/>
      <c r="AT222" s="173"/>
      <c r="AU222" s="173"/>
      <c r="AV222" s="173"/>
      <c r="AW222" s="173"/>
      <c r="AX222" s="173"/>
      <c r="AY222" s="173"/>
      <c r="AZ222" s="173"/>
      <c r="BA222" s="173"/>
      <c r="BB222" s="173"/>
      <c r="BC222" s="173"/>
      <c r="BD222" s="173"/>
      <c r="BE222" s="173"/>
      <c r="BF222" s="173"/>
      <c r="BG222" s="173"/>
      <c r="BH222" s="173"/>
      <c r="BI222" s="173"/>
      <c r="BJ222" s="173"/>
      <c r="BK222" s="173"/>
      <c r="BL222" s="173"/>
      <c r="BM222" s="173"/>
      <c r="BN222" s="173"/>
      <c r="BO222" s="173"/>
      <c r="BP222" s="173"/>
      <c r="BQ222" s="173"/>
      <c r="BR222" s="173"/>
      <c r="BS222" s="173"/>
      <c r="BT222" s="173"/>
      <c r="BU222" s="173"/>
      <c r="BV222" s="173"/>
      <c r="BW222" s="173"/>
      <c r="BX222" s="173"/>
      <c r="BY222" s="173"/>
      <c r="BZ222" s="173"/>
      <c r="CA222" s="173"/>
      <c r="CB222" s="173"/>
      <c r="CC222" s="173"/>
      <c r="CD222" s="173"/>
      <c r="CE222" s="173"/>
      <c r="CF222" s="173"/>
      <c r="CG222" s="173"/>
      <c r="CH222" s="173"/>
      <c r="CI222" s="173"/>
      <c r="CJ222" s="173"/>
      <c r="CK222" s="173"/>
      <c r="CL222" s="173"/>
      <c r="CM222" s="173"/>
      <c r="CN222" s="173"/>
      <c r="CO222" s="173"/>
      <c r="CP222" s="173"/>
      <c r="CQ222" s="173"/>
      <c r="CR222" s="173"/>
      <c r="CS222" s="173"/>
      <c r="CT222" s="173"/>
      <c r="CU222" s="173"/>
      <c r="CV222" s="173"/>
      <c r="CW222" s="173"/>
      <c r="CX222" s="173"/>
      <c r="CY222" s="148"/>
      <c r="CZ222" s="148"/>
      <c r="DA222" s="148"/>
      <c r="DB222" s="148"/>
      <c r="DC222" s="148"/>
      <c r="DD222" s="148"/>
      <c r="DE222" s="148"/>
      <c r="DF222" s="148"/>
      <c r="DG222" s="148"/>
      <c r="DH222" s="148"/>
      <c r="DI222" s="148"/>
      <c r="DJ222" s="148"/>
      <c r="DK222" s="148"/>
      <c r="DL222" s="148"/>
      <c r="DM222" s="148"/>
      <c r="DN222" s="148"/>
      <c r="DO222" s="148"/>
      <c r="DP222" s="148"/>
      <c r="DQ222" s="148"/>
      <c r="DR222" s="148"/>
      <c r="DS222" s="148"/>
      <c r="DT222" s="148"/>
      <c r="DU222" s="148"/>
      <c r="DV222" s="148"/>
      <c r="DW222" s="148"/>
      <c r="DX222" s="148"/>
      <c r="DY222" s="148"/>
      <c r="DZ222" s="148"/>
      <c r="EA222" s="148"/>
      <c r="EB222" s="148"/>
      <c r="EC222" s="148"/>
      <c r="ED222" s="148"/>
      <c r="EE222" s="148"/>
      <c r="EF222" s="148"/>
      <c r="EG222" s="148"/>
      <c r="EH222" s="148"/>
      <c r="EI222" s="148"/>
      <c r="EJ222" s="148"/>
      <c r="EK222" s="148"/>
      <c r="EL222" s="148"/>
      <c r="EM222" s="148"/>
      <c r="EN222" s="148"/>
      <c r="EO222" s="148"/>
      <c r="EP222" s="148"/>
      <c r="EQ222" s="148"/>
      <c r="ER222" s="148"/>
      <c r="ES222" s="151"/>
      <c r="ET222" s="151"/>
      <c r="EU222" s="151"/>
      <c r="EV222" s="151"/>
      <c r="EW222" s="151"/>
      <c r="EX222" s="151"/>
      <c r="EY222" s="151"/>
      <c r="EZ222" s="151"/>
      <c r="FA222" s="151"/>
      <c r="FB222" s="151"/>
      <c r="FC222" s="151"/>
      <c r="FD222" s="151"/>
      <c r="FE222" s="151"/>
      <c r="FF222" s="151"/>
      <c r="FG222" s="151"/>
      <c r="FH222" s="151"/>
      <c r="FI222" s="151"/>
      <c r="FJ222" s="151"/>
      <c r="FK222" s="151"/>
      <c r="FL222" s="151"/>
      <c r="FM222" s="151"/>
      <c r="FN222" s="151"/>
      <c r="FO222" s="151"/>
      <c r="FP222" s="151"/>
      <c r="FQ222" s="151"/>
      <c r="FR222" s="151"/>
      <c r="FS222" s="151"/>
      <c r="FT222" s="151"/>
      <c r="FU222" s="151"/>
      <c r="FV222" s="151"/>
      <c r="FW222" s="151"/>
      <c r="FX222" s="151"/>
      <c r="FY222" s="151"/>
      <c r="FZ222" s="151"/>
      <c r="GA222" s="151"/>
      <c r="GB222" s="151"/>
      <c r="GC222" s="151"/>
      <c r="GD222" s="151"/>
      <c r="GE222" s="151"/>
      <c r="GF222" s="151"/>
      <c r="GG222" s="152"/>
    </row>
    <row r="223" spans="1:189" ht="27.75" x14ac:dyDescent="0.35">
      <c r="A223" s="267" t="s">
        <v>636</v>
      </c>
      <c r="B223" s="221" t="s">
        <v>1051</v>
      </c>
      <c r="C223" s="221"/>
      <c r="D223" s="221" t="s">
        <v>1083</v>
      </c>
      <c r="E223" s="221" t="s">
        <v>626</v>
      </c>
      <c r="F223" s="221" t="s">
        <v>634</v>
      </c>
      <c r="G223" s="223">
        <v>1</v>
      </c>
      <c r="H223" s="224"/>
      <c r="I223" s="225"/>
      <c r="J223" s="225"/>
      <c r="K223" s="225"/>
      <c r="L223" s="226">
        <v>46357</v>
      </c>
      <c r="M223" s="226">
        <v>46389</v>
      </c>
      <c r="N223" s="226"/>
      <c r="O223" s="226"/>
      <c r="P223" s="226"/>
      <c r="Q223" s="227" t="s">
        <v>45</v>
      </c>
      <c r="R223" s="228">
        <v>2200000</v>
      </c>
      <c r="S223" s="228">
        <v>2200000</v>
      </c>
      <c r="T223" s="228"/>
      <c r="U223" s="191">
        <f t="shared" si="226"/>
        <v>0</v>
      </c>
      <c r="V223" s="230"/>
      <c r="W223" s="232"/>
      <c r="X223" s="46"/>
      <c r="Y223" s="167">
        <f t="shared" si="219"/>
        <v>0</v>
      </c>
      <c r="Z223" s="167">
        <f t="shared" si="220"/>
        <v>0</v>
      </c>
      <c r="AA223" s="167">
        <f t="shared" si="221"/>
        <v>0</v>
      </c>
      <c r="AB223" s="167">
        <f t="shared" si="222"/>
        <v>2200000</v>
      </c>
      <c r="AC223" s="167">
        <f t="shared" si="223"/>
        <v>0</v>
      </c>
      <c r="AD223" s="167">
        <f t="shared" si="224"/>
        <v>2200000</v>
      </c>
      <c r="AF223" s="180">
        <f t="shared" si="225"/>
        <v>1</v>
      </c>
      <c r="AG223" s="202" t="str">
        <f t="shared" si="218"/>
        <v>Roger Gołombek Manual valves</v>
      </c>
      <c r="AH223" s="172"/>
      <c r="AI223" s="173"/>
      <c r="AJ223" s="173"/>
      <c r="AK223" s="173"/>
      <c r="AL223" s="173"/>
      <c r="AM223" s="173"/>
      <c r="AN223" s="173"/>
      <c r="AO223" s="173"/>
      <c r="AP223" s="173"/>
      <c r="AQ223" s="173"/>
      <c r="AR223" s="173"/>
      <c r="AS223" s="173"/>
      <c r="AT223" s="173"/>
      <c r="AU223" s="173"/>
      <c r="AV223" s="173"/>
      <c r="AW223" s="173"/>
      <c r="AX223" s="173"/>
      <c r="AY223" s="173"/>
      <c r="AZ223" s="173"/>
      <c r="BA223" s="173"/>
      <c r="BB223" s="173"/>
      <c r="BC223" s="173"/>
      <c r="BD223" s="173"/>
      <c r="BE223" s="173"/>
      <c r="BF223" s="173"/>
      <c r="BG223" s="173"/>
      <c r="BH223" s="173"/>
      <c r="BI223" s="173"/>
      <c r="BJ223" s="173"/>
      <c r="BK223" s="173"/>
      <c r="BL223" s="173"/>
      <c r="BM223" s="173"/>
      <c r="BN223" s="173"/>
      <c r="BO223" s="173"/>
      <c r="BP223" s="173"/>
      <c r="BQ223" s="173"/>
      <c r="BR223" s="173"/>
      <c r="BS223" s="173"/>
      <c r="BT223" s="173"/>
      <c r="BU223" s="173"/>
      <c r="BV223" s="173"/>
      <c r="BW223" s="173"/>
      <c r="BX223" s="173"/>
      <c r="BY223" s="173"/>
      <c r="BZ223" s="173"/>
      <c r="CA223" s="173"/>
      <c r="CB223" s="173"/>
      <c r="CC223" s="173"/>
      <c r="CD223" s="173"/>
      <c r="CE223" s="173"/>
      <c r="CF223" s="173"/>
      <c r="CG223" s="173"/>
      <c r="CH223" s="173"/>
      <c r="CI223" s="173"/>
      <c r="CJ223" s="173"/>
      <c r="CK223" s="173"/>
      <c r="CL223" s="173"/>
      <c r="CM223" s="173"/>
      <c r="CN223" s="173"/>
      <c r="CO223" s="173"/>
      <c r="CP223" s="173"/>
      <c r="CQ223" s="173"/>
      <c r="CR223" s="173"/>
      <c r="CS223" s="173"/>
      <c r="CT223" s="173"/>
      <c r="CU223" s="173"/>
      <c r="CV223" s="173"/>
      <c r="CW223" s="173"/>
      <c r="CX223" s="173"/>
      <c r="CY223" s="148"/>
      <c r="CZ223" s="148"/>
      <c r="DA223" s="148"/>
      <c r="DB223" s="148"/>
      <c r="DC223" s="148"/>
      <c r="DD223" s="148"/>
      <c r="DE223" s="148"/>
      <c r="DF223" s="148"/>
      <c r="DG223" s="148"/>
      <c r="DH223" s="148"/>
      <c r="DI223" s="148"/>
      <c r="DJ223" s="148"/>
      <c r="DK223" s="148"/>
      <c r="DL223" s="148"/>
      <c r="DM223" s="148"/>
      <c r="DN223" s="148"/>
      <c r="DO223" s="148"/>
      <c r="DP223" s="148"/>
      <c r="DQ223" s="148"/>
      <c r="DR223" s="148"/>
      <c r="DS223" s="148"/>
      <c r="DT223" s="148"/>
      <c r="DU223" s="148"/>
      <c r="DV223" s="148"/>
      <c r="DW223" s="148"/>
      <c r="DX223" s="148"/>
      <c r="DY223" s="148"/>
      <c r="DZ223" s="148"/>
      <c r="EA223" s="148"/>
      <c r="EB223" s="148"/>
      <c r="EC223" s="148"/>
      <c r="ED223" s="148"/>
      <c r="EE223" s="148"/>
      <c r="EF223" s="148"/>
      <c r="EG223" s="148"/>
      <c r="EH223" s="148"/>
      <c r="EI223" s="148"/>
      <c r="EJ223" s="148"/>
      <c r="EK223" s="148"/>
      <c r="EL223" s="148"/>
      <c r="EM223" s="148"/>
      <c r="EN223" s="148"/>
      <c r="EO223" s="148"/>
      <c r="EP223" s="148"/>
      <c r="EQ223" s="148"/>
      <c r="ER223" s="148"/>
      <c r="ES223" s="151"/>
      <c r="ET223" s="151"/>
      <c r="EU223" s="151"/>
      <c r="EV223" s="151"/>
      <c r="EW223" s="151"/>
      <c r="EX223" s="151"/>
      <c r="EY223" s="151"/>
      <c r="EZ223" s="151"/>
      <c r="FA223" s="151"/>
      <c r="FB223" s="151"/>
      <c r="FC223" s="151"/>
      <c r="FD223" s="151"/>
      <c r="FE223" s="151"/>
      <c r="FF223" s="151"/>
      <c r="FG223" s="151"/>
      <c r="FH223" s="151"/>
      <c r="FI223" s="151"/>
      <c r="FJ223" s="151"/>
      <c r="FK223" s="151"/>
      <c r="FL223" s="151"/>
      <c r="FM223" s="151"/>
      <c r="FN223" s="151"/>
      <c r="FO223" s="151"/>
      <c r="FP223" s="151"/>
      <c r="FQ223" s="151"/>
      <c r="FR223" s="151"/>
      <c r="FS223" s="151"/>
      <c r="FT223" s="151"/>
      <c r="FU223" s="151"/>
      <c r="FV223" s="151"/>
      <c r="FW223" s="151"/>
      <c r="FX223" s="151"/>
      <c r="FY223" s="151"/>
      <c r="FZ223" s="151"/>
      <c r="GA223" s="151"/>
      <c r="GB223" s="151"/>
      <c r="GC223" s="151"/>
      <c r="GD223" s="151"/>
      <c r="GE223" s="151"/>
      <c r="GF223" s="151"/>
      <c r="GG223" s="152"/>
    </row>
    <row r="224" spans="1:189" ht="27.75" x14ac:dyDescent="0.35">
      <c r="A224" s="267" t="s">
        <v>637</v>
      </c>
      <c r="B224" s="221" t="s">
        <v>1051</v>
      </c>
      <c r="C224" s="221"/>
      <c r="D224" s="221" t="s">
        <v>1083</v>
      </c>
      <c r="E224" s="221" t="s">
        <v>628</v>
      </c>
      <c r="F224" s="221" t="s">
        <v>635</v>
      </c>
      <c r="G224" s="223">
        <v>1</v>
      </c>
      <c r="H224" s="224"/>
      <c r="I224" s="225"/>
      <c r="J224" s="225"/>
      <c r="K224" s="225"/>
      <c r="L224" s="226">
        <v>46296</v>
      </c>
      <c r="M224" s="226">
        <v>46329</v>
      </c>
      <c r="N224" s="226"/>
      <c r="O224" s="226"/>
      <c r="P224" s="226"/>
      <c r="Q224" s="227" t="s">
        <v>45</v>
      </c>
      <c r="R224" s="228">
        <v>1000000</v>
      </c>
      <c r="S224" s="228">
        <v>1000000</v>
      </c>
      <c r="T224" s="228"/>
      <c r="U224" s="191">
        <f t="shared" si="226"/>
        <v>0</v>
      </c>
      <c r="V224" s="230"/>
      <c r="W224" s="232"/>
      <c r="X224" s="46"/>
      <c r="Y224" s="167">
        <f t="shared" si="219"/>
        <v>0</v>
      </c>
      <c r="Z224" s="167">
        <f t="shared" si="220"/>
        <v>0</v>
      </c>
      <c r="AA224" s="167">
        <f t="shared" si="221"/>
        <v>0</v>
      </c>
      <c r="AB224" s="167">
        <f t="shared" si="222"/>
        <v>1000000</v>
      </c>
      <c r="AC224" s="167">
        <f t="shared" si="223"/>
        <v>0</v>
      </c>
      <c r="AD224" s="167">
        <f t="shared" si="224"/>
        <v>1000000</v>
      </c>
      <c r="AF224" s="47">
        <f t="shared" si="225"/>
        <v>1</v>
      </c>
      <c r="AG224" s="202" t="str">
        <f t="shared" si="218"/>
        <v>Roger Gołombek Motorized valves</v>
      </c>
      <c r="AH224" s="172"/>
      <c r="AI224" s="173"/>
      <c r="AJ224" s="173"/>
      <c r="AK224" s="173"/>
      <c r="AL224" s="173"/>
      <c r="AM224" s="173"/>
      <c r="AN224" s="173"/>
      <c r="AO224" s="173"/>
      <c r="AP224" s="173"/>
      <c r="AQ224" s="173"/>
      <c r="AR224" s="173"/>
      <c r="AS224" s="173"/>
      <c r="AT224" s="173"/>
      <c r="AU224" s="173"/>
      <c r="AV224" s="173"/>
      <c r="AW224" s="173"/>
      <c r="AX224" s="173"/>
      <c r="AY224" s="173"/>
      <c r="AZ224" s="173"/>
      <c r="BA224" s="173"/>
      <c r="BB224" s="173"/>
      <c r="BC224" s="173"/>
      <c r="BD224" s="173"/>
      <c r="BE224" s="173"/>
      <c r="BF224" s="173"/>
      <c r="BG224" s="173"/>
      <c r="BH224" s="173"/>
      <c r="BI224" s="173"/>
      <c r="BJ224" s="173"/>
      <c r="BK224" s="173"/>
      <c r="BL224" s="173"/>
      <c r="BM224" s="173"/>
      <c r="BN224" s="173"/>
      <c r="BO224" s="173"/>
      <c r="BP224" s="173"/>
      <c r="BQ224" s="173"/>
      <c r="BR224" s="173"/>
      <c r="BS224" s="173"/>
      <c r="BT224" s="173"/>
      <c r="BU224" s="173"/>
      <c r="BV224" s="173"/>
      <c r="BW224" s="173"/>
      <c r="BX224" s="173"/>
      <c r="BY224" s="173"/>
      <c r="BZ224" s="173"/>
      <c r="CA224" s="173"/>
      <c r="CB224" s="173"/>
      <c r="CC224" s="173"/>
      <c r="CD224" s="173"/>
      <c r="CE224" s="173"/>
      <c r="CF224" s="173"/>
      <c r="CG224" s="173"/>
      <c r="CH224" s="173"/>
      <c r="CI224" s="173"/>
      <c r="CJ224" s="173"/>
      <c r="CK224" s="173"/>
      <c r="CL224" s="173"/>
      <c r="CM224" s="173"/>
      <c r="CN224" s="173"/>
      <c r="CO224" s="173"/>
      <c r="CP224" s="173"/>
      <c r="CQ224" s="173"/>
      <c r="CR224" s="173"/>
      <c r="CS224" s="173"/>
      <c r="CT224" s="173"/>
      <c r="CU224" s="173"/>
      <c r="CV224" s="173"/>
      <c r="CW224" s="173"/>
      <c r="CX224" s="173"/>
      <c r="CY224" s="148"/>
      <c r="CZ224" s="148"/>
      <c r="DA224" s="148"/>
      <c r="DB224" s="148"/>
      <c r="DC224" s="148"/>
      <c r="DD224" s="148"/>
      <c r="DE224" s="148"/>
      <c r="DF224" s="148"/>
      <c r="DG224" s="148"/>
      <c r="DH224" s="148"/>
      <c r="DI224" s="148"/>
      <c r="DJ224" s="148"/>
      <c r="DK224" s="148"/>
      <c r="DL224" s="148"/>
      <c r="DM224" s="148"/>
      <c r="DN224" s="148"/>
      <c r="DO224" s="148"/>
      <c r="DP224" s="148"/>
      <c r="DQ224" s="148"/>
      <c r="DR224" s="148"/>
      <c r="DS224" s="148"/>
      <c r="DT224" s="148"/>
      <c r="DU224" s="148"/>
      <c r="DV224" s="148"/>
      <c r="DW224" s="148"/>
      <c r="DX224" s="148"/>
      <c r="DY224" s="148"/>
      <c r="DZ224" s="148"/>
      <c r="EA224" s="148"/>
      <c r="EB224" s="148"/>
      <c r="EC224" s="148"/>
      <c r="ED224" s="148"/>
      <c r="EE224" s="148"/>
      <c r="EF224" s="148"/>
      <c r="EG224" s="148"/>
      <c r="EH224" s="148"/>
      <c r="EI224" s="148"/>
      <c r="EJ224" s="148"/>
      <c r="EK224" s="148"/>
      <c r="EL224" s="148"/>
      <c r="EM224" s="148"/>
      <c r="EN224" s="148"/>
      <c r="EO224" s="148"/>
      <c r="EP224" s="148"/>
      <c r="EQ224" s="148"/>
      <c r="ER224" s="148"/>
      <c r="ES224" s="151"/>
      <c r="ET224" s="151"/>
      <c r="EU224" s="151"/>
      <c r="EV224" s="151"/>
      <c r="EW224" s="151"/>
      <c r="EX224" s="151"/>
      <c r="EY224" s="151"/>
      <c r="EZ224" s="151"/>
      <c r="FA224" s="151"/>
      <c r="FB224" s="151"/>
      <c r="FC224" s="151"/>
      <c r="FD224" s="151"/>
      <c r="FE224" s="151"/>
      <c r="FF224" s="151"/>
      <c r="FG224" s="151"/>
      <c r="FH224" s="151"/>
      <c r="FI224" s="151"/>
      <c r="FJ224" s="151"/>
      <c r="FK224" s="151"/>
      <c r="FL224" s="151"/>
      <c r="FM224" s="151"/>
      <c r="FN224" s="151"/>
      <c r="FO224" s="151"/>
      <c r="FP224" s="151"/>
      <c r="FQ224" s="151"/>
      <c r="FR224" s="151"/>
      <c r="FS224" s="151"/>
      <c r="FT224" s="151"/>
      <c r="FU224" s="151"/>
      <c r="FV224" s="151"/>
      <c r="FW224" s="151"/>
      <c r="FX224" s="151"/>
      <c r="FY224" s="151"/>
      <c r="FZ224" s="151"/>
      <c r="GA224" s="151"/>
      <c r="GB224" s="151"/>
      <c r="GC224" s="151"/>
      <c r="GD224" s="151"/>
      <c r="GE224" s="151"/>
      <c r="GF224" s="151"/>
      <c r="GG224" s="152"/>
    </row>
    <row r="225" spans="1:189" ht="27.75" x14ac:dyDescent="0.35">
      <c r="A225" s="267" t="s">
        <v>638</v>
      </c>
      <c r="B225" s="221" t="s">
        <v>1051</v>
      </c>
      <c r="C225" s="221"/>
      <c r="D225" s="221" t="s">
        <v>1083</v>
      </c>
      <c r="E225" s="221" t="s">
        <v>627</v>
      </c>
      <c r="F225" s="221" t="s">
        <v>633</v>
      </c>
      <c r="G225" s="223">
        <v>1</v>
      </c>
      <c r="H225" s="224"/>
      <c r="I225" s="225"/>
      <c r="J225" s="225"/>
      <c r="K225" s="225"/>
      <c r="L225" s="226">
        <v>46326</v>
      </c>
      <c r="M225" s="226">
        <v>46359</v>
      </c>
      <c r="N225" s="226"/>
      <c r="O225" s="226"/>
      <c r="P225" s="226"/>
      <c r="Q225" s="227" t="s">
        <v>45</v>
      </c>
      <c r="R225" s="228">
        <v>200000</v>
      </c>
      <c r="S225" s="228">
        <v>200000</v>
      </c>
      <c r="T225" s="228"/>
      <c r="U225" s="191">
        <f t="shared" si="226"/>
        <v>0</v>
      </c>
      <c r="V225" s="230"/>
      <c r="W225" s="232"/>
      <c r="X225" s="46"/>
      <c r="Y225" s="167">
        <f t="shared" si="219"/>
        <v>0</v>
      </c>
      <c r="Z225" s="167">
        <f t="shared" si="220"/>
        <v>0</v>
      </c>
      <c r="AA225" s="167">
        <f t="shared" si="221"/>
        <v>0</v>
      </c>
      <c r="AB225" s="167">
        <f t="shared" si="222"/>
        <v>200000</v>
      </c>
      <c r="AC225" s="167">
        <f t="shared" si="223"/>
        <v>0</v>
      </c>
      <c r="AD225" s="167">
        <f t="shared" si="224"/>
        <v>200000</v>
      </c>
      <c r="AF225" s="180">
        <f t="shared" si="225"/>
        <v>1</v>
      </c>
      <c r="AG225" s="202" t="str">
        <f t="shared" si="218"/>
        <v>Roger Gołombek Safety valves</v>
      </c>
      <c r="AH225" s="172"/>
      <c r="AI225" s="173"/>
      <c r="AJ225" s="173"/>
      <c r="AK225" s="173"/>
      <c r="AL225" s="173"/>
      <c r="AM225" s="173"/>
      <c r="AN225" s="173"/>
      <c r="AO225" s="173"/>
      <c r="AP225" s="173"/>
      <c r="AQ225" s="173"/>
      <c r="AR225" s="173"/>
      <c r="AS225" s="173"/>
      <c r="AT225" s="173"/>
      <c r="AU225" s="173"/>
      <c r="AV225" s="173"/>
      <c r="AW225" s="173"/>
      <c r="AX225" s="173"/>
      <c r="AY225" s="173"/>
      <c r="AZ225" s="173"/>
      <c r="BA225" s="173"/>
      <c r="BB225" s="173"/>
      <c r="BC225" s="173"/>
      <c r="BD225" s="173"/>
      <c r="BE225" s="173"/>
      <c r="BF225" s="173"/>
      <c r="BG225" s="173"/>
      <c r="BH225" s="173"/>
      <c r="BI225" s="173"/>
      <c r="BJ225" s="173"/>
      <c r="BK225" s="173"/>
      <c r="BL225" s="173"/>
      <c r="BM225" s="173"/>
      <c r="BN225" s="173"/>
      <c r="BO225" s="173"/>
      <c r="BP225" s="173"/>
      <c r="BQ225" s="173"/>
      <c r="BR225" s="173"/>
      <c r="BS225" s="173"/>
      <c r="BT225" s="173"/>
      <c r="BU225" s="173"/>
      <c r="BV225" s="173"/>
      <c r="BW225" s="173"/>
      <c r="BX225" s="173"/>
      <c r="BY225" s="173"/>
      <c r="BZ225" s="173"/>
      <c r="CA225" s="173"/>
      <c r="CB225" s="173"/>
      <c r="CC225" s="173"/>
      <c r="CD225" s="173"/>
      <c r="CE225" s="173"/>
      <c r="CF225" s="173"/>
      <c r="CG225" s="173"/>
      <c r="CH225" s="173"/>
      <c r="CI225" s="173"/>
      <c r="CJ225" s="173"/>
      <c r="CK225" s="173"/>
      <c r="CL225" s="173"/>
      <c r="CM225" s="173"/>
      <c r="CN225" s="173"/>
      <c r="CO225" s="173"/>
      <c r="CP225" s="173"/>
      <c r="CQ225" s="173"/>
      <c r="CR225" s="173"/>
      <c r="CS225" s="173"/>
      <c r="CT225" s="173"/>
      <c r="CU225" s="173"/>
      <c r="CV225" s="173"/>
      <c r="CW225" s="173"/>
      <c r="CX225" s="173"/>
      <c r="CY225" s="148"/>
      <c r="CZ225" s="148"/>
      <c r="DA225" s="148"/>
      <c r="DB225" s="148"/>
      <c r="DC225" s="148"/>
      <c r="DD225" s="148"/>
      <c r="DE225" s="148"/>
      <c r="DF225" s="148"/>
      <c r="DG225" s="148"/>
      <c r="DH225" s="148"/>
      <c r="DI225" s="148"/>
      <c r="DJ225" s="148"/>
      <c r="DK225" s="148"/>
      <c r="DL225" s="148"/>
      <c r="DM225" s="148"/>
      <c r="DN225" s="148"/>
      <c r="DO225" s="148"/>
      <c r="DP225" s="148"/>
      <c r="DQ225" s="148"/>
      <c r="DR225" s="148"/>
      <c r="DS225" s="148"/>
      <c r="DT225" s="148"/>
      <c r="DU225" s="148"/>
      <c r="DV225" s="148"/>
      <c r="DW225" s="148"/>
      <c r="DX225" s="148"/>
      <c r="DY225" s="148"/>
      <c r="DZ225" s="148"/>
      <c r="EA225" s="148"/>
      <c r="EB225" s="148"/>
      <c r="EC225" s="148"/>
      <c r="ED225" s="148"/>
      <c r="EE225" s="148"/>
      <c r="EF225" s="148"/>
      <c r="EG225" s="148"/>
      <c r="EH225" s="148"/>
      <c r="EI225" s="148"/>
      <c r="EJ225" s="148"/>
      <c r="EK225" s="148"/>
      <c r="EL225" s="148"/>
      <c r="EM225" s="148"/>
      <c r="EN225" s="148"/>
      <c r="EO225" s="148"/>
      <c r="EP225" s="148"/>
      <c r="EQ225" s="148"/>
      <c r="ER225" s="148"/>
      <c r="ES225" s="151"/>
      <c r="ET225" s="151"/>
      <c r="EU225" s="151"/>
      <c r="EV225" s="151"/>
      <c r="EW225" s="151"/>
      <c r="EX225" s="151"/>
      <c r="EY225" s="151"/>
      <c r="EZ225" s="151"/>
      <c r="FA225" s="151"/>
      <c r="FB225" s="151"/>
      <c r="FC225" s="151"/>
      <c r="FD225" s="151"/>
      <c r="FE225" s="151"/>
      <c r="FF225" s="151"/>
      <c r="FG225" s="151"/>
      <c r="FH225" s="151"/>
      <c r="FI225" s="151"/>
      <c r="FJ225" s="151"/>
      <c r="FK225" s="151"/>
      <c r="FL225" s="151"/>
      <c r="FM225" s="151"/>
      <c r="FN225" s="151"/>
      <c r="FO225" s="151"/>
      <c r="FP225" s="151"/>
      <c r="FQ225" s="151"/>
      <c r="FR225" s="151"/>
      <c r="FS225" s="151"/>
      <c r="FT225" s="151"/>
      <c r="FU225" s="151"/>
      <c r="FV225" s="151"/>
      <c r="FW225" s="151"/>
      <c r="FX225" s="151"/>
      <c r="FY225" s="151"/>
      <c r="FZ225" s="151"/>
      <c r="GA225" s="151"/>
      <c r="GB225" s="151"/>
      <c r="GC225" s="151"/>
      <c r="GD225" s="151"/>
      <c r="GE225" s="151"/>
      <c r="GF225" s="151"/>
      <c r="GG225" s="152"/>
    </row>
    <row r="226" spans="1:189" ht="27.75" x14ac:dyDescent="0.35">
      <c r="A226" s="267" t="s">
        <v>639</v>
      </c>
      <c r="B226" s="221" t="s">
        <v>1051</v>
      </c>
      <c r="C226" s="221"/>
      <c r="D226" s="221" t="s">
        <v>1083</v>
      </c>
      <c r="E226" s="221" t="s">
        <v>629</v>
      </c>
      <c r="F226" s="221" t="s">
        <v>632</v>
      </c>
      <c r="G226" s="223">
        <v>1</v>
      </c>
      <c r="H226" s="224"/>
      <c r="I226" s="225"/>
      <c r="J226" s="225"/>
      <c r="K226" s="225"/>
      <c r="L226" s="226">
        <v>46296</v>
      </c>
      <c r="M226" s="226">
        <v>46329</v>
      </c>
      <c r="N226" s="226"/>
      <c r="O226" s="226"/>
      <c r="P226" s="226"/>
      <c r="Q226" s="227" t="s">
        <v>45</v>
      </c>
      <c r="R226" s="228">
        <v>400000</v>
      </c>
      <c r="S226" s="228">
        <v>400000</v>
      </c>
      <c r="T226" s="228"/>
      <c r="U226" s="191">
        <f t="shared" si="226"/>
        <v>0</v>
      </c>
      <c r="V226" s="230"/>
      <c r="W226" s="232"/>
      <c r="X226" s="46"/>
      <c r="Y226" s="167">
        <f t="shared" si="219"/>
        <v>0</v>
      </c>
      <c r="Z226" s="167">
        <f t="shared" si="220"/>
        <v>0</v>
      </c>
      <c r="AA226" s="167">
        <f t="shared" si="221"/>
        <v>0</v>
      </c>
      <c r="AB226" s="167">
        <f t="shared" si="222"/>
        <v>400000</v>
      </c>
      <c r="AC226" s="167">
        <f t="shared" si="223"/>
        <v>0</v>
      </c>
      <c r="AD226" s="167">
        <f t="shared" si="224"/>
        <v>400000</v>
      </c>
      <c r="AF226" s="47">
        <f t="shared" si="225"/>
        <v>1</v>
      </c>
      <c r="AG226" s="202" t="str">
        <f t="shared" si="218"/>
        <v>Roger Gołombek ON/OFF valves</v>
      </c>
      <c r="AH226" s="172"/>
      <c r="AI226" s="173"/>
      <c r="AJ226" s="173"/>
      <c r="AK226" s="173"/>
      <c r="AL226" s="173"/>
      <c r="AM226" s="173"/>
      <c r="AN226" s="173"/>
      <c r="AO226" s="173"/>
      <c r="AP226" s="173"/>
      <c r="AQ226" s="173"/>
      <c r="AR226" s="173"/>
      <c r="AS226" s="173"/>
      <c r="AT226" s="173"/>
      <c r="AU226" s="173"/>
      <c r="AV226" s="173"/>
      <c r="AW226" s="173"/>
      <c r="AX226" s="173"/>
      <c r="AY226" s="173"/>
      <c r="AZ226" s="173"/>
      <c r="BA226" s="173"/>
      <c r="BB226" s="173"/>
      <c r="BC226" s="173"/>
      <c r="BD226" s="173"/>
      <c r="BE226" s="173"/>
      <c r="BF226" s="173"/>
      <c r="BG226" s="173"/>
      <c r="BH226" s="173"/>
      <c r="BI226" s="173"/>
      <c r="BJ226" s="173"/>
      <c r="BK226" s="173"/>
      <c r="BL226" s="173"/>
      <c r="BM226" s="173"/>
      <c r="BN226" s="173"/>
      <c r="BO226" s="173"/>
      <c r="BP226" s="173"/>
      <c r="BQ226" s="173"/>
      <c r="BR226" s="173"/>
      <c r="BS226" s="173"/>
      <c r="BT226" s="173"/>
      <c r="BU226" s="173"/>
      <c r="BV226" s="173"/>
      <c r="BW226" s="173"/>
      <c r="BX226" s="173"/>
      <c r="BY226" s="173"/>
      <c r="BZ226" s="173"/>
      <c r="CA226" s="173"/>
      <c r="CB226" s="173"/>
      <c r="CC226" s="173"/>
      <c r="CD226" s="173"/>
      <c r="CE226" s="173"/>
      <c r="CF226" s="173"/>
      <c r="CG226" s="173"/>
      <c r="CH226" s="173"/>
      <c r="CI226" s="173"/>
      <c r="CJ226" s="173"/>
      <c r="CK226" s="173"/>
      <c r="CL226" s="173"/>
      <c r="CM226" s="173"/>
      <c r="CN226" s="173"/>
      <c r="CO226" s="173"/>
      <c r="CP226" s="173"/>
      <c r="CQ226" s="173"/>
      <c r="CR226" s="173"/>
      <c r="CS226" s="173"/>
      <c r="CT226" s="173"/>
      <c r="CU226" s="173"/>
      <c r="CV226" s="173"/>
      <c r="CW226" s="173"/>
      <c r="CX226" s="173"/>
      <c r="CY226" s="148"/>
      <c r="CZ226" s="148"/>
      <c r="DA226" s="148"/>
      <c r="DB226" s="148"/>
      <c r="DC226" s="148"/>
      <c r="DD226" s="148"/>
      <c r="DE226" s="148"/>
      <c r="DF226" s="148"/>
      <c r="DG226" s="148"/>
      <c r="DH226" s="148"/>
      <c r="DI226" s="148"/>
      <c r="DJ226" s="148"/>
      <c r="DK226" s="148"/>
      <c r="DL226" s="148"/>
      <c r="DM226" s="148"/>
      <c r="DN226" s="148"/>
      <c r="DO226" s="148"/>
      <c r="DP226" s="148"/>
      <c r="DQ226" s="148"/>
      <c r="DR226" s="148"/>
      <c r="DS226" s="148"/>
      <c r="DT226" s="148"/>
      <c r="DU226" s="148"/>
      <c r="DV226" s="148"/>
      <c r="DW226" s="148"/>
      <c r="DX226" s="148"/>
      <c r="DY226" s="148"/>
      <c r="DZ226" s="148"/>
      <c r="EA226" s="148"/>
      <c r="EB226" s="148"/>
      <c r="EC226" s="148"/>
      <c r="ED226" s="148"/>
      <c r="EE226" s="148"/>
      <c r="EF226" s="148"/>
      <c r="EG226" s="148"/>
      <c r="EH226" s="148"/>
      <c r="EI226" s="148"/>
      <c r="EJ226" s="148"/>
      <c r="EK226" s="148"/>
      <c r="EL226" s="148"/>
      <c r="EM226" s="148"/>
      <c r="EN226" s="148"/>
      <c r="EO226" s="148"/>
      <c r="EP226" s="148"/>
      <c r="EQ226" s="148"/>
      <c r="ER226" s="148"/>
      <c r="ES226" s="151"/>
      <c r="ET226" s="151"/>
      <c r="EU226" s="151"/>
      <c r="EV226" s="151"/>
      <c r="EW226" s="151"/>
      <c r="EX226" s="151"/>
      <c r="EY226" s="151"/>
      <c r="EZ226" s="151"/>
      <c r="FA226" s="151"/>
      <c r="FB226" s="151"/>
      <c r="FC226" s="151"/>
      <c r="FD226" s="151"/>
      <c r="FE226" s="151"/>
      <c r="FF226" s="151"/>
      <c r="FG226" s="151"/>
      <c r="FH226" s="151"/>
      <c r="FI226" s="151"/>
      <c r="FJ226" s="151"/>
      <c r="FK226" s="151"/>
      <c r="FL226" s="151"/>
      <c r="FM226" s="151"/>
      <c r="FN226" s="151"/>
      <c r="FO226" s="151"/>
      <c r="FP226" s="151"/>
      <c r="FQ226" s="151"/>
      <c r="FR226" s="151"/>
      <c r="FS226" s="151"/>
      <c r="FT226" s="151"/>
      <c r="FU226" s="151"/>
      <c r="FV226" s="151"/>
      <c r="FW226" s="151"/>
      <c r="FX226" s="151"/>
      <c r="FY226" s="151"/>
      <c r="FZ226" s="151"/>
      <c r="GA226" s="151"/>
      <c r="GB226" s="151"/>
      <c r="GC226" s="151"/>
      <c r="GD226" s="151"/>
      <c r="GE226" s="151"/>
      <c r="GF226" s="151"/>
      <c r="GG226" s="152"/>
    </row>
    <row r="227" spans="1:189" ht="27.75" x14ac:dyDescent="0.35">
      <c r="A227" s="267" t="s">
        <v>640</v>
      </c>
      <c r="B227" s="221" t="s">
        <v>1051</v>
      </c>
      <c r="C227" s="221"/>
      <c r="D227" s="221" t="s">
        <v>1083</v>
      </c>
      <c r="E227" s="221" t="s">
        <v>630</v>
      </c>
      <c r="F227" s="221" t="s">
        <v>631</v>
      </c>
      <c r="G227" s="223">
        <v>1</v>
      </c>
      <c r="H227" s="224"/>
      <c r="I227" s="225"/>
      <c r="J227" s="225"/>
      <c r="K227" s="225"/>
      <c r="L227" s="226">
        <v>46265</v>
      </c>
      <c r="M227" s="226">
        <v>46297</v>
      </c>
      <c r="N227" s="226"/>
      <c r="O227" s="226"/>
      <c r="P227" s="226"/>
      <c r="Q227" s="227" t="s">
        <v>45</v>
      </c>
      <c r="R227" s="228">
        <v>700000</v>
      </c>
      <c r="S227" s="228">
        <v>700000</v>
      </c>
      <c r="T227" s="228"/>
      <c r="U227" s="191">
        <f t="shared" si="226"/>
        <v>0</v>
      </c>
      <c r="V227" s="230"/>
      <c r="W227" s="232"/>
      <c r="X227" s="46"/>
      <c r="Y227" s="167">
        <f t="shared" si="219"/>
        <v>0</v>
      </c>
      <c r="Z227" s="167">
        <f t="shared" si="220"/>
        <v>0</v>
      </c>
      <c r="AA227" s="167">
        <f t="shared" si="221"/>
        <v>0</v>
      </c>
      <c r="AB227" s="167">
        <f t="shared" si="222"/>
        <v>700000</v>
      </c>
      <c r="AC227" s="167">
        <f t="shared" si="223"/>
        <v>0</v>
      </c>
      <c r="AD227" s="167">
        <f t="shared" si="224"/>
        <v>700000</v>
      </c>
      <c r="AF227" s="180">
        <f t="shared" si="225"/>
        <v>1</v>
      </c>
      <c r="AG227" s="202" t="str">
        <f t="shared" si="218"/>
        <v>Roger Gołombek Control valves</v>
      </c>
      <c r="AH227" s="172"/>
      <c r="AI227" s="173"/>
      <c r="AJ227" s="173"/>
      <c r="AK227" s="173"/>
      <c r="AL227" s="173"/>
      <c r="AM227" s="173"/>
      <c r="AN227" s="173"/>
      <c r="AO227" s="173"/>
      <c r="AP227" s="173"/>
      <c r="AQ227" s="173"/>
      <c r="AR227" s="173"/>
      <c r="AS227" s="173"/>
      <c r="AT227" s="173"/>
      <c r="AU227" s="173"/>
      <c r="AV227" s="173"/>
      <c r="AW227" s="173"/>
      <c r="AX227" s="173"/>
      <c r="AY227" s="173"/>
      <c r="AZ227" s="173"/>
      <c r="BA227" s="173"/>
      <c r="BB227" s="173"/>
      <c r="BC227" s="173"/>
      <c r="BD227" s="173"/>
      <c r="BE227" s="173"/>
      <c r="BF227" s="173"/>
      <c r="BG227" s="173"/>
      <c r="BH227" s="173"/>
      <c r="BI227" s="173"/>
      <c r="BJ227" s="173"/>
      <c r="BK227" s="173"/>
      <c r="BL227" s="173"/>
      <c r="BM227" s="173"/>
      <c r="BN227" s="173"/>
      <c r="BO227" s="173"/>
      <c r="BP227" s="173"/>
      <c r="BQ227" s="173"/>
      <c r="BR227" s="173"/>
      <c r="BS227" s="173"/>
      <c r="BT227" s="173"/>
      <c r="BU227" s="173"/>
      <c r="BV227" s="173"/>
      <c r="BW227" s="173"/>
      <c r="BX227" s="173"/>
      <c r="BY227" s="173"/>
      <c r="BZ227" s="173"/>
      <c r="CA227" s="173"/>
      <c r="CB227" s="173"/>
      <c r="CC227" s="173"/>
      <c r="CD227" s="173"/>
      <c r="CE227" s="173"/>
      <c r="CF227" s="173"/>
      <c r="CG227" s="173"/>
      <c r="CH227" s="173"/>
      <c r="CI227" s="173"/>
      <c r="CJ227" s="173"/>
      <c r="CK227" s="173"/>
      <c r="CL227" s="173"/>
      <c r="CM227" s="173"/>
      <c r="CN227" s="173"/>
      <c r="CO227" s="173"/>
      <c r="CP227" s="173"/>
      <c r="CQ227" s="173"/>
      <c r="CR227" s="173"/>
      <c r="CS227" s="173"/>
      <c r="CT227" s="173"/>
      <c r="CU227" s="173"/>
      <c r="CV227" s="173"/>
      <c r="CW227" s="173"/>
      <c r="CX227" s="173"/>
      <c r="CY227" s="148"/>
      <c r="CZ227" s="148"/>
      <c r="DA227" s="148"/>
      <c r="DB227" s="148"/>
      <c r="DC227" s="148"/>
      <c r="DD227" s="148"/>
      <c r="DE227" s="148"/>
      <c r="DF227" s="148"/>
      <c r="DG227" s="148"/>
      <c r="DH227" s="148"/>
      <c r="DI227" s="148"/>
      <c r="DJ227" s="148"/>
      <c r="DK227" s="148"/>
      <c r="DL227" s="148"/>
      <c r="DM227" s="148"/>
      <c r="DN227" s="148"/>
      <c r="DO227" s="148"/>
      <c r="DP227" s="148"/>
      <c r="DQ227" s="148"/>
      <c r="DR227" s="148"/>
      <c r="DS227" s="148"/>
      <c r="DT227" s="148"/>
      <c r="DU227" s="148"/>
      <c r="DV227" s="148"/>
      <c r="DW227" s="148"/>
      <c r="DX227" s="148"/>
      <c r="DY227" s="148"/>
      <c r="DZ227" s="148"/>
      <c r="EA227" s="148"/>
      <c r="EB227" s="148"/>
      <c r="EC227" s="148"/>
      <c r="ED227" s="148"/>
      <c r="EE227" s="148"/>
      <c r="EF227" s="148"/>
      <c r="EG227" s="148"/>
      <c r="EH227" s="148"/>
      <c r="EI227" s="148"/>
      <c r="EJ227" s="148"/>
      <c r="EK227" s="148"/>
      <c r="EL227" s="148"/>
      <c r="EM227" s="148"/>
      <c r="EN227" s="148"/>
      <c r="EO227" s="148"/>
      <c r="EP227" s="148"/>
      <c r="EQ227" s="148"/>
      <c r="ER227" s="148"/>
      <c r="ES227" s="151"/>
      <c r="ET227" s="151"/>
      <c r="EU227" s="151"/>
      <c r="EV227" s="151"/>
      <c r="EW227" s="151"/>
      <c r="EX227" s="151"/>
      <c r="EY227" s="151"/>
      <c r="EZ227" s="151"/>
      <c r="FA227" s="151"/>
      <c r="FB227" s="151"/>
      <c r="FC227" s="151"/>
      <c r="FD227" s="151"/>
      <c r="FE227" s="151"/>
      <c r="FF227" s="151"/>
      <c r="FG227" s="151"/>
      <c r="FH227" s="151"/>
      <c r="FI227" s="151"/>
      <c r="FJ227" s="151"/>
      <c r="FK227" s="151"/>
      <c r="FL227" s="151"/>
      <c r="FM227" s="151"/>
      <c r="FN227" s="151"/>
      <c r="FO227" s="151"/>
      <c r="FP227" s="151"/>
      <c r="FQ227" s="151"/>
      <c r="FR227" s="151"/>
      <c r="FS227" s="151"/>
      <c r="FT227" s="151"/>
      <c r="FU227" s="151"/>
      <c r="FV227" s="151"/>
      <c r="FW227" s="151"/>
      <c r="FX227" s="151"/>
      <c r="FY227" s="151"/>
      <c r="FZ227" s="151"/>
      <c r="GA227" s="151"/>
      <c r="GB227" s="151"/>
      <c r="GC227" s="151"/>
      <c r="GD227" s="151"/>
      <c r="GE227" s="151"/>
      <c r="GF227" s="151"/>
      <c r="GG227" s="152"/>
    </row>
    <row r="228" spans="1:189" s="323" customFormat="1" ht="36.4" customHeight="1" x14ac:dyDescent="0.35">
      <c r="A228" s="310" t="s">
        <v>1419</v>
      </c>
      <c r="B228" s="311"/>
      <c r="C228" s="311"/>
      <c r="D228" s="311"/>
      <c r="E228" s="311"/>
      <c r="F228" s="311" t="s">
        <v>1420</v>
      </c>
      <c r="G228" s="312"/>
      <c r="H228" s="313"/>
      <c r="I228" s="314"/>
      <c r="J228" s="314"/>
      <c r="K228" s="314"/>
      <c r="L228" s="315">
        <v>46158</v>
      </c>
      <c r="M228" s="315">
        <v>46158</v>
      </c>
      <c r="N228" s="315"/>
      <c r="O228" s="315"/>
      <c r="P228" s="315"/>
      <c r="Q228" s="316"/>
      <c r="R228" s="317"/>
      <c r="S228" s="317"/>
      <c r="T228" s="317"/>
      <c r="U228" s="318"/>
      <c r="V228" s="319"/>
      <c r="W228" s="320"/>
      <c r="X228" s="321"/>
      <c r="Y228" s="322"/>
      <c r="Z228" s="322"/>
      <c r="AA228" s="322"/>
      <c r="AB228" s="322"/>
      <c r="AC228" s="322"/>
      <c r="AD228" s="322"/>
      <c r="AF228" s="324"/>
      <c r="AG228" s="325"/>
      <c r="AH228" s="326"/>
      <c r="AI228" s="327"/>
      <c r="AJ228" s="327"/>
      <c r="AK228" s="327"/>
      <c r="AL228" s="327"/>
      <c r="AM228" s="327"/>
      <c r="AN228" s="327"/>
      <c r="AO228" s="327"/>
      <c r="AP228" s="327"/>
      <c r="AQ228" s="327"/>
      <c r="AR228" s="327"/>
      <c r="AS228" s="327"/>
      <c r="AT228" s="327"/>
      <c r="AU228" s="327"/>
      <c r="AV228" s="327"/>
      <c r="AW228" s="327"/>
      <c r="AX228" s="327"/>
      <c r="AY228" s="327"/>
      <c r="AZ228" s="327"/>
      <c r="BA228" s="327"/>
      <c r="BB228" s="327"/>
      <c r="BC228" s="327"/>
      <c r="BD228" s="327"/>
      <c r="BE228" s="327"/>
      <c r="BF228" s="327"/>
      <c r="BG228" s="327"/>
      <c r="BH228" s="327"/>
      <c r="BI228" s="327"/>
      <c r="BJ228" s="327"/>
      <c r="BK228" s="327"/>
      <c r="BL228" s="327"/>
      <c r="BM228" s="327"/>
      <c r="BN228" s="327"/>
      <c r="BO228" s="327"/>
      <c r="BP228" s="327"/>
      <c r="BQ228" s="327"/>
      <c r="BR228" s="327"/>
      <c r="BS228" s="327"/>
      <c r="BT228" s="327"/>
      <c r="BU228" s="327"/>
      <c r="BV228" s="327"/>
      <c r="BW228" s="327"/>
      <c r="BX228" s="327"/>
      <c r="BY228" s="327"/>
      <c r="BZ228" s="327"/>
      <c r="CA228" s="327"/>
      <c r="CB228" s="327"/>
      <c r="CC228" s="327"/>
      <c r="CD228" s="327"/>
      <c r="CE228" s="327"/>
      <c r="CF228" s="327"/>
      <c r="CG228" s="327"/>
      <c r="CH228" s="327"/>
      <c r="CI228" s="327"/>
      <c r="CJ228" s="327"/>
      <c r="CK228" s="327"/>
      <c r="CL228" s="327"/>
      <c r="CM228" s="327"/>
      <c r="CN228" s="327"/>
      <c r="CO228" s="327"/>
      <c r="CP228" s="327"/>
      <c r="CQ228" s="327"/>
      <c r="CR228" s="327"/>
      <c r="CS228" s="327"/>
      <c r="CT228" s="327"/>
      <c r="CU228" s="327"/>
      <c r="CV228" s="327"/>
      <c r="CW228" s="327"/>
      <c r="CX228" s="327"/>
      <c r="CY228" s="328"/>
      <c r="CZ228" s="328"/>
      <c r="DA228" s="328"/>
      <c r="DB228" s="328"/>
      <c r="DC228" s="328"/>
      <c r="DD228" s="328"/>
      <c r="DE228" s="328"/>
      <c r="DF228" s="328"/>
      <c r="DG228" s="328"/>
      <c r="DH228" s="328"/>
      <c r="DI228" s="328"/>
      <c r="DJ228" s="328"/>
      <c r="DK228" s="328"/>
      <c r="DL228" s="328"/>
      <c r="DM228" s="328"/>
      <c r="DN228" s="328"/>
      <c r="DO228" s="328"/>
      <c r="DP228" s="328"/>
      <c r="DQ228" s="328"/>
      <c r="DR228" s="328"/>
      <c r="DS228" s="328"/>
      <c r="DT228" s="328"/>
      <c r="DU228" s="328"/>
      <c r="DV228" s="328"/>
      <c r="DW228" s="328"/>
      <c r="DX228" s="328"/>
      <c r="DY228" s="328"/>
      <c r="DZ228" s="328"/>
      <c r="EA228" s="328"/>
      <c r="EB228" s="328"/>
      <c r="EC228" s="328"/>
      <c r="ED228" s="328"/>
      <c r="EE228" s="328"/>
      <c r="EF228" s="328"/>
      <c r="EG228" s="328"/>
      <c r="EH228" s="328"/>
      <c r="EI228" s="328"/>
      <c r="EJ228" s="328"/>
      <c r="EK228" s="328"/>
      <c r="EL228" s="328"/>
      <c r="EM228" s="328"/>
      <c r="EN228" s="328"/>
      <c r="EO228" s="328"/>
      <c r="EP228" s="328"/>
      <c r="EQ228" s="328"/>
      <c r="ER228" s="328"/>
      <c r="ES228" s="329"/>
      <c r="ET228" s="329"/>
      <c r="EU228" s="329"/>
      <c r="EV228" s="329"/>
      <c r="EW228" s="329"/>
      <c r="EX228" s="329"/>
      <c r="EY228" s="329"/>
      <c r="EZ228" s="329"/>
      <c r="FA228" s="329"/>
      <c r="FB228" s="329"/>
      <c r="FC228" s="329"/>
      <c r="FD228" s="329"/>
      <c r="FE228" s="329"/>
      <c r="FF228" s="329"/>
      <c r="FG228" s="329"/>
      <c r="FH228" s="329"/>
      <c r="FI228" s="329"/>
      <c r="FJ228" s="329"/>
      <c r="FK228" s="329"/>
      <c r="FL228" s="329"/>
      <c r="FM228" s="329"/>
      <c r="FN228" s="329"/>
      <c r="FO228" s="329"/>
      <c r="FP228" s="329"/>
      <c r="FQ228" s="329"/>
      <c r="FR228" s="329"/>
      <c r="FS228" s="329"/>
      <c r="FT228" s="329"/>
      <c r="FU228" s="329"/>
      <c r="FV228" s="329"/>
      <c r="FW228" s="329"/>
      <c r="FX228" s="329"/>
      <c r="FY228" s="329"/>
      <c r="FZ228" s="329"/>
      <c r="GA228" s="329"/>
      <c r="GB228" s="329"/>
      <c r="GC228" s="329"/>
      <c r="GD228" s="329"/>
      <c r="GE228" s="329"/>
      <c r="GF228" s="329"/>
      <c r="GG228" s="330"/>
    </row>
    <row r="229" spans="1:189" ht="27.75" x14ac:dyDescent="0.35">
      <c r="A229" s="237" t="s">
        <v>613</v>
      </c>
      <c r="B229" s="236" t="s">
        <v>1071</v>
      </c>
      <c r="C229" s="236"/>
      <c r="D229" s="236" t="s">
        <v>1083</v>
      </c>
      <c r="E229" s="236" t="s">
        <v>622</v>
      </c>
      <c r="F229" s="236" t="s">
        <v>361</v>
      </c>
      <c r="G229" s="238">
        <v>2</v>
      </c>
      <c r="H229" s="239" t="s">
        <v>1376</v>
      </c>
      <c r="I229" s="240"/>
      <c r="J229" s="240"/>
      <c r="K229" s="240"/>
      <c r="L229" s="241">
        <v>46110</v>
      </c>
      <c r="M229" s="241">
        <v>46147</v>
      </c>
      <c r="N229" s="241">
        <v>46127</v>
      </c>
      <c r="O229" s="241">
        <v>46125</v>
      </c>
      <c r="P229" s="241">
        <v>46356</v>
      </c>
      <c r="Q229" s="242" t="s">
        <v>20</v>
      </c>
      <c r="R229" s="243">
        <v>1850000</v>
      </c>
      <c r="S229" s="243">
        <v>1850000</v>
      </c>
      <c r="T229" s="243">
        <f>340500*4.4</f>
        <v>1498200.0000000002</v>
      </c>
      <c r="U229" s="191">
        <f t="shared" si="226"/>
        <v>351799.99999999977</v>
      </c>
      <c r="V229" s="244"/>
      <c r="W229" s="245"/>
      <c r="X229" s="46"/>
      <c r="Y229" s="167">
        <f t="shared" si="219"/>
        <v>1850000</v>
      </c>
      <c r="Z229" s="167">
        <f t="shared" si="220"/>
        <v>1498200.0000000002</v>
      </c>
      <c r="AA229" s="167">
        <f t="shared" si="221"/>
        <v>351799.99999999977</v>
      </c>
      <c r="AB229" s="167">
        <f t="shared" si="222"/>
        <v>0</v>
      </c>
      <c r="AC229" s="167">
        <f t="shared" si="223"/>
        <v>0</v>
      </c>
      <c r="AD229" s="167">
        <f t="shared" si="224"/>
        <v>0</v>
      </c>
      <c r="AF229" s="47">
        <f t="shared" si="225"/>
        <v>1</v>
      </c>
      <c r="AG229" s="202" t="str">
        <f t="shared" si="218"/>
        <v>Magdalena Białorucka Stack</v>
      </c>
      <c r="AH229" s="172"/>
      <c r="AI229" s="173"/>
      <c r="AJ229" s="173"/>
      <c r="AK229" s="173"/>
      <c r="AL229" s="173"/>
      <c r="AM229" s="173"/>
      <c r="AN229" s="173"/>
      <c r="AO229" s="173"/>
      <c r="AP229" s="173"/>
      <c r="AQ229" s="173"/>
      <c r="AR229" s="173"/>
      <c r="AS229" s="173"/>
      <c r="AT229" s="173"/>
      <c r="AU229" s="173"/>
      <c r="AV229" s="173"/>
      <c r="AW229" s="173"/>
      <c r="AX229" s="173"/>
      <c r="AY229" s="173"/>
      <c r="AZ229" s="173"/>
      <c r="BA229" s="173"/>
      <c r="BB229" s="173"/>
      <c r="BC229" s="173"/>
      <c r="BD229" s="173"/>
      <c r="BE229" s="173"/>
      <c r="BF229" s="173"/>
      <c r="BG229" s="173"/>
      <c r="BH229" s="173"/>
      <c r="BI229" s="173"/>
      <c r="BJ229" s="173"/>
      <c r="BK229" s="173"/>
      <c r="BL229" s="173"/>
      <c r="BM229" s="173"/>
      <c r="BN229" s="173"/>
      <c r="BO229" s="173"/>
      <c r="BP229" s="173"/>
      <c r="BQ229" s="173"/>
      <c r="BR229" s="173"/>
      <c r="BS229" s="173"/>
      <c r="BT229" s="173"/>
      <c r="BU229" s="173"/>
      <c r="BV229" s="173"/>
      <c r="BW229" s="173"/>
      <c r="BX229" s="173"/>
      <c r="BY229" s="173"/>
      <c r="BZ229" s="173"/>
      <c r="CA229" s="173"/>
      <c r="CB229" s="173"/>
      <c r="CC229" s="173"/>
      <c r="CD229" s="173"/>
      <c r="CE229" s="173"/>
      <c r="CF229" s="173"/>
      <c r="CG229" s="173"/>
      <c r="CH229" s="173"/>
      <c r="CI229" s="173"/>
      <c r="CJ229" s="173"/>
      <c r="CK229" s="173"/>
      <c r="CL229" s="173"/>
      <c r="CM229" s="173"/>
      <c r="CN229" s="173"/>
      <c r="CO229" s="173"/>
      <c r="CP229" s="173"/>
      <c r="CQ229" s="173"/>
      <c r="CR229" s="173"/>
      <c r="CS229" s="173"/>
      <c r="CT229" s="173"/>
      <c r="CU229" s="173"/>
      <c r="CV229" s="173"/>
      <c r="CW229" s="173"/>
      <c r="CX229" s="173"/>
      <c r="CY229" s="148"/>
      <c r="CZ229" s="148"/>
      <c r="DA229" s="148"/>
      <c r="DB229" s="148"/>
      <c r="DC229" s="148"/>
      <c r="DD229" s="148"/>
      <c r="DE229" s="148"/>
      <c r="DF229" s="148"/>
      <c r="DG229" s="148"/>
      <c r="DH229" s="148"/>
      <c r="DI229" s="148"/>
      <c r="DJ229" s="148"/>
      <c r="DK229" s="148"/>
      <c r="DL229" s="148"/>
      <c r="DM229" s="148"/>
      <c r="DN229" s="148"/>
      <c r="DO229" s="148"/>
      <c r="DP229" s="148"/>
      <c r="DQ229" s="148"/>
      <c r="DR229" s="148"/>
      <c r="DS229" s="148"/>
      <c r="DT229" s="148"/>
      <c r="DU229" s="148"/>
      <c r="DV229" s="148"/>
      <c r="DW229" s="148"/>
      <c r="DX229" s="148"/>
      <c r="DY229" s="148"/>
      <c r="DZ229" s="148"/>
      <c r="EA229" s="148"/>
      <c r="EB229" s="148"/>
      <c r="EC229" s="148"/>
      <c r="ED229" s="148"/>
      <c r="EE229" s="148"/>
      <c r="EF229" s="148"/>
      <c r="EG229" s="148"/>
      <c r="EH229" s="148"/>
      <c r="EI229" s="148"/>
      <c r="EJ229" s="148"/>
      <c r="EK229" s="148"/>
      <c r="EL229" s="148"/>
      <c r="EM229" s="148"/>
      <c r="EN229" s="148"/>
      <c r="EO229" s="148"/>
      <c r="EP229" s="148"/>
      <c r="EQ229" s="148"/>
      <c r="ER229" s="148"/>
      <c r="ES229" s="151"/>
      <c r="ET229" s="151"/>
      <c r="EU229" s="151"/>
      <c r="EV229" s="151"/>
      <c r="EW229" s="151"/>
      <c r="EX229" s="151"/>
      <c r="EY229" s="151"/>
      <c r="EZ229" s="151"/>
      <c r="FA229" s="151"/>
      <c r="FB229" s="151"/>
      <c r="FC229" s="151"/>
      <c r="FD229" s="151"/>
      <c r="FE229" s="151"/>
      <c r="FF229" s="151"/>
      <c r="FG229" s="151"/>
      <c r="FH229" s="151"/>
      <c r="FI229" s="151"/>
      <c r="FJ229" s="151"/>
      <c r="FK229" s="151"/>
      <c r="FL229" s="151"/>
      <c r="FM229" s="151"/>
      <c r="FN229" s="151"/>
      <c r="FO229" s="151"/>
      <c r="FP229" s="151"/>
      <c r="FQ229" s="151"/>
      <c r="FR229" s="151"/>
      <c r="FS229" s="151"/>
      <c r="FT229" s="151"/>
      <c r="FU229" s="151"/>
      <c r="FV229" s="151"/>
      <c r="FW229" s="151"/>
      <c r="FX229" s="151"/>
      <c r="FY229" s="151"/>
      <c r="FZ229" s="151"/>
      <c r="GA229" s="151"/>
      <c r="GB229" s="151"/>
      <c r="GC229" s="151"/>
      <c r="GD229" s="151"/>
      <c r="GE229" s="151"/>
      <c r="GF229" s="151"/>
      <c r="GG229" s="152"/>
    </row>
    <row r="230" spans="1:189" ht="27.75" x14ac:dyDescent="0.35">
      <c r="A230" s="237" t="s">
        <v>625</v>
      </c>
      <c r="B230" s="236" t="s">
        <v>1071</v>
      </c>
      <c r="C230" s="236"/>
      <c r="D230" s="236" t="s">
        <v>1083</v>
      </c>
      <c r="E230" s="236" t="s">
        <v>623</v>
      </c>
      <c r="F230" s="236" t="s">
        <v>624</v>
      </c>
      <c r="G230" s="238">
        <v>2</v>
      </c>
      <c r="H230" s="239"/>
      <c r="I230" s="240"/>
      <c r="J230" s="240"/>
      <c r="K230" s="240"/>
      <c r="L230" s="241">
        <v>46372</v>
      </c>
      <c r="M230" s="241">
        <v>46435</v>
      </c>
      <c r="N230" s="241"/>
      <c r="O230" s="241"/>
      <c r="P230" s="241"/>
      <c r="Q230" s="242" t="s">
        <v>45</v>
      </c>
      <c r="R230" s="243">
        <v>11000000</v>
      </c>
      <c r="S230" s="243">
        <v>11000000</v>
      </c>
      <c r="T230" s="243"/>
      <c r="U230" s="191">
        <f t="shared" si="226"/>
        <v>0</v>
      </c>
      <c r="V230" s="244"/>
      <c r="W230" s="245"/>
      <c r="X230" s="46"/>
      <c r="Y230" s="167">
        <f t="shared" si="219"/>
        <v>11000000</v>
      </c>
      <c r="Z230" s="167">
        <f t="shared" si="220"/>
        <v>0</v>
      </c>
      <c r="AA230" s="167">
        <f t="shared" si="221"/>
        <v>11000000</v>
      </c>
      <c r="AB230" s="167">
        <f t="shared" si="222"/>
        <v>0</v>
      </c>
      <c r="AC230" s="167">
        <f t="shared" si="223"/>
        <v>0</v>
      </c>
      <c r="AD230" s="167">
        <f t="shared" si="224"/>
        <v>0</v>
      </c>
      <c r="AF230" s="180">
        <f t="shared" si="225"/>
        <v>1</v>
      </c>
      <c r="AG230" s="202" t="str">
        <f t="shared" si="218"/>
        <v>Magdalena Białorucka Boiler and piping insulation</v>
      </c>
      <c r="AH230" s="172"/>
      <c r="AI230" s="173"/>
      <c r="AJ230" s="173"/>
      <c r="AK230" s="173"/>
      <c r="AL230" s="173"/>
      <c r="AM230" s="173"/>
      <c r="AN230" s="173"/>
      <c r="AO230" s="173"/>
      <c r="AP230" s="173"/>
      <c r="AQ230" s="173"/>
      <c r="AR230" s="173"/>
      <c r="AS230" s="173"/>
      <c r="AT230" s="173"/>
      <c r="AU230" s="173"/>
      <c r="AV230" s="173"/>
      <c r="AW230" s="173"/>
      <c r="AX230" s="173"/>
      <c r="AY230" s="173"/>
      <c r="AZ230" s="173"/>
      <c r="BA230" s="173"/>
      <c r="BB230" s="173"/>
      <c r="BC230" s="173"/>
      <c r="BD230" s="173"/>
      <c r="BE230" s="173"/>
      <c r="BF230" s="173"/>
      <c r="BG230" s="173"/>
      <c r="BH230" s="173"/>
      <c r="BI230" s="173"/>
      <c r="BJ230" s="173"/>
      <c r="BK230" s="173"/>
      <c r="BL230" s="173"/>
      <c r="BM230" s="173"/>
      <c r="BN230" s="173"/>
      <c r="BO230" s="173"/>
      <c r="BP230" s="173"/>
      <c r="BQ230" s="173"/>
      <c r="BR230" s="173"/>
      <c r="BS230" s="173"/>
      <c r="BT230" s="173"/>
      <c r="BU230" s="173"/>
      <c r="BV230" s="173"/>
      <c r="BW230" s="173"/>
      <c r="BX230" s="173"/>
      <c r="BY230" s="173"/>
      <c r="BZ230" s="173"/>
      <c r="CA230" s="173"/>
      <c r="CB230" s="173"/>
      <c r="CC230" s="173"/>
      <c r="CD230" s="173"/>
      <c r="CE230" s="173"/>
      <c r="CF230" s="173"/>
      <c r="CG230" s="173"/>
      <c r="CH230" s="173"/>
      <c r="CI230" s="173"/>
      <c r="CJ230" s="173"/>
      <c r="CK230" s="173"/>
      <c r="CL230" s="173"/>
      <c r="CM230" s="173"/>
      <c r="CN230" s="173"/>
      <c r="CO230" s="173"/>
      <c r="CP230" s="173"/>
      <c r="CQ230" s="173"/>
      <c r="CR230" s="173"/>
      <c r="CS230" s="173"/>
      <c r="CT230" s="173"/>
      <c r="CU230" s="173"/>
      <c r="CV230" s="173"/>
      <c r="CW230" s="173"/>
      <c r="CX230" s="173"/>
      <c r="CY230" s="148"/>
      <c r="CZ230" s="148"/>
      <c r="DA230" s="148"/>
      <c r="DB230" s="148"/>
      <c r="DC230" s="148"/>
      <c r="DD230" s="148"/>
      <c r="DE230" s="148"/>
      <c r="DF230" s="148"/>
      <c r="DG230" s="148"/>
      <c r="DH230" s="148"/>
      <c r="DI230" s="148"/>
      <c r="DJ230" s="148"/>
      <c r="DK230" s="148"/>
      <c r="DL230" s="148"/>
      <c r="DM230" s="148"/>
      <c r="DN230" s="148"/>
      <c r="DO230" s="148"/>
      <c r="DP230" s="148"/>
      <c r="DQ230" s="148"/>
      <c r="DR230" s="148"/>
      <c r="DS230" s="148"/>
      <c r="DT230" s="148"/>
      <c r="DU230" s="148"/>
      <c r="DV230" s="148"/>
      <c r="DW230" s="148"/>
      <c r="DX230" s="148"/>
      <c r="DY230" s="148"/>
      <c r="DZ230" s="148"/>
      <c r="EA230" s="148"/>
      <c r="EB230" s="148"/>
      <c r="EC230" s="148"/>
      <c r="ED230" s="148"/>
      <c r="EE230" s="148"/>
      <c r="EF230" s="148"/>
      <c r="EG230" s="148"/>
      <c r="EH230" s="148"/>
      <c r="EI230" s="148"/>
      <c r="EJ230" s="148"/>
      <c r="EK230" s="148"/>
      <c r="EL230" s="148"/>
      <c r="EM230" s="148"/>
      <c r="EN230" s="148"/>
      <c r="EO230" s="148"/>
      <c r="EP230" s="148"/>
      <c r="EQ230" s="148"/>
      <c r="ER230" s="148"/>
      <c r="ES230" s="151"/>
      <c r="ET230" s="151"/>
      <c r="EU230" s="151"/>
      <c r="EV230" s="151"/>
      <c r="EW230" s="151"/>
      <c r="EX230" s="151"/>
      <c r="EY230" s="151"/>
      <c r="EZ230" s="151"/>
      <c r="FA230" s="151"/>
      <c r="FB230" s="151"/>
      <c r="FC230" s="151"/>
      <c r="FD230" s="151"/>
      <c r="FE230" s="151"/>
      <c r="FF230" s="151"/>
      <c r="FG230" s="151"/>
      <c r="FH230" s="151"/>
      <c r="FI230" s="151"/>
      <c r="FJ230" s="151"/>
      <c r="FK230" s="151"/>
      <c r="FL230" s="151"/>
      <c r="FM230" s="151"/>
      <c r="FN230" s="151"/>
      <c r="FO230" s="151"/>
      <c r="FP230" s="151"/>
      <c r="FQ230" s="151"/>
      <c r="FR230" s="151"/>
      <c r="FS230" s="151"/>
      <c r="FT230" s="151"/>
      <c r="FU230" s="151"/>
      <c r="FV230" s="151"/>
      <c r="FW230" s="151"/>
      <c r="FX230" s="151"/>
      <c r="FY230" s="151"/>
      <c r="FZ230" s="151"/>
      <c r="GA230" s="151"/>
      <c r="GB230" s="151"/>
      <c r="GC230" s="151"/>
      <c r="GD230" s="151"/>
      <c r="GE230" s="151"/>
      <c r="GF230" s="151"/>
      <c r="GG230" s="152"/>
    </row>
    <row r="231" spans="1:189" ht="27.75" x14ac:dyDescent="0.35">
      <c r="A231" s="237" t="s">
        <v>750</v>
      </c>
      <c r="B231" s="236"/>
      <c r="C231" s="236"/>
      <c r="D231" s="236" t="s">
        <v>1083</v>
      </c>
      <c r="E231" s="236" t="s">
        <v>435</v>
      </c>
      <c r="F231" s="236" t="s">
        <v>365</v>
      </c>
      <c r="G231" s="238">
        <v>2</v>
      </c>
      <c r="H231" s="239"/>
      <c r="I231" s="240"/>
      <c r="J231" s="240"/>
      <c r="K231" s="240"/>
      <c r="L231" s="241"/>
      <c r="M231" s="241"/>
      <c r="N231" s="241"/>
      <c r="O231" s="241"/>
      <c r="P231" s="241"/>
      <c r="Q231" s="242"/>
      <c r="R231" s="243"/>
      <c r="S231" s="243"/>
      <c r="T231" s="243"/>
      <c r="U231" s="191">
        <f t="shared" si="226"/>
        <v>0</v>
      </c>
      <c r="V231" s="244"/>
      <c r="W231" s="245"/>
      <c r="X231" s="46"/>
      <c r="Y231" s="167">
        <f t="shared" si="219"/>
        <v>0</v>
      </c>
      <c r="Z231" s="167">
        <f t="shared" si="220"/>
        <v>0</v>
      </c>
      <c r="AA231" s="167">
        <f t="shared" si="221"/>
        <v>0</v>
      </c>
      <c r="AB231" s="167">
        <f t="shared" si="222"/>
        <v>0</v>
      </c>
      <c r="AC231" s="167">
        <f t="shared" si="223"/>
        <v>0</v>
      </c>
      <c r="AD231" s="167">
        <f t="shared" si="224"/>
        <v>0</v>
      </c>
      <c r="AF231" s="47">
        <f t="shared" si="225"/>
        <v>0</v>
      </c>
      <c r="AG231" s="202" t="str">
        <f t="shared" si="218"/>
        <v xml:space="preserve"> Ancillary systems</v>
      </c>
      <c r="AH231" s="172"/>
      <c r="AI231" s="173"/>
      <c r="AJ231" s="173"/>
      <c r="AK231" s="173"/>
      <c r="AL231" s="173"/>
      <c r="AM231" s="173"/>
      <c r="AN231" s="173"/>
      <c r="AO231" s="173"/>
      <c r="AP231" s="173"/>
      <c r="AQ231" s="173"/>
      <c r="AR231" s="173"/>
      <c r="AS231" s="173"/>
      <c r="AT231" s="173"/>
      <c r="AU231" s="173"/>
      <c r="AV231" s="173"/>
      <c r="AW231" s="173"/>
      <c r="AX231" s="173"/>
      <c r="AY231" s="173"/>
      <c r="AZ231" s="173"/>
      <c r="BA231" s="173"/>
      <c r="BB231" s="173"/>
      <c r="BC231" s="173"/>
      <c r="BD231" s="173"/>
      <c r="BE231" s="173"/>
      <c r="BF231" s="173"/>
      <c r="BG231" s="173"/>
      <c r="BH231" s="173"/>
      <c r="BI231" s="173"/>
      <c r="BJ231" s="173"/>
      <c r="BK231" s="173"/>
      <c r="BL231" s="173"/>
      <c r="BM231" s="173"/>
      <c r="BN231" s="173"/>
      <c r="BO231" s="173"/>
      <c r="BP231" s="173"/>
      <c r="BQ231" s="173"/>
      <c r="BR231" s="173"/>
      <c r="BS231" s="173"/>
      <c r="BT231" s="173"/>
      <c r="BU231" s="173"/>
      <c r="BV231" s="173"/>
      <c r="BW231" s="173"/>
      <c r="BX231" s="173"/>
      <c r="BY231" s="173"/>
      <c r="BZ231" s="173"/>
      <c r="CA231" s="173"/>
      <c r="CB231" s="173"/>
      <c r="CC231" s="173"/>
      <c r="CD231" s="173"/>
      <c r="CE231" s="173"/>
      <c r="CF231" s="173"/>
      <c r="CG231" s="173"/>
      <c r="CH231" s="173"/>
      <c r="CI231" s="173"/>
      <c r="CJ231" s="173"/>
      <c r="CK231" s="173"/>
      <c r="CL231" s="173"/>
      <c r="CM231" s="173"/>
      <c r="CN231" s="173"/>
      <c r="CO231" s="173"/>
      <c r="CP231" s="173"/>
      <c r="CQ231" s="173"/>
      <c r="CR231" s="173"/>
      <c r="CS231" s="173"/>
      <c r="CT231" s="173"/>
      <c r="CU231" s="173"/>
      <c r="CV231" s="173"/>
      <c r="CW231" s="173"/>
      <c r="CX231" s="173"/>
      <c r="CY231" s="148"/>
      <c r="CZ231" s="148"/>
      <c r="DA231" s="148"/>
      <c r="DB231" s="148"/>
      <c r="DC231" s="148"/>
      <c r="DD231" s="148"/>
      <c r="DE231" s="148"/>
      <c r="DF231" s="148"/>
      <c r="DG231" s="148"/>
      <c r="DH231" s="148"/>
      <c r="DI231" s="148"/>
      <c r="DJ231" s="148"/>
      <c r="DK231" s="148"/>
      <c r="DL231" s="148"/>
      <c r="DM231" s="148"/>
      <c r="DN231" s="148"/>
      <c r="DO231" s="148"/>
      <c r="DP231" s="148"/>
      <c r="DQ231" s="148"/>
      <c r="DR231" s="148"/>
      <c r="DS231" s="148"/>
      <c r="DT231" s="148"/>
      <c r="DU231" s="148"/>
      <c r="DV231" s="148"/>
      <c r="DW231" s="148"/>
      <c r="DX231" s="148"/>
      <c r="DY231" s="148"/>
      <c r="DZ231" s="148"/>
      <c r="EA231" s="148"/>
      <c r="EB231" s="148"/>
      <c r="EC231" s="148"/>
      <c r="ED231" s="148"/>
      <c r="EE231" s="148"/>
      <c r="EF231" s="148"/>
      <c r="EG231" s="148"/>
      <c r="EH231" s="148"/>
      <c r="EI231" s="148"/>
      <c r="EJ231" s="148"/>
      <c r="EK231" s="148"/>
      <c r="EL231" s="148"/>
      <c r="EM231" s="148"/>
      <c r="EN231" s="148"/>
      <c r="EO231" s="148"/>
      <c r="EP231" s="148"/>
      <c r="EQ231" s="148"/>
      <c r="ER231" s="148"/>
      <c r="ES231" s="151"/>
      <c r="ET231" s="151"/>
      <c r="EU231" s="151"/>
      <c r="EV231" s="151"/>
      <c r="EW231" s="151"/>
      <c r="EX231" s="151"/>
      <c r="EY231" s="151"/>
      <c r="EZ231" s="151"/>
      <c r="FA231" s="151"/>
      <c r="FB231" s="151"/>
      <c r="FC231" s="151"/>
      <c r="FD231" s="151"/>
      <c r="FE231" s="151"/>
      <c r="FF231" s="151"/>
      <c r="FG231" s="151"/>
      <c r="FH231" s="151"/>
      <c r="FI231" s="151"/>
      <c r="FJ231" s="151"/>
      <c r="FK231" s="151"/>
      <c r="FL231" s="151"/>
      <c r="FM231" s="151"/>
      <c r="FN231" s="151"/>
      <c r="FO231" s="151"/>
      <c r="FP231" s="151"/>
      <c r="FQ231" s="151"/>
      <c r="FR231" s="151"/>
      <c r="FS231" s="151"/>
      <c r="FT231" s="151"/>
      <c r="FU231" s="151"/>
      <c r="FV231" s="151"/>
      <c r="FW231" s="151"/>
      <c r="FX231" s="151"/>
      <c r="FY231" s="151"/>
      <c r="FZ231" s="151"/>
      <c r="GA231" s="151"/>
      <c r="GB231" s="151"/>
      <c r="GC231" s="151"/>
      <c r="GD231" s="151"/>
      <c r="GE231" s="151"/>
      <c r="GF231" s="151"/>
      <c r="GG231" s="152"/>
    </row>
    <row r="232" spans="1:189" ht="27.75" x14ac:dyDescent="0.35">
      <c r="A232" s="222" t="s">
        <v>751</v>
      </c>
      <c r="B232" s="221" t="s">
        <v>1051</v>
      </c>
      <c r="C232" s="221"/>
      <c r="D232" s="221" t="s">
        <v>1083</v>
      </c>
      <c r="E232" s="221" t="s">
        <v>436</v>
      </c>
      <c r="F232" s="221" t="s">
        <v>362</v>
      </c>
      <c r="G232" s="223">
        <v>2</v>
      </c>
      <c r="H232" s="224"/>
      <c r="I232" s="225"/>
      <c r="J232" s="225"/>
      <c r="K232" s="225"/>
      <c r="L232" s="226">
        <v>46204</v>
      </c>
      <c r="M232" s="226">
        <v>46235</v>
      </c>
      <c r="N232" s="226"/>
      <c r="O232" s="226"/>
      <c r="P232" s="226"/>
      <c r="Q232" s="227" t="s">
        <v>45</v>
      </c>
      <c r="R232" s="228">
        <v>1500000</v>
      </c>
      <c r="S232" s="228">
        <v>1500000</v>
      </c>
      <c r="T232" s="228"/>
      <c r="U232" s="191">
        <f t="shared" si="226"/>
        <v>0</v>
      </c>
      <c r="V232" s="230"/>
      <c r="W232" s="232"/>
      <c r="X232" s="46"/>
      <c r="Y232" s="167">
        <f t="shared" si="219"/>
        <v>1500000</v>
      </c>
      <c r="Z232" s="167">
        <f t="shared" si="220"/>
        <v>0</v>
      </c>
      <c r="AA232" s="167">
        <f t="shared" si="221"/>
        <v>1500000</v>
      </c>
      <c r="AB232" s="167">
        <f t="shared" si="222"/>
        <v>0</v>
      </c>
      <c r="AC232" s="167">
        <f t="shared" si="223"/>
        <v>0</v>
      </c>
      <c r="AD232" s="167">
        <f t="shared" si="224"/>
        <v>0</v>
      </c>
      <c r="AF232" s="180">
        <f t="shared" si="225"/>
        <v>1</v>
      </c>
      <c r="AG232" s="202" t="str">
        <f t="shared" si="218"/>
        <v>Roger Gołombek Compressors 2 x 50% + 1 x 50%</v>
      </c>
      <c r="AH232" s="172"/>
      <c r="AI232" s="173"/>
      <c r="AJ232" s="173"/>
      <c r="AK232" s="173"/>
      <c r="AL232" s="173"/>
      <c r="AM232" s="173"/>
      <c r="AN232" s="173"/>
      <c r="AO232" s="173"/>
      <c r="AP232" s="173"/>
      <c r="AQ232" s="173"/>
      <c r="AR232" s="173"/>
      <c r="AS232" s="173"/>
      <c r="AT232" s="173"/>
      <c r="AU232" s="173"/>
      <c r="AV232" s="173"/>
      <c r="AW232" s="173"/>
      <c r="AX232" s="173"/>
      <c r="AY232" s="173"/>
      <c r="AZ232" s="173"/>
      <c r="BA232" s="173"/>
      <c r="BB232" s="173"/>
      <c r="BC232" s="173"/>
      <c r="BD232" s="173"/>
      <c r="BE232" s="173"/>
      <c r="BF232" s="173"/>
      <c r="BG232" s="173"/>
      <c r="BH232" s="173"/>
      <c r="BI232" s="173"/>
      <c r="BJ232" s="173"/>
      <c r="BK232" s="173"/>
      <c r="BL232" s="173"/>
      <c r="BM232" s="173"/>
      <c r="BN232" s="173"/>
      <c r="BO232" s="173"/>
      <c r="BP232" s="173"/>
      <c r="BQ232" s="173"/>
      <c r="BR232" s="173"/>
      <c r="BS232" s="173"/>
      <c r="BT232" s="173"/>
      <c r="BU232" s="173"/>
      <c r="BV232" s="173"/>
      <c r="BW232" s="173"/>
      <c r="BX232" s="173"/>
      <c r="BY232" s="173"/>
      <c r="BZ232" s="173"/>
      <c r="CA232" s="173"/>
      <c r="CB232" s="173"/>
      <c r="CC232" s="173"/>
      <c r="CD232" s="173"/>
      <c r="CE232" s="173"/>
      <c r="CF232" s="173"/>
      <c r="CG232" s="173"/>
      <c r="CH232" s="173"/>
      <c r="CI232" s="173"/>
      <c r="CJ232" s="173"/>
      <c r="CK232" s="173"/>
      <c r="CL232" s="173"/>
      <c r="CM232" s="173"/>
      <c r="CN232" s="173"/>
      <c r="CO232" s="173"/>
      <c r="CP232" s="173"/>
      <c r="CQ232" s="173"/>
      <c r="CR232" s="173"/>
      <c r="CS232" s="173"/>
      <c r="CT232" s="173"/>
      <c r="CU232" s="173"/>
      <c r="CV232" s="173"/>
      <c r="CW232" s="173"/>
      <c r="CX232" s="173"/>
      <c r="CY232" s="148"/>
      <c r="CZ232" s="148"/>
      <c r="DA232" s="148"/>
      <c r="DB232" s="148"/>
      <c r="DC232" s="148"/>
      <c r="DD232" s="148"/>
      <c r="DE232" s="148"/>
      <c r="DF232" s="148"/>
      <c r="DG232" s="148"/>
      <c r="DH232" s="148"/>
      <c r="DI232" s="148"/>
      <c r="DJ232" s="148"/>
      <c r="DK232" s="148"/>
      <c r="DL232" s="148"/>
      <c r="DM232" s="148"/>
      <c r="DN232" s="148"/>
      <c r="DO232" s="148"/>
      <c r="DP232" s="148"/>
      <c r="DQ232" s="148"/>
      <c r="DR232" s="148"/>
      <c r="DS232" s="148"/>
      <c r="DT232" s="148"/>
      <c r="DU232" s="148"/>
      <c r="DV232" s="148"/>
      <c r="DW232" s="148"/>
      <c r="DX232" s="148"/>
      <c r="DY232" s="148"/>
      <c r="DZ232" s="148"/>
      <c r="EA232" s="148"/>
      <c r="EB232" s="148"/>
      <c r="EC232" s="148"/>
      <c r="ED232" s="148"/>
      <c r="EE232" s="148"/>
      <c r="EF232" s="148"/>
      <c r="EG232" s="148"/>
      <c r="EH232" s="148"/>
      <c r="EI232" s="148"/>
      <c r="EJ232" s="148"/>
      <c r="EK232" s="148"/>
      <c r="EL232" s="148"/>
      <c r="EM232" s="148"/>
      <c r="EN232" s="148"/>
      <c r="EO232" s="148"/>
      <c r="EP232" s="148"/>
      <c r="EQ232" s="148"/>
      <c r="ER232" s="148"/>
      <c r="ES232" s="151"/>
      <c r="ET232" s="151"/>
      <c r="EU232" s="151"/>
      <c r="EV232" s="151"/>
      <c r="EW232" s="151"/>
      <c r="EX232" s="151"/>
      <c r="EY232" s="151"/>
      <c r="EZ232" s="151"/>
      <c r="FA232" s="151"/>
      <c r="FB232" s="151"/>
      <c r="FC232" s="151"/>
      <c r="FD232" s="151"/>
      <c r="FE232" s="151"/>
      <c r="FF232" s="151"/>
      <c r="FG232" s="151"/>
      <c r="FH232" s="151"/>
      <c r="FI232" s="151"/>
      <c r="FJ232" s="151"/>
      <c r="FK232" s="151"/>
      <c r="FL232" s="151"/>
      <c r="FM232" s="151"/>
      <c r="FN232" s="151"/>
      <c r="FO232" s="151"/>
      <c r="FP232" s="151"/>
      <c r="FQ232" s="151"/>
      <c r="FR232" s="151"/>
      <c r="FS232" s="151"/>
      <c r="FT232" s="151"/>
      <c r="FU232" s="151"/>
      <c r="FV232" s="151"/>
      <c r="FW232" s="151"/>
      <c r="FX232" s="151"/>
      <c r="FY232" s="151"/>
      <c r="FZ232" s="151"/>
      <c r="GA232" s="151"/>
      <c r="GB232" s="151"/>
      <c r="GC232" s="151"/>
      <c r="GD232" s="151"/>
      <c r="GE232" s="151"/>
      <c r="GF232" s="151"/>
      <c r="GG232" s="152"/>
    </row>
    <row r="233" spans="1:189" ht="27.75" x14ac:dyDescent="0.35">
      <c r="A233" s="222" t="s">
        <v>752</v>
      </c>
      <c r="B233" s="221" t="s">
        <v>1071</v>
      </c>
      <c r="C233" s="221"/>
      <c r="D233" s="221" t="s">
        <v>1083</v>
      </c>
      <c r="E233" s="221" t="s">
        <v>643</v>
      </c>
      <c r="F233" s="221" t="s">
        <v>644</v>
      </c>
      <c r="G233" s="223">
        <v>2</v>
      </c>
      <c r="H233" s="224"/>
      <c r="I233" s="225"/>
      <c r="J233" s="225"/>
      <c r="K233" s="225"/>
      <c r="L233" s="226">
        <v>46158</v>
      </c>
      <c r="M233" s="226">
        <v>46189</v>
      </c>
      <c r="N233" s="226"/>
      <c r="O233" s="226"/>
      <c r="P233" s="226"/>
      <c r="Q233" s="227" t="s">
        <v>11</v>
      </c>
      <c r="R233" s="228">
        <v>200000</v>
      </c>
      <c r="S233" s="228">
        <v>200000</v>
      </c>
      <c r="T233" s="228"/>
      <c r="U233" s="191">
        <f t="shared" si="226"/>
        <v>0</v>
      </c>
      <c r="V233" s="230"/>
      <c r="W233" s="232"/>
      <c r="X233" s="46"/>
      <c r="Y233" s="167">
        <f t="shared" si="219"/>
        <v>200000</v>
      </c>
      <c r="Z233" s="167">
        <f t="shared" si="220"/>
        <v>0</v>
      </c>
      <c r="AA233" s="167">
        <f t="shared" si="221"/>
        <v>200000</v>
      </c>
      <c r="AB233" s="167">
        <f t="shared" si="222"/>
        <v>0</v>
      </c>
      <c r="AC233" s="167">
        <f t="shared" si="223"/>
        <v>0</v>
      </c>
      <c r="AD233" s="167">
        <f t="shared" si="224"/>
        <v>0</v>
      </c>
      <c r="AF233" s="47">
        <f t="shared" si="225"/>
        <v>1</v>
      </c>
      <c r="AG233" s="202" t="str">
        <f t="shared" si="218"/>
        <v>Magdalena Białorucka Auxiliary fuel tank (light oil/diesel oil)</v>
      </c>
      <c r="AH233" s="172"/>
      <c r="AI233" s="173"/>
      <c r="AJ233" s="173"/>
      <c r="AK233" s="173"/>
      <c r="AL233" s="173"/>
      <c r="AM233" s="173"/>
      <c r="AN233" s="173"/>
      <c r="AO233" s="173"/>
      <c r="AP233" s="173"/>
      <c r="AQ233" s="173"/>
      <c r="AR233" s="173"/>
      <c r="AS233" s="173"/>
      <c r="AT233" s="173"/>
      <c r="AU233" s="173"/>
      <c r="AV233" s="173"/>
      <c r="AW233" s="173"/>
      <c r="AX233" s="173"/>
      <c r="AY233" s="173"/>
      <c r="AZ233" s="173"/>
      <c r="BA233" s="173"/>
      <c r="BB233" s="173"/>
      <c r="BC233" s="173"/>
      <c r="BD233" s="173"/>
      <c r="BE233" s="173"/>
      <c r="BF233" s="173"/>
      <c r="BG233" s="173"/>
      <c r="BH233" s="173"/>
      <c r="BI233" s="173"/>
      <c r="BJ233" s="173"/>
      <c r="BK233" s="173"/>
      <c r="BL233" s="173"/>
      <c r="BM233" s="173"/>
      <c r="BN233" s="173"/>
      <c r="BO233" s="173"/>
      <c r="BP233" s="173"/>
      <c r="BQ233" s="173"/>
      <c r="BR233" s="173"/>
      <c r="BS233" s="173"/>
      <c r="BT233" s="173"/>
      <c r="BU233" s="173"/>
      <c r="BV233" s="173"/>
      <c r="BW233" s="173"/>
      <c r="BX233" s="173"/>
      <c r="BY233" s="173"/>
      <c r="BZ233" s="173"/>
      <c r="CA233" s="173"/>
      <c r="CB233" s="173"/>
      <c r="CC233" s="173"/>
      <c r="CD233" s="173"/>
      <c r="CE233" s="173"/>
      <c r="CF233" s="173"/>
      <c r="CG233" s="173"/>
      <c r="CH233" s="173"/>
      <c r="CI233" s="173"/>
      <c r="CJ233" s="173"/>
      <c r="CK233" s="173"/>
      <c r="CL233" s="173"/>
      <c r="CM233" s="173"/>
      <c r="CN233" s="173"/>
      <c r="CO233" s="173"/>
      <c r="CP233" s="173"/>
      <c r="CQ233" s="173"/>
      <c r="CR233" s="173"/>
      <c r="CS233" s="173"/>
      <c r="CT233" s="173"/>
      <c r="CU233" s="173"/>
      <c r="CV233" s="173"/>
      <c r="CW233" s="173"/>
      <c r="CX233" s="173"/>
      <c r="CY233" s="148"/>
      <c r="CZ233" s="148"/>
      <c r="DA233" s="148"/>
      <c r="DB233" s="148"/>
      <c r="DC233" s="148"/>
      <c r="DD233" s="148"/>
      <c r="DE233" s="148"/>
      <c r="DF233" s="148"/>
      <c r="DG233" s="148"/>
      <c r="DH233" s="148"/>
      <c r="DI233" s="148"/>
      <c r="DJ233" s="148"/>
      <c r="DK233" s="148"/>
      <c r="DL233" s="148"/>
      <c r="DM233" s="148"/>
      <c r="DN233" s="148"/>
      <c r="DO233" s="148"/>
      <c r="DP233" s="148"/>
      <c r="DQ233" s="148"/>
      <c r="DR233" s="148"/>
      <c r="DS233" s="148"/>
      <c r="DT233" s="148"/>
      <c r="DU233" s="148"/>
      <c r="DV233" s="148"/>
      <c r="DW233" s="148"/>
      <c r="DX233" s="148"/>
      <c r="DY233" s="148"/>
      <c r="DZ233" s="148"/>
      <c r="EA233" s="148"/>
      <c r="EB233" s="148"/>
      <c r="EC233" s="148"/>
      <c r="ED233" s="148"/>
      <c r="EE233" s="148"/>
      <c r="EF233" s="148"/>
      <c r="EG233" s="148"/>
      <c r="EH233" s="148"/>
      <c r="EI233" s="148"/>
      <c r="EJ233" s="148"/>
      <c r="EK233" s="148"/>
      <c r="EL233" s="148"/>
      <c r="EM233" s="148"/>
      <c r="EN233" s="148"/>
      <c r="EO233" s="148"/>
      <c r="EP233" s="148"/>
      <c r="EQ233" s="148"/>
      <c r="ER233" s="148"/>
      <c r="ES233" s="151"/>
      <c r="ET233" s="151"/>
      <c r="EU233" s="151"/>
      <c r="EV233" s="151"/>
      <c r="EW233" s="151"/>
      <c r="EX233" s="151"/>
      <c r="EY233" s="151"/>
      <c r="EZ233" s="151"/>
      <c r="FA233" s="151"/>
      <c r="FB233" s="151"/>
      <c r="FC233" s="151"/>
      <c r="FD233" s="151"/>
      <c r="FE233" s="151"/>
      <c r="FF233" s="151"/>
      <c r="FG233" s="151"/>
      <c r="FH233" s="151"/>
      <c r="FI233" s="151"/>
      <c r="FJ233" s="151"/>
      <c r="FK233" s="151"/>
      <c r="FL233" s="151"/>
      <c r="FM233" s="151"/>
      <c r="FN233" s="151"/>
      <c r="FO233" s="151"/>
      <c r="FP233" s="151"/>
      <c r="FQ233" s="151"/>
      <c r="FR233" s="151"/>
      <c r="FS233" s="151"/>
      <c r="FT233" s="151"/>
      <c r="FU233" s="151"/>
      <c r="FV233" s="151"/>
      <c r="FW233" s="151"/>
      <c r="FX233" s="151"/>
      <c r="FY233" s="151"/>
      <c r="FZ233" s="151"/>
      <c r="GA233" s="151"/>
      <c r="GB233" s="151"/>
      <c r="GC233" s="151"/>
      <c r="GD233" s="151"/>
      <c r="GE233" s="151"/>
      <c r="GF233" s="151"/>
      <c r="GG233" s="152"/>
    </row>
    <row r="234" spans="1:189" ht="27.75" x14ac:dyDescent="0.35">
      <c r="A234" s="222" t="s">
        <v>753</v>
      </c>
      <c r="B234" s="221"/>
      <c r="C234" s="221"/>
      <c r="D234" s="221" t="s">
        <v>1083</v>
      </c>
      <c r="E234" s="221" t="s">
        <v>647</v>
      </c>
      <c r="F234" s="221" t="s">
        <v>649</v>
      </c>
      <c r="G234" s="223">
        <v>2</v>
      </c>
      <c r="H234" s="224"/>
      <c r="I234" s="225"/>
      <c r="J234" s="225"/>
      <c r="K234" s="225"/>
      <c r="L234" s="226">
        <v>46189</v>
      </c>
      <c r="M234" s="226">
        <v>46222</v>
      </c>
      <c r="N234" s="226"/>
      <c r="O234" s="226"/>
      <c r="P234" s="226"/>
      <c r="Q234" s="227" t="s">
        <v>45</v>
      </c>
      <c r="R234" s="228">
        <v>200000</v>
      </c>
      <c r="S234" s="228">
        <v>200000</v>
      </c>
      <c r="T234" s="228"/>
      <c r="U234" s="191">
        <f t="shared" si="226"/>
        <v>0</v>
      </c>
      <c r="V234" s="230"/>
      <c r="W234" s="232"/>
      <c r="X234" s="46"/>
      <c r="Y234" s="167">
        <f t="shared" si="219"/>
        <v>200000</v>
      </c>
      <c r="Z234" s="167">
        <f t="shared" si="220"/>
        <v>0</v>
      </c>
      <c r="AA234" s="167">
        <f t="shared" si="221"/>
        <v>200000</v>
      </c>
      <c r="AB234" s="167">
        <f t="shared" si="222"/>
        <v>0</v>
      </c>
      <c r="AC234" s="167">
        <f t="shared" si="223"/>
        <v>0</v>
      </c>
      <c r="AD234" s="167">
        <f t="shared" si="224"/>
        <v>0</v>
      </c>
      <c r="AF234" s="180">
        <f t="shared" si="225"/>
        <v>1</v>
      </c>
      <c r="AG234" s="202" t="str">
        <f t="shared" si="218"/>
        <v xml:space="preserve"> Light oil unloading installation with TDT documentation approval</v>
      </c>
      <c r="AH234" s="172"/>
      <c r="AI234" s="173"/>
      <c r="AJ234" s="173"/>
      <c r="AK234" s="173"/>
      <c r="AL234" s="173"/>
      <c r="AM234" s="173"/>
      <c r="AN234" s="173"/>
      <c r="AO234" s="173"/>
      <c r="AP234" s="173"/>
      <c r="AQ234" s="173"/>
      <c r="AR234" s="173"/>
      <c r="AS234" s="173"/>
      <c r="AT234" s="173"/>
      <c r="AU234" s="173"/>
      <c r="AV234" s="173"/>
      <c r="AW234" s="173"/>
      <c r="AX234" s="173"/>
      <c r="AY234" s="173"/>
      <c r="AZ234" s="173"/>
      <c r="BA234" s="173"/>
      <c r="BB234" s="173"/>
      <c r="BC234" s="173"/>
      <c r="BD234" s="173"/>
      <c r="BE234" s="173"/>
      <c r="BF234" s="173"/>
      <c r="BG234" s="173"/>
      <c r="BH234" s="173"/>
      <c r="BI234" s="173"/>
      <c r="BJ234" s="173"/>
      <c r="BK234" s="173"/>
      <c r="BL234" s="173"/>
      <c r="BM234" s="173"/>
      <c r="BN234" s="173"/>
      <c r="BO234" s="173"/>
      <c r="BP234" s="173"/>
      <c r="BQ234" s="173"/>
      <c r="BR234" s="173"/>
      <c r="BS234" s="173"/>
      <c r="BT234" s="173"/>
      <c r="BU234" s="173"/>
      <c r="BV234" s="173"/>
      <c r="BW234" s="173"/>
      <c r="BX234" s="173"/>
      <c r="BY234" s="173"/>
      <c r="BZ234" s="173"/>
      <c r="CA234" s="173"/>
      <c r="CB234" s="173"/>
      <c r="CC234" s="173"/>
      <c r="CD234" s="173"/>
      <c r="CE234" s="173"/>
      <c r="CF234" s="173"/>
      <c r="CG234" s="173"/>
      <c r="CH234" s="173"/>
      <c r="CI234" s="173"/>
      <c r="CJ234" s="173"/>
      <c r="CK234" s="173"/>
      <c r="CL234" s="173"/>
      <c r="CM234" s="173"/>
      <c r="CN234" s="173"/>
      <c r="CO234" s="173"/>
      <c r="CP234" s="173"/>
      <c r="CQ234" s="173"/>
      <c r="CR234" s="173"/>
      <c r="CS234" s="173"/>
      <c r="CT234" s="173"/>
      <c r="CU234" s="173"/>
      <c r="CV234" s="173"/>
      <c r="CW234" s="173"/>
      <c r="CX234" s="173"/>
      <c r="CY234" s="148"/>
      <c r="CZ234" s="148"/>
      <c r="DA234" s="148"/>
      <c r="DB234" s="148"/>
      <c r="DC234" s="148"/>
      <c r="DD234" s="148"/>
      <c r="DE234" s="148"/>
      <c r="DF234" s="148"/>
      <c r="DG234" s="148"/>
      <c r="DH234" s="148"/>
      <c r="DI234" s="148"/>
      <c r="DJ234" s="148"/>
      <c r="DK234" s="148"/>
      <c r="DL234" s="148"/>
      <c r="DM234" s="148"/>
      <c r="DN234" s="148"/>
      <c r="DO234" s="148"/>
      <c r="DP234" s="148"/>
      <c r="DQ234" s="148"/>
      <c r="DR234" s="148"/>
      <c r="DS234" s="148"/>
      <c r="DT234" s="148"/>
      <c r="DU234" s="148"/>
      <c r="DV234" s="148"/>
      <c r="DW234" s="148"/>
      <c r="DX234" s="148"/>
      <c r="DY234" s="148"/>
      <c r="DZ234" s="148"/>
      <c r="EA234" s="148"/>
      <c r="EB234" s="148"/>
      <c r="EC234" s="148"/>
      <c r="ED234" s="148"/>
      <c r="EE234" s="148"/>
      <c r="EF234" s="148"/>
      <c r="EG234" s="148"/>
      <c r="EH234" s="148"/>
      <c r="EI234" s="148"/>
      <c r="EJ234" s="148"/>
      <c r="EK234" s="148"/>
      <c r="EL234" s="148"/>
      <c r="EM234" s="148"/>
      <c r="EN234" s="148"/>
      <c r="EO234" s="148"/>
      <c r="EP234" s="148"/>
      <c r="EQ234" s="148"/>
      <c r="ER234" s="148"/>
      <c r="ES234" s="151"/>
      <c r="ET234" s="151"/>
      <c r="EU234" s="151"/>
      <c r="EV234" s="151"/>
      <c r="EW234" s="151"/>
      <c r="EX234" s="151"/>
      <c r="EY234" s="151"/>
      <c r="EZ234" s="151"/>
      <c r="FA234" s="151"/>
      <c r="FB234" s="151"/>
      <c r="FC234" s="151"/>
      <c r="FD234" s="151"/>
      <c r="FE234" s="151"/>
      <c r="FF234" s="151"/>
      <c r="FG234" s="151"/>
      <c r="FH234" s="151"/>
      <c r="FI234" s="151"/>
      <c r="FJ234" s="151"/>
      <c r="FK234" s="151"/>
      <c r="FL234" s="151"/>
      <c r="FM234" s="151"/>
      <c r="FN234" s="151"/>
      <c r="FO234" s="151"/>
      <c r="FP234" s="151"/>
      <c r="FQ234" s="151"/>
      <c r="FR234" s="151"/>
      <c r="FS234" s="151"/>
      <c r="FT234" s="151"/>
      <c r="FU234" s="151"/>
      <c r="FV234" s="151"/>
      <c r="FW234" s="151"/>
      <c r="FX234" s="151"/>
      <c r="FY234" s="151"/>
      <c r="FZ234" s="151"/>
      <c r="GA234" s="151"/>
      <c r="GB234" s="151"/>
      <c r="GC234" s="151"/>
      <c r="GD234" s="151"/>
      <c r="GE234" s="151"/>
      <c r="GF234" s="151"/>
      <c r="GG234" s="152"/>
    </row>
    <row r="235" spans="1:189" ht="41.65" x14ac:dyDescent="0.35">
      <c r="A235" s="222" t="s">
        <v>754</v>
      </c>
      <c r="B235" s="221" t="s">
        <v>1066</v>
      </c>
      <c r="C235" s="221"/>
      <c r="D235" s="221" t="s">
        <v>1083</v>
      </c>
      <c r="E235" s="221" t="s">
        <v>646</v>
      </c>
      <c r="F235" s="221" t="s">
        <v>650</v>
      </c>
      <c r="G235" s="223">
        <v>1</v>
      </c>
      <c r="H235" s="224"/>
      <c r="I235" s="225"/>
      <c r="J235" s="225"/>
      <c r="K235" s="225"/>
      <c r="L235" s="226">
        <v>46184</v>
      </c>
      <c r="M235" s="226">
        <v>46231</v>
      </c>
      <c r="N235" s="226"/>
      <c r="O235" s="226"/>
      <c r="P235" s="226"/>
      <c r="Q235" s="227" t="s">
        <v>45</v>
      </c>
      <c r="R235" s="228">
        <v>3337500</v>
      </c>
      <c r="S235" s="228">
        <v>3337500</v>
      </c>
      <c r="T235" s="228"/>
      <c r="U235" s="191">
        <f t="shared" si="226"/>
        <v>0</v>
      </c>
      <c r="V235" s="230"/>
      <c r="W235" s="232"/>
      <c r="X235" s="46"/>
      <c r="Y235" s="167">
        <f t="shared" si="219"/>
        <v>0</v>
      </c>
      <c r="Z235" s="167">
        <f t="shared" si="220"/>
        <v>0</v>
      </c>
      <c r="AA235" s="167">
        <f t="shared" si="221"/>
        <v>0</v>
      </c>
      <c r="AB235" s="167">
        <f t="shared" si="222"/>
        <v>3337500</v>
      </c>
      <c r="AC235" s="167">
        <f t="shared" si="223"/>
        <v>0</v>
      </c>
      <c r="AD235" s="167">
        <f t="shared" si="224"/>
        <v>3337500</v>
      </c>
      <c r="AF235" s="47">
        <f t="shared" si="225"/>
        <v>1</v>
      </c>
      <c r="AG235" s="202" t="str">
        <f t="shared" si="218"/>
        <v>Stanisław Rucki Auxiliary fuel pumps (light oil/diesel oil), demi water pumps, other water pumps</v>
      </c>
      <c r="AH235" s="172"/>
      <c r="AI235" s="173"/>
      <c r="AJ235" s="173"/>
      <c r="AK235" s="173"/>
      <c r="AL235" s="173"/>
      <c r="AM235" s="173"/>
      <c r="AN235" s="173"/>
      <c r="AO235" s="173"/>
      <c r="AP235" s="173"/>
      <c r="AQ235" s="173"/>
      <c r="AR235" s="173"/>
      <c r="AS235" s="173"/>
      <c r="AT235" s="173"/>
      <c r="AU235" s="173"/>
      <c r="AV235" s="173"/>
      <c r="AW235" s="173"/>
      <c r="AX235" s="173"/>
      <c r="AY235" s="173"/>
      <c r="AZ235" s="173"/>
      <c r="BA235" s="173"/>
      <c r="BB235" s="173"/>
      <c r="BC235" s="173"/>
      <c r="BD235" s="173"/>
      <c r="BE235" s="173"/>
      <c r="BF235" s="173"/>
      <c r="BG235" s="173"/>
      <c r="BH235" s="173"/>
      <c r="BI235" s="173"/>
      <c r="BJ235" s="173"/>
      <c r="BK235" s="173"/>
      <c r="BL235" s="173"/>
      <c r="BM235" s="173"/>
      <c r="BN235" s="173"/>
      <c r="BO235" s="173"/>
      <c r="BP235" s="173"/>
      <c r="BQ235" s="173"/>
      <c r="BR235" s="173"/>
      <c r="BS235" s="173"/>
      <c r="BT235" s="173"/>
      <c r="BU235" s="173"/>
      <c r="BV235" s="173"/>
      <c r="BW235" s="173"/>
      <c r="BX235" s="173"/>
      <c r="BY235" s="173"/>
      <c r="BZ235" s="173"/>
      <c r="CA235" s="173"/>
      <c r="CB235" s="173"/>
      <c r="CC235" s="173"/>
      <c r="CD235" s="173"/>
      <c r="CE235" s="173"/>
      <c r="CF235" s="173"/>
      <c r="CG235" s="173"/>
      <c r="CH235" s="173"/>
      <c r="CI235" s="173"/>
      <c r="CJ235" s="173"/>
      <c r="CK235" s="173"/>
      <c r="CL235" s="173"/>
      <c r="CM235" s="173"/>
      <c r="CN235" s="173"/>
      <c r="CO235" s="173"/>
      <c r="CP235" s="173"/>
      <c r="CQ235" s="173"/>
      <c r="CR235" s="173"/>
      <c r="CS235" s="173"/>
      <c r="CT235" s="173"/>
      <c r="CU235" s="173"/>
      <c r="CV235" s="173"/>
      <c r="CW235" s="173"/>
      <c r="CX235" s="173"/>
      <c r="CY235" s="148"/>
      <c r="CZ235" s="148"/>
      <c r="DA235" s="148"/>
      <c r="DB235" s="148"/>
      <c r="DC235" s="148"/>
      <c r="DD235" s="148"/>
      <c r="DE235" s="148"/>
      <c r="DF235" s="148"/>
      <c r="DG235" s="148"/>
      <c r="DH235" s="148"/>
      <c r="DI235" s="148"/>
      <c r="DJ235" s="148"/>
      <c r="DK235" s="148"/>
      <c r="DL235" s="148"/>
      <c r="DM235" s="148"/>
      <c r="DN235" s="148"/>
      <c r="DO235" s="148"/>
      <c r="DP235" s="148"/>
      <c r="DQ235" s="148"/>
      <c r="DR235" s="148"/>
      <c r="DS235" s="148"/>
      <c r="DT235" s="148"/>
      <c r="DU235" s="148"/>
      <c r="DV235" s="148"/>
      <c r="DW235" s="148"/>
      <c r="DX235" s="148"/>
      <c r="DY235" s="148"/>
      <c r="DZ235" s="148"/>
      <c r="EA235" s="148"/>
      <c r="EB235" s="148"/>
      <c r="EC235" s="148"/>
      <c r="ED235" s="148"/>
      <c r="EE235" s="148"/>
      <c r="EF235" s="148"/>
      <c r="EG235" s="148"/>
      <c r="EH235" s="148"/>
      <c r="EI235" s="148"/>
      <c r="EJ235" s="148"/>
      <c r="EK235" s="148"/>
      <c r="EL235" s="148"/>
      <c r="EM235" s="148"/>
      <c r="EN235" s="148"/>
      <c r="EO235" s="148"/>
      <c r="EP235" s="148"/>
      <c r="EQ235" s="148"/>
      <c r="ER235" s="148"/>
      <c r="ES235" s="151"/>
      <c r="ET235" s="151"/>
      <c r="EU235" s="151"/>
      <c r="EV235" s="151"/>
      <c r="EW235" s="151"/>
      <c r="EX235" s="151"/>
      <c r="EY235" s="151"/>
      <c r="EZ235" s="151"/>
      <c r="FA235" s="151"/>
      <c r="FB235" s="151"/>
      <c r="FC235" s="151"/>
      <c r="FD235" s="151"/>
      <c r="FE235" s="151"/>
      <c r="FF235" s="151"/>
      <c r="FG235" s="151"/>
      <c r="FH235" s="151"/>
      <c r="FI235" s="151"/>
      <c r="FJ235" s="151"/>
      <c r="FK235" s="151"/>
      <c r="FL235" s="151"/>
      <c r="FM235" s="151"/>
      <c r="FN235" s="151"/>
      <c r="FO235" s="151"/>
      <c r="FP235" s="151"/>
      <c r="FQ235" s="151"/>
      <c r="FR235" s="151"/>
      <c r="FS235" s="151"/>
      <c r="FT235" s="151"/>
      <c r="FU235" s="151"/>
      <c r="FV235" s="151"/>
      <c r="FW235" s="151"/>
      <c r="FX235" s="151"/>
      <c r="FY235" s="151"/>
      <c r="FZ235" s="151"/>
      <c r="GA235" s="151"/>
      <c r="GB235" s="151"/>
      <c r="GC235" s="151"/>
      <c r="GD235" s="151"/>
      <c r="GE235" s="151"/>
      <c r="GF235" s="151"/>
      <c r="GG235" s="152"/>
    </row>
    <row r="236" spans="1:189" ht="41.65" x14ac:dyDescent="0.35">
      <c r="A236" s="222" t="s">
        <v>755</v>
      </c>
      <c r="B236" s="221" t="s">
        <v>1066</v>
      </c>
      <c r="C236" s="221"/>
      <c r="D236" s="221" t="s">
        <v>1083</v>
      </c>
      <c r="E236" s="221" t="s">
        <v>645</v>
      </c>
      <c r="F236" s="221" t="s">
        <v>651</v>
      </c>
      <c r="G236" s="223">
        <v>2</v>
      </c>
      <c r="I236" s="225"/>
      <c r="J236" s="225"/>
      <c r="K236" s="225"/>
      <c r="L236" s="226">
        <v>46372</v>
      </c>
      <c r="M236" s="226">
        <v>46434</v>
      </c>
      <c r="N236" s="226"/>
      <c r="O236" s="226"/>
      <c r="P236" s="226"/>
      <c r="Q236" s="227" t="s">
        <v>45</v>
      </c>
      <c r="R236" s="228">
        <v>2600000</v>
      </c>
      <c r="S236" s="228">
        <v>2600000</v>
      </c>
      <c r="T236" s="228"/>
      <c r="U236" s="191">
        <f t="shared" si="226"/>
        <v>0</v>
      </c>
      <c r="V236" s="230"/>
      <c r="W236" s="232"/>
      <c r="X236" s="46"/>
      <c r="Y236" s="167">
        <f t="shared" si="219"/>
        <v>2600000</v>
      </c>
      <c r="Z236" s="167">
        <f t="shared" si="220"/>
        <v>0</v>
      </c>
      <c r="AA236" s="167">
        <f t="shared" si="221"/>
        <v>2600000</v>
      </c>
      <c r="AB236" s="167">
        <f t="shared" si="222"/>
        <v>0</v>
      </c>
      <c r="AC236" s="167">
        <f t="shared" si="223"/>
        <v>0</v>
      </c>
      <c r="AD236" s="167">
        <f t="shared" si="224"/>
        <v>0</v>
      </c>
      <c r="AF236" s="180">
        <f t="shared" si="225"/>
        <v>1</v>
      </c>
      <c r="AG236" s="202" t="str">
        <f t="shared" si="218"/>
        <v>Stanisław Rucki Auxiliary system pipelines – light oil, demineralised water, chemical dosing, compressed air</v>
      </c>
      <c r="AH236" s="172"/>
      <c r="AI236" s="173"/>
      <c r="AJ236" s="173"/>
      <c r="AK236" s="173"/>
      <c r="AL236" s="173"/>
      <c r="AM236" s="173"/>
      <c r="AN236" s="173"/>
      <c r="AO236" s="173"/>
      <c r="AP236" s="173"/>
      <c r="AQ236" s="173"/>
      <c r="AR236" s="173"/>
      <c r="AS236" s="173"/>
      <c r="AT236" s="173"/>
      <c r="AU236" s="173"/>
      <c r="AV236" s="173"/>
      <c r="AW236" s="173"/>
      <c r="AX236" s="173"/>
      <c r="AY236" s="173"/>
      <c r="AZ236" s="173"/>
      <c r="BA236" s="173"/>
      <c r="BB236" s="173"/>
      <c r="BC236" s="173"/>
      <c r="BD236" s="173"/>
      <c r="BE236" s="173"/>
      <c r="BF236" s="173"/>
      <c r="BG236" s="173"/>
      <c r="BH236" s="173"/>
      <c r="BI236" s="173"/>
      <c r="BJ236" s="173"/>
      <c r="BK236" s="173"/>
      <c r="BL236" s="173"/>
      <c r="BM236" s="173"/>
      <c r="BN236" s="173"/>
      <c r="BO236" s="173"/>
      <c r="BP236" s="173"/>
      <c r="BQ236" s="173"/>
      <c r="BR236" s="173"/>
      <c r="BS236" s="173"/>
      <c r="BT236" s="173"/>
      <c r="BU236" s="173"/>
      <c r="BV236" s="173"/>
      <c r="BW236" s="173"/>
      <c r="BX236" s="173"/>
      <c r="BY236" s="173"/>
      <c r="BZ236" s="173"/>
      <c r="CA236" s="173"/>
      <c r="CB236" s="173"/>
      <c r="CC236" s="173"/>
      <c r="CD236" s="173"/>
      <c r="CE236" s="173"/>
      <c r="CF236" s="173"/>
      <c r="CG236" s="173"/>
      <c r="CH236" s="173"/>
      <c r="CI236" s="173"/>
      <c r="CJ236" s="173"/>
      <c r="CK236" s="173"/>
      <c r="CL236" s="173"/>
      <c r="CM236" s="173"/>
      <c r="CN236" s="173"/>
      <c r="CO236" s="173"/>
      <c r="CP236" s="173"/>
      <c r="CQ236" s="173"/>
      <c r="CR236" s="173"/>
      <c r="CS236" s="173"/>
      <c r="CT236" s="173"/>
      <c r="CU236" s="173"/>
      <c r="CV236" s="173"/>
      <c r="CW236" s="173"/>
      <c r="CX236" s="173"/>
      <c r="CY236" s="148"/>
      <c r="CZ236" s="148"/>
      <c r="DA236" s="148"/>
      <c r="DB236" s="148"/>
      <c r="DC236" s="148"/>
      <c r="DD236" s="148"/>
      <c r="DE236" s="148"/>
      <c r="DF236" s="148"/>
      <c r="DG236" s="148"/>
      <c r="DH236" s="148"/>
      <c r="DI236" s="148"/>
      <c r="DJ236" s="148"/>
      <c r="DK236" s="148"/>
      <c r="DL236" s="148"/>
      <c r="DM236" s="148"/>
      <c r="DN236" s="148"/>
      <c r="DO236" s="148"/>
      <c r="DP236" s="148"/>
      <c r="DQ236" s="148"/>
      <c r="DR236" s="148"/>
      <c r="DS236" s="148"/>
      <c r="DT236" s="148"/>
      <c r="DU236" s="148"/>
      <c r="DV236" s="148"/>
      <c r="DW236" s="148"/>
      <c r="DX236" s="148"/>
      <c r="DY236" s="148"/>
      <c r="DZ236" s="148"/>
      <c r="EA236" s="148"/>
      <c r="EB236" s="148"/>
      <c r="EC236" s="148"/>
      <c r="ED236" s="148"/>
      <c r="EE236" s="148"/>
      <c r="EF236" s="148"/>
      <c r="EG236" s="148"/>
      <c r="EH236" s="148"/>
      <c r="EI236" s="148"/>
      <c r="EJ236" s="148"/>
      <c r="EK236" s="148"/>
      <c r="EL236" s="148"/>
      <c r="EM236" s="148"/>
      <c r="EN236" s="148"/>
      <c r="EO236" s="148"/>
      <c r="EP236" s="148"/>
      <c r="EQ236" s="148"/>
      <c r="ER236" s="148"/>
      <c r="ES236" s="148"/>
      <c r="ET236" s="148"/>
      <c r="EU236" s="148"/>
      <c r="EV236" s="148"/>
      <c r="EW236" s="148"/>
      <c r="EX236" s="148"/>
      <c r="EY236" s="148"/>
      <c r="EZ236" s="148"/>
      <c r="FA236" s="148"/>
      <c r="FB236" s="148"/>
      <c r="FC236" s="148"/>
      <c r="FD236" s="148"/>
      <c r="FE236" s="148"/>
      <c r="FF236" s="148"/>
      <c r="FG236" s="148"/>
      <c r="FH236" s="148"/>
      <c r="FI236" s="148"/>
      <c r="FJ236" s="148"/>
      <c r="FK236" s="148"/>
      <c r="FL236" s="148"/>
      <c r="FM236" s="148"/>
      <c r="FN236" s="148"/>
      <c r="FO236" s="148"/>
      <c r="FP236" s="148"/>
      <c r="FQ236" s="148"/>
      <c r="FR236" s="148"/>
      <c r="FS236" s="148"/>
      <c r="FT236" s="148"/>
      <c r="FU236" s="148"/>
      <c r="FV236" s="148"/>
      <c r="FW236" s="148"/>
      <c r="FX236" s="148"/>
      <c r="FY236" s="148"/>
      <c r="FZ236" s="148"/>
      <c r="GA236" s="148"/>
      <c r="GB236" s="148"/>
      <c r="GC236" s="148"/>
      <c r="GD236" s="148"/>
      <c r="GE236" s="148"/>
      <c r="GF236" s="148"/>
      <c r="GG236" s="149"/>
    </row>
    <row r="237" spans="1:189" ht="27.75" x14ac:dyDescent="0.35">
      <c r="A237" s="222" t="s">
        <v>756</v>
      </c>
      <c r="B237" s="221" t="s">
        <v>1071</v>
      </c>
      <c r="C237" s="221"/>
      <c r="D237" s="221" t="s">
        <v>1083</v>
      </c>
      <c r="E237" s="221" t="s">
        <v>437</v>
      </c>
      <c r="F237" s="221" t="s">
        <v>363</v>
      </c>
      <c r="G237" s="223">
        <v>1</v>
      </c>
      <c r="H237" s="224"/>
      <c r="I237" s="225"/>
      <c r="J237" s="225"/>
      <c r="K237" s="225"/>
      <c r="L237" s="226">
        <v>46418</v>
      </c>
      <c r="M237" s="226">
        <v>46450</v>
      </c>
      <c r="N237" s="226"/>
      <c r="O237" s="226"/>
      <c r="P237" s="226"/>
      <c r="Q237" s="227" t="s">
        <v>45</v>
      </c>
      <c r="R237" s="228">
        <v>350000</v>
      </c>
      <c r="S237" s="228">
        <v>350000</v>
      </c>
      <c r="T237" s="228"/>
      <c r="U237" s="191">
        <f t="shared" si="226"/>
        <v>0</v>
      </c>
      <c r="V237" s="230"/>
      <c r="W237" s="231"/>
      <c r="X237" s="46"/>
      <c r="Y237" s="167">
        <f t="shared" si="219"/>
        <v>0</v>
      </c>
      <c r="Z237" s="167">
        <f t="shared" si="220"/>
        <v>0</v>
      </c>
      <c r="AA237" s="167">
        <f t="shared" si="221"/>
        <v>0</v>
      </c>
      <c r="AB237" s="167">
        <f t="shared" si="222"/>
        <v>350000</v>
      </c>
      <c r="AC237" s="167">
        <f t="shared" si="223"/>
        <v>0</v>
      </c>
      <c r="AD237" s="167">
        <f t="shared" si="224"/>
        <v>350000</v>
      </c>
      <c r="AF237" s="47">
        <f t="shared" si="225"/>
        <v>1</v>
      </c>
      <c r="AG237" s="202" t="str">
        <f t="shared" si="218"/>
        <v>Magdalena Białorucka Auxiliary hoists for maintenance</v>
      </c>
      <c r="AH237" s="172"/>
      <c r="AI237" s="173"/>
      <c r="AJ237" s="173"/>
      <c r="AK237" s="173"/>
      <c r="AL237" s="173"/>
      <c r="AM237" s="173"/>
      <c r="AN237" s="173"/>
      <c r="AO237" s="173"/>
      <c r="AP237" s="173"/>
      <c r="AQ237" s="173"/>
      <c r="AR237" s="173"/>
      <c r="AS237" s="173"/>
      <c r="AT237" s="173"/>
      <c r="AU237" s="173"/>
      <c r="AV237" s="173"/>
      <c r="AW237" s="173"/>
      <c r="AX237" s="173"/>
      <c r="AY237" s="173"/>
      <c r="AZ237" s="173"/>
      <c r="BA237" s="173"/>
      <c r="BB237" s="173"/>
      <c r="BC237" s="173"/>
      <c r="BD237" s="173"/>
      <c r="BE237" s="173"/>
      <c r="BF237" s="173"/>
      <c r="BG237" s="173"/>
      <c r="BH237" s="173"/>
      <c r="BI237" s="173"/>
      <c r="BJ237" s="173"/>
      <c r="BK237" s="173"/>
      <c r="BL237" s="173"/>
      <c r="BM237" s="173"/>
      <c r="BN237" s="173"/>
      <c r="BO237" s="173"/>
      <c r="BP237" s="173"/>
      <c r="BQ237" s="173"/>
      <c r="BR237" s="173"/>
      <c r="BS237" s="173"/>
      <c r="BT237" s="173"/>
      <c r="BU237" s="173"/>
      <c r="BV237" s="173"/>
      <c r="BW237" s="173"/>
      <c r="BX237" s="173"/>
      <c r="BY237" s="173"/>
      <c r="BZ237" s="173"/>
      <c r="CA237" s="173"/>
      <c r="CB237" s="173"/>
      <c r="CC237" s="173"/>
      <c r="CD237" s="173"/>
      <c r="CE237" s="173"/>
      <c r="CF237" s="173"/>
      <c r="CG237" s="173"/>
      <c r="CH237" s="173"/>
      <c r="CI237" s="173"/>
      <c r="CJ237" s="173"/>
      <c r="CK237" s="173"/>
      <c r="CL237" s="173"/>
      <c r="CM237" s="173"/>
      <c r="CN237" s="173"/>
      <c r="CO237" s="173"/>
      <c r="CP237" s="173"/>
      <c r="CQ237" s="173"/>
      <c r="CR237" s="173"/>
      <c r="CS237" s="173"/>
      <c r="CT237" s="173"/>
      <c r="CU237" s="173"/>
      <c r="CV237" s="173"/>
      <c r="CW237" s="173"/>
      <c r="CX237" s="173"/>
      <c r="CY237" s="148"/>
      <c r="CZ237" s="148"/>
      <c r="DA237" s="148"/>
      <c r="DB237" s="148"/>
      <c r="DC237" s="148"/>
      <c r="DD237" s="148"/>
      <c r="DE237" s="148"/>
      <c r="DF237" s="148"/>
      <c r="DG237" s="148"/>
      <c r="DH237" s="148"/>
      <c r="DI237" s="148"/>
      <c r="DJ237" s="148"/>
      <c r="DK237" s="148"/>
      <c r="DL237" s="148"/>
      <c r="DM237" s="148"/>
      <c r="DN237" s="148"/>
      <c r="DO237" s="148"/>
      <c r="DP237" s="148"/>
      <c r="DQ237" s="148"/>
      <c r="DR237" s="148"/>
      <c r="DS237" s="148"/>
      <c r="DT237" s="148"/>
      <c r="DU237" s="148"/>
      <c r="DV237" s="148"/>
      <c r="DW237" s="148"/>
      <c r="DX237" s="148"/>
      <c r="DY237" s="148"/>
      <c r="DZ237" s="148"/>
      <c r="EA237" s="148"/>
      <c r="EB237" s="148"/>
      <c r="EC237" s="148"/>
      <c r="ED237" s="148"/>
      <c r="EE237" s="148"/>
      <c r="EF237" s="148"/>
      <c r="EG237" s="148"/>
      <c r="EH237" s="148"/>
      <c r="EI237" s="148"/>
      <c r="EJ237" s="148"/>
      <c r="EK237" s="148"/>
      <c r="EL237" s="148"/>
      <c r="EM237" s="148"/>
      <c r="EN237" s="148"/>
      <c r="EO237" s="148"/>
      <c r="EP237" s="148"/>
      <c r="EQ237" s="148"/>
      <c r="ER237" s="148"/>
      <c r="ES237" s="151"/>
      <c r="ET237" s="151"/>
      <c r="EU237" s="151"/>
      <c r="EV237" s="151"/>
      <c r="EW237" s="151"/>
      <c r="EX237" s="151"/>
      <c r="EY237" s="151"/>
      <c r="EZ237" s="151"/>
      <c r="FA237" s="151"/>
      <c r="FB237" s="151"/>
      <c r="FC237" s="151"/>
      <c r="FD237" s="151"/>
      <c r="FE237" s="151"/>
      <c r="FF237" s="151"/>
      <c r="FG237" s="151"/>
      <c r="FH237" s="151"/>
      <c r="FI237" s="151"/>
      <c r="FJ237" s="151"/>
      <c r="FK237" s="151"/>
      <c r="FL237" s="151"/>
      <c r="FM237" s="151"/>
      <c r="FN237" s="151"/>
      <c r="FO237" s="151"/>
      <c r="FP237" s="151"/>
      <c r="FQ237" s="151"/>
      <c r="FR237" s="151"/>
      <c r="FS237" s="151"/>
      <c r="FT237" s="151"/>
      <c r="FU237" s="151"/>
      <c r="FV237" s="151"/>
      <c r="FW237" s="151"/>
      <c r="FX237" s="151"/>
      <c r="FY237" s="151"/>
      <c r="FZ237" s="151"/>
      <c r="GA237" s="151"/>
      <c r="GB237" s="151"/>
      <c r="GC237" s="151"/>
      <c r="GD237" s="151"/>
      <c r="GE237" s="151"/>
      <c r="GF237" s="151"/>
      <c r="GG237" s="152"/>
    </row>
    <row r="238" spans="1:189" ht="27.75" x14ac:dyDescent="0.35">
      <c r="A238" s="222" t="s">
        <v>757</v>
      </c>
      <c r="B238" s="221" t="s">
        <v>1071</v>
      </c>
      <c r="C238" s="221"/>
      <c r="D238" s="221" t="s">
        <v>1083</v>
      </c>
      <c r="E238" s="221" t="s">
        <v>438</v>
      </c>
      <c r="F238" s="221" t="s">
        <v>372</v>
      </c>
      <c r="G238" s="223">
        <v>2</v>
      </c>
      <c r="H238" s="224"/>
      <c r="I238" s="225"/>
      <c r="J238" s="225"/>
      <c r="K238" s="225"/>
      <c r="L238" s="226">
        <v>46080</v>
      </c>
      <c r="M238" s="226">
        <v>46169</v>
      </c>
      <c r="N238" s="226"/>
      <c r="O238" s="226"/>
      <c r="P238" s="226"/>
      <c r="Q238" s="227" t="s">
        <v>45</v>
      </c>
      <c r="R238" s="228">
        <v>3010000</v>
      </c>
      <c r="S238" s="228">
        <v>3010000</v>
      </c>
      <c r="T238" s="228"/>
      <c r="U238" s="191">
        <f t="shared" si="226"/>
        <v>0</v>
      </c>
      <c r="V238" s="230"/>
      <c r="W238" s="231"/>
      <c r="X238" s="46"/>
      <c r="Y238" s="167">
        <f t="shared" si="219"/>
        <v>3010000</v>
      </c>
      <c r="Z238" s="167">
        <f t="shared" si="220"/>
        <v>0</v>
      </c>
      <c r="AA238" s="167">
        <f t="shared" si="221"/>
        <v>3010000</v>
      </c>
      <c r="AB238" s="167">
        <f t="shared" si="222"/>
        <v>0</v>
      </c>
      <c r="AC238" s="167">
        <f t="shared" si="223"/>
        <v>0</v>
      </c>
      <c r="AD238" s="167">
        <f t="shared" si="224"/>
        <v>0</v>
      </c>
      <c r="AF238" s="180">
        <f t="shared" si="225"/>
        <v>1</v>
      </c>
      <c r="AG238" s="202" t="str">
        <f t="shared" si="218"/>
        <v>Magdalena Białorucka Demi water system including storage tank 100m3 and piping</v>
      </c>
      <c r="AH238" s="172"/>
      <c r="AI238" s="173"/>
      <c r="AJ238" s="173"/>
      <c r="AK238" s="173"/>
      <c r="AL238" s="173"/>
      <c r="AM238" s="173"/>
      <c r="AN238" s="173"/>
      <c r="AO238" s="173"/>
      <c r="AP238" s="173"/>
      <c r="AQ238" s="173"/>
      <c r="AR238" s="173"/>
      <c r="AS238" s="173"/>
      <c r="AT238" s="173"/>
      <c r="AU238" s="173"/>
      <c r="AV238" s="173"/>
      <c r="AW238" s="173"/>
      <c r="AX238" s="173"/>
      <c r="AY238" s="173"/>
      <c r="AZ238" s="173"/>
      <c r="BA238" s="173"/>
      <c r="BB238" s="173"/>
      <c r="BC238" s="173"/>
      <c r="BD238" s="173"/>
      <c r="BE238" s="173"/>
      <c r="BF238" s="173"/>
      <c r="BG238" s="173"/>
      <c r="BH238" s="173"/>
      <c r="BI238" s="173"/>
      <c r="BJ238" s="173"/>
      <c r="BK238" s="173"/>
      <c r="BL238" s="173"/>
      <c r="BM238" s="173"/>
      <c r="BN238" s="173"/>
      <c r="BO238" s="173"/>
      <c r="BP238" s="173"/>
      <c r="BQ238" s="173"/>
      <c r="BR238" s="173"/>
      <c r="BS238" s="173"/>
      <c r="BT238" s="173"/>
      <c r="BU238" s="173"/>
      <c r="BV238" s="173"/>
      <c r="BW238" s="173"/>
      <c r="BX238" s="173"/>
      <c r="BY238" s="173"/>
      <c r="BZ238" s="173"/>
      <c r="CA238" s="173"/>
      <c r="CB238" s="173"/>
      <c r="CC238" s="173"/>
      <c r="CD238" s="173"/>
      <c r="CE238" s="173"/>
      <c r="CF238" s="173"/>
      <c r="CG238" s="173"/>
      <c r="CH238" s="173"/>
      <c r="CI238" s="173"/>
      <c r="CJ238" s="173"/>
      <c r="CK238" s="173"/>
      <c r="CL238" s="173"/>
      <c r="CM238" s="173"/>
      <c r="CN238" s="173"/>
      <c r="CO238" s="173"/>
      <c r="CP238" s="173"/>
      <c r="CQ238" s="173"/>
      <c r="CR238" s="173"/>
      <c r="CS238" s="173"/>
      <c r="CT238" s="173"/>
      <c r="CU238" s="173"/>
      <c r="CV238" s="173"/>
      <c r="CW238" s="173"/>
      <c r="CX238" s="173"/>
      <c r="CY238" s="148"/>
      <c r="CZ238" s="148"/>
      <c r="DA238" s="148"/>
      <c r="DB238" s="148"/>
      <c r="DC238" s="148"/>
      <c r="DD238" s="148"/>
      <c r="DE238" s="148"/>
      <c r="DF238" s="148"/>
      <c r="DG238" s="148"/>
      <c r="DH238" s="148"/>
      <c r="DI238" s="148"/>
      <c r="DJ238" s="148"/>
      <c r="DK238" s="148"/>
      <c r="DL238" s="148"/>
      <c r="DM238" s="148"/>
      <c r="DN238" s="148"/>
      <c r="DO238" s="148"/>
      <c r="DP238" s="148"/>
      <c r="DQ238" s="148"/>
      <c r="DR238" s="148"/>
      <c r="DS238" s="148"/>
      <c r="DT238" s="148"/>
      <c r="DU238" s="148"/>
      <c r="DV238" s="148"/>
      <c r="DW238" s="148"/>
      <c r="DX238" s="148"/>
      <c r="DY238" s="148"/>
      <c r="DZ238" s="148"/>
      <c r="EA238" s="148"/>
      <c r="EB238" s="148"/>
      <c r="EC238" s="148"/>
      <c r="ED238" s="148"/>
      <c r="EE238" s="148"/>
      <c r="EF238" s="148"/>
      <c r="EG238" s="148"/>
      <c r="EH238" s="148"/>
      <c r="EI238" s="148"/>
      <c r="EJ238" s="148"/>
      <c r="EK238" s="148"/>
      <c r="EL238" s="148"/>
      <c r="EM238" s="148"/>
      <c r="EN238" s="148"/>
      <c r="EO238" s="148"/>
      <c r="EP238" s="148"/>
      <c r="EQ238" s="148"/>
      <c r="ER238" s="148"/>
      <c r="ES238" s="151"/>
      <c r="ET238" s="151"/>
      <c r="EU238" s="151"/>
      <c r="EV238" s="151"/>
      <c r="EW238" s="151"/>
      <c r="EX238" s="151"/>
      <c r="EY238" s="151"/>
      <c r="EZ238" s="151"/>
      <c r="FA238" s="151"/>
      <c r="FB238" s="151"/>
      <c r="FC238" s="151"/>
      <c r="FD238" s="151"/>
      <c r="FE238" s="151"/>
      <c r="FF238" s="151"/>
      <c r="FG238" s="151"/>
      <c r="FH238" s="151"/>
      <c r="FI238" s="151"/>
      <c r="FJ238" s="151"/>
      <c r="FK238" s="151"/>
      <c r="FL238" s="151"/>
      <c r="FM238" s="151"/>
      <c r="FN238" s="151"/>
      <c r="FO238" s="151"/>
      <c r="FP238" s="151"/>
      <c r="FQ238" s="151"/>
      <c r="FR238" s="151"/>
      <c r="FS238" s="151"/>
      <c r="FT238" s="151"/>
      <c r="FU238" s="151"/>
      <c r="FV238" s="151"/>
      <c r="FW238" s="151"/>
      <c r="FX238" s="151"/>
      <c r="FY238" s="151"/>
      <c r="FZ238" s="151"/>
      <c r="GA238" s="151"/>
      <c r="GB238" s="151"/>
      <c r="GC238" s="151"/>
      <c r="GD238" s="151"/>
      <c r="GE238" s="151"/>
      <c r="GF238" s="151"/>
      <c r="GG238" s="152"/>
    </row>
    <row r="239" spans="1:189" ht="27.75" x14ac:dyDescent="0.35">
      <c r="A239" s="222" t="s">
        <v>758</v>
      </c>
      <c r="B239" s="221" t="s">
        <v>1071</v>
      </c>
      <c r="C239" s="221"/>
      <c r="D239" s="221" t="s">
        <v>1083</v>
      </c>
      <c r="E239" s="221" t="s">
        <v>648</v>
      </c>
      <c r="F239" s="221" t="s">
        <v>364</v>
      </c>
      <c r="G239" s="223">
        <v>2</v>
      </c>
      <c r="H239" s="224"/>
      <c r="I239" s="225"/>
      <c r="J239" s="225"/>
      <c r="K239" s="225"/>
      <c r="L239" s="226">
        <v>46219</v>
      </c>
      <c r="M239" s="226">
        <v>46267</v>
      </c>
      <c r="N239" s="226"/>
      <c r="O239" s="226"/>
      <c r="P239" s="226"/>
      <c r="Q239" s="227" t="s">
        <v>45</v>
      </c>
      <c r="R239" s="228">
        <v>838500</v>
      </c>
      <c r="S239" s="228">
        <v>838500</v>
      </c>
      <c r="T239" s="228"/>
      <c r="U239" s="191">
        <f t="shared" si="226"/>
        <v>0</v>
      </c>
      <c r="V239" s="230"/>
      <c r="W239" s="232"/>
      <c r="X239" s="46"/>
      <c r="Y239" s="167">
        <f t="shared" si="219"/>
        <v>838500</v>
      </c>
      <c r="Z239" s="167">
        <f t="shared" si="220"/>
        <v>0</v>
      </c>
      <c r="AA239" s="167">
        <f t="shared" si="221"/>
        <v>838500</v>
      </c>
      <c r="AB239" s="167">
        <f t="shared" si="222"/>
        <v>0</v>
      </c>
      <c r="AC239" s="167">
        <f t="shared" si="223"/>
        <v>0</v>
      </c>
      <c r="AD239" s="167">
        <f t="shared" si="224"/>
        <v>0</v>
      </c>
      <c r="AF239" s="47">
        <f t="shared" si="225"/>
        <v>1</v>
      </c>
      <c r="AG239" s="202" t="str">
        <f t="shared" si="218"/>
        <v>Magdalena Białorucka Chemical dosing system for thermal cycle and district heating</v>
      </c>
      <c r="AH239" s="172"/>
      <c r="AI239" s="173"/>
      <c r="AJ239" s="173"/>
      <c r="AK239" s="173"/>
      <c r="AL239" s="173"/>
      <c r="AM239" s="173"/>
      <c r="AN239" s="173"/>
      <c r="AO239" s="173"/>
      <c r="AP239" s="173"/>
      <c r="AQ239" s="173"/>
      <c r="AR239" s="173"/>
      <c r="AS239" s="173"/>
      <c r="AT239" s="173"/>
      <c r="AU239" s="173"/>
      <c r="AV239" s="173"/>
      <c r="AW239" s="173"/>
      <c r="AX239" s="173"/>
      <c r="AY239" s="173"/>
      <c r="AZ239" s="173"/>
      <c r="BA239" s="173"/>
      <c r="BB239" s="173"/>
      <c r="BC239" s="173"/>
      <c r="BD239" s="173"/>
      <c r="BE239" s="173"/>
      <c r="BF239" s="173"/>
      <c r="BG239" s="173"/>
      <c r="BH239" s="173"/>
      <c r="BI239" s="173"/>
      <c r="BJ239" s="173"/>
      <c r="BK239" s="173"/>
      <c r="BL239" s="173"/>
      <c r="BM239" s="173"/>
      <c r="BN239" s="173"/>
      <c r="BO239" s="173"/>
      <c r="BP239" s="173"/>
      <c r="BQ239" s="173"/>
      <c r="BR239" s="173"/>
      <c r="BS239" s="173"/>
      <c r="BT239" s="173"/>
      <c r="BU239" s="173"/>
      <c r="BV239" s="173"/>
      <c r="BW239" s="173"/>
      <c r="BX239" s="173"/>
      <c r="BY239" s="173"/>
      <c r="BZ239" s="173"/>
      <c r="CA239" s="173"/>
      <c r="CB239" s="173"/>
      <c r="CC239" s="173"/>
      <c r="CD239" s="173"/>
      <c r="CE239" s="173"/>
      <c r="CF239" s="173"/>
      <c r="CG239" s="173"/>
      <c r="CH239" s="173"/>
      <c r="CI239" s="173"/>
      <c r="CJ239" s="173"/>
      <c r="CK239" s="173"/>
      <c r="CL239" s="173"/>
      <c r="CM239" s="173"/>
      <c r="CN239" s="173"/>
      <c r="CO239" s="173"/>
      <c r="CP239" s="173"/>
      <c r="CQ239" s="173"/>
      <c r="CR239" s="173"/>
      <c r="CS239" s="173"/>
      <c r="CT239" s="173"/>
      <c r="CU239" s="173"/>
      <c r="CV239" s="173"/>
      <c r="CW239" s="173"/>
      <c r="CX239" s="173"/>
      <c r="CY239" s="148"/>
      <c r="CZ239" s="148"/>
      <c r="DA239" s="148"/>
      <c r="DB239" s="148"/>
      <c r="DC239" s="148"/>
      <c r="DD239" s="148"/>
      <c r="DE239" s="148"/>
      <c r="DF239" s="148"/>
      <c r="DG239" s="148"/>
      <c r="DH239" s="148"/>
      <c r="DI239" s="148"/>
      <c r="DJ239" s="148"/>
      <c r="DK239" s="148"/>
      <c r="DL239" s="148"/>
      <c r="DM239" s="148"/>
      <c r="DN239" s="148"/>
      <c r="DO239" s="148"/>
      <c r="DP239" s="148"/>
      <c r="DQ239" s="148"/>
      <c r="DR239" s="148"/>
      <c r="DS239" s="148"/>
      <c r="DT239" s="148"/>
      <c r="DU239" s="148"/>
      <c r="DV239" s="148"/>
      <c r="DW239" s="148"/>
      <c r="DX239" s="148"/>
      <c r="DY239" s="148"/>
      <c r="DZ239" s="148"/>
      <c r="EA239" s="148"/>
      <c r="EB239" s="148"/>
      <c r="EC239" s="148"/>
      <c r="ED239" s="148"/>
      <c r="EE239" s="148"/>
      <c r="EF239" s="148"/>
      <c r="EG239" s="148"/>
      <c r="EH239" s="148"/>
      <c r="EI239" s="148"/>
      <c r="EJ239" s="148"/>
      <c r="EK239" s="148"/>
      <c r="EL239" s="148"/>
      <c r="EM239" s="148"/>
      <c r="EN239" s="148"/>
      <c r="EO239" s="148"/>
      <c r="EP239" s="148"/>
      <c r="EQ239" s="148"/>
      <c r="ER239" s="148"/>
      <c r="ES239" s="151"/>
      <c r="ET239" s="151"/>
      <c r="EU239" s="151"/>
      <c r="EV239" s="151"/>
      <c r="EW239" s="151"/>
      <c r="EX239" s="151"/>
      <c r="EY239" s="151"/>
      <c r="EZ239" s="151"/>
      <c r="FA239" s="151"/>
      <c r="FB239" s="151"/>
      <c r="FC239" s="151"/>
      <c r="FD239" s="151"/>
      <c r="FE239" s="151"/>
      <c r="FF239" s="151"/>
      <c r="FG239" s="151"/>
      <c r="FH239" s="151"/>
      <c r="FI239" s="151"/>
      <c r="FJ239" s="151"/>
      <c r="FK239" s="151"/>
      <c r="FL239" s="151"/>
      <c r="FM239" s="151"/>
      <c r="FN239" s="151"/>
      <c r="FO239" s="151"/>
      <c r="FP239" s="151"/>
      <c r="FQ239" s="151"/>
      <c r="FR239" s="151"/>
      <c r="FS239" s="151"/>
      <c r="FT239" s="151"/>
      <c r="FU239" s="151"/>
      <c r="FV239" s="151"/>
      <c r="FW239" s="151"/>
      <c r="FX239" s="151"/>
      <c r="FY239" s="151"/>
      <c r="FZ239" s="151"/>
      <c r="GA239" s="151"/>
      <c r="GB239" s="151"/>
      <c r="GC239" s="151"/>
      <c r="GD239" s="151"/>
      <c r="GE239" s="151"/>
      <c r="GF239" s="151"/>
      <c r="GG239" s="152"/>
    </row>
    <row r="240" spans="1:189" ht="27.75" x14ac:dyDescent="0.35">
      <c r="A240" s="222" t="s">
        <v>759</v>
      </c>
      <c r="B240" s="221" t="s">
        <v>1071</v>
      </c>
      <c r="C240" s="221"/>
      <c r="D240" s="221" t="s">
        <v>1083</v>
      </c>
      <c r="E240" s="221" t="s">
        <v>641</v>
      </c>
      <c r="F240" s="221" t="s">
        <v>642</v>
      </c>
      <c r="G240" s="223">
        <v>1</v>
      </c>
      <c r="H240" s="224"/>
      <c r="I240" s="225"/>
      <c r="J240" s="225"/>
      <c r="K240" s="225"/>
      <c r="L240" s="226">
        <v>46204</v>
      </c>
      <c r="M240" s="226">
        <v>46236</v>
      </c>
      <c r="N240" s="226"/>
      <c r="O240" s="226"/>
      <c r="P240" s="226"/>
      <c r="Q240" s="227" t="s">
        <v>45</v>
      </c>
      <c r="R240" s="228">
        <v>731000</v>
      </c>
      <c r="S240" s="228">
        <v>731000</v>
      </c>
      <c r="T240" s="228"/>
      <c r="U240" s="191">
        <f t="shared" si="226"/>
        <v>0</v>
      </c>
      <c r="V240" s="230"/>
      <c r="W240" s="232"/>
      <c r="X240" s="46"/>
      <c r="Y240" s="167">
        <f t="shared" si="219"/>
        <v>0</v>
      </c>
      <c r="Z240" s="167">
        <f t="shared" si="220"/>
        <v>0</v>
      </c>
      <c r="AA240" s="167">
        <f t="shared" si="221"/>
        <v>0</v>
      </c>
      <c r="AB240" s="167">
        <f t="shared" si="222"/>
        <v>731000</v>
      </c>
      <c r="AC240" s="167">
        <f t="shared" si="223"/>
        <v>0</v>
      </c>
      <c r="AD240" s="167">
        <f t="shared" si="224"/>
        <v>731000</v>
      </c>
      <c r="AF240" s="180">
        <f t="shared" si="225"/>
        <v>1</v>
      </c>
      <c r="AG240" s="202" t="str">
        <f t="shared" si="218"/>
        <v>Magdalena Białorucka Grate cooling system</v>
      </c>
      <c r="AH240" s="172"/>
      <c r="AI240" s="173"/>
      <c r="AJ240" s="173"/>
      <c r="AK240" s="173"/>
      <c r="AL240" s="173"/>
      <c r="AM240" s="173"/>
      <c r="AN240" s="173"/>
      <c r="AO240" s="173"/>
      <c r="AP240" s="173"/>
      <c r="AQ240" s="173"/>
      <c r="AR240" s="173"/>
      <c r="AS240" s="173"/>
      <c r="AT240" s="173"/>
      <c r="AU240" s="173"/>
      <c r="AV240" s="173"/>
      <c r="AW240" s="173"/>
      <c r="AX240" s="173"/>
      <c r="AY240" s="173"/>
      <c r="AZ240" s="173"/>
      <c r="BA240" s="173"/>
      <c r="BB240" s="173"/>
      <c r="BC240" s="173"/>
      <c r="BD240" s="173"/>
      <c r="BE240" s="173"/>
      <c r="BF240" s="173"/>
      <c r="BG240" s="173"/>
      <c r="BH240" s="173"/>
      <c r="BI240" s="173"/>
      <c r="BJ240" s="173"/>
      <c r="BK240" s="173"/>
      <c r="BL240" s="173"/>
      <c r="BM240" s="173"/>
      <c r="BN240" s="173"/>
      <c r="BO240" s="173"/>
      <c r="BP240" s="173"/>
      <c r="BQ240" s="173"/>
      <c r="BR240" s="173"/>
      <c r="BS240" s="173"/>
      <c r="BT240" s="173"/>
      <c r="BU240" s="173"/>
      <c r="BV240" s="173"/>
      <c r="BW240" s="173"/>
      <c r="BX240" s="173"/>
      <c r="BY240" s="173"/>
      <c r="BZ240" s="173"/>
      <c r="CA240" s="173"/>
      <c r="CB240" s="173"/>
      <c r="CC240" s="173"/>
      <c r="CD240" s="173"/>
      <c r="CE240" s="173"/>
      <c r="CF240" s="173"/>
      <c r="CG240" s="173"/>
      <c r="CH240" s="173"/>
      <c r="CI240" s="173"/>
      <c r="CJ240" s="173"/>
      <c r="CK240" s="173"/>
      <c r="CL240" s="173"/>
      <c r="CM240" s="173"/>
      <c r="CN240" s="173"/>
      <c r="CO240" s="173"/>
      <c r="CP240" s="173"/>
      <c r="CQ240" s="173"/>
      <c r="CR240" s="173"/>
      <c r="CS240" s="173"/>
      <c r="CT240" s="173"/>
      <c r="CU240" s="173"/>
      <c r="CV240" s="173"/>
      <c r="CW240" s="173"/>
      <c r="CX240" s="173"/>
      <c r="CY240" s="148"/>
      <c r="CZ240" s="148"/>
      <c r="DA240" s="148"/>
      <c r="DB240" s="148"/>
      <c r="DC240" s="148"/>
      <c r="DD240" s="148"/>
      <c r="DE240" s="148"/>
      <c r="DF240" s="148"/>
      <c r="DG240" s="148"/>
      <c r="DH240" s="148"/>
      <c r="DI240" s="148"/>
      <c r="DJ240" s="148"/>
      <c r="DK240" s="148"/>
      <c r="DL240" s="148"/>
      <c r="DM240" s="148"/>
      <c r="DN240" s="148"/>
      <c r="DO240" s="148"/>
      <c r="DP240" s="148"/>
      <c r="DQ240" s="148"/>
      <c r="DR240" s="148"/>
      <c r="DS240" s="148"/>
      <c r="DT240" s="148"/>
      <c r="DU240" s="148"/>
      <c r="DV240" s="148"/>
      <c r="DW240" s="148"/>
      <c r="DX240" s="148"/>
      <c r="DY240" s="148"/>
      <c r="DZ240" s="148"/>
      <c r="EA240" s="148"/>
      <c r="EB240" s="148"/>
      <c r="EC240" s="148"/>
      <c r="ED240" s="148"/>
      <c r="EE240" s="148"/>
      <c r="EF240" s="148"/>
      <c r="EG240" s="148"/>
      <c r="EH240" s="148"/>
      <c r="EI240" s="148"/>
      <c r="EJ240" s="148"/>
      <c r="EK240" s="148"/>
      <c r="EL240" s="148"/>
      <c r="EM240" s="148"/>
      <c r="EN240" s="148"/>
      <c r="EO240" s="148"/>
      <c r="EP240" s="148"/>
      <c r="EQ240" s="148"/>
      <c r="ER240" s="148"/>
      <c r="ES240" s="151"/>
      <c r="ET240" s="151"/>
      <c r="EU240" s="151"/>
      <c r="EV240" s="151"/>
      <c r="EW240" s="151"/>
      <c r="EX240" s="151"/>
      <c r="EY240" s="151"/>
      <c r="EZ240" s="151"/>
      <c r="FA240" s="151"/>
      <c r="FB240" s="151"/>
      <c r="FC240" s="151"/>
      <c r="FD240" s="151"/>
      <c r="FE240" s="151"/>
      <c r="FF240" s="151"/>
      <c r="FG240" s="151"/>
      <c r="FH240" s="151"/>
      <c r="FI240" s="151"/>
      <c r="FJ240" s="151"/>
      <c r="FK240" s="151"/>
      <c r="FL240" s="151"/>
      <c r="FM240" s="151"/>
      <c r="FN240" s="151"/>
      <c r="FO240" s="151"/>
      <c r="FP240" s="151"/>
      <c r="FQ240" s="151"/>
      <c r="FR240" s="151"/>
      <c r="FS240" s="151"/>
      <c r="FT240" s="151"/>
      <c r="FU240" s="151"/>
      <c r="FV240" s="151"/>
      <c r="FW240" s="151"/>
      <c r="FX240" s="151"/>
      <c r="FY240" s="151"/>
      <c r="FZ240" s="151"/>
      <c r="GA240" s="151"/>
      <c r="GB240" s="151"/>
      <c r="GC240" s="151"/>
      <c r="GD240" s="151"/>
      <c r="GE240" s="151"/>
      <c r="GF240" s="151"/>
      <c r="GG240" s="152"/>
    </row>
    <row r="241" spans="1:189" ht="27.75" x14ac:dyDescent="0.35">
      <c r="A241" s="222" t="s">
        <v>760</v>
      </c>
      <c r="B241" s="221" t="s">
        <v>1051</v>
      </c>
      <c r="C241" s="221"/>
      <c r="D241" s="221" t="s">
        <v>1083</v>
      </c>
      <c r="E241" s="221" t="s">
        <v>518</v>
      </c>
      <c r="F241" s="221" t="s">
        <v>325</v>
      </c>
      <c r="G241" s="223">
        <v>2</v>
      </c>
      <c r="H241" s="224"/>
      <c r="I241" s="225"/>
      <c r="J241" s="225"/>
      <c r="K241" s="225"/>
      <c r="L241" s="226">
        <v>46266</v>
      </c>
      <c r="M241" s="226">
        <v>46312</v>
      </c>
      <c r="N241" s="226"/>
      <c r="O241" s="226"/>
      <c r="P241" s="226"/>
      <c r="Q241" s="227" t="s">
        <v>45</v>
      </c>
      <c r="R241" s="228">
        <v>800000</v>
      </c>
      <c r="S241" s="228">
        <v>800000</v>
      </c>
      <c r="T241" s="228"/>
      <c r="U241" s="191">
        <f t="shared" si="226"/>
        <v>0</v>
      </c>
      <c r="V241" s="230"/>
      <c r="W241" s="231"/>
      <c r="X241" s="46"/>
      <c r="Y241" s="167">
        <f t="shared" si="219"/>
        <v>800000</v>
      </c>
      <c r="Z241" s="167">
        <f t="shared" si="220"/>
        <v>0</v>
      </c>
      <c r="AA241" s="167">
        <f t="shared" si="221"/>
        <v>800000</v>
      </c>
      <c r="AB241" s="167">
        <f t="shared" si="222"/>
        <v>0</v>
      </c>
      <c r="AC241" s="167">
        <f t="shared" si="223"/>
        <v>0</v>
      </c>
      <c r="AD241" s="167">
        <f t="shared" si="224"/>
        <v>0</v>
      </c>
      <c r="AF241" s="47">
        <f t="shared" si="225"/>
        <v>1</v>
      </c>
      <c r="AG241" s="202" t="str">
        <f t="shared" si="218"/>
        <v>Roger Gołombek Centralized cleaning system for Boiler house</v>
      </c>
      <c r="AH241" s="172"/>
      <c r="AI241" s="173"/>
      <c r="AJ241" s="173"/>
      <c r="AK241" s="173"/>
      <c r="AL241" s="173"/>
      <c r="AM241" s="173"/>
      <c r="AN241" s="173"/>
      <c r="AO241" s="173"/>
      <c r="AP241" s="173"/>
      <c r="AQ241" s="173"/>
      <c r="AR241" s="173"/>
      <c r="AS241" s="173"/>
      <c r="AT241" s="173"/>
      <c r="AU241" s="173"/>
      <c r="AV241" s="173"/>
      <c r="AW241" s="173"/>
      <c r="AX241" s="173"/>
      <c r="AY241" s="173"/>
      <c r="AZ241" s="173"/>
      <c r="BA241" s="173"/>
      <c r="BB241" s="173"/>
      <c r="BC241" s="173"/>
      <c r="BD241" s="173"/>
      <c r="BE241" s="173"/>
      <c r="BF241" s="173"/>
      <c r="BG241" s="173"/>
      <c r="BH241" s="173"/>
      <c r="BI241" s="173"/>
      <c r="BJ241" s="173"/>
      <c r="BK241" s="173"/>
      <c r="BL241" s="173"/>
      <c r="BM241" s="173"/>
      <c r="BN241" s="173"/>
      <c r="BO241" s="173"/>
      <c r="BP241" s="173"/>
      <c r="BQ241" s="173"/>
      <c r="BR241" s="173"/>
      <c r="BS241" s="173"/>
      <c r="BT241" s="173"/>
      <c r="BU241" s="173"/>
      <c r="BV241" s="173"/>
      <c r="BW241" s="173"/>
      <c r="BX241" s="173"/>
      <c r="BY241" s="173"/>
      <c r="BZ241" s="173"/>
      <c r="CA241" s="173"/>
      <c r="CB241" s="173"/>
      <c r="CC241" s="173"/>
      <c r="CD241" s="173"/>
      <c r="CE241" s="173"/>
      <c r="CF241" s="173"/>
      <c r="CG241" s="173"/>
      <c r="CH241" s="173"/>
      <c r="CI241" s="173"/>
      <c r="CJ241" s="173"/>
      <c r="CK241" s="173"/>
      <c r="CL241" s="173"/>
      <c r="CM241" s="173"/>
      <c r="CN241" s="173"/>
      <c r="CO241" s="173"/>
      <c r="CP241" s="173"/>
      <c r="CQ241" s="173"/>
      <c r="CR241" s="173"/>
      <c r="CS241" s="173"/>
      <c r="CT241" s="173"/>
      <c r="CU241" s="173"/>
      <c r="CV241" s="173"/>
      <c r="CW241" s="173"/>
      <c r="CX241" s="173"/>
      <c r="CY241" s="148"/>
      <c r="CZ241" s="148"/>
      <c r="DA241" s="148"/>
      <c r="DB241" s="148"/>
      <c r="DC241" s="148"/>
      <c r="DD241" s="148"/>
      <c r="DE241" s="148"/>
      <c r="DF241" s="148"/>
      <c r="DG241" s="148"/>
      <c r="DH241" s="148"/>
      <c r="DI241" s="148"/>
      <c r="DJ241" s="148"/>
      <c r="DK241" s="148"/>
      <c r="DL241" s="148"/>
      <c r="DM241" s="148"/>
      <c r="DN241" s="148"/>
      <c r="DO241" s="148"/>
      <c r="DP241" s="148"/>
      <c r="DQ241" s="148"/>
      <c r="DR241" s="148"/>
      <c r="DS241" s="148"/>
      <c r="DT241" s="148"/>
      <c r="DU241" s="148"/>
      <c r="DV241" s="148"/>
      <c r="DW241" s="148"/>
      <c r="DX241" s="148"/>
      <c r="DY241" s="148"/>
      <c r="DZ241" s="148"/>
      <c r="EA241" s="148"/>
      <c r="EB241" s="148"/>
      <c r="EC241" s="148"/>
      <c r="ED241" s="148"/>
      <c r="EE241" s="148"/>
      <c r="EF241" s="148"/>
      <c r="EG241" s="148"/>
      <c r="EH241" s="148"/>
      <c r="EI241" s="148"/>
      <c r="EJ241" s="148"/>
      <c r="EK241" s="148"/>
      <c r="EL241" s="148"/>
      <c r="EM241" s="148"/>
      <c r="EN241" s="148"/>
      <c r="EO241" s="148"/>
      <c r="EP241" s="148"/>
      <c r="EQ241" s="148"/>
      <c r="ER241" s="148"/>
      <c r="ES241" s="151"/>
      <c r="ET241" s="151"/>
      <c r="EU241" s="151"/>
      <c r="EV241" s="151"/>
      <c r="EW241" s="151"/>
      <c r="EX241" s="151"/>
      <c r="EY241" s="151"/>
      <c r="EZ241" s="151"/>
      <c r="FA241" s="151"/>
      <c r="FB241" s="151"/>
      <c r="FC241" s="151"/>
      <c r="FD241" s="151"/>
      <c r="FE241" s="151"/>
      <c r="FF241" s="151"/>
      <c r="FG241" s="151"/>
      <c r="FH241" s="151"/>
      <c r="FI241" s="151"/>
      <c r="FJ241" s="151"/>
      <c r="FK241" s="151"/>
      <c r="FL241" s="151"/>
      <c r="FM241" s="151"/>
      <c r="FN241" s="151"/>
      <c r="FO241" s="151"/>
      <c r="FP241" s="151"/>
      <c r="FQ241" s="151"/>
      <c r="FR241" s="151"/>
      <c r="FS241" s="151"/>
      <c r="FT241" s="151"/>
      <c r="FU241" s="151"/>
      <c r="FV241" s="151"/>
      <c r="FW241" s="151"/>
      <c r="FX241" s="151"/>
      <c r="FY241" s="151"/>
      <c r="FZ241" s="151"/>
      <c r="GA241" s="151"/>
      <c r="GB241" s="151"/>
      <c r="GC241" s="151"/>
      <c r="GD241" s="151"/>
      <c r="GE241" s="151"/>
      <c r="GF241" s="151"/>
      <c r="GG241" s="152"/>
    </row>
    <row r="242" spans="1:189" s="323" customFormat="1" ht="35.75" customHeight="1" x14ac:dyDescent="0.35">
      <c r="A242" s="331" t="s">
        <v>1417</v>
      </c>
      <c r="B242" s="311" t="s">
        <v>1051</v>
      </c>
      <c r="C242" s="311"/>
      <c r="D242" s="311" t="s">
        <v>1083</v>
      </c>
      <c r="E242" s="311" t="s">
        <v>518</v>
      </c>
      <c r="F242" s="311" t="s">
        <v>1418</v>
      </c>
      <c r="G242" s="312">
        <v>2</v>
      </c>
      <c r="H242" s="313"/>
      <c r="I242" s="314"/>
      <c r="J242" s="314"/>
      <c r="K242" s="314"/>
      <c r="L242" s="315">
        <v>46219</v>
      </c>
      <c r="M242" s="315">
        <v>46251</v>
      </c>
      <c r="N242" s="315"/>
      <c r="O242" s="315"/>
      <c r="P242" s="315"/>
      <c r="Q242" s="316" t="s">
        <v>45</v>
      </c>
      <c r="R242" s="317">
        <v>800000</v>
      </c>
      <c r="S242" s="317">
        <v>800000</v>
      </c>
      <c r="T242" s="317"/>
      <c r="U242" s="318">
        <v>0</v>
      </c>
      <c r="V242" s="319"/>
      <c r="W242" s="332"/>
      <c r="X242" s="321"/>
      <c r="Y242" s="322"/>
      <c r="Z242" s="322"/>
      <c r="AA242" s="322"/>
      <c r="AB242" s="322"/>
      <c r="AC242" s="322"/>
      <c r="AD242" s="322"/>
      <c r="AF242" s="333"/>
      <c r="AG242" s="325"/>
      <c r="AH242" s="326"/>
      <c r="AI242" s="327"/>
      <c r="AJ242" s="327"/>
      <c r="AK242" s="327"/>
      <c r="AL242" s="327"/>
      <c r="AM242" s="327"/>
      <c r="AN242" s="327"/>
      <c r="AO242" s="327"/>
      <c r="AP242" s="327"/>
      <c r="AQ242" s="327"/>
      <c r="AR242" s="327"/>
      <c r="AS242" s="327"/>
      <c r="AT242" s="327"/>
      <c r="AU242" s="327"/>
      <c r="AV242" s="327"/>
      <c r="AW242" s="327"/>
      <c r="AX242" s="327"/>
      <c r="AY242" s="327"/>
      <c r="AZ242" s="327"/>
      <c r="BA242" s="327"/>
      <c r="BB242" s="327"/>
      <c r="BC242" s="327"/>
      <c r="BD242" s="327"/>
      <c r="BE242" s="327"/>
      <c r="BF242" s="327"/>
      <c r="BG242" s="327"/>
      <c r="BH242" s="327"/>
      <c r="BI242" s="327"/>
      <c r="BJ242" s="327"/>
      <c r="BK242" s="327"/>
      <c r="BL242" s="327"/>
      <c r="BM242" s="327"/>
      <c r="BN242" s="327"/>
      <c r="BO242" s="327"/>
      <c r="BP242" s="327"/>
      <c r="BQ242" s="327"/>
      <c r="BR242" s="327"/>
      <c r="BS242" s="327"/>
      <c r="BT242" s="327"/>
      <c r="BU242" s="327"/>
      <c r="BV242" s="327"/>
      <c r="BW242" s="327"/>
      <c r="BX242" s="327"/>
      <c r="BY242" s="327"/>
      <c r="BZ242" s="327"/>
      <c r="CA242" s="327"/>
      <c r="CB242" s="327"/>
      <c r="CC242" s="327"/>
      <c r="CD242" s="327"/>
      <c r="CE242" s="327"/>
      <c r="CF242" s="327"/>
      <c r="CG242" s="327"/>
      <c r="CH242" s="327"/>
      <c r="CI242" s="327"/>
      <c r="CJ242" s="327"/>
      <c r="CK242" s="327"/>
      <c r="CL242" s="327"/>
      <c r="CM242" s="327"/>
      <c r="CN242" s="327"/>
      <c r="CO242" s="327"/>
      <c r="CP242" s="327"/>
      <c r="CQ242" s="327"/>
      <c r="CR242" s="327"/>
      <c r="CS242" s="327"/>
      <c r="CT242" s="327"/>
      <c r="CU242" s="327"/>
      <c r="CV242" s="327"/>
      <c r="CW242" s="327"/>
      <c r="CX242" s="327"/>
      <c r="CY242" s="328"/>
      <c r="CZ242" s="328"/>
      <c r="DA242" s="328"/>
      <c r="DB242" s="328"/>
      <c r="DC242" s="328"/>
      <c r="DD242" s="328"/>
      <c r="DE242" s="328"/>
      <c r="DF242" s="328"/>
      <c r="DG242" s="328"/>
      <c r="DH242" s="328"/>
      <c r="DI242" s="328"/>
      <c r="DJ242" s="328"/>
      <c r="DK242" s="328"/>
      <c r="DL242" s="328"/>
      <c r="DM242" s="328"/>
      <c r="DN242" s="328"/>
      <c r="DO242" s="328"/>
      <c r="DP242" s="328"/>
      <c r="DQ242" s="328"/>
      <c r="DR242" s="328"/>
      <c r="DS242" s="328"/>
      <c r="DT242" s="328"/>
      <c r="DU242" s="328"/>
      <c r="DV242" s="328"/>
      <c r="DW242" s="328"/>
      <c r="DX242" s="328"/>
      <c r="DY242" s="328"/>
      <c r="DZ242" s="328"/>
      <c r="EA242" s="328"/>
      <c r="EB242" s="328"/>
      <c r="EC242" s="328"/>
      <c r="ED242" s="328"/>
      <c r="EE242" s="328"/>
      <c r="EF242" s="328"/>
      <c r="EG242" s="328"/>
      <c r="EH242" s="328"/>
      <c r="EI242" s="328"/>
      <c r="EJ242" s="328"/>
      <c r="EK242" s="328"/>
      <c r="EL242" s="328"/>
      <c r="EM242" s="328"/>
      <c r="EN242" s="328"/>
      <c r="EO242" s="328"/>
      <c r="EP242" s="328"/>
      <c r="EQ242" s="328"/>
      <c r="ER242" s="328"/>
      <c r="ES242" s="329"/>
      <c r="ET242" s="329"/>
      <c r="EU242" s="329"/>
      <c r="EV242" s="329"/>
      <c r="EW242" s="329"/>
      <c r="EX242" s="329"/>
      <c r="EY242" s="329"/>
      <c r="EZ242" s="329"/>
      <c r="FA242" s="329"/>
      <c r="FB242" s="329"/>
      <c r="FC242" s="329"/>
      <c r="FD242" s="329"/>
      <c r="FE242" s="329"/>
      <c r="FF242" s="329"/>
      <c r="FG242" s="329"/>
      <c r="FH242" s="329"/>
      <c r="FI242" s="329"/>
      <c r="FJ242" s="329"/>
      <c r="FK242" s="329"/>
      <c r="FL242" s="329"/>
      <c r="FM242" s="329"/>
      <c r="FN242" s="329"/>
      <c r="FO242" s="329"/>
      <c r="FP242" s="329"/>
      <c r="FQ242" s="329"/>
      <c r="FR242" s="329"/>
      <c r="FS242" s="329"/>
      <c r="FT242" s="329"/>
      <c r="FU242" s="329"/>
      <c r="FV242" s="329"/>
      <c r="FW242" s="329"/>
      <c r="FX242" s="329"/>
      <c r="FY242" s="329"/>
      <c r="FZ242" s="329"/>
      <c r="GA242" s="329"/>
      <c r="GB242" s="329"/>
      <c r="GC242" s="329"/>
      <c r="GD242" s="329"/>
      <c r="GE242" s="329"/>
      <c r="GF242" s="329"/>
      <c r="GG242" s="330"/>
    </row>
    <row r="243" spans="1:189" ht="27.75" x14ac:dyDescent="0.35">
      <c r="A243" s="237" t="s">
        <v>761</v>
      </c>
      <c r="B243" s="236"/>
      <c r="C243" s="236"/>
      <c r="D243" s="236" t="s">
        <v>1083</v>
      </c>
      <c r="E243" s="236" t="s">
        <v>405</v>
      </c>
      <c r="F243" s="236" t="s">
        <v>404</v>
      </c>
      <c r="G243" s="238"/>
      <c r="H243" s="239"/>
      <c r="I243" s="240"/>
      <c r="J243" s="240"/>
      <c r="K243" s="240"/>
      <c r="L243" s="241"/>
      <c r="M243" s="241"/>
      <c r="N243" s="241"/>
      <c r="O243" s="241"/>
      <c r="P243" s="241"/>
      <c r="Q243" s="242"/>
      <c r="R243" s="243"/>
      <c r="S243" s="243"/>
      <c r="T243" s="243"/>
      <c r="U243" s="191">
        <f t="shared" si="226"/>
        <v>0</v>
      </c>
      <c r="V243" s="244"/>
      <c r="W243" s="245"/>
      <c r="X243" s="46"/>
      <c r="Y243" s="167">
        <f t="shared" si="219"/>
        <v>0</v>
      </c>
      <c r="Z243" s="167">
        <f t="shared" si="220"/>
        <v>0</v>
      </c>
      <c r="AA243" s="167">
        <f t="shared" si="221"/>
        <v>0</v>
      </c>
      <c r="AB243" s="167">
        <f t="shared" si="222"/>
        <v>0</v>
      </c>
      <c r="AC243" s="167">
        <f t="shared" si="223"/>
        <v>0</v>
      </c>
      <c r="AD243" s="167">
        <f t="shared" si="224"/>
        <v>0</v>
      </c>
      <c r="AF243" s="180">
        <f t="shared" si="225"/>
        <v>0</v>
      </c>
      <c r="AG243" s="202" t="str">
        <f t="shared" si="218"/>
        <v xml:space="preserve"> Others</v>
      </c>
      <c r="AH243" s="172"/>
      <c r="AI243" s="173"/>
      <c r="AJ243" s="173"/>
      <c r="AK243" s="173"/>
      <c r="AL243" s="173"/>
      <c r="AM243" s="173"/>
      <c r="AN243" s="173"/>
      <c r="AO243" s="173"/>
      <c r="AP243" s="173"/>
      <c r="AQ243" s="173"/>
      <c r="AR243" s="173"/>
      <c r="AS243" s="173"/>
      <c r="AT243" s="173"/>
      <c r="AU243" s="173"/>
      <c r="AV243" s="173"/>
      <c r="AW243" s="173"/>
      <c r="AX243" s="173"/>
      <c r="AY243" s="173"/>
      <c r="AZ243" s="173"/>
      <c r="BA243" s="173"/>
      <c r="BB243" s="173"/>
      <c r="BC243" s="173"/>
      <c r="BD243" s="173"/>
      <c r="BE243" s="173"/>
      <c r="BF243" s="173"/>
      <c r="BG243" s="173"/>
      <c r="BH243" s="173"/>
      <c r="BI243" s="173"/>
      <c r="BJ243" s="173"/>
      <c r="BK243" s="173"/>
      <c r="BL243" s="173"/>
      <c r="BM243" s="173"/>
      <c r="BN243" s="173"/>
      <c r="BO243" s="173"/>
      <c r="BP243" s="173"/>
      <c r="BQ243" s="173"/>
      <c r="BR243" s="173"/>
      <c r="BS243" s="173"/>
      <c r="BT243" s="173"/>
      <c r="BU243" s="173"/>
      <c r="BV243" s="173"/>
      <c r="BW243" s="173"/>
      <c r="BX243" s="173"/>
      <c r="BY243" s="173"/>
      <c r="BZ243" s="173"/>
      <c r="CA243" s="173"/>
      <c r="CB243" s="173"/>
      <c r="CC243" s="173"/>
      <c r="CD243" s="173"/>
      <c r="CE243" s="173"/>
      <c r="CF243" s="173"/>
      <c r="CG243" s="173"/>
      <c r="CH243" s="173"/>
      <c r="CI243" s="173"/>
      <c r="CJ243" s="173"/>
      <c r="CK243" s="173"/>
      <c r="CL243" s="173"/>
      <c r="CM243" s="173"/>
      <c r="CN243" s="173"/>
      <c r="CO243" s="173"/>
      <c r="CP243" s="173"/>
      <c r="CQ243" s="173"/>
      <c r="CR243" s="173"/>
      <c r="CS243" s="173"/>
      <c r="CT243" s="173"/>
      <c r="CU243" s="173"/>
      <c r="CV243" s="173"/>
      <c r="CW243" s="173"/>
      <c r="CX243" s="173"/>
      <c r="CY243" s="148"/>
      <c r="CZ243" s="148"/>
      <c r="DA243" s="148"/>
      <c r="DB243" s="148"/>
      <c r="DC243" s="148"/>
      <c r="DD243" s="148"/>
      <c r="DE243" s="148"/>
      <c r="DF243" s="148"/>
      <c r="DG243" s="148"/>
      <c r="DH243" s="148"/>
      <c r="DI243" s="148"/>
      <c r="DJ243" s="148"/>
      <c r="DK243" s="148"/>
      <c r="DL243" s="148"/>
      <c r="DM243" s="148"/>
      <c r="DN243" s="148"/>
      <c r="DO243" s="148"/>
      <c r="DP243" s="148"/>
      <c r="DQ243" s="148"/>
      <c r="DR243" s="148"/>
      <c r="DS243" s="148"/>
      <c r="DT243" s="148"/>
      <c r="DU243" s="148"/>
      <c r="DV243" s="148"/>
      <c r="DW243" s="148"/>
      <c r="DX243" s="148"/>
      <c r="DY243" s="148"/>
      <c r="DZ243" s="148"/>
      <c r="EA243" s="148"/>
      <c r="EB243" s="148"/>
      <c r="EC243" s="148"/>
      <c r="ED243" s="148"/>
      <c r="EE243" s="148"/>
      <c r="EF243" s="148"/>
      <c r="EG243" s="148"/>
      <c r="EH243" s="148"/>
      <c r="EI243" s="148"/>
      <c r="EJ243" s="148"/>
      <c r="EK243" s="148"/>
      <c r="EL243" s="148"/>
      <c r="EM243" s="148"/>
      <c r="EN243" s="148"/>
      <c r="EO243" s="148"/>
      <c r="EP243" s="148"/>
      <c r="EQ243" s="148"/>
      <c r="ER243" s="148"/>
      <c r="ES243" s="151"/>
      <c r="ET243" s="151"/>
      <c r="EU243" s="151"/>
      <c r="EV243" s="151"/>
      <c r="EW243" s="151"/>
      <c r="EX243" s="151"/>
      <c r="EY243" s="151"/>
      <c r="EZ243" s="151"/>
      <c r="FA243" s="151"/>
      <c r="FB243" s="151"/>
      <c r="FC243" s="151"/>
      <c r="FD243" s="151"/>
      <c r="FE243" s="151"/>
      <c r="FF243" s="151"/>
      <c r="FG243" s="151"/>
      <c r="FH243" s="151"/>
      <c r="FI243" s="151"/>
      <c r="FJ243" s="151"/>
      <c r="FK243" s="151"/>
      <c r="FL243" s="151"/>
      <c r="FM243" s="151"/>
      <c r="FN243" s="151"/>
      <c r="FO243" s="151"/>
      <c r="FP243" s="151"/>
      <c r="FQ243" s="151"/>
      <c r="FR243" s="151"/>
      <c r="FS243" s="151"/>
      <c r="FT243" s="151"/>
      <c r="FU243" s="151"/>
      <c r="FV243" s="151"/>
      <c r="FW243" s="151"/>
      <c r="FX243" s="151"/>
      <c r="FY243" s="151"/>
      <c r="FZ243" s="151"/>
      <c r="GA243" s="151"/>
      <c r="GB243" s="151"/>
      <c r="GC243" s="151"/>
      <c r="GD243" s="151"/>
      <c r="GE243" s="151"/>
      <c r="GF243" s="151"/>
      <c r="GG243" s="152"/>
    </row>
    <row r="244" spans="1:189" ht="27.75" x14ac:dyDescent="0.35">
      <c r="A244" s="297" t="s">
        <v>762</v>
      </c>
      <c r="B244" s="298" t="s">
        <v>1080</v>
      </c>
      <c r="C244" s="298" t="s">
        <v>1091</v>
      </c>
      <c r="D244" s="298" t="s">
        <v>1083</v>
      </c>
      <c r="E244" s="298" t="s">
        <v>398</v>
      </c>
      <c r="F244" s="298" t="s">
        <v>399</v>
      </c>
      <c r="G244" s="300">
        <v>2</v>
      </c>
      <c r="H244" s="301"/>
      <c r="I244" s="302"/>
      <c r="J244" s="302"/>
      <c r="K244" s="302"/>
      <c r="L244" s="303"/>
      <c r="M244" s="303"/>
      <c r="N244" s="303"/>
      <c r="O244" s="303">
        <v>46054</v>
      </c>
      <c r="P244" s="303">
        <v>46934</v>
      </c>
      <c r="Q244" s="304" t="s">
        <v>20</v>
      </c>
      <c r="R244" s="305">
        <v>1000000</v>
      </c>
      <c r="S244" s="305">
        <f>1000000-S245</f>
        <v>300000</v>
      </c>
      <c r="T244" s="305"/>
      <c r="U244" s="191">
        <f t="shared" si="226"/>
        <v>0</v>
      </c>
      <c r="V244" s="306"/>
      <c r="W244" s="307"/>
      <c r="X244" s="46"/>
      <c r="Y244" s="167">
        <f t="shared" si="219"/>
        <v>300000</v>
      </c>
      <c r="Z244" s="167">
        <f t="shared" si="220"/>
        <v>0</v>
      </c>
      <c r="AA244" s="167">
        <f t="shared" si="221"/>
        <v>300000</v>
      </c>
      <c r="AB244" s="167">
        <f t="shared" si="222"/>
        <v>0</v>
      </c>
      <c r="AC244" s="167">
        <f t="shared" si="223"/>
        <v>0</v>
      </c>
      <c r="AD244" s="167">
        <f t="shared" si="224"/>
        <v>0</v>
      </c>
      <c r="AF244" s="47">
        <f t="shared" si="225"/>
        <v>1</v>
      </c>
      <c r="AG244" s="202" t="str">
        <f t="shared" si="218"/>
        <v>Katarzyna Turek Scaffoldings</v>
      </c>
      <c r="AH244" s="147"/>
      <c r="AI244" s="148"/>
      <c r="AJ244" s="148"/>
      <c r="AK244" s="148"/>
      <c r="AL244" s="148"/>
      <c r="AM244" s="148"/>
      <c r="AN244" s="148"/>
      <c r="AO244" s="148"/>
      <c r="AP244" s="148"/>
      <c r="AQ244" s="148"/>
      <c r="AR244" s="148"/>
      <c r="AS244" s="148"/>
      <c r="AT244" s="148"/>
      <c r="AU244" s="148"/>
      <c r="AV244" s="148"/>
      <c r="AW244" s="148"/>
      <c r="AX244" s="148"/>
      <c r="AY244" s="148"/>
      <c r="AZ244" s="148"/>
      <c r="BA244" s="148"/>
      <c r="BB244" s="148"/>
      <c r="BC244" s="148"/>
      <c r="BD244" s="148"/>
      <c r="BE244" s="148"/>
      <c r="BF244" s="148"/>
      <c r="BG244" s="148"/>
      <c r="BH244" s="148"/>
      <c r="BI244" s="148"/>
      <c r="BJ244" s="148"/>
      <c r="BK244" s="148"/>
      <c r="BL244" s="148"/>
      <c r="BM244" s="148"/>
      <c r="BN244" s="148"/>
      <c r="BO244" s="148"/>
      <c r="BP244" s="148"/>
      <c r="BQ244" s="148"/>
      <c r="BR244" s="148"/>
      <c r="BS244" s="148"/>
      <c r="BT244" s="148"/>
      <c r="BU244" s="148"/>
      <c r="BV244" s="148"/>
      <c r="BW244" s="148"/>
      <c r="BX244" s="148"/>
      <c r="BY244" s="148"/>
      <c r="BZ244" s="148"/>
      <c r="CA244" s="148"/>
      <c r="CB244" s="148"/>
      <c r="CC244" s="148"/>
      <c r="CD244" s="148"/>
      <c r="CE244" s="148"/>
      <c r="CF244" s="148"/>
      <c r="CG244" s="148"/>
      <c r="CH244" s="148"/>
      <c r="CI244" s="148"/>
      <c r="CJ244" s="148"/>
      <c r="CK244" s="148"/>
      <c r="CL244" s="148"/>
      <c r="CM244" s="148"/>
      <c r="CN244" s="148"/>
      <c r="CO244" s="148"/>
      <c r="CP244" s="148"/>
      <c r="CQ244" s="148"/>
      <c r="CR244" s="148"/>
      <c r="CS244" s="148"/>
      <c r="CT244" s="148"/>
      <c r="CU244" s="148"/>
      <c r="CV244" s="148"/>
      <c r="CW244" s="148"/>
      <c r="CX244" s="148"/>
      <c r="CY244" s="148"/>
      <c r="CZ244" s="148"/>
      <c r="DA244" s="148"/>
      <c r="DB244" s="148"/>
      <c r="DC244" s="148"/>
      <c r="DD244" s="148"/>
      <c r="DE244" s="148"/>
      <c r="DF244" s="148"/>
      <c r="DG244" s="148"/>
      <c r="DH244" s="148"/>
      <c r="DI244" s="148"/>
      <c r="DJ244" s="148"/>
      <c r="DK244" s="148"/>
      <c r="DL244" s="148"/>
      <c r="DM244" s="148"/>
      <c r="DN244" s="148"/>
      <c r="DO244" s="148"/>
      <c r="DP244" s="148"/>
      <c r="DQ244" s="148"/>
      <c r="DR244" s="148"/>
      <c r="DS244" s="148"/>
      <c r="DT244" s="148"/>
      <c r="DU244" s="148"/>
      <c r="DV244" s="148"/>
      <c r="DW244" s="148"/>
      <c r="DX244" s="148"/>
      <c r="DY244" s="148"/>
      <c r="DZ244" s="148"/>
      <c r="EA244" s="148"/>
      <c r="EB244" s="148"/>
      <c r="EC244" s="148"/>
      <c r="ED244" s="148"/>
      <c r="EE244" s="148"/>
      <c r="EF244" s="148"/>
      <c r="EG244" s="148"/>
      <c r="EH244" s="148"/>
      <c r="EI244" s="148"/>
      <c r="EJ244" s="148"/>
      <c r="EK244" s="148"/>
      <c r="EL244" s="148"/>
      <c r="EM244" s="148"/>
      <c r="EN244" s="148"/>
      <c r="EO244" s="148"/>
      <c r="EP244" s="148"/>
      <c r="EQ244" s="148"/>
      <c r="ER244" s="148"/>
      <c r="ES244" s="148"/>
      <c r="ET244" s="148"/>
      <c r="EU244" s="148"/>
      <c r="EV244" s="148"/>
      <c r="EW244" s="148"/>
      <c r="EX244" s="148"/>
      <c r="EY244" s="148"/>
      <c r="EZ244" s="148"/>
      <c r="FA244" s="148"/>
      <c r="FB244" s="148"/>
      <c r="FC244" s="148"/>
      <c r="FD244" s="148"/>
      <c r="FE244" s="148"/>
      <c r="FF244" s="148"/>
      <c r="FG244" s="148"/>
      <c r="FH244" s="148"/>
      <c r="FI244" s="148"/>
      <c r="FJ244" s="148"/>
      <c r="FK244" s="148"/>
      <c r="FL244" s="148"/>
      <c r="FM244" s="148"/>
      <c r="FN244" s="148"/>
      <c r="FO244" s="148"/>
      <c r="FP244" s="148"/>
      <c r="FQ244" s="148"/>
      <c r="FR244" s="148"/>
      <c r="FS244" s="148"/>
      <c r="FT244" s="148"/>
      <c r="FU244" s="148"/>
      <c r="FV244" s="148"/>
      <c r="FW244" s="148"/>
      <c r="FX244" s="148"/>
      <c r="FY244" s="148"/>
      <c r="FZ244" s="148"/>
      <c r="GA244" s="148"/>
      <c r="GB244" s="148"/>
      <c r="GC244" s="148"/>
      <c r="GD244" s="148"/>
      <c r="GE244" s="148"/>
      <c r="GF244" s="148"/>
      <c r="GG244" s="149"/>
    </row>
    <row r="245" spans="1:189" ht="27.75" x14ac:dyDescent="0.35">
      <c r="A245" s="267" t="s">
        <v>1101</v>
      </c>
      <c r="B245" s="221" t="s">
        <v>1080</v>
      </c>
      <c r="C245" s="221" t="s">
        <v>1091</v>
      </c>
      <c r="D245" s="221" t="s">
        <v>1083</v>
      </c>
      <c r="E245" s="221" t="s">
        <v>1102</v>
      </c>
      <c r="F245" s="221" t="s">
        <v>1103</v>
      </c>
      <c r="G245" s="223">
        <v>2</v>
      </c>
      <c r="H245" s="224" t="s">
        <v>1104</v>
      </c>
      <c r="I245" s="225"/>
      <c r="J245" s="225"/>
      <c r="K245" s="225"/>
      <c r="L245" s="226">
        <v>45992</v>
      </c>
      <c r="M245" s="226">
        <v>46053</v>
      </c>
      <c r="N245" s="226">
        <v>46053</v>
      </c>
      <c r="O245" s="226">
        <v>46054</v>
      </c>
      <c r="P245" s="226">
        <v>46934</v>
      </c>
      <c r="Q245" s="227" t="s">
        <v>20</v>
      </c>
      <c r="R245" s="228"/>
      <c r="S245" s="228">
        <v>700000</v>
      </c>
      <c r="T245" s="228">
        <v>700000</v>
      </c>
      <c r="U245" s="191">
        <f t="shared" ref="U245" si="227">IF(Q245="",0,IF(T245="",0,+S245-T245))</f>
        <v>0</v>
      </c>
      <c r="V245" s="230"/>
      <c r="W245" s="232"/>
      <c r="X245" s="46"/>
      <c r="Y245" s="167">
        <f t="shared" ref="Y245" si="228">IF(G245=2,S245,0)</f>
        <v>700000</v>
      </c>
      <c r="Z245" s="167">
        <f t="shared" ref="Z245" si="229">IF(Q245="",0,IF(G245=2,T245,0))</f>
        <v>700000</v>
      </c>
      <c r="AA245" s="167">
        <f t="shared" ref="AA245" si="230">Y245-Z245</f>
        <v>0</v>
      </c>
      <c r="AB245" s="167">
        <f t="shared" ref="AB245" si="231">IF(G245=1,S245,0)</f>
        <v>0</v>
      </c>
      <c r="AC245" s="167">
        <f t="shared" ref="AC245" si="232">IF(Q245="",0,IF(G245=1,T245,0))</f>
        <v>0</v>
      </c>
      <c r="AD245" s="167">
        <f t="shared" ref="AD245" si="233">AB245-AC245</f>
        <v>0</v>
      </c>
      <c r="AF245" s="47">
        <f t="shared" ref="AF245" si="234">IF(S245&lt;&gt;"",1,0)</f>
        <v>1</v>
      </c>
      <c r="AG245" s="202" t="str">
        <f t="shared" ref="AG245" si="235">B245&amp;" "&amp;F245</f>
        <v>Katarzyna Turek Scaffoldings BoRd_05</v>
      </c>
      <c r="AH245" s="153"/>
      <c r="AI245" s="154"/>
      <c r="AJ245" s="154"/>
      <c r="AK245" s="154"/>
      <c r="AL245" s="154"/>
      <c r="AM245" s="154"/>
      <c r="AN245" s="154"/>
      <c r="AO245" s="154"/>
      <c r="AP245" s="154"/>
      <c r="AQ245" s="154"/>
      <c r="AR245" s="154"/>
      <c r="AS245" s="154"/>
      <c r="AT245" s="154"/>
      <c r="AU245" s="154"/>
      <c r="AV245" s="154"/>
      <c r="AW245" s="154"/>
      <c r="AX245" s="154"/>
      <c r="AY245" s="154"/>
      <c r="AZ245" s="154"/>
      <c r="BA245" s="151"/>
      <c r="BB245" s="151"/>
      <c r="BC245" s="151"/>
      <c r="BD245" s="151"/>
      <c r="BE245" s="151"/>
      <c r="BF245" s="151"/>
      <c r="BG245" s="151"/>
      <c r="BH245" s="151"/>
      <c r="BI245" s="151"/>
      <c r="BJ245" s="151"/>
      <c r="BK245" s="151"/>
      <c r="BL245" s="151"/>
      <c r="BM245" s="151"/>
      <c r="BN245" s="151"/>
      <c r="BO245" s="151"/>
      <c r="BP245" s="151"/>
      <c r="BQ245" s="151"/>
      <c r="BR245" s="151"/>
      <c r="BS245" s="151"/>
      <c r="BT245" s="151"/>
      <c r="BU245" s="151"/>
      <c r="BV245" s="151"/>
      <c r="BW245" s="151"/>
      <c r="BX245" s="151"/>
      <c r="BY245" s="151"/>
      <c r="BZ245" s="151"/>
      <c r="CA245" s="151"/>
      <c r="CB245" s="151"/>
      <c r="CC245" s="151"/>
      <c r="CD245" s="151"/>
      <c r="CE245" s="151"/>
      <c r="CF245" s="151"/>
      <c r="CG245" s="151"/>
      <c r="CH245" s="151"/>
      <c r="CI245" s="151"/>
      <c r="CJ245" s="151"/>
      <c r="CK245" s="151"/>
      <c r="CL245" s="151"/>
      <c r="CM245" s="151"/>
      <c r="CN245" s="151"/>
      <c r="CO245" s="151"/>
      <c r="CP245" s="151"/>
      <c r="CQ245" s="151"/>
      <c r="CR245" s="151"/>
      <c r="CS245" s="151"/>
      <c r="CT245" s="151"/>
      <c r="CU245" s="151"/>
      <c r="CV245" s="151"/>
      <c r="CW245" s="151"/>
      <c r="CX245" s="151"/>
      <c r="CY245" s="151"/>
      <c r="CZ245" s="151"/>
      <c r="DA245" s="151"/>
      <c r="DB245" s="151"/>
      <c r="DC245" s="151"/>
      <c r="DD245" s="151"/>
      <c r="DE245" s="151"/>
      <c r="DF245" s="151"/>
      <c r="DG245" s="151"/>
      <c r="DH245" s="151"/>
      <c r="DI245" s="151"/>
      <c r="DJ245" s="151"/>
      <c r="DK245" s="151"/>
      <c r="DL245" s="151"/>
      <c r="DM245" s="151"/>
      <c r="DN245" s="151"/>
      <c r="DO245" s="151"/>
      <c r="DP245" s="151"/>
      <c r="DQ245" s="151"/>
      <c r="DR245" s="151"/>
      <c r="DS245" s="151"/>
      <c r="DT245" s="151"/>
      <c r="DU245" s="151"/>
      <c r="DV245" s="151"/>
      <c r="DW245" s="151"/>
      <c r="DX245" s="151"/>
      <c r="DY245" s="151"/>
      <c r="DZ245" s="151"/>
      <c r="EA245" s="151"/>
      <c r="EB245" s="151"/>
      <c r="EC245" s="151"/>
      <c r="ED245" s="151"/>
      <c r="EE245" s="151"/>
      <c r="EF245" s="151"/>
      <c r="EG245" s="151"/>
      <c r="EH245" s="151"/>
      <c r="EI245" s="151"/>
      <c r="EJ245" s="151"/>
      <c r="EK245" s="151"/>
      <c r="EL245" s="151"/>
      <c r="EM245" s="151"/>
      <c r="EN245" s="151"/>
      <c r="EO245" s="151"/>
      <c r="EP245" s="151"/>
      <c r="EQ245" s="151"/>
      <c r="ER245" s="151"/>
      <c r="ES245" s="151"/>
      <c r="ET245" s="151"/>
      <c r="EU245" s="151"/>
      <c r="EV245" s="151"/>
      <c r="EW245" s="151"/>
      <c r="EX245" s="151"/>
      <c r="EY245" s="151"/>
      <c r="EZ245" s="151"/>
      <c r="FA245" s="151"/>
      <c r="FB245" s="151"/>
      <c r="FC245" s="151"/>
      <c r="FD245" s="151"/>
      <c r="FE245" s="151"/>
      <c r="FF245" s="151"/>
      <c r="FG245" s="151"/>
      <c r="FH245" s="151"/>
      <c r="FI245" s="151"/>
      <c r="FJ245" s="151"/>
      <c r="FK245" s="151"/>
      <c r="FL245" s="151"/>
      <c r="FM245" s="151"/>
      <c r="FN245" s="151"/>
      <c r="FO245" s="151"/>
      <c r="FP245" s="151"/>
      <c r="FQ245" s="151"/>
      <c r="FR245" s="151"/>
      <c r="FS245" s="151"/>
      <c r="FT245" s="151"/>
      <c r="FU245" s="151"/>
      <c r="FV245" s="151"/>
      <c r="FW245" s="151"/>
      <c r="FX245" s="151"/>
      <c r="FY245" s="151"/>
      <c r="FZ245" s="151"/>
      <c r="GA245" s="151"/>
      <c r="GB245" s="151"/>
      <c r="GC245" s="151"/>
      <c r="GD245" s="151"/>
      <c r="GE245" s="151"/>
      <c r="GF245" s="151"/>
      <c r="GG245" s="152"/>
    </row>
    <row r="246" spans="1:189" ht="27.75" x14ac:dyDescent="0.35">
      <c r="A246" s="297" t="s">
        <v>763</v>
      </c>
      <c r="B246" s="298" t="s">
        <v>1066</v>
      </c>
      <c r="C246" s="298"/>
      <c r="D246" s="298" t="s">
        <v>1083</v>
      </c>
      <c r="E246" s="298" t="s">
        <v>548</v>
      </c>
      <c r="F246" s="298" t="s">
        <v>549</v>
      </c>
      <c r="G246" s="300">
        <v>2</v>
      </c>
      <c r="H246" s="301"/>
      <c r="I246" s="302"/>
      <c r="J246" s="302"/>
      <c r="K246" s="302"/>
      <c r="L246" s="303">
        <v>46171</v>
      </c>
      <c r="M246" s="303">
        <v>46234</v>
      </c>
      <c r="N246" s="303"/>
      <c r="O246" s="303"/>
      <c r="P246" s="303"/>
      <c r="Q246" s="304" t="s">
        <v>45</v>
      </c>
      <c r="R246" s="305">
        <v>1500000</v>
      </c>
      <c r="S246" s="305">
        <v>1500000</v>
      </c>
      <c r="T246" s="305"/>
      <c r="U246" s="191">
        <f t="shared" si="226"/>
        <v>0</v>
      </c>
      <c r="V246" s="306"/>
      <c r="W246" s="307"/>
      <c r="X246" s="46"/>
      <c r="Y246" s="167">
        <f t="shared" si="219"/>
        <v>1500000</v>
      </c>
      <c r="Z246" s="167">
        <f t="shared" si="220"/>
        <v>0</v>
      </c>
      <c r="AA246" s="167">
        <f t="shared" si="221"/>
        <v>1500000</v>
      </c>
      <c r="AB246" s="167">
        <f t="shared" si="222"/>
        <v>0</v>
      </c>
      <c r="AC246" s="167">
        <f t="shared" si="223"/>
        <v>0</v>
      </c>
      <c r="AD246" s="167">
        <f t="shared" si="224"/>
        <v>0</v>
      </c>
      <c r="AF246" s="47">
        <f t="shared" si="225"/>
        <v>1</v>
      </c>
      <c r="AG246" s="202" t="str">
        <f t="shared" si="218"/>
        <v>Stanisław Rucki Mechanical installation of technological equipment</v>
      </c>
      <c r="AH246" s="172"/>
      <c r="AI246" s="173"/>
      <c r="AJ246" s="173"/>
      <c r="AK246" s="173"/>
      <c r="AL246" s="173"/>
      <c r="AM246" s="173"/>
      <c r="AN246" s="173"/>
      <c r="AO246" s="173"/>
      <c r="AP246" s="173"/>
      <c r="AQ246" s="173"/>
      <c r="AR246" s="173"/>
      <c r="AS246" s="173"/>
      <c r="AT246" s="173"/>
      <c r="AU246" s="173"/>
      <c r="AV246" s="173"/>
      <c r="AW246" s="173"/>
      <c r="AX246" s="173"/>
      <c r="AY246" s="173"/>
      <c r="AZ246" s="173"/>
      <c r="BA246" s="173"/>
      <c r="BB246" s="173"/>
      <c r="BC246" s="173"/>
      <c r="BD246" s="173"/>
      <c r="BE246" s="173"/>
      <c r="BF246" s="173"/>
      <c r="BG246" s="173"/>
      <c r="BH246" s="173"/>
      <c r="BI246" s="173"/>
      <c r="BJ246" s="173"/>
      <c r="BK246" s="173"/>
      <c r="BL246" s="173"/>
      <c r="BM246" s="173"/>
      <c r="BN246" s="173"/>
      <c r="BO246" s="173"/>
      <c r="BP246" s="173"/>
      <c r="BQ246" s="173"/>
      <c r="BR246" s="173"/>
      <c r="BS246" s="173"/>
      <c r="BT246" s="173"/>
      <c r="BU246" s="173"/>
      <c r="BV246" s="173"/>
      <c r="BW246" s="173"/>
      <c r="BX246" s="173"/>
      <c r="BY246" s="173"/>
      <c r="BZ246" s="173"/>
      <c r="CA246" s="173"/>
      <c r="CB246" s="173"/>
      <c r="CC246" s="173"/>
      <c r="CD246" s="173"/>
      <c r="CE246" s="173"/>
      <c r="CF246" s="173"/>
      <c r="CG246" s="173"/>
      <c r="CH246" s="173"/>
      <c r="CI246" s="173"/>
      <c r="CJ246" s="173"/>
      <c r="CK246" s="173"/>
      <c r="CL246" s="173"/>
      <c r="CM246" s="173"/>
      <c r="CN246" s="173"/>
      <c r="CO246" s="173"/>
      <c r="CP246" s="173"/>
      <c r="CQ246" s="173"/>
      <c r="CR246" s="173"/>
      <c r="CS246" s="173"/>
      <c r="CT246" s="173"/>
      <c r="CU246" s="173"/>
      <c r="CV246" s="173"/>
      <c r="CW246" s="173"/>
      <c r="CX246" s="173"/>
      <c r="CY246" s="148"/>
      <c r="CZ246" s="148"/>
      <c r="DA246" s="148"/>
      <c r="DB246" s="148"/>
      <c r="DC246" s="148"/>
      <c r="DD246" s="148"/>
      <c r="DE246" s="148"/>
      <c r="DF246" s="148"/>
      <c r="DG246" s="148"/>
      <c r="DH246" s="148"/>
      <c r="DI246" s="148"/>
      <c r="DJ246" s="148"/>
      <c r="DK246" s="148"/>
      <c r="DL246" s="148"/>
      <c r="DM246" s="148"/>
      <c r="DN246" s="148"/>
      <c r="DO246" s="148"/>
      <c r="DP246" s="148"/>
      <c r="DQ246" s="148"/>
      <c r="DR246" s="148"/>
      <c r="DS246" s="148"/>
      <c r="DT246" s="148"/>
      <c r="DU246" s="148"/>
      <c r="DV246" s="148"/>
      <c r="DW246" s="148"/>
      <c r="DX246" s="148"/>
      <c r="DY246" s="148"/>
      <c r="DZ246" s="148"/>
      <c r="EA246" s="148"/>
      <c r="EB246" s="148"/>
      <c r="EC246" s="148"/>
      <c r="ED246" s="148"/>
      <c r="EE246" s="148"/>
      <c r="EF246" s="148"/>
      <c r="EG246" s="148"/>
      <c r="EH246" s="148"/>
      <c r="EI246" s="148"/>
      <c r="EJ246" s="148"/>
      <c r="EK246" s="148"/>
      <c r="EL246" s="148"/>
      <c r="EM246" s="148"/>
      <c r="EN246" s="148"/>
      <c r="EO246" s="148"/>
      <c r="EP246" s="148"/>
      <c r="EQ246" s="148"/>
      <c r="ER246" s="148"/>
      <c r="ES246" s="148"/>
      <c r="ET246" s="148"/>
      <c r="EU246" s="148"/>
      <c r="EV246" s="148"/>
      <c r="EW246" s="148"/>
      <c r="EX246" s="148"/>
      <c r="EY246" s="148"/>
      <c r="EZ246" s="148"/>
      <c r="FA246" s="148"/>
      <c r="FB246" s="148"/>
      <c r="FC246" s="148"/>
      <c r="FD246" s="148"/>
      <c r="FE246" s="148"/>
      <c r="FF246" s="148"/>
      <c r="FG246" s="148"/>
      <c r="FH246" s="148"/>
      <c r="FI246" s="148"/>
      <c r="FJ246" s="148"/>
      <c r="FK246" s="148"/>
      <c r="FL246" s="148"/>
      <c r="FM246" s="148"/>
      <c r="FN246" s="148"/>
      <c r="FO246" s="148"/>
      <c r="FP246" s="148"/>
      <c r="FQ246" s="148"/>
      <c r="FR246" s="148"/>
      <c r="FS246" s="148"/>
      <c r="FT246" s="148"/>
      <c r="FU246" s="148"/>
      <c r="FV246" s="148"/>
      <c r="FW246" s="148"/>
      <c r="FX246" s="148"/>
      <c r="FY246" s="148"/>
      <c r="FZ246" s="148"/>
      <c r="GA246" s="148"/>
      <c r="GB246" s="148"/>
      <c r="GC246" s="148"/>
      <c r="GD246" s="148"/>
      <c r="GE246" s="148"/>
      <c r="GF246" s="148"/>
      <c r="GG246" s="149"/>
    </row>
    <row r="247" spans="1:189" ht="27.75" x14ac:dyDescent="0.35">
      <c r="A247" s="297" t="s">
        <v>764</v>
      </c>
      <c r="B247" s="298" t="s">
        <v>1068</v>
      </c>
      <c r="C247" s="298"/>
      <c r="D247" s="298" t="s">
        <v>1083</v>
      </c>
      <c r="E247" s="298" t="s">
        <v>554</v>
      </c>
      <c r="F247" s="298" t="s">
        <v>1327</v>
      </c>
      <c r="G247" s="300">
        <v>2</v>
      </c>
      <c r="H247" s="301" t="s">
        <v>1328</v>
      </c>
      <c r="I247" s="302"/>
      <c r="J247" s="302"/>
      <c r="K247" s="302"/>
      <c r="L247" s="303">
        <v>46080</v>
      </c>
      <c r="M247" s="303">
        <v>46112</v>
      </c>
      <c r="N247" s="303"/>
      <c r="O247" s="303"/>
      <c r="P247" s="303"/>
      <c r="Q247" s="304" t="s">
        <v>11</v>
      </c>
      <c r="R247" s="305">
        <v>1000000</v>
      </c>
      <c r="S247" s="305">
        <v>1000000</v>
      </c>
      <c r="T247" s="305"/>
      <c r="U247" s="191">
        <f t="shared" si="226"/>
        <v>0</v>
      </c>
      <c r="V247" s="306"/>
      <c r="W247" s="307"/>
      <c r="X247" s="46"/>
      <c r="Y247" s="167">
        <f t="shared" si="219"/>
        <v>1000000</v>
      </c>
      <c r="Z247" s="167">
        <f t="shared" si="220"/>
        <v>0</v>
      </c>
      <c r="AA247" s="167">
        <f t="shared" si="221"/>
        <v>1000000</v>
      </c>
      <c r="AB247" s="167">
        <f t="shared" si="222"/>
        <v>0</v>
      </c>
      <c r="AC247" s="167">
        <f t="shared" si="223"/>
        <v>0</v>
      </c>
      <c r="AD247" s="167">
        <f t="shared" si="224"/>
        <v>0</v>
      </c>
      <c r="AF247" s="47">
        <f t="shared" si="225"/>
        <v>1</v>
      </c>
      <c r="AG247" s="202" t="str">
        <f t="shared" si="218"/>
        <v>Robert Klimczak Equipment steel support structures</v>
      </c>
      <c r="AH247" s="172"/>
      <c r="AI247" s="173"/>
      <c r="AJ247" s="173"/>
      <c r="AK247" s="173"/>
      <c r="AL247" s="173"/>
      <c r="AM247" s="173"/>
      <c r="AN247" s="173"/>
      <c r="AO247" s="173"/>
      <c r="AP247" s="173"/>
      <c r="AQ247" s="173"/>
      <c r="AR247" s="173"/>
      <c r="AS247" s="173"/>
      <c r="AT247" s="173"/>
      <c r="AU247" s="173"/>
      <c r="AV247" s="173"/>
      <c r="AW247" s="173"/>
      <c r="AX247" s="173"/>
      <c r="AY247" s="173"/>
      <c r="AZ247" s="173"/>
      <c r="BA247" s="173"/>
      <c r="BB247" s="173"/>
      <c r="BC247" s="173"/>
      <c r="BD247" s="173"/>
      <c r="BE247" s="173"/>
      <c r="BF247" s="173"/>
      <c r="BG247" s="173"/>
      <c r="BH247" s="173"/>
      <c r="BI247" s="173"/>
      <c r="BJ247" s="173"/>
      <c r="BK247" s="173"/>
      <c r="BL247" s="173"/>
      <c r="BM247" s="173"/>
      <c r="BN247" s="173"/>
      <c r="BO247" s="173"/>
      <c r="BP247" s="173"/>
      <c r="BQ247" s="173"/>
      <c r="BR247" s="173"/>
      <c r="BS247" s="173"/>
      <c r="BT247" s="173"/>
      <c r="BU247" s="173"/>
      <c r="BV247" s="173"/>
      <c r="BW247" s="173"/>
      <c r="BX247" s="173"/>
      <c r="BY247" s="173"/>
      <c r="BZ247" s="173"/>
      <c r="CA247" s="173"/>
      <c r="CB247" s="173"/>
      <c r="CC247" s="173"/>
      <c r="CD247" s="173"/>
      <c r="CE247" s="173"/>
      <c r="CF247" s="173"/>
      <c r="CG247" s="173"/>
      <c r="CH247" s="173"/>
      <c r="CI247" s="173"/>
      <c r="CJ247" s="173"/>
      <c r="CK247" s="173"/>
      <c r="CL247" s="173"/>
      <c r="CM247" s="173"/>
      <c r="CN247" s="173"/>
      <c r="CO247" s="173"/>
      <c r="CP247" s="173"/>
      <c r="CQ247" s="173"/>
      <c r="CR247" s="173"/>
      <c r="CS247" s="173"/>
      <c r="CT247" s="173"/>
      <c r="CU247" s="173"/>
      <c r="CV247" s="173"/>
      <c r="CW247" s="173"/>
      <c r="CX247" s="173"/>
      <c r="CY247" s="148"/>
      <c r="CZ247" s="148"/>
      <c r="DA247" s="148"/>
      <c r="DB247" s="148"/>
      <c r="DC247" s="148"/>
      <c r="DD247" s="148"/>
      <c r="DE247" s="148"/>
      <c r="DF247" s="148"/>
      <c r="DG247" s="148"/>
      <c r="DH247" s="148"/>
      <c r="DI247" s="148"/>
      <c r="DJ247" s="148"/>
      <c r="DK247" s="148"/>
      <c r="DL247" s="148"/>
      <c r="DM247" s="148"/>
      <c r="DN247" s="148"/>
      <c r="DO247" s="148"/>
      <c r="DP247" s="148"/>
      <c r="DQ247" s="148"/>
      <c r="DR247" s="148"/>
      <c r="DS247" s="148"/>
      <c r="DT247" s="148"/>
      <c r="DU247" s="148"/>
      <c r="DV247" s="148"/>
      <c r="DW247" s="148"/>
      <c r="DX247" s="148"/>
      <c r="DY247" s="148"/>
      <c r="DZ247" s="148"/>
      <c r="EA247" s="148"/>
      <c r="EB247" s="148"/>
      <c r="EC247" s="148"/>
      <c r="ED247" s="148"/>
      <c r="EE247" s="148"/>
      <c r="EF247" s="148"/>
      <c r="EG247" s="148"/>
      <c r="EH247" s="148"/>
      <c r="EI247" s="148"/>
      <c r="EJ247" s="148"/>
      <c r="EK247" s="148"/>
      <c r="EL247" s="148"/>
      <c r="EM247" s="148"/>
      <c r="EN247" s="148"/>
      <c r="EO247" s="148"/>
      <c r="EP247" s="148"/>
      <c r="EQ247" s="148"/>
      <c r="ER247" s="148"/>
      <c r="ES247" s="148"/>
      <c r="ET247" s="148"/>
      <c r="EU247" s="148"/>
      <c r="EV247" s="148"/>
      <c r="EW247" s="148"/>
      <c r="EX247" s="148"/>
      <c r="EY247" s="148"/>
      <c r="EZ247" s="148"/>
      <c r="FA247" s="148"/>
      <c r="FB247" s="148"/>
      <c r="FC247" s="148"/>
      <c r="FD247" s="148"/>
      <c r="FE247" s="148"/>
      <c r="FF247" s="148"/>
      <c r="FG247" s="148"/>
      <c r="FH247" s="148"/>
      <c r="FI247" s="148"/>
      <c r="FJ247" s="148"/>
      <c r="FK247" s="148"/>
      <c r="FL247" s="148"/>
      <c r="FM247" s="148"/>
      <c r="FN247" s="148"/>
      <c r="FO247" s="148"/>
      <c r="FP247" s="148"/>
      <c r="FQ247" s="148"/>
      <c r="FR247" s="148"/>
      <c r="FS247" s="148"/>
      <c r="FT247" s="148"/>
      <c r="FU247" s="148"/>
      <c r="FV247" s="148"/>
      <c r="FW247" s="148"/>
      <c r="FX247" s="148"/>
      <c r="FY247" s="148"/>
      <c r="FZ247" s="148"/>
      <c r="GA247" s="148"/>
      <c r="GB247" s="148"/>
      <c r="GC247" s="148"/>
      <c r="GD247" s="148"/>
      <c r="GE247" s="148"/>
      <c r="GF247" s="148"/>
      <c r="GG247" s="149"/>
    </row>
    <row r="248" spans="1:189" ht="27.75" x14ac:dyDescent="0.35">
      <c r="A248" s="297" t="s">
        <v>765</v>
      </c>
      <c r="B248" s="298" t="s">
        <v>1071</v>
      </c>
      <c r="C248" s="298"/>
      <c r="D248" s="298" t="s">
        <v>1083</v>
      </c>
      <c r="E248" s="298" t="s">
        <v>748</v>
      </c>
      <c r="F248" s="298" t="s">
        <v>749</v>
      </c>
      <c r="G248" s="300">
        <v>2</v>
      </c>
      <c r="H248" s="301"/>
      <c r="I248" s="302"/>
      <c r="J248" s="302"/>
      <c r="K248" s="302"/>
      <c r="L248" s="303">
        <v>46444</v>
      </c>
      <c r="M248" s="303">
        <v>46477</v>
      </c>
      <c r="N248" s="303"/>
      <c r="O248" s="303"/>
      <c r="P248" s="303"/>
      <c r="Q248" s="304" t="s">
        <v>45</v>
      </c>
      <c r="R248" s="305">
        <v>350000</v>
      </c>
      <c r="S248" s="305">
        <v>350000</v>
      </c>
      <c r="T248" s="305"/>
      <c r="U248" s="191">
        <f t="shared" si="226"/>
        <v>0</v>
      </c>
      <c r="V248" s="306"/>
      <c r="W248" s="307"/>
      <c r="X248" s="46"/>
      <c r="Y248" s="167">
        <f t="shared" si="219"/>
        <v>350000</v>
      </c>
      <c r="Z248" s="167">
        <f t="shared" si="220"/>
        <v>0</v>
      </c>
      <c r="AA248" s="167">
        <f t="shared" si="221"/>
        <v>350000</v>
      </c>
      <c r="AB248" s="167">
        <f t="shared" si="222"/>
        <v>0</v>
      </c>
      <c r="AC248" s="167">
        <f t="shared" si="223"/>
        <v>0</v>
      </c>
      <c r="AD248" s="167">
        <f t="shared" si="224"/>
        <v>0</v>
      </c>
      <c r="AF248" s="47">
        <f t="shared" si="225"/>
        <v>1</v>
      </c>
      <c r="AG248" s="202" t="str">
        <f t="shared" si="218"/>
        <v>Magdalena Białorucka Installation marking</v>
      </c>
      <c r="AH248" s="172"/>
      <c r="AI248" s="173"/>
      <c r="AJ248" s="173"/>
      <c r="AK248" s="173"/>
      <c r="AL248" s="173"/>
      <c r="AM248" s="173"/>
      <c r="AN248" s="173"/>
      <c r="AO248" s="173"/>
      <c r="AP248" s="173"/>
      <c r="AQ248" s="173"/>
      <c r="AR248" s="173"/>
      <c r="AS248" s="173"/>
      <c r="AT248" s="173"/>
      <c r="AU248" s="173"/>
      <c r="AV248" s="173"/>
      <c r="AW248" s="173"/>
      <c r="AX248" s="173"/>
      <c r="AY248" s="173"/>
      <c r="AZ248" s="173"/>
      <c r="BA248" s="173"/>
      <c r="BB248" s="173"/>
      <c r="BC248" s="173"/>
      <c r="BD248" s="173"/>
      <c r="BE248" s="173"/>
      <c r="BF248" s="173"/>
      <c r="BG248" s="173"/>
      <c r="BH248" s="173"/>
      <c r="BI248" s="173"/>
      <c r="BJ248" s="173"/>
      <c r="BK248" s="173"/>
      <c r="BL248" s="173"/>
      <c r="BM248" s="173"/>
      <c r="BN248" s="173"/>
      <c r="BO248" s="173"/>
      <c r="BP248" s="173"/>
      <c r="BQ248" s="173"/>
      <c r="BR248" s="173"/>
      <c r="BS248" s="173"/>
      <c r="BT248" s="173"/>
      <c r="BU248" s="173"/>
      <c r="BV248" s="173"/>
      <c r="BW248" s="173"/>
      <c r="BX248" s="173"/>
      <c r="BY248" s="173"/>
      <c r="BZ248" s="173"/>
      <c r="CA248" s="173"/>
      <c r="CB248" s="173"/>
      <c r="CC248" s="173"/>
      <c r="CD248" s="173"/>
      <c r="CE248" s="173"/>
      <c r="CF248" s="173"/>
      <c r="CG248" s="173"/>
      <c r="CH248" s="173"/>
      <c r="CI248" s="173"/>
      <c r="CJ248" s="173"/>
      <c r="CK248" s="173"/>
      <c r="CL248" s="173"/>
      <c r="CM248" s="173"/>
      <c r="CN248" s="173"/>
      <c r="CO248" s="173"/>
      <c r="CP248" s="173"/>
      <c r="CQ248" s="173"/>
      <c r="CR248" s="173"/>
      <c r="CS248" s="173"/>
      <c r="CT248" s="173"/>
      <c r="CU248" s="173"/>
      <c r="CV248" s="173"/>
      <c r="CW248" s="173"/>
      <c r="CX248" s="173"/>
      <c r="CY248" s="148"/>
      <c r="CZ248" s="148"/>
      <c r="DA248" s="148"/>
      <c r="DB248" s="148"/>
      <c r="DC248" s="148"/>
      <c r="DD248" s="148"/>
      <c r="DE248" s="148"/>
      <c r="DF248" s="148"/>
      <c r="DG248" s="148"/>
      <c r="DH248" s="148"/>
      <c r="DI248" s="148"/>
      <c r="DJ248" s="148"/>
      <c r="DK248" s="148"/>
      <c r="DL248" s="148"/>
      <c r="DM248" s="148"/>
      <c r="DN248" s="148"/>
      <c r="DO248" s="148"/>
      <c r="DP248" s="148"/>
      <c r="DQ248" s="148"/>
      <c r="DR248" s="148"/>
      <c r="DS248" s="148"/>
      <c r="DT248" s="148"/>
      <c r="DU248" s="148"/>
      <c r="DV248" s="148"/>
      <c r="DW248" s="148"/>
      <c r="DX248" s="148"/>
      <c r="DY248" s="148"/>
      <c r="DZ248" s="148"/>
      <c r="EA248" s="148"/>
      <c r="EB248" s="148"/>
      <c r="EC248" s="148"/>
      <c r="ED248" s="148"/>
      <c r="EE248" s="148"/>
      <c r="EF248" s="148"/>
      <c r="EG248" s="148"/>
      <c r="EH248" s="148"/>
      <c r="EI248" s="148"/>
      <c r="EJ248" s="148"/>
      <c r="EK248" s="148"/>
      <c r="EL248" s="148"/>
      <c r="EM248" s="148"/>
      <c r="EN248" s="148"/>
      <c r="EO248" s="148"/>
      <c r="EP248" s="148"/>
      <c r="EQ248" s="148"/>
      <c r="ER248" s="148"/>
      <c r="ES248" s="148"/>
      <c r="ET248" s="148"/>
      <c r="EU248" s="148"/>
      <c r="EV248" s="148"/>
      <c r="EW248" s="148"/>
      <c r="EX248" s="148"/>
      <c r="EY248" s="148"/>
      <c r="EZ248" s="148"/>
      <c r="FA248" s="148"/>
      <c r="FB248" s="148"/>
      <c r="FC248" s="148"/>
      <c r="FD248" s="148"/>
      <c r="FE248" s="148"/>
      <c r="FF248" s="148"/>
      <c r="FG248" s="148"/>
      <c r="FH248" s="148"/>
      <c r="FI248" s="148"/>
      <c r="FJ248" s="148"/>
      <c r="FK248" s="148"/>
      <c r="FL248" s="148"/>
      <c r="FM248" s="148"/>
      <c r="FN248" s="148"/>
      <c r="FO248" s="148"/>
      <c r="FP248" s="148"/>
      <c r="FQ248" s="148"/>
      <c r="FR248" s="148"/>
      <c r="FS248" s="148"/>
      <c r="FT248" s="148"/>
      <c r="FU248" s="148"/>
      <c r="FV248" s="148"/>
      <c r="FW248" s="148"/>
      <c r="FX248" s="148"/>
      <c r="FY248" s="148"/>
      <c r="FZ248" s="148"/>
      <c r="GA248" s="148"/>
      <c r="GB248" s="148"/>
      <c r="GC248" s="148"/>
      <c r="GD248" s="148"/>
      <c r="GE248" s="148"/>
      <c r="GF248" s="148"/>
      <c r="GG248" s="149"/>
    </row>
    <row r="249" spans="1:189" s="168" customFormat="1" ht="28.5" x14ac:dyDescent="0.35">
      <c r="A249" s="266">
        <v>6</v>
      </c>
      <c r="B249" s="206"/>
      <c r="C249" s="207"/>
      <c r="D249" s="208"/>
      <c r="E249" s="207" t="s">
        <v>464</v>
      </c>
      <c r="F249" s="206" t="s">
        <v>376</v>
      </c>
      <c r="G249" s="209"/>
      <c r="H249" s="210"/>
      <c r="I249" s="206"/>
      <c r="J249" s="207"/>
      <c r="K249" s="206"/>
      <c r="L249" s="211"/>
      <c r="M249" s="211"/>
      <c r="N249" s="212"/>
      <c r="O249" s="211"/>
      <c r="P249" s="211"/>
      <c r="Q249" s="213"/>
      <c r="R249" s="214"/>
      <c r="S249" s="215"/>
      <c r="T249" s="214"/>
      <c r="U249" s="191">
        <f t="shared" si="226"/>
        <v>0</v>
      </c>
      <c r="V249" s="217"/>
      <c r="W249" s="218"/>
      <c r="X249" s="219"/>
      <c r="Y249" s="167">
        <f t="shared" si="219"/>
        <v>0</v>
      </c>
      <c r="Z249" s="167">
        <f t="shared" si="220"/>
        <v>0</v>
      </c>
      <c r="AA249" s="167">
        <f t="shared" si="221"/>
        <v>0</v>
      </c>
      <c r="AB249" s="167">
        <f t="shared" si="222"/>
        <v>0</v>
      </c>
      <c r="AC249" s="167">
        <f t="shared" si="223"/>
        <v>0</v>
      </c>
      <c r="AD249" s="167">
        <f t="shared" si="224"/>
        <v>0</v>
      </c>
      <c r="AF249" s="47">
        <f t="shared" si="225"/>
        <v>0</v>
      </c>
      <c r="AG249" s="202" t="str">
        <f t="shared" si="218"/>
        <v xml:space="preserve"> Cold and hot commissioning &amp; Trial run of technological equipment</v>
      </c>
      <c r="AH249" s="172"/>
      <c r="AI249" s="173"/>
      <c r="AJ249" s="173"/>
      <c r="AK249" s="173"/>
      <c r="AL249" s="173"/>
      <c r="AM249" s="173"/>
      <c r="AN249" s="173"/>
      <c r="AO249" s="173"/>
      <c r="AP249" s="173"/>
      <c r="AQ249" s="173"/>
      <c r="AR249" s="173"/>
      <c r="AS249" s="173"/>
      <c r="AT249" s="173"/>
      <c r="AU249" s="173"/>
      <c r="AV249" s="173"/>
      <c r="AW249" s="173"/>
      <c r="AX249" s="173"/>
      <c r="AY249" s="173"/>
      <c r="AZ249" s="173"/>
      <c r="BA249" s="173"/>
      <c r="BB249" s="173"/>
      <c r="BC249" s="173"/>
      <c r="BD249" s="173"/>
      <c r="BE249" s="173"/>
      <c r="BF249" s="173"/>
      <c r="BG249" s="173"/>
      <c r="BH249" s="173"/>
      <c r="BI249" s="173"/>
      <c r="BJ249" s="173"/>
      <c r="BK249" s="173"/>
      <c r="BL249" s="173"/>
      <c r="BM249" s="173"/>
      <c r="BN249" s="173"/>
      <c r="BO249" s="173"/>
      <c r="BP249" s="173"/>
      <c r="BQ249" s="173"/>
      <c r="BR249" s="173"/>
      <c r="BS249" s="173"/>
      <c r="BT249" s="173"/>
      <c r="BU249" s="173"/>
      <c r="BV249" s="173"/>
      <c r="BW249" s="173"/>
      <c r="BX249" s="173"/>
      <c r="BY249" s="173"/>
      <c r="BZ249" s="173"/>
      <c r="CA249" s="173"/>
      <c r="CB249" s="173"/>
      <c r="CC249" s="173"/>
      <c r="CD249" s="173"/>
      <c r="CE249" s="173"/>
      <c r="CF249" s="173"/>
      <c r="CG249" s="173"/>
      <c r="CH249" s="173"/>
      <c r="CI249" s="173"/>
      <c r="CJ249" s="173"/>
      <c r="CK249" s="173"/>
      <c r="CL249" s="173"/>
      <c r="CM249" s="173"/>
      <c r="CN249" s="173"/>
      <c r="CO249" s="173"/>
      <c r="CP249" s="173"/>
      <c r="CQ249" s="173"/>
      <c r="CR249" s="173"/>
      <c r="CS249" s="173"/>
      <c r="CT249" s="173"/>
      <c r="CU249" s="173"/>
      <c r="CV249" s="173"/>
      <c r="CW249" s="173"/>
      <c r="CX249" s="173"/>
      <c r="CY249" s="148"/>
      <c r="CZ249" s="148"/>
      <c r="DA249" s="148"/>
      <c r="DB249" s="148"/>
      <c r="DC249" s="148"/>
      <c r="DD249" s="148"/>
      <c r="DE249" s="148"/>
      <c r="DF249" s="148"/>
      <c r="DG249" s="148"/>
      <c r="DH249" s="148"/>
      <c r="DI249" s="148"/>
      <c r="DJ249" s="148"/>
      <c r="DK249" s="148"/>
      <c r="DL249" s="148"/>
      <c r="DM249" s="148"/>
      <c r="DN249" s="148"/>
      <c r="DO249" s="148"/>
      <c r="DP249" s="148"/>
      <c r="DQ249" s="148"/>
      <c r="DR249" s="148"/>
      <c r="DS249" s="148"/>
      <c r="DT249" s="148"/>
      <c r="DU249" s="148"/>
      <c r="DV249" s="148"/>
      <c r="DW249" s="148"/>
      <c r="DX249" s="148"/>
      <c r="DY249" s="148"/>
      <c r="DZ249" s="148"/>
      <c r="EA249" s="148"/>
      <c r="EB249" s="148"/>
      <c r="EC249" s="148"/>
      <c r="ED249" s="148"/>
      <c r="EE249" s="148"/>
      <c r="EF249" s="148"/>
      <c r="EG249" s="148"/>
      <c r="EH249" s="148"/>
      <c r="EI249" s="148"/>
      <c r="EJ249" s="148"/>
      <c r="EK249" s="148"/>
      <c r="EL249" s="148"/>
      <c r="EM249" s="148"/>
      <c r="EN249" s="148"/>
      <c r="EO249" s="148"/>
      <c r="EP249" s="148"/>
      <c r="EQ249" s="148"/>
      <c r="ER249" s="148"/>
      <c r="ES249" s="173"/>
      <c r="ET249" s="173"/>
      <c r="EU249" s="173"/>
      <c r="EV249" s="173"/>
      <c r="EW249" s="173"/>
      <c r="EX249" s="173"/>
      <c r="EY249" s="173"/>
      <c r="EZ249" s="173"/>
      <c r="FA249" s="173"/>
      <c r="FB249" s="173"/>
      <c r="FC249" s="173"/>
      <c r="FD249" s="173"/>
      <c r="FE249" s="173"/>
      <c r="FF249" s="173"/>
      <c r="FG249" s="173"/>
      <c r="FH249" s="173"/>
      <c r="FI249" s="173"/>
      <c r="FJ249" s="173"/>
      <c r="FK249" s="173"/>
      <c r="FL249" s="173"/>
      <c r="FM249" s="173"/>
      <c r="FN249" s="173"/>
      <c r="FO249" s="173"/>
      <c r="FP249" s="173"/>
      <c r="FQ249" s="173"/>
      <c r="FR249" s="173"/>
      <c r="FS249" s="173"/>
      <c r="FT249" s="173"/>
      <c r="FU249" s="173"/>
      <c r="FV249" s="173"/>
      <c r="FW249" s="173"/>
      <c r="FX249" s="173"/>
      <c r="FY249" s="173"/>
      <c r="FZ249" s="173"/>
      <c r="GA249" s="173"/>
      <c r="GB249" s="173"/>
      <c r="GC249" s="173"/>
      <c r="GD249" s="173"/>
      <c r="GE249" s="173"/>
      <c r="GF249" s="173"/>
      <c r="GG249" s="174"/>
    </row>
    <row r="250" spans="1:189" ht="27.75" x14ac:dyDescent="0.35">
      <c r="A250" s="237" t="s">
        <v>485</v>
      </c>
      <c r="B250" s="236"/>
      <c r="C250" s="236"/>
      <c r="D250" s="237"/>
      <c r="E250" s="236" t="s">
        <v>400</v>
      </c>
      <c r="F250" s="236" t="s">
        <v>401</v>
      </c>
      <c r="G250" s="238">
        <v>2</v>
      </c>
      <c r="H250" s="239"/>
      <c r="I250" s="240"/>
      <c r="J250" s="240"/>
      <c r="K250" s="240"/>
      <c r="L250" s="241"/>
      <c r="M250" s="241"/>
      <c r="N250" s="241"/>
      <c r="O250" s="241"/>
      <c r="P250" s="241"/>
      <c r="Q250" s="242"/>
      <c r="R250" s="243"/>
      <c r="S250" s="243"/>
      <c r="T250" s="243"/>
      <c r="U250" s="191">
        <f t="shared" si="226"/>
        <v>0</v>
      </c>
      <c r="V250" s="244"/>
      <c r="W250" s="245"/>
      <c r="X250" s="46"/>
      <c r="Y250" s="167">
        <f t="shared" si="219"/>
        <v>0</v>
      </c>
      <c r="Z250" s="167">
        <f t="shared" si="220"/>
        <v>0</v>
      </c>
      <c r="AA250" s="167">
        <f t="shared" si="221"/>
        <v>0</v>
      </c>
      <c r="AB250" s="167">
        <f t="shared" si="222"/>
        <v>0</v>
      </c>
      <c r="AC250" s="167">
        <f t="shared" si="223"/>
        <v>0</v>
      </c>
      <c r="AD250" s="167">
        <f t="shared" si="224"/>
        <v>0</v>
      </c>
      <c r="AF250" s="180">
        <f t="shared" si="225"/>
        <v>0</v>
      </c>
      <c r="AG250" s="202" t="str">
        <f t="shared" si="218"/>
        <v xml:space="preserve"> Cold &amp; Hot Commissioning + Trial Run - Staff</v>
      </c>
      <c r="AH250" s="172"/>
      <c r="AI250" s="173"/>
      <c r="AJ250" s="173"/>
      <c r="AK250" s="173"/>
      <c r="AL250" s="173"/>
      <c r="AM250" s="173"/>
      <c r="AN250" s="173"/>
      <c r="AO250" s="173"/>
      <c r="AP250" s="173"/>
      <c r="AQ250" s="173"/>
      <c r="AR250" s="173"/>
      <c r="AS250" s="173"/>
      <c r="AT250" s="173"/>
      <c r="AU250" s="173"/>
      <c r="AV250" s="173"/>
      <c r="AW250" s="173"/>
      <c r="AX250" s="173"/>
      <c r="AY250" s="173"/>
      <c r="AZ250" s="173"/>
      <c r="BA250" s="173"/>
      <c r="BB250" s="173"/>
      <c r="BC250" s="173"/>
      <c r="BD250" s="173"/>
      <c r="BE250" s="173"/>
      <c r="BF250" s="173"/>
      <c r="BG250" s="173"/>
      <c r="BH250" s="173"/>
      <c r="BI250" s="173"/>
      <c r="BJ250" s="173"/>
      <c r="BK250" s="173"/>
      <c r="BL250" s="173"/>
      <c r="BM250" s="173"/>
      <c r="BN250" s="173"/>
      <c r="BO250" s="173"/>
      <c r="BP250" s="173"/>
      <c r="BQ250" s="173"/>
      <c r="BR250" s="173"/>
      <c r="BS250" s="173"/>
      <c r="BT250" s="173"/>
      <c r="BU250" s="173"/>
      <c r="BV250" s="173"/>
      <c r="BW250" s="173"/>
      <c r="BX250" s="173"/>
      <c r="BY250" s="173"/>
      <c r="BZ250" s="173"/>
      <c r="CA250" s="173"/>
      <c r="CB250" s="173"/>
      <c r="CC250" s="173"/>
      <c r="CD250" s="173"/>
      <c r="CE250" s="173"/>
      <c r="CF250" s="173"/>
      <c r="CG250" s="173"/>
      <c r="CH250" s="173"/>
      <c r="CI250" s="173"/>
      <c r="CJ250" s="173"/>
      <c r="CK250" s="173"/>
      <c r="CL250" s="173"/>
      <c r="CM250" s="173"/>
      <c r="CN250" s="173"/>
      <c r="CO250" s="173"/>
      <c r="CP250" s="173"/>
      <c r="CQ250" s="173"/>
      <c r="CR250" s="173"/>
      <c r="CS250" s="173"/>
      <c r="CT250" s="173"/>
      <c r="CU250" s="173"/>
      <c r="CV250" s="173"/>
      <c r="CW250" s="173"/>
      <c r="CX250" s="173"/>
      <c r="CY250" s="148"/>
      <c r="CZ250" s="148"/>
      <c r="DA250" s="148"/>
      <c r="DB250" s="148"/>
      <c r="DC250" s="148"/>
      <c r="DD250" s="148"/>
      <c r="DE250" s="148"/>
      <c r="DF250" s="148"/>
      <c r="DG250" s="148"/>
      <c r="DH250" s="148"/>
      <c r="DI250" s="148"/>
      <c r="DJ250" s="148"/>
      <c r="DK250" s="148"/>
      <c r="DL250" s="148"/>
      <c r="DM250" s="148"/>
      <c r="DN250" s="148"/>
      <c r="DO250" s="148"/>
      <c r="DP250" s="148"/>
      <c r="DQ250" s="148"/>
      <c r="DR250" s="148"/>
      <c r="DS250" s="148"/>
      <c r="DT250" s="148"/>
      <c r="DU250" s="148"/>
      <c r="DV250" s="148"/>
      <c r="DW250" s="148"/>
      <c r="DX250" s="148"/>
      <c r="DY250" s="148"/>
      <c r="DZ250" s="148"/>
      <c r="EA250" s="148"/>
      <c r="EB250" s="148"/>
      <c r="EC250" s="148"/>
      <c r="ED250" s="148"/>
      <c r="EE250" s="148"/>
      <c r="EF250" s="148"/>
      <c r="EG250" s="148"/>
      <c r="EH250" s="148"/>
      <c r="EI250" s="148"/>
      <c r="EJ250" s="148"/>
      <c r="EK250" s="148"/>
      <c r="EL250" s="148"/>
      <c r="EM250" s="148"/>
      <c r="EN250" s="148"/>
      <c r="EO250" s="148"/>
      <c r="EP250" s="148"/>
      <c r="EQ250" s="148"/>
      <c r="ER250" s="148"/>
      <c r="ES250" s="151"/>
      <c r="ET250" s="151"/>
      <c r="EU250" s="151"/>
      <c r="EV250" s="151"/>
      <c r="EW250" s="151"/>
      <c r="EX250" s="151"/>
      <c r="EY250" s="151"/>
      <c r="EZ250" s="151"/>
      <c r="FA250" s="151"/>
      <c r="FB250" s="151"/>
      <c r="FC250" s="151"/>
      <c r="FD250" s="151"/>
      <c r="FE250" s="151"/>
      <c r="FF250" s="151"/>
      <c r="FG250" s="151"/>
      <c r="FH250" s="151"/>
      <c r="FI250" s="151"/>
      <c r="FJ250" s="151"/>
      <c r="FK250" s="151"/>
      <c r="FL250" s="151"/>
      <c r="FM250" s="151"/>
      <c r="FN250" s="151"/>
      <c r="FO250" s="151"/>
      <c r="FP250" s="151"/>
      <c r="FQ250" s="151"/>
      <c r="FR250" s="151"/>
      <c r="FS250" s="151"/>
      <c r="FT250" s="151"/>
      <c r="FU250" s="151"/>
      <c r="FV250" s="151"/>
      <c r="FW250" s="151"/>
      <c r="FX250" s="151"/>
      <c r="FY250" s="151"/>
      <c r="FZ250" s="151"/>
      <c r="GA250" s="151"/>
      <c r="GB250" s="151"/>
      <c r="GC250" s="151"/>
      <c r="GD250" s="151"/>
      <c r="GE250" s="151"/>
      <c r="GF250" s="151"/>
      <c r="GG250" s="152"/>
    </row>
    <row r="251" spans="1:189" x14ac:dyDescent="0.35">
      <c r="A251" s="222" t="s">
        <v>486</v>
      </c>
      <c r="B251" s="221" t="s">
        <v>1051</v>
      </c>
      <c r="C251" s="221"/>
      <c r="D251" s="222"/>
      <c r="E251" s="221" t="s">
        <v>477</v>
      </c>
      <c r="F251" s="221" t="s">
        <v>481</v>
      </c>
      <c r="G251" s="223">
        <v>2</v>
      </c>
      <c r="H251" s="224"/>
      <c r="I251" s="225"/>
      <c r="J251" s="225"/>
      <c r="K251" s="225"/>
      <c r="L251" s="226">
        <v>46444</v>
      </c>
      <c r="M251" s="226">
        <v>46507</v>
      </c>
      <c r="N251" s="226"/>
      <c r="O251" s="226">
        <v>46753</v>
      </c>
      <c r="P251" s="226">
        <v>46934</v>
      </c>
      <c r="Q251" s="227" t="s">
        <v>45</v>
      </c>
      <c r="R251" s="228">
        <v>5000000</v>
      </c>
      <c r="S251" s="228">
        <v>5000000</v>
      </c>
      <c r="T251" s="228"/>
      <c r="U251" s="191">
        <f t="shared" si="226"/>
        <v>0</v>
      </c>
      <c r="V251" s="230"/>
      <c r="W251" s="232"/>
      <c r="X251" s="46"/>
      <c r="Y251" s="167">
        <f t="shared" si="219"/>
        <v>5000000</v>
      </c>
      <c r="Z251" s="167">
        <f t="shared" si="220"/>
        <v>0</v>
      </c>
      <c r="AA251" s="167">
        <f t="shared" si="221"/>
        <v>5000000</v>
      </c>
      <c r="AB251" s="167">
        <f t="shared" si="222"/>
        <v>0</v>
      </c>
      <c r="AC251" s="167">
        <f t="shared" si="223"/>
        <v>0</v>
      </c>
      <c r="AD251" s="167">
        <f t="shared" si="224"/>
        <v>0</v>
      </c>
      <c r="AF251" s="47">
        <f t="shared" si="225"/>
        <v>1</v>
      </c>
      <c r="AG251" s="202" t="str">
        <f t="shared" si="218"/>
        <v>Roger Gołombek Start-up personnel</v>
      </c>
      <c r="AH251" s="172"/>
      <c r="AI251" s="173"/>
      <c r="AJ251" s="173"/>
      <c r="AK251" s="173"/>
      <c r="AL251" s="173"/>
      <c r="AM251" s="173"/>
      <c r="AN251" s="173"/>
      <c r="AO251" s="173"/>
      <c r="AP251" s="173"/>
      <c r="AQ251" s="173"/>
      <c r="AR251" s="173"/>
      <c r="AS251" s="173"/>
      <c r="AT251" s="173"/>
      <c r="AU251" s="173"/>
      <c r="AV251" s="173"/>
      <c r="AW251" s="173"/>
      <c r="AX251" s="173"/>
      <c r="AY251" s="173"/>
      <c r="AZ251" s="173"/>
      <c r="BA251" s="173"/>
      <c r="BB251" s="173"/>
      <c r="BC251" s="173"/>
      <c r="BD251" s="173"/>
      <c r="BE251" s="173"/>
      <c r="BF251" s="173"/>
      <c r="BG251" s="173"/>
      <c r="BH251" s="173"/>
      <c r="BI251" s="173"/>
      <c r="BJ251" s="173"/>
      <c r="BK251" s="173"/>
      <c r="BL251" s="173"/>
      <c r="BM251" s="173"/>
      <c r="BN251" s="173"/>
      <c r="BO251" s="173"/>
      <c r="BP251" s="173"/>
      <c r="BQ251" s="173"/>
      <c r="BR251" s="173"/>
      <c r="BS251" s="173"/>
      <c r="BT251" s="173"/>
      <c r="BU251" s="173"/>
      <c r="BV251" s="173"/>
      <c r="BW251" s="173"/>
      <c r="BX251" s="173"/>
      <c r="BY251" s="173"/>
      <c r="BZ251" s="173"/>
      <c r="CA251" s="173"/>
      <c r="CB251" s="173"/>
      <c r="CC251" s="173"/>
      <c r="CD251" s="173"/>
      <c r="CE251" s="173"/>
      <c r="CF251" s="173"/>
      <c r="CG251" s="173"/>
      <c r="CH251" s="173"/>
      <c r="CI251" s="173"/>
      <c r="CJ251" s="173"/>
      <c r="CK251" s="173"/>
      <c r="CL251" s="173"/>
      <c r="CM251" s="173"/>
      <c r="CN251" s="173"/>
      <c r="CO251" s="173"/>
      <c r="CP251" s="173"/>
      <c r="CQ251" s="173"/>
      <c r="CR251" s="173"/>
      <c r="CS251" s="173"/>
      <c r="CT251" s="173"/>
      <c r="CU251" s="173"/>
      <c r="CV251" s="173"/>
      <c r="CW251" s="173"/>
      <c r="CX251" s="173"/>
      <c r="CY251" s="148"/>
      <c r="CZ251" s="148"/>
      <c r="DA251" s="148"/>
      <c r="DB251" s="148"/>
      <c r="DC251" s="148"/>
      <c r="DD251" s="148"/>
      <c r="DE251" s="148"/>
      <c r="DF251" s="148"/>
      <c r="DG251" s="148"/>
      <c r="DH251" s="148"/>
      <c r="DI251" s="148"/>
      <c r="DJ251" s="148"/>
      <c r="DK251" s="148"/>
      <c r="DL251" s="148"/>
      <c r="DM251" s="148"/>
      <c r="DN251" s="148"/>
      <c r="DO251" s="148"/>
      <c r="DP251" s="148"/>
      <c r="DQ251" s="148"/>
      <c r="DR251" s="148"/>
      <c r="DS251" s="148"/>
      <c r="DT251" s="148"/>
      <c r="DU251" s="148"/>
      <c r="DV251" s="148"/>
      <c r="DW251" s="148"/>
      <c r="DX251" s="148"/>
      <c r="DY251" s="148"/>
      <c r="DZ251" s="148"/>
      <c r="EA251" s="148"/>
      <c r="EB251" s="148"/>
      <c r="EC251" s="148"/>
      <c r="ED251" s="148"/>
      <c r="EE251" s="148"/>
      <c r="EF251" s="148"/>
      <c r="EG251" s="148"/>
      <c r="EH251" s="148"/>
      <c r="EI251" s="148"/>
      <c r="EJ251" s="148"/>
      <c r="EK251" s="148"/>
      <c r="EL251" s="148"/>
      <c r="EM251" s="148"/>
      <c r="EN251" s="148"/>
      <c r="EO251" s="148"/>
      <c r="EP251" s="148"/>
      <c r="EQ251" s="148"/>
      <c r="ER251" s="148"/>
      <c r="ES251" s="151"/>
      <c r="ET251" s="151"/>
      <c r="EU251" s="151"/>
      <c r="EV251" s="151"/>
      <c r="EW251" s="151"/>
      <c r="EX251" s="151"/>
      <c r="EY251" s="151"/>
      <c r="EZ251" s="151"/>
      <c r="FA251" s="151"/>
      <c r="FB251" s="151"/>
      <c r="FC251" s="151"/>
      <c r="FD251" s="151"/>
      <c r="FE251" s="151"/>
      <c r="FF251" s="151"/>
      <c r="FG251" s="151"/>
      <c r="FH251" s="151"/>
      <c r="FI251" s="151"/>
      <c r="FJ251" s="151"/>
      <c r="FK251" s="151"/>
      <c r="FL251" s="151"/>
      <c r="FM251" s="151"/>
      <c r="FN251" s="151"/>
      <c r="FO251" s="151"/>
      <c r="FP251" s="151"/>
      <c r="FQ251" s="151"/>
      <c r="FR251" s="151"/>
      <c r="FS251" s="151"/>
      <c r="FT251" s="151"/>
      <c r="FU251" s="151"/>
      <c r="FV251" s="151"/>
      <c r="FW251" s="151"/>
      <c r="FX251" s="151"/>
      <c r="FY251" s="151"/>
      <c r="FZ251" s="151"/>
      <c r="GA251" s="151"/>
      <c r="GB251" s="151"/>
      <c r="GC251" s="151"/>
      <c r="GD251" s="151"/>
      <c r="GE251" s="151"/>
      <c r="GF251" s="151"/>
      <c r="GG251" s="152"/>
    </row>
    <row r="252" spans="1:189" x14ac:dyDescent="0.35">
      <c r="A252" s="222" t="s">
        <v>487</v>
      </c>
      <c r="B252" s="221" t="s">
        <v>1051</v>
      </c>
      <c r="C252" s="221"/>
      <c r="D252" s="222"/>
      <c r="E252" s="221" t="s">
        <v>478</v>
      </c>
      <c r="F252" s="221" t="s">
        <v>482</v>
      </c>
      <c r="G252" s="223">
        <v>2</v>
      </c>
      <c r="H252" s="224"/>
      <c r="I252" s="225"/>
      <c r="J252" s="225"/>
      <c r="K252" s="225"/>
      <c r="L252" s="226">
        <v>46444</v>
      </c>
      <c r="M252" s="226">
        <v>46507</v>
      </c>
      <c r="N252" s="226"/>
      <c r="O252" s="226">
        <v>46753</v>
      </c>
      <c r="P252" s="226">
        <v>46934</v>
      </c>
      <c r="Q252" s="227" t="s">
        <v>45</v>
      </c>
      <c r="R252" s="228">
        <v>200000</v>
      </c>
      <c r="S252" s="228">
        <v>200000</v>
      </c>
      <c r="T252" s="228"/>
      <c r="U252" s="191">
        <f t="shared" si="226"/>
        <v>0</v>
      </c>
      <c r="V252" s="230"/>
      <c r="W252" s="232"/>
      <c r="X252" s="46"/>
      <c r="Y252" s="167">
        <f t="shared" si="219"/>
        <v>200000</v>
      </c>
      <c r="Z252" s="167">
        <f t="shared" si="220"/>
        <v>0</v>
      </c>
      <c r="AA252" s="167">
        <f t="shared" si="221"/>
        <v>200000</v>
      </c>
      <c r="AB252" s="167">
        <f t="shared" si="222"/>
        <v>0</v>
      </c>
      <c r="AC252" s="167">
        <f t="shared" si="223"/>
        <v>0</v>
      </c>
      <c r="AD252" s="167">
        <f t="shared" si="224"/>
        <v>0</v>
      </c>
      <c r="AF252" s="180">
        <f t="shared" si="225"/>
        <v>1</v>
      </c>
      <c r="AG252" s="202" t="str">
        <f t="shared" si="218"/>
        <v>Roger Gołombek Boiler boiling</v>
      </c>
      <c r="AH252" s="172"/>
      <c r="AI252" s="173"/>
      <c r="AJ252" s="173"/>
      <c r="AK252" s="173"/>
      <c r="AL252" s="173"/>
      <c r="AM252" s="173"/>
      <c r="AN252" s="173"/>
      <c r="AO252" s="173"/>
      <c r="AP252" s="173"/>
      <c r="AQ252" s="173"/>
      <c r="AR252" s="173"/>
      <c r="AS252" s="173"/>
      <c r="AT252" s="173"/>
      <c r="AU252" s="173"/>
      <c r="AV252" s="173"/>
      <c r="AW252" s="173"/>
      <c r="AX252" s="173"/>
      <c r="AY252" s="173"/>
      <c r="AZ252" s="173"/>
      <c r="BA252" s="173"/>
      <c r="BB252" s="173"/>
      <c r="BC252" s="173"/>
      <c r="BD252" s="173"/>
      <c r="BE252" s="173"/>
      <c r="BF252" s="173"/>
      <c r="BG252" s="173"/>
      <c r="BH252" s="173"/>
      <c r="BI252" s="173"/>
      <c r="BJ252" s="173"/>
      <c r="BK252" s="173"/>
      <c r="BL252" s="173"/>
      <c r="BM252" s="173"/>
      <c r="BN252" s="173"/>
      <c r="BO252" s="173"/>
      <c r="BP252" s="173"/>
      <c r="BQ252" s="173"/>
      <c r="BR252" s="173"/>
      <c r="BS252" s="173"/>
      <c r="BT252" s="173"/>
      <c r="BU252" s="173"/>
      <c r="BV252" s="173"/>
      <c r="BW252" s="173"/>
      <c r="BX252" s="173"/>
      <c r="BY252" s="173"/>
      <c r="BZ252" s="173"/>
      <c r="CA252" s="173"/>
      <c r="CB252" s="173"/>
      <c r="CC252" s="173"/>
      <c r="CD252" s="173"/>
      <c r="CE252" s="173"/>
      <c r="CF252" s="173"/>
      <c r="CG252" s="173"/>
      <c r="CH252" s="173"/>
      <c r="CI252" s="173"/>
      <c r="CJ252" s="173"/>
      <c r="CK252" s="173"/>
      <c r="CL252" s="173"/>
      <c r="CM252" s="173"/>
      <c r="CN252" s="173"/>
      <c r="CO252" s="173"/>
      <c r="CP252" s="173"/>
      <c r="CQ252" s="173"/>
      <c r="CR252" s="173"/>
      <c r="CS252" s="173"/>
      <c r="CT252" s="173"/>
      <c r="CU252" s="173"/>
      <c r="CV252" s="173"/>
      <c r="CW252" s="173"/>
      <c r="CX252" s="173"/>
      <c r="CY252" s="148"/>
      <c r="CZ252" s="148"/>
      <c r="DA252" s="148"/>
      <c r="DB252" s="148"/>
      <c r="DC252" s="148"/>
      <c r="DD252" s="148"/>
      <c r="DE252" s="148"/>
      <c r="DF252" s="148"/>
      <c r="DG252" s="148"/>
      <c r="DH252" s="148"/>
      <c r="DI252" s="148"/>
      <c r="DJ252" s="148"/>
      <c r="DK252" s="148"/>
      <c r="DL252" s="148"/>
      <c r="DM252" s="148"/>
      <c r="DN252" s="148"/>
      <c r="DO252" s="148"/>
      <c r="DP252" s="148"/>
      <c r="DQ252" s="148"/>
      <c r="DR252" s="148"/>
      <c r="DS252" s="148"/>
      <c r="DT252" s="148"/>
      <c r="DU252" s="148"/>
      <c r="DV252" s="148"/>
      <c r="DW252" s="148"/>
      <c r="DX252" s="148"/>
      <c r="DY252" s="148"/>
      <c r="DZ252" s="148"/>
      <c r="EA252" s="148"/>
      <c r="EB252" s="148"/>
      <c r="EC252" s="148"/>
      <c r="ED252" s="148"/>
      <c r="EE252" s="148"/>
      <c r="EF252" s="148"/>
      <c r="EG252" s="148"/>
      <c r="EH252" s="148"/>
      <c r="EI252" s="148"/>
      <c r="EJ252" s="148"/>
      <c r="EK252" s="148"/>
      <c r="EL252" s="148"/>
      <c r="EM252" s="148"/>
      <c r="EN252" s="148"/>
      <c r="EO252" s="148"/>
      <c r="EP252" s="148"/>
      <c r="EQ252" s="148"/>
      <c r="ER252" s="148"/>
      <c r="ES252" s="151"/>
      <c r="ET252" s="151"/>
      <c r="EU252" s="151"/>
      <c r="EV252" s="151"/>
      <c r="EW252" s="151"/>
      <c r="EX252" s="151"/>
      <c r="EY252" s="151"/>
      <c r="EZ252" s="151"/>
      <c r="FA252" s="151"/>
      <c r="FB252" s="151"/>
      <c r="FC252" s="151"/>
      <c r="FD252" s="151"/>
      <c r="FE252" s="151"/>
      <c r="FF252" s="151"/>
      <c r="FG252" s="151"/>
      <c r="FH252" s="151"/>
      <c r="FI252" s="151"/>
      <c r="FJ252" s="151"/>
      <c r="FK252" s="151"/>
      <c r="FL252" s="151"/>
      <c r="FM252" s="151"/>
      <c r="FN252" s="151"/>
      <c r="FO252" s="151"/>
      <c r="FP252" s="151"/>
      <c r="FQ252" s="151"/>
      <c r="FR252" s="151"/>
      <c r="FS252" s="151"/>
      <c r="FT252" s="151"/>
      <c r="FU252" s="151"/>
      <c r="FV252" s="151"/>
      <c r="FW252" s="151"/>
      <c r="FX252" s="151"/>
      <c r="FY252" s="151"/>
      <c r="FZ252" s="151"/>
      <c r="GA252" s="151"/>
      <c r="GB252" s="151"/>
      <c r="GC252" s="151"/>
      <c r="GD252" s="151"/>
      <c r="GE252" s="151"/>
      <c r="GF252" s="151"/>
      <c r="GG252" s="152"/>
    </row>
    <row r="253" spans="1:189" x14ac:dyDescent="0.35">
      <c r="A253" s="222" t="s">
        <v>488</v>
      </c>
      <c r="B253" s="221" t="s">
        <v>1051</v>
      </c>
      <c r="C253" s="221"/>
      <c r="D253" s="222"/>
      <c r="E253" s="221" t="s">
        <v>479</v>
      </c>
      <c r="F253" s="221" t="s">
        <v>483</v>
      </c>
      <c r="G253" s="223">
        <v>2</v>
      </c>
      <c r="H253" s="224"/>
      <c r="I253" s="225"/>
      <c r="J253" s="225"/>
      <c r="K253" s="225"/>
      <c r="L253" s="226">
        <v>46444</v>
      </c>
      <c r="M253" s="226">
        <v>46507</v>
      </c>
      <c r="N253" s="226"/>
      <c r="O253" s="226">
        <v>46753</v>
      </c>
      <c r="P253" s="226">
        <v>46934</v>
      </c>
      <c r="Q253" s="227" t="s">
        <v>45</v>
      </c>
      <c r="R253" s="228">
        <v>550000</v>
      </c>
      <c r="S253" s="228">
        <v>550000</v>
      </c>
      <c r="T253" s="228"/>
      <c r="U253" s="191">
        <f t="shared" si="226"/>
        <v>0</v>
      </c>
      <c r="V253" s="230"/>
      <c r="W253" s="232"/>
      <c r="X253" s="46"/>
      <c r="Y253" s="167">
        <f t="shared" si="219"/>
        <v>550000</v>
      </c>
      <c r="Z253" s="167">
        <f t="shared" si="220"/>
        <v>0</v>
      </c>
      <c r="AA253" s="167">
        <f t="shared" si="221"/>
        <v>550000</v>
      </c>
      <c r="AB253" s="167">
        <f t="shared" si="222"/>
        <v>0</v>
      </c>
      <c r="AC253" s="167">
        <f t="shared" si="223"/>
        <v>0</v>
      </c>
      <c r="AD253" s="167">
        <f t="shared" si="224"/>
        <v>0</v>
      </c>
      <c r="AF253" s="47">
        <f t="shared" si="225"/>
        <v>1</v>
      </c>
      <c r="AG253" s="202" t="str">
        <f t="shared" si="218"/>
        <v>Roger Gołombek Steam blowing</v>
      </c>
      <c r="AH253" s="172"/>
      <c r="AI253" s="173"/>
      <c r="AJ253" s="173"/>
      <c r="AK253" s="173"/>
      <c r="AL253" s="173"/>
      <c r="AM253" s="173"/>
      <c r="AN253" s="173"/>
      <c r="AO253" s="173"/>
      <c r="AP253" s="173"/>
      <c r="AQ253" s="173"/>
      <c r="AR253" s="173"/>
      <c r="AS253" s="173"/>
      <c r="AT253" s="173"/>
      <c r="AU253" s="173"/>
      <c r="AV253" s="173"/>
      <c r="AW253" s="173"/>
      <c r="AX253" s="173"/>
      <c r="AY253" s="173"/>
      <c r="AZ253" s="173"/>
      <c r="BA253" s="173"/>
      <c r="BB253" s="173"/>
      <c r="BC253" s="173"/>
      <c r="BD253" s="173"/>
      <c r="BE253" s="173"/>
      <c r="BF253" s="173"/>
      <c r="BG253" s="173"/>
      <c r="BH253" s="173"/>
      <c r="BI253" s="173"/>
      <c r="BJ253" s="173"/>
      <c r="BK253" s="173"/>
      <c r="BL253" s="173"/>
      <c r="BM253" s="173"/>
      <c r="BN253" s="173"/>
      <c r="BO253" s="173"/>
      <c r="BP253" s="173"/>
      <c r="BQ253" s="173"/>
      <c r="BR253" s="173"/>
      <c r="BS253" s="173"/>
      <c r="BT253" s="173"/>
      <c r="BU253" s="173"/>
      <c r="BV253" s="173"/>
      <c r="BW253" s="173"/>
      <c r="BX253" s="173"/>
      <c r="BY253" s="173"/>
      <c r="BZ253" s="173"/>
      <c r="CA253" s="173"/>
      <c r="CB253" s="173"/>
      <c r="CC253" s="173"/>
      <c r="CD253" s="173"/>
      <c r="CE253" s="173"/>
      <c r="CF253" s="173"/>
      <c r="CG253" s="173"/>
      <c r="CH253" s="173"/>
      <c r="CI253" s="173"/>
      <c r="CJ253" s="173"/>
      <c r="CK253" s="173"/>
      <c r="CL253" s="173"/>
      <c r="CM253" s="173"/>
      <c r="CN253" s="173"/>
      <c r="CO253" s="173"/>
      <c r="CP253" s="173"/>
      <c r="CQ253" s="173"/>
      <c r="CR253" s="173"/>
      <c r="CS253" s="173"/>
      <c r="CT253" s="173"/>
      <c r="CU253" s="173"/>
      <c r="CV253" s="173"/>
      <c r="CW253" s="173"/>
      <c r="CX253" s="173"/>
      <c r="CY253" s="148"/>
      <c r="CZ253" s="148"/>
      <c r="DA253" s="148"/>
      <c r="DB253" s="148"/>
      <c r="DC253" s="148"/>
      <c r="DD253" s="148"/>
      <c r="DE253" s="148"/>
      <c r="DF253" s="148"/>
      <c r="DG253" s="148"/>
      <c r="DH253" s="148"/>
      <c r="DI253" s="148"/>
      <c r="DJ253" s="148"/>
      <c r="DK253" s="148"/>
      <c r="DL253" s="148"/>
      <c r="DM253" s="148"/>
      <c r="DN253" s="148"/>
      <c r="DO253" s="148"/>
      <c r="DP253" s="148"/>
      <c r="DQ253" s="148"/>
      <c r="DR253" s="148"/>
      <c r="DS253" s="148"/>
      <c r="DT253" s="148"/>
      <c r="DU253" s="148"/>
      <c r="DV253" s="148"/>
      <c r="DW253" s="148"/>
      <c r="DX253" s="148"/>
      <c r="DY253" s="148"/>
      <c r="DZ253" s="148"/>
      <c r="EA253" s="148"/>
      <c r="EB253" s="148"/>
      <c r="EC253" s="148"/>
      <c r="ED253" s="148"/>
      <c r="EE253" s="148"/>
      <c r="EF253" s="148"/>
      <c r="EG253" s="148"/>
      <c r="EH253" s="148"/>
      <c r="EI253" s="148"/>
      <c r="EJ253" s="148"/>
      <c r="EK253" s="148"/>
      <c r="EL253" s="148"/>
      <c r="EM253" s="148"/>
      <c r="EN253" s="148"/>
      <c r="EO253" s="148"/>
      <c r="EP253" s="148"/>
      <c r="EQ253" s="148"/>
      <c r="ER253" s="148"/>
      <c r="ES253" s="151"/>
      <c r="ET253" s="151"/>
      <c r="EU253" s="151"/>
      <c r="EV253" s="151"/>
      <c r="EW253" s="151"/>
      <c r="EX253" s="151"/>
      <c r="EY253" s="151"/>
      <c r="EZ253" s="151"/>
      <c r="FA253" s="151"/>
      <c r="FB253" s="151"/>
      <c r="FC253" s="151"/>
      <c r="FD253" s="151"/>
      <c r="FE253" s="151"/>
      <c r="FF253" s="151"/>
      <c r="FG253" s="151"/>
      <c r="FH253" s="151"/>
      <c r="FI253" s="151"/>
      <c r="FJ253" s="151"/>
      <c r="FK253" s="151"/>
      <c r="FL253" s="151"/>
      <c r="FM253" s="151"/>
      <c r="FN253" s="151"/>
      <c r="FO253" s="151"/>
      <c r="FP253" s="151"/>
      <c r="FQ253" s="151"/>
      <c r="FR253" s="151"/>
      <c r="FS253" s="151"/>
      <c r="FT253" s="151"/>
      <c r="FU253" s="151"/>
      <c r="FV253" s="151"/>
      <c r="FW253" s="151"/>
      <c r="FX253" s="151"/>
      <c r="FY253" s="151"/>
      <c r="FZ253" s="151"/>
      <c r="GA253" s="151"/>
      <c r="GB253" s="151"/>
      <c r="GC253" s="151"/>
      <c r="GD253" s="151"/>
      <c r="GE253" s="151"/>
      <c r="GF253" s="151"/>
      <c r="GG253" s="152"/>
    </row>
    <row r="254" spans="1:189" x14ac:dyDescent="0.35">
      <c r="A254" s="222" t="s">
        <v>489</v>
      </c>
      <c r="B254" s="221" t="s">
        <v>1051</v>
      </c>
      <c r="C254" s="221"/>
      <c r="D254" s="222"/>
      <c r="E254" s="221" t="s">
        <v>480</v>
      </c>
      <c r="F254" s="221" t="s">
        <v>484</v>
      </c>
      <c r="G254" s="223">
        <v>2</v>
      </c>
      <c r="H254" s="224"/>
      <c r="I254" s="225"/>
      <c r="J254" s="225"/>
      <c r="K254" s="225"/>
      <c r="L254" s="226">
        <v>46444</v>
      </c>
      <c r="M254" s="226">
        <v>46507</v>
      </c>
      <c r="N254" s="226"/>
      <c r="O254" s="226">
        <v>46753</v>
      </c>
      <c r="P254" s="226">
        <v>46934</v>
      </c>
      <c r="Q254" s="227" t="s">
        <v>45</v>
      </c>
      <c r="R254" s="228">
        <v>50000</v>
      </c>
      <c r="S254" s="228">
        <v>50000</v>
      </c>
      <c r="T254" s="228"/>
      <c r="U254" s="191">
        <f t="shared" si="226"/>
        <v>0</v>
      </c>
      <c r="V254" s="230"/>
      <c r="W254" s="232"/>
      <c r="X254" s="46"/>
      <c r="Y254" s="167">
        <f t="shared" si="219"/>
        <v>50000</v>
      </c>
      <c r="Z254" s="167">
        <f t="shared" si="220"/>
        <v>0</v>
      </c>
      <c r="AA254" s="167">
        <f t="shared" si="221"/>
        <v>50000</v>
      </c>
      <c r="AB254" s="167">
        <f t="shared" si="222"/>
        <v>0</v>
      </c>
      <c r="AC254" s="167">
        <f t="shared" si="223"/>
        <v>0</v>
      </c>
      <c r="AD254" s="167">
        <f t="shared" si="224"/>
        <v>0</v>
      </c>
      <c r="AF254" s="180">
        <f t="shared" si="225"/>
        <v>1</v>
      </c>
      <c r="AG254" s="202" t="str">
        <f t="shared" si="218"/>
        <v>Roger Gołombek Nitrogenation</v>
      </c>
      <c r="AH254" s="172"/>
      <c r="AI254" s="173"/>
      <c r="AJ254" s="173"/>
      <c r="AK254" s="173"/>
      <c r="AL254" s="173"/>
      <c r="AM254" s="173"/>
      <c r="AN254" s="173"/>
      <c r="AO254" s="173"/>
      <c r="AP254" s="173"/>
      <c r="AQ254" s="173"/>
      <c r="AR254" s="173"/>
      <c r="AS254" s="173"/>
      <c r="AT254" s="173"/>
      <c r="AU254" s="173"/>
      <c r="AV254" s="173"/>
      <c r="AW254" s="173"/>
      <c r="AX254" s="173"/>
      <c r="AY254" s="173"/>
      <c r="AZ254" s="173"/>
      <c r="BA254" s="173"/>
      <c r="BB254" s="173"/>
      <c r="BC254" s="173"/>
      <c r="BD254" s="173"/>
      <c r="BE254" s="173"/>
      <c r="BF254" s="173"/>
      <c r="BG254" s="173"/>
      <c r="BH254" s="173"/>
      <c r="BI254" s="173"/>
      <c r="BJ254" s="173"/>
      <c r="BK254" s="173"/>
      <c r="BL254" s="173"/>
      <c r="BM254" s="173"/>
      <c r="BN254" s="173"/>
      <c r="BO254" s="173"/>
      <c r="BP254" s="173"/>
      <c r="BQ254" s="173"/>
      <c r="BR254" s="173"/>
      <c r="BS254" s="173"/>
      <c r="BT254" s="173"/>
      <c r="BU254" s="173"/>
      <c r="BV254" s="173"/>
      <c r="BW254" s="173"/>
      <c r="BX254" s="173"/>
      <c r="BY254" s="173"/>
      <c r="BZ254" s="173"/>
      <c r="CA254" s="173"/>
      <c r="CB254" s="173"/>
      <c r="CC254" s="173"/>
      <c r="CD254" s="173"/>
      <c r="CE254" s="173"/>
      <c r="CF254" s="173"/>
      <c r="CG254" s="173"/>
      <c r="CH254" s="173"/>
      <c r="CI254" s="173"/>
      <c r="CJ254" s="173"/>
      <c r="CK254" s="173"/>
      <c r="CL254" s="173"/>
      <c r="CM254" s="173"/>
      <c r="CN254" s="173"/>
      <c r="CO254" s="173"/>
      <c r="CP254" s="173"/>
      <c r="CQ254" s="173"/>
      <c r="CR254" s="173"/>
      <c r="CS254" s="173"/>
      <c r="CT254" s="173"/>
      <c r="CU254" s="173"/>
      <c r="CV254" s="173"/>
      <c r="CW254" s="173"/>
      <c r="CX254" s="173"/>
      <c r="CY254" s="148"/>
      <c r="CZ254" s="148"/>
      <c r="DA254" s="148"/>
      <c r="DB254" s="148"/>
      <c r="DC254" s="148"/>
      <c r="DD254" s="148"/>
      <c r="DE254" s="148"/>
      <c r="DF254" s="148"/>
      <c r="DG254" s="148"/>
      <c r="DH254" s="148"/>
      <c r="DI254" s="148"/>
      <c r="DJ254" s="148"/>
      <c r="DK254" s="148"/>
      <c r="DL254" s="148"/>
      <c r="DM254" s="148"/>
      <c r="DN254" s="148"/>
      <c r="DO254" s="148"/>
      <c r="DP254" s="148"/>
      <c r="DQ254" s="148"/>
      <c r="DR254" s="148"/>
      <c r="DS254" s="148"/>
      <c r="DT254" s="148"/>
      <c r="DU254" s="148"/>
      <c r="DV254" s="148"/>
      <c r="DW254" s="148"/>
      <c r="DX254" s="148"/>
      <c r="DY254" s="148"/>
      <c r="DZ254" s="148"/>
      <c r="EA254" s="148"/>
      <c r="EB254" s="148"/>
      <c r="EC254" s="148"/>
      <c r="ED254" s="148"/>
      <c r="EE254" s="148"/>
      <c r="EF254" s="148"/>
      <c r="EG254" s="148"/>
      <c r="EH254" s="148"/>
      <c r="EI254" s="148"/>
      <c r="EJ254" s="148"/>
      <c r="EK254" s="148"/>
      <c r="EL254" s="148"/>
      <c r="EM254" s="148"/>
      <c r="EN254" s="148"/>
      <c r="EO254" s="148"/>
      <c r="EP254" s="148"/>
      <c r="EQ254" s="148"/>
      <c r="ER254" s="148"/>
      <c r="ES254" s="151"/>
      <c r="ET254" s="151"/>
      <c r="EU254" s="151"/>
      <c r="EV254" s="151"/>
      <c r="EW254" s="151"/>
      <c r="EX254" s="151"/>
      <c r="EY254" s="151"/>
      <c r="EZ254" s="151"/>
      <c r="FA254" s="151"/>
      <c r="FB254" s="151"/>
      <c r="FC254" s="151"/>
      <c r="FD254" s="151"/>
      <c r="FE254" s="151"/>
      <c r="FF254" s="151"/>
      <c r="FG254" s="151"/>
      <c r="FH254" s="151"/>
      <c r="FI254" s="151"/>
      <c r="FJ254" s="151"/>
      <c r="FK254" s="151"/>
      <c r="FL254" s="151"/>
      <c r="FM254" s="151"/>
      <c r="FN254" s="151"/>
      <c r="FO254" s="151"/>
      <c r="FP254" s="151"/>
      <c r="FQ254" s="151"/>
      <c r="FR254" s="151"/>
      <c r="FS254" s="151"/>
      <c r="FT254" s="151"/>
      <c r="FU254" s="151"/>
      <c r="FV254" s="151"/>
      <c r="FW254" s="151"/>
      <c r="FX254" s="151"/>
      <c r="FY254" s="151"/>
      <c r="FZ254" s="151"/>
      <c r="GA254" s="151"/>
      <c r="GB254" s="151"/>
      <c r="GC254" s="151"/>
      <c r="GD254" s="151"/>
      <c r="GE254" s="151"/>
      <c r="GF254" s="151"/>
      <c r="GG254" s="152"/>
    </row>
    <row r="255" spans="1:189" ht="27.75" x14ac:dyDescent="0.35">
      <c r="A255" s="237" t="s">
        <v>490</v>
      </c>
      <c r="B255" s="236"/>
      <c r="C255" s="236"/>
      <c r="D255" s="237"/>
      <c r="E255" s="236" t="s">
        <v>465</v>
      </c>
      <c r="F255" s="236" t="s">
        <v>466</v>
      </c>
      <c r="G255" s="238">
        <v>1</v>
      </c>
      <c r="H255" s="239"/>
      <c r="I255" s="240"/>
      <c r="J255" s="240"/>
      <c r="K255" s="240"/>
      <c r="L255" s="241"/>
      <c r="M255" s="241"/>
      <c r="N255" s="241"/>
      <c r="O255" s="241"/>
      <c r="P255" s="241"/>
      <c r="Q255" s="242"/>
      <c r="R255" s="243"/>
      <c r="S255" s="243"/>
      <c r="T255" s="243"/>
      <c r="U255" s="191">
        <f t="shared" si="226"/>
        <v>0</v>
      </c>
      <c r="V255" s="244"/>
      <c r="W255" s="245"/>
      <c r="X255" s="46"/>
      <c r="Y255" s="167">
        <f t="shared" si="219"/>
        <v>0</v>
      </c>
      <c r="Z255" s="167">
        <f t="shared" si="220"/>
        <v>0</v>
      </c>
      <c r="AA255" s="167">
        <f t="shared" si="221"/>
        <v>0</v>
      </c>
      <c r="AB255" s="167">
        <f t="shared" si="222"/>
        <v>0</v>
      </c>
      <c r="AC255" s="167">
        <f t="shared" si="223"/>
        <v>0</v>
      </c>
      <c r="AD255" s="167">
        <f t="shared" si="224"/>
        <v>0</v>
      </c>
      <c r="AF255" s="47">
        <f t="shared" si="225"/>
        <v>0</v>
      </c>
      <c r="AG255" s="202" t="str">
        <f t="shared" si="218"/>
        <v xml:space="preserve"> Media, reagents for start-up and commissioning</v>
      </c>
      <c r="AH255" s="172"/>
      <c r="AI255" s="173"/>
      <c r="AJ255" s="173"/>
      <c r="AK255" s="173"/>
      <c r="AL255" s="173"/>
      <c r="AM255" s="173"/>
      <c r="AN255" s="173"/>
      <c r="AO255" s="173"/>
      <c r="AP255" s="173"/>
      <c r="AQ255" s="173"/>
      <c r="AR255" s="173"/>
      <c r="AS255" s="173"/>
      <c r="AT255" s="173"/>
      <c r="AU255" s="173"/>
      <c r="AV255" s="173"/>
      <c r="AW255" s="173"/>
      <c r="AX255" s="173"/>
      <c r="AY255" s="173"/>
      <c r="AZ255" s="173"/>
      <c r="BA255" s="173"/>
      <c r="BB255" s="173"/>
      <c r="BC255" s="173"/>
      <c r="BD255" s="173"/>
      <c r="BE255" s="173"/>
      <c r="BF255" s="173"/>
      <c r="BG255" s="173"/>
      <c r="BH255" s="173"/>
      <c r="BI255" s="173"/>
      <c r="BJ255" s="173"/>
      <c r="BK255" s="173"/>
      <c r="BL255" s="173"/>
      <c r="BM255" s="173"/>
      <c r="BN255" s="173"/>
      <c r="BO255" s="173"/>
      <c r="BP255" s="173"/>
      <c r="BQ255" s="173"/>
      <c r="BR255" s="173"/>
      <c r="BS255" s="173"/>
      <c r="BT255" s="173"/>
      <c r="BU255" s="173"/>
      <c r="BV255" s="173"/>
      <c r="BW255" s="173"/>
      <c r="BX255" s="173"/>
      <c r="BY255" s="173"/>
      <c r="BZ255" s="173"/>
      <c r="CA255" s="173"/>
      <c r="CB255" s="173"/>
      <c r="CC255" s="173"/>
      <c r="CD255" s="173"/>
      <c r="CE255" s="173"/>
      <c r="CF255" s="173"/>
      <c r="CG255" s="173"/>
      <c r="CH255" s="173"/>
      <c r="CI255" s="173"/>
      <c r="CJ255" s="173"/>
      <c r="CK255" s="173"/>
      <c r="CL255" s="173"/>
      <c r="CM255" s="173"/>
      <c r="CN255" s="173"/>
      <c r="CO255" s="173"/>
      <c r="CP255" s="173"/>
      <c r="CQ255" s="173"/>
      <c r="CR255" s="173"/>
      <c r="CS255" s="173"/>
      <c r="CT255" s="173"/>
      <c r="CU255" s="173"/>
      <c r="CV255" s="173"/>
      <c r="CW255" s="173"/>
      <c r="CX255" s="173"/>
      <c r="CY255" s="148"/>
      <c r="CZ255" s="148"/>
      <c r="DA255" s="148"/>
      <c r="DB255" s="148"/>
      <c r="DC255" s="148"/>
      <c r="DD255" s="148"/>
      <c r="DE255" s="148"/>
      <c r="DF255" s="148"/>
      <c r="DG255" s="148"/>
      <c r="DH255" s="148"/>
      <c r="DI255" s="148"/>
      <c r="DJ255" s="148"/>
      <c r="DK255" s="148"/>
      <c r="DL255" s="148"/>
      <c r="DM255" s="148"/>
      <c r="DN255" s="148"/>
      <c r="DO255" s="148"/>
      <c r="DP255" s="148"/>
      <c r="DQ255" s="148"/>
      <c r="DR255" s="148"/>
      <c r="DS255" s="148"/>
      <c r="DT255" s="148"/>
      <c r="DU255" s="148"/>
      <c r="DV255" s="148"/>
      <c r="DW255" s="148"/>
      <c r="DX255" s="148"/>
      <c r="DY255" s="148"/>
      <c r="DZ255" s="148"/>
      <c r="EA255" s="148"/>
      <c r="EB255" s="148"/>
      <c r="EC255" s="148"/>
      <c r="ED255" s="148"/>
      <c r="EE255" s="148"/>
      <c r="EF255" s="148"/>
      <c r="EG255" s="148"/>
      <c r="EH255" s="148"/>
      <c r="EI255" s="148"/>
      <c r="EJ255" s="148"/>
      <c r="EK255" s="148"/>
      <c r="EL255" s="148"/>
      <c r="EM255" s="148"/>
      <c r="EN255" s="148"/>
      <c r="EO255" s="148"/>
      <c r="EP255" s="148"/>
      <c r="EQ255" s="148"/>
      <c r="ER255" s="148"/>
      <c r="ES255" s="151"/>
      <c r="ET255" s="151"/>
      <c r="EU255" s="151"/>
      <c r="EV255" s="151"/>
      <c r="EW255" s="151"/>
      <c r="EX255" s="151"/>
      <c r="EY255" s="151"/>
      <c r="EZ255" s="151"/>
      <c r="FA255" s="151"/>
      <c r="FB255" s="151"/>
      <c r="FC255" s="151"/>
      <c r="FD255" s="151"/>
      <c r="FE255" s="151"/>
      <c r="FF255" s="151"/>
      <c r="FG255" s="151"/>
      <c r="FH255" s="151"/>
      <c r="FI255" s="151"/>
      <c r="FJ255" s="151"/>
      <c r="FK255" s="151"/>
      <c r="FL255" s="151"/>
      <c r="FM255" s="151"/>
      <c r="FN255" s="151"/>
      <c r="FO255" s="151"/>
      <c r="FP255" s="151"/>
      <c r="FQ255" s="151"/>
      <c r="FR255" s="151"/>
      <c r="FS255" s="151"/>
      <c r="FT255" s="151"/>
      <c r="FU255" s="151"/>
      <c r="FV255" s="151"/>
      <c r="FW255" s="151"/>
      <c r="FX255" s="151"/>
      <c r="FY255" s="151"/>
      <c r="FZ255" s="151"/>
      <c r="GA255" s="151"/>
      <c r="GB255" s="151"/>
      <c r="GC255" s="151"/>
      <c r="GD255" s="151"/>
      <c r="GE255" s="151"/>
      <c r="GF255" s="151"/>
      <c r="GG255" s="152"/>
    </row>
    <row r="256" spans="1:189" x14ac:dyDescent="0.35">
      <c r="A256" s="222" t="s">
        <v>491</v>
      </c>
      <c r="B256" s="221" t="s">
        <v>1051</v>
      </c>
      <c r="C256" s="221"/>
      <c r="D256" s="222"/>
      <c r="E256" s="221" t="s">
        <v>397</v>
      </c>
      <c r="F256" s="221" t="s">
        <v>374</v>
      </c>
      <c r="G256" s="223">
        <v>1</v>
      </c>
      <c r="H256" s="224"/>
      <c r="I256" s="225"/>
      <c r="J256" s="225"/>
      <c r="K256" s="225"/>
      <c r="L256" s="226">
        <v>46444</v>
      </c>
      <c r="M256" s="226">
        <v>46507</v>
      </c>
      <c r="N256" s="226"/>
      <c r="O256" s="226">
        <v>46753</v>
      </c>
      <c r="P256" s="226">
        <v>46934</v>
      </c>
      <c r="Q256" s="227" t="s">
        <v>45</v>
      </c>
      <c r="R256" s="228">
        <v>500000</v>
      </c>
      <c r="S256" s="228">
        <v>500000</v>
      </c>
      <c r="T256" s="228"/>
      <c r="U256" s="191">
        <f t="shared" si="226"/>
        <v>0</v>
      </c>
      <c r="V256" s="230"/>
      <c r="W256" s="232"/>
      <c r="X256" s="46"/>
      <c r="Y256" s="167">
        <f t="shared" si="219"/>
        <v>0</v>
      </c>
      <c r="Z256" s="167">
        <f t="shared" si="220"/>
        <v>0</v>
      </c>
      <c r="AA256" s="167">
        <f t="shared" si="221"/>
        <v>0</v>
      </c>
      <c r="AB256" s="167">
        <f t="shared" si="222"/>
        <v>500000</v>
      </c>
      <c r="AC256" s="167">
        <f t="shared" si="223"/>
        <v>0</v>
      </c>
      <c r="AD256" s="167">
        <f t="shared" si="224"/>
        <v>500000</v>
      </c>
      <c r="AF256" s="180">
        <f t="shared" si="225"/>
        <v>1</v>
      </c>
      <c r="AG256" s="202" t="str">
        <f t="shared" si="218"/>
        <v>Roger Gołombek Fuel (light oil)</v>
      </c>
      <c r="AH256" s="172"/>
      <c r="AI256" s="173"/>
      <c r="AJ256" s="173"/>
      <c r="AK256" s="173"/>
      <c r="AL256" s="173"/>
      <c r="AM256" s="173"/>
      <c r="AN256" s="173"/>
      <c r="AO256" s="173"/>
      <c r="AP256" s="173"/>
      <c r="AQ256" s="173"/>
      <c r="AR256" s="173"/>
      <c r="AS256" s="173"/>
      <c r="AT256" s="173"/>
      <c r="AU256" s="173"/>
      <c r="AV256" s="173"/>
      <c r="AW256" s="173"/>
      <c r="AX256" s="173"/>
      <c r="AY256" s="173"/>
      <c r="AZ256" s="173"/>
      <c r="BA256" s="173"/>
      <c r="BB256" s="173"/>
      <c r="BC256" s="173"/>
      <c r="BD256" s="173"/>
      <c r="BE256" s="173"/>
      <c r="BF256" s="173"/>
      <c r="BG256" s="173"/>
      <c r="BH256" s="173"/>
      <c r="BI256" s="173"/>
      <c r="BJ256" s="173"/>
      <c r="BK256" s="173"/>
      <c r="BL256" s="173"/>
      <c r="BM256" s="173"/>
      <c r="BN256" s="173"/>
      <c r="BO256" s="173"/>
      <c r="BP256" s="173"/>
      <c r="BQ256" s="173"/>
      <c r="BR256" s="173"/>
      <c r="BS256" s="173"/>
      <c r="BT256" s="173"/>
      <c r="BU256" s="173"/>
      <c r="BV256" s="173"/>
      <c r="BW256" s="173"/>
      <c r="BX256" s="173"/>
      <c r="BY256" s="173"/>
      <c r="BZ256" s="173"/>
      <c r="CA256" s="173"/>
      <c r="CB256" s="173"/>
      <c r="CC256" s="173"/>
      <c r="CD256" s="173"/>
      <c r="CE256" s="173"/>
      <c r="CF256" s="173"/>
      <c r="CG256" s="173"/>
      <c r="CH256" s="173"/>
      <c r="CI256" s="173"/>
      <c r="CJ256" s="173"/>
      <c r="CK256" s="173"/>
      <c r="CL256" s="173"/>
      <c r="CM256" s="173"/>
      <c r="CN256" s="173"/>
      <c r="CO256" s="173"/>
      <c r="CP256" s="173"/>
      <c r="CQ256" s="173"/>
      <c r="CR256" s="173"/>
      <c r="CS256" s="173"/>
      <c r="CT256" s="173"/>
      <c r="CU256" s="173"/>
      <c r="CV256" s="173"/>
      <c r="CW256" s="173"/>
      <c r="CX256" s="173"/>
      <c r="CY256" s="148"/>
      <c r="CZ256" s="148"/>
      <c r="DA256" s="148"/>
      <c r="DB256" s="148"/>
      <c r="DC256" s="148"/>
      <c r="DD256" s="148"/>
      <c r="DE256" s="148"/>
      <c r="DF256" s="148"/>
      <c r="DG256" s="148"/>
      <c r="DH256" s="148"/>
      <c r="DI256" s="148"/>
      <c r="DJ256" s="148"/>
      <c r="DK256" s="148"/>
      <c r="DL256" s="148"/>
      <c r="DM256" s="148"/>
      <c r="DN256" s="148"/>
      <c r="DO256" s="148"/>
      <c r="DP256" s="148"/>
      <c r="DQ256" s="148"/>
      <c r="DR256" s="148"/>
      <c r="DS256" s="148"/>
      <c r="DT256" s="148"/>
      <c r="DU256" s="148"/>
      <c r="DV256" s="148"/>
      <c r="DW256" s="148"/>
      <c r="DX256" s="148"/>
      <c r="DY256" s="148"/>
      <c r="DZ256" s="148"/>
      <c r="EA256" s="148"/>
      <c r="EB256" s="148"/>
      <c r="EC256" s="148"/>
      <c r="ED256" s="148"/>
      <c r="EE256" s="148"/>
      <c r="EF256" s="148"/>
      <c r="EG256" s="148"/>
      <c r="EH256" s="148"/>
      <c r="EI256" s="148"/>
      <c r="EJ256" s="148"/>
      <c r="EK256" s="148"/>
      <c r="EL256" s="148"/>
      <c r="EM256" s="148"/>
      <c r="EN256" s="148"/>
      <c r="EO256" s="148"/>
      <c r="EP256" s="148"/>
      <c r="EQ256" s="148"/>
      <c r="ER256" s="148"/>
      <c r="ES256" s="151"/>
      <c r="ET256" s="151"/>
      <c r="EU256" s="151"/>
      <c r="EV256" s="151"/>
      <c r="EW256" s="151"/>
      <c r="EX256" s="151"/>
      <c r="EY256" s="151"/>
      <c r="EZ256" s="151"/>
      <c r="FA256" s="151"/>
      <c r="FB256" s="151"/>
      <c r="FC256" s="151"/>
      <c r="FD256" s="151"/>
      <c r="FE256" s="151"/>
      <c r="FF256" s="151"/>
      <c r="FG256" s="151"/>
      <c r="FH256" s="151"/>
      <c r="FI256" s="151"/>
      <c r="FJ256" s="151"/>
      <c r="FK256" s="151"/>
      <c r="FL256" s="151"/>
      <c r="FM256" s="151"/>
      <c r="FN256" s="151"/>
      <c r="FO256" s="151"/>
      <c r="FP256" s="151"/>
      <c r="FQ256" s="151"/>
      <c r="FR256" s="151"/>
      <c r="FS256" s="151"/>
      <c r="FT256" s="151"/>
      <c r="FU256" s="151"/>
      <c r="FV256" s="151"/>
      <c r="FW256" s="151"/>
      <c r="FX256" s="151"/>
      <c r="FY256" s="151"/>
      <c r="FZ256" s="151"/>
      <c r="GA256" s="151"/>
      <c r="GB256" s="151"/>
      <c r="GC256" s="151"/>
      <c r="GD256" s="151"/>
      <c r="GE256" s="151"/>
      <c r="GF256" s="151"/>
      <c r="GG256" s="152"/>
    </row>
    <row r="257" spans="1:189" x14ac:dyDescent="0.35">
      <c r="A257" s="222" t="s">
        <v>492</v>
      </c>
      <c r="B257" s="221"/>
      <c r="C257" s="221"/>
      <c r="D257" s="222"/>
      <c r="E257" s="221" t="s">
        <v>467</v>
      </c>
      <c r="F257" s="221" t="s">
        <v>468</v>
      </c>
      <c r="G257" s="223">
        <v>1</v>
      </c>
      <c r="H257" s="224"/>
      <c r="I257" s="225"/>
      <c r="J257" s="225"/>
      <c r="K257" s="225"/>
      <c r="L257" s="226">
        <v>46444</v>
      </c>
      <c r="M257" s="226">
        <v>46507</v>
      </c>
      <c r="N257" s="226"/>
      <c r="O257" s="226">
        <v>46753</v>
      </c>
      <c r="P257" s="226">
        <v>46934</v>
      </c>
      <c r="Q257" s="227" t="s">
        <v>45</v>
      </c>
      <c r="R257" s="228">
        <v>50000</v>
      </c>
      <c r="S257" s="228">
        <v>50000</v>
      </c>
      <c r="T257" s="228"/>
      <c r="U257" s="191">
        <f t="shared" si="226"/>
        <v>0</v>
      </c>
      <c r="V257" s="230"/>
      <c r="W257" s="232"/>
      <c r="X257" s="46"/>
      <c r="Y257" s="167">
        <f t="shared" si="219"/>
        <v>0</v>
      </c>
      <c r="Z257" s="167">
        <f t="shared" si="220"/>
        <v>0</v>
      </c>
      <c r="AA257" s="167">
        <f t="shared" si="221"/>
        <v>0</v>
      </c>
      <c r="AB257" s="167">
        <f t="shared" si="222"/>
        <v>50000</v>
      </c>
      <c r="AC257" s="167">
        <f t="shared" si="223"/>
        <v>0</v>
      </c>
      <c r="AD257" s="167">
        <f t="shared" si="224"/>
        <v>50000</v>
      </c>
      <c r="AF257" s="47">
        <f t="shared" si="225"/>
        <v>1</v>
      </c>
      <c r="AG257" s="202" t="str">
        <f t="shared" si="218"/>
        <v xml:space="preserve"> Nitrogen cylinders</v>
      </c>
      <c r="AH257" s="172"/>
      <c r="AI257" s="173"/>
      <c r="AJ257" s="173"/>
      <c r="AK257" s="173"/>
      <c r="AL257" s="173"/>
      <c r="AM257" s="173"/>
      <c r="AN257" s="173"/>
      <c r="AO257" s="173"/>
      <c r="AP257" s="173"/>
      <c r="AQ257" s="173"/>
      <c r="AR257" s="173"/>
      <c r="AS257" s="173"/>
      <c r="AT257" s="173"/>
      <c r="AU257" s="173"/>
      <c r="AV257" s="173"/>
      <c r="AW257" s="173"/>
      <c r="AX257" s="173"/>
      <c r="AY257" s="173"/>
      <c r="AZ257" s="173"/>
      <c r="BA257" s="173"/>
      <c r="BB257" s="173"/>
      <c r="BC257" s="173"/>
      <c r="BD257" s="173"/>
      <c r="BE257" s="173"/>
      <c r="BF257" s="173"/>
      <c r="BG257" s="173"/>
      <c r="BH257" s="173"/>
      <c r="BI257" s="173"/>
      <c r="BJ257" s="173"/>
      <c r="BK257" s="173"/>
      <c r="BL257" s="173"/>
      <c r="BM257" s="173"/>
      <c r="BN257" s="173"/>
      <c r="BO257" s="173"/>
      <c r="BP257" s="173"/>
      <c r="BQ257" s="173"/>
      <c r="BR257" s="173"/>
      <c r="BS257" s="173"/>
      <c r="BT257" s="173"/>
      <c r="BU257" s="173"/>
      <c r="BV257" s="173"/>
      <c r="BW257" s="173"/>
      <c r="BX257" s="173"/>
      <c r="BY257" s="173"/>
      <c r="BZ257" s="173"/>
      <c r="CA257" s="173"/>
      <c r="CB257" s="173"/>
      <c r="CC257" s="173"/>
      <c r="CD257" s="173"/>
      <c r="CE257" s="173"/>
      <c r="CF257" s="173"/>
      <c r="CG257" s="173"/>
      <c r="CH257" s="173"/>
      <c r="CI257" s="173"/>
      <c r="CJ257" s="173"/>
      <c r="CK257" s="173"/>
      <c r="CL257" s="173"/>
      <c r="CM257" s="173"/>
      <c r="CN257" s="173"/>
      <c r="CO257" s="173"/>
      <c r="CP257" s="173"/>
      <c r="CQ257" s="173"/>
      <c r="CR257" s="173"/>
      <c r="CS257" s="173"/>
      <c r="CT257" s="173"/>
      <c r="CU257" s="173"/>
      <c r="CV257" s="173"/>
      <c r="CW257" s="173"/>
      <c r="CX257" s="173"/>
      <c r="CY257" s="148"/>
      <c r="CZ257" s="148"/>
      <c r="DA257" s="148"/>
      <c r="DB257" s="148"/>
      <c r="DC257" s="148"/>
      <c r="DD257" s="148"/>
      <c r="DE257" s="148"/>
      <c r="DF257" s="148"/>
      <c r="DG257" s="148"/>
      <c r="DH257" s="148"/>
      <c r="DI257" s="148"/>
      <c r="DJ257" s="148"/>
      <c r="DK257" s="148"/>
      <c r="DL257" s="148"/>
      <c r="DM257" s="148"/>
      <c r="DN257" s="148"/>
      <c r="DO257" s="148"/>
      <c r="DP257" s="148"/>
      <c r="DQ257" s="148"/>
      <c r="DR257" s="148"/>
      <c r="DS257" s="148"/>
      <c r="DT257" s="148"/>
      <c r="DU257" s="148"/>
      <c r="DV257" s="148"/>
      <c r="DW257" s="148"/>
      <c r="DX257" s="148"/>
      <c r="DY257" s="148"/>
      <c r="DZ257" s="148"/>
      <c r="EA257" s="148"/>
      <c r="EB257" s="148"/>
      <c r="EC257" s="148"/>
      <c r="ED257" s="148"/>
      <c r="EE257" s="148"/>
      <c r="EF257" s="148"/>
      <c r="EG257" s="148"/>
      <c r="EH257" s="148"/>
      <c r="EI257" s="148"/>
      <c r="EJ257" s="148"/>
      <c r="EK257" s="148"/>
      <c r="EL257" s="148"/>
      <c r="EM257" s="148"/>
      <c r="EN257" s="148"/>
      <c r="EO257" s="148"/>
      <c r="EP257" s="148"/>
      <c r="EQ257" s="148"/>
      <c r="ER257" s="148"/>
      <c r="ES257" s="151"/>
      <c r="ET257" s="151"/>
      <c r="EU257" s="151"/>
      <c r="EV257" s="151"/>
      <c r="EW257" s="151"/>
      <c r="EX257" s="151"/>
      <c r="EY257" s="151"/>
      <c r="EZ257" s="151"/>
      <c r="FA257" s="151"/>
      <c r="FB257" s="151"/>
      <c r="FC257" s="151"/>
      <c r="FD257" s="151"/>
      <c r="FE257" s="151"/>
      <c r="FF257" s="151"/>
      <c r="FG257" s="151"/>
      <c r="FH257" s="151"/>
      <c r="FI257" s="151"/>
      <c r="FJ257" s="151"/>
      <c r="FK257" s="151"/>
      <c r="FL257" s="151"/>
      <c r="FM257" s="151"/>
      <c r="FN257" s="151"/>
      <c r="FO257" s="151"/>
      <c r="FP257" s="151"/>
      <c r="FQ257" s="151"/>
      <c r="FR257" s="151"/>
      <c r="FS257" s="151"/>
      <c r="FT257" s="151"/>
      <c r="FU257" s="151"/>
      <c r="FV257" s="151"/>
      <c r="FW257" s="151"/>
      <c r="FX257" s="151"/>
      <c r="FY257" s="151"/>
      <c r="FZ257" s="151"/>
      <c r="GA257" s="151"/>
      <c r="GB257" s="151"/>
      <c r="GC257" s="151"/>
      <c r="GD257" s="151"/>
      <c r="GE257" s="151"/>
      <c r="GF257" s="151"/>
      <c r="GG257" s="152"/>
    </row>
    <row r="258" spans="1:189" ht="27.75" x14ac:dyDescent="0.35">
      <c r="A258" s="222" t="s">
        <v>493</v>
      </c>
      <c r="B258" s="221"/>
      <c r="C258" s="221"/>
      <c r="D258" s="222"/>
      <c r="E258" s="221" t="s">
        <v>469</v>
      </c>
      <c r="F258" s="221" t="s">
        <v>470</v>
      </c>
      <c r="G258" s="223">
        <v>1</v>
      </c>
      <c r="H258" s="224"/>
      <c r="I258" s="225"/>
      <c r="J258" s="225"/>
      <c r="K258" s="225"/>
      <c r="L258" s="226">
        <v>46444</v>
      </c>
      <c r="M258" s="226">
        <v>46507</v>
      </c>
      <c r="N258" s="226"/>
      <c r="O258" s="226">
        <v>46753</v>
      </c>
      <c r="P258" s="226">
        <v>46934</v>
      </c>
      <c r="Q258" s="227" t="s">
        <v>45</v>
      </c>
      <c r="R258" s="228">
        <v>150000</v>
      </c>
      <c r="S258" s="228">
        <v>150000</v>
      </c>
      <c r="T258" s="228"/>
      <c r="U258" s="191">
        <f t="shared" si="226"/>
        <v>0</v>
      </c>
      <c r="V258" s="230"/>
      <c r="W258" s="232"/>
      <c r="X258" s="46"/>
      <c r="Y258" s="167">
        <f t="shared" si="219"/>
        <v>0</v>
      </c>
      <c r="Z258" s="167">
        <f t="shared" si="220"/>
        <v>0</v>
      </c>
      <c r="AA258" s="167">
        <f t="shared" si="221"/>
        <v>0</v>
      </c>
      <c r="AB258" s="167">
        <f t="shared" si="222"/>
        <v>150000</v>
      </c>
      <c r="AC258" s="167">
        <f t="shared" si="223"/>
        <v>0</v>
      </c>
      <c r="AD258" s="167">
        <f t="shared" si="224"/>
        <v>150000</v>
      </c>
      <c r="AF258" s="180">
        <f t="shared" si="225"/>
        <v>1</v>
      </c>
      <c r="AG258" s="202" t="str">
        <f t="shared" si="218"/>
        <v xml:space="preserve"> Handling and disposal of bottom and fly ash</v>
      </c>
      <c r="AH258" s="172"/>
      <c r="AI258" s="173"/>
      <c r="AJ258" s="173"/>
      <c r="AK258" s="173"/>
      <c r="AL258" s="173"/>
      <c r="AM258" s="173"/>
      <c r="AN258" s="173"/>
      <c r="AO258" s="173"/>
      <c r="AP258" s="173"/>
      <c r="AQ258" s="173"/>
      <c r="AR258" s="173"/>
      <c r="AS258" s="173"/>
      <c r="AT258" s="173"/>
      <c r="AU258" s="173"/>
      <c r="AV258" s="173"/>
      <c r="AW258" s="173"/>
      <c r="AX258" s="173"/>
      <c r="AY258" s="173"/>
      <c r="AZ258" s="173"/>
      <c r="BA258" s="173"/>
      <c r="BB258" s="173"/>
      <c r="BC258" s="173"/>
      <c r="BD258" s="173"/>
      <c r="BE258" s="173"/>
      <c r="BF258" s="173"/>
      <c r="BG258" s="173"/>
      <c r="BH258" s="173"/>
      <c r="BI258" s="173"/>
      <c r="BJ258" s="173"/>
      <c r="BK258" s="173"/>
      <c r="BL258" s="173"/>
      <c r="BM258" s="173"/>
      <c r="BN258" s="173"/>
      <c r="BO258" s="173"/>
      <c r="BP258" s="173"/>
      <c r="BQ258" s="173"/>
      <c r="BR258" s="173"/>
      <c r="BS258" s="173"/>
      <c r="BT258" s="173"/>
      <c r="BU258" s="173"/>
      <c r="BV258" s="173"/>
      <c r="BW258" s="173"/>
      <c r="BX258" s="173"/>
      <c r="BY258" s="173"/>
      <c r="BZ258" s="173"/>
      <c r="CA258" s="173"/>
      <c r="CB258" s="173"/>
      <c r="CC258" s="173"/>
      <c r="CD258" s="173"/>
      <c r="CE258" s="173"/>
      <c r="CF258" s="173"/>
      <c r="CG258" s="173"/>
      <c r="CH258" s="173"/>
      <c r="CI258" s="173"/>
      <c r="CJ258" s="173"/>
      <c r="CK258" s="173"/>
      <c r="CL258" s="173"/>
      <c r="CM258" s="173"/>
      <c r="CN258" s="173"/>
      <c r="CO258" s="173"/>
      <c r="CP258" s="173"/>
      <c r="CQ258" s="173"/>
      <c r="CR258" s="173"/>
      <c r="CS258" s="173"/>
      <c r="CT258" s="173"/>
      <c r="CU258" s="173"/>
      <c r="CV258" s="173"/>
      <c r="CW258" s="173"/>
      <c r="CX258" s="173"/>
      <c r="CY258" s="148"/>
      <c r="CZ258" s="148"/>
      <c r="DA258" s="148"/>
      <c r="DB258" s="148"/>
      <c r="DC258" s="148"/>
      <c r="DD258" s="148"/>
      <c r="DE258" s="148"/>
      <c r="DF258" s="148"/>
      <c r="DG258" s="148"/>
      <c r="DH258" s="148"/>
      <c r="DI258" s="148"/>
      <c r="DJ258" s="148"/>
      <c r="DK258" s="148"/>
      <c r="DL258" s="148"/>
      <c r="DM258" s="148"/>
      <c r="DN258" s="148"/>
      <c r="DO258" s="148"/>
      <c r="DP258" s="148"/>
      <c r="DQ258" s="148"/>
      <c r="DR258" s="148"/>
      <c r="DS258" s="148"/>
      <c r="DT258" s="148"/>
      <c r="DU258" s="148"/>
      <c r="DV258" s="148"/>
      <c r="DW258" s="148"/>
      <c r="DX258" s="148"/>
      <c r="DY258" s="148"/>
      <c r="DZ258" s="148"/>
      <c r="EA258" s="148"/>
      <c r="EB258" s="148"/>
      <c r="EC258" s="148"/>
      <c r="ED258" s="148"/>
      <c r="EE258" s="148"/>
      <c r="EF258" s="148"/>
      <c r="EG258" s="148"/>
      <c r="EH258" s="148"/>
      <c r="EI258" s="148"/>
      <c r="EJ258" s="148"/>
      <c r="EK258" s="148"/>
      <c r="EL258" s="148"/>
      <c r="EM258" s="148"/>
      <c r="EN258" s="148"/>
      <c r="EO258" s="148"/>
      <c r="EP258" s="148"/>
      <c r="EQ258" s="148"/>
      <c r="ER258" s="148"/>
      <c r="ES258" s="151"/>
      <c r="ET258" s="151"/>
      <c r="EU258" s="151"/>
      <c r="EV258" s="151"/>
      <c r="EW258" s="151"/>
      <c r="EX258" s="151"/>
      <c r="EY258" s="151"/>
      <c r="EZ258" s="151"/>
      <c r="FA258" s="151"/>
      <c r="FB258" s="151"/>
      <c r="FC258" s="151"/>
      <c r="FD258" s="151"/>
      <c r="FE258" s="151"/>
      <c r="FF258" s="151"/>
      <c r="FG258" s="151"/>
      <c r="FH258" s="151"/>
      <c r="FI258" s="151"/>
      <c r="FJ258" s="151"/>
      <c r="FK258" s="151"/>
      <c r="FL258" s="151"/>
      <c r="FM258" s="151"/>
      <c r="FN258" s="151"/>
      <c r="FO258" s="151"/>
      <c r="FP258" s="151"/>
      <c r="FQ258" s="151"/>
      <c r="FR258" s="151"/>
      <c r="FS258" s="151"/>
      <c r="FT258" s="151"/>
      <c r="FU258" s="151"/>
      <c r="FV258" s="151"/>
      <c r="FW258" s="151"/>
      <c r="FX258" s="151"/>
      <c r="FY258" s="151"/>
      <c r="FZ258" s="151"/>
      <c r="GA258" s="151"/>
      <c r="GB258" s="151"/>
      <c r="GC258" s="151"/>
      <c r="GD258" s="151"/>
      <c r="GE258" s="151"/>
      <c r="GF258" s="151"/>
      <c r="GG258" s="152"/>
    </row>
    <row r="259" spans="1:189" x14ac:dyDescent="0.35">
      <c r="A259" s="222" t="s">
        <v>494</v>
      </c>
      <c r="B259" s="221"/>
      <c r="C259" s="221"/>
      <c r="D259" s="222"/>
      <c r="E259" s="221" t="s">
        <v>471</v>
      </c>
      <c r="F259" s="221" t="s">
        <v>472</v>
      </c>
      <c r="G259" s="223">
        <v>1</v>
      </c>
      <c r="H259" s="224"/>
      <c r="I259" s="225"/>
      <c r="J259" s="225"/>
      <c r="K259" s="225"/>
      <c r="L259" s="226">
        <v>46444</v>
      </c>
      <c r="M259" s="226">
        <v>46507</v>
      </c>
      <c r="N259" s="226"/>
      <c r="O259" s="226">
        <v>46753</v>
      </c>
      <c r="P259" s="226">
        <v>46934</v>
      </c>
      <c r="Q259" s="227" t="s">
        <v>45</v>
      </c>
      <c r="R259" s="228">
        <v>50000</v>
      </c>
      <c r="S259" s="228">
        <v>50000</v>
      </c>
      <c r="T259" s="228"/>
      <c r="U259" s="191">
        <f t="shared" si="226"/>
        <v>0</v>
      </c>
      <c r="V259" s="230"/>
      <c r="W259" s="232"/>
      <c r="X259" s="46"/>
      <c r="Y259" s="167">
        <f t="shared" si="219"/>
        <v>0</v>
      </c>
      <c r="Z259" s="167">
        <f t="shared" si="220"/>
        <v>0</v>
      </c>
      <c r="AA259" s="167">
        <f t="shared" si="221"/>
        <v>0</v>
      </c>
      <c r="AB259" s="167">
        <f t="shared" si="222"/>
        <v>50000</v>
      </c>
      <c r="AC259" s="167">
        <f t="shared" si="223"/>
        <v>0</v>
      </c>
      <c r="AD259" s="167">
        <f t="shared" si="224"/>
        <v>50000</v>
      </c>
      <c r="AF259" s="47">
        <f t="shared" si="225"/>
        <v>1</v>
      </c>
      <c r="AG259" s="202" t="str">
        <f t="shared" si="218"/>
        <v xml:space="preserve"> Chemical supplies</v>
      </c>
      <c r="AH259" s="172"/>
      <c r="AI259" s="173"/>
      <c r="AJ259" s="173"/>
      <c r="AK259" s="173"/>
      <c r="AL259" s="173"/>
      <c r="AM259" s="173"/>
      <c r="AN259" s="173"/>
      <c r="AO259" s="173"/>
      <c r="AP259" s="173"/>
      <c r="AQ259" s="173"/>
      <c r="AR259" s="173"/>
      <c r="AS259" s="173"/>
      <c r="AT259" s="173"/>
      <c r="AU259" s="173"/>
      <c r="AV259" s="173"/>
      <c r="AW259" s="173"/>
      <c r="AX259" s="173"/>
      <c r="AY259" s="173"/>
      <c r="AZ259" s="173"/>
      <c r="BA259" s="173"/>
      <c r="BB259" s="173"/>
      <c r="BC259" s="173"/>
      <c r="BD259" s="173"/>
      <c r="BE259" s="173"/>
      <c r="BF259" s="173"/>
      <c r="BG259" s="173"/>
      <c r="BH259" s="173"/>
      <c r="BI259" s="173"/>
      <c r="BJ259" s="173"/>
      <c r="BK259" s="173"/>
      <c r="BL259" s="173"/>
      <c r="BM259" s="173"/>
      <c r="BN259" s="173"/>
      <c r="BO259" s="173"/>
      <c r="BP259" s="173"/>
      <c r="BQ259" s="173"/>
      <c r="BR259" s="173"/>
      <c r="BS259" s="173"/>
      <c r="BT259" s="173"/>
      <c r="BU259" s="173"/>
      <c r="BV259" s="173"/>
      <c r="BW259" s="173"/>
      <c r="BX259" s="173"/>
      <c r="BY259" s="173"/>
      <c r="BZ259" s="173"/>
      <c r="CA259" s="173"/>
      <c r="CB259" s="173"/>
      <c r="CC259" s="173"/>
      <c r="CD259" s="173"/>
      <c r="CE259" s="173"/>
      <c r="CF259" s="173"/>
      <c r="CG259" s="173"/>
      <c r="CH259" s="173"/>
      <c r="CI259" s="173"/>
      <c r="CJ259" s="173"/>
      <c r="CK259" s="173"/>
      <c r="CL259" s="173"/>
      <c r="CM259" s="173"/>
      <c r="CN259" s="173"/>
      <c r="CO259" s="173"/>
      <c r="CP259" s="173"/>
      <c r="CQ259" s="173"/>
      <c r="CR259" s="173"/>
      <c r="CS259" s="173"/>
      <c r="CT259" s="173"/>
      <c r="CU259" s="173"/>
      <c r="CV259" s="173"/>
      <c r="CW259" s="173"/>
      <c r="CX259" s="173"/>
      <c r="CY259" s="148"/>
      <c r="CZ259" s="148"/>
      <c r="DA259" s="148"/>
      <c r="DB259" s="148"/>
      <c r="DC259" s="148"/>
      <c r="DD259" s="148"/>
      <c r="DE259" s="148"/>
      <c r="DF259" s="148"/>
      <c r="DG259" s="148"/>
      <c r="DH259" s="148"/>
      <c r="DI259" s="148"/>
      <c r="DJ259" s="148"/>
      <c r="DK259" s="148"/>
      <c r="DL259" s="148"/>
      <c r="DM259" s="148"/>
      <c r="DN259" s="148"/>
      <c r="DO259" s="148"/>
      <c r="DP259" s="148"/>
      <c r="DQ259" s="148"/>
      <c r="DR259" s="148"/>
      <c r="DS259" s="148"/>
      <c r="DT259" s="148"/>
      <c r="DU259" s="148"/>
      <c r="DV259" s="148"/>
      <c r="DW259" s="148"/>
      <c r="DX259" s="148"/>
      <c r="DY259" s="148"/>
      <c r="DZ259" s="148"/>
      <c r="EA259" s="148"/>
      <c r="EB259" s="148"/>
      <c r="EC259" s="148"/>
      <c r="ED259" s="148"/>
      <c r="EE259" s="148"/>
      <c r="EF259" s="148"/>
      <c r="EG259" s="148"/>
      <c r="EH259" s="148"/>
      <c r="EI259" s="148"/>
      <c r="EJ259" s="148"/>
      <c r="EK259" s="148"/>
      <c r="EL259" s="148"/>
      <c r="EM259" s="148"/>
      <c r="EN259" s="148"/>
      <c r="EO259" s="148"/>
      <c r="EP259" s="148"/>
      <c r="EQ259" s="148"/>
      <c r="ER259" s="148"/>
      <c r="ES259" s="151"/>
      <c r="ET259" s="151"/>
      <c r="EU259" s="151"/>
      <c r="EV259" s="151"/>
      <c r="EW259" s="151"/>
      <c r="EX259" s="151"/>
      <c r="EY259" s="151"/>
      <c r="EZ259" s="151"/>
      <c r="FA259" s="151"/>
      <c r="FB259" s="151"/>
      <c r="FC259" s="151"/>
      <c r="FD259" s="151"/>
      <c r="FE259" s="151"/>
      <c r="FF259" s="151"/>
      <c r="FG259" s="151"/>
      <c r="FH259" s="151"/>
      <c r="FI259" s="151"/>
      <c r="FJ259" s="151"/>
      <c r="FK259" s="151"/>
      <c r="FL259" s="151"/>
      <c r="FM259" s="151"/>
      <c r="FN259" s="151"/>
      <c r="FO259" s="151"/>
      <c r="FP259" s="151"/>
      <c r="FQ259" s="151"/>
      <c r="FR259" s="151"/>
      <c r="FS259" s="151"/>
      <c r="FT259" s="151"/>
      <c r="FU259" s="151"/>
      <c r="FV259" s="151"/>
      <c r="FW259" s="151"/>
      <c r="FX259" s="151"/>
      <c r="FY259" s="151"/>
      <c r="FZ259" s="151"/>
      <c r="GA259" s="151"/>
      <c r="GB259" s="151"/>
      <c r="GC259" s="151"/>
      <c r="GD259" s="151"/>
      <c r="GE259" s="151"/>
      <c r="GF259" s="151"/>
      <c r="GG259" s="152"/>
    </row>
    <row r="260" spans="1:189" x14ac:dyDescent="0.35">
      <c r="A260" s="222" t="s">
        <v>495</v>
      </c>
      <c r="B260" s="221"/>
      <c r="C260" s="221"/>
      <c r="D260" s="222"/>
      <c r="E260" s="221" t="s">
        <v>473</v>
      </c>
      <c r="F260" s="221" t="s">
        <v>475</v>
      </c>
      <c r="G260" s="223">
        <v>1</v>
      </c>
      <c r="H260" s="224"/>
      <c r="I260" s="225"/>
      <c r="J260" s="225"/>
      <c r="K260" s="225"/>
      <c r="L260" s="226">
        <v>46444</v>
      </c>
      <c r="M260" s="226">
        <v>46507</v>
      </c>
      <c r="N260" s="226"/>
      <c r="O260" s="226">
        <v>46753</v>
      </c>
      <c r="P260" s="226">
        <v>46934</v>
      </c>
      <c r="Q260" s="227" t="s">
        <v>45</v>
      </c>
      <c r="R260" s="228">
        <v>350000</v>
      </c>
      <c r="S260" s="228">
        <v>350000</v>
      </c>
      <c r="T260" s="228"/>
      <c r="U260" s="191">
        <f t="shared" si="226"/>
        <v>0</v>
      </c>
      <c r="V260" s="230"/>
      <c r="W260" s="232"/>
      <c r="X260" s="46"/>
      <c r="Y260" s="167">
        <f t="shared" si="219"/>
        <v>0</v>
      </c>
      <c r="Z260" s="167">
        <f t="shared" si="220"/>
        <v>0</v>
      </c>
      <c r="AA260" s="167">
        <f t="shared" si="221"/>
        <v>0</v>
      </c>
      <c r="AB260" s="167">
        <f t="shared" si="222"/>
        <v>350000</v>
      </c>
      <c r="AC260" s="167">
        <f t="shared" si="223"/>
        <v>0</v>
      </c>
      <c r="AD260" s="167">
        <f t="shared" si="224"/>
        <v>350000</v>
      </c>
      <c r="AF260" s="180">
        <f t="shared" si="225"/>
        <v>1</v>
      </c>
      <c r="AG260" s="202" t="str">
        <f t="shared" si="218"/>
        <v xml:space="preserve"> Lime supplies</v>
      </c>
      <c r="AH260" s="172"/>
      <c r="AI260" s="173"/>
      <c r="AJ260" s="173"/>
      <c r="AK260" s="173"/>
      <c r="AL260" s="173"/>
      <c r="AM260" s="173"/>
      <c r="AN260" s="173"/>
      <c r="AO260" s="173"/>
      <c r="AP260" s="173"/>
      <c r="AQ260" s="173"/>
      <c r="AR260" s="173"/>
      <c r="AS260" s="173"/>
      <c r="AT260" s="173"/>
      <c r="AU260" s="173"/>
      <c r="AV260" s="173"/>
      <c r="AW260" s="173"/>
      <c r="AX260" s="173"/>
      <c r="AY260" s="173"/>
      <c r="AZ260" s="173"/>
      <c r="BA260" s="173"/>
      <c r="BB260" s="173"/>
      <c r="BC260" s="173"/>
      <c r="BD260" s="173"/>
      <c r="BE260" s="173"/>
      <c r="BF260" s="173"/>
      <c r="BG260" s="173"/>
      <c r="BH260" s="173"/>
      <c r="BI260" s="173"/>
      <c r="BJ260" s="173"/>
      <c r="BK260" s="173"/>
      <c r="BL260" s="173"/>
      <c r="BM260" s="173"/>
      <c r="BN260" s="173"/>
      <c r="BO260" s="173"/>
      <c r="BP260" s="173"/>
      <c r="BQ260" s="173"/>
      <c r="BR260" s="173"/>
      <c r="BS260" s="173"/>
      <c r="BT260" s="173"/>
      <c r="BU260" s="173"/>
      <c r="BV260" s="173"/>
      <c r="BW260" s="173"/>
      <c r="BX260" s="173"/>
      <c r="BY260" s="173"/>
      <c r="BZ260" s="173"/>
      <c r="CA260" s="173"/>
      <c r="CB260" s="173"/>
      <c r="CC260" s="173"/>
      <c r="CD260" s="173"/>
      <c r="CE260" s="173"/>
      <c r="CF260" s="173"/>
      <c r="CG260" s="173"/>
      <c r="CH260" s="173"/>
      <c r="CI260" s="173"/>
      <c r="CJ260" s="173"/>
      <c r="CK260" s="173"/>
      <c r="CL260" s="173"/>
      <c r="CM260" s="173"/>
      <c r="CN260" s="173"/>
      <c r="CO260" s="173"/>
      <c r="CP260" s="173"/>
      <c r="CQ260" s="173"/>
      <c r="CR260" s="173"/>
      <c r="CS260" s="173"/>
      <c r="CT260" s="173"/>
      <c r="CU260" s="173"/>
      <c r="CV260" s="173"/>
      <c r="CW260" s="173"/>
      <c r="CX260" s="173"/>
      <c r="CY260" s="148"/>
      <c r="CZ260" s="148"/>
      <c r="DA260" s="148"/>
      <c r="DB260" s="148"/>
      <c r="DC260" s="148"/>
      <c r="DD260" s="148"/>
      <c r="DE260" s="148"/>
      <c r="DF260" s="148"/>
      <c r="DG260" s="148"/>
      <c r="DH260" s="148"/>
      <c r="DI260" s="148"/>
      <c r="DJ260" s="148"/>
      <c r="DK260" s="148"/>
      <c r="DL260" s="148"/>
      <c r="DM260" s="148"/>
      <c r="DN260" s="148"/>
      <c r="DO260" s="148"/>
      <c r="DP260" s="148"/>
      <c r="DQ260" s="148"/>
      <c r="DR260" s="148"/>
      <c r="DS260" s="148"/>
      <c r="DT260" s="148"/>
      <c r="DU260" s="148"/>
      <c r="DV260" s="148"/>
      <c r="DW260" s="148"/>
      <c r="DX260" s="148"/>
      <c r="DY260" s="148"/>
      <c r="DZ260" s="148"/>
      <c r="EA260" s="148"/>
      <c r="EB260" s="148"/>
      <c r="EC260" s="148"/>
      <c r="ED260" s="148"/>
      <c r="EE260" s="148"/>
      <c r="EF260" s="148"/>
      <c r="EG260" s="148"/>
      <c r="EH260" s="148"/>
      <c r="EI260" s="148"/>
      <c r="EJ260" s="148"/>
      <c r="EK260" s="148"/>
      <c r="EL260" s="148"/>
      <c r="EM260" s="148"/>
      <c r="EN260" s="148"/>
      <c r="EO260" s="148"/>
      <c r="EP260" s="148"/>
      <c r="EQ260" s="148"/>
      <c r="ER260" s="148"/>
      <c r="ES260" s="151"/>
      <c r="ET260" s="151"/>
      <c r="EU260" s="151"/>
      <c r="EV260" s="151"/>
      <c r="EW260" s="151"/>
      <c r="EX260" s="151"/>
      <c r="EY260" s="151"/>
      <c r="EZ260" s="151"/>
      <c r="FA260" s="151"/>
      <c r="FB260" s="151"/>
      <c r="FC260" s="151"/>
      <c r="FD260" s="151"/>
      <c r="FE260" s="151"/>
      <c r="FF260" s="151"/>
      <c r="FG260" s="151"/>
      <c r="FH260" s="151"/>
      <c r="FI260" s="151"/>
      <c r="FJ260" s="151"/>
      <c r="FK260" s="151"/>
      <c r="FL260" s="151"/>
      <c r="FM260" s="151"/>
      <c r="FN260" s="151"/>
      <c r="FO260" s="151"/>
      <c r="FP260" s="151"/>
      <c r="FQ260" s="151"/>
      <c r="FR260" s="151"/>
      <c r="FS260" s="151"/>
      <c r="FT260" s="151"/>
      <c r="FU260" s="151"/>
      <c r="FV260" s="151"/>
      <c r="FW260" s="151"/>
      <c r="FX260" s="151"/>
      <c r="FY260" s="151"/>
      <c r="FZ260" s="151"/>
      <c r="GA260" s="151"/>
      <c r="GB260" s="151"/>
      <c r="GC260" s="151"/>
      <c r="GD260" s="151"/>
      <c r="GE260" s="151"/>
      <c r="GF260" s="151"/>
      <c r="GG260" s="152"/>
    </row>
    <row r="261" spans="1:189" x14ac:dyDescent="0.35">
      <c r="A261" s="222" t="s">
        <v>496</v>
      </c>
      <c r="B261" s="221"/>
      <c r="C261" s="221"/>
      <c r="D261" s="222"/>
      <c r="E261" s="221" t="s">
        <v>474</v>
      </c>
      <c r="F261" s="221" t="s">
        <v>476</v>
      </c>
      <c r="G261" s="223">
        <v>1</v>
      </c>
      <c r="H261" s="224"/>
      <c r="I261" s="225"/>
      <c r="J261" s="225"/>
      <c r="K261" s="225"/>
      <c r="L261" s="226">
        <v>46444</v>
      </c>
      <c r="M261" s="226">
        <v>46507</v>
      </c>
      <c r="N261" s="226"/>
      <c r="O261" s="226">
        <v>46753</v>
      </c>
      <c r="P261" s="226">
        <v>46934</v>
      </c>
      <c r="Q261" s="227" t="s">
        <v>45</v>
      </c>
      <c r="R261" s="228">
        <v>200000</v>
      </c>
      <c r="S261" s="228">
        <v>200000</v>
      </c>
      <c r="T261" s="228"/>
      <c r="U261" s="191">
        <f t="shared" si="226"/>
        <v>0</v>
      </c>
      <c r="V261" s="230"/>
      <c r="W261" s="232"/>
      <c r="X261" s="46"/>
      <c r="Y261" s="167">
        <f t="shared" si="219"/>
        <v>0</v>
      </c>
      <c r="Z261" s="167">
        <f t="shared" si="220"/>
        <v>0</v>
      </c>
      <c r="AA261" s="167">
        <f t="shared" si="221"/>
        <v>0</v>
      </c>
      <c r="AB261" s="167">
        <f t="shared" si="222"/>
        <v>200000</v>
      </c>
      <c r="AC261" s="167">
        <f t="shared" si="223"/>
        <v>0</v>
      </c>
      <c r="AD261" s="167">
        <f t="shared" si="224"/>
        <v>200000</v>
      </c>
      <c r="AF261" s="47">
        <f t="shared" si="225"/>
        <v>1</v>
      </c>
      <c r="AG261" s="202" t="str">
        <f t="shared" si="218"/>
        <v xml:space="preserve"> Active carbon supplies</v>
      </c>
      <c r="AH261" s="172"/>
      <c r="AI261" s="173"/>
      <c r="AJ261" s="173"/>
      <c r="AK261" s="173"/>
      <c r="AL261" s="173"/>
      <c r="AM261" s="173"/>
      <c r="AN261" s="173"/>
      <c r="AO261" s="173"/>
      <c r="AP261" s="173"/>
      <c r="AQ261" s="173"/>
      <c r="AR261" s="173"/>
      <c r="AS261" s="173"/>
      <c r="AT261" s="173"/>
      <c r="AU261" s="173"/>
      <c r="AV261" s="173"/>
      <c r="AW261" s="173"/>
      <c r="AX261" s="173"/>
      <c r="AY261" s="173"/>
      <c r="AZ261" s="173"/>
      <c r="BA261" s="173"/>
      <c r="BB261" s="173"/>
      <c r="BC261" s="173"/>
      <c r="BD261" s="173"/>
      <c r="BE261" s="173"/>
      <c r="BF261" s="173"/>
      <c r="BG261" s="173"/>
      <c r="BH261" s="173"/>
      <c r="BI261" s="173"/>
      <c r="BJ261" s="173"/>
      <c r="BK261" s="173"/>
      <c r="BL261" s="173"/>
      <c r="BM261" s="173"/>
      <c r="BN261" s="173"/>
      <c r="BO261" s="173"/>
      <c r="BP261" s="173"/>
      <c r="BQ261" s="173"/>
      <c r="BR261" s="173"/>
      <c r="BS261" s="173"/>
      <c r="BT261" s="173"/>
      <c r="BU261" s="173"/>
      <c r="BV261" s="173"/>
      <c r="BW261" s="173"/>
      <c r="BX261" s="173"/>
      <c r="BY261" s="173"/>
      <c r="BZ261" s="173"/>
      <c r="CA261" s="173"/>
      <c r="CB261" s="173"/>
      <c r="CC261" s="173"/>
      <c r="CD261" s="173"/>
      <c r="CE261" s="173"/>
      <c r="CF261" s="173"/>
      <c r="CG261" s="173"/>
      <c r="CH261" s="173"/>
      <c r="CI261" s="173"/>
      <c r="CJ261" s="173"/>
      <c r="CK261" s="173"/>
      <c r="CL261" s="173"/>
      <c r="CM261" s="173"/>
      <c r="CN261" s="173"/>
      <c r="CO261" s="173"/>
      <c r="CP261" s="173"/>
      <c r="CQ261" s="173"/>
      <c r="CR261" s="173"/>
      <c r="CS261" s="173"/>
      <c r="CT261" s="173"/>
      <c r="CU261" s="173"/>
      <c r="CV261" s="173"/>
      <c r="CW261" s="173"/>
      <c r="CX261" s="173"/>
      <c r="CY261" s="148"/>
      <c r="CZ261" s="148"/>
      <c r="DA261" s="148"/>
      <c r="DB261" s="148"/>
      <c r="DC261" s="148"/>
      <c r="DD261" s="148"/>
      <c r="DE261" s="148"/>
      <c r="DF261" s="148"/>
      <c r="DG261" s="148"/>
      <c r="DH261" s="148"/>
      <c r="DI261" s="148"/>
      <c r="DJ261" s="148"/>
      <c r="DK261" s="148"/>
      <c r="DL261" s="148"/>
      <c r="DM261" s="148"/>
      <c r="DN261" s="148"/>
      <c r="DO261" s="148"/>
      <c r="DP261" s="148"/>
      <c r="DQ261" s="148"/>
      <c r="DR261" s="148"/>
      <c r="DS261" s="148"/>
      <c r="DT261" s="148"/>
      <c r="DU261" s="148"/>
      <c r="DV261" s="148"/>
      <c r="DW261" s="148"/>
      <c r="DX261" s="148"/>
      <c r="DY261" s="148"/>
      <c r="DZ261" s="148"/>
      <c r="EA261" s="148"/>
      <c r="EB261" s="148"/>
      <c r="EC261" s="148"/>
      <c r="ED261" s="148"/>
      <c r="EE261" s="148"/>
      <c r="EF261" s="148"/>
      <c r="EG261" s="148"/>
      <c r="EH261" s="148"/>
      <c r="EI261" s="148"/>
      <c r="EJ261" s="148"/>
      <c r="EK261" s="148"/>
      <c r="EL261" s="148"/>
      <c r="EM261" s="148"/>
      <c r="EN261" s="148"/>
      <c r="EO261" s="148"/>
      <c r="EP261" s="148"/>
      <c r="EQ261" s="148"/>
      <c r="ER261" s="148"/>
      <c r="ES261" s="151"/>
      <c r="ET261" s="151"/>
      <c r="EU261" s="151"/>
      <c r="EV261" s="151"/>
      <c r="EW261" s="151"/>
      <c r="EX261" s="151"/>
      <c r="EY261" s="151"/>
      <c r="EZ261" s="151"/>
      <c r="FA261" s="151"/>
      <c r="FB261" s="151"/>
      <c r="FC261" s="151"/>
      <c r="FD261" s="151"/>
      <c r="FE261" s="151"/>
      <c r="FF261" s="151"/>
      <c r="FG261" s="151"/>
      <c r="FH261" s="151"/>
      <c r="FI261" s="151"/>
      <c r="FJ261" s="151"/>
      <c r="FK261" s="151"/>
      <c r="FL261" s="151"/>
      <c r="FM261" s="151"/>
      <c r="FN261" s="151"/>
      <c r="FO261" s="151"/>
      <c r="FP261" s="151"/>
      <c r="FQ261" s="151"/>
      <c r="FR261" s="151"/>
      <c r="FS261" s="151"/>
      <c r="FT261" s="151"/>
      <c r="FU261" s="151"/>
      <c r="FV261" s="151"/>
      <c r="FW261" s="151"/>
      <c r="FX261" s="151"/>
      <c r="FY261" s="151"/>
      <c r="FZ261" s="151"/>
      <c r="GA261" s="151"/>
      <c r="GB261" s="151"/>
      <c r="GC261" s="151"/>
      <c r="GD261" s="151"/>
      <c r="GE261" s="151"/>
      <c r="GF261" s="151"/>
      <c r="GG261" s="152"/>
    </row>
    <row r="262" spans="1:189" ht="27.75" x14ac:dyDescent="0.35">
      <c r="A262" s="222" t="s">
        <v>497</v>
      </c>
      <c r="B262" s="221"/>
      <c r="C262" s="221"/>
      <c r="D262" s="222"/>
      <c r="E262" s="221" t="s">
        <v>402</v>
      </c>
      <c r="F262" s="221" t="s">
        <v>403</v>
      </c>
      <c r="G262" s="223">
        <v>1</v>
      </c>
      <c r="H262" s="224"/>
      <c r="I262" s="225"/>
      <c r="J262" s="225"/>
      <c r="K262" s="225"/>
      <c r="L262" s="226">
        <v>46444</v>
      </c>
      <c r="M262" s="226">
        <v>46507</v>
      </c>
      <c r="N262" s="226"/>
      <c r="O262" s="226">
        <v>46753</v>
      </c>
      <c r="P262" s="226">
        <v>46934</v>
      </c>
      <c r="Q262" s="227" t="s">
        <v>45</v>
      </c>
      <c r="R262" s="228">
        <v>150000</v>
      </c>
      <c r="S262" s="228">
        <v>150000</v>
      </c>
      <c r="T262" s="228"/>
      <c r="U262" s="191">
        <f t="shared" si="226"/>
        <v>0</v>
      </c>
      <c r="V262" s="230"/>
      <c r="W262" s="232"/>
      <c r="X262" s="46"/>
      <c r="Y262" s="167">
        <f t="shared" si="219"/>
        <v>0</v>
      </c>
      <c r="Z262" s="167">
        <f t="shared" si="220"/>
        <v>0</v>
      </c>
      <c r="AA262" s="167">
        <f t="shared" si="221"/>
        <v>0</v>
      </c>
      <c r="AB262" s="167">
        <f t="shared" si="222"/>
        <v>150000</v>
      </c>
      <c r="AC262" s="167">
        <f t="shared" si="223"/>
        <v>0</v>
      </c>
      <c r="AD262" s="167">
        <f t="shared" si="224"/>
        <v>150000</v>
      </c>
      <c r="AF262" s="180">
        <f t="shared" si="225"/>
        <v>1</v>
      </c>
      <c r="AG262" s="202" t="str">
        <f t="shared" si="218"/>
        <v xml:space="preserve"> Disposal of waste after testing - discharge of waste water</v>
      </c>
      <c r="AH262" s="172"/>
      <c r="AI262" s="173"/>
      <c r="AJ262" s="173"/>
      <c r="AK262" s="173"/>
      <c r="AL262" s="173"/>
      <c r="AM262" s="173"/>
      <c r="AN262" s="173"/>
      <c r="AO262" s="173"/>
      <c r="AP262" s="173"/>
      <c r="AQ262" s="173"/>
      <c r="AR262" s="173"/>
      <c r="AS262" s="173"/>
      <c r="AT262" s="173"/>
      <c r="AU262" s="173"/>
      <c r="AV262" s="173"/>
      <c r="AW262" s="173"/>
      <c r="AX262" s="173"/>
      <c r="AY262" s="173"/>
      <c r="AZ262" s="173"/>
      <c r="BA262" s="173"/>
      <c r="BB262" s="173"/>
      <c r="BC262" s="173"/>
      <c r="BD262" s="173"/>
      <c r="BE262" s="173"/>
      <c r="BF262" s="173"/>
      <c r="BG262" s="173"/>
      <c r="BH262" s="173"/>
      <c r="BI262" s="173"/>
      <c r="BJ262" s="173"/>
      <c r="BK262" s="173"/>
      <c r="BL262" s="173"/>
      <c r="BM262" s="173"/>
      <c r="BN262" s="173"/>
      <c r="BO262" s="173"/>
      <c r="BP262" s="173"/>
      <c r="BQ262" s="173"/>
      <c r="BR262" s="173"/>
      <c r="BS262" s="173"/>
      <c r="BT262" s="173"/>
      <c r="BU262" s="173"/>
      <c r="BV262" s="173"/>
      <c r="BW262" s="173"/>
      <c r="BX262" s="173"/>
      <c r="BY262" s="173"/>
      <c r="BZ262" s="173"/>
      <c r="CA262" s="173"/>
      <c r="CB262" s="173"/>
      <c r="CC262" s="173"/>
      <c r="CD262" s="173"/>
      <c r="CE262" s="173"/>
      <c r="CF262" s="173"/>
      <c r="CG262" s="173"/>
      <c r="CH262" s="173"/>
      <c r="CI262" s="173"/>
      <c r="CJ262" s="173"/>
      <c r="CK262" s="173"/>
      <c r="CL262" s="173"/>
      <c r="CM262" s="173"/>
      <c r="CN262" s="173"/>
      <c r="CO262" s="173"/>
      <c r="CP262" s="173"/>
      <c r="CQ262" s="173"/>
      <c r="CR262" s="173"/>
      <c r="CS262" s="173"/>
      <c r="CT262" s="173"/>
      <c r="CU262" s="173"/>
      <c r="CV262" s="173"/>
      <c r="CW262" s="173"/>
      <c r="CX262" s="173"/>
      <c r="CY262" s="148"/>
      <c r="CZ262" s="148"/>
      <c r="DA262" s="148"/>
      <c r="DB262" s="148"/>
      <c r="DC262" s="148"/>
      <c r="DD262" s="148"/>
      <c r="DE262" s="148"/>
      <c r="DF262" s="148"/>
      <c r="DG262" s="148"/>
      <c r="DH262" s="148"/>
      <c r="DI262" s="148"/>
      <c r="DJ262" s="148"/>
      <c r="DK262" s="148"/>
      <c r="DL262" s="148"/>
      <c r="DM262" s="148"/>
      <c r="DN262" s="148"/>
      <c r="DO262" s="148"/>
      <c r="DP262" s="148"/>
      <c r="DQ262" s="148"/>
      <c r="DR262" s="148"/>
      <c r="DS262" s="148"/>
      <c r="DT262" s="148"/>
      <c r="DU262" s="148"/>
      <c r="DV262" s="148"/>
      <c r="DW262" s="148"/>
      <c r="DX262" s="148"/>
      <c r="DY262" s="148"/>
      <c r="DZ262" s="148"/>
      <c r="EA262" s="148"/>
      <c r="EB262" s="148"/>
      <c r="EC262" s="148"/>
      <c r="ED262" s="148"/>
      <c r="EE262" s="148"/>
      <c r="EF262" s="148"/>
      <c r="EG262" s="148"/>
      <c r="EH262" s="148"/>
      <c r="EI262" s="148"/>
      <c r="EJ262" s="148"/>
      <c r="EK262" s="148"/>
      <c r="EL262" s="148"/>
      <c r="EM262" s="148"/>
      <c r="EN262" s="148"/>
      <c r="EO262" s="148"/>
      <c r="EP262" s="148"/>
      <c r="EQ262" s="148"/>
      <c r="ER262" s="148"/>
      <c r="ES262" s="151"/>
      <c r="ET262" s="151"/>
      <c r="EU262" s="151"/>
      <c r="EV262" s="151"/>
      <c r="EW262" s="151"/>
      <c r="EX262" s="151"/>
      <c r="EY262" s="151"/>
      <c r="EZ262" s="151"/>
      <c r="FA262" s="151"/>
      <c r="FB262" s="151"/>
      <c r="FC262" s="151"/>
      <c r="FD262" s="151"/>
      <c r="FE262" s="151"/>
      <c r="FF262" s="151"/>
      <c r="FG262" s="151"/>
      <c r="FH262" s="151"/>
      <c r="FI262" s="151"/>
      <c r="FJ262" s="151"/>
      <c r="FK262" s="151"/>
      <c r="FL262" s="151"/>
      <c r="FM262" s="151"/>
      <c r="FN262" s="151"/>
      <c r="FO262" s="151"/>
      <c r="FP262" s="151"/>
      <c r="FQ262" s="151"/>
      <c r="FR262" s="151"/>
      <c r="FS262" s="151"/>
      <c r="FT262" s="151"/>
      <c r="FU262" s="151"/>
      <c r="FV262" s="151"/>
      <c r="FW262" s="151"/>
      <c r="FX262" s="151"/>
      <c r="FY262" s="151"/>
      <c r="FZ262" s="151"/>
      <c r="GA262" s="151"/>
      <c r="GB262" s="151"/>
      <c r="GC262" s="151"/>
      <c r="GD262" s="151"/>
      <c r="GE262" s="151"/>
      <c r="GF262" s="151"/>
      <c r="GG262" s="152"/>
    </row>
    <row r="263" spans="1:189" x14ac:dyDescent="0.35">
      <c r="A263" s="237" t="s">
        <v>498</v>
      </c>
      <c r="B263" s="236"/>
      <c r="C263" s="236"/>
      <c r="D263" s="237"/>
      <c r="E263" s="236" t="s">
        <v>395</v>
      </c>
      <c r="F263" s="236" t="s">
        <v>375</v>
      </c>
      <c r="G263" s="238">
        <v>2</v>
      </c>
      <c r="H263" s="239"/>
      <c r="I263" s="240"/>
      <c r="J263" s="240"/>
      <c r="K263" s="240"/>
      <c r="L263" s="241">
        <v>46444</v>
      </c>
      <c r="M263" s="241">
        <v>46507</v>
      </c>
      <c r="N263" s="241"/>
      <c r="O263" s="241">
        <v>46753</v>
      </c>
      <c r="P263" s="241">
        <v>46934</v>
      </c>
      <c r="Q263" s="242" t="s">
        <v>45</v>
      </c>
      <c r="R263" s="243">
        <v>500000</v>
      </c>
      <c r="S263" s="243">
        <v>500000</v>
      </c>
      <c r="T263" s="243"/>
      <c r="U263" s="191">
        <f t="shared" si="226"/>
        <v>0</v>
      </c>
      <c r="V263" s="244"/>
      <c r="W263" s="245"/>
      <c r="X263" s="46"/>
      <c r="Y263" s="167">
        <f t="shared" si="219"/>
        <v>500000</v>
      </c>
      <c r="Z263" s="167">
        <f t="shared" si="220"/>
        <v>0</v>
      </c>
      <c r="AA263" s="167">
        <f t="shared" si="221"/>
        <v>500000</v>
      </c>
      <c r="AB263" s="167">
        <f t="shared" si="222"/>
        <v>0</v>
      </c>
      <c r="AC263" s="167">
        <f t="shared" si="223"/>
        <v>0</v>
      </c>
      <c r="AD263" s="167">
        <f t="shared" si="224"/>
        <v>0</v>
      </c>
      <c r="AF263" s="47">
        <f t="shared" si="225"/>
        <v>1</v>
      </c>
      <c r="AG263" s="202" t="str">
        <f t="shared" si="218"/>
        <v xml:space="preserve"> Training</v>
      </c>
      <c r="AH263" s="172"/>
      <c r="AI263" s="173"/>
      <c r="AJ263" s="173"/>
      <c r="AK263" s="173"/>
      <c r="AL263" s="173"/>
      <c r="AM263" s="173"/>
      <c r="AN263" s="173"/>
      <c r="AO263" s="173"/>
      <c r="AP263" s="173"/>
      <c r="AQ263" s="173"/>
      <c r="AR263" s="173"/>
      <c r="AS263" s="173"/>
      <c r="AT263" s="173"/>
      <c r="AU263" s="173"/>
      <c r="AV263" s="173"/>
      <c r="AW263" s="173"/>
      <c r="AX263" s="173"/>
      <c r="AY263" s="173"/>
      <c r="AZ263" s="173"/>
      <c r="BA263" s="173"/>
      <c r="BB263" s="173"/>
      <c r="BC263" s="173"/>
      <c r="BD263" s="173"/>
      <c r="BE263" s="173"/>
      <c r="BF263" s="173"/>
      <c r="BG263" s="173"/>
      <c r="BH263" s="173"/>
      <c r="BI263" s="173"/>
      <c r="BJ263" s="173"/>
      <c r="BK263" s="173"/>
      <c r="BL263" s="173"/>
      <c r="BM263" s="173"/>
      <c r="BN263" s="173"/>
      <c r="BO263" s="173"/>
      <c r="BP263" s="173"/>
      <c r="BQ263" s="173"/>
      <c r="BR263" s="173"/>
      <c r="BS263" s="173"/>
      <c r="BT263" s="173"/>
      <c r="BU263" s="173"/>
      <c r="BV263" s="173"/>
      <c r="BW263" s="173"/>
      <c r="BX263" s="173"/>
      <c r="BY263" s="173"/>
      <c r="BZ263" s="173"/>
      <c r="CA263" s="173"/>
      <c r="CB263" s="173"/>
      <c r="CC263" s="173"/>
      <c r="CD263" s="173"/>
      <c r="CE263" s="173"/>
      <c r="CF263" s="173"/>
      <c r="CG263" s="173"/>
      <c r="CH263" s="173"/>
      <c r="CI263" s="173"/>
      <c r="CJ263" s="173"/>
      <c r="CK263" s="173"/>
      <c r="CL263" s="173"/>
      <c r="CM263" s="173"/>
      <c r="CN263" s="173"/>
      <c r="CO263" s="173"/>
      <c r="CP263" s="173"/>
      <c r="CQ263" s="173"/>
      <c r="CR263" s="173"/>
      <c r="CS263" s="173"/>
      <c r="CT263" s="173"/>
      <c r="CU263" s="173"/>
      <c r="CV263" s="173"/>
      <c r="CW263" s="173"/>
      <c r="CX263" s="173"/>
      <c r="CY263" s="148"/>
      <c r="CZ263" s="148"/>
      <c r="DA263" s="148"/>
      <c r="DB263" s="148"/>
      <c r="DC263" s="148"/>
      <c r="DD263" s="148"/>
      <c r="DE263" s="148"/>
      <c r="DF263" s="148"/>
      <c r="DG263" s="148"/>
      <c r="DH263" s="148"/>
      <c r="DI263" s="148"/>
      <c r="DJ263" s="148"/>
      <c r="DK263" s="148"/>
      <c r="DL263" s="148"/>
      <c r="DM263" s="148"/>
      <c r="DN263" s="148"/>
      <c r="DO263" s="148"/>
      <c r="DP263" s="148"/>
      <c r="DQ263" s="148"/>
      <c r="DR263" s="148"/>
      <c r="DS263" s="148"/>
      <c r="DT263" s="148"/>
      <c r="DU263" s="148"/>
      <c r="DV263" s="148"/>
      <c r="DW263" s="148"/>
      <c r="DX263" s="148"/>
      <c r="DY263" s="148"/>
      <c r="DZ263" s="148"/>
      <c r="EA263" s="148"/>
      <c r="EB263" s="148"/>
      <c r="EC263" s="148"/>
      <c r="ED263" s="148"/>
      <c r="EE263" s="148"/>
      <c r="EF263" s="148"/>
      <c r="EG263" s="148"/>
      <c r="EH263" s="148"/>
      <c r="EI263" s="148"/>
      <c r="EJ263" s="148"/>
      <c r="EK263" s="148"/>
      <c r="EL263" s="148"/>
      <c r="EM263" s="148"/>
      <c r="EN263" s="148"/>
      <c r="EO263" s="148"/>
      <c r="EP263" s="148"/>
      <c r="EQ263" s="148"/>
      <c r="ER263" s="148"/>
      <c r="ES263" s="151"/>
      <c r="ET263" s="151"/>
      <c r="EU263" s="151"/>
      <c r="EV263" s="151"/>
      <c r="EW263" s="151"/>
      <c r="EX263" s="151"/>
      <c r="EY263" s="151"/>
      <c r="EZ263" s="151"/>
      <c r="FA263" s="151"/>
      <c r="FB263" s="151"/>
      <c r="FC263" s="151"/>
      <c r="FD263" s="151"/>
      <c r="FE263" s="151"/>
      <c r="FF263" s="151"/>
      <c r="FG263" s="151"/>
      <c r="FH263" s="151"/>
      <c r="FI263" s="151"/>
      <c r="FJ263" s="151"/>
      <c r="FK263" s="151"/>
      <c r="FL263" s="151"/>
      <c r="FM263" s="151"/>
      <c r="FN263" s="151"/>
      <c r="FO263" s="151"/>
      <c r="FP263" s="151"/>
      <c r="FQ263" s="151"/>
      <c r="FR263" s="151"/>
      <c r="FS263" s="151"/>
      <c r="FT263" s="151"/>
      <c r="FU263" s="151"/>
      <c r="FV263" s="151"/>
      <c r="FW263" s="151"/>
      <c r="FX263" s="151"/>
      <c r="FY263" s="151"/>
      <c r="FZ263" s="151"/>
      <c r="GA263" s="151"/>
      <c r="GB263" s="151"/>
      <c r="GC263" s="151"/>
      <c r="GD263" s="151"/>
      <c r="GE263" s="151"/>
      <c r="GF263" s="151"/>
      <c r="GG263" s="152"/>
    </row>
    <row r="264" spans="1:189" x14ac:dyDescent="0.35">
      <c r="A264" s="237" t="s">
        <v>499</v>
      </c>
      <c r="B264" s="236"/>
      <c r="C264" s="236"/>
      <c r="D264" s="237"/>
      <c r="E264" s="236" t="s">
        <v>396</v>
      </c>
      <c r="F264" s="236" t="s">
        <v>377</v>
      </c>
      <c r="G264" s="238">
        <v>2</v>
      </c>
      <c r="H264" s="239"/>
      <c r="I264" s="240"/>
      <c r="J264" s="240"/>
      <c r="K264" s="240"/>
      <c r="L264" s="241">
        <v>46444</v>
      </c>
      <c r="M264" s="241">
        <v>46507</v>
      </c>
      <c r="N264" s="241"/>
      <c r="O264" s="241">
        <v>46753</v>
      </c>
      <c r="P264" s="241">
        <v>46934</v>
      </c>
      <c r="Q264" s="242" t="s">
        <v>45</v>
      </c>
      <c r="R264" s="243">
        <v>500000</v>
      </c>
      <c r="S264" s="243">
        <f>500000-SUM(S265)</f>
        <v>400000</v>
      </c>
      <c r="T264" s="243"/>
      <c r="U264" s="191">
        <f t="shared" si="226"/>
        <v>0</v>
      </c>
      <c r="V264" s="244"/>
      <c r="W264" s="245"/>
      <c r="X264" s="46"/>
      <c r="Y264" s="167">
        <f t="shared" si="219"/>
        <v>400000</v>
      </c>
      <c r="Z264" s="167">
        <f t="shared" si="220"/>
        <v>0</v>
      </c>
      <c r="AA264" s="167">
        <f t="shared" si="221"/>
        <v>400000</v>
      </c>
      <c r="AB264" s="167">
        <f t="shared" si="222"/>
        <v>0</v>
      </c>
      <c r="AC264" s="167">
        <f t="shared" si="223"/>
        <v>0</v>
      </c>
      <c r="AD264" s="167">
        <f t="shared" si="224"/>
        <v>0</v>
      </c>
      <c r="AF264" s="180">
        <f t="shared" si="225"/>
        <v>1</v>
      </c>
      <c r="AG264" s="202" t="str">
        <f t="shared" si="218"/>
        <v xml:space="preserve"> Spare parts (guarantee period 48 msc)</v>
      </c>
      <c r="AH264" s="172"/>
      <c r="AI264" s="173"/>
      <c r="AJ264" s="173"/>
      <c r="AK264" s="173"/>
      <c r="AL264" s="173"/>
      <c r="AM264" s="173"/>
      <c r="AN264" s="173"/>
      <c r="AO264" s="173"/>
      <c r="AP264" s="173"/>
      <c r="AQ264" s="173"/>
      <c r="AR264" s="173"/>
      <c r="AS264" s="173"/>
      <c r="AT264" s="173"/>
      <c r="AU264" s="173"/>
      <c r="AV264" s="173"/>
      <c r="AW264" s="173"/>
      <c r="AX264" s="173"/>
      <c r="AY264" s="173"/>
      <c r="AZ264" s="173"/>
      <c r="BA264" s="173"/>
      <c r="BB264" s="173"/>
      <c r="BC264" s="173"/>
      <c r="BD264" s="173"/>
      <c r="BE264" s="173"/>
      <c r="BF264" s="173"/>
      <c r="BG264" s="173"/>
      <c r="BH264" s="173"/>
      <c r="BI264" s="173"/>
      <c r="BJ264" s="173"/>
      <c r="BK264" s="173"/>
      <c r="BL264" s="173"/>
      <c r="BM264" s="173"/>
      <c r="BN264" s="173"/>
      <c r="BO264" s="173"/>
      <c r="BP264" s="173"/>
      <c r="BQ264" s="173"/>
      <c r="BR264" s="173"/>
      <c r="BS264" s="173"/>
      <c r="BT264" s="173"/>
      <c r="BU264" s="173"/>
      <c r="BV264" s="173"/>
      <c r="BW264" s="173"/>
      <c r="BX264" s="173"/>
      <c r="BY264" s="173"/>
      <c r="BZ264" s="173"/>
      <c r="CA264" s="173"/>
      <c r="CB264" s="173"/>
      <c r="CC264" s="173"/>
      <c r="CD264" s="173"/>
      <c r="CE264" s="173"/>
      <c r="CF264" s="173"/>
      <c r="CG264" s="173"/>
      <c r="CH264" s="173"/>
      <c r="CI264" s="173"/>
      <c r="CJ264" s="173"/>
      <c r="CK264" s="173"/>
      <c r="CL264" s="173"/>
      <c r="CM264" s="173"/>
      <c r="CN264" s="173"/>
      <c r="CO264" s="173"/>
      <c r="CP264" s="173"/>
      <c r="CQ264" s="173"/>
      <c r="CR264" s="173"/>
      <c r="CS264" s="173"/>
      <c r="CT264" s="173"/>
      <c r="CU264" s="173"/>
      <c r="CV264" s="173"/>
      <c r="CW264" s="173"/>
      <c r="CX264" s="173"/>
      <c r="CY264" s="148"/>
      <c r="CZ264" s="148"/>
      <c r="DA264" s="148"/>
      <c r="DB264" s="148"/>
      <c r="DC264" s="148"/>
      <c r="DD264" s="148"/>
      <c r="DE264" s="148"/>
      <c r="DF264" s="148"/>
      <c r="DG264" s="148"/>
      <c r="DH264" s="148"/>
      <c r="DI264" s="148"/>
      <c r="DJ264" s="148"/>
      <c r="DK264" s="148"/>
      <c r="DL264" s="148"/>
      <c r="DM264" s="148"/>
      <c r="DN264" s="148"/>
      <c r="DO264" s="148"/>
      <c r="DP264" s="148"/>
      <c r="DQ264" s="148"/>
      <c r="DR264" s="148"/>
      <c r="DS264" s="148"/>
      <c r="DT264" s="148"/>
      <c r="DU264" s="148"/>
      <c r="DV264" s="148"/>
      <c r="DW264" s="148"/>
      <c r="DX264" s="148"/>
      <c r="DY264" s="148"/>
      <c r="DZ264" s="148"/>
      <c r="EA264" s="148"/>
      <c r="EB264" s="148"/>
      <c r="EC264" s="148"/>
      <c r="ED264" s="148"/>
      <c r="EE264" s="148"/>
      <c r="EF264" s="148"/>
      <c r="EG264" s="148"/>
      <c r="EH264" s="148"/>
      <c r="EI264" s="148"/>
      <c r="EJ264" s="148"/>
      <c r="EK264" s="148"/>
      <c r="EL264" s="148"/>
      <c r="EM264" s="148"/>
      <c r="EN264" s="148"/>
      <c r="EO264" s="148"/>
      <c r="EP264" s="148"/>
      <c r="EQ264" s="148"/>
      <c r="ER264" s="148"/>
      <c r="ES264" s="151"/>
      <c r="ET264" s="151"/>
      <c r="EU264" s="151"/>
      <c r="EV264" s="151"/>
      <c r="EW264" s="151"/>
      <c r="EX264" s="151"/>
      <c r="EY264" s="151"/>
      <c r="EZ264" s="151"/>
      <c r="FA264" s="151"/>
      <c r="FB264" s="151"/>
      <c r="FC264" s="151"/>
      <c r="FD264" s="151"/>
      <c r="FE264" s="151"/>
      <c r="FF264" s="151"/>
      <c r="FG264" s="151"/>
      <c r="FH264" s="151"/>
      <c r="FI264" s="151"/>
      <c r="FJ264" s="151"/>
      <c r="FK264" s="151"/>
      <c r="FL264" s="151"/>
      <c r="FM264" s="151"/>
      <c r="FN264" s="151"/>
      <c r="FO264" s="151"/>
      <c r="FP264" s="151"/>
      <c r="FQ264" s="151"/>
      <c r="FR264" s="151"/>
      <c r="FS264" s="151"/>
      <c r="FT264" s="151"/>
      <c r="FU264" s="151"/>
      <c r="FV264" s="151"/>
      <c r="FW264" s="151"/>
      <c r="FX264" s="151"/>
      <c r="FY264" s="151"/>
      <c r="FZ264" s="151"/>
      <c r="GA264" s="151"/>
      <c r="GB264" s="151"/>
      <c r="GC264" s="151"/>
      <c r="GD264" s="151"/>
      <c r="GE264" s="151"/>
      <c r="GF264" s="151"/>
      <c r="GG264" s="152"/>
    </row>
    <row r="265" spans="1:189" ht="41.65" x14ac:dyDescent="0.35">
      <c r="A265" s="222" t="s">
        <v>1255</v>
      </c>
      <c r="B265" s="221" t="s">
        <v>1067</v>
      </c>
      <c r="C265" s="221" t="s">
        <v>1187</v>
      </c>
      <c r="D265" s="222"/>
      <c r="E265" s="221" t="s">
        <v>1256</v>
      </c>
      <c r="F265" s="221" t="s">
        <v>1257</v>
      </c>
      <c r="G265" s="223">
        <v>2</v>
      </c>
      <c r="H265" s="224" t="s">
        <v>1050</v>
      </c>
      <c r="I265" s="225"/>
      <c r="J265" s="225"/>
      <c r="K265" s="225"/>
      <c r="L265" s="226">
        <v>45962</v>
      </c>
      <c r="M265" s="226">
        <v>46052</v>
      </c>
      <c r="N265" s="226">
        <v>46134</v>
      </c>
      <c r="O265" s="226">
        <v>46134</v>
      </c>
      <c r="P265" s="226">
        <v>46934</v>
      </c>
      <c r="Q265" s="227" t="s">
        <v>20</v>
      </c>
      <c r="R265" s="228"/>
      <c r="S265" s="228">
        <v>100000</v>
      </c>
      <c r="T265" s="228">
        <v>350000</v>
      </c>
      <c r="U265" s="191">
        <f t="shared" ref="U265" si="236">IF(Q265="",0,IF(T265="",0,+S265-T265))</f>
        <v>-250000</v>
      </c>
      <c r="V265" s="230"/>
      <c r="W265" s="232"/>
      <c r="X265" s="46"/>
      <c r="Y265" s="167">
        <f t="shared" ref="Y265" si="237">IF(G265=2,S265,0)</f>
        <v>100000</v>
      </c>
      <c r="Z265" s="167">
        <f t="shared" ref="Z265" si="238">IF(Q265="",0,IF(G265=2,T265,0))</f>
        <v>350000</v>
      </c>
      <c r="AA265" s="167">
        <f t="shared" ref="AA265" si="239">Y265-Z265</f>
        <v>-250000</v>
      </c>
      <c r="AB265" s="167">
        <f t="shared" ref="AB265" si="240">IF(G265=1,S265,0)</f>
        <v>0</v>
      </c>
      <c r="AC265" s="167">
        <f t="shared" ref="AC265" si="241">IF(Q265="",0,IF(G265=1,T265,0))</f>
        <v>0</v>
      </c>
      <c r="AD265" s="167">
        <f t="shared" ref="AD265" si="242">AB265-AC265</f>
        <v>0</v>
      </c>
      <c r="AF265" s="180">
        <f t="shared" ref="AF265" si="243">IF(S265&lt;&gt;"",1,0)</f>
        <v>1</v>
      </c>
      <c r="AG265" s="202" t="str">
        <f t="shared" ref="AG265" si="244">B265&amp;" "&amp;F265</f>
        <v>Radosław Zdancewicz Extension of the guarantee and warranty period to 48 months for electrical, technical and I&amp;C works</v>
      </c>
      <c r="AH265" s="172"/>
      <c r="AI265" s="173"/>
      <c r="AJ265" s="173"/>
      <c r="AK265" s="173"/>
      <c r="AL265" s="173"/>
      <c r="AM265" s="173"/>
      <c r="AN265" s="173"/>
      <c r="AO265" s="173"/>
      <c r="AP265" s="173"/>
      <c r="AQ265" s="173"/>
      <c r="AR265" s="173"/>
      <c r="AS265" s="173"/>
      <c r="AT265" s="173"/>
      <c r="AU265" s="173"/>
      <c r="AV265" s="173"/>
      <c r="AW265" s="173"/>
      <c r="AX265" s="173"/>
      <c r="AY265" s="173"/>
      <c r="AZ265" s="173"/>
      <c r="BA265" s="173"/>
      <c r="BB265" s="173"/>
      <c r="BC265" s="173"/>
      <c r="BD265" s="173"/>
      <c r="BE265" s="173"/>
      <c r="BF265" s="173"/>
      <c r="BG265" s="173"/>
      <c r="BH265" s="173"/>
      <c r="BI265" s="173"/>
      <c r="BJ265" s="173"/>
      <c r="BK265" s="173"/>
      <c r="BL265" s="173"/>
      <c r="BM265" s="173"/>
      <c r="BN265" s="173"/>
      <c r="BO265" s="173"/>
      <c r="BP265" s="173"/>
      <c r="BQ265" s="173"/>
      <c r="BR265" s="173"/>
      <c r="BS265" s="173"/>
      <c r="BT265" s="173"/>
      <c r="BU265" s="173"/>
      <c r="BV265" s="173"/>
      <c r="BW265" s="173"/>
      <c r="BX265" s="173"/>
      <c r="BY265" s="173"/>
      <c r="BZ265" s="173"/>
      <c r="CA265" s="173"/>
      <c r="CB265" s="173"/>
      <c r="CC265" s="173"/>
      <c r="CD265" s="173"/>
      <c r="CE265" s="173"/>
      <c r="CF265" s="173"/>
      <c r="CG265" s="173"/>
      <c r="CH265" s="173"/>
      <c r="CI265" s="173"/>
      <c r="CJ265" s="173"/>
      <c r="CK265" s="173"/>
      <c r="CL265" s="173"/>
      <c r="CM265" s="173"/>
      <c r="CN265" s="173"/>
      <c r="CO265" s="173"/>
      <c r="CP265" s="173"/>
      <c r="CQ265" s="173"/>
      <c r="CR265" s="173"/>
      <c r="CS265" s="173"/>
      <c r="CT265" s="173"/>
      <c r="CU265" s="173"/>
      <c r="CV265" s="173"/>
      <c r="CW265" s="173"/>
      <c r="CX265" s="173"/>
      <c r="CY265" s="148"/>
      <c r="CZ265" s="148"/>
      <c r="DA265" s="148"/>
      <c r="DB265" s="148"/>
      <c r="DC265" s="148"/>
      <c r="DD265" s="148"/>
      <c r="DE265" s="148"/>
      <c r="DF265" s="148"/>
      <c r="DG265" s="148"/>
      <c r="DH265" s="148"/>
      <c r="DI265" s="148"/>
      <c r="DJ265" s="148"/>
      <c r="DK265" s="148"/>
      <c r="DL265" s="148"/>
      <c r="DM265" s="148"/>
      <c r="DN265" s="148"/>
      <c r="DO265" s="148"/>
      <c r="DP265" s="148"/>
      <c r="DQ265" s="148"/>
      <c r="DR265" s="148"/>
      <c r="DS265" s="148"/>
      <c r="DT265" s="148"/>
      <c r="DU265" s="148"/>
      <c r="DV265" s="148"/>
      <c r="DW265" s="148"/>
      <c r="DX265" s="148"/>
      <c r="DY265" s="148"/>
      <c r="DZ265" s="148"/>
      <c r="EA265" s="148"/>
      <c r="EB265" s="148"/>
      <c r="EC265" s="148"/>
      <c r="ED265" s="148"/>
      <c r="EE265" s="148"/>
      <c r="EF265" s="148"/>
      <c r="EG265" s="148"/>
      <c r="EH265" s="148"/>
      <c r="EI265" s="148"/>
      <c r="EJ265" s="148"/>
      <c r="EK265" s="148"/>
      <c r="EL265" s="148"/>
      <c r="EM265" s="148"/>
      <c r="EN265" s="148"/>
      <c r="EO265" s="148"/>
      <c r="EP265" s="148"/>
      <c r="EQ265" s="148"/>
      <c r="ER265" s="148"/>
      <c r="ES265" s="151"/>
      <c r="ET265" s="151"/>
      <c r="EU265" s="151"/>
      <c r="EV265" s="151"/>
      <c r="EW265" s="151"/>
      <c r="EX265" s="151"/>
      <c r="EY265" s="151"/>
      <c r="EZ265" s="151"/>
      <c r="FA265" s="151"/>
      <c r="FB265" s="151"/>
      <c r="FC265" s="151"/>
      <c r="FD265" s="151"/>
      <c r="FE265" s="151"/>
      <c r="FF265" s="151"/>
      <c r="FG265" s="151"/>
      <c r="FH265" s="151"/>
      <c r="FI265" s="151"/>
      <c r="FJ265" s="151"/>
      <c r="FK265" s="151"/>
      <c r="FL265" s="151"/>
      <c r="FM265" s="151"/>
      <c r="FN265" s="151"/>
      <c r="FO265" s="151"/>
      <c r="FP265" s="151"/>
      <c r="FQ265" s="151"/>
      <c r="FR265" s="151"/>
      <c r="FS265" s="151"/>
      <c r="FT265" s="151"/>
      <c r="FU265" s="151"/>
      <c r="FV265" s="151"/>
      <c r="FW265" s="151"/>
      <c r="FX265" s="151"/>
      <c r="FY265" s="151"/>
      <c r="FZ265" s="151"/>
      <c r="GA265" s="151"/>
      <c r="GB265" s="151"/>
      <c r="GC265" s="151"/>
      <c r="GD265" s="151"/>
      <c r="GE265" s="151"/>
      <c r="GF265" s="151"/>
      <c r="GG265" s="152"/>
    </row>
    <row r="266" spans="1:189" ht="27.75" x14ac:dyDescent="0.35">
      <c r="A266" s="237" t="s">
        <v>500</v>
      </c>
      <c r="B266" s="236"/>
      <c r="C266" s="236"/>
      <c r="D266" s="237"/>
      <c r="E266" s="236" t="s">
        <v>391</v>
      </c>
      <c r="F266" s="236" t="s">
        <v>392</v>
      </c>
      <c r="G266" s="238">
        <v>2</v>
      </c>
      <c r="H266" s="239"/>
      <c r="I266" s="240"/>
      <c r="J266" s="240"/>
      <c r="K266" s="240"/>
      <c r="L266" s="241">
        <v>46444</v>
      </c>
      <c r="M266" s="241">
        <v>46507</v>
      </c>
      <c r="N266" s="241"/>
      <c r="O266" s="241">
        <v>46753</v>
      </c>
      <c r="P266" s="241">
        <v>46934</v>
      </c>
      <c r="Q266" s="242" t="s">
        <v>45</v>
      </c>
      <c r="R266" s="243">
        <v>150000</v>
      </c>
      <c r="S266" s="243">
        <v>150000</v>
      </c>
      <c r="T266" s="243"/>
      <c r="U266" s="191">
        <f t="shared" si="226"/>
        <v>0</v>
      </c>
      <c r="V266" s="244"/>
      <c r="W266" s="245"/>
      <c r="X266" s="46"/>
      <c r="Y266" s="167">
        <f t="shared" si="219"/>
        <v>150000</v>
      </c>
      <c r="Z266" s="167">
        <f t="shared" si="220"/>
        <v>0</v>
      </c>
      <c r="AA266" s="167">
        <f t="shared" si="221"/>
        <v>150000</v>
      </c>
      <c r="AB266" s="167">
        <f t="shared" si="222"/>
        <v>0</v>
      </c>
      <c r="AC266" s="167">
        <f t="shared" si="223"/>
        <v>0</v>
      </c>
      <c r="AD266" s="167">
        <f t="shared" si="224"/>
        <v>0</v>
      </c>
      <c r="AF266" s="47">
        <f t="shared" si="225"/>
        <v>1</v>
      </c>
      <c r="AG266" s="202" t="str">
        <f t="shared" si="218"/>
        <v xml:space="preserve"> Compliance tests and simulations of the generation module</v>
      </c>
      <c r="AH266" s="172"/>
      <c r="AI266" s="173"/>
      <c r="AJ266" s="173"/>
      <c r="AK266" s="173"/>
      <c r="AL266" s="173"/>
      <c r="AM266" s="173"/>
      <c r="AN266" s="173"/>
      <c r="AO266" s="173"/>
      <c r="AP266" s="173"/>
      <c r="AQ266" s="173"/>
      <c r="AR266" s="173"/>
      <c r="AS266" s="173"/>
      <c r="AT266" s="173"/>
      <c r="AU266" s="173"/>
      <c r="AV266" s="173"/>
      <c r="AW266" s="173"/>
      <c r="AX266" s="173"/>
      <c r="AY266" s="173"/>
      <c r="AZ266" s="173"/>
      <c r="BA266" s="173"/>
      <c r="BB266" s="173"/>
      <c r="BC266" s="173"/>
      <c r="BD266" s="173"/>
      <c r="BE266" s="173"/>
      <c r="BF266" s="173"/>
      <c r="BG266" s="173"/>
      <c r="BH266" s="173"/>
      <c r="BI266" s="173"/>
      <c r="BJ266" s="173"/>
      <c r="BK266" s="173"/>
      <c r="BL266" s="173"/>
      <c r="BM266" s="173"/>
      <c r="BN266" s="173"/>
      <c r="BO266" s="173"/>
      <c r="BP266" s="173"/>
      <c r="BQ266" s="173"/>
      <c r="BR266" s="173"/>
      <c r="BS266" s="173"/>
      <c r="BT266" s="173"/>
      <c r="BU266" s="173"/>
      <c r="BV266" s="173"/>
      <c r="BW266" s="173"/>
      <c r="BX266" s="173"/>
      <c r="BY266" s="173"/>
      <c r="BZ266" s="173"/>
      <c r="CA266" s="173"/>
      <c r="CB266" s="173"/>
      <c r="CC266" s="173"/>
      <c r="CD266" s="173"/>
      <c r="CE266" s="173"/>
      <c r="CF266" s="173"/>
      <c r="CG266" s="173"/>
      <c r="CH266" s="173"/>
      <c r="CI266" s="173"/>
      <c r="CJ266" s="173"/>
      <c r="CK266" s="173"/>
      <c r="CL266" s="173"/>
      <c r="CM266" s="173"/>
      <c r="CN266" s="173"/>
      <c r="CO266" s="173"/>
      <c r="CP266" s="173"/>
      <c r="CQ266" s="173"/>
      <c r="CR266" s="173"/>
      <c r="CS266" s="173"/>
      <c r="CT266" s="173"/>
      <c r="CU266" s="173"/>
      <c r="CV266" s="173"/>
      <c r="CW266" s="173"/>
      <c r="CX266" s="173"/>
      <c r="CY266" s="148"/>
      <c r="CZ266" s="148"/>
      <c r="DA266" s="148"/>
      <c r="DB266" s="148"/>
      <c r="DC266" s="148"/>
      <c r="DD266" s="148"/>
      <c r="DE266" s="148"/>
      <c r="DF266" s="148"/>
      <c r="DG266" s="148"/>
      <c r="DH266" s="148"/>
      <c r="DI266" s="148"/>
      <c r="DJ266" s="148"/>
      <c r="DK266" s="148"/>
      <c r="DL266" s="148"/>
      <c r="DM266" s="148"/>
      <c r="DN266" s="148"/>
      <c r="DO266" s="148"/>
      <c r="DP266" s="148"/>
      <c r="DQ266" s="148"/>
      <c r="DR266" s="148"/>
      <c r="DS266" s="148"/>
      <c r="DT266" s="148"/>
      <c r="DU266" s="148"/>
      <c r="DV266" s="148"/>
      <c r="DW266" s="148"/>
      <c r="DX266" s="148"/>
      <c r="DY266" s="148"/>
      <c r="DZ266" s="148"/>
      <c r="EA266" s="148"/>
      <c r="EB266" s="148"/>
      <c r="EC266" s="148"/>
      <c r="ED266" s="148"/>
      <c r="EE266" s="148"/>
      <c r="EF266" s="148"/>
      <c r="EG266" s="148"/>
      <c r="EH266" s="148"/>
      <c r="EI266" s="148"/>
      <c r="EJ266" s="148"/>
      <c r="EK266" s="148"/>
      <c r="EL266" s="148"/>
      <c r="EM266" s="148"/>
      <c r="EN266" s="148"/>
      <c r="EO266" s="148"/>
      <c r="EP266" s="148"/>
      <c r="EQ266" s="148"/>
      <c r="ER266" s="148"/>
      <c r="ES266" s="151"/>
      <c r="ET266" s="151"/>
      <c r="EU266" s="151"/>
      <c r="EV266" s="151"/>
      <c r="EW266" s="151"/>
      <c r="EX266" s="151"/>
      <c r="EY266" s="151"/>
      <c r="EZ266" s="151"/>
      <c r="FA266" s="151"/>
      <c r="FB266" s="151"/>
      <c r="FC266" s="151"/>
      <c r="FD266" s="151"/>
      <c r="FE266" s="151"/>
      <c r="FF266" s="151"/>
      <c r="FG266" s="151"/>
      <c r="FH266" s="151"/>
      <c r="FI266" s="151"/>
      <c r="FJ266" s="151"/>
      <c r="FK266" s="151"/>
      <c r="FL266" s="151"/>
      <c r="FM266" s="151"/>
      <c r="FN266" s="151"/>
      <c r="FO266" s="151"/>
      <c r="FP266" s="151"/>
      <c r="FQ266" s="151"/>
      <c r="FR266" s="151"/>
      <c r="FS266" s="151"/>
      <c r="FT266" s="151"/>
      <c r="FU266" s="151"/>
      <c r="FV266" s="151"/>
      <c r="FW266" s="151"/>
      <c r="FX266" s="151"/>
      <c r="FY266" s="151"/>
      <c r="FZ266" s="151"/>
      <c r="GA266" s="151"/>
      <c r="GB266" s="151"/>
      <c r="GC266" s="151"/>
      <c r="GD266" s="151"/>
      <c r="GE266" s="151"/>
      <c r="GF266" s="151"/>
      <c r="GG266" s="152"/>
    </row>
    <row r="267" spans="1:189" x14ac:dyDescent="0.35">
      <c r="A267" s="237" t="s">
        <v>501</v>
      </c>
      <c r="B267" s="236"/>
      <c r="C267" s="236"/>
      <c r="D267" s="237"/>
      <c r="E267" s="236" t="s">
        <v>393</v>
      </c>
      <c r="F267" s="236" t="s">
        <v>394</v>
      </c>
      <c r="G267" s="238">
        <v>2</v>
      </c>
      <c r="H267" s="239"/>
      <c r="I267" s="240"/>
      <c r="J267" s="240"/>
      <c r="K267" s="240"/>
      <c r="L267" s="241">
        <v>46444</v>
      </c>
      <c r="M267" s="241">
        <v>46507</v>
      </c>
      <c r="N267" s="241"/>
      <c r="O267" s="241">
        <v>46753</v>
      </c>
      <c r="P267" s="241">
        <v>46934</v>
      </c>
      <c r="Q267" s="242" t="s">
        <v>45</v>
      </c>
      <c r="R267" s="243">
        <v>100000</v>
      </c>
      <c r="S267" s="243">
        <v>100000</v>
      </c>
      <c r="T267" s="243"/>
      <c r="U267" s="191">
        <f t="shared" si="226"/>
        <v>0</v>
      </c>
      <c r="V267" s="244"/>
      <c r="W267" s="245"/>
      <c r="X267" s="46"/>
      <c r="Y267" s="167">
        <f t="shared" si="219"/>
        <v>100000</v>
      </c>
      <c r="Z267" s="167">
        <f t="shared" si="220"/>
        <v>0</v>
      </c>
      <c r="AA267" s="167">
        <f t="shared" si="221"/>
        <v>100000</v>
      </c>
      <c r="AB267" s="167">
        <f t="shared" si="222"/>
        <v>0</v>
      </c>
      <c r="AC267" s="167">
        <f t="shared" si="223"/>
        <v>0</v>
      </c>
      <c r="AD267" s="167">
        <f t="shared" si="224"/>
        <v>0</v>
      </c>
      <c r="AF267" s="180">
        <f t="shared" si="225"/>
        <v>1</v>
      </c>
      <c r="AG267" s="202" t="str">
        <f t="shared" si="218"/>
        <v xml:space="preserve"> Operating instructions</v>
      </c>
      <c r="AH267" s="172"/>
      <c r="AI267" s="173"/>
      <c r="AJ267" s="173"/>
      <c r="AK267" s="173"/>
      <c r="AL267" s="173"/>
      <c r="AM267" s="173"/>
      <c r="AN267" s="173"/>
      <c r="AO267" s="173"/>
      <c r="AP267" s="173"/>
      <c r="AQ267" s="173"/>
      <c r="AR267" s="173"/>
      <c r="AS267" s="173"/>
      <c r="AT267" s="173"/>
      <c r="AU267" s="173"/>
      <c r="AV267" s="173"/>
      <c r="AW267" s="173"/>
      <c r="AX267" s="173"/>
      <c r="AY267" s="173"/>
      <c r="AZ267" s="173"/>
      <c r="BA267" s="173"/>
      <c r="BB267" s="173"/>
      <c r="BC267" s="173"/>
      <c r="BD267" s="173"/>
      <c r="BE267" s="173"/>
      <c r="BF267" s="173"/>
      <c r="BG267" s="173"/>
      <c r="BH267" s="173"/>
      <c r="BI267" s="173"/>
      <c r="BJ267" s="173"/>
      <c r="BK267" s="173"/>
      <c r="BL267" s="173"/>
      <c r="BM267" s="173"/>
      <c r="BN267" s="173"/>
      <c r="BO267" s="173"/>
      <c r="BP267" s="173"/>
      <c r="BQ267" s="173"/>
      <c r="BR267" s="173"/>
      <c r="BS267" s="173"/>
      <c r="BT267" s="173"/>
      <c r="BU267" s="173"/>
      <c r="BV267" s="173"/>
      <c r="BW267" s="173"/>
      <c r="BX267" s="173"/>
      <c r="BY267" s="173"/>
      <c r="BZ267" s="173"/>
      <c r="CA267" s="173"/>
      <c r="CB267" s="173"/>
      <c r="CC267" s="173"/>
      <c r="CD267" s="173"/>
      <c r="CE267" s="173"/>
      <c r="CF267" s="173"/>
      <c r="CG267" s="173"/>
      <c r="CH267" s="173"/>
      <c r="CI267" s="173"/>
      <c r="CJ267" s="173"/>
      <c r="CK267" s="173"/>
      <c r="CL267" s="173"/>
      <c r="CM267" s="173"/>
      <c r="CN267" s="173"/>
      <c r="CO267" s="173"/>
      <c r="CP267" s="173"/>
      <c r="CQ267" s="173"/>
      <c r="CR267" s="173"/>
      <c r="CS267" s="173"/>
      <c r="CT267" s="173"/>
      <c r="CU267" s="173"/>
      <c r="CV267" s="173"/>
      <c r="CW267" s="173"/>
      <c r="CX267" s="173"/>
      <c r="CY267" s="148"/>
      <c r="CZ267" s="148"/>
      <c r="DA267" s="148"/>
      <c r="DB267" s="148"/>
      <c r="DC267" s="148"/>
      <c r="DD267" s="148"/>
      <c r="DE267" s="148"/>
      <c r="DF267" s="148"/>
      <c r="DG267" s="148"/>
      <c r="DH267" s="148"/>
      <c r="DI267" s="148"/>
      <c r="DJ267" s="148"/>
      <c r="DK267" s="148"/>
      <c r="DL267" s="148"/>
      <c r="DM267" s="148"/>
      <c r="DN267" s="148"/>
      <c r="DO267" s="148"/>
      <c r="DP267" s="148"/>
      <c r="DQ267" s="148"/>
      <c r="DR267" s="148"/>
      <c r="DS267" s="148"/>
      <c r="DT267" s="148"/>
      <c r="DU267" s="148"/>
      <c r="DV267" s="148"/>
      <c r="DW267" s="148"/>
      <c r="DX267" s="148"/>
      <c r="DY267" s="148"/>
      <c r="DZ267" s="148"/>
      <c r="EA267" s="148"/>
      <c r="EB267" s="148"/>
      <c r="EC267" s="148"/>
      <c r="ED267" s="148"/>
      <c r="EE267" s="148"/>
      <c r="EF267" s="148"/>
      <c r="EG267" s="148"/>
      <c r="EH267" s="148"/>
      <c r="EI267" s="148"/>
      <c r="EJ267" s="148"/>
      <c r="EK267" s="148"/>
      <c r="EL267" s="148"/>
      <c r="EM267" s="148"/>
      <c r="EN267" s="148"/>
      <c r="EO267" s="148"/>
      <c r="EP267" s="148"/>
      <c r="EQ267" s="148"/>
      <c r="ER267" s="148"/>
      <c r="ES267" s="151"/>
      <c r="ET267" s="151"/>
      <c r="EU267" s="151"/>
      <c r="EV267" s="151"/>
      <c r="EW267" s="151"/>
      <c r="EX267" s="151"/>
      <c r="EY267" s="151"/>
      <c r="EZ267" s="151"/>
      <c r="FA267" s="151"/>
      <c r="FB267" s="151"/>
      <c r="FC267" s="151"/>
      <c r="FD267" s="151"/>
      <c r="FE267" s="151"/>
      <c r="FF267" s="151"/>
      <c r="FG267" s="151"/>
      <c r="FH267" s="151"/>
      <c r="FI267" s="151"/>
      <c r="FJ267" s="151"/>
      <c r="FK267" s="151"/>
      <c r="FL267" s="151"/>
      <c r="FM267" s="151"/>
      <c r="FN267" s="151"/>
      <c r="FO267" s="151"/>
      <c r="FP267" s="151"/>
      <c r="FQ267" s="151"/>
      <c r="FR267" s="151"/>
      <c r="FS267" s="151"/>
      <c r="FT267" s="151"/>
      <c r="FU267" s="151"/>
      <c r="FV267" s="151"/>
      <c r="FW267" s="151"/>
      <c r="FX267" s="151"/>
      <c r="FY267" s="151"/>
      <c r="FZ267" s="151"/>
      <c r="GA267" s="151"/>
      <c r="GB267" s="151"/>
      <c r="GC267" s="151"/>
      <c r="GD267" s="151"/>
      <c r="GE267" s="151"/>
      <c r="GF267" s="151"/>
      <c r="GG267" s="152"/>
    </row>
    <row r="268" spans="1:189" s="168" customFormat="1" ht="28.5" x14ac:dyDescent="0.35">
      <c r="A268" s="266" t="s">
        <v>781</v>
      </c>
      <c r="B268" s="206"/>
      <c r="C268" s="207"/>
      <c r="D268" s="208"/>
      <c r="E268" s="207" t="s">
        <v>938</v>
      </c>
      <c r="F268" s="206" t="s">
        <v>939</v>
      </c>
      <c r="G268" s="209">
        <v>2</v>
      </c>
      <c r="H268" s="210"/>
      <c r="I268" s="206"/>
      <c r="J268" s="207"/>
      <c r="K268" s="206"/>
      <c r="L268" s="211"/>
      <c r="M268" s="211"/>
      <c r="N268" s="212"/>
      <c r="O268" s="211"/>
      <c r="P268" s="211"/>
      <c r="Q268" s="213" t="s">
        <v>45</v>
      </c>
      <c r="R268" s="214">
        <f>505343424-SUM(R17:R267)</f>
        <v>-261648.35640412569</v>
      </c>
      <c r="S268" s="214">
        <f>505343424-SUM(S17:S267)</f>
        <v>-261648.35640412569</v>
      </c>
      <c r="T268" s="214"/>
      <c r="U268" s="216">
        <f t="shared" ref="U268" si="245">IF(Q268="",0,IF(T268="",0,+S268-T268))</f>
        <v>0</v>
      </c>
      <c r="V268" s="217"/>
      <c r="W268" s="218"/>
      <c r="X268" s="219"/>
      <c r="Y268" s="220">
        <f t="shared" ref="Y268" si="246">IF(G268=2,S268,0)</f>
        <v>-261648.35640412569</v>
      </c>
      <c r="Z268" s="220">
        <f t="shared" ref="Z268" si="247">IF(Q268="",0,IF(G268=2,T268,0))</f>
        <v>0</v>
      </c>
      <c r="AA268" s="220">
        <f t="shared" ref="AA268" si="248">Y268-Z268</f>
        <v>-261648.35640412569</v>
      </c>
      <c r="AB268" s="220">
        <f t="shared" ref="AB268" si="249">IF(G268=1,S268,0)</f>
        <v>0</v>
      </c>
      <c r="AC268" s="220">
        <f t="shared" ref="AC268" si="250">IF(Q268="",0,IF(G268=1,T268,0))</f>
        <v>0</v>
      </c>
      <c r="AD268" s="220">
        <f t="shared" ref="AD268" si="251">AB268-AC268</f>
        <v>0</v>
      </c>
      <c r="AF268" s="180">
        <f t="shared" ref="AF268" si="252">IF(S268&lt;&gt;"",1,0)</f>
        <v>1</v>
      </c>
      <c r="AG268" s="201" t="str">
        <f t="shared" ref="AG268" si="253">B268&amp;" "&amp;F268</f>
        <v xml:space="preserve"> Alignment to TCO values / Backup</v>
      </c>
      <c r="AH268" s="172"/>
      <c r="AI268" s="173"/>
      <c r="AJ268" s="173"/>
      <c r="AK268" s="173"/>
      <c r="AL268" s="173"/>
      <c r="AM268" s="173"/>
      <c r="AN268" s="173"/>
      <c r="AO268" s="173"/>
      <c r="AP268" s="173"/>
      <c r="AQ268" s="173"/>
      <c r="AR268" s="173"/>
      <c r="AS268" s="173"/>
      <c r="AT268" s="173"/>
      <c r="AU268" s="173"/>
      <c r="AV268" s="173"/>
      <c r="AW268" s="173"/>
      <c r="AX268" s="173"/>
      <c r="AY268" s="173"/>
      <c r="AZ268" s="173"/>
      <c r="BA268" s="173"/>
      <c r="BB268" s="173"/>
      <c r="BC268" s="173"/>
      <c r="BD268" s="173"/>
      <c r="BE268" s="173"/>
      <c r="BF268" s="173"/>
      <c r="BG268" s="173"/>
      <c r="BH268" s="173"/>
      <c r="BI268" s="173"/>
      <c r="BJ268" s="173"/>
      <c r="BK268" s="173"/>
      <c r="BL268" s="173"/>
      <c r="BM268" s="173"/>
      <c r="BN268" s="173"/>
      <c r="BO268" s="173"/>
      <c r="BP268" s="173"/>
      <c r="BQ268" s="173"/>
      <c r="BR268" s="173"/>
      <c r="BS268" s="173"/>
      <c r="BT268" s="173"/>
      <c r="BU268" s="173"/>
      <c r="BV268" s="173"/>
      <c r="BW268" s="173"/>
      <c r="BX268" s="173"/>
      <c r="BY268" s="173"/>
      <c r="BZ268" s="173"/>
      <c r="CA268" s="173"/>
      <c r="CB268" s="173"/>
      <c r="CC268" s="173"/>
      <c r="CD268" s="173"/>
      <c r="CE268" s="173"/>
      <c r="CF268" s="173"/>
      <c r="CG268" s="173"/>
      <c r="CH268" s="173"/>
      <c r="CI268" s="173"/>
      <c r="CJ268" s="173"/>
      <c r="CK268" s="173"/>
      <c r="CL268" s="173"/>
      <c r="CM268" s="173"/>
      <c r="CN268" s="173"/>
      <c r="CO268" s="173"/>
      <c r="CP268" s="173"/>
      <c r="CQ268" s="173"/>
      <c r="CR268" s="173"/>
      <c r="CS268" s="173"/>
      <c r="CT268" s="173"/>
      <c r="CU268" s="173"/>
      <c r="CV268" s="173"/>
      <c r="CW268" s="173"/>
      <c r="CX268" s="173"/>
      <c r="CY268" s="148"/>
      <c r="CZ268" s="148"/>
      <c r="DA268" s="148"/>
      <c r="DB268" s="148"/>
      <c r="DC268" s="148"/>
      <c r="DD268" s="148"/>
      <c r="DE268" s="148"/>
      <c r="DF268" s="148"/>
      <c r="DG268" s="148"/>
      <c r="DH268" s="148"/>
      <c r="DI268" s="148"/>
      <c r="DJ268" s="148"/>
      <c r="DK268" s="148"/>
      <c r="DL268" s="148"/>
      <c r="DM268" s="148"/>
      <c r="DN268" s="148"/>
      <c r="DO268" s="148"/>
      <c r="DP268" s="148"/>
      <c r="DQ268" s="148"/>
      <c r="DR268" s="148"/>
      <c r="DS268" s="148"/>
      <c r="DT268" s="148"/>
      <c r="DU268" s="148"/>
      <c r="DV268" s="148"/>
      <c r="DW268" s="148"/>
      <c r="DX268" s="148"/>
      <c r="DY268" s="148"/>
      <c r="DZ268" s="148"/>
      <c r="EA268" s="148"/>
      <c r="EB268" s="148"/>
      <c r="EC268" s="148"/>
      <c r="ED268" s="148"/>
      <c r="EE268" s="148"/>
      <c r="EF268" s="148"/>
      <c r="EG268" s="148"/>
      <c r="EH268" s="148"/>
      <c r="EI268" s="148"/>
      <c r="EJ268" s="148"/>
      <c r="EK268" s="148"/>
      <c r="EL268" s="148"/>
      <c r="EM268" s="148"/>
      <c r="EN268" s="148"/>
      <c r="EO268" s="148"/>
      <c r="EP268" s="148"/>
      <c r="EQ268" s="148"/>
      <c r="ER268" s="148"/>
      <c r="ES268" s="173"/>
      <c r="ET268" s="173"/>
      <c r="EU268" s="173"/>
      <c r="EV268" s="173"/>
      <c r="EW268" s="173"/>
      <c r="EX268" s="173"/>
      <c r="EY268" s="173"/>
      <c r="EZ268" s="173"/>
      <c r="FA268" s="173"/>
      <c r="FB268" s="173"/>
      <c r="FC268" s="173"/>
      <c r="FD268" s="173"/>
      <c r="FE268" s="173"/>
      <c r="FF268" s="173"/>
      <c r="FG268" s="173"/>
      <c r="FH268" s="173"/>
      <c r="FI268" s="173"/>
      <c r="FJ268" s="173"/>
      <c r="FK268" s="173"/>
      <c r="FL268" s="173"/>
      <c r="FM268" s="173"/>
      <c r="FN268" s="173"/>
      <c r="FO268" s="173"/>
      <c r="FP268" s="173"/>
      <c r="FQ268" s="173"/>
      <c r="FR268" s="173"/>
      <c r="FS268" s="173"/>
      <c r="FT268" s="173"/>
      <c r="FU268" s="173"/>
      <c r="FV268" s="173"/>
      <c r="FW268" s="173"/>
      <c r="FX268" s="173"/>
      <c r="FY268" s="173"/>
      <c r="FZ268" s="173"/>
      <c r="GA268" s="173"/>
      <c r="GB268" s="173"/>
      <c r="GC268" s="173"/>
      <c r="GD268" s="173"/>
      <c r="GE268" s="173"/>
      <c r="GF268" s="173"/>
      <c r="GG268" s="174"/>
    </row>
    <row r="269" spans="1:189" s="168" customFormat="1" ht="28.5" x14ac:dyDescent="0.35">
      <c r="A269" s="266" t="s">
        <v>782</v>
      </c>
      <c r="B269" s="206"/>
      <c r="C269" s="207"/>
      <c r="D269" s="208"/>
      <c r="E269" s="207" t="s">
        <v>783</v>
      </c>
      <c r="F269" s="206" t="s">
        <v>784</v>
      </c>
      <c r="G269" s="209">
        <v>2</v>
      </c>
      <c r="H269" s="210"/>
      <c r="I269" s="206"/>
      <c r="J269" s="207"/>
      <c r="K269" s="206"/>
      <c r="L269" s="211"/>
      <c r="M269" s="211"/>
      <c r="N269" s="212"/>
      <c r="O269" s="211"/>
      <c r="P269" s="211"/>
      <c r="Q269" s="213"/>
      <c r="R269" s="214"/>
      <c r="S269" s="214"/>
      <c r="T269" s="214"/>
      <c r="U269" s="216">
        <f t="shared" ref="U269" si="254">IF(Q269="",0,IF(T269="",0,+S269-T269))</f>
        <v>0</v>
      </c>
      <c r="V269" s="217"/>
      <c r="W269" s="218"/>
      <c r="X269" s="219"/>
      <c r="Y269" s="220">
        <f t="shared" ref="Y269" si="255">IF(G269=2,S269,0)</f>
        <v>0</v>
      </c>
      <c r="Z269" s="220">
        <f t="shared" ref="Z269" si="256">IF(Q269="",0,IF(G269=2,T269,0))</f>
        <v>0</v>
      </c>
      <c r="AA269" s="220">
        <f t="shared" ref="AA269" si="257">Y269-Z269</f>
        <v>0</v>
      </c>
      <c r="AB269" s="220">
        <f t="shared" ref="AB269" si="258">IF(G269=1,S269,0)</f>
        <v>0</v>
      </c>
      <c r="AC269" s="220">
        <f t="shared" ref="AC269" si="259">IF(Q269="",0,IF(G269=1,T269,0))</f>
        <v>0</v>
      </c>
      <c r="AD269" s="220">
        <f t="shared" ref="AD269" si="260">AB269-AC269</f>
        <v>0</v>
      </c>
      <c r="AF269" s="180">
        <f t="shared" ref="AF269" si="261">IF(S269&lt;&gt;"",1,0)</f>
        <v>0</v>
      </c>
      <c r="AG269" s="201" t="str">
        <f t="shared" ref="AG269" si="262">B269&amp;" "&amp;F269</f>
        <v xml:space="preserve"> Services and works regarding indirect cost</v>
      </c>
      <c r="AH269" s="172"/>
      <c r="AI269" s="173"/>
      <c r="AJ269" s="173"/>
      <c r="AK269" s="173"/>
      <c r="AL269" s="173"/>
      <c r="AM269" s="173"/>
      <c r="AN269" s="173"/>
      <c r="AO269" s="173"/>
      <c r="AP269" s="173"/>
      <c r="AQ269" s="173"/>
      <c r="AR269" s="173"/>
      <c r="AS269" s="173"/>
      <c r="AT269" s="173"/>
      <c r="AU269" s="173"/>
      <c r="AV269" s="173"/>
      <c r="AW269" s="173"/>
      <c r="AX269" s="173"/>
      <c r="AY269" s="173"/>
      <c r="AZ269" s="173"/>
      <c r="BA269" s="173"/>
      <c r="BB269" s="173"/>
      <c r="BC269" s="173"/>
      <c r="BD269" s="173"/>
      <c r="BE269" s="173"/>
      <c r="BF269" s="173"/>
      <c r="BG269" s="173"/>
      <c r="BH269" s="173"/>
      <c r="BI269" s="173"/>
      <c r="BJ269" s="173"/>
      <c r="BK269" s="173"/>
      <c r="BL269" s="173"/>
      <c r="BM269" s="173"/>
      <c r="BN269" s="173"/>
      <c r="BO269" s="173"/>
      <c r="BP269" s="173"/>
      <c r="BQ269" s="173"/>
      <c r="BR269" s="173"/>
      <c r="BS269" s="173"/>
      <c r="BT269" s="173"/>
      <c r="BU269" s="173"/>
      <c r="BV269" s="173"/>
      <c r="BW269" s="173"/>
      <c r="BX269" s="173"/>
      <c r="BY269" s="173"/>
      <c r="BZ269" s="173"/>
      <c r="CA269" s="173"/>
      <c r="CB269" s="173"/>
      <c r="CC269" s="173"/>
      <c r="CD269" s="173"/>
      <c r="CE269" s="173"/>
      <c r="CF269" s="173"/>
      <c r="CG269" s="173"/>
      <c r="CH269" s="173"/>
      <c r="CI269" s="173"/>
      <c r="CJ269" s="173"/>
      <c r="CK269" s="173"/>
      <c r="CL269" s="173"/>
      <c r="CM269" s="173"/>
      <c r="CN269" s="173"/>
      <c r="CO269" s="173"/>
      <c r="CP269" s="173"/>
      <c r="CQ269" s="173"/>
      <c r="CR269" s="173"/>
      <c r="CS269" s="173"/>
      <c r="CT269" s="173"/>
      <c r="CU269" s="173"/>
      <c r="CV269" s="173"/>
      <c r="CW269" s="173"/>
      <c r="CX269" s="173"/>
      <c r="CY269" s="148"/>
      <c r="CZ269" s="148"/>
      <c r="DA269" s="148"/>
      <c r="DB269" s="148"/>
      <c r="DC269" s="148"/>
      <c r="DD269" s="148"/>
      <c r="DE269" s="148"/>
      <c r="DF269" s="148"/>
      <c r="DG269" s="148"/>
      <c r="DH269" s="148"/>
      <c r="DI269" s="148"/>
      <c r="DJ269" s="148"/>
      <c r="DK269" s="148"/>
      <c r="DL269" s="148"/>
      <c r="DM269" s="148"/>
      <c r="DN269" s="148"/>
      <c r="DO269" s="148"/>
      <c r="DP269" s="148"/>
      <c r="DQ269" s="148"/>
      <c r="DR269" s="148"/>
      <c r="DS269" s="148"/>
      <c r="DT269" s="148"/>
      <c r="DU269" s="148"/>
      <c r="DV269" s="148"/>
      <c r="DW269" s="148"/>
      <c r="DX269" s="148"/>
      <c r="DY269" s="148"/>
      <c r="DZ269" s="148"/>
      <c r="EA269" s="148"/>
      <c r="EB269" s="148"/>
      <c r="EC269" s="148"/>
      <c r="ED269" s="148"/>
      <c r="EE269" s="148"/>
      <c r="EF269" s="148"/>
      <c r="EG269" s="148"/>
      <c r="EH269" s="148"/>
      <c r="EI269" s="148"/>
      <c r="EJ269" s="148"/>
      <c r="EK269" s="148"/>
      <c r="EL269" s="148"/>
      <c r="EM269" s="148"/>
      <c r="EN269" s="148"/>
      <c r="EO269" s="148"/>
      <c r="EP269" s="148"/>
      <c r="EQ269" s="148"/>
      <c r="ER269" s="148"/>
      <c r="ES269" s="173"/>
      <c r="ET269" s="173"/>
      <c r="EU269" s="173"/>
      <c r="EV269" s="173"/>
      <c r="EW269" s="173"/>
      <c r="EX269" s="173"/>
      <c r="EY269" s="173"/>
      <c r="EZ269" s="173"/>
      <c r="FA269" s="173"/>
      <c r="FB269" s="173"/>
      <c r="FC269" s="173"/>
      <c r="FD269" s="173"/>
      <c r="FE269" s="173"/>
      <c r="FF269" s="173"/>
      <c r="FG269" s="173"/>
      <c r="FH269" s="173"/>
      <c r="FI269" s="173"/>
      <c r="FJ269" s="173"/>
      <c r="FK269" s="173"/>
      <c r="FL269" s="173"/>
      <c r="FM269" s="173"/>
      <c r="FN269" s="173"/>
      <c r="FO269" s="173"/>
      <c r="FP269" s="173"/>
      <c r="FQ269" s="173"/>
      <c r="FR269" s="173"/>
      <c r="FS269" s="173"/>
      <c r="FT269" s="173"/>
      <c r="FU269" s="173"/>
      <c r="FV269" s="173"/>
      <c r="FW269" s="173"/>
      <c r="FX269" s="173"/>
      <c r="FY269" s="173"/>
      <c r="FZ269" s="173"/>
      <c r="GA269" s="173"/>
      <c r="GB269" s="173"/>
      <c r="GC269" s="173"/>
      <c r="GD269" s="173"/>
      <c r="GE269" s="173"/>
      <c r="GF269" s="173"/>
      <c r="GG269" s="174"/>
    </row>
    <row r="270" spans="1:189" x14ac:dyDescent="0.35">
      <c r="A270" s="270" t="s">
        <v>880</v>
      </c>
      <c r="B270" s="236"/>
      <c r="C270" s="236"/>
      <c r="D270" s="237"/>
      <c r="E270" s="236" t="s">
        <v>812</v>
      </c>
      <c r="F270" s="236" t="s">
        <v>826</v>
      </c>
      <c r="G270" s="238">
        <v>2</v>
      </c>
      <c r="H270" s="239"/>
      <c r="I270" s="240"/>
      <c r="J270" s="240"/>
      <c r="K270" s="240"/>
      <c r="L270" s="241"/>
      <c r="M270" s="241"/>
      <c r="N270" s="241"/>
      <c r="O270" s="241"/>
      <c r="P270" s="241"/>
      <c r="Q270" s="242"/>
      <c r="R270" s="243"/>
      <c r="S270" s="243"/>
      <c r="T270" s="243"/>
      <c r="U270" s="191">
        <f t="shared" ref="U270:U291" si="263">IF(Q270="",0,IF(T270="",0,+S270-T270))</f>
        <v>0</v>
      </c>
      <c r="V270" s="244"/>
      <c r="W270" s="245"/>
      <c r="X270" s="46"/>
      <c r="Y270" s="167">
        <f t="shared" ref="Y270:Y291" si="264">IF(G270=2,S270,0)</f>
        <v>0</v>
      </c>
      <c r="Z270" s="167">
        <f t="shared" ref="Z270:Z291" si="265">IF(Q270="",0,IF(G270=2,T270,0))</f>
        <v>0</v>
      </c>
      <c r="AA270" s="167">
        <f t="shared" ref="AA270:AA291" si="266">Y270-Z270</f>
        <v>0</v>
      </c>
      <c r="AB270" s="167">
        <f t="shared" ref="AB270:AB291" si="267">IF(G270=1,S270,0)</f>
        <v>0</v>
      </c>
      <c r="AC270" s="167">
        <f t="shared" ref="AC270:AC291" si="268">IF(Q270="",0,IF(G270=1,T270,0))</f>
        <v>0</v>
      </c>
      <c r="AD270" s="167">
        <f t="shared" ref="AD270:AD291" si="269">AB270-AC270</f>
        <v>0</v>
      </c>
      <c r="AF270" s="180">
        <f t="shared" ref="AF270:AF284" si="270">IF(S270&lt;&gt;"",1,0)</f>
        <v>0</v>
      </c>
      <c r="AG270" s="202" t="str">
        <f t="shared" ref="AG270:AG297" si="271">B270&amp;" "&amp;F270</f>
        <v xml:space="preserve"> Equipment</v>
      </c>
      <c r="AH270" s="172"/>
      <c r="AI270" s="173"/>
      <c r="AJ270" s="173"/>
      <c r="AK270" s="173"/>
      <c r="AL270" s="173"/>
      <c r="AM270" s="173"/>
      <c r="AN270" s="173"/>
      <c r="AO270" s="173"/>
      <c r="AP270" s="173"/>
      <c r="AQ270" s="173"/>
      <c r="AR270" s="173"/>
      <c r="AS270" s="173"/>
      <c r="AT270" s="173"/>
      <c r="AU270" s="173"/>
      <c r="AV270" s="173"/>
      <c r="AW270" s="173"/>
      <c r="AX270" s="173"/>
      <c r="AY270" s="173"/>
      <c r="AZ270" s="173"/>
      <c r="BA270" s="173"/>
      <c r="BB270" s="173"/>
      <c r="BC270" s="173"/>
      <c r="BD270" s="173"/>
      <c r="BE270" s="173"/>
      <c r="BF270" s="173"/>
      <c r="BG270" s="173"/>
      <c r="BH270" s="173"/>
      <c r="BI270" s="173"/>
      <c r="BJ270" s="173"/>
      <c r="BK270" s="173"/>
      <c r="BL270" s="173"/>
      <c r="BM270" s="173"/>
      <c r="BN270" s="173"/>
      <c r="BO270" s="173"/>
      <c r="BP270" s="173"/>
      <c r="BQ270" s="173"/>
      <c r="BR270" s="173"/>
      <c r="BS270" s="173"/>
      <c r="BT270" s="173"/>
      <c r="BU270" s="173"/>
      <c r="BV270" s="173"/>
      <c r="BW270" s="173"/>
      <c r="BX270" s="173"/>
      <c r="BY270" s="173"/>
      <c r="BZ270" s="173"/>
      <c r="CA270" s="173"/>
      <c r="CB270" s="173"/>
      <c r="CC270" s="173"/>
      <c r="CD270" s="173"/>
      <c r="CE270" s="173"/>
      <c r="CF270" s="173"/>
      <c r="CG270" s="173"/>
      <c r="CH270" s="173"/>
      <c r="CI270" s="173"/>
      <c r="CJ270" s="173"/>
      <c r="CK270" s="173"/>
      <c r="CL270" s="173"/>
      <c r="CM270" s="173"/>
      <c r="CN270" s="173"/>
      <c r="CO270" s="173"/>
      <c r="CP270" s="173"/>
      <c r="CQ270" s="173"/>
      <c r="CR270" s="173"/>
      <c r="CS270" s="173"/>
      <c r="CT270" s="173"/>
      <c r="CU270" s="173"/>
      <c r="CV270" s="173"/>
      <c r="CW270" s="173"/>
      <c r="CX270" s="173"/>
      <c r="CY270" s="148"/>
      <c r="CZ270" s="148"/>
      <c r="DA270" s="148"/>
      <c r="DB270" s="148"/>
      <c r="DC270" s="148"/>
      <c r="DD270" s="148"/>
      <c r="DE270" s="148"/>
      <c r="DF270" s="148"/>
      <c r="DG270" s="148"/>
      <c r="DH270" s="148"/>
      <c r="DI270" s="148"/>
      <c r="DJ270" s="148"/>
      <c r="DK270" s="148"/>
      <c r="DL270" s="148"/>
      <c r="DM270" s="148"/>
      <c r="DN270" s="148"/>
      <c r="DO270" s="148"/>
      <c r="DP270" s="148"/>
      <c r="DQ270" s="148"/>
      <c r="DR270" s="148"/>
      <c r="DS270" s="148"/>
      <c r="DT270" s="148"/>
      <c r="DU270" s="148"/>
      <c r="DV270" s="148"/>
      <c r="DW270" s="148"/>
      <c r="DX270" s="148"/>
      <c r="DY270" s="148"/>
      <c r="DZ270" s="148"/>
      <c r="EA270" s="148"/>
      <c r="EB270" s="148"/>
      <c r="EC270" s="148"/>
      <c r="ED270" s="148"/>
      <c r="EE270" s="148"/>
      <c r="EF270" s="148"/>
      <c r="EG270" s="148"/>
      <c r="EH270" s="148"/>
      <c r="EI270" s="148"/>
      <c r="EJ270" s="148"/>
      <c r="EK270" s="148"/>
      <c r="EL270" s="148"/>
      <c r="EM270" s="148"/>
      <c r="EN270" s="148"/>
      <c r="EO270" s="148"/>
      <c r="EP270" s="148"/>
      <c r="EQ270" s="148"/>
      <c r="ER270" s="148"/>
      <c r="ES270" s="151"/>
      <c r="ET270" s="151"/>
      <c r="EU270" s="151"/>
      <c r="EV270" s="151"/>
      <c r="EW270" s="151"/>
      <c r="EX270" s="151"/>
      <c r="EY270" s="151"/>
      <c r="EZ270" s="151"/>
      <c r="FA270" s="151"/>
      <c r="FB270" s="151"/>
      <c r="FC270" s="151"/>
      <c r="FD270" s="151"/>
      <c r="FE270" s="151"/>
      <c r="FF270" s="151"/>
      <c r="FG270" s="151"/>
      <c r="FH270" s="151"/>
      <c r="FI270" s="151"/>
      <c r="FJ270" s="151"/>
      <c r="FK270" s="151"/>
      <c r="FL270" s="151"/>
      <c r="FM270" s="151"/>
      <c r="FN270" s="151"/>
      <c r="FO270" s="151"/>
      <c r="FP270" s="151"/>
      <c r="FQ270" s="151"/>
      <c r="FR270" s="151"/>
      <c r="FS270" s="151"/>
      <c r="FT270" s="151"/>
      <c r="FU270" s="151"/>
      <c r="FV270" s="151"/>
      <c r="FW270" s="151"/>
      <c r="FX270" s="151"/>
      <c r="FY270" s="151"/>
      <c r="FZ270" s="151"/>
      <c r="GA270" s="151"/>
      <c r="GB270" s="151"/>
      <c r="GC270" s="151"/>
      <c r="GD270" s="151"/>
      <c r="GE270" s="151"/>
      <c r="GF270" s="151"/>
      <c r="GG270" s="152"/>
    </row>
    <row r="271" spans="1:189" ht="27.75" x14ac:dyDescent="0.35">
      <c r="A271" s="297" t="s">
        <v>881</v>
      </c>
      <c r="B271" s="298"/>
      <c r="C271" s="298"/>
      <c r="D271" s="299"/>
      <c r="E271" s="298" t="s">
        <v>785</v>
      </c>
      <c r="F271" s="298" t="s">
        <v>867</v>
      </c>
      <c r="G271" s="300">
        <v>2</v>
      </c>
      <c r="H271" s="301"/>
      <c r="I271" s="302"/>
      <c r="J271" s="302"/>
      <c r="K271" s="302"/>
      <c r="L271" s="303">
        <v>45995</v>
      </c>
      <c r="M271" s="303">
        <v>46752</v>
      </c>
      <c r="N271" s="303"/>
      <c r="O271" s="303">
        <v>45995</v>
      </c>
      <c r="P271" s="303">
        <v>46934</v>
      </c>
      <c r="Q271" s="304" t="s">
        <v>45</v>
      </c>
      <c r="R271" s="305">
        <v>96000</v>
      </c>
      <c r="S271" s="305">
        <f>96000-SUM(S272:S273)</f>
        <v>72759</v>
      </c>
      <c r="T271" s="305"/>
      <c r="U271" s="191">
        <f t="shared" si="263"/>
        <v>0</v>
      </c>
      <c r="V271" s="306"/>
      <c r="W271" s="307"/>
      <c r="X271" s="46"/>
      <c r="Y271" s="167">
        <f t="shared" si="264"/>
        <v>72759</v>
      </c>
      <c r="Z271" s="167">
        <f t="shared" si="265"/>
        <v>0</v>
      </c>
      <c r="AA271" s="167">
        <f t="shared" si="266"/>
        <v>72759</v>
      </c>
      <c r="AB271" s="167">
        <f t="shared" si="267"/>
        <v>0</v>
      </c>
      <c r="AC271" s="167">
        <f t="shared" si="268"/>
        <v>0</v>
      </c>
      <c r="AD271" s="167">
        <f t="shared" si="269"/>
        <v>0</v>
      </c>
      <c r="AF271" s="47">
        <f t="shared" si="270"/>
        <v>1</v>
      </c>
      <c r="AG271" s="202" t="str">
        <f t="shared" si="271"/>
        <v xml:space="preserve"> Occupational Health and Safety equipment</v>
      </c>
      <c r="AH271" s="172"/>
      <c r="AI271" s="173"/>
      <c r="AJ271" s="173"/>
      <c r="AK271" s="173"/>
      <c r="AL271" s="173"/>
      <c r="AM271" s="173"/>
      <c r="AN271" s="173"/>
      <c r="AO271" s="173"/>
      <c r="AP271" s="173"/>
      <c r="AQ271" s="173"/>
      <c r="AR271" s="173"/>
      <c r="AS271" s="173"/>
      <c r="AT271" s="173"/>
      <c r="AU271" s="173"/>
      <c r="AV271" s="173"/>
      <c r="AW271" s="173"/>
      <c r="AX271" s="173"/>
      <c r="AY271" s="173"/>
      <c r="AZ271" s="173"/>
      <c r="BA271" s="173"/>
      <c r="BB271" s="173"/>
      <c r="BC271" s="173"/>
      <c r="BD271" s="173"/>
      <c r="BE271" s="173"/>
      <c r="BF271" s="173"/>
      <c r="BG271" s="173"/>
      <c r="BH271" s="173"/>
      <c r="BI271" s="173"/>
      <c r="BJ271" s="173"/>
      <c r="BK271" s="173"/>
      <c r="BL271" s="173"/>
      <c r="BM271" s="173"/>
      <c r="BN271" s="173"/>
      <c r="BO271" s="173"/>
      <c r="BP271" s="173"/>
      <c r="BQ271" s="173"/>
      <c r="BR271" s="173"/>
      <c r="BS271" s="173"/>
      <c r="BT271" s="173"/>
      <c r="BU271" s="173"/>
      <c r="BV271" s="173"/>
      <c r="BW271" s="173"/>
      <c r="BX271" s="173"/>
      <c r="BY271" s="173"/>
      <c r="BZ271" s="173"/>
      <c r="CA271" s="173"/>
      <c r="CB271" s="173"/>
      <c r="CC271" s="173"/>
      <c r="CD271" s="173"/>
      <c r="CE271" s="173"/>
      <c r="CF271" s="173"/>
      <c r="CG271" s="173"/>
      <c r="CH271" s="173"/>
      <c r="CI271" s="173"/>
      <c r="CJ271" s="173"/>
      <c r="CK271" s="173"/>
      <c r="CL271" s="173"/>
      <c r="CM271" s="173"/>
      <c r="CN271" s="173"/>
      <c r="CO271" s="173"/>
      <c r="CP271" s="173"/>
      <c r="CQ271" s="173"/>
      <c r="CR271" s="173"/>
      <c r="CS271" s="173"/>
      <c r="CT271" s="173"/>
      <c r="CU271" s="173"/>
      <c r="CV271" s="173"/>
      <c r="CW271" s="173"/>
      <c r="CX271" s="173"/>
      <c r="CY271" s="148"/>
      <c r="CZ271" s="148"/>
      <c r="DA271" s="148"/>
      <c r="DB271" s="148"/>
      <c r="DC271" s="148"/>
      <c r="DD271" s="148"/>
      <c r="DE271" s="148"/>
      <c r="DF271" s="148"/>
      <c r="DG271" s="148"/>
      <c r="DH271" s="148"/>
      <c r="DI271" s="148"/>
      <c r="DJ271" s="148"/>
      <c r="DK271" s="148"/>
      <c r="DL271" s="148"/>
      <c r="DM271" s="148"/>
      <c r="DN271" s="148"/>
      <c r="DO271" s="148"/>
      <c r="DP271" s="148"/>
      <c r="DQ271" s="148"/>
      <c r="DR271" s="148"/>
      <c r="DS271" s="148"/>
      <c r="DT271" s="148"/>
      <c r="DU271" s="148"/>
      <c r="DV271" s="148"/>
      <c r="DW271" s="148"/>
      <c r="DX271" s="148"/>
      <c r="DY271" s="148"/>
      <c r="DZ271" s="148"/>
      <c r="EA271" s="148"/>
      <c r="EB271" s="148"/>
      <c r="EC271" s="148"/>
      <c r="ED271" s="148"/>
      <c r="EE271" s="148"/>
      <c r="EF271" s="148"/>
      <c r="EG271" s="148"/>
      <c r="EH271" s="148"/>
      <c r="EI271" s="148"/>
      <c r="EJ271" s="148"/>
      <c r="EK271" s="148"/>
      <c r="EL271" s="148"/>
      <c r="EM271" s="148"/>
      <c r="EN271" s="148"/>
      <c r="EO271" s="148"/>
      <c r="EP271" s="148"/>
      <c r="EQ271" s="148"/>
      <c r="ER271" s="148"/>
      <c r="ES271" s="148"/>
      <c r="ET271" s="148"/>
      <c r="EU271" s="148"/>
      <c r="EV271" s="148"/>
      <c r="EW271" s="148"/>
      <c r="EX271" s="148"/>
      <c r="EY271" s="148"/>
      <c r="EZ271" s="148"/>
      <c r="FA271" s="148"/>
      <c r="FB271" s="148"/>
      <c r="FC271" s="148"/>
      <c r="FD271" s="148"/>
      <c r="FE271" s="148"/>
      <c r="FF271" s="148"/>
      <c r="FG271" s="148"/>
      <c r="FH271" s="148"/>
      <c r="FI271" s="148"/>
      <c r="FJ271" s="148"/>
      <c r="FK271" s="148"/>
      <c r="FL271" s="148"/>
      <c r="FM271" s="148"/>
      <c r="FN271" s="148"/>
      <c r="FO271" s="148"/>
      <c r="FP271" s="148"/>
      <c r="FQ271" s="148"/>
      <c r="FR271" s="148"/>
      <c r="FS271" s="148"/>
      <c r="FT271" s="148"/>
      <c r="FU271" s="148"/>
      <c r="FV271" s="148"/>
      <c r="FW271" s="148"/>
      <c r="FX271" s="148"/>
      <c r="FY271" s="148"/>
      <c r="FZ271" s="148"/>
      <c r="GA271" s="148"/>
      <c r="GB271" s="148"/>
      <c r="GC271" s="148"/>
      <c r="GD271" s="148"/>
      <c r="GE271" s="148"/>
      <c r="GF271" s="148"/>
      <c r="GG271" s="149"/>
    </row>
    <row r="272" spans="1:189" x14ac:dyDescent="0.35">
      <c r="A272" s="267" t="s">
        <v>1388</v>
      </c>
      <c r="B272" s="221"/>
      <c r="C272" s="221"/>
      <c r="D272" s="222"/>
      <c r="E272" s="221" t="s">
        <v>1392</v>
      </c>
      <c r="F272" s="221" t="s">
        <v>1394</v>
      </c>
      <c r="G272" s="223">
        <v>1</v>
      </c>
      <c r="H272" s="224" t="s">
        <v>1390</v>
      </c>
      <c r="I272" s="225"/>
      <c r="J272" s="225"/>
      <c r="K272" s="225"/>
      <c r="L272" s="226">
        <v>46113</v>
      </c>
      <c r="M272" s="226">
        <v>46142</v>
      </c>
      <c r="N272" s="226">
        <v>46142</v>
      </c>
      <c r="O272" s="226">
        <v>46142</v>
      </c>
      <c r="P272" s="226">
        <v>46142</v>
      </c>
      <c r="Q272" s="227" t="s">
        <v>20</v>
      </c>
      <c r="R272" s="228"/>
      <c r="S272" s="228">
        <v>17530</v>
      </c>
      <c r="T272" s="228">
        <v>17530</v>
      </c>
      <c r="U272" s="191">
        <f t="shared" si="263"/>
        <v>0</v>
      </c>
      <c r="V272" s="230"/>
      <c r="W272" s="231"/>
      <c r="X272" s="46"/>
      <c r="Y272" s="167">
        <f t="shared" si="264"/>
        <v>0</v>
      </c>
      <c r="Z272" s="167">
        <f t="shared" si="265"/>
        <v>0</v>
      </c>
      <c r="AA272" s="167">
        <f t="shared" si="266"/>
        <v>0</v>
      </c>
      <c r="AB272" s="167">
        <f t="shared" si="267"/>
        <v>17530</v>
      </c>
      <c r="AC272" s="167">
        <f t="shared" si="268"/>
        <v>17530</v>
      </c>
      <c r="AD272" s="167">
        <f t="shared" si="269"/>
        <v>0</v>
      </c>
      <c r="AF272" s="47">
        <f t="shared" si="270"/>
        <v>1</v>
      </c>
      <c r="AG272" s="202" t="str">
        <f t="shared" si="271"/>
        <v xml:space="preserve"> Purchase of temporary stairs ECd_48</v>
      </c>
      <c r="AH272" s="147"/>
      <c r="AI272" s="148"/>
      <c r="AJ272" s="148"/>
      <c r="AK272" s="148"/>
      <c r="AL272" s="148"/>
      <c r="AM272" s="148"/>
      <c r="AN272" s="148"/>
      <c r="AO272" s="148"/>
      <c r="AP272" s="148"/>
      <c r="AQ272" s="148"/>
      <c r="AR272" s="148"/>
      <c r="AS272" s="148"/>
      <c r="AT272" s="148"/>
      <c r="AU272" s="148"/>
      <c r="AV272" s="148"/>
      <c r="AW272" s="148"/>
      <c r="AX272" s="148"/>
      <c r="AY272" s="148"/>
      <c r="AZ272" s="155"/>
      <c r="BA272" s="148"/>
      <c r="BB272" s="148"/>
      <c r="BC272" s="148"/>
      <c r="BD272" s="148"/>
      <c r="BE272" s="148"/>
      <c r="BF272" s="148"/>
      <c r="BG272" s="148"/>
      <c r="BH272" s="148"/>
      <c r="BI272" s="148"/>
      <c r="BJ272" s="148"/>
      <c r="BK272" s="148"/>
      <c r="BL272" s="148"/>
      <c r="BM272" s="148"/>
      <c r="BN272" s="148"/>
      <c r="BO272" s="148"/>
      <c r="BP272" s="148"/>
      <c r="BQ272" s="148"/>
      <c r="BR272" s="148"/>
      <c r="BS272" s="148"/>
      <c r="BT272" s="148"/>
      <c r="BU272" s="148"/>
      <c r="BV272" s="148"/>
      <c r="BW272" s="148"/>
      <c r="BX272" s="148"/>
      <c r="BY272" s="148"/>
      <c r="BZ272" s="148"/>
      <c r="CA272" s="148"/>
      <c r="CB272" s="148"/>
      <c r="CC272" s="148"/>
      <c r="CD272" s="148"/>
      <c r="CE272" s="148"/>
      <c r="CF272" s="148"/>
      <c r="CG272" s="148"/>
      <c r="CH272" s="148"/>
      <c r="CI272" s="148"/>
      <c r="CJ272" s="148"/>
      <c r="CK272" s="148"/>
      <c r="CL272" s="148"/>
      <c r="CM272" s="148"/>
      <c r="CN272" s="148"/>
      <c r="CO272" s="148"/>
      <c r="CP272" s="148"/>
      <c r="CQ272" s="148"/>
      <c r="CR272" s="148"/>
      <c r="CS272" s="148"/>
      <c r="CT272" s="148"/>
      <c r="CU272" s="148"/>
      <c r="CV272" s="148"/>
      <c r="CW272" s="148"/>
      <c r="CX272" s="148"/>
      <c r="CY272" s="148"/>
      <c r="CZ272" s="148"/>
      <c r="DA272" s="148"/>
      <c r="DB272" s="148"/>
      <c r="DC272" s="148"/>
      <c r="DD272" s="148"/>
      <c r="DE272" s="148"/>
      <c r="DF272" s="148"/>
      <c r="DG272" s="148"/>
      <c r="DH272" s="148"/>
      <c r="DI272" s="148"/>
      <c r="DJ272" s="148"/>
      <c r="DK272" s="148"/>
      <c r="DL272" s="148"/>
      <c r="DM272" s="148"/>
      <c r="DN272" s="148"/>
      <c r="DO272" s="148"/>
      <c r="DP272" s="148"/>
      <c r="DQ272" s="148"/>
      <c r="DR272" s="148"/>
      <c r="DS272" s="148"/>
      <c r="DT272" s="148"/>
      <c r="DU272" s="148"/>
      <c r="DV272" s="148"/>
      <c r="DW272" s="148"/>
      <c r="DX272" s="148"/>
      <c r="DY272" s="148"/>
      <c r="DZ272" s="148"/>
      <c r="EA272" s="148"/>
      <c r="EB272" s="148"/>
      <c r="EC272" s="148"/>
      <c r="ED272" s="148"/>
      <c r="EE272" s="148"/>
      <c r="EF272" s="148"/>
      <c r="EG272" s="148"/>
      <c r="EH272" s="148"/>
      <c r="EI272" s="148"/>
      <c r="EJ272" s="148"/>
      <c r="EK272" s="148"/>
      <c r="EL272" s="148"/>
      <c r="EM272" s="148"/>
      <c r="EN272" s="148"/>
      <c r="EO272" s="148"/>
      <c r="EP272" s="148"/>
      <c r="EQ272" s="148"/>
      <c r="ER272" s="148"/>
      <c r="ES272" s="148"/>
      <c r="ET272" s="148"/>
      <c r="EU272" s="148"/>
      <c r="EV272" s="148"/>
      <c r="EW272" s="148"/>
      <c r="EX272" s="148"/>
      <c r="EY272" s="148"/>
      <c r="EZ272" s="148"/>
      <c r="FA272" s="148"/>
      <c r="FB272" s="148"/>
      <c r="FC272" s="148"/>
      <c r="FD272" s="148"/>
      <c r="FE272" s="148"/>
      <c r="FF272" s="148"/>
      <c r="FG272" s="148"/>
      <c r="FH272" s="148"/>
      <c r="FI272" s="148"/>
      <c r="FJ272" s="148"/>
      <c r="FK272" s="148"/>
      <c r="FL272" s="148"/>
      <c r="FM272" s="148"/>
      <c r="FN272" s="148"/>
      <c r="FO272" s="148"/>
      <c r="FP272" s="148"/>
      <c r="FQ272" s="148"/>
      <c r="FR272" s="148"/>
      <c r="FS272" s="148"/>
      <c r="FT272" s="148"/>
      <c r="FU272" s="148"/>
      <c r="FV272" s="148"/>
      <c r="FW272" s="148"/>
      <c r="FX272" s="148"/>
      <c r="FY272" s="148"/>
      <c r="FZ272" s="148"/>
      <c r="GA272" s="148"/>
      <c r="GB272" s="148"/>
      <c r="GC272" s="148"/>
      <c r="GD272" s="148"/>
      <c r="GE272" s="148"/>
      <c r="GF272" s="148"/>
      <c r="GG272" s="149"/>
    </row>
    <row r="273" spans="1:189" x14ac:dyDescent="0.35">
      <c r="A273" s="267" t="s">
        <v>1389</v>
      </c>
      <c r="B273" s="221"/>
      <c r="C273" s="221"/>
      <c r="D273" s="222"/>
      <c r="E273" s="221" t="s">
        <v>1393</v>
      </c>
      <c r="F273" s="221" t="s">
        <v>1395</v>
      </c>
      <c r="G273" s="223">
        <v>1</v>
      </c>
      <c r="H273" s="224" t="s">
        <v>1391</v>
      </c>
      <c r="I273" s="225"/>
      <c r="J273" s="225"/>
      <c r="K273" s="225"/>
      <c r="L273" s="226">
        <v>46113</v>
      </c>
      <c r="M273" s="226">
        <v>46142</v>
      </c>
      <c r="N273" s="226">
        <v>46142</v>
      </c>
      <c r="O273" s="226">
        <v>46142</v>
      </c>
      <c r="P273" s="226">
        <v>46142</v>
      </c>
      <c r="Q273" s="227" t="s">
        <v>20</v>
      </c>
      <c r="R273" s="228"/>
      <c r="S273" s="228">
        <v>5711</v>
      </c>
      <c r="T273" s="228">
        <v>5711</v>
      </c>
      <c r="U273" s="191">
        <f t="shared" si="263"/>
        <v>0</v>
      </c>
      <c r="V273" s="230"/>
      <c r="W273" s="231"/>
      <c r="X273" s="46"/>
      <c r="Y273" s="167">
        <f t="shared" si="264"/>
        <v>0</v>
      </c>
      <c r="Z273" s="167">
        <f t="shared" si="265"/>
        <v>0</v>
      </c>
      <c r="AA273" s="167">
        <f t="shared" si="266"/>
        <v>0</v>
      </c>
      <c r="AB273" s="167">
        <f t="shared" si="267"/>
        <v>5711</v>
      </c>
      <c r="AC273" s="167">
        <f t="shared" si="268"/>
        <v>5711</v>
      </c>
      <c r="AD273" s="167">
        <f t="shared" si="269"/>
        <v>0</v>
      </c>
      <c r="AF273" s="47">
        <f t="shared" si="270"/>
        <v>1</v>
      </c>
      <c r="AG273" s="202" t="str">
        <f t="shared" si="271"/>
        <v xml:space="preserve"> Meals ECd_53</v>
      </c>
      <c r="AH273" s="147"/>
      <c r="AI273" s="148"/>
      <c r="AJ273" s="148"/>
      <c r="AK273" s="148"/>
      <c r="AL273" s="148"/>
      <c r="AM273" s="148"/>
      <c r="AN273" s="148"/>
      <c r="AO273" s="148"/>
      <c r="AP273" s="148"/>
      <c r="AQ273" s="148"/>
      <c r="AR273" s="148"/>
      <c r="AS273" s="148"/>
      <c r="AT273" s="148"/>
      <c r="AU273" s="148"/>
      <c r="AV273" s="148"/>
      <c r="AW273" s="148"/>
      <c r="AX273" s="148"/>
      <c r="AY273" s="148"/>
      <c r="AZ273" s="155"/>
      <c r="BA273" s="148"/>
      <c r="BB273" s="148"/>
      <c r="BC273" s="148"/>
      <c r="BD273" s="148"/>
      <c r="BE273" s="148"/>
      <c r="BF273" s="148"/>
      <c r="BG273" s="148"/>
      <c r="BH273" s="148"/>
      <c r="BI273" s="148"/>
      <c r="BJ273" s="148"/>
      <c r="BK273" s="148"/>
      <c r="BL273" s="148"/>
      <c r="BM273" s="148"/>
      <c r="BN273" s="148"/>
      <c r="BO273" s="148"/>
      <c r="BP273" s="148"/>
      <c r="BQ273" s="148"/>
      <c r="BR273" s="148"/>
      <c r="BS273" s="148"/>
      <c r="BT273" s="148"/>
      <c r="BU273" s="148"/>
      <c r="BV273" s="148"/>
      <c r="BW273" s="148"/>
      <c r="BX273" s="148"/>
      <c r="BY273" s="148"/>
      <c r="BZ273" s="148"/>
      <c r="CA273" s="148"/>
      <c r="CB273" s="148"/>
      <c r="CC273" s="148"/>
      <c r="CD273" s="148"/>
      <c r="CE273" s="148"/>
      <c r="CF273" s="148"/>
      <c r="CG273" s="148"/>
      <c r="CH273" s="148"/>
      <c r="CI273" s="148"/>
      <c r="CJ273" s="148"/>
      <c r="CK273" s="148"/>
      <c r="CL273" s="148"/>
      <c r="CM273" s="148"/>
      <c r="CN273" s="148"/>
      <c r="CO273" s="148"/>
      <c r="CP273" s="148"/>
      <c r="CQ273" s="148"/>
      <c r="CR273" s="148"/>
      <c r="CS273" s="148"/>
      <c r="CT273" s="148"/>
      <c r="CU273" s="148"/>
      <c r="CV273" s="148"/>
      <c r="CW273" s="148"/>
      <c r="CX273" s="148"/>
      <c r="CY273" s="148"/>
      <c r="CZ273" s="148"/>
      <c r="DA273" s="148"/>
      <c r="DB273" s="148"/>
      <c r="DC273" s="148"/>
      <c r="DD273" s="148"/>
      <c r="DE273" s="148"/>
      <c r="DF273" s="148"/>
      <c r="DG273" s="148"/>
      <c r="DH273" s="148"/>
      <c r="DI273" s="148"/>
      <c r="DJ273" s="148"/>
      <c r="DK273" s="148"/>
      <c r="DL273" s="148"/>
      <c r="DM273" s="148"/>
      <c r="DN273" s="148"/>
      <c r="DO273" s="148"/>
      <c r="DP273" s="148"/>
      <c r="DQ273" s="148"/>
      <c r="DR273" s="148"/>
      <c r="DS273" s="148"/>
      <c r="DT273" s="148"/>
      <c r="DU273" s="148"/>
      <c r="DV273" s="148"/>
      <c r="DW273" s="148"/>
      <c r="DX273" s="148"/>
      <c r="DY273" s="148"/>
      <c r="DZ273" s="148"/>
      <c r="EA273" s="148"/>
      <c r="EB273" s="148"/>
      <c r="EC273" s="148"/>
      <c r="ED273" s="148"/>
      <c r="EE273" s="148"/>
      <c r="EF273" s="148"/>
      <c r="EG273" s="148"/>
      <c r="EH273" s="148"/>
      <c r="EI273" s="148"/>
      <c r="EJ273" s="148"/>
      <c r="EK273" s="148"/>
      <c r="EL273" s="148"/>
      <c r="EM273" s="148"/>
      <c r="EN273" s="148"/>
      <c r="EO273" s="148"/>
      <c r="EP273" s="148"/>
      <c r="EQ273" s="148"/>
      <c r="ER273" s="148"/>
      <c r="ES273" s="148"/>
      <c r="ET273" s="148"/>
      <c r="EU273" s="148"/>
      <c r="EV273" s="148"/>
      <c r="EW273" s="148"/>
      <c r="EX273" s="148"/>
      <c r="EY273" s="148"/>
      <c r="EZ273" s="148"/>
      <c r="FA273" s="148"/>
      <c r="FB273" s="148"/>
      <c r="FC273" s="148"/>
      <c r="FD273" s="148"/>
      <c r="FE273" s="148"/>
      <c r="FF273" s="148"/>
      <c r="FG273" s="148"/>
      <c r="FH273" s="148"/>
      <c r="FI273" s="148"/>
      <c r="FJ273" s="148"/>
      <c r="FK273" s="148"/>
      <c r="FL273" s="148"/>
      <c r="FM273" s="148"/>
      <c r="FN273" s="148"/>
      <c r="FO273" s="148"/>
      <c r="FP273" s="148"/>
      <c r="FQ273" s="148"/>
      <c r="FR273" s="148"/>
      <c r="FS273" s="148"/>
      <c r="FT273" s="148"/>
      <c r="FU273" s="148"/>
      <c r="FV273" s="148"/>
      <c r="FW273" s="148"/>
      <c r="FX273" s="148"/>
      <c r="FY273" s="148"/>
      <c r="FZ273" s="148"/>
      <c r="GA273" s="148"/>
      <c r="GB273" s="148"/>
      <c r="GC273" s="148"/>
      <c r="GD273" s="148"/>
      <c r="GE273" s="148"/>
      <c r="GF273" s="148"/>
      <c r="GG273" s="149"/>
    </row>
    <row r="274" spans="1:189" x14ac:dyDescent="0.35">
      <c r="A274" s="297" t="s">
        <v>934</v>
      </c>
      <c r="B274" s="298" t="s">
        <v>1081</v>
      </c>
      <c r="C274" s="298"/>
      <c r="D274" s="299"/>
      <c r="E274" s="298" t="s">
        <v>786</v>
      </c>
      <c r="F274" s="298" t="s">
        <v>868</v>
      </c>
      <c r="G274" s="300">
        <v>2</v>
      </c>
      <c r="H274" s="301"/>
      <c r="I274" s="302"/>
      <c r="J274" s="302"/>
      <c r="K274" s="302"/>
      <c r="L274" s="303">
        <v>45995</v>
      </c>
      <c r="M274" s="303">
        <v>46752</v>
      </c>
      <c r="N274" s="303"/>
      <c r="O274" s="303">
        <v>45995</v>
      </c>
      <c r="P274" s="303">
        <v>46934</v>
      </c>
      <c r="Q274" s="304" t="s">
        <v>45</v>
      </c>
      <c r="R274" s="305">
        <v>90000</v>
      </c>
      <c r="S274" s="305">
        <v>90000</v>
      </c>
      <c r="T274" s="305"/>
      <c r="U274" s="191">
        <f t="shared" si="263"/>
        <v>0</v>
      </c>
      <c r="V274" s="306"/>
      <c r="W274" s="307"/>
      <c r="X274" s="46"/>
      <c r="Y274" s="167">
        <f t="shared" si="264"/>
        <v>90000</v>
      </c>
      <c r="Z274" s="167">
        <f t="shared" si="265"/>
        <v>0</v>
      </c>
      <c r="AA274" s="167">
        <f t="shared" si="266"/>
        <v>90000</v>
      </c>
      <c r="AB274" s="167">
        <f t="shared" si="267"/>
        <v>0</v>
      </c>
      <c r="AC274" s="167">
        <f t="shared" si="268"/>
        <v>0</v>
      </c>
      <c r="AD274" s="167">
        <f t="shared" si="269"/>
        <v>0</v>
      </c>
      <c r="AF274" s="47">
        <f t="shared" si="270"/>
        <v>1</v>
      </c>
      <c r="AG274" s="202" t="str">
        <f t="shared" si="271"/>
        <v>Damian Gadowski Small equipment rental</v>
      </c>
      <c r="AH274" s="172"/>
      <c r="AI274" s="173"/>
      <c r="AJ274" s="173"/>
      <c r="AK274" s="173"/>
      <c r="AL274" s="173"/>
      <c r="AM274" s="173"/>
      <c r="AN274" s="173"/>
      <c r="AO274" s="173"/>
      <c r="AP274" s="173"/>
      <c r="AQ274" s="173"/>
      <c r="AR274" s="173"/>
      <c r="AS274" s="173"/>
      <c r="AT274" s="173"/>
      <c r="AU274" s="173"/>
      <c r="AV274" s="173"/>
      <c r="AW274" s="173"/>
      <c r="AX274" s="173"/>
      <c r="AY274" s="173"/>
      <c r="AZ274" s="173"/>
      <c r="BA274" s="173"/>
      <c r="BB274" s="173"/>
      <c r="BC274" s="173"/>
      <c r="BD274" s="173"/>
      <c r="BE274" s="173"/>
      <c r="BF274" s="173"/>
      <c r="BG274" s="173"/>
      <c r="BH274" s="173"/>
      <c r="BI274" s="173"/>
      <c r="BJ274" s="173"/>
      <c r="BK274" s="173"/>
      <c r="BL274" s="173"/>
      <c r="BM274" s="173"/>
      <c r="BN274" s="173"/>
      <c r="BO274" s="173"/>
      <c r="BP274" s="173"/>
      <c r="BQ274" s="173"/>
      <c r="BR274" s="173"/>
      <c r="BS274" s="173"/>
      <c r="BT274" s="173"/>
      <c r="BU274" s="173"/>
      <c r="BV274" s="173"/>
      <c r="BW274" s="173"/>
      <c r="BX274" s="173"/>
      <c r="BY274" s="173"/>
      <c r="BZ274" s="173"/>
      <c r="CA274" s="173"/>
      <c r="CB274" s="173"/>
      <c r="CC274" s="173"/>
      <c r="CD274" s="173"/>
      <c r="CE274" s="173"/>
      <c r="CF274" s="173"/>
      <c r="CG274" s="173"/>
      <c r="CH274" s="173"/>
      <c r="CI274" s="173"/>
      <c r="CJ274" s="173"/>
      <c r="CK274" s="173"/>
      <c r="CL274" s="173"/>
      <c r="CM274" s="173"/>
      <c r="CN274" s="173"/>
      <c r="CO274" s="173"/>
      <c r="CP274" s="173"/>
      <c r="CQ274" s="173"/>
      <c r="CR274" s="173"/>
      <c r="CS274" s="173"/>
      <c r="CT274" s="173"/>
      <c r="CU274" s="173"/>
      <c r="CV274" s="173"/>
      <c r="CW274" s="173"/>
      <c r="CX274" s="173"/>
      <c r="CY274" s="148"/>
      <c r="CZ274" s="148"/>
      <c r="DA274" s="148"/>
      <c r="DB274" s="148"/>
      <c r="DC274" s="148"/>
      <c r="DD274" s="148"/>
      <c r="DE274" s="148"/>
      <c r="DF274" s="148"/>
      <c r="DG274" s="148"/>
      <c r="DH274" s="148"/>
      <c r="DI274" s="148"/>
      <c r="DJ274" s="148"/>
      <c r="DK274" s="148"/>
      <c r="DL274" s="148"/>
      <c r="DM274" s="148"/>
      <c r="DN274" s="148"/>
      <c r="DO274" s="148"/>
      <c r="DP274" s="148"/>
      <c r="DQ274" s="148"/>
      <c r="DR274" s="148"/>
      <c r="DS274" s="148"/>
      <c r="DT274" s="148"/>
      <c r="DU274" s="148"/>
      <c r="DV274" s="148"/>
      <c r="DW274" s="148"/>
      <c r="DX274" s="148"/>
      <c r="DY274" s="148"/>
      <c r="DZ274" s="148"/>
      <c r="EA274" s="148"/>
      <c r="EB274" s="148"/>
      <c r="EC274" s="148"/>
      <c r="ED274" s="148"/>
      <c r="EE274" s="148"/>
      <c r="EF274" s="148"/>
      <c r="EG274" s="148"/>
      <c r="EH274" s="148"/>
      <c r="EI274" s="148"/>
      <c r="EJ274" s="148"/>
      <c r="EK274" s="148"/>
      <c r="EL274" s="148"/>
      <c r="EM274" s="148"/>
      <c r="EN274" s="148"/>
      <c r="EO274" s="148"/>
      <c r="EP274" s="148"/>
      <c r="EQ274" s="148"/>
      <c r="ER274" s="148"/>
      <c r="ES274" s="148"/>
      <c r="ET274" s="148"/>
      <c r="EU274" s="148"/>
      <c r="EV274" s="148"/>
      <c r="EW274" s="148"/>
      <c r="EX274" s="148"/>
      <c r="EY274" s="148"/>
      <c r="EZ274" s="148"/>
      <c r="FA274" s="148"/>
      <c r="FB274" s="148"/>
      <c r="FC274" s="148"/>
      <c r="FD274" s="148"/>
      <c r="FE274" s="148"/>
      <c r="FF274" s="148"/>
      <c r="FG274" s="148"/>
      <c r="FH274" s="148"/>
      <c r="FI274" s="148"/>
      <c r="FJ274" s="148"/>
      <c r="FK274" s="148"/>
      <c r="FL274" s="148"/>
      <c r="FM274" s="148"/>
      <c r="FN274" s="148"/>
      <c r="FO274" s="148"/>
      <c r="FP274" s="148"/>
      <c r="FQ274" s="148"/>
      <c r="FR274" s="148"/>
      <c r="FS274" s="148"/>
      <c r="FT274" s="148"/>
      <c r="FU274" s="148"/>
      <c r="FV274" s="148"/>
      <c r="FW274" s="148"/>
      <c r="FX274" s="148"/>
      <c r="FY274" s="148"/>
      <c r="FZ274" s="148"/>
      <c r="GA274" s="148"/>
      <c r="GB274" s="148"/>
      <c r="GC274" s="148"/>
      <c r="GD274" s="148"/>
      <c r="GE274" s="148"/>
      <c r="GF274" s="148"/>
      <c r="GG274" s="149"/>
    </row>
    <row r="275" spans="1:189" x14ac:dyDescent="0.35">
      <c r="A275" s="297" t="s">
        <v>935</v>
      </c>
      <c r="B275" s="298" t="s">
        <v>1081</v>
      </c>
      <c r="C275" s="298"/>
      <c r="D275" s="299"/>
      <c r="E275" s="298" t="s">
        <v>787</v>
      </c>
      <c r="F275" s="298" t="s">
        <v>827</v>
      </c>
      <c r="G275" s="300">
        <v>2</v>
      </c>
      <c r="H275" s="301"/>
      <c r="I275" s="302"/>
      <c r="J275" s="302"/>
      <c r="K275" s="302"/>
      <c r="L275" s="303">
        <v>45995</v>
      </c>
      <c r="M275" s="303">
        <v>46752</v>
      </c>
      <c r="N275" s="303"/>
      <c r="O275" s="303">
        <v>45995</v>
      </c>
      <c r="P275" s="303">
        <v>46934</v>
      </c>
      <c r="Q275" s="304" t="s">
        <v>45</v>
      </c>
      <c r="R275" s="305">
        <v>314000</v>
      </c>
      <c r="S275" s="305">
        <f>314000-SUM(S276:S279)</f>
        <v>154000</v>
      </c>
      <c r="T275" s="305"/>
      <c r="U275" s="191">
        <f t="shared" si="263"/>
        <v>0</v>
      </c>
      <c r="V275" s="306"/>
      <c r="W275" s="307"/>
      <c r="X275" s="46"/>
      <c r="Y275" s="167">
        <f t="shared" si="264"/>
        <v>154000</v>
      </c>
      <c r="Z275" s="167">
        <f t="shared" si="265"/>
        <v>0</v>
      </c>
      <c r="AA275" s="167">
        <f t="shared" si="266"/>
        <v>154000</v>
      </c>
      <c r="AB275" s="167">
        <f t="shared" si="267"/>
        <v>0</v>
      </c>
      <c r="AC275" s="167">
        <f t="shared" si="268"/>
        <v>0</v>
      </c>
      <c r="AD275" s="167">
        <f t="shared" si="269"/>
        <v>0</v>
      </c>
      <c r="AF275" s="47">
        <f t="shared" si="270"/>
        <v>1</v>
      </c>
      <c r="AG275" s="202" t="str">
        <f t="shared" si="271"/>
        <v>Damian Gadowski 30-T Truck Crane</v>
      </c>
      <c r="AH275" s="172"/>
      <c r="AI275" s="173"/>
      <c r="AJ275" s="173"/>
      <c r="AK275" s="173"/>
      <c r="AL275" s="173"/>
      <c r="AM275" s="173"/>
      <c r="AN275" s="173"/>
      <c r="AO275" s="173"/>
      <c r="AP275" s="173"/>
      <c r="AQ275" s="173"/>
      <c r="AR275" s="173"/>
      <c r="AS275" s="173"/>
      <c r="AT275" s="173"/>
      <c r="AU275" s="173"/>
      <c r="AV275" s="173"/>
      <c r="AW275" s="173"/>
      <c r="AX275" s="173"/>
      <c r="AY275" s="173"/>
      <c r="AZ275" s="173"/>
      <c r="BA275" s="173"/>
      <c r="BB275" s="173"/>
      <c r="BC275" s="173"/>
      <c r="BD275" s="173"/>
      <c r="BE275" s="173"/>
      <c r="BF275" s="173"/>
      <c r="BG275" s="173"/>
      <c r="BH275" s="173"/>
      <c r="BI275" s="173"/>
      <c r="BJ275" s="173"/>
      <c r="BK275" s="173"/>
      <c r="BL275" s="173"/>
      <c r="BM275" s="173"/>
      <c r="BN275" s="173"/>
      <c r="BO275" s="173"/>
      <c r="BP275" s="173"/>
      <c r="BQ275" s="173"/>
      <c r="BR275" s="173"/>
      <c r="BS275" s="173"/>
      <c r="BT275" s="173"/>
      <c r="BU275" s="173"/>
      <c r="BV275" s="173"/>
      <c r="BW275" s="173"/>
      <c r="BX275" s="173"/>
      <c r="BY275" s="173"/>
      <c r="BZ275" s="173"/>
      <c r="CA275" s="173"/>
      <c r="CB275" s="173"/>
      <c r="CC275" s="173"/>
      <c r="CD275" s="173"/>
      <c r="CE275" s="173"/>
      <c r="CF275" s="173"/>
      <c r="CG275" s="173"/>
      <c r="CH275" s="173"/>
      <c r="CI275" s="173"/>
      <c r="CJ275" s="173"/>
      <c r="CK275" s="173"/>
      <c r="CL275" s="173"/>
      <c r="CM275" s="173"/>
      <c r="CN275" s="173"/>
      <c r="CO275" s="173"/>
      <c r="CP275" s="173"/>
      <c r="CQ275" s="173"/>
      <c r="CR275" s="173"/>
      <c r="CS275" s="173"/>
      <c r="CT275" s="173"/>
      <c r="CU275" s="173"/>
      <c r="CV275" s="173"/>
      <c r="CW275" s="173"/>
      <c r="CX275" s="173"/>
      <c r="CY275" s="148"/>
      <c r="CZ275" s="148"/>
      <c r="DA275" s="148"/>
      <c r="DB275" s="148"/>
      <c r="DC275" s="148"/>
      <c r="DD275" s="148"/>
      <c r="DE275" s="148"/>
      <c r="DF275" s="148"/>
      <c r="DG275" s="148"/>
      <c r="DH275" s="148"/>
      <c r="DI275" s="148"/>
      <c r="DJ275" s="148"/>
      <c r="DK275" s="148"/>
      <c r="DL275" s="148"/>
      <c r="DM275" s="148"/>
      <c r="DN275" s="148"/>
      <c r="DO275" s="148"/>
      <c r="DP275" s="148"/>
      <c r="DQ275" s="148"/>
      <c r="DR275" s="148"/>
      <c r="DS275" s="148"/>
      <c r="DT275" s="148"/>
      <c r="DU275" s="148"/>
      <c r="DV275" s="148"/>
      <c r="DW275" s="148"/>
      <c r="DX275" s="148"/>
      <c r="DY275" s="148"/>
      <c r="DZ275" s="148"/>
      <c r="EA275" s="148"/>
      <c r="EB275" s="148"/>
      <c r="EC275" s="148"/>
      <c r="ED275" s="148"/>
      <c r="EE275" s="148"/>
      <c r="EF275" s="148"/>
      <c r="EG275" s="148"/>
      <c r="EH275" s="148"/>
      <c r="EI275" s="148"/>
      <c r="EJ275" s="148"/>
      <c r="EK275" s="148"/>
      <c r="EL275" s="148"/>
      <c r="EM275" s="148"/>
      <c r="EN275" s="148"/>
      <c r="EO275" s="148"/>
      <c r="EP275" s="148"/>
      <c r="EQ275" s="148"/>
      <c r="ER275" s="148"/>
      <c r="ES275" s="148"/>
      <c r="ET275" s="148"/>
      <c r="EU275" s="148"/>
      <c r="EV275" s="148"/>
      <c r="EW275" s="148"/>
      <c r="EX275" s="148"/>
      <c r="EY275" s="148"/>
      <c r="EZ275" s="148"/>
      <c r="FA275" s="148"/>
      <c r="FB275" s="148"/>
      <c r="FC275" s="148"/>
      <c r="FD275" s="148"/>
      <c r="FE275" s="148"/>
      <c r="FF275" s="148"/>
      <c r="FG275" s="148"/>
      <c r="FH275" s="148"/>
      <c r="FI275" s="148"/>
      <c r="FJ275" s="148"/>
      <c r="FK275" s="148"/>
      <c r="FL275" s="148"/>
      <c r="FM275" s="148"/>
      <c r="FN275" s="148"/>
      <c r="FO275" s="148"/>
      <c r="FP275" s="148"/>
      <c r="FQ275" s="148"/>
      <c r="FR275" s="148"/>
      <c r="FS275" s="148"/>
      <c r="FT275" s="148"/>
      <c r="FU275" s="148"/>
      <c r="FV275" s="148"/>
      <c r="FW275" s="148"/>
      <c r="FX275" s="148"/>
      <c r="FY275" s="148"/>
      <c r="FZ275" s="148"/>
      <c r="GA275" s="148"/>
      <c r="GB275" s="148"/>
      <c r="GC275" s="148"/>
      <c r="GD275" s="148"/>
      <c r="GE275" s="148"/>
      <c r="GF275" s="148"/>
      <c r="GG275" s="149"/>
    </row>
    <row r="276" spans="1:189" ht="27.75" x14ac:dyDescent="0.35">
      <c r="A276" s="267" t="s">
        <v>1188</v>
      </c>
      <c r="B276" s="221"/>
      <c r="C276" s="221" t="s">
        <v>1195</v>
      </c>
      <c r="D276" s="222"/>
      <c r="E276" s="221" t="s">
        <v>1190</v>
      </c>
      <c r="F276" s="221" t="s">
        <v>1192</v>
      </c>
      <c r="G276" s="223">
        <v>1</v>
      </c>
      <c r="H276" s="224" t="s">
        <v>1142</v>
      </c>
      <c r="I276" s="225"/>
      <c r="J276" s="225"/>
      <c r="K276" s="225"/>
      <c r="L276" s="226">
        <v>45995</v>
      </c>
      <c r="M276" s="226">
        <v>46053</v>
      </c>
      <c r="N276" s="226">
        <v>46053</v>
      </c>
      <c r="O276" s="226">
        <v>45995</v>
      </c>
      <c r="P276" s="226">
        <v>46934</v>
      </c>
      <c r="Q276" s="227" t="s">
        <v>20</v>
      </c>
      <c r="R276" s="228"/>
      <c r="S276" s="228">
        <v>50000</v>
      </c>
      <c r="T276" s="228">
        <v>50000</v>
      </c>
      <c r="U276" s="191">
        <f t="shared" ref="U276:U279" si="272">IF(Q276="",0,IF(T276="",0,+S276-T276))</f>
        <v>0</v>
      </c>
      <c r="V276" s="230"/>
      <c r="W276" s="231"/>
      <c r="X276" s="46"/>
      <c r="Y276" s="167">
        <f t="shared" ref="Y276:Y279" si="273">IF(G276=2,S276,0)</f>
        <v>0</v>
      </c>
      <c r="Z276" s="167">
        <f t="shared" ref="Z276:Z279" si="274">IF(Q276="",0,IF(G276=2,T276,0))</f>
        <v>0</v>
      </c>
      <c r="AA276" s="167">
        <f t="shared" ref="AA276:AA279" si="275">Y276-Z276</f>
        <v>0</v>
      </c>
      <c r="AB276" s="167">
        <f t="shared" ref="AB276:AB279" si="276">IF(G276=1,S276,0)</f>
        <v>50000</v>
      </c>
      <c r="AC276" s="167">
        <f t="shared" ref="AC276:AC279" si="277">IF(Q276="",0,IF(G276=1,T276,0))</f>
        <v>50000</v>
      </c>
      <c r="AD276" s="167">
        <f t="shared" ref="AD276:AD279" si="278">AB276-AC276</f>
        <v>0</v>
      </c>
      <c r="AF276" s="47">
        <f t="shared" ref="AF276:AF279" si="279">IF(S276&lt;&gt;"",1,0)</f>
        <v>1</v>
      </c>
      <c r="AG276" s="202" t="str">
        <f t="shared" ref="AG276:AG279" si="280">B276&amp;" "&amp;F276</f>
        <v xml:space="preserve"> Purchase of small construction materials and tools ECd_18</v>
      </c>
      <c r="AH276" s="147"/>
      <c r="AI276" s="148"/>
      <c r="AJ276" s="148"/>
      <c r="AK276" s="148"/>
      <c r="AL276" s="148"/>
      <c r="AM276" s="148"/>
      <c r="AN276" s="148"/>
      <c r="AO276" s="148"/>
      <c r="AP276" s="148"/>
      <c r="AQ276" s="148"/>
      <c r="AR276" s="148"/>
      <c r="AS276" s="148"/>
      <c r="AT276" s="148"/>
      <c r="AU276" s="148"/>
      <c r="AV276" s="148"/>
      <c r="AW276" s="148"/>
      <c r="AX276" s="148"/>
      <c r="AY276" s="148"/>
      <c r="AZ276" s="155"/>
      <c r="BA276" s="148"/>
      <c r="BB276" s="148"/>
      <c r="BC276" s="148"/>
      <c r="BD276" s="148"/>
      <c r="BE276" s="148"/>
      <c r="BF276" s="148"/>
      <c r="BG276" s="148"/>
      <c r="BH276" s="148"/>
      <c r="BI276" s="148"/>
      <c r="BJ276" s="148"/>
      <c r="BK276" s="148"/>
      <c r="BL276" s="148"/>
      <c r="BM276" s="148"/>
      <c r="BN276" s="148"/>
      <c r="BO276" s="148"/>
      <c r="BP276" s="148"/>
      <c r="BQ276" s="148"/>
      <c r="BR276" s="148"/>
      <c r="BS276" s="148"/>
      <c r="BT276" s="148"/>
      <c r="BU276" s="148"/>
      <c r="BV276" s="148"/>
      <c r="BW276" s="148"/>
      <c r="BX276" s="148"/>
      <c r="BY276" s="148"/>
      <c r="BZ276" s="148"/>
      <c r="CA276" s="148"/>
      <c r="CB276" s="148"/>
      <c r="CC276" s="148"/>
      <c r="CD276" s="148"/>
      <c r="CE276" s="148"/>
      <c r="CF276" s="148"/>
      <c r="CG276" s="148"/>
      <c r="CH276" s="148"/>
      <c r="CI276" s="148"/>
      <c r="CJ276" s="148"/>
      <c r="CK276" s="148"/>
      <c r="CL276" s="148"/>
      <c r="CM276" s="148"/>
      <c r="CN276" s="148"/>
      <c r="CO276" s="148"/>
      <c r="CP276" s="148"/>
      <c r="CQ276" s="148"/>
      <c r="CR276" s="148"/>
      <c r="CS276" s="148"/>
      <c r="CT276" s="148"/>
      <c r="CU276" s="148"/>
      <c r="CV276" s="148"/>
      <c r="CW276" s="148"/>
      <c r="CX276" s="148"/>
      <c r="CY276" s="148"/>
      <c r="CZ276" s="148"/>
      <c r="DA276" s="148"/>
      <c r="DB276" s="148"/>
      <c r="DC276" s="148"/>
      <c r="DD276" s="148"/>
      <c r="DE276" s="148"/>
      <c r="DF276" s="148"/>
      <c r="DG276" s="148"/>
      <c r="DH276" s="148"/>
      <c r="DI276" s="148"/>
      <c r="DJ276" s="148"/>
      <c r="DK276" s="148"/>
      <c r="DL276" s="148"/>
      <c r="DM276" s="148"/>
      <c r="DN276" s="148"/>
      <c r="DO276" s="148"/>
      <c r="DP276" s="148"/>
      <c r="DQ276" s="148"/>
      <c r="DR276" s="148"/>
      <c r="DS276" s="148"/>
      <c r="DT276" s="148"/>
      <c r="DU276" s="148"/>
      <c r="DV276" s="148"/>
      <c r="DW276" s="148"/>
      <c r="DX276" s="148"/>
      <c r="DY276" s="148"/>
      <c r="DZ276" s="148"/>
      <c r="EA276" s="148"/>
      <c r="EB276" s="148"/>
      <c r="EC276" s="148"/>
      <c r="ED276" s="148"/>
      <c r="EE276" s="148"/>
      <c r="EF276" s="148"/>
      <c r="EG276" s="148"/>
      <c r="EH276" s="148"/>
      <c r="EI276" s="148"/>
      <c r="EJ276" s="148"/>
      <c r="EK276" s="148"/>
      <c r="EL276" s="148"/>
      <c r="EM276" s="148"/>
      <c r="EN276" s="148"/>
      <c r="EO276" s="148"/>
      <c r="EP276" s="148"/>
      <c r="EQ276" s="148"/>
      <c r="ER276" s="148"/>
      <c r="ES276" s="148"/>
      <c r="ET276" s="148"/>
      <c r="EU276" s="148"/>
      <c r="EV276" s="148"/>
      <c r="EW276" s="148"/>
      <c r="EX276" s="148"/>
      <c r="EY276" s="148"/>
      <c r="EZ276" s="148"/>
      <c r="FA276" s="148"/>
      <c r="FB276" s="148"/>
      <c r="FC276" s="148"/>
      <c r="FD276" s="148"/>
      <c r="FE276" s="148"/>
      <c r="FF276" s="148"/>
      <c r="FG276" s="148"/>
      <c r="FH276" s="148"/>
      <c r="FI276" s="148"/>
      <c r="FJ276" s="148"/>
      <c r="FK276" s="148"/>
      <c r="FL276" s="148"/>
      <c r="FM276" s="148"/>
      <c r="FN276" s="148"/>
      <c r="FO276" s="148"/>
      <c r="FP276" s="148"/>
      <c r="FQ276" s="148"/>
      <c r="FR276" s="148"/>
      <c r="FS276" s="148"/>
      <c r="FT276" s="148"/>
      <c r="FU276" s="148"/>
      <c r="FV276" s="148"/>
      <c r="FW276" s="148"/>
      <c r="FX276" s="148"/>
      <c r="FY276" s="148"/>
      <c r="FZ276" s="148"/>
      <c r="GA276" s="148"/>
      <c r="GB276" s="148"/>
      <c r="GC276" s="148"/>
      <c r="GD276" s="148"/>
      <c r="GE276" s="148"/>
      <c r="GF276" s="148"/>
      <c r="GG276" s="149"/>
    </row>
    <row r="277" spans="1:189" ht="27.75" x14ac:dyDescent="0.35">
      <c r="A277" s="267" t="s">
        <v>1189</v>
      </c>
      <c r="B277" s="221"/>
      <c r="C277" s="221" t="s">
        <v>1195</v>
      </c>
      <c r="D277" s="222"/>
      <c r="E277" s="221" t="s">
        <v>1191</v>
      </c>
      <c r="F277" s="221" t="s">
        <v>1193</v>
      </c>
      <c r="G277" s="223">
        <v>1</v>
      </c>
      <c r="H277" s="224" t="s">
        <v>1194</v>
      </c>
      <c r="I277" s="225"/>
      <c r="J277" s="225"/>
      <c r="K277" s="225"/>
      <c r="L277" s="226">
        <v>45995</v>
      </c>
      <c r="M277" s="226">
        <v>46053</v>
      </c>
      <c r="N277" s="226">
        <v>46053</v>
      </c>
      <c r="O277" s="226">
        <v>45995</v>
      </c>
      <c r="P277" s="226">
        <v>46934</v>
      </c>
      <c r="Q277" s="227" t="s">
        <v>20</v>
      </c>
      <c r="R277" s="228"/>
      <c r="S277" s="228">
        <v>50000</v>
      </c>
      <c r="T277" s="228">
        <v>50000</v>
      </c>
      <c r="U277" s="191">
        <f t="shared" ref="U277:U278" si="281">IF(Q277="",0,IF(T277="",0,+S277-T277))</f>
        <v>0</v>
      </c>
      <c r="V277" s="230"/>
      <c r="W277" s="231"/>
      <c r="X277" s="46"/>
      <c r="Y277" s="167">
        <f t="shared" ref="Y277:Y278" si="282">IF(G277=2,S277,0)</f>
        <v>0</v>
      </c>
      <c r="Z277" s="167">
        <f t="shared" ref="Z277:Z278" si="283">IF(Q277="",0,IF(G277=2,T277,0))</f>
        <v>0</v>
      </c>
      <c r="AA277" s="167">
        <f t="shared" ref="AA277:AA278" si="284">Y277-Z277</f>
        <v>0</v>
      </c>
      <c r="AB277" s="167">
        <f t="shared" ref="AB277:AB278" si="285">IF(G277=1,S277,0)</f>
        <v>50000</v>
      </c>
      <c r="AC277" s="167">
        <f t="shared" ref="AC277:AC278" si="286">IF(Q277="",0,IF(G277=1,T277,0))</f>
        <v>50000</v>
      </c>
      <c r="AD277" s="167">
        <f t="shared" ref="AD277:AD278" si="287">AB277-AC277</f>
        <v>0</v>
      </c>
      <c r="AF277" s="47">
        <f t="shared" ref="AF277:AF278" si="288">IF(S277&lt;&gt;"",1,0)</f>
        <v>1</v>
      </c>
      <c r="AG277" s="202" t="str">
        <f t="shared" ref="AG277:AG278" si="289">B277&amp;" "&amp;F277</f>
        <v xml:space="preserve"> Purchase of small construction materials and tools ECd_19</v>
      </c>
      <c r="AH277" s="147"/>
      <c r="AI277" s="148"/>
      <c r="AJ277" s="148"/>
      <c r="AK277" s="148"/>
      <c r="AL277" s="148"/>
      <c r="AM277" s="148"/>
      <c r="AN277" s="148"/>
      <c r="AO277" s="148"/>
      <c r="AP277" s="148"/>
      <c r="AQ277" s="148"/>
      <c r="AR277" s="148"/>
      <c r="AS277" s="148"/>
      <c r="AT277" s="148"/>
      <c r="AU277" s="148"/>
      <c r="AV277" s="148"/>
      <c r="AW277" s="148"/>
      <c r="AX277" s="148"/>
      <c r="AY277" s="148"/>
      <c r="AZ277" s="155"/>
      <c r="BA277" s="148"/>
      <c r="BB277" s="148"/>
      <c r="BC277" s="148"/>
      <c r="BD277" s="148"/>
      <c r="BE277" s="148"/>
      <c r="BF277" s="148"/>
      <c r="BG277" s="148"/>
      <c r="BH277" s="148"/>
      <c r="BI277" s="148"/>
      <c r="BJ277" s="148"/>
      <c r="BK277" s="148"/>
      <c r="BL277" s="148"/>
      <c r="BM277" s="148"/>
      <c r="BN277" s="148"/>
      <c r="BO277" s="148"/>
      <c r="BP277" s="148"/>
      <c r="BQ277" s="148"/>
      <c r="BR277" s="148"/>
      <c r="BS277" s="148"/>
      <c r="BT277" s="148"/>
      <c r="BU277" s="148"/>
      <c r="BV277" s="148"/>
      <c r="BW277" s="148"/>
      <c r="BX277" s="148"/>
      <c r="BY277" s="148"/>
      <c r="BZ277" s="148"/>
      <c r="CA277" s="148"/>
      <c r="CB277" s="148"/>
      <c r="CC277" s="148"/>
      <c r="CD277" s="148"/>
      <c r="CE277" s="148"/>
      <c r="CF277" s="148"/>
      <c r="CG277" s="148"/>
      <c r="CH277" s="148"/>
      <c r="CI277" s="148"/>
      <c r="CJ277" s="148"/>
      <c r="CK277" s="148"/>
      <c r="CL277" s="148"/>
      <c r="CM277" s="148"/>
      <c r="CN277" s="148"/>
      <c r="CO277" s="148"/>
      <c r="CP277" s="148"/>
      <c r="CQ277" s="148"/>
      <c r="CR277" s="148"/>
      <c r="CS277" s="148"/>
      <c r="CT277" s="148"/>
      <c r="CU277" s="148"/>
      <c r="CV277" s="148"/>
      <c r="CW277" s="148"/>
      <c r="CX277" s="148"/>
      <c r="CY277" s="148"/>
      <c r="CZ277" s="148"/>
      <c r="DA277" s="148"/>
      <c r="DB277" s="148"/>
      <c r="DC277" s="148"/>
      <c r="DD277" s="148"/>
      <c r="DE277" s="148"/>
      <c r="DF277" s="148"/>
      <c r="DG277" s="148"/>
      <c r="DH277" s="148"/>
      <c r="DI277" s="148"/>
      <c r="DJ277" s="148"/>
      <c r="DK277" s="148"/>
      <c r="DL277" s="148"/>
      <c r="DM277" s="148"/>
      <c r="DN277" s="148"/>
      <c r="DO277" s="148"/>
      <c r="DP277" s="148"/>
      <c r="DQ277" s="148"/>
      <c r="DR277" s="148"/>
      <c r="DS277" s="148"/>
      <c r="DT277" s="148"/>
      <c r="DU277" s="148"/>
      <c r="DV277" s="148"/>
      <c r="DW277" s="148"/>
      <c r="DX277" s="148"/>
      <c r="DY277" s="148"/>
      <c r="DZ277" s="148"/>
      <c r="EA277" s="148"/>
      <c r="EB277" s="148"/>
      <c r="EC277" s="148"/>
      <c r="ED277" s="148"/>
      <c r="EE277" s="148"/>
      <c r="EF277" s="148"/>
      <c r="EG277" s="148"/>
      <c r="EH277" s="148"/>
      <c r="EI277" s="148"/>
      <c r="EJ277" s="148"/>
      <c r="EK277" s="148"/>
      <c r="EL277" s="148"/>
      <c r="EM277" s="148"/>
      <c r="EN277" s="148"/>
      <c r="EO277" s="148"/>
      <c r="EP277" s="148"/>
      <c r="EQ277" s="148"/>
      <c r="ER277" s="148"/>
      <c r="ES277" s="148"/>
      <c r="ET277" s="148"/>
      <c r="EU277" s="148"/>
      <c r="EV277" s="148"/>
      <c r="EW277" s="148"/>
      <c r="EX277" s="148"/>
      <c r="EY277" s="148"/>
      <c r="EZ277" s="148"/>
      <c r="FA277" s="148"/>
      <c r="FB277" s="148"/>
      <c r="FC277" s="148"/>
      <c r="FD277" s="148"/>
      <c r="FE277" s="148"/>
      <c r="FF277" s="148"/>
      <c r="FG277" s="148"/>
      <c r="FH277" s="148"/>
      <c r="FI277" s="148"/>
      <c r="FJ277" s="148"/>
      <c r="FK277" s="148"/>
      <c r="FL277" s="148"/>
      <c r="FM277" s="148"/>
      <c r="FN277" s="148"/>
      <c r="FO277" s="148"/>
      <c r="FP277" s="148"/>
      <c r="FQ277" s="148"/>
      <c r="FR277" s="148"/>
      <c r="FS277" s="148"/>
      <c r="FT277" s="148"/>
      <c r="FU277" s="148"/>
      <c r="FV277" s="148"/>
      <c r="FW277" s="148"/>
      <c r="FX277" s="148"/>
      <c r="FY277" s="148"/>
      <c r="FZ277" s="148"/>
      <c r="GA277" s="148"/>
      <c r="GB277" s="148"/>
      <c r="GC277" s="148"/>
      <c r="GD277" s="148"/>
      <c r="GE277" s="148"/>
      <c r="GF277" s="148"/>
      <c r="GG277" s="149"/>
    </row>
    <row r="278" spans="1:189" ht="27.75" x14ac:dyDescent="0.35">
      <c r="A278" s="267" t="s">
        <v>1322</v>
      </c>
      <c r="B278" s="221"/>
      <c r="C278" s="221"/>
      <c r="D278" s="222"/>
      <c r="E278" s="221" t="s">
        <v>1321</v>
      </c>
      <c r="F278" s="221" t="s">
        <v>1318</v>
      </c>
      <c r="G278" s="223">
        <v>1</v>
      </c>
      <c r="H278" s="224" t="s">
        <v>1316</v>
      </c>
      <c r="I278" s="225"/>
      <c r="J278" s="225"/>
      <c r="K278" s="225"/>
      <c r="L278" s="226">
        <v>46054</v>
      </c>
      <c r="M278" s="226">
        <v>46077</v>
      </c>
      <c r="N278" s="226"/>
      <c r="O278" s="226">
        <v>46077</v>
      </c>
      <c r="P278" s="226">
        <v>46934</v>
      </c>
      <c r="Q278" s="227" t="s">
        <v>20</v>
      </c>
      <c r="R278" s="228"/>
      <c r="S278" s="228">
        <v>30000</v>
      </c>
      <c r="T278" s="228">
        <v>30000</v>
      </c>
      <c r="U278" s="191">
        <f t="shared" si="281"/>
        <v>0</v>
      </c>
      <c r="V278" s="230"/>
      <c r="W278" s="231"/>
      <c r="X278" s="46"/>
      <c r="Y278" s="167">
        <f t="shared" si="282"/>
        <v>0</v>
      </c>
      <c r="Z278" s="167">
        <f t="shared" si="283"/>
        <v>0</v>
      </c>
      <c r="AA278" s="167">
        <f t="shared" si="284"/>
        <v>0</v>
      </c>
      <c r="AB278" s="167">
        <f t="shared" si="285"/>
        <v>30000</v>
      </c>
      <c r="AC278" s="167">
        <f t="shared" si="286"/>
        <v>30000</v>
      </c>
      <c r="AD278" s="167">
        <f t="shared" si="287"/>
        <v>0</v>
      </c>
      <c r="AF278" s="47">
        <f t="shared" si="288"/>
        <v>1</v>
      </c>
      <c r="AG278" s="202" t="str">
        <f t="shared" si="289"/>
        <v xml:space="preserve"> Open order - sanitary industry assortment ECd_39</v>
      </c>
      <c r="AH278" s="147"/>
      <c r="AI278" s="148"/>
      <c r="AJ278" s="148"/>
      <c r="AK278" s="148"/>
      <c r="AL278" s="148"/>
      <c r="AM278" s="148"/>
      <c r="AN278" s="148"/>
      <c r="AO278" s="148"/>
      <c r="AP278" s="148"/>
      <c r="AQ278" s="148"/>
      <c r="AR278" s="148"/>
      <c r="AS278" s="148"/>
      <c r="AT278" s="148"/>
      <c r="AU278" s="148"/>
      <c r="AV278" s="148"/>
      <c r="AW278" s="148"/>
      <c r="AX278" s="148"/>
      <c r="AY278" s="148"/>
      <c r="AZ278" s="155"/>
      <c r="BA278" s="148"/>
      <c r="BB278" s="148"/>
      <c r="BC278" s="148"/>
      <c r="BD278" s="148"/>
      <c r="BE278" s="148"/>
      <c r="BF278" s="148"/>
      <c r="BG278" s="148"/>
      <c r="BH278" s="148"/>
      <c r="BI278" s="148"/>
      <c r="BJ278" s="148"/>
      <c r="BK278" s="148"/>
      <c r="BL278" s="148"/>
      <c r="BM278" s="148"/>
      <c r="BN278" s="148"/>
      <c r="BO278" s="148"/>
      <c r="BP278" s="148"/>
      <c r="BQ278" s="148"/>
      <c r="BR278" s="148"/>
      <c r="BS278" s="148"/>
      <c r="BT278" s="148"/>
      <c r="BU278" s="148"/>
      <c r="BV278" s="148"/>
      <c r="BW278" s="148"/>
      <c r="BX278" s="148"/>
      <c r="BY278" s="148"/>
      <c r="BZ278" s="148"/>
      <c r="CA278" s="148"/>
      <c r="CB278" s="148"/>
      <c r="CC278" s="148"/>
      <c r="CD278" s="148"/>
      <c r="CE278" s="148"/>
      <c r="CF278" s="148"/>
      <c r="CG278" s="148"/>
      <c r="CH278" s="148"/>
      <c r="CI278" s="148"/>
      <c r="CJ278" s="148"/>
      <c r="CK278" s="148"/>
      <c r="CL278" s="148"/>
      <c r="CM278" s="148"/>
      <c r="CN278" s="148"/>
      <c r="CO278" s="148"/>
      <c r="CP278" s="148"/>
      <c r="CQ278" s="148"/>
      <c r="CR278" s="148"/>
      <c r="CS278" s="148"/>
      <c r="CT278" s="148"/>
      <c r="CU278" s="148"/>
      <c r="CV278" s="148"/>
      <c r="CW278" s="148"/>
      <c r="CX278" s="148"/>
      <c r="CY278" s="148"/>
      <c r="CZ278" s="148"/>
      <c r="DA278" s="148"/>
      <c r="DB278" s="148"/>
      <c r="DC278" s="148"/>
      <c r="DD278" s="148"/>
      <c r="DE278" s="148"/>
      <c r="DF278" s="148"/>
      <c r="DG278" s="148"/>
      <c r="DH278" s="148"/>
      <c r="DI278" s="148"/>
      <c r="DJ278" s="148"/>
      <c r="DK278" s="148"/>
      <c r="DL278" s="148"/>
      <c r="DM278" s="148"/>
      <c r="DN278" s="148"/>
      <c r="DO278" s="148"/>
      <c r="DP278" s="148"/>
      <c r="DQ278" s="148"/>
      <c r="DR278" s="148"/>
      <c r="DS278" s="148"/>
      <c r="DT278" s="148"/>
      <c r="DU278" s="148"/>
      <c r="DV278" s="148"/>
      <c r="DW278" s="148"/>
      <c r="DX278" s="148"/>
      <c r="DY278" s="148"/>
      <c r="DZ278" s="148"/>
      <c r="EA278" s="148"/>
      <c r="EB278" s="148"/>
      <c r="EC278" s="148"/>
      <c r="ED278" s="148"/>
      <c r="EE278" s="148"/>
      <c r="EF278" s="148"/>
      <c r="EG278" s="148"/>
      <c r="EH278" s="148"/>
      <c r="EI278" s="148"/>
      <c r="EJ278" s="148"/>
      <c r="EK278" s="148"/>
      <c r="EL278" s="148"/>
      <c r="EM278" s="148"/>
      <c r="EN278" s="148"/>
      <c r="EO278" s="148"/>
      <c r="EP278" s="148"/>
      <c r="EQ278" s="148"/>
      <c r="ER278" s="148"/>
      <c r="ES278" s="148"/>
      <c r="ET278" s="148"/>
      <c r="EU278" s="148"/>
      <c r="EV278" s="148"/>
      <c r="EW278" s="148"/>
      <c r="EX278" s="148"/>
      <c r="EY278" s="148"/>
      <c r="EZ278" s="148"/>
      <c r="FA278" s="148"/>
      <c r="FB278" s="148"/>
      <c r="FC278" s="148"/>
      <c r="FD278" s="148"/>
      <c r="FE278" s="148"/>
      <c r="FF278" s="148"/>
      <c r="FG278" s="148"/>
      <c r="FH278" s="148"/>
      <c r="FI278" s="148"/>
      <c r="FJ278" s="148"/>
      <c r="FK278" s="148"/>
      <c r="FL278" s="148"/>
      <c r="FM278" s="148"/>
      <c r="FN278" s="148"/>
      <c r="FO278" s="148"/>
      <c r="FP278" s="148"/>
      <c r="FQ278" s="148"/>
      <c r="FR278" s="148"/>
      <c r="FS278" s="148"/>
      <c r="FT278" s="148"/>
      <c r="FU278" s="148"/>
      <c r="FV278" s="148"/>
      <c r="FW278" s="148"/>
      <c r="FX278" s="148"/>
      <c r="FY278" s="148"/>
      <c r="FZ278" s="148"/>
      <c r="GA278" s="148"/>
      <c r="GB278" s="148"/>
      <c r="GC278" s="148"/>
      <c r="GD278" s="148"/>
      <c r="GE278" s="148"/>
      <c r="GF278" s="148"/>
      <c r="GG278" s="149"/>
    </row>
    <row r="279" spans="1:189" ht="27.75" x14ac:dyDescent="0.35">
      <c r="A279" s="267" t="s">
        <v>1323</v>
      </c>
      <c r="B279" s="221"/>
      <c r="C279" s="221"/>
      <c r="D279" s="222"/>
      <c r="E279" s="221" t="s">
        <v>1320</v>
      </c>
      <c r="F279" s="221" t="s">
        <v>1319</v>
      </c>
      <c r="G279" s="223">
        <v>1</v>
      </c>
      <c r="H279" s="224" t="s">
        <v>1317</v>
      </c>
      <c r="I279" s="225"/>
      <c r="J279" s="225"/>
      <c r="K279" s="225"/>
      <c r="L279" s="226">
        <v>46054</v>
      </c>
      <c r="M279" s="226">
        <v>46077</v>
      </c>
      <c r="N279" s="226"/>
      <c r="O279" s="226">
        <v>46077</v>
      </c>
      <c r="P279" s="226">
        <v>46934</v>
      </c>
      <c r="Q279" s="227" t="s">
        <v>20</v>
      </c>
      <c r="R279" s="228"/>
      <c r="S279" s="228">
        <v>30000</v>
      </c>
      <c r="T279" s="228">
        <v>30000</v>
      </c>
      <c r="U279" s="191">
        <f t="shared" si="272"/>
        <v>0</v>
      </c>
      <c r="V279" s="230"/>
      <c r="W279" s="231"/>
      <c r="X279" s="46"/>
      <c r="Y279" s="167">
        <f t="shared" si="273"/>
        <v>0</v>
      </c>
      <c r="Z279" s="167">
        <f t="shared" si="274"/>
        <v>0</v>
      </c>
      <c r="AA279" s="167">
        <f t="shared" si="275"/>
        <v>0</v>
      </c>
      <c r="AB279" s="167">
        <f t="shared" si="276"/>
        <v>30000</v>
      </c>
      <c r="AC279" s="167">
        <f t="shared" si="277"/>
        <v>30000</v>
      </c>
      <c r="AD279" s="167">
        <f t="shared" si="278"/>
        <v>0</v>
      </c>
      <c r="AF279" s="47">
        <f t="shared" si="279"/>
        <v>1</v>
      </c>
      <c r="AG279" s="202" t="str">
        <f t="shared" si="280"/>
        <v xml:space="preserve"> Open order - sanitary industry assortment ECd_40</v>
      </c>
      <c r="AH279" s="147"/>
      <c r="AI279" s="148"/>
      <c r="AJ279" s="148"/>
      <c r="AK279" s="148"/>
      <c r="AL279" s="148"/>
      <c r="AM279" s="148"/>
      <c r="AN279" s="148"/>
      <c r="AO279" s="148"/>
      <c r="AP279" s="148"/>
      <c r="AQ279" s="148"/>
      <c r="AR279" s="148"/>
      <c r="AS279" s="148"/>
      <c r="AT279" s="148"/>
      <c r="AU279" s="148"/>
      <c r="AV279" s="148"/>
      <c r="AW279" s="148"/>
      <c r="AX279" s="148"/>
      <c r="AY279" s="148"/>
      <c r="AZ279" s="155"/>
      <c r="BA279" s="148"/>
      <c r="BB279" s="148"/>
      <c r="BC279" s="148"/>
      <c r="BD279" s="148"/>
      <c r="BE279" s="148"/>
      <c r="BF279" s="148"/>
      <c r="BG279" s="148"/>
      <c r="BH279" s="148"/>
      <c r="BI279" s="148"/>
      <c r="BJ279" s="148"/>
      <c r="BK279" s="148"/>
      <c r="BL279" s="148"/>
      <c r="BM279" s="148"/>
      <c r="BN279" s="148"/>
      <c r="BO279" s="148"/>
      <c r="BP279" s="148"/>
      <c r="BQ279" s="148"/>
      <c r="BR279" s="148"/>
      <c r="BS279" s="148"/>
      <c r="BT279" s="148"/>
      <c r="BU279" s="148"/>
      <c r="BV279" s="148"/>
      <c r="BW279" s="148"/>
      <c r="BX279" s="148"/>
      <c r="BY279" s="148"/>
      <c r="BZ279" s="148"/>
      <c r="CA279" s="148"/>
      <c r="CB279" s="148"/>
      <c r="CC279" s="148"/>
      <c r="CD279" s="148"/>
      <c r="CE279" s="148"/>
      <c r="CF279" s="148"/>
      <c r="CG279" s="148"/>
      <c r="CH279" s="148"/>
      <c r="CI279" s="148"/>
      <c r="CJ279" s="148"/>
      <c r="CK279" s="148"/>
      <c r="CL279" s="148"/>
      <c r="CM279" s="148"/>
      <c r="CN279" s="148"/>
      <c r="CO279" s="148"/>
      <c r="CP279" s="148"/>
      <c r="CQ279" s="148"/>
      <c r="CR279" s="148"/>
      <c r="CS279" s="148"/>
      <c r="CT279" s="148"/>
      <c r="CU279" s="148"/>
      <c r="CV279" s="148"/>
      <c r="CW279" s="148"/>
      <c r="CX279" s="148"/>
      <c r="CY279" s="148"/>
      <c r="CZ279" s="148"/>
      <c r="DA279" s="148"/>
      <c r="DB279" s="148"/>
      <c r="DC279" s="148"/>
      <c r="DD279" s="148"/>
      <c r="DE279" s="148"/>
      <c r="DF279" s="148"/>
      <c r="DG279" s="148"/>
      <c r="DH279" s="148"/>
      <c r="DI279" s="148"/>
      <c r="DJ279" s="148"/>
      <c r="DK279" s="148"/>
      <c r="DL279" s="148"/>
      <c r="DM279" s="148"/>
      <c r="DN279" s="148"/>
      <c r="DO279" s="148"/>
      <c r="DP279" s="148"/>
      <c r="DQ279" s="148"/>
      <c r="DR279" s="148"/>
      <c r="DS279" s="148"/>
      <c r="DT279" s="148"/>
      <c r="DU279" s="148"/>
      <c r="DV279" s="148"/>
      <c r="DW279" s="148"/>
      <c r="DX279" s="148"/>
      <c r="DY279" s="148"/>
      <c r="DZ279" s="148"/>
      <c r="EA279" s="148"/>
      <c r="EB279" s="148"/>
      <c r="EC279" s="148"/>
      <c r="ED279" s="148"/>
      <c r="EE279" s="148"/>
      <c r="EF279" s="148"/>
      <c r="EG279" s="148"/>
      <c r="EH279" s="148"/>
      <c r="EI279" s="148"/>
      <c r="EJ279" s="148"/>
      <c r="EK279" s="148"/>
      <c r="EL279" s="148"/>
      <c r="EM279" s="148"/>
      <c r="EN279" s="148"/>
      <c r="EO279" s="148"/>
      <c r="EP279" s="148"/>
      <c r="EQ279" s="148"/>
      <c r="ER279" s="148"/>
      <c r="ES279" s="148"/>
      <c r="ET279" s="148"/>
      <c r="EU279" s="148"/>
      <c r="EV279" s="148"/>
      <c r="EW279" s="148"/>
      <c r="EX279" s="148"/>
      <c r="EY279" s="148"/>
      <c r="EZ279" s="148"/>
      <c r="FA279" s="148"/>
      <c r="FB279" s="148"/>
      <c r="FC279" s="148"/>
      <c r="FD279" s="148"/>
      <c r="FE279" s="148"/>
      <c r="FF279" s="148"/>
      <c r="FG279" s="148"/>
      <c r="FH279" s="148"/>
      <c r="FI279" s="148"/>
      <c r="FJ279" s="148"/>
      <c r="FK279" s="148"/>
      <c r="FL279" s="148"/>
      <c r="FM279" s="148"/>
      <c r="FN279" s="148"/>
      <c r="FO279" s="148"/>
      <c r="FP279" s="148"/>
      <c r="FQ279" s="148"/>
      <c r="FR279" s="148"/>
      <c r="FS279" s="148"/>
      <c r="FT279" s="148"/>
      <c r="FU279" s="148"/>
      <c r="FV279" s="148"/>
      <c r="FW279" s="148"/>
      <c r="FX279" s="148"/>
      <c r="FY279" s="148"/>
      <c r="FZ279" s="148"/>
      <c r="GA279" s="148"/>
      <c r="GB279" s="148"/>
      <c r="GC279" s="148"/>
      <c r="GD279" s="148"/>
      <c r="GE279" s="148"/>
      <c r="GF279" s="148"/>
      <c r="GG279" s="149"/>
    </row>
    <row r="280" spans="1:189" x14ac:dyDescent="0.35">
      <c r="A280" s="297" t="s">
        <v>936</v>
      </c>
      <c r="B280" s="298" t="s">
        <v>1081</v>
      </c>
      <c r="C280" s="298"/>
      <c r="D280" s="299"/>
      <c r="E280" s="298" t="s">
        <v>788</v>
      </c>
      <c r="F280" s="298" t="s">
        <v>828</v>
      </c>
      <c r="G280" s="300">
        <v>2</v>
      </c>
      <c r="H280" s="301"/>
      <c r="I280" s="302"/>
      <c r="J280" s="302"/>
      <c r="K280" s="302"/>
      <c r="L280" s="303">
        <v>45995</v>
      </c>
      <c r="M280" s="303">
        <v>46752</v>
      </c>
      <c r="N280" s="303"/>
      <c r="O280" s="303">
        <v>45995</v>
      </c>
      <c r="P280" s="303">
        <v>46934</v>
      </c>
      <c r="Q280" s="304" t="s">
        <v>45</v>
      </c>
      <c r="R280" s="305">
        <v>544000</v>
      </c>
      <c r="S280" s="305">
        <v>544000</v>
      </c>
      <c r="T280" s="305"/>
      <c r="U280" s="191">
        <f t="shared" si="263"/>
        <v>0</v>
      </c>
      <c r="V280" s="306"/>
      <c r="W280" s="307"/>
      <c r="X280" s="46"/>
      <c r="Y280" s="167">
        <f t="shared" si="264"/>
        <v>544000</v>
      </c>
      <c r="Z280" s="167">
        <f t="shared" si="265"/>
        <v>0</v>
      </c>
      <c r="AA280" s="167">
        <f t="shared" si="266"/>
        <v>544000</v>
      </c>
      <c r="AB280" s="167">
        <f t="shared" si="267"/>
        <v>0</v>
      </c>
      <c r="AC280" s="167">
        <f t="shared" si="268"/>
        <v>0</v>
      </c>
      <c r="AD280" s="167">
        <f t="shared" si="269"/>
        <v>0</v>
      </c>
      <c r="AF280" s="47">
        <f t="shared" si="270"/>
        <v>1</v>
      </c>
      <c r="AG280" s="202" t="str">
        <f t="shared" si="271"/>
        <v>Damian Gadowski Manitou Loader</v>
      </c>
      <c r="AH280" s="172"/>
      <c r="AI280" s="173"/>
      <c r="AJ280" s="173"/>
      <c r="AK280" s="173"/>
      <c r="AL280" s="173"/>
      <c r="AM280" s="173"/>
      <c r="AN280" s="173"/>
      <c r="AO280" s="173"/>
      <c r="AP280" s="173"/>
      <c r="AQ280" s="173"/>
      <c r="AR280" s="173"/>
      <c r="AS280" s="173"/>
      <c r="AT280" s="173"/>
      <c r="AU280" s="173"/>
      <c r="AV280" s="173"/>
      <c r="AW280" s="173"/>
      <c r="AX280" s="173"/>
      <c r="AY280" s="173"/>
      <c r="AZ280" s="173"/>
      <c r="BA280" s="173"/>
      <c r="BB280" s="173"/>
      <c r="BC280" s="173"/>
      <c r="BD280" s="173"/>
      <c r="BE280" s="173"/>
      <c r="BF280" s="173"/>
      <c r="BG280" s="173"/>
      <c r="BH280" s="173"/>
      <c r="BI280" s="173"/>
      <c r="BJ280" s="173"/>
      <c r="BK280" s="173"/>
      <c r="BL280" s="173"/>
      <c r="BM280" s="173"/>
      <c r="BN280" s="173"/>
      <c r="BO280" s="173"/>
      <c r="BP280" s="173"/>
      <c r="BQ280" s="173"/>
      <c r="BR280" s="173"/>
      <c r="BS280" s="173"/>
      <c r="BT280" s="173"/>
      <c r="BU280" s="173"/>
      <c r="BV280" s="173"/>
      <c r="BW280" s="173"/>
      <c r="BX280" s="173"/>
      <c r="BY280" s="173"/>
      <c r="BZ280" s="173"/>
      <c r="CA280" s="173"/>
      <c r="CB280" s="173"/>
      <c r="CC280" s="173"/>
      <c r="CD280" s="173"/>
      <c r="CE280" s="173"/>
      <c r="CF280" s="173"/>
      <c r="CG280" s="173"/>
      <c r="CH280" s="173"/>
      <c r="CI280" s="173"/>
      <c r="CJ280" s="173"/>
      <c r="CK280" s="173"/>
      <c r="CL280" s="173"/>
      <c r="CM280" s="173"/>
      <c r="CN280" s="173"/>
      <c r="CO280" s="173"/>
      <c r="CP280" s="173"/>
      <c r="CQ280" s="173"/>
      <c r="CR280" s="173"/>
      <c r="CS280" s="173"/>
      <c r="CT280" s="173"/>
      <c r="CU280" s="173"/>
      <c r="CV280" s="173"/>
      <c r="CW280" s="173"/>
      <c r="CX280" s="173"/>
      <c r="CY280" s="148"/>
      <c r="CZ280" s="148"/>
      <c r="DA280" s="148"/>
      <c r="DB280" s="148"/>
      <c r="DC280" s="148"/>
      <c r="DD280" s="148"/>
      <c r="DE280" s="148"/>
      <c r="DF280" s="148"/>
      <c r="DG280" s="148"/>
      <c r="DH280" s="148"/>
      <c r="DI280" s="148"/>
      <c r="DJ280" s="148"/>
      <c r="DK280" s="148"/>
      <c r="DL280" s="148"/>
      <c r="DM280" s="148"/>
      <c r="DN280" s="148"/>
      <c r="DO280" s="148"/>
      <c r="DP280" s="148"/>
      <c r="DQ280" s="148"/>
      <c r="DR280" s="148"/>
      <c r="DS280" s="148"/>
      <c r="DT280" s="148"/>
      <c r="DU280" s="148"/>
      <c r="DV280" s="148"/>
      <c r="DW280" s="148"/>
      <c r="DX280" s="148"/>
      <c r="DY280" s="148"/>
      <c r="DZ280" s="148"/>
      <c r="EA280" s="148"/>
      <c r="EB280" s="148"/>
      <c r="EC280" s="148"/>
      <c r="ED280" s="148"/>
      <c r="EE280" s="148"/>
      <c r="EF280" s="148"/>
      <c r="EG280" s="148"/>
      <c r="EH280" s="148"/>
      <c r="EI280" s="148"/>
      <c r="EJ280" s="148"/>
      <c r="EK280" s="148"/>
      <c r="EL280" s="148"/>
      <c r="EM280" s="148"/>
      <c r="EN280" s="148"/>
      <c r="EO280" s="148"/>
      <c r="EP280" s="148"/>
      <c r="EQ280" s="148"/>
      <c r="ER280" s="148"/>
      <c r="ES280" s="148"/>
      <c r="ET280" s="148"/>
      <c r="EU280" s="148"/>
      <c r="EV280" s="148"/>
      <c r="EW280" s="148"/>
      <c r="EX280" s="148"/>
      <c r="EY280" s="148"/>
      <c r="EZ280" s="148"/>
      <c r="FA280" s="148"/>
      <c r="FB280" s="148"/>
      <c r="FC280" s="148"/>
      <c r="FD280" s="148"/>
      <c r="FE280" s="148"/>
      <c r="FF280" s="148"/>
      <c r="FG280" s="148"/>
      <c r="FH280" s="148"/>
      <c r="FI280" s="148"/>
      <c r="FJ280" s="148"/>
      <c r="FK280" s="148"/>
      <c r="FL280" s="148"/>
      <c r="FM280" s="148"/>
      <c r="FN280" s="148"/>
      <c r="FO280" s="148"/>
      <c r="FP280" s="148"/>
      <c r="FQ280" s="148"/>
      <c r="FR280" s="148"/>
      <c r="FS280" s="148"/>
      <c r="FT280" s="148"/>
      <c r="FU280" s="148"/>
      <c r="FV280" s="148"/>
      <c r="FW280" s="148"/>
      <c r="FX280" s="148"/>
      <c r="FY280" s="148"/>
      <c r="FZ280" s="148"/>
      <c r="GA280" s="148"/>
      <c r="GB280" s="148"/>
      <c r="GC280" s="148"/>
      <c r="GD280" s="148"/>
      <c r="GE280" s="148"/>
      <c r="GF280" s="148"/>
      <c r="GG280" s="149"/>
    </row>
    <row r="281" spans="1:189" ht="27.75" x14ac:dyDescent="0.35">
      <c r="A281" s="297" t="s">
        <v>937</v>
      </c>
      <c r="B281" s="298" t="s">
        <v>1081</v>
      </c>
      <c r="C281" s="298" t="s">
        <v>1130</v>
      </c>
      <c r="D281" s="299"/>
      <c r="E281" s="298" t="s">
        <v>813</v>
      </c>
      <c r="F281" s="298" t="s">
        <v>829</v>
      </c>
      <c r="G281" s="300">
        <v>2</v>
      </c>
      <c r="H281" s="301"/>
      <c r="I281" s="302"/>
      <c r="J281" s="302"/>
      <c r="K281" s="302"/>
      <c r="L281" s="303">
        <v>46041</v>
      </c>
      <c r="M281" s="303">
        <v>46066</v>
      </c>
      <c r="N281" s="303">
        <v>46068</v>
      </c>
      <c r="O281" s="303">
        <v>46082</v>
      </c>
      <c r="P281" s="303">
        <v>46568</v>
      </c>
      <c r="Q281" s="304" t="s">
        <v>20</v>
      </c>
      <c r="R281" s="305">
        <v>1360000</v>
      </c>
      <c r="S281" s="305">
        <f>1360000-100000-SUM(S282)</f>
        <v>89800</v>
      </c>
      <c r="T281" s="305"/>
      <c r="U281" s="191">
        <f t="shared" si="263"/>
        <v>0</v>
      </c>
      <c r="V281" s="306"/>
      <c r="W281" s="307"/>
      <c r="X281" s="46"/>
      <c r="Y281" s="167">
        <f t="shared" si="264"/>
        <v>89800</v>
      </c>
      <c r="Z281" s="167">
        <f t="shared" si="265"/>
        <v>0</v>
      </c>
      <c r="AA281" s="167">
        <f t="shared" si="266"/>
        <v>89800</v>
      </c>
      <c r="AB281" s="167">
        <f t="shared" si="267"/>
        <v>0</v>
      </c>
      <c r="AC281" s="167">
        <f t="shared" si="268"/>
        <v>0</v>
      </c>
      <c r="AD281" s="167">
        <f t="shared" si="269"/>
        <v>0</v>
      </c>
      <c r="AF281" s="47">
        <f t="shared" si="270"/>
        <v>1</v>
      </c>
      <c r="AG281" s="202" t="str">
        <f t="shared" si="271"/>
        <v>Damian Gadowski Stationary Cranes</v>
      </c>
      <c r="AH281" s="147"/>
      <c r="AI281" s="148"/>
      <c r="AJ281" s="148"/>
      <c r="AK281" s="148"/>
      <c r="AL281" s="148"/>
      <c r="AM281" s="148"/>
      <c r="AN281" s="148"/>
      <c r="AO281" s="148"/>
      <c r="AP281" s="148"/>
      <c r="AQ281" s="148"/>
      <c r="AR281" s="148"/>
      <c r="AS281" s="148"/>
      <c r="AT281" s="148"/>
      <c r="AU281" s="148"/>
      <c r="AV281" s="148"/>
      <c r="AW281" s="148"/>
      <c r="AX281" s="148"/>
      <c r="AY281" s="148"/>
      <c r="AZ281" s="148"/>
      <c r="BA281" s="148"/>
      <c r="BB281" s="148"/>
      <c r="BC281" s="148"/>
      <c r="BD281" s="148"/>
      <c r="BE281" s="148"/>
      <c r="BF281" s="148"/>
      <c r="BG281" s="148"/>
      <c r="BH281" s="148"/>
      <c r="BI281" s="148"/>
      <c r="BJ281" s="148"/>
      <c r="BK281" s="148"/>
      <c r="BL281" s="148"/>
      <c r="BM281" s="148"/>
      <c r="BN281" s="148"/>
      <c r="BO281" s="148"/>
      <c r="BP281" s="148"/>
      <c r="BQ281" s="148"/>
      <c r="BR281" s="148"/>
      <c r="BS281" s="148"/>
      <c r="BT281" s="148"/>
      <c r="BU281" s="148"/>
      <c r="BV281" s="148"/>
      <c r="BW281" s="148"/>
      <c r="BX281" s="148"/>
      <c r="BY281" s="148"/>
      <c r="BZ281" s="148"/>
      <c r="CA281" s="148"/>
      <c r="CB281" s="148"/>
      <c r="CC281" s="148"/>
      <c r="CD281" s="148"/>
      <c r="CE281" s="148"/>
      <c r="CF281" s="148"/>
      <c r="CG281" s="148"/>
      <c r="CH281" s="148"/>
      <c r="CI281" s="148"/>
      <c r="CJ281" s="148"/>
      <c r="CK281" s="148"/>
      <c r="CL281" s="148"/>
      <c r="CM281" s="148"/>
      <c r="CN281" s="148"/>
      <c r="CO281" s="148"/>
      <c r="CP281" s="148"/>
      <c r="CQ281" s="148"/>
      <c r="CR281" s="148"/>
      <c r="CS281" s="148"/>
      <c r="CT281" s="148"/>
      <c r="CU281" s="148"/>
      <c r="CV281" s="148"/>
      <c r="CW281" s="148"/>
      <c r="CX281" s="148"/>
      <c r="CY281" s="148"/>
      <c r="CZ281" s="148"/>
      <c r="DA281" s="148"/>
      <c r="DB281" s="148"/>
      <c r="DC281" s="148"/>
      <c r="DD281" s="148"/>
      <c r="DE281" s="148"/>
      <c r="DF281" s="148"/>
      <c r="DG281" s="148"/>
      <c r="DH281" s="148"/>
      <c r="DI281" s="148"/>
      <c r="DJ281" s="148"/>
      <c r="DK281" s="148"/>
      <c r="DL281" s="148"/>
      <c r="DM281" s="148"/>
      <c r="DN281" s="148"/>
      <c r="DO281" s="148"/>
      <c r="DP281" s="148"/>
      <c r="DQ281" s="148"/>
      <c r="DR281" s="148"/>
      <c r="DS281" s="148"/>
      <c r="DT281" s="148"/>
      <c r="DU281" s="148"/>
      <c r="DV281" s="148"/>
      <c r="DW281" s="148"/>
      <c r="DX281" s="148"/>
      <c r="DY281" s="148"/>
      <c r="DZ281" s="148"/>
      <c r="EA281" s="148"/>
      <c r="EB281" s="148"/>
      <c r="EC281" s="148"/>
      <c r="ED281" s="148"/>
      <c r="EE281" s="148"/>
      <c r="EF281" s="148"/>
      <c r="EG281" s="148"/>
      <c r="EH281" s="148"/>
      <c r="EI281" s="148"/>
      <c r="EJ281" s="148"/>
      <c r="EK281" s="148"/>
      <c r="EL281" s="148"/>
      <c r="EM281" s="148"/>
      <c r="EN281" s="148"/>
      <c r="EO281" s="148"/>
      <c r="EP281" s="148"/>
      <c r="EQ281" s="148"/>
      <c r="ER281" s="148"/>
      <c r="ES281" s="148"/>
      <c r="ET281" s="148"/>
      <c r="EU281" s="148"/>
      <c r="EV281" s="148"/>
      <c r="EW281" s="148"/>
      <c r="EX281" s="148"/>
      <c r="EY281" s="148"/>
      <c r="EZ281" s="148"/>
      <c r="FA281" s="148"/>
      <c r="FB281" s="148"/>
      <c r="FC281" s="148"/>
      <c r="FD281" s="148"/>
      <c r="FE281" s="148"/>
      <c r="FF281" s="148"/>
      <c r="FG281" s="148"/>
      <c r="FH281" s="148"/>
      <c r="FI281" s="148"/>
      <c r="FJ281" s="148"/>
      <c r="FK281" s="148"/>
      <c r="FL281" s="148"/>
      <c r="FM281" s="148"/>
      <c r="FN281" s="148"/>
      <c r="FO281" s="148"/>
      <c r="FP281" s="148"/>
      <c r="FQ281" s="148"/>
      <c r="FR281" s="148"/>
      <c r="FS281" s="148"/>
      <c r="FT281" s="148"/>
      <c r="FU281" s="148"/>
      <c r="FV281" s="148"/>
      <c r="FW281" s="148"/>
      <c r="FX281" s="148"/>
      <c r="FY281" s="148"/>
      <c r="FZ281" s="148"/>
      <c r="GA281" s="148"/>
      <c r="GB281" s="148"/>
      <c r="GC281" s="148"/>
      <c r="GD281" s="148"/>
      <c r="GE281" s="148"/>
      <c r="GF281" s="148"/>
      <c r="GG281" s="149"/>
    </row>
    <row r="282" spans="1:189" ht="27.75" x14ac:dyDescent="0.35">
      <c r="A282" s="267" t="s">
        <v>1251</v>
      </c>
      <c r="B282" s="221" t="s">
        <v>1081</v>
      </c>
      <c r="C282" s="221" t="s">
        <v>1130</v>
      </c>
      <c r="D282" s="222"/>
      <c r="E282" s="221" t="s">
        <v>1252</v>
      </c>
      <c r="F282" s="221" t="s">
        <v>1253</v>
      </c>
      <c r="G282" s="223">
        <v>2</v>
      </c>
      <c r="H282" s="224" t="s">
        <v>1254</v>
      </c>
      <c r="I282" s="225"/>
      <c r="J282" s="225"/>
      <c r="K282" s="225"/>
      <c r="L282" s="226">
        <v>46041</v>
      </c>
      <c r="M282" s="226">
        <v>46066</v>
      </c>
      <c r="N282" s="226">
        <v>46068</v>
      </c>
      <c r="O282" s="226">
        <v>46082</v>
      </c>
      <c r="P282" s="226">
        <v>46568</v>
      </c>
      <c r="Q282" s="227" t="s">
        <v>20</v>
      </c>
      <c r="R282" s="228"/>
      <c r="S282" s="228">
        <v>1170200</v>
      </c>
      <c r="T282" s="228">
        <v>1170200</v>
      </c>
      <c r="U282" s="191">
        <f t="shared" ref="U282" si="290">IF(Q282="",0,IF(T282="",0,+S282-T282))</f>
        <v>0</v>
      </c>
      <c r="V282" s="230"/>
      <c r="W282" s="232"/>
      <c r="X282" s="46"/>
      <c r="Y282" s="167">
        <f t="shared" ref="Y282" si="291">IF(G282=2,S282,0)</f>
        <v>1170200</v>
      </c>
      <c r="Z282" s="167">
        <f t="shared" ref="Z282" si="292">IF(Q282="",0,IF(G282=2,T282,0))</f>
        <v>1170200</v>
      </c>
      <c r="AA282" s="167">
        <f t="shared" ref="AA282" si="293">Y282-Z282</f>
        <v>0</v>
      </c>
      <c r="AB282" s="167">
        <f t="shared" ref="AB282" si="294">IF(G282=1,S282,0)</f>
        <v>0</v>
      </c>
      <c r="AC282" s="167">
        <f t="shared" ref="AC282" si="295">IF(Q282="",0,IF(G282=1,T282,0))</f>
        <v>0</v>
      </c>
      <c r="AD282" s="167">
        <f t="shared" ref="AD282" si="296">AB282-AC282</f>
        <v>0</v>
      </c>
      <c r="AF282" s="47">
        <f t="shared" ref="AF282" si="297">IF(S282&lt;&gt;"",1,0)</f>
        <v>1</v>
      </c>
      <c r="AG282" s="202" t="str">
        <f t="shared" ref="AG282" si="298">B282&amp;" "&amp;F282</f>
        <v>Damian Gadowski Stationary tower crane + self-erecting crane</v>
      </c>
      <c r="AH282" s="153"/>
      <c r="AI282" s="154"/>
      <c r="AJ282" s="154"/>
      <c r="AK282" s="154"/>
      <c r="AL282" s="154"/>
      <c r="AM282" s="154"/>
      <c r="AN282" s="154"/>
      <c r="AO282" s="154"/>
      <c r="AP282" s="154"/>
      <c r="AQ282" s="154"/>
      <c r="AR282" s="154"/>
      <c r="AS282" s="154"/>
      <c r="AT282" s="154"/>
      <c r="AU282" s="154"/>
      <c r="AV282" s="154"/>
      <c r="AW282" s="154"/>
      <c r="AX282" s="154"/>
      <c r="AY282" s="154"/>
      <c r="AZ282" s="154"/>
      <c r="BA282" s="151"/>
      <c r="BB282" s="151"/>
      <c r="BC282" s="151"/>
      <c r="BD282" s="151"/>
      <c r="BE282" s="151"/>
      <c r="BF282" s="151"/>
      <c r="BG282" s="151"/>
      <c r="BH282" s="151"/>
      <c r="BI282" s="151"/>
      <c r="BJ282" s="151"/>
      <c r="BK282" s="151"/>
      <c r="BL282" s="151"/>
      <c r="BM282" s="151"/>
      <c r="BN282" s="151"/>
      <c r="BO282" s="151"/>
      <c r="BP282" s="151"/>
      <c r="BQ282" s="151"/>
      <c r="BR282" s="151"/>
      <c r="BS282" s="151"/>
      <c r="BT282" s="151"/>
      <c r="BU282" s="151"/>
      <c r="BV282" s="151"/>
      <c r="BW282" s="151"/>
      <c r="BX282" s="151"/>
      <c r="BY282" s="151"/>
      <c r="BZ282" s="151"/>
      <c r="CA282" s="151"/>
      <c r="CB282" s="151"/>
      <c r="CC282" s="151"/>
      <c r="CD282" s="151"/>
      <c r="CE282" s="151"/>
      <c r="CF282" s="151"/>
      <c r="CG282" s="151"/>
      <c r="CH282" s="151"/>
      <c r="CI282" s="151"/>
      <c r="CJ282" s="151"/>
      <c r="CK282" s="151"/>
      <c r="CL282" s="151"/>
      <c r="CM282" s="151"/>
      <c r="CN282" s="151"/>
      <c r="CO282" s="151"/>
      <c r="CP282" s="151"/>
      <c r="CQ282" s="151"/>
      <c r="CR282" s="151"/>
      <c r="CS282" s="151"/>
      <c r="CT282" s="151"/>
      <c r="CU282" s="151"/>
      <c r="CV282" s="151"/>
      <c r="CW282" s="151"/>
      <c r="CX282" s="151"/>
      <c r="CY282" s="151"/>
      <c r="CZ282" s="151"/>
      <c r="DA282" s="151"/>
      <c r="DB282" s="151"/>
      <c r="DC282" s="151"/>
      <c r="DD282" s="151"/>
      <c r="DE282" s="151"/>
      <c r="DF282" s="151"/>
      <c r="DG282" s="151"/>
      <c r="DH282" s="151"/>
      <c r="DI282" s="151"/>
      <c r="DJ282" s="151"/>
      <c r="DK282" s="151"/>
      <c r="DL282" s="151"/>
      <c r="DM282" s="151"/>
      <c r="DN282" s="151"/>
      <c r="DO282" s="151"/>
      <c r="DP282" s="151"/>
      <c r="DQ282" s="151"/>
      <c r="DR282" s="151"/>
      <c r="DS282" s="151"/>
      <c r="DT282" s="151"/>
      <c r="DU282" s="151"/>
      <c r="DV282" s="151"/>
      <c r="DW282" s="151"/>
      <c r="DX282" s="151"/>
      <c r="DY282" s="151"/>
      <c r="DZ282" s="151"/>
      <c r="EA282" s="151"/>
      <c r="EB282" s="151"/>
      <c r="EC282" s="151"/>
      <c r="ED282" s="151"/>
      <c r="EE282" s="151"/>
      <c r="EF282" s="151"/>
      <c r="EG282" s="151"/>
      <c r="EH282" s="151"/>
      <c r="EI282" s="151"/>
      <c r="EJ282" s="151"/>
      <c r="EK282" s="151"/>
      <c r="EL282" s="151"/>
      <c r="EM282" s="151"/>
      <c r="EN282" s="151"/>
      <c r="EO282" s="151"/>
      <c r="EP282" s="151"/>
      <c r="EQ282" s="151"/>
      <c r="ER282" s="151"/>
      <c r="ES282" s="151"/>
      <c r="ET282" s="151"/>
      <c r="EU282" s="151"/>
      <c r="EV282" s="151"/>
      <c r="EW282" s="151"/>
      <c r="EX282" s="151"/>
      <c r="EY282" s="151"/>
      <c r="EZ282" s="151"/>
      <c r="FA282" s="151"/>
      <c r="FB282" s="151"/>
      <c r="FC282" s="151"/>
      <c r="FD282" s="151"/>
      <c r="FE282" s="151"/>
      <c r="FF282" s="151"/>
      <c r="FG282" s="151"/>
      <c r="FH282" s="151"/>
      <c r="FI282" s="151"/>
      <c r="FJ282" s="151"/>
      <c r="FK282" s="151"/>
      <c r="FL282" s="151"/>
      <c r="FM282" s="151"/>
      <c r="FN282" s="151"/>
      <c r="FO282" s="151"/>
      <c r="FP282" s="151"/>
      <c r="FQ282" s="151"/>
      <c r="FR282" s="151"/>
      <c r="FS282" s="151"/>
      <c r="FT282" s="151"/>
      <c r="FU282" s="151"/>
      <c r="FV282" s="151"/>
      <c r="FW282" s="151"/>
      <c r="FX282" s="151"/>
      <c r="FY282" s="151"/>
      <c r="FZ282" s="151"/>
      <c r="GA282" s="151"/>
      <c r="GB282" s="151"/>
      <c r="GC282" s="151"/>
      <c r="GD282" s="151"/>
      <c r="GE282" s="151"/>
      <c r="GF282" s="151"/>
      <c r="GG282" s="152"/>
    </row>
    <row r="283" spans="1:189" x14ac:dyDescent="0.35">
      <c r="A283" s="270" t="s">
        <v>882</v>
      </c>
      <c r="B283" s="236"/>
      <c r="C283" s="236"/>
      <c r="D283" s="237"/>
      <c r="E283" s="236" t="s">
        <v>814</v>
      </c>
      <c r="F283" s="236" t="s">
        <v>830</v>
      </c>
      <c r="G283" s="238">
        <v>2</v>
      </c>
      <c r="H283" s="239"/>
      <c r="I283" s="240"/>
      <c r="J283" s="240"/>
      <c r="K283" s="240"/>
      <c r="L283" s="241"/>
      <c r="M283" s="241"/>
      <c r="N283" s="241"/>
      <c r="O283" s="241"/>
      <c r="P283" s="241"/>
      <c r="Q283" s="242"/>
      <c r="R283" s="243"/>
      <c r="S283" s="243"/>
      <c r="T283" s="243"/>
      <c r="U283" s="191">
        <f t="shared" si="263"/>
        <v>0</v>
      </c>
      <c r="V283" s="244"/>
      <c r="W283" s="245"/>
      <c r="X283" s="46"/>
      <c r="Y283" s="167">
        <f t="shared" si="264"/>
        <v>0</v>
      </c>
      <c r="Z283" s="167">
        <f t="shared" si="265"/>
        <v>0</v>
      </c>
      <c r="AA283" s="167">
        <f t="shared" si="266"/>
        <v>0</v>
      </c>
      <c r="AB283" s="167">
        <f t="shared" si="267"/>
        <v>0</v>
      </c>
      <c r="AC283" s="167">
        <f t="shared" si="268"/>
        <v>0</v>
      </c>
      <c r="AD283" s="167">
        <f t="shared" si="269"/>
        <v>0</v>
      </c>
      <c r="AF283" s="180">
        <f t="shared" si="270"/>
        <v>0</v>
      </c>
      <c r="AG283" s="202" t="str">
        <f t="shared" si="271"/>
        <v xml:space="preserve"> Construction Office</v>
      </c>
      <c r="AH283" s="172"/>
      <c r="AI283" s="173"/>
      <c r="AJ283" s="173"/>
      <c r="AK283" s="173"/>
      <c r="AL283" s="173"/>
      <c r="AM283" s="173"/>
      <c r="AN283" s="173"/>
      <c r="AO283" s="173"/>
      <c r="AP283" s="173"/>
      <c r="AQ283" s="173"/>
      <c r="AR283" s="173"/>
      <c r="AS283" s="173"/>
      <c r="AT283" s="173"/>
      <c r="AU283" s="173"/>
      <c r="AV283" s="173"/>
      <c r="AW283" s="173"/>
      <c r="AX283" s="173"/>
      <c r="AY283" s="173"/>
      <c r="AZ283" s="173"/>
      <c r="BA283" s="173"/>
      <c r="BB283" s="173"/>
      <c r="BC283" s="173"/>
      <c r="BD283" s="173"/>
      <c r="BE283" s="173"/>
      <c r="BF283" s="173"/>
      <c r="BG283" s="173"/>
      <c r="BH283" s="173"/>
      <c r="BI283" s="173"/>
      <c r="BJ283" s="173"/>
      <c r="BK283" s="173"/>
      <c r="BL283" s="173"/>
      <c r="BM283" s="173"/>
      <c r="BN283" s="173"/>
      <c r="BO283" s="173"/>
      <c r="BP283" s="173"/>
      <c r="BQ283" s="173"/>
      <c r="BR283" s="173"/>
      <c r="BS283" s="173"/>
      <c r="BT283" s="173"/>
      <c r="BU283" s="173"/>
      <c r="BV283" s="173"/>
      <c r="BW283" s="173"/>
      <c r="BX283" s="173"/>
      <c r="BY283" s="173"/>
      <c r="BZ283" s="173"/>
      <c r="CA283" s="173"/>
      <c r="CB283" s="173"/>
      <c r="CC283" s="173"/>
      <c r="CD283" s="173"/>
      <c r="CE283" s="173"/>
      <c r="CF283" s="173"/>
      <c r="CG283" s="173"/>
      <c r="CH283" s="173"/>
      <c r="CI283" s="173"/>
      <c r="CJ283" s="173"/>
      <c r="CK283" s="173"/>
      <c r="CL283" s="173"/>
      <c r="CM283" s="173"/>
      <c r="CN283" s="173"/>
      <c r="CO283" s="173"/>
      <c r="CP283" s="173"/>
      <c r="CQ283" s="173"/>
      <c r="CR283" s="173"/>
      <c r="CS283" s="173"/>
      <c r="CT283" s="173"/>
      <c r="CU283" s="173"/>
      <c r="CV283" s="173"/>
      <c r="CW283" s="173"/>
      <c r="CX283" s="173"/>
      <c r="CY283" s="148"/>
      <c r="CZ283" s="148"/>
      <c r="DA283" s="148"/>
      <c r="DB283" s="148"/>
      <c r="DC283" s="148"/>
      <c r="DD283" s="148"/>
      <c r="DE283" s="148"/>
      <c r="DF283" s="148"/>
      <c r="DG283" s="148"/>
      <c r="DH283" s="148"/>
      <c r="DI283" s="148"/>
      <c r="DJ283" s="148"/>
      <c r="DK283" s="148"/>
      <c r="DL283" s="148"/>
      <c r="DM283" s="148"/>
      <c r="DN283" s="148"/>
      <c r="DO283" s="148"/>
      <c r="DP283" s="148"/>
      <c r="DQ283" s="148"/>
      <c r="DR283" s="148"/>
      <c r="DS283" s="148"/>
      <c r="DT283" s="148"/>
      <c r="DU283" s="148"/>
      <c r="DV283" s="148"/>
      <c r="DW283" s="148"/>
      <c r="DX283" s="148"/>
      <c r="DY283" s="148"/>
      <c r="DZ283" s="148"/>
      <c r="EA283" s="148"/>
      <c r="EB283" s="148"/>
      <c r="EC283" s="148"/>
      <c r="ED283" s="148"/>
      <c r="EE283" s="148"/>
      <c r="EF283" s="148"/>
      <c r="EG283" s="148"/>
      <c r="EH283" s="148"/>
      <c r="EI283" s="148"/>
      <c r="EJ283" s="148"/>
      <c r="EK283" s="148"/>
      <c r="EL283" s="148"/>
      <c r="EM283" s="148"/>
      <c r="EN283" s="148"/>
      <c r="EO283" s="148"/>
      <c r="EP283" s="148"/>
      <c r="EQ283" s="148"/>
      <c r="ER283" s="148"/>
      <c r="ES283" s="151"/>
      <c r="ET283" s="151"/>
      <c r="EU283" s="151"/>
      <c r="EV283" s="151"/>
      <c r="EW283" s="151"/>
      <c r="EX283" s="151"/>
      <c r="EY283" s="151"/>
      <c r="EZ283" s="151"/>
      <c r="FA283" s="151"/>
      <c r="FB283" s="151"/>
      <c r="FC283" s="151"/>
      <c r="FD283" s="151"/>
      <c r="FE283" s="151"/>
      <c r="FF283" s="151"/>
      <c r="FG283" s="151"/>
      <c r="FH283" s="151"/>
      <c r="FI283" s="151"/>
      <c r="FJ283" s="151"/>
      <c r="FK283" s="151"/>
      <c r="FL283" s="151"/>
      <c r="FM283" s="151"/>
      <c r="FN283" s="151"/>
      <c r="FO283" s="151"/>
      <c r="FP283" s="151"/>
      <c r="FQ283" s="151"/>
      <c r="FR283" s="151"/>
      <c r="FS283" s="151"/>
      <c r="FT283" s="151"/>
      <c r="FU283" s="151"/>
      <c r="FV283" s="151"/>
      <c r="FW283" s="151"/>
      <c r="FX283" s="151"/>
      <c r="FY283" s="151"/>
      <c r="FZ283" s="151"/>
      <c r="GA283" s="151"/>
      <c r="GB283" s="151"/>
      <c r="GC283" s="151"/>
      <c r="GD283" s="151"/>
      <c r="GE283" s="151"/>
      <c r="GF283" s="151"/>
      <c r="GG283" s="152"/>
    </row>
    <row r="284" spans="1:189" ht="27.75" x14ac:dyDescent="0.35">
      <c r="A284" s="297" t="s">
        <v>883</v>
      </c>
      <c r="B284" s="298" t="s">
        <v>1079</v>
      </c>
      <c r="C284" s="298"/>
      <c r="D284" s="299"/>
      <c r="E284" s="298" t="s">
        <v>789</v>
      </c>
      <c r="F284" s="298" t="s">
        <v>831</v>
      </c>
      <c r="G284" s="300">
        <v>2</v>
      </c>
      <c r="H284" s="301"/>
      <c r="I284" s="302"/>
      <c r="J284" s="302"/>
      <c r="K284" s="302"/>
      <c r="L284" s="303">
        <v>45995</v>
      </c>
      <c r="M284" s="303">
        <v>46022</v>
      </c>
      <c r="N284" s="303"/>
      <c r="O284" s="303">
        <v>46054</v>
      </c>
      <c r="P284" s="303">
        <v>46934</v>
      </c>
      <c r="Q284" s="304" t="s">
        <v>19</v>
      </c>
      <c r="R284" s="305">
        <v>1984000</v>
      </c>
      <c r="S284" s="305">
        <f>1984000-SUM(S285:S290)</f>
        <v>1147780</v>
      </c>
      <c r="T284" s="305"/>
      <c r="U284" s="191">
        <f t="shared" si="263"/>
        <v>0</v>
      </c>
      <c r="V284" s="306"/>
      <c r="W284" s="307"/>
      <c r="X284" s="46"/>
      <c r="Y284" s="167">
        <f t="shared" si="264"/>
        <v>1147780</v>
      </c>
      <c r="Z284" s="167">
        <f t="shared" si="265"/>
        <v>0</v>
      </c>
      <c r="AA284" s="167">
        <f t="shared" si="266"/>
        <v>1147780</v>
      </c>
      <c r="AB284" s="167">
        <f t="shared" si="267"/>
        <v>0</v>
      </c>
      <c r="AC284" s="167">
        <f t="shared" si="268"/>
        <v>0</v>
      </c>
      <c r="AD284" s="167">
        <f t="shared" si="269"/>
        <v>0</v>
      </c>
      <c r="AF284" s="47">
        <f t="shared" si="270"/>
        <v>1</v>
      </c>
      <c r="AG284" s="202" t="str">
        <f t="shared" si="271"/>
        <v>Urszula Szwarc Office Space or Container Rental</v>
      </c>
      <c r="AH284" s="172"/>
      <c r="AI284" s="173"/>
      <c r="AJ284" s="173"/>
      <c r="AK284" s="173"/>
      <c r="AL284" s="173"/>
      <c r="AM284" s="173"/>
      <c r="AN284" s="173"/>
      <c r="AO284" s="173"/>
      <c r="AP284" s="173"/>
      <c r="AQ284" s="173"/>
      <c r="AR284" s="173"/>
      <c r="AS284" s="173"/>
      <c r="AT284" s="173"/>
      <c r="AU284" s="173"/>
      <c r="AV284" s="173"/>
      <c r="AW284" s="173"/>
      <c r="AX284" s="173"/>
      <c r="AY284" s="173"/>
      <c r="AZ284" s="173"/>
      <c r="BA284" s="173"/>
      <c r="BB284" s="173"/>
      <c r="BC284" s="173"/>
      <c r="BD284" s="173"/>
      <c r="BE284" s="173"/>
      <c r="BF284" s="173"/>
      <c r="BG284" s="173"/>
      <c r="BH284" s="173"/>
      <c r="BI284" s="173"/>
      <c r="BJ284" s="173"/>
      <c r="BK284" s="173"/>
      <c r="BL284" s="173"/>
      <c r="BM284" s="173"/>
      <c r="BN284" s="173"/>
      <c r="BO284" s="173"/>
      <c r="BP284" s="173"/>
      <c r="BQ284" s="173"/>
      <c r="BR284" s="173"/>
      <c r="BS284" s="173"/>
      <c r="BT284" s="173"/>
      <c r="BU284" s="173"/>
      <c r="BV284" s="173"/>
      <c r="BW284" s="173"/>
      <c r="BX284" s="173"/>
      <c r="BY284" s="173"/>
      <c r="BZ284" s="173"/>
      <c r="CA284" s="173"/>
      <c r="CB284" s="173"/>
      <c r="CC284" s="173"/>
      <c r="CD284" s="173"/>
      <c r="CE284" s="173"/>
      <c r="CF284" s="173"/>
      <c r="CG284" s="173"/>
      <c r="CH284" s="173"/>
      <c r="CI284" s="173"/>
      <c r="CJ284" s="173"/>
      <c r="CK284" s="173"/>
      <c r="CL284" s="173"/>
      <c r="CM284" s="173"/>
      <c r="CN284" s="173"/>
      <c r="CO284" s="173"/>
      <c r="CP284" s="173"/>
      <c r="CQ284" s="173"/>
      <c r="CR284" s="173"/>
      <c r="CS284" s="173"/>
      <c r="CT284" s="173"/>
      <c r="CU284" s="173"/>
      <c r="CV284" s="173"/>
      <c r="CW284" s="173"/>
      <c r="CX284" s="173"/>
      <c r="CY284" s="148"/>
      <c r="CZ284" s="148"/>
      <c r="DA284" s="148"/>
      <c r="DB284" s="148"/>
      <c r="DC284" s="148"/>
      <c r="DD284" s="148"/>
      <c r="DE284" s="148"/>
      <c r="DF284" s="148"/>
      <c r="DG284" s="148"/>
      <c r="DH284" s="148"/>
      <c r="DI284" s="148"/>
      <c r="DJ284" s="148"/>
      <c r="DK284" s="148"/>
      <c r="DL284" s="148"/>
      <c r="DM284" s="148"/>
      <c r="DN284" s="148"/>
      <c r="DO284" s="148"/>
      <c r="DP284" s="148"/>
      <c r="DQ284" s="148"/>
      <c r="DR284" s="148"/>
      <c r="DS284" s="148"/>
      <c r="DT284" s="148"/>
      <c r="DU284" s="148"/>
      <c r="DV284" s="148"/>
      <c r="DW284" s="148"/>
      <c r="DX284" s="148"/>
      <c r="DY284" s="148"/>
      <c r="DZ284" s="148"/>
      <c r="EA284" s="148"/>
      <c r="EB284" s="148"/>
      <c r="EC284" s="148"/>
      <c r="ED284" s="148"/>
      <c r="EE284" s="148"/>
      <c r="EF284" s="148"/>
      <c r="EG284" s="148"/>
      <c r="EH284" s="148"/>
      <c r="EI284" s="148"/>
      <c r="EJ284" s="148"/>
      <c r="EK284" s="148"/>
      <c r="EL284" s="148"/>
      <c r="EM284" s="148"/>
      <c r="EN284" s="148"/>
      <c r="EO284" s="148"/>
      <c r="EP284" s="148"/>
      <c r="EQ284" s="148"/>
      <c r="ER284" s="148"/>
      <c r="ES284" s="148"/>
      <c r="ET284" s="148"/>
      <c r="EU284" s="148"/>
      <c r="EV284" s="148"/>
      <c r="EW284" s="148"/>
      <c r="EX284" s="148"/>
      <c r="EY284" s="148"/>
      <c r="EZ284" s="148"/>
      <c r="FA284" s="148"/>
      <c r="FB284" s="148"/>
      <c r="FC284" s="148"/>
      <c r="FD284" s="148"/>
      <c r="FE284" s="148"/>
      <c r="FF284" s="148"/>
      <c r="FG284" s="148"/>
      <c r="FH284" s="148"/>
      <c r="FI284" s="148"/>
      <c r="FJ284" s="148"/>
      <c r="FK284" s="148"/>
      <c r="FL284" s="148"/>
      <c r="FM284" s="148"/>
      <c r="FN284" s="148"/>
      <c r="FO284" s="148"/>
      <c r="FP284" s="148"/>
      <c r="FQ284" s="148"/>
      <c r="FR284" s="148"/>
      <c r="FS284" s="148"/>
      <c r="FT284" s="148"/>
      <c r="FU284" s="148"/>
      <c r="FV284" s="148"/>
      <c r="FW284" s="148"/>
      <c r="FX284" s="148"/>
      <c r="FY284" s="148"/>
      <c r="FZ284" s="148"/>
      <c r="GA284" s="148"/>
      <c r="GB284" s="148"/>
      <c r="GC284" s="148"/>
      <c r="GD284" s="148"/>
      <c r="GE284" s="148"/>
      <c r="GF284" s="148"/>
      <c r="GG284" s="149"/>
    </row>
    <row r="285" spans="1:189" ht="41.65" x14ac:dyDescent="0.35">
      <c r="A285" s="267" t="s">
        <v>1137</v>
      </c>
      <c r="B285" s="221" t="s">
        <v>1079</v>
      </c>
      <c r="C285" s="221"/>
      <c r="D285" s="222"/>
      <c r="E285" s="221" t="s">
        <v>1207</v>
      </c>
      <c r="F285" s="221" t="s">
        <v>1208</v>
      </c>
      <c r="G285" s="223">
        <v>2</v>
      </c>
      <c r="H285" s="224" t="s">
        <v>872</v>
      </c>
      <c r="I285" s="225"/>
      <c r="J285" s="225"/>
      <c r="K285" s="225"/>
      <c r="L285" s="226">
        <v>45995</v>
      </c>
      <c r="M285" s="226">
        <v>46022</v>
      </c>
      <c r="N285" s="226">
        <v>46068</v>
      </c>
      <c r="O285" s="226">
        <v>46054</v>
      </c>
      <c r="P285" s="226">
        <v>46934</v>
      </c>
      <c r="Q285" s="227" t="s">
        <v>20</v>
      </c>
      <c r="R285" s="228"/>
      <c r="S285" s="228">
        <v>821840</v>
      </c>
      <c r="T285" s="228">
        <v>821840</v>
      </c>
      <c r="U285" s="191">
        <f t="shared" ref="U285:U290" si="299">IF(Q285="",0,IF(T285="",0,+S285-T285))</f>
        <v>0</v>
      </c>
      <c r="V285" s="230"/>
      <c r="W285" s="232"/>
      <c r="X285" s="46"/>
      <c r="Y285" s="167">
        <f t="shared" ref="Y285:Y290" si="300">IF(G285=2,S285,0)</f>
        <v>821840</v>
      </c>
      <c r="Z285" s="167">
        <f t="shared" ref="Z285:Z290" si="301">IF(Q285="",0,IF(G285=2,T285,0))</f>
        <v>821840</v>
      </c>
      <c r="AA285" s="167">
        <f t="shared" ref="AA285:AA290" si="302">Y285-Z285</f>
        <v>0</v>
      </c>
      <c r="AB285" s="167">
        <f t="shared" ref="AB285:AB290" si="303">IF(G285=1,S285,0)</f>
        <v>0</v>
      </c>
      <c r="AC285" s="167">
        <f t="shared" ref="AC285:AC290" si="304">IF(Q285="",0,IF(G285=1,T285,0))</f>
        <v>0</v>
      </c>
      <c r="AD285" s="167">
        <f t="shared" ref="AD285:AD290" si="305">AB285-AC285</f>
        <v>0</v>
      </c>
      <c r="AF285" s="47">
        <f t="shared" ref="AF285:AF290" si="306">IF(S285&lt;&gt;"",1,0)</f>
        <v>1</v>
      </c>
      <c r="AG285" s="202" t="str">
        <f t="shared" ref="AG285:AG290" si="307">B285&amp;" "&amp;F285</f>
        <v>Urszula Szwarc Office Space or Container Rental - Consortium's facility ECd_20</v>
      </c>
      <c r="AH285" s="147"/>
      <c r="AI285" s="148"/>
      <c r="AJ285" s="148"/>
      <c r="AK285" s="148"/>
      <c r="AL285" s="148"/>
      <c r="AM285" s="148"/>
      <c r="AN285" s="148"/>
      <c r="AO285" s="148"/>
      <c r="AP285" s="148"/>
      <c r="AQ285" s="148"/>
      <c r="AR285" s="148"/>
      <c r="AS285" s="148"/>
      <c r="AT285" s="148"/>
      <c r="AU285" s="148"/>
      <c r="AV285" s="148"/>
      <c r="AW285" s="148"/>
      <c r="AX285" s="148"/>
      <c r="AY285" s="148"/>
      <c r="AZ285" s="148"/>
      <c r="BA285" s="148"/>
      <c r="BB285" s="148"/>
      <c r="BC285" s="148"/>
      <c r="BD285" s="148"/>
      <c r="BE285" s="148"/>
      <c r="BF285" s="148"/>
      <c r="BG285" s="148"/>
      <c r="BH285" s="148"/>
      <c r="BI285" s="148"/>
      <c r="BJ285" s="148"/>
      <c r="BK285" s="148"/>
      <c r="BL285" s="148"/>
      <c r="BM285" s="148"/>
      <c r="BN285" s="148"/>
      <c r="BO285" s="148"/>
      <c r="BP285" s="148"/>
      <c r="BQ285" s="148"/>
      <c r="BR285" s="148"/>
      <c r="BS285" s="148"/>
      <c r="BT285" s="148"/>
      <c r="BU285" s="148"/>
      <c r="BV285" s="148"/>
      <c r="BW285" s="148"/>
      <c r="BX285" s="148"/>
      <c r="BY285" s="148"/>
      <c r="BZ285" s="148"/>
      <c r="CA285" s="148"/>
      <c r="CB285" s="148"/>
      <c r="CC285" s="148"/>
      <c r="CD285" s="148"/>
      <c r="CE285" s="148"/>
      <c r="CF285" s="148"/>
      <c r="CG285" s="148"/>
      <c r="CH285" s="148"/>
      <c r="CI285" s="148"/>
      <c r="CJ285" s="148"/>
      <c r="CK285" s="148"/>
      <c r="CL285" s="148"/>
      <c r="CM285" s="148"/>
      <c r="CN285" s="148"/>
      <c r="CO285" s="148"/>
      <c r="CP285" s="148"/>
      <c r="CQ285" s="148"/>
      <c r="CR285" s="148"/>
      <c r="CS285" s="148"/>
      <c r="CT285" s="148"/>
      <c r="CU285" s="148"/>
      <c r="CV285" s="148"/>
      <c r="CW285" s="148"/>
      <c r="CX285" s="148"/>
      <c r="CY285" s="148"/>
      <c r="CZ285" s="148"/>
      <c r="DA285" s="148"/>
      <c r="DB285" s="148"/>
      <c r="DC285" s="148"/>
      <c r="DD285" s="148"/>
      <c r="DE285" s="148"/>
      <c r="DF285" s="148"/>
      <c r="DG285" s="148"/>
      <c r="DH285" s="148"/>
      <c r="DI285" s="148"/>
      <c r="DJ285" s="148"/>
      <c r="DK285" s="148"/>
      <c r="DL285" s="148"/>
      <c r="DM285" s="148"/>
      <c r="DN285" s="148"/>
      <c r="DO285" s="148"/>
      <c r="DP285" s="148"/>
      <c r="DQ285" s="148"/>
      <c r="DR285" s="148"/>
      <c r="DS285" s="148"/>
      <c r="DT285" s="148"/>
      <c r="DU285" s="148"/>
      <c r="DV285" s="148"/>
      <c r="DW285" s="148"/>
      <c r="DX285" s="148"/>
      <c r="DY285" s="148"/>
      <c r="DZ285" s="148"/>
      <c r="EA285" s="148"/>
      <c r="EB285" s="148"/>
      <c r="EC285" s="148"/>
      <c r="ED285" s="148"/>
      <c r="EE285" s="148"/>
      <c r="EF285" s="148"/>
      <c r="EG285" s="148"/>
      <c r="EH285" s="148"/>
      <c r="EI285" s="148"/>
      <c r="EJ285" s="148"/>
      <c r="EK285" s="148"/>
      <c r="EL285" s="148"/>
      <c r="EM285" s="148"/>
      <c r="EN285" s="148"/>
      <c r="EO285" s="148"/>
      <c r="EP285" s="148"/>
      <c r="EQ285" s="148"/>
      <c r="ER285" s="148"/>
      <c r="ES285" s="148"/>
      <c r="ET285" s="148"/>
      <c r="EU285" s="148"/>
      <c r="EV285" s="148"/>
      <c r="EW285" s="148"/>
      <c r="EX285" s="148"/>
      <c r="EY285" s="148"/>
      <c r="EZ285" s="148"/>
      <c r="FA285" s="148"/>
      <c r="FB285" s="148"/>
      <c r="FC285" s="148"/>
      <c r="FD285" s="148"/>
      <c r="FE285" s="148"/>
      <c r="FF285" s="148"/>
      <c r="FG285" s="148"/>
      <c r="FH285" s="148"/>
      <c r="FI285" s="148"/>
      <c r="FJ285" s="148"/>
      <c r="FK285" s="148"/>
      <c r="FL285" s="148"/>
      <c r="FM285" s="148"/>
      <c r="FN285" s="148"/>
      <c r="FO285" s="148"/>
      <c r="FP285" s="148"/>
      <c r="FQ285" s="148"/>
      <c r="FR285" s="148"/>
      <c r="FS285" s="148"/>
      <c r="FT285" s="148"/>
      <c r="FU285" s="148"/>
      <c r="FV285" s="148"/>
      <c r="FW285" s="148"/>
      <c r="FX285" s="148"/>
      <c r="FY285" s="148"/>
      <c r="FZ285" s="148"/>
      <c r="GA285" s="148"/>
      <c r="GB285" s="148"/>
      <c r="GC285" s="148"/>
      <c r="GD285" s="148"/>
      <c r="GE285" s="148"/>
      <c r="GF285" s="148"/>
      <c r="GG285" s="149"/>
    </row>
    <row r="286" spans="1:189" ht="27.75" x14ac:dyDescent="0.35">
      <c r="A286" s="267" t="s">
        <v>1145</v>
      </c>
      <c r="B286" s="221" t="s">
        <v>1079</v>
      </c>
      <c r="C286" s="221"/>
      <c r="D286" s="222"/>
      <c r="E286" s="221" t="s">
        <v>1149</v>
      </c>
      <c r="F286" s="221" t="s">
        <v>1150</v>
      </c>
      <c r="G286" s="223">
        <v>2</v>
      </c>
      <c r="H286" s="224" t="s">
        <v>1147</v>
      </c>
      <c r="I286" s="225"/>
      <c r="J286" s="225"/>
      <c r="K286" s="225"/>
      <c r="L286" s="226">
        <v>45995</v>
      </c>
      <c r="M286" s="226">
        <v>45995</v>
      </c>
      <c r="N286" s="226">
        <v>45995</v>
      </c>
      <c r="O286" s="226">
        <v>45995</v>
      </c>
      <c r="P286" s="226">
        <v>46053</v>
      </c>
      <c r="Q286" s="227" t="s">
        <v>20</v>
      </c>
      <c r="R286" s="228"/>
      <c r="S286" s="228">
        <v>4800</v>
      </c>
      <c r="T286" s="228">
        <v>4800</v>
      </c>
      <c r="U286" s="294">
        <f t="shared" si="299"/>
        <v>0</v>
      </c>
      <c r="V286" s="230"/>
      <c r="W286" s="232"/>
      <c r="X286" s="46"/>
      <c r="Y286" s="167">
        <f t="shared" si="300"/>
        <v>4800</v>
      </c>
      <c r="Z286" s="167">
        <f t="shared" si="301"/>
        <v>4800</v>
      </c>
      <c r="AA286" s="167">
        <f t="shared" si="302"/>
        <v>0</v>
      </c>
      <c r="AB286" s="167">
        <f t="shared" si="303"/>
        <v>0</v>
      </c>
      <c r="AC286" s="167">
        <f t="shared" si="304"/>
        <v>0</v>
      </c>
      <c r="AD286" s="167">
        <f t="shared" si="305"/>
        <v>0</v>
      </c>
      <c r="AF286" s="295">
        <f t="shared" si="306"/>
        <v>1</v>
      </c>
      <c r="AG286" s="296" t="str">
        <f t="shared" si="307"/>
        <v xml:space="preserve">Urszula Szwarc Container rental - construction inauguration ECd_02 </v>
      </c>
      <c r="AH286" s="147"/>
      <c r="AI286" s="148"/>
      <c r="AJ286" s="148"/>
      <c r="AK286" s="148"/>
      <c r="AL286" s="148"/>
      <c r="AM286" s="148"/>
      <c r="AN286" s="148"/>
      <c r="AO286" s="148"/>
      <c r="AP286" s="148"/>
      <c r="AQ286" s="148"/>
      <c r="AR286" s="148"/>
      <c r="AS286" s="148"/>
      <c r="AT286" s="148"/>
      <c r="AU286" s="148"/>
      <c r="AV286" s="148"/>
      <c r="AW286" s="148"/>
      <c r="AX286" s="148"/>
      <c r="AY286" s="148"/>
      <c r="AZ286" s="148"/>
      <c r="BA286" s="148"/>
      <c r="BB286" s="148"/>
      <c r="BC286" s="148"/>
      <c r="BD286" s="148"/>
      <c r="BE286" s="148"/>
      <c r="BF286" s="148"/>
      <c r="BG286" s="148"/>
      <c r="BH286" s="148"/>
      <c r="BI286" s="148"/>
      <c r="BJ286" s="148"/>
      <c r="BK286" s="148"/>
      <c r="BL286" s="148"/>
      <c r="BM286" s="148"/>
      <c r="BN286" s="148"/>
      <c r="BO286" s="148"/>
      <c r="BP286" s="148"/>
      <c r="BQ286" s="148"/>
      <c r="BR286" s="148"/>
      <c r="BS286" s="148"/>
      <c r="BT286" s="148"/>
      <c r="BU286" s="148"/>
      <c r="BV286" s="148"/>
      <c r="BW286" s="148"/>
      <c r="BX286" s="148"/>
      <c r="BY286" s="148"/>
      <c r="BZ286" s="148"/>
      <c r="CA286" s="148"/>
      <c r="CB286" s="148"/>
      <c r="CC286" s="148"/>
      <c r="CD286" s="148"/>
      <c r="CE286" s="148"/>
      <c r="CF286" s="148"/>
      <c r="CG286" s="148"/>
      <c r="CH286" s="148"/>
      <c r="CI286" s="148"/>
      <c r="CJ286" s="148"/>
      <c r="CK286" s="148"/>
      <c r="CL286" s="148"/>
      <c r="CM286" s="148"/>
      <c r="CN286" s="148"/>
      <c r="CO286" s="148"/>
      <c r="CP286" s="148"/>
      <c r="CQ286" s="148"/>
      <c r="CR286" s="148"/>
      <c r="CS286" s="148"/>
      <c r="CT286" s="148"/>
      <c r="CU286" s="148"/>
      <c r="CV286" s="148"/>
      <c r="CW286" s="148"/>
      <c r="CX286" s="148"/>
      <c r="CY286" s="148"/>
      <c r="CZ286" s="148"/>
      <c r="DA286" s="148"/>
      <c r="DB286" s="148"/>
      <c r="DC286" s="148"/>
      <c r="DD286" s="148"/>
      <c r="DE286" s="148"/>
      <c r="DF286" s="148"/>
      <c r="DG286" s="148"/>
      <c r="DH286" s="148"/>
      <c r="DI286" s="148"/>
      <c r="DJ286" s="148"/>
      <c r="DK286" s="148"/>
      <c r="DL286" s="148"/>
      <c r="DM286" s="148"/>
      <c r="DN286" s="148"/>
      <c r="DO286" s="148"/>
      <c r="DP286" s="148"/>
      <c r="DQ286" s="148"/>
      <c r="DR286" s="148"/>
      <c r="DS286" s="148"/>
      <c r="DT286" s="148"/>
      <c r="DU286" s="148"/>
      <c r="DV286" s="148"/>
      <c r="DW286" s="148"/>
      <c r="DX286" s="148"/>
      <c r="DY286" s="148"/>
      <c r="DZ286" s="148"/>
      <c r="EA286" s="148"/>
      <c r="EB286" s="148"/>
      <c r="EC286" s="148"/>
      <c r="ED286" s="148"/>
      <c r="EE286" s="148"/>
      <c r="EF286" s="148"/>
      <c r="EG286" s="148"/>
      <c r="EH286" s="148"/>
      <c r="EI286" s="148"/>
      <c r="EJ286" s="148"/>
      <c r="EK286" s="148"/>
      <c r="EL286" s="148"/>
      <c r="EM286" s="148"/>
      <c r="EN286" s="148"/>
      <c r="EO286" s="148"/>
      <c r="EP286" s="148"/>
      <c r="EQ286" s="148"/>
      <c r="ER286" s="148"/>
      <c r="ES286" s="148"/>
      <c r="ET286" s="148"/>
      <c r="EU286" s="148"/>
      <c r="EV286" s="148"/>
      <c r="EW286" s="148"/>
      <c r="EX286" s="148"/>
      <c r="EY286" s="148"/>
      <c r="EZ286" s="148"/>
      <c r="FA286" s="148"/>
      <c r="FB286" s="148"/>
      <c r="FC286" s="148"/>
      <c r="FD286" s="148"/>
      <c r="FE286" s="148"/>
      <c r="FF286" s="148"/>
      <c r="FG286" s="148"/>
      <c r="FH286" s="148"/>
      <c r="FI286" s="148"/>
      <c r="FJ286" s="148"/>
      <c r="FK286" s="148"/>
      <c r="FL286" s="148"/>
      <c r="FM286" s="148"/>
      <c r="FN286" s="148"/>
      <c r="FO286" s="148"/>
      <c r="FP286" s="148"/>
      <c r="FQ286" s="148"/>
      <c r="FR286" s="148"/>
      <c r="FS286" s="148"/>
      <c r="FT286" s="148"/>
      <c r="FU286" s="148"/>
      <c r="FV286" s="148"/>
      <c r="FW286" s="148"/>
      <c r="FX286" s="148"/>
      <c r="FY286" s="148"/>
      <c r="FZ286" s="148"/>
      <c r="GA286" s="148"/>
      <c r="GB286" s="148"/>
      <c r="GC286" s="148"/>
      <c r="GD286" s="148"/>
      <c r="GE286" s="148"/>
      <c r="GF286" s="148"/>
      <c r="GG286" s="149"/>
    </row>
    <row r="287" spans="1:189" ht="27.75" x14ac:dyDescent="0.35">
      <c r="A287" s="267" t="s">
        <v>1146</v>
      </c>
      <c r="B287" s="221" t="s">
        <v>1079</v>
      </c>
      <c r="C287" s="221"/>
      <c r="D287" s="222"/>
      <c r="E287" s="221" t="s">
        <v>1151</v>
      </c>
      <c r="F287" s="221" t="s">
        <v>1152</v>
      </c>
      <c r="G287" s="223">
        <v>2</v>
      </c>
      <c r="H287" s="224" t="s">
        <v>776</v>
      </c>
      <c r="I287" s="225"/>
      <c r="J287" s="225"/>
      <c r="K287" s="225"/>
      <c r="L287" s="226">
        <v>45995</v>
      </c>
      <c r="M287" s="226">
        <v>45995</v>
      </c>
      <c r="N287" s="226">
        <v>45995</v>
      </c>
      <c r="O287" s="226">
        <v>45995</v>
      </c>
      <c r="P287" s="226">
        <v>45995</v>
      </c>
      <c r="Q287" s="227" t="s">
        <v>20</v>
      </c>
      <c r="R287" s="228"/>
      <c r="S287" s="228">
        <v>962</v>
      </c>
      <c r="T287" s="228">
        <v>962</v>
      </c>
      <c r="U287" s="191">
        <f t="shared" si="299"/>
        <v>0</v>
      </c>
      <c r="V287" s="230"/>
      <c r="W287" s="232"/>
      <c r="X287" s="46"/>
      <c r="Y287" s="167">
        <f t="shared" si="300"/>
        <v>962</v>
      </c>
      <c r="Z287" s="167">
        <f t="shared" si="301"/>
        <v>962</v>
      </c>
      <c r="AA287" s="167">
        <f t="shared" si="302"/>
        <v>0</v>
      </c>
      <c r="AB287" s="167">
        <f t="shared" si="303"/>
        <v>0</v>
      </c>
      <c r="AC287" s="167">
        <f t="shared" si="304"/>
        <v>0</v>
      </c>
      <c r="AD287" s="167">
        <f t="shared" si="305"/>
        <v>0</v>
      </c>
      <c r="AF287" s="47">
        <f t="shared" si="306"/>
        <v>1</v>
      </c>
      <c r="AG287" s="202" t="str">
        <f t="shared" si="307"/>
        <v>Urszula Szwarc Container assembly for the construction inauguration ECd_03</v>
      </c>
      <c r="AH287" s="147"/>
      <c r="AI287" s="148"/>
      <c r="AJ287" s="148"/>
      <c r="AK287" s="148"/>
      <c r="AL287" s="148"/>
      <c r="AM287" s="148"/>
      <c r="AN287" s="148"/>
      <c r="AO287" s="148"/>
      <c r="AP287" s="148"/>
      <c r="AQ287" s="148"/>
      <c r="AR287" s="148"/>
      <c r="AS287" s="148"/>
      <c r="AT287" s="148"/>
      <c r="AU287" s="148"/>
      <c r="AV287" s="148"/>
      <c r="AW287" s="148"/>
      <c r="AX287" s="148"/>
      <c r="AY287" s="148"/>
      <c r="AZ287" s="148"/>
      <c r="BA287" s="148"/>
      <c r="BB287" s="148"/>
      <c r="BC287" s="148"/>
      <c r="BD287" s="148"/>
      <c r="BE287" s="148"/>
      <c r="BF287" s="148"/>
      <c r="BG287" s="148"/>
      <c r="BH287" s="148"/>
      <c r="BI287" s="148"/>
      <c r="BJ287" s="148"/>
      <c r="BK287" s="148"/>
      <c r="BL287" s="148"/>
      <c r="BM287" s="148"/>
      <c r="BN287" s="148"/>
      <c r="BO287" s="148"/>
      <c r="BP287" s="148"/>
      <c r="BQ287" s="148"/>
      <c r="BR287" s="148"/>
      <c r="BS287" s="148"/>
      <c r="BT287" s="148"/>
      <c r="BU287" s="148"/>
      <c r="BV287" s="148"/>
      <c r="BW287" s="148"/>
      <c r="BX287" s="148"/>
      <c r="BY287" s="148"/>
      <c r="BZ287" s="148"/>
      <c r="CA287" s="148"/>
      <c r="CB287" s="148"/>
      <c r="CC287" s="148"/>
      <c r="CD287" s="148"/>
      <c r="CE287" s="148"/>
      <c r="CF287" s="148"/>
      <c r="CG287" s="148"/>
      <c r="CH287" s="148"/>
      <c r="CI287" s="148"/>
      <c r="CJ287" s="148"/>
      <c r="CK287" s="148"/>
      <c r="CL287" s="148"/>
      <c r="CM287" s="148"/>
      <c r="CN287" s="148"/>
      <c r="CO287" s="148"/>
      <c r="CP287" s="148"/>
      <c r="CQ287" s="148"/>
      <c r="CR287" s="148"/>
      <c r="CS287" s="148"/>
      <c r="CT287" s="148"/>
      <c r="CU287" s="148"/>
      <c r="CV287" s="148"/>
      <c r="CW287" s="148"/>
      <c r="CX287" s="148"/>
      <c r="CY287" s="148"/>
      <c r="CZ287" s="148"/>
      <c r="DA287" s="148"/>
      <c r="DB287" s="148"/>
      <c r="DC287" s="148"/>
      <c r="DD287" s="148"/>
      <c r="DE287" s="148"/>
      <c r="DF287" s="148"/>
      <c r="DG287" s="148"/>
      <c r="DH287" s="148"/>
      <c r="DI287" s="148"/>
      <c r="DJ287" s="148"/>
      <c r="DK287" s="148"/>
      <c r="DL287" s="148"/>
      <c r="DM287" s="148"/>
      <c r="DN287" s="148"/>
      <c r="DO287" s="148"/>
      <c r="DP287" s="148"/>
      <c r="DQ287" s="148"/>
      <c r="DR287" s="148"/>
      <c r="DS287" s="148"/>
      <c r="DT287" s="148"/>
      <c r="DU287" s="148"/>
      <c r="DV287" s="148"/>
      <c r="DW287" s="148"/>
      <c r="DX287" s="148"/>
      <c r="DY287" s="148"/>
      <c r="DZ287" s="148"/>
      <c r="EA287" s="148"/>
      <c r="EB287" s="148"/>
      <c r="EC287" s="148"/>
      <c r="ED287" s="148"/>
      <c r="EE287" s="148"/>
      <c r="EF287" s="148"/>
      <c r="EG287" s="148"/>
      <c r="EH287" s="148"/>
      <c r="EI287" s="148"/>
      <c r="EJ287" s="148"/>
      <c r="EK287" s="148"/>
      <c r="EL287" s="148"/>
      <c r="EM287" s="148"/>
      <c r="EN287" s="148"/>
      <c r="EO287" s="148"/>
      <c r="EP287" s="148"/>
      <c r="EQ287" s="148"/>
      <c r="ER287" s="148"/>
      <c r="ES287" s="148"/>
      <c r="ET287" s="148"/>
      <c r="EU287" s="148"/>
      <c r="EV287" s="148"/>
      <c r="EW287" s="148"/>
      <c r="EX287" s="148"/>
      <c r="EY287" s="148"/>
      <c r="EZ287" s="148"/>
      <c r="FA287" s="148"/>
      <c r="FB287" s="148"/>
      <c r="FC287" s="148"/>
      <c r="FD287" s="148"/>
      <c r="FE287" s="148"/>
      <c r="FF287" s="148"/>
      <c r="FG287" s="148"/>
      <c r="FH287" s="148"/>
      <c r="FI287" s="148"/>
      <c r="FJ287" s="148"/>
      <c r="FK287" s="148"/>
      <c r="FL287" s="148"/>
      <c r="FM287" s="148"/>
      <c r="FN287" s="148"/>
      <c r="FO287" s="148"/>
      <c r="FP287" s="148"/>
      <c r="FQ287" s="148"/>
      <c r="FR287" s="148"/>
      <c r="FS287" s="148"/>
      <c r="FT287" s="148"/>
      <c r="FU287" s="148"/>
      <c r="FV287" s="148"/>
      <c r="FW287" s="148"/>
      <c r="FX287" s="148"/>
      <c r="FY287" s="148"/>
      <c r="FZ287" s="148"/>
      <c r="GA287" s="148"/>
      <c r="GB287" s="148"/>
      <c r="GC287" s="148"/>
      <c r="GD287" s="148"/>
      <c r="GE287" s="148"/>
      <c r="GF287" s="148"/>
      <c r="GG287" s="149"/>
    </row>
    <row r="288" spans="1:189" ht="27.75" x14ac:dyDescent="0.35">
      <c r="A288" s="267" t="s">
        <v>1148</v>
      </c>
      <c r="B288" s="221" t="s">
        <v>1079</v>
      </c>
      <c r="C288" s="221"/>
      <c r="D288" s="222"/>
      <c r="E288" s="221" t="s">
        <v>789</v>
      </c>
      <c r="F288" s="221" t="s">
        <v>831</v>
      </c>
      <c r="G288" s="223">
        <v>2</v>
      </c>
      <c r="H288" s="224"/>
      <c r="I288" s="225"/>
      <c r="J288" s="225"/>
      <c r="K288" s="225"/>
      <c r="L288" s="226">
        <v>45995</v>
      </c>
      <c r="M288" s="226">
        <v>46022</v>
      </c>
      <c r="N288" s="226"/>
      <c r="O288" s="226">
        <v>46054</v>
      </c>
      <c r="P288" s="226">
        <v>46934</v>
      </c>
      <c r="Q288" s="227" t="s">
        <v>11</v>
      </c>
      <c r="R288" s="228"/>
      <c r="S288" s="228"/>
      <c r="T288" s="228"/>
      <c r="U288" s="191">
        <f t="shared" si="299"/>
        <v>0</v>
      </c>
      <c r="V288" s="230"/>
      <c r="W288" s="232"/>
      <c r="X288" s="46"/>
      <c r="Y288" s="167">
        <f t="shared" si="300"/>
        <v>0</v>
      </c>
      <c r="Z288" s="167">
        <f t="shared" si="301"/>
        <v>0</v>
      </c>
      <c r="AA288" s="167">
        <f t="shared" si="302"/>
        <v>0</v>
      </c>
      <c r="AB288" s="167">
        <f t="shared" si="303"/>
        <v>0</v>
      </c>
      <c r="AC288" s="167">
        <f t="shared" si="304"/>
        <v>0</v>
      </c>
      <c r="AD288" s="167">
        <f t="shared" si="305"/>
        <v>0</v>
      </c>
      <c r="AF288" s="47">
        <f t="shared" si="306"/>
        <v>0</v>
      </c>
      <c r="AG288" s="202" t="str">
        <f t="shared" si="307"/>
        <v>Urszula Szwarc Office Space or Container Rental</v>
      </c>
      <c r="AH288" s="172"/>
      <c r="AI288" s="173"/>
      <c r="AJ288" s="173"/>
      <c r="AK288" s="173"/>
      <c r="AL288" s="173"/>
      <c r="AM288" s="173"/>
      <c r="AN288" s="173"/>
      <c r="AO288" s="173"/>
      <c r="AP288" s="173"/>
      <c r="AQ288" s="173"/>
      <c r="AR288" s="173"/>
      <c r="AS288" s="173"/>
      <c r="AT288" s="173"/>
      <c r="AU288" s="173"/>
      <c r="AV288" s="173"/>
      <c r="AW288" s="173"/>
      <c r="AX288" s="173"/>
      <c r="AY288" s="173"/>
      <c r="AZ288" s="173"/>
      <c r="BA288" s="173"/>
      <c r="BB288" s="173"/>
      <c r="BC288" s="173"/>
      <c r="BD288" s="173"/>
      <c r="BE288" s="173"/>
      <c r="BF288" s="173"/>
      <c r="BG288" s="173"/>
      <c r="BH288" s="173"/>
      <c r="BI288" s="173"/>
      <c r="BJ288" s="173"/>
      <c r="BK288" s="173"/>
      <c r="BL288" s="173"/>
      <c r="BM288" s="173"/>
      <c r="BN288" s="173"/>
      <c r="BO288" s="173"/>
      <c r="BP288" s="173"/>
      <c r="BQ288" s="173"/>
      <c r="BR288" s="173"/>
      <c r="BS288" s="173"/>
      <c r="BT288" s="173"/>
      <c r="BU288" s="173"/>
      <c r="BV288" s="173"/>
      <c r="BW288" s="173"/>
      <c r="BX288" s="173"/>
      <c r="BY288" s="173"/>
      <c r="BZ288" s="173"/>
      <c r="CA288" s="173"/>
      <c r="CB288" s="173"/>
      <c r="CC288" s="173"/>
      <c r="CD288" s="173"/>
      <c r="CE288" s="173"/>
      <c r="CF288" s="173"/>
      <c r="CG288" s="173"/>
      <c r="CH288" s="173"/>
      <c r="CI288" s="173"/>
      <c r="CJ288" s="173"/>
      <c r="CK288" s="173"/>
      <c r="CL288" s="173"/>
      <c r="CM288" s="173"/>
      <c r="CN288" s="173"/>
      <c r="CO288" s="173"/>
      <c r="CP288" s="173"/>
      <c r="CQ288" s="173"/>
      <c r="CR288" s="173"/>
      <c r="CS288" s="173"/>
      <c r="CT288" s="173"/>
      <c r="CU288" s="173"/>
      <c r="CV288" s="173"/>
      <c r="CW288" s="173"/>
      <c r="CX288" s="173"/>
      <c r="CY288" s="148"/>
      <c r="CZ288" s="148"/>
      <c r="DA288" s="148"/>
      <c r="DB288" s="148"/>
      <c r="DC288" s="148"/>
      <c r="DD288" s="148"/>
      <c r="DE288" s="148"/>
      <c r="DF288" s="148"/>
      <c r="DG288" s="148"/>
      <c r="DH288" s="148"/>
      <c r="DI288" s="148"/>
      <c r="DJ288" s="148"/>
      <c r="DK288" s="148"/>
      <c r="DL288" s="148"/>
      <c r="DM288" s="148"/>
      <c r="DN288" s="148"/>
      <c r="DO288" s="148"/>
      <c r="DP288" s="148"/>
      <c r="DQ288" s="148"/>
      <c r="DR288" s="148"/>
      <c r="DS288" s="148"/>
      <c r="DT288" s="148"/>
      <c r="DU288" s="148"/>
      <c r="DV288" s="148"/>
      <c r="DW288" s="148"/>
      <c r="DX288" s="148"/>
      <c r="DY288" s="148"/>
      <c r="DZ288" s="148"/>
      <c r="EA288" s="148"/>
      <c r="EB288" s="148"/>
      <c r="EC288" s="148"/>
      <c r="ED288" s="148"/>
      <c r="EE288" s="148"/>
      <c r="EF288" s="148"/>
      <c r="EG288" s="148"/>
      <c r="EH288" s="148"/>
      <c r="EI288" s="148"/>
      <c r="EJ288" s="148"/>
      <c r="EK288" s="148"/>
      <c r="EL288" s="148"/>
      <c r="EM288" s="148"/>
      <c r="EN288" s="148"/>
      <c r="EO288" s="148"/>
      <c r="EP288" s="148"/>
      <c r="EQ288" s="148"/>
      <c r="ER288" s="148"/>
      <c r="ES288" s="148"/>
      <c r="ET288" s="148"/>
      <c r="EU288" s="148"/>
      <c r="EV288" s="148"/>
      <c r="EW288" s="148"/>
      <c r="EX288" s="148"/>
      <c r="EY288" s="148"/>
      <c r="EZ288" s="148"/>
      <c r="FA288" s="148"/>
      <c r="FB288" s="148"/>
      <c r="FC288" s="148"/>
      <c r="FD288" s="148"/>
      <c r="FE288" s="148"/>
      <c r="FF288" s="148"/>
      <c r="FG288" s="148"/>
      <c r="FH288" s="148"/>
      <c r="FI288" s="148"/>
      <c r="FJ288" s="148"/>
      <c r="FK288" s="148"/>
      <c r="FL288" s="148"/>
      <c r="FM288" s="148"/>
      <c r="FN288" s="148"/>
      <c r="FO288" s="148"/>
      <c r="FP288" s="148"/>
      <c r="FQ288" s="148"/>
      <c r="FR288" s="148"/>
      <c r="FS288" s="148"/>
      <c r="FT288" s="148"/>
      <c r="FU288" s="148"/>
      <c r="FV288" s="148"/>
      <c r="FW288" s="148"/>
      <c r="FX288" s="148"/>
      <c r="FY288" s="148"/>
      <c r="FZ288" s="148"/>
      <c r="GA288" s="148"/>
      <c r="GB288" s="148"/>
      <c r="GC288" s="148"/>
      <c r="GD288" s="148"/>
      <c r="GE288" s="148"/>
      <c r="GF288" s="148"/>
      <c r="GG288" s="149"/>
    </row>
    <row r="289" spans="1:189" x14ac:dyDescent="0.35">
      <c r="A289" s="267" t="s">
        <v>1209</v>
      </c>
      <c r="B289" s="221"/>
      <c r="C289" s="221"/>
      <c r="D289" s="222"/>
      <c r="E289" s="221" t="s">
        <v>1222</v>
      </c>
      <c r="F289" s="221" t="s">
        <v>1221</v>
      </c>
      <c r="G289" s="223">
        <v>2</v>
      </c>
      <c r="H289" s="224" t="s">
        <v>1219</v>
      </c>
      <c r="I289" s="225"/>
      <c r="J289" s="225"/>
      <c r="K289" s="225"/>
      <c r="L289" s="226">
        <v>46050</v>
      </c>
      <c r="M289" s="226">
        <v>46050</v>
      </c>
      <c r="N289" s="226">
        <v>46050</v>
      </c>
      <c r="O289" s="226">
        <v>46050</v>
      </c>
      <c r="P289" s="226">
        <v>46050</v>
      </c>
      <c r="Q289" s="227" t="s">
        <v>20</v>
      </c>
      <c r="R289" s="228"/>
      <c r="S289" s="228">
        <v>1340</v>
      </c>
      <c r="T289" s="228">
        <v>1340</v>
      </c>
      <c r="U289" s="191">
        <f t="shared" si="299"/>
        <v>0</v>
      </c>
      <c r="V289" s="230"/>
      <c r="W289" s="232"/>
      <c r="X289" s="46"/>
      <c r="Y289" s="167">
        <f t="shared" si="300"/>
        <v>1340</v>
      </c>
      <c r="Z289" s="167">
        <f t="shared" si="301"/>
        <v>1340</v>
      </c>
      <c r="AA289" s="167">
        <f t="shared" si="302"/>
        <v>0</v>
      </c>
      <c r="AB289" s="167">
        <f t="shared" si="303"/>
        <v>0</v>
      </c>
      <c r="AC289" s="167">
        <f t="shared" si="304"/>
        <v>0</v>
      </c>
      <c r="AD289" s="167">
        <f t="shared" si="305"/>
        <v>0</v>
      </c>
      <c r="AF289" s="47">
        <f t="shared" si="306"/>
        <v>1</v>
      </c>
      <c r="AG289" s="202" t="str">
        <f t="shared" si="307"/>
        <v xml:space="preserve"> Conference room rental ECd_23</v>
      </c>
      <c r="AH289" s="147"/>
      <c r="AI289" s="148"/>
      <c r="AJ289" s="148"/>
      <c r="AK289" s="148"/>
      <c r="AL289" s="148"/>
      <c r="AM289" s="148"/>
      <c r="AN289" s="148"/>
      <c r="AO289" s="148"/>
      <c r="AP289" s="148"/>
      <c r="AQ289" s="148"/>
      <c r="AR289" s="148"/>
      <c r="AS289" s="148"/>
      <c r="AT289" s="148"/>
      <c r="AU289" s="148"/>
      <c r="AV289" s="148"/>
      <c r="AW289" s="148"/>
      <c r="AX289" s="148"/>
      <c r="AY289" s="148"/>
      <c r="AZ289" s="148"/>
      <c r="BA289" s="148"/>
      <c r="BB289" s="148"/>
      <c r="BC289" s="148"/>
      <c r="BD289" s="148"/>
      <c r="BE289" s="148"/>
      <c r="BF289" s="148"/>
      <c r="BG289" s="148"/>
      <c r="BH289" s="148"/>
      <c r="BI289" s="148"/>
      <c r="BJ289" s="148"/>
      <c r="BK289" s="148"/>
      <c r="BL289" s="148"/>
      <c r="BM289" s="148"/>
      <c r="BN289" s="148"/>
      <c r="BO289" s="148"/>
      <c r="BP289" s="148"/>
      <c r="BQ289" s="148"/>
      <c r="BR289" s="148"/>
      <c r="BS289" s="148"/>
      <c r="BT289" s="148"/>
      <c r="BU289" s="148"/>
      <c r="BV289" s="148"/>
      <c r="BW289" s="148"/>
      <c r="BX289" s="148"/>
      <c r="BY289" s="148"/>
      <c r="BZ289" s="148"/>
      <c r="CA289" s="148"/>
      <c r="CB289" s="148"/>
      <c r="CC289" s="148"/>
      <c r="CD289" s="148"/>
      <c r="CE289" s="148"/>
      <c r="CF289" s="148"/>
      <c r="CG289" s="148"/>
      <c r="CH289" s="148"/>
      <c r="CI289" s="148"/>
      <c r="CJ289" s="148"/>
      <c r="CK289" s="148"/>
      <c r="CL289" s="148"/>
      <c r="CM289" s="148"/>
      <c r="CN289" s="148"/>
      <c r="CO289" s="148"/>
      <c r="CP289" s="148"/>
      <c r="CQ289" s="148"/>
      <c r="CR289" s="148"/>
      <c r="CS289" s="148"/>
      <c r="CT289" s="148"/>
      <c r="CU289" s="148"/>
      <c r="CV289" s="148"/>
      <c r="CW289" s="148"/>
      <c r="CX289" s="148"/>
      <c r="CY289" s="148"/>
      <c r="CZ289" s="148"/>
      <c r="DA289" s="148"/>
      <c r="DB289" s="148"/>
      <c r="DC289" s="148"/>
      <c r="DD289" s="148"/>
      <c r="DE289" s="148"/>
      <c r="DF289" s="148"/>
      <c r="DG289" s="148"/>
      <c r="DH289" s="148"/>
      <c r="DI289" s="148"/>
      <c r="DJ289" s="148"/>
      <c r="DK289" s="148"/>
      <c r="DL289" s="148"/>
      <c r="DM289" s="148"/>
      <c r="DN289" s="148"/>
      <c r="DO289" s="148"/>
      <c r="DP289" s="148"/>
      <c r="DQ289" s="148"/>
      <c r="DR289" s="148"/>
      <c r="DS289" s="148"/>
      <c r="DT289" s="148"/>
      <c r="DU289" s="148"/>
      <c r="DV289" s="148"/>
      <c r="DW289" s="148"/>
      <c r="DX289" s="148"/>
      <c r="DY289" s="148"/>
      <c r="DZ289" s="148"/>
      <c r="EA289" s="148"/>
      <c r="EB289" s="148"/>
      <c r="EC289" s="148"/>
      <c r="ED289" s="148"/>
      <c r="EE289" s="148"/>
      <c r="EF289" s="148"/>
      <c r="EG289" s="148"/>
      <c r="EH289" s="148"/>
      <c r="EI289" s="148"/>
      <c r="EJ289" s="148"/>
      <c r="EK289" s="148"/>
      <c r="EL289" s="148"/>
      <c r="EM289" s="148"/>
      <c r="EN289" s="148"/>
      <c r="EO289" s="148"/>
      <c r="EP289" s="148"/>
      <c r="EQ289" s="148"/>
      <c r="ER289" s="148"/>
      <c r="ES289" s="148"/>
      <c r="ET289" s="148"/>
      <c r="EU289" s="148"/>
      <c r="EV289" s="148"/>
      <c r="EW289" s="148"/>
      <c r="EX289" s="148"/>
      <c r="EY289" s="148"/>
      <c r="EZ289" s="148"/>
      <c r="FA289" s="148"/>
      <c r="FB289" s="148"/>
      <c r="FC289" s="148"/>
      <c r="FD289" s="148"/>
      <c r="FE289" s="148"/>
      <c r="FF289" s="148"/>
      <c r="FG289" s="148"/>
      <c r="FH289" s="148"/>
      <c r="FI289" s="148"/>
      <c r="FJ289" s="148"/>
      <c r="FK289" s="148"/>
      <c r="FL289" s="148"/>
      <c r="FM289" s="148"/>
      <c r="FN289" s="148"/>
      <c r="FO289" s="148"/>
      <c r="FP289" s="148"/>
      <c r="FQ289" s="148"/>
      <c r="FR289" s="148"/>
      <c r="FS289" s="148"/>
      <c r="FT289" s="148"/>
      <c r="FU289" s="148"/>
      <c r="FV289" s="148"/>
      <c r="FW289" s="148"/>
      <c r="FX289" s="148"/>
      <c r="FY289" s="148"/>
      <c r="FZ289" s="148"/>
      <c r="GA289" s="148"/>
      <c r="GB289" s="148"/>
      <c r="GC289" s="148"/>
      <c r="GD289" s="148"/>
      <c r="GE289" s="148"/>
      <c r="GF289" s="148"/>
      <c r="GG289" s="149"/>
    </row>
    <row r="290" spans="1:189" x14ac:dyDescent="0.35">
      <c r="A290" s="267" t="s">
        <v>1210</v>
      </c>
      <c r="B290" s="221"/>
      <c r="C290" s="221"/>
      <c r="D290" s="222"/>
      <c r="E290" s="221" t="s">
        <v>1224</v>
      </c>
      <c r="F290" s="221" t="s">
        <v>1225</v>
      </c>
      <c r="G290" s="223">
        <v>2</v>
      </c>
      <c r="H290" s="224" t="s">
        <v>1223</v>
      </c>
      <c r="I290" s="225"/>
      <c r="J290" s="225"/>
      <c r="K290" s="225"/>
      <c r="L290" s="226">
        <v>46023</v>
      </c>
      <c r="M290" s="226">
        <v>46050</v>
      </c>
      <c r="N290" s="226">
        <v>46050</v>
      </c>
      <c r="O290" s="226">
        <v>46054</v>
      </c>
      <c r="P290" s="226">
        <v>46081</v>
      </c>
      <c r="Q290" s="227" t="s">
        <v>20</v>
      </c>
      <c r="R290" s="228"/>
      <c r="S290" s="228">
        <v>7278</v>
      </c>
      <c r="T290" s="228">
        <v>7278</v>
      </c>
      <c r="U290" s="191">
        <f t="shared" si="299"/>
        <v>0</v>
      </c>
      <c r="V290" s="230"/>
      <c r="W290" s="232"/>
      <c r="X290" s="46"/>
      <c r="Y290" s="167">
        <f t="shared" si="300"/>
        <v>7278</v>
      </c>
      <c r="Z290" s="167">
        <f t="shared" si="301"/>
        <v>7278</v>
      </c>
      <c r="AA290" s="167">
        <f t="shared" si="302"/>
        <v>0</v>
      </c>
      <c r="AB290" s="167">
        <f t="shared" si="303"/>
        <v>0</v>
      </c>
      <c r="AC290" s="167">
        <f t="shared" si="304"/>
        <v>0</v>
      </c>
      <c r="AD290" s="167">
        <f t="shared" si="305"/>
        <v>0</v>
      </c>
      <c r="AF290" s="47">
        <f t="shared" si="306"/>
        <v>1</v>
      </c>
      <c r="AG290" s="202" t="str">
        <f t="shared" si="307"/>
        <v xml:space="preserve"> Office rental ECd_24</v>
      </c>
      <c r="AH290" s="147"/>
      <c r="AI290" s="148"/>
      <c r="AJ290" s="148"/>
      <c r="AK290" s="148"/>
      <c r="AL290" s="148"/>
      <c r="AM290" s="148"/>
      <c r="AN290" s="148"/>
      <c r="AO290" s="148"/>
      <c r="AP290" s="148"/>
      <c r="AQ290" s="148"/>
      <c r="AR290" s="148"/>
      <c r="AS290" s="148"/>
      <c r="AT290" s="148"/>
      <c r="AU290" s="148"/>
      <c r="AV290" s="148"/>
      <c r="AW290" s="148"/>
      <c r="AX290" s="148"/>
      <c r="AY290" s="148"/>
      <c r="AZ290" s="148"/>
      <c r="BA290" s="148"/>
      <c r="BB290" s="148"/>
      <c r="BC290" s="148"/>
      <c r="BD290" s="148"/>
      <c r="BE290" s="148"/>
      <c r="BF290" s="148"/>
      <c r="BG290" s="148"/>
      <c r="BH290" s="148"/>
      <c r="BI290" s="148"/>
      <c r="BJ290" s="148"/>
      <c r="BK290" s="148"/>
      <c r="BL290" s="148"/>
      <c r="BM290" s="148"/>
      <c r="BN290" s="148"/>
      <c r="BO290" s="148"/>
      <c r="BP290" s="148"/>
      <c r="BQ290" s="148"/>
      <c r="BR290" s="148"/>
      <c r="BS290" s="148"/>
      <c r="BT290" s="148"/>
      <c r="BU290" s="148"/>
      <c r="BV290" s="148"/>
      <c r="BW290" s="148"/>
      <c r="BX290" s="148"/>
      <c r="BY290" s="148"/>
      <c r="BZ290" s="148"/>
      <c r="CA290" s="148"/>
      <c r="CB290" s="148"/>
      <c r="CC290" s="148"/>
      <c r="CD290" s="148"/>
      <c r="CE290" s="148"/>
      <c r="CF290" s="148"/>
      <c r="CG290" s="148"/>
      <c r="CH290" s="148"/>
      <c r="CI290" s="148"/>
      <c r="CJ290" s="148"/>
      <c r="CK290" s="148"/>
      <c r="CL290" s="148"/>
      <c r="CM290" s="148"/>
      <c r="CN290" s="148"/>
      <c r="CO290" s="148"/>
      <c r="CP290" s="148"/>
      <c r="CQ290" s="148"/>
      <c r="CR290" s="148"/>
      <c r="CS290" s="148"/>
      <c r="CT290" s="148"/>
      <c r="CU290" s="148"/>
      <c r="CV290" s="148"/>
      <c r="CW290" s="148"/>
      <c r="CX290" s="148"/>
      <c r="CY290" s="148"/>
      <c r="CZ290" s="148"/>
      <c r="DA290" s="148"/>
      <c r="DB290" s="148"/>
      <c r="DC290" s="148"/>
      <c r="DD290" s="148"/>
      <c r="DE290" s="148"/>
      <c r="DF290" s="148"/>
      <c r="DG290" s="148"/>
      <c r="DH290" s="148"/>
      <c r="DI290" s="148"/>
      <c r="DJ290" s="148"/>
      <c r="DK290" s="148"/>
      <c r="DL290" s="148"/>
      <c r="DM290" s="148"/>
      <c r="DN290" s="148"/>
      <c r="DO290" s="148"/>
      <c r="DP290" s="148"/>
      <c r="DQ290" s="148"/>
      <c r="DR290" s="148"/>
      <c r="DS290" s="148"/>
      <c r="DT290" s="148"/>
      <c r="DU290" s="148"/>
      <c r="DV290" s="148"/>
      <c r="DW290" s="148"/>
      <c r="DX290" s="148"/>
      <c r="DY290" s="148"/>
      <c r="DZ290" s="148"/>
      <c r="EA290" s="148"/>
      <c r="EB290" s="148"/>
      <c r="EC290" s="148"/>
      <c r="ED290" s="148"/>
      <c r="EE290" s="148"/>
      <c r="EF290" s="148"/>
      <c r="EG290" s="148"/>
      <c r="EH290" s="148"/>
      <c r="EI290" s="148"/>
      <c r="EJ290" s="148"/>
      <c r="EK290" s="148"/>
      <c r="EL290" s="148"/>
      <c r="EM290" s="148"/>
      <c r="EN290" s="148"/>
      <c r="EO290" s="148"/>
      <c r="EP290" s="148"/>
      <c r="EQ290" s="148"/>
      <c r="ER290" s="148"/>
      <c r="ES290" s="148"/>
      <c r="ET290" s="148"/>
      <c r="EU290" s="148"/>
      <c r="EV290" s="148"/>
      <c r="EW290" s="148"/>
      <c r="EX290" s="148"/>
      <c r="EY290" s="148"/>
      <c r="EZ290" s="148"/>
      <c r="FA290" s="148"/>
      <c r="FB290" s="148"/>
      <c r="FC290" s="148"/>
      <c r="FD290" s="148"/>
      <c r="FE290" s="148"/>
      <c r="FF290" s="148"/>
      <c r="FG290" s="148"/>
      <c r="FH290" s="148"/>
      <c r="FI290" s="148"/>
      <c r="FJ290" s="148"/>
      <c r="FK290" s="148"/>
      <c r="FL290" s="148"/>
      <c r="FM290" s="148"/>
      <c r="FN290" s="148"/>
      <c r="FO290" s="148"/>
      <c r="FP290" s="148"/>
      <c r="FQ290" s="148"/>
      <c r="FR290" s="148"/>
      <c r="FS290" s="148"/>
      <c r="FT290" s="148"/>
      <c r="FU290" s="148"/>
      <c r="FV290" s="148"/>
      <c r="FW290" s="148"/>
      <c r="FX290" s="148"/>
      <c r="FY290" s="148"/>
      <c r="FZ290" s="148"/>
      <c r="GA290" s="148"/>
      <c r="GB290" s="148"/>
      <c r="GC290" s="148"/>
      <c r="GD290" s="148"/>
      <c r="GE290" s="148"/>
      <c r="GF290" s="148"/>
      <c r="GG290" s="149"/>
    </row>
    <row r="291" spans="1:189" x14ac:dyDescent="0.35">
      <c r="A291" s="297" t="s">
        <v>923</v>
      </c>
      <c r="B291" s="298"/>
      <c r="C291" s="298"/>
      <c r="D291" s="299"/>
      <c r="E291" s="298" t="s">
        <v>790</v>
      </c>
      <c r="F291" s="298" t="s">
        <v>832</v>
      </c>
      <c r="G291" s="300">
        <v>2</v>
      </c>
      <c r="H291" s="301"/>
      <c r="I291" s="302"/>
      <c r="J291" s="302"/>
      <c r="K291" s="302"/>
      <c r="L291" s="303">
        <v>45995</v>
      </c>
      <c r="M291" s="303">
        <v>46053</v>
      </c>
      <c r="N291" s="303"/>
      <c r="O291" s="303">
        <v>46054</v>
      </c>
      <c r="P291" s="303">
        <v>46934</v>
      </c>
      <c r="Q291" s="304" t="s">
        <v>20</v>
      </c>
      <c r="R291" s="305">
        <v>114240</v>
      </c>
      <c r="S291" s="305">
        <f>114240-SUM(S292)</f>
        <v>64240</v>
      </c>
      <c r="T291" s="305"/>
      <c r="U291" s="191">
        <f t="shared" si="263"/>
        <v>0</v>
      </c>
      <c r="V291" s="306"/>
      <c r="W291" s="307"/>
      <c r="X291" s="46"/>
      <c r="Y291" s="167">
        <f t="shared" si="264"/>
        <v>64240</v>
      </c>
      <c r="Z291" s="167">
        <f t="shared" si="265"/>
        <v>0</v>
      </c>
      <c r="AA291" s="167">
        <f t="shared" si="266"/>
        <v>64240</v>
      </c>
      <c r="AB291" s="167">
        <f t="shared" si="267"/>
        <v>0</v>
      </c>
      <c r="AC291" s="167">
        <f t="shared" si="268"/>
        <v>0</v>
      </c>
      <c r="AD291" s="167">
        <f t="shared" si="269"/>
        <v>0</v>
      </c>
      <c r="AF291" s="47">
        <f t="shared" ref="AF291:AF297" si="308">IF(S291&lt;&gt;"",1,0)</f>
        <v>1</v>
      </c>
      <c r="AG291" s="202" t="str">
        <f t="shared" si="271"/>
        <v xml:space="preserve"> Municipal Waste Collection</v>
      </c>
      <c r="AH291" s="147"/>
      <c r="AI291" s="148"/>
      <c r="AJ291" s="148"/>
      <c r="AK291" s="148"/>
      <c r="AL291" s="148"/>
      <c r="AM291" s="148"/>
      <c r="AN291" s="148"/>
      <c r="AO291" s="148"/>
      <c r="AP291" s="148"/>
      <c r="AQ291" s="148"/>
      <c r="AR291" s="148"/>
      <c r="AS291" s="148"/>
      <c r="AT291" s="148"/>
      <c r="AU291" s="148"/>
      <c r="AV291" s="148"/>
      <c r="AW291" s="148"/>
      <c r="AX291" s="148"/>
      <c r="AY291" s="148"/>
      <c r="AZ291" s="148"/>
      <c r="BA291" s="148"/>
      <c r="BB291" s="148"/>
      <c r="BC291" s="148"/>
      <c r="BD291" s="148"/>
      <c r="BE291" s="148"/>
      <c r="BF291" s="148"/>
      <c r="BG291" s="148"/>
      <c r="BH291" s="148"/>
      <c r="BI291" s="148"/>
      <c r="BJ291" s="148"/>
      <c r="BK291" s="148"/>
      <c r="BL291" s="148"/>
      <c r="BM291" s="148"/>
      <c r="BN291" s="148"/>
      <c r="BO291" s="148"/>
      <c r="BP291" s="148"/>
      <c r="BQ291" s="148"/>
      <c r="BR291" s="148"/>
      <c r="BS291" s="148"/>
      <c r="BT291" s="148"/>
      <c r="BU291" s="148"/>
      <c r="BV291" s="148"/>
      <c r="BW291" s="148"/>
      <c r="BX291" s="148"/>
      <c r="BY291" s="148"/>
      <c r="BZ291" s="148"/>
      <c r="CA291" s="148"/>
      <c r="CB291" s="148"/>
      <c r="CC291" s="148"/>
      <c r="CD291" s="148"/>
      <c r="CE291" s="148"/>
      <c r="CF291" s="148"/>
      <c r="CG291" s="148"/>
      <c r="CH291" s="148"/>
      <c r="CI291" s="148"/>
      <c r="CJ291" s="148"/>
      <c r="CK291" s="148"/>
      <c r="CL291" s="148"/>
      <c r="CM291" s="148"/>
      <c r="CN291" s="148"/>
      <c r="CO291" s="148"/>
      <c r="CP291" s="148"/>
      <c r="CQ291" s="148"/>
      <c r="CR291" s="148"/>
      <c r="CS291" s="148"/>
      <c r="CT291" s="148"/>
      <c r="CU291" s="148"/>
      <c r="CV291" s="148"/>
      <c r="CW291" s="148"/>
      <c r="CX291" s="148"/>
      <c r="CY291" s="148"/>
      <c r="CZ291" s="148"/>
      <c r="DA291" s="148"/>
      <c r="DB291" s="148"/>
      <c r="DC291" s="148"/>
      <c r="DD291" s="148"/>
      <c r="DE291" s="148"/>
      <c r="DF291" s="148"/>
      <c r="DG291" s="148"/>
      <c r="DH291" s="148"/>
      <c r="DI291" s="148"/>
      <c r="DJ291" s="148"/>
      <c r="DK291" s="148"/>
      <c r="DL291" s="148"/>
      <c r="DM291" s="148"/>
      <c r="DN291" s="148"/>
      <c r="DO291" s="148"/>
      <c r="DP291" s="148"/>
      <c r="DQ291" s="148"/>
      <c r="DR291" s="148"/>
      <c r="DS291" s="148"/>
      <c r="DT291" s="148"/>
      <c r="DU291" s="148"/>
      <c r="DV291" s="148"/>
      <c r="DW291" s="148"/>
      <c r="DX291" s="148"/>
      <c r="DY291" s="148"/>
      <c r="DZ291" s="148"/>
      <c r="EA291" s="148"/>
      <c r="EB291" s="148"/>
      <c r="EC291" s="148"/>
      <c r="ED291" s="148"/>
      <c r="EE291" s="148"/>
      <c r="EF291" s="148"/>
      <c r="EG291" s="148"/>
      <c r="EH291" s="148"/>
      <c r="EI291" s="148"/>
      <c r="EJ291" s="148"/>
      <c r="EK291" s="148"/>
      <c r="EL291" s="148"/>
      <c r="EM291" s="148"/>
      <c r="EN291" s="148"/>
      <c r="EO291" s="148"/>
      <c r="EP291" s="148"/>
      <c r="EQ291" s="148"/>
      <c r="ER291" s="148"/>
      <c r="ES291" s="148"/>
      <c r="ET291" s="148"/>
      <c r="EU291" s="148"/>
      <c r="EV291" s="148"/>
      <c r="EW291" s="148"/>
      <c r="EX291" s="148"/>
      <c r="EY291" s="148"/>
      <c r="EZ291" s="148"/>
      <c r="FA291" s="148"/>
      <c r="FB291" s="148"/>
      <c r="FC291" s="148"/>
      <c r="FD291" s="148"/>
      <c r="FE291" s="148"/>
      <c r="FF291" s="148"/>
      <c r="FG291" s="148"/>
      <c r="FH291" s="148"/>
      <c r="FI291" s="148"/>
      <c r="FJ291" s="148"/>
      <c r="FK291" s="148"/>
      <c r="FL291" s="148"/>
      <c r="FM291" s="148"/>
      <c r="FN291" s="148"/>
      <c r="FO291" s="148"/>
      <c r="FP291" s="148"/>
      <c r="FQ291" s="148"/>
      <c r="FR291" s="148"/>
      <c r="FS291" s="148"/>
      <c r="FT291" s="148"/>
      <c r="FU291" s="148"/>
      <c r="FV291" s="148"/>
      <c r="FW291" s="148"/>
      <c r="FX291" s="148"/>
      <c r="FY291" s="148"/>
      <c r="FZ291" s="148"/>
      <c r="GA291" s="148"/>
      <c r="GB291" s="148"/>
      <c r="GC291" s="148"/>
      <c r="GD291" s="148"/>
      <c r="GE291" s="148"/>
      <c r="GF291" s="148"/>
      <c r="GG291" s="149"/>
    </row>
    <row r="292" spans="1:189" x14ac:dyDescent="0.35">
      <c r="A292" s="267" t="s">
        <v>1138</v>
      </c>
      <c r="B292" s="221"/>
      <c r="C292" s="221"/>
      <c r="D292" s="222"/>
      <c r="E292" s="221" t="s">
        <v>1155</v>
      </c>
      <c r="F292" s="221" t="s">
        <v>1156</v>
      </c>
      <c r="G292" s="223">
        <v>2</v>
      </c>
      <c r="H292" s="224" t="s">
        <v>873</v>
      </c>
      <c r="I292" s="225"/>
      <c r="J292" s="225"/>
      <c r="K292" s="225"/>
      <c r="L292" s="226">
        <v>45995</v>
      </c>
      <c r="M292" s="226">
        <v>46022</v>
      </c>
      <c r="N292" s="226">
        <v>46022</v>
      </c>
      <c r="O292" s="226">
        <v>46054</v>
      </c>
      <c r="P292" s="226">
        <v>46934</v>
      </c>
      <c r="Q292" s="227" t="s">
        <v>20</v>
      </c>
      <c r="R292" s="228"/>
      <c r="S292" s="228">
        <v>50000</v>
      </c>
      <c r="T292" s="228">
        <v>50000</v>
      </c>
      <c r="U292" s="191">
        <f t="shared" ref="U292" si="309">IF(Q292="",0,IF(T292="",0,+S292-T292))</f>
        <v>0</v>
      </c>
      <c r="V292" s="230"/>
      <c r="W292" s="231"/>
      <c r="X292" s="46"/>
      <c r="Y292" s="167">
        <f t="shared" ref="Y292" si="310">IF(G292=2,S292,0)</f>
        <v>50000</v>
      </c>
      <c r="Z292" s="167">
        <f t="shared" ref="Z292" si="311">IF(Q292="",0,IF(G292=2,T292,0))</f>
        <v>50000</v>
      </c>
      <c r="AA292" s="167">
        <f t="shared" ref="AA292" si="312">Y292-Z292</f>
        <v>0</v>
      </c>
      <c r="AB292" s="167">
        <f t="shared" ref="AB292" si="313">IF(G292=1,S292,0)</f>
        <v>0</v>
      </c>
      <c r="AC292" s="167">
        <f t="shared" ref="AC292" si="314">IF(Q292="",0,IF(G292=1,T292,0))</f>
        <v>0</v>
      </c>
      <c r="AD292" s="167">
        <f t="shared" ref="AD292" si="315">AB292-AC292</f>
        <v>0</v>
      </c>
      <c r="AF292" s="47">
        <f t="shared" ref="AF292" si="316">IF(S292&lt;&gt;"",1,0)</f>
        <v>1</v>
      </c>
      <c r="AG292" s="202" t="str">
        <f t="shared" ref="AG292" si="317">B292&amp;" "&amp;F292</f>
        <v xml:space="preserve"> Municipal Waste Collection ECd_12</v>
      </c>
      <c r="AH292" s="153"/>
      <c r="AI292" s="154"/>
      <c r="AJ292" s="154"/>
      <c r="AK292" s="154"/>
      <c r="AL292" s="154"/>
      <c r="AM292" s="154"/>
      <c r="AN292" s="154"/>
      <c r="AO292" s="154"/>
      <c r="AP292" s="154"/>
      <c r="AQ292" s="154"/>
      <c r="AR292" s="154"/>
      <c r="AS292" s="154"/>
      <c r="AT292" s="154"/>
      <c r="AU292" s="154"/>
      <c r="AV292" s="154"/>
      <c r="AW292" s="154"/>
      <c r="AX292" s="154"/>
      <c r="AY292" s="154"/>
      <c r="AZ292" s="154"/>
      <c r="BA292" s="151"/>
      <c r="BB292" s="151"/>
      <c r="BC292" s="151"/>
      <c r="BD292" s="151"/>
      <c r="BE292" s="151"/>
      <c r="BF292" s="151"/>
      <c r="BG292" s="151"/>
      <c r="BH292" s="151"/>
      <c r="BI292" s="151"/>
      <c r="BJ292" s="151"/>
      <c r="BK292" s="151"/>
      <c r="BL292" s="151"/>
      <c r="BM292" s="151"/>
      <c r="BN292" s="151"/>
      <c r="BO292" s="151"/>
      <c r="BP292" s="151"/>
      <c r="BQ292" s="151"/>
      <c r="BR292" s="151"/>
      <c r="BS292" s="151"/>
      <c r="BT292" s="151"/>
      <c r="BU292" s="151"/>
      <c r="BV292" s="151"/>
      <c r="BW292" s="151"/>
      <c r="BX292" s="151"/>
      <c r="BY292" s="151"/>
      <c r="BZ292" s="151"/>
      <c r="CA292" s="151"/>
      <c r="CB292" s="151"/>
      <c r="CC292" s="151"/>
      <c r="CD292" s="151"/>
      <c r="CE292" s="151"/>
      <c r="CF292" s="151"/>
      <c r="CG292" s="151"/>
      <c r="CH292" s="151"/>
      <c r="CI292" s="151"/>
      <c r="CJ292" s="151"/>
      <c r="CK292" s="151"/>
      <c r="CL292" s="151"/>
      <c r="CM292" s="151"/>
      <c r="CN292" s="151"/>
      <c r="CO292" s="151"/>
      <c r="CP292" s="151"/>
      <c r="CQ292" s="151"/>
      <c r="CR292" s="151"/>
      <c r="CS292" s="151"/>
      <c r="CT292" s="151"/>
      <c r="CU292" s="151"/>
      <c r="CV292" s="151"/>
      <c r="CW292" s="151"/>
      <c r="CX292" s="151"/>
      <c r="CY292" s="151"/>
      <c r="CZ292" s="151"/>
      <c r="DA292" s="151"/>
      <c r="DB292" s="151"/>
      <c r="DC292" s="151"/>
      <c r="DD292" s="151"/>
      <c r="DE292" s="151"/>
      <c r="DF292" s="151"/>
      <c r="DG292" s="151"/>
      <c r="DH292" s="151"/>
      <c r="DI292" s="151"/>
      <c r="DJ292" s="151"/>
      <c r="DK292" s="151"/>
      <c r="DL292" s="151"/>
      <c r="DM292" s="151"/>
      <c r="DN292" s="151"/>
      <c r="DO292" s="151"/>
      <c r="DP292" s="151"/>
      <c r="DQ292" s="151"/>
      <c r="DR292" s="151"/>
      <c r="DS292" s="151"/>
      <c r="DT292" s="151"/>
      <c r="DU292" s="151"/>
      <c r="DV292" s="151"/>
      <c r="DW292" s="151"/>
      <c r="DX292" s="151"/>
      <c r="DY292" s="151"/>
      <c r="DZ292" s="151"/>
      <c r="EA292" s="151"/>
      <c r="EB292" s="151"/>
      <c r="EC292" s="151"/>
      <c r="ED292" s="151"/>
      <c r="EE292" s="151"/>
      <c r="EF292" s="151"/>
      <c r="EG292" s="151"/>
      <c r="EH292" s="151"/>
      <c r="EI292" s="151"/>
      <c r="EJ292" s="151"/>
      <c r="EK292" s="151"/>
      <c r="EL292" s="151"/>
      <c r="EM292" s="151"/>
      <c r="EN292" s="151"/>
      <c r="EO292" s="151"/>
      <c r="EP292" s="151"/>
      <c r="EQ292" s="151"/>
      <c r="ER292" s="151"/>
      <c r="ES292" s="151"/>
      <c r="ET292" s="151"/>
      <c r="EU292" s="151"/>
      <c r="EV292" s="151"/>
      <c r="EW292" s="151"/>
      <c r="EX292" s="151"/>
      <c r="EY292" s="151"/>
      <c r="EZ292" s="151"/>
      <c r="FA292" s="151"/>
      <c r="FB292" s="151"/>
      <c r="FC292" s="151"/>
      <c r="FD292" s="151"/>
      <c r="FE292" s="151"/>
      <c r="FF292" s="151"/>
      <c r="FG292" s="151"/>
      <c r="FH292" s="151"/>
      <c r="FI292" s="151"/>
      <c r="FJ292" s="151"/>
      <c r="FK292" s="151"/>
      <c r="FL292" s="151"/>
      <c r="FM292" s="151"/>
      <c r="FN292" s="151"/>
      <c r="FO292" s="151"/>
      <c r="FP292" s="151"/>
      <c r="FQ292" s="151"/>
      <c r="FR292" s="151"/>
      <c r="FS292" s="151"/>
      <c r="FT292" s="151"/>
      <c r="FU292" s="151"/>
      <c r="FV292" s="151"/>
      <c r="FW292" s="151"/>
      <c r="FX292" s="151"/>
      <c r="FY292" s="151"/>
      <c r="FZ292" s="151"/>
      <c r="GA292" s="151"/>
      <c r="GB292" s="151"/>
      <c r="GC292" s="151"/>
      <c r="GD292" s="151"/>
      <c r="GE292" s="151"/>
      <c r="GF292" s="151"/>
      <c r="GG292" s="152"/>
    </row>
    <row r="293" spans="1:189" x14ac:dyDescent="0.35">
      <c r="A293" s="297" t="s">
        <v>924</v>
      </c>
      <c r="B293" s="298" t="s">
        <v>1082</v>
      </c>
      <c r="C293" s="298"/>
      <c r="D293" s="299"/>
      <c r="E293" s="298" t="s">
        <v>791</v>
      </c>
      <c r="F293" s="298" t="s">
        <v>833</v>
      </c>
      <c r="G293" s="300">
        <v>2</v>
      </c>
      <c r="H293" s="301"/>
      <c r="I293" s="302"/>
      <c r="J293" s="302"/>
      <c r="K293" s="302"/>
      <c r="L293" s="303">
        <v>45995</v>
      </c>
      <c r="M293" s="303">
        <v>46752</v>
      </c>
      <c r="N293" s="303"/>
      <c r="O293" s="303">
        <v>46054</v>
      </c>
      <c r="P293" s="303">
        <v>46934</v>
      </c>
      <c r="Q293" s="304" t="s">
        <v>45</v>
      </c>
      <c r="R293" s="305">
        <v>219130</v>
      </c>
      <c r="S293" s="305">
        <f>219130-SUM(S294:S294)</f>
        <v>169130</v>
      </c>
      <c r="T293" s="305"/>
      <c r="U293" s="191">
        <f t="shared" ref="U293:U376" si="318">IF(Q293="",0,IF(T293="",0,+S293-T293))</f>
        <v>0</v>
      </c>
      <c r="V293" s="306"/>
      <c r="W293" s="307"/>
      <c r="X293" s="46"/>
      <c r="Y293" s="167">
        <f t="shared" ref="Y293:Y376" si="319">IF(G293=2,S293,0)</f>
        <v>169130</v>
      </c>
      <c r="Z293" s="167">
        <f t="shared" ref="Z293:Z376" si="320">IF(Q293="",0,IF(G293=2,T293,0))</f>
        <v>0</v>
      </c>
      <c r="AA293" s="167">
        <f t="shared" ref="AA293:AA376" si="321">Y293-Z293</f>
        <v>169130</v>
      </c>
      <c r="AB293" s="167">
        <f t="shared" ref="AB293:AB376" si="322">IF(G293=1,S293,0)</f>
        <v>0</v>
      </c>
      <c r="AC293" s="167">
        <f t="shared" ref="AC293:AC376" si="323">IF(Q293="",0,IF(G293=1,T293,0))</f>
        <v>0</v>
      </c>
      <c r="AD293" s="167">
        <f t="shared" ref="AD293:AD376" si="324">AB293-AC293</f>
        <v>0</v>
      </c>
      <c r="AF293" s="47">
        <f t="shared" si="308"/>
        <v>1</v>
      </c>
      <c r="AG293" s="202" t="str">
        <f t="shared" si="271"/>
        <v>Rafał Tomczyk Electricity</v>
      </c>
      <c r="AH293" s="172"/>
      <c r="AI293" s="173"/>
      <c r="AJ293" s="173"/>
      <c r="AK293" s="173"/>
      <c r="AL293" s="173"/>
      <c r="AM293" s="173"/>
      <c r="AN293" s="173"/>
      <c r="AO293" s="173"/>
      <c r="AP293" s="173"/>
      <c r="AQ293" s="173"/>
      <c r="AR293" s="173"/>
      <c r="AS293" s="173"/>
      <c r="AT293" s="173"/>
      <c r="AU293" s="173"/>
      <c r="AV293" s="173"/>
      <c r="AW293" s="173"/>
      <c r="AX293" s="173"/>
      <c r="AY293" s="173"/>
      <c r="AZ293" s="173"/>
      <c r="BA293" s="173"/>
      <c r="BB293" s="173"/>
      <c r="BC293" s="173"/>
      <c r="BD293" s="173"/>
      <c r="BE293" s="173"/>
      <c r="BF293" s="173"/>
      <c r="BG293" s="173"/>
      <c r="BH293" s="173"/>
      <c r="BI293" s="173"/>
      <c r="BJ293" s="173"/>
      <c r="BK293" s="173"/>
      <c r="BL293" s="173"/>
      <c r="BM293" s="173"/>
      <c r="BN293" s="173"/>
      <c r="BO293" s="173"/>
      <c r="BP293" s="173"/>
      <c r="BQ293" s="173"/>
      <c r="BR293" s="173"/>
      <c r="BS293" s="173"/>
      <c r="BT293" s="173"/>
      <c r="BU293" s="173"/>
      <c r="BV293" s="173"/>
      <c r="BW293" s="173"/>
      <c r="BX293" s="173"/>
      <c r="BY293" s="173"/>
      <c r="BZ293" s="173"/>
      <c r="CA293" s="173"/>
      <c r="CB293" s="173"/>
      <c r="CC293" s="173"/>
      <c r="CD293" s="173"/>
      <c r="CE293" s="173"/>
      <c r="CF293" s="173"/>
      <c r="CG293" s="173"/>
      <c r="CH293" s="173"/>
      <c r="CI293" s="173"/>
      <c r="CJ293" s="173"/>
      <c r="CK293" s="173"/>
      <c r="CL293" s="173"/>
      <c r="CM293" s="173"/>
      <c r="CN293" s="173"/>
      <c r="CO293" s="173"/>
      <c r="CP293" s="173"/>
      <c r="CQ293" s="173"/>
      <c r="CR293" s="173"/>
      <c r="CS293" s="173"/>
      <c r="CT293" s="173"/>
      <c r="CU293" s="173"/>
      <c r="CV293" s="173"/>
      <c r="CW293" s="173"/>
      <c r="CX293" s="173"/>
      <c r="CY293" s="148"/>
      <c r="CZ293" s="148"/>
      <c r="DA293" s="148"/>
      <c r="DB293" s="148"/>
      <c r="DC293" s="148"/>
      <c r="DD293" s="148"/>
      <c r="DE293" s="148"/>
      <c r="DF293" s="148"/>
      <c r="DG293" s="148"/>
      <c r="DH293" s="148"/>
      <c r="DI293" s="148"/>
      <c r="DJ293" s="148"/>
      <c r="DK293" s="148"/>
      <c r="DL293" s="148"/>
      <c r="DM293" s="148"/>
      <c r="DN293" s="148"/>
      <c r="DO293" s="148"/>
      <c r="DP293" s="148"/>
      <c r="DQ293" s="148"/>
      <c r="DR293" s="148"/>
      <c r="DS293" s="148"/>
      <c r="DT293" s="148"/>
      <c r="DU293" s="148"/>
      <c r="DV293" s="148"/>
      <c r="DW293" s="148"/>
      <c r="DX293" s="148"/>
      <c r="DY293" s="148"/>
      <c r="DZ293" s="148"/>
      <c r="EA293" s="148"/>
      <c r="EB293" s="148"/>
      <c r="EC293" s="148"/>
      <c r="ED293" s="148"/>
      <c r="EE293" s="148"/>
      <c r="EF293" s="148"/>
      <c r="EG293" s="148"/>
      <c r="EH293" s="148"/>
      <c r="EI293" s="148"/>
      <c r="EJ293" s="148"/>
      <c r="EK293" s="148"/>
      <c r="EL293" s="148"/>
      <c r="EM293" s="148"/>
      <c r="EN293" s="148"/>
      <c r="EO293" s="148"/>
      <c r="EP293" s="148"/>
      <c r="EQ293" s="148"/>
      <c r="ER293" s="148"/>
      <c r="ES293" s="148"/>
      <c r="ET293" s="148"/>
      <c r="EU293" s="148"/>
      <c r="EV293" s="148"/>
      <c r="EW293" s="148"/>
      <c r="EX293" s="148"/>
      <c r="EY293" s="148"/>
      <c r="EZ293" s="148"/>
      <c r="FA293" s="148"/>
      <c r="FB293" s="148"/>
      <c r="FC293" s="148"/>
      <c r="FD293" s="148"/>
      <c r="FE293" s="148"/>
      <c r="FF293" s="148"/>
      <c r="FG293" s="148"/>
      <c r="FH293" s="148"/>
      <c r="FI293" s="148"/>
      <c r="FJ293" s="148"/>
      <c r="FK293" s="148"/>
      <c r="FL293" s="148"/>
      <c r="FM293" s="148"/>
      <c r="FN293" s="148"/>
      <c r="FO293" s="148"/>
      <c r="FP293" s="148"/>
      <c r="FQ293" s="148"/>
      <c r="FR293" s="148"/>
      <c r="FS293" s="148"/>
      <c r="FT293" s="148"/>
      <c r="FU293" s="148"/>
      <c r="FV293" s="148"/>
      <c r="FW293" s="148"/>
      <c r="FX293" s="148"/>
      <c r="FY293" s="148"/>
      <c r="FZ293" s="148"/>
      <c r="GA293" s="148"/>
      <c r="GB293" s="148"/>
      <c r="GC293" s="148"/>
      <c r="GD293" s="148"/>
      <c r="GE293" s="148"/>
      <c r="GF293" s="148"/>
      <c r="GG293" s="149"/>
    </row>
    <row r="294" spans="1:189" ht="27.75" x14ac:dyDescent="0.35">
      <c r="A294" s="267" t="s">
        <v>1231</v>
      </c>
      <c r="B294" s="221"/>
      <c r="C294" s="221"/>
      <c r="D294" s="222"/>
      <c r="E294" s="221" t="s">
        <v>1233</v>
      </c>
      <c r="F294" s="221" t="s">
        <v>1234</v>
      </c>
      <c r="G294" s="223">
        <v>2</v>
      </c>
      <c r="H294" s="224" t="s">
        <v>1232</v>
      </c>
      <c r="I294" s="225"/>
      <c r="J294" s="225"/>
      <c r="K294" s="225"/>
      <c r="L294" s="226">
        <v>45995</v>
      </c>
      <c r="M294" s="226">
        <v>46051</v>
      </c>
      <c r="N294" s="226">
        <v>46051</v>
      </c>
      <c r="O294" s="226">
        <v>46054</v>
      </c>
      <c r="P294" s="226">
        <v>46934</v>
      </c>
      <c r="Q294" s="227" t="s">
        <v>20</v>
      </c>
      <c r="R294" s="228"/>
      <c r="S294" s="228">
        <v>50000</v>
      </c>
      <c r="T294" s="228">
        <v>50000</v>
      </c>
      <c r="U294" s="191">
        <f t="shared" si="318"/>
        <v>0</v>
      </c>
      <c r="V294" s="230"/>
      <c r="W294" s="231"/>
      <c r="X294" s="46"/>
      <c r="Y294" s="167">
        <f t="shared" ref="Y294" si="325">IF(G294=2,S294,0)</f>
        <v>50000</v>
      </c>
      <c r="Z294" s="167">
        <f t="shared" ref="Z294" si="326">IF(Q294="",0,IF(G294=2,T294,0))</f>
        <v>50000</v>
      </c>
      <c r="AA294" s="167">
        <f t="shared" ref="AA294" si="327">Y294-Z294</f>
        <v>0</v>
      </c>
      <c r="AB294" s="167">
        <f t="shared" ref="AB294" si="328">IF(G294=1,S294,0)</f>
        <v>0</v>
      </c>
      <c r="AC294" s="167">
        <f t="shared" ref="AC294" si="329">IF(Q294="",0,IF(G294=1,T294,0))</f>
        <v>0</v>
      </c>
      <c r="AD294" s="167">
        <f t="shared" ref="AD294" si="330">AB294-AC294</f>
        <v>0</v>
      </c>
      <c r="AF294" s="47">
        <f t="shared" ref="AF294" si="331">IF(S294&lt;&gt;"",1,0)</f>
        <v>1</v>
      </c>
      <c r="AG294" s="202" t="str">
        <f t="shared" ref="AG294" si="332">B294&amp;" "&amp;F294</f>
        <v xml:space="preserve"> The temporary power sypply installation ECd_26</v>
      </c>
      <c r="AH294" s="153"/>
      <c r="AI294" s="154"/>
      <c r="AJ294" s="154"/>
      <c r="AK294" s="154"/>
      <c r="AL294" s="154"/>
      <c r="AM294" s="154"/>
      <c r="AN294" s="154"/>
      <c r="AO294" s="154"/>
      <c r="AP294" s="154"/>
      <c r="AQ294" s="154"/>
      <c r="AR294" s="154"/>
      <c r="AS294" s="154"/>
      <c r="AT294" s="154"/>
      <c r="AU294" s="154"/>
      <c r="AV294" s="154"/>
      <c r="AW294" s="154"/>
      <c r="AX294" s="154"/>
      <c r="AY294" s="154"/>
      <c r="AZ294" s="154"/>
      <c r="BA294" s="151"/>
      <c r="BB294" s="151"/>
      <c r="BC294" s="151"/>
      <c r="BD294" s="151"/>
      <c r="BE294" s="151"/>
      <c r="BF294" s="151"/>
      <c r="BG294" s="151"/>
      <c r="BH294" s="151"/>
      <c r="BI294" s="151"/>
      <c r="BJ294" s="151"/>
      <c r="BK294" s="151"/>
      <c r="BL294" s="151"/>
      <c r="BM294" s="151"/>
      <c r="BN294" s="151"/>
      <c r="BO294" s="151"/>
      <c r="BP294" s="151"/>
      <c r="BQ294" s="151"/>
      <c r="BR294" s="151"/>
      <c r="BS294" s="151"/>
      <c r="BT294" s="151"/>
      <c r="BU294" s="151"/>
      <c r="BV294" s="151"/>
      <c r="BW294" s="151"/>
      <c r="BX294" s="151"/>
      <c r="BY294" s="151"/>
      <c r="BZ294" s="151"/>
      <c r="CA294" s="151"/>
      <c r="CB294" s="151"/>
      <c r="CC294" s="151"/>
      <c r="CD294" s="151"/>
      <c r="CE294" s="151"/>
      <c r="CF294" s="151"/>
      <c r="CG294" s="151"/>
      <c r="CH294" s="151"/>
      <c r="CI294" s="151"/>
      <c r="CJ294" s="151"/>
      <c r="CK294" s="151"/>
      <c r="CL294" s="151"/>
      <c r="CM294" s="151"/>
      <c r="CN294" s="151"/>
      <c r="CO294" s="151"/>
      <c r="CP294" s="151"/>
      <c r="CQ294" s="151"/>
      <c r="CR294" s="151"/>
      <c r="CS294" s="151"/>
      <c r="CT294" s="151"/>
      <c r="CU294" s="151"/>
      <c r="CV294" s="151"/>
      <c r="CW294" s="151"/>
      <c r="CX294" s="151"/>
      <c r="CY294" s="151"/>
      <c r="CZ294" s="151"/>
      <c r="DA294" s="151"/>
      <c r="DB294" s="151"/>
      <c r="DC294" s="151"/>
      <c r="DD294" s="151"/>
      <c r="DE294" s="151"/>
      <c r="DF294" s="151"/>
      <c r="DG294" s="151"/>
      <c r="DH294" s="151"/>
      <c r="DI294" s="151"/>
      <c r="DJ294" s="151"/>
      <c r="DK294" s="151"/>
      <c r="DL294" s="151"/>
      <c r="DM294" s="151"/>
      <c r="DN294" s="151"/>
      <c r="DO294" s="151"/>
      <c r="DP294" s="151"/>
      <c r="DQ294" s="151"/>
      <c r="DR294" s="151"/>
      <c r="DS294" s="151"/>
      <c r="DT294" s="151"/>
      <c r="DU294" s="151"/>
      <c r="DV294" s="151"/>
      <c r="DW294" s="151"/>
      <c r="DX294" s="151"/>
      <c r="DY294" s="151"/>
      <c r="DZ294" s="151"/>
      <c r="EA294" s="151"/>
      <c r="EB294" s="151"/>
      <c r="EC294" s="151"/>
      <c r="ED294" s="151"/>
      <c r="EE294" s="151"/>
      <c r="EF294" s="151"/>
      <c r="EG294" s="151"/>
      <c r="EH294" s="151"/>
      <c r="EI294" s="151"/>
      <c r="EJ294" s="151"/>
      <c r="EK294" s="151"/>
      <c r="EL294" s="151"/>
      <c r="EM294" s="151"/>
      <c r="EN294" s="151"/>
      <c r="EO294" s="151"/>
      <c r="EP294" s="151"/>
      <c r="EQ294" s="151"/>
      <c r="ER294" s="151"/>
      <c r="ES294" s="151"/>
      <c r="ET294" s="151"/>
      <c r="EU294" s="151"/>
      <c r="EV294" s="151"/>
      <c r="EW294" s="151"/>
      <c r="EX294" s="151"/>
      <c r="EY294" s="151"/>
      <c r="EZ294" s="151"/>
      <c r="FA294" s="151"/>
      <c r="FB294" s="151"/>
      <c r="FC294" s="151"/>
      <c r="FD294" s="151"/>
      <c r="FE294" s="151"/>
      <c r="FF294" s="151"/>
      <c r="FG294" s="151"/>
      <c r="FH294" s="151"/>
      <c r="FI294" s="151"/>
      <c r="FJ294" s="151"/>
      <c r="FK294" s="151"/>
      <c r="FL294" s="151"/>
      <c r="FM294" s="151"/>
      <c r="FN294" s="151"/>
      <c r="FO294" s="151"/>
      <c r="FP294" s="151"/>
      <c r="FQ294" s="151"/>
      <c r="FR294" s="151"/>
      <c r="FS294" s="151"/>
      <c r="FT294" s="151"/>
      <c r="FU294" s="151"/>
      <c r="FV294" s="151"/>
      <c r="FW294" s="151"/>
      <c r="FX294" s="151"/>
      <c r="FY294" s="151"/>
      <c r="FZ294" s="151"/>
      <c r="GA294" s="151"/>
      <c r="GB294" s="151"/>
      <c r="GC294" s="151"/>
      <c r="GD294" s="151"/>
      <c r="GE294" s="151"/>
      <c r="GF294" s="151"/>
      <c r="GG294" s="152"/>
    </row>
    <row r="295" spans="1:189" x14ac:dyDescent="0.35">
      <c r="A295" s="297" t="s">
        <v>925</v>
      </c>
      <c r="B295" s="298"/>
      <c r="C295" s="298"/>
      <c r="D295" s="299"/>
      <c r="E295" s="298" t="s">
        <v>792</v>
      </c>
      <c r="F295" s="298" t="s">
        <v>834</v>
      </c>
      <c r="G295" s="300">
        <v>2</v>
      </c>
      <c r="H295" s="301"/>
      <c r="I295" s="302"/>
      <c r="J295" s="302"/>
      <c r="K295" s="302"/>
      <c r="L295" s="303">
        <v>45995</v>
      </c>
      <c r="M295" s="303">
        <v>46752</v>
      </c>
      <c r="N295" s="303"/>
      <c r="O295" s="303">
        <v>46054</v>
      </c>
      <c r="P295" s="303">
        <v>46934</v>
      </c>
      <c r="Q295" s="304" t="s">
        <v>45</v>
      </c>
      <c r="R295" s="305">
        <v>108800</v>
      </c>
      <c r="S295" s="305">
        <f>108800-SUM(S296:S296)</f>
        <v>100300</v>
      </c>
      <c r="T295" s="305"/>
      <c r="U295" s="191">
        <f t="shared" si="318"/>
        <v>0</v>
      </c>
      <c r="V295" s="306"/>
      <c r="W295" s="307"/>
      <c r="X295" s="46"/>
      <c r="Y295" s="167">
        <f t="shared" si="319"/>
        <v>100300</v>
      </c>
      <c r="Z295" s="167">
        <f t="shared" si="320"/>
        <v>0</v>
      </c>
      <c r="AA295" s="167">
        <f t="shared" si="321"/>
        <v>100300</v>
      </c>
      <c r="AB295" s="167">
        <f t="shared" si="322"/>
        <v>0</v>
      </c>
      <c r="AC295" s="167">
        <f t="shared" si="323"/>
        <v>0</v>
      </c>
      <c r="AD295" s="167">
        <f t="shared" si="324"/>
        <v>0</v>
      </c>
      <c r="AF295" s="47">
        <f t="shared" si="308"/>
        <v>1</v>
      </c>
      <c r="AG295" s="202" t="str">
        <f t="shared" si="271"/>
        <v xml:space="preserve"> Potable Water Cost</v>
      </c>
      <c r="AH295" s="172"/>
      <c r="AI295" s="173"/>
      <c r="AJ295" s="173"/>
      <c r="AK295" s="173"/>
      <c r="AL295" s="173"/>
      <c r="AM295" s="173"/>
      <c r="AN295" s="173"/>
      <c r="AO295" s="173"/>
      <c r="AP295" s="173"/>
      <c r="AQ295" s="173"/>
      <c r="AR295" s="173"/>
      <c r="AS295" s="173"/>
      <c r="AT295" s="173"/>
      <c r="AU295" s="173"/>
      <c r="AV295" s="173"/>
      <c r="AW295" s="173"/>
      <c r="AX295" s="173"/>
      <c r="AY295" s="173"/>
      <c r="AZ295" s="173"/>
      <c r="BA295" s="173"/>
      <c r="BB295" s="173"/>
      <c r="BC295" s="173"/>
      <c r="BD295" s="173"/>
      <c r="BE295" s="173"/>
      <c r="BF295" s="173"/>
      <c r="BG295" s="173"/>
      <c r="BH295" s="173"/>
      <c r="BI295" s="173"/>
      <c r="BJ295" s="173"/>
      <c r="BK295" s="173"/>
      <c r="BL295" s="173"/>
      <c r="BM295" s="173"/>
      <c r="BN295" s="173"/>
      <c r="BO295" s="173"/>
      <c r="BP295" s="173"/>
      <c r="BQ295" s="173"/>
      <c r="BR295" s="173"/>
      <c r="BS295" s="173"/>
      <c r="BT295" s="173"/>
      <c r="BU295" s="173"/>
      <c r="BV295" s="173"/>
      <c r="BW295" s="173"/>
      <c r="BX295" s="173"/>
      <c r="BY295" s="173"/>
      <c r="BZ295" s="173"/>
      <c r="CA295" s="173"/>
      <c r="CB295" s="173"/>
      <c r="CC295" s="173"/>
      <c r="CD295" s="173"/>
      <c r="CE295" s="173"/>
      <c r="CF295" s="173"/>
      <c r="CG295" s="173"/>
      <c r="CH295" s="173"/>
      <c r="CI295" s="173"/>
      <c r="CJ295" s="173"/>
      <c r="CK295" s="173"/>
      <c r="CL295" s="173"/>
      <c r="CM295" s="173"/>
      <c r="CN295" s="173"/>
      <c r="CO295" s="173"/>
      <c r="CP295" s="173"/>
      <c r="CQ295" s="173"/>
      <c r="CR295" s="173"/>
      <c r="CS295" s="173"/>
      <c r="CT295" s="173"/>
      <c r="CU295" s="173"/>
      <c r="CV295" s="173"/>
      <c r="CW295" s="173"/>
      <c r="CX295" s="173"/>
      <c r="CY295" s="148"/>
      <c r="CZ295" s="148"/>
      <c r="DA295" s="148"/>
      <c r="DB295" s="148"/>
      <c r="DC295" s="148"/>
      <c r="DD295" s="148"/>
      <c r="DE295" s="148"/>
      <c r="DF295" s="148"/>
      <c r="DG295" s="148"/>
      <c r="DH295" s="148"/>
      <c r="DI295" s="148"/>
      <c r="DJ295" s="148"/>
      <c r="DK295" s="148"/>
      <c r="DL295" s="148"/>
      <c r="DM295" s="148"/>
      <c r="DN295" s="148"/>
      <c r="DO295" s="148"/>
      <c r="DP295" s="148"/>
      <c r="DQ295" s="148"/>
      <c r="DR295" s="148"/>
      <c r="DS295" s="148"/>
      <c r="DT295" s="148"/>
      <c r="DU295" s="148"/>
      <c r="DV295" s="148"/>
      <c r="DW295" s="148"/>
      <c r="DX295" s="148"/>
      <c r="DY295" s="148"/>
      <c r="DZ295" s="148"/>
      <c r="EA295" s="148"/>
      <c r="EB295" s="148"/>
      <c r="EC295" s="148"/>
      <c r="ED295" s="148"/>
      <c r="EE295" s="148"/>
      <c r="EF295" s="148"/>
      <c r="EG295" s="148"/>
      <c r="EH295" s="148"/>
      <c r="EI295" s="148"/>
      <c r="EJ295" s="148"/>
      <c r="EK295" s="148"/>
      <c r="EL295" s="148"/>
      <c r="EM295" s="148"/>
      <c r="EN295" s="148"/>
      <c r="EO295" s="148"/>
      <c r="EP295" s="148"/>
      <c r="EQ295" s="148"/>
      <c r="ER295" s="148"/>
      <c r="ES295" s="148"/>
      <c r="ET295" s="148"/>
      <c r="EU295" s="148"/>
      <c r="EV295" s="148"/>
      <c r="EW295" s="148"/>
      <c r="EX295" s="148"/>
      <c r="EY295" s="148"/>
      <c r="EZ295" s="148"/>
      <c r="FA295" s="148"/>
      <c r="FB295" s="148"/>
      <c r="FC295" s="148"/>
      <c r="FD295" s="148"/>
      <c r="FE295" s="148"/>
      <c r="FF295" s="148"/>
      <c r="FG295" s="148"/>
      <c r="FH295" s="148"/>
      <c r="FI295" s="148"/>
      <c r="FJ295" s="148"/>
      <c r="FK295" s="148"/>
      <c r="FL295" s="148"/>
      <c r="FM295" s="148"/>
      <c r="FN295" s="148"/>
      <c r="FO295" s="148"/>
      <c r="FP295" s="148"/>
      <c r="FQ295" s="148"/>
      <c r="FR295" s="148"/>
      <c r="FS295" s="148"/>
      <c r="FT295" s="148"/>
      <c r="FU295" s="148"/>
      <c r="FV295" s="148"/>
      <c r="FW295" s="148"/>
      <c r="FX295" s="148"/>
      <c r="FY295" s="148"/>
      <c r="FZ295" s="148"/>
      <c r="GA295" s="148"/>
      <c r="GB295" s="148"/>
      <c r="GC295" s="148"/>
      <c r="GD295" s="148"/>
      <c r="GE295" s="148"/>
      <c r="GF295" s="148"/>
      <c r="GG295" s="149"/>
    </row>
    <row r="296" spans="1:189" ht="27.75" x14ac:dyDescent="0.35">
      <c r="A296" s="267" t="s">
        <v>1242</v>
      </c>
      <c r="B296" s="221"/>
      <c r="C296" s="221"/>
      <c r="D296" s="222"/>
      <c r="E296" s="221" t="s">
        <v>1241</v>
      </c>
      <c r="F296" s="221" t="s">
        <v>1240</v>
      </c>
      <c r="G296" s="223">
        <v>2</v>
      </c>
      <c r="H296" s="224" t="s">
        <v>1243</v>
      </c>
      <c r="I296" s="225"/>
      <c r="J296" s="225"/>
      <c r="K296" s="225"/>
      <c r="L296" s="226">
        <v>45995</v>
      </c>
      <c r="M296" s="226">
        <v>46057</v>
      </c>
      <c r="N296" s="226"/>
      <c r="O296" s="226">
        <v>46057</v>
      </c>
      <c r="P296" s="226">
        <v>46934</v>
      </c>
      <c r="Q296" s="227" t="s">
        <v>20</v>
      </c>
      <c r="R296" s="228"/>
      <c r="S296" s="228">
        <v>8500</v>
      </c>
      <c r="T296" s="228">
        <v>8500</v>
      </c>
      <c r="U296" s="191">
        <f t="shared" ref="U296" si="333">IF(Q296="",0,IF(T296="",0,+S296-T296))</f>
        <v>0</v>
      </c>
      <c r="V296" s="230"/>
      <c r="W296" s="231"/>
      <c r="X296" s="46"/>
      <c r="Y296" s="167">
        <f t="shared" ref="Y296" si="334">IF(G296=2,S296,0)</f>
        <v>8500</v>
      </c>
      <c r="Z296" s="167">
        <f t="shared" ref="Z296" si="335">IF(Q296="",0,IF(G296=2,T296,0))</f>
        <v>8500</v>
      </c>
      <c r="AA296" s="167">
        <f t="shared" ref="AA296" si="336">Y296-Z296</f>
        <v>0</v>
      </c>
      <c r="AB296" s="167">
        <f t="shared" ref="AB296" si="337">IF(G296=1,S296,0)</f>
        <v>0</v>
      </c>
      <c r="AC296" s="167">
        <f t="shared" ref="AC296" si="338">IF(Q296="",0,IF(G296=1,T296,0))</f>
        <v>0</v>
      </c>
      <c r="AD296" s="167">
        <f t="shared" ref="AD296" si="339">AB296-AC296</f>
        <v>0</v>
      </c>
      <c r="AF296" s="47">
        <f t="shared" ref="AF296" si="340">IF(S296&lt;&gt;"",1,0)</f>
        <v>1</v>
      </c>
      <c r="AG296" s="202" t="str">
        <f t="shared" ref="AG296" si="341">B296&amp;" "&amp;F296</f>
        <v xml:space="preserve"> Drinking water machine rental ECd_29</v>
      </c>
      <c r="AH296" s="153"/>
      <c r="AI296" s="154"/>
      <c r="AJ296" s="154"/>
      <c r="AK296" s="154"/>
      <c r="AL296" s="154"/>
      <c r="AM296" s="154"/>
      <c r="AN296" s="154"/>
      <c r="AO296" s="154"/>
      <c r="AP296" s="154"/>
      <c r="AQ296" s="154"/>
      <c r="AR296" s="154"/>
      <c r="AS296" s="154"/>
      <c r="AT296" s="154"/>
      <c r="AU296" s="154"/>
      <c r="AV296" s="154"/>
      <c r="AW296" s="154"/>
      <c r="AX296" s="154"/>
      <c r="AY296" s="154"/>
      <c r="AZ296" s="154"/>
      <c r="BA296" s="151"/>
      <c r="BB296" s="151"/>
      <c r="BC296" s="151"/>
      <c r="BD296" s="151"/>
      <c r="BE296" s="151"/>
      <c r="BF296" s="151"/>
      <c r="BG296" s="151"/>
      <c r="BH296" s="151"/>
      <c r="BI296" s="151"/>
      <c r="BJ296" s="151"/>
      <c r="BK296" s="151"/>
      <c r="BL296" s="151"/>
      <c r="BM296" s="151"/>
      <c r="BN296" s="151"/>
      <c r="BO296" s="151"/>
      <c r="BP296" s="151"/>
      <c r="BQ296" s="151"/>
      <c r="BR296" s="151"/>
      <c r="BS296" s="151"/>
      <c r="BT296" s="151"/>
      <c r="BU296" s="151"/>
      <c r="BV296" s="151"/>
      <c r="BW296" s="151"/>
      <c r="BX296" s="151"/>
      <c r="BY296" s="151"/>
      <c r="BZ296" s="151"/>
      <c r="CA296" s="151"/>
      <c r="CB296" s="151"/>
      <c r="CC296" s="151"/>
      <c r="CD296" s="151"/>
      <c r="CE296" s="151"/>
      <c r="CF296" s="151"/>
      <c r="CG296" s="151"/>
      <c r="CH296" s="151"/>
      <c r="CI296" s="151"/>
      <c r="CJ296" s="151"/>
      <c r="CK296" s="151"/>
      <c r="CL296" s="151"/>
      <c r="CM296" s="151"/>
      <c r="CN296" s="151"/>
      <c r="CO296" s="151"/>
      <c r="CP296" s="151"/>
      <c r="CQ296" s="151"/>
      <c r="CR296" s="151"/>
      <c r="CS296" s="151"/>
      <c r="CT296" s="151"/>
      <c r="CU296" s="151"/>
      <c r="CV296" s="151"/>
      <c r="CW296" s="151"/>
      <c r="CX296" s="151"/>
      <c r="CY296" s="151"/>
      <c r="CZ296" s="151"/>
      <c r="DA296" s="151"/>
      <c r="DB296" s="151"/>
      <c r="DC296" s="151"/>
      <c r="DD296" s="151"/>
      <c r="DE296" s="151"/>
      <c r="DF296" s="151"/>
      <c r="DG296" s="151"/>
      <c r="DH296" s="151"/>
      <c r="DI296" s="151"/>
      <c r="DJ296" s="151"/>
      <c r="DK296" s="151"/>
      <c r="DL296" s="151"/>
      <c r="DM296" s="151"/>
      <c r="DN296" s="151"/>
      <c r="DO296" s="151"/>
      <c r="DP296" s="151"/>
      <c r="DQ296" s="151"/>
      <c r="DR296" s="151"/>
      <c r="DS296" s="151"/>
      <c r="DT296" s="151"/>
      <c r="DU296" s="151"/>
      <c r="DV296" s="151"/>
      <c r="DW296" s="151"/>
      <c r="DX296" s="151"/>
      <c r="DY296" s="151"/>
      <c r="DZ296" s="151"/>
      <c r="EA296" s="151"/>
      <c r="EB296" s="151"/>
      <c r="EC296" s="151"/>
      <c r="ED296" s="151"/>
      <c r="EE296" s="151"/>
      <c r="EF296" s="151"/>
      <c r="EG296" s="151"/>
      <c r="EH296" s="151"/>
      <c r="EI296" s="151"/>
      <c r="EJ296" s="151"/>
      <c r="EK296" s="151"/>
      <c r="EL296" s="151"/>
      <c r="EM296" s="151"/>
      <c r="EN296" s="151"/>
      <c r="EO296" s="151"/>
      <c r="EP296" s="151"/>
      <c r="EQ296" s="151"/>
      <c r="ER296" s="151"/>
      <c r="ES296" s="151"/>
      <c r="ET296" s="151"/>
      <c r="EU296" s="151"/>
      <c r="EV296" s="151"/>
      <c r="EW296" s="151"/>
      <c r="EX296" s="151"/>
      <c r="EY296" s="151"/>
      <c r="EZ296" s="151"/>
      <c r="FA296" s="151"/>
      <c r="FB296" s="151"/>
      <c r="FC296" s="151"/>
      <c r="FD296" s="151"/>
      <c r="FE296" s="151"/>
      <c r="FF296" s="151"/>
      <c r="FG296" s="151"/>
      <c r="FH296" s="151"/>
      <c r="FI296" s="151"/>
      <c r="FJ296" s="151"/>
      <c r="FK296" s="151"/>
      <c r="FL296" s="151"/>
      <c r="FM296" s="151"/>
      <c r="FN296" s="151"/>
      <c r="FO296" s="151"/>
      <c r="FP296" s="151"/>
      <c r="FQ296" s="151"/>
      <c r="FR296" s="151"/>
      <c r="FS296" s="151"/>
      <c r="FT296" s="151"/>
      <c r="FU296" s="151"/>
      <c r="FV296" s="151"/>
      <c r="FW296" s="151"/>
      <c r="FX296" s="151"/>
      <c r="FY296" s="151"/>
      <c r="FZ296" s="151"/>
      <c r="GA296" s="151"/>
      <c r="GB296" s="151"/>
      <c r="GC296" s="151"/>
      <c r="GD296" s="151"/>
      <c r="GE296" s="151"/>
      <c r="GF296" s="151"/>
      <c r="GG296" s="152"/>
    </row>
    <row r="297" spans="1:189" x14ac:dyDescent="0.35">
      <c r="A297" s="297" t="s">
        <v>926</v>
      </c>
      <c r="B297" s="298"/>
      <c r="C297" s="298"/>
      <c r="D297" s="299"/>
      <c r="E297" s="298" t="s">
        <v>815</v>
      </c>
      <c r="F297" s="298" t="s">
        <v>835</v>
      </c>
      <c r="G297" s="300">
        <v>2</v>
      </c>
      <c r="H297" s="301"/>
      <c r="I297" s="302"/>
      <c r="J297" s="302"/>
      <c r="K297" s="302"/>
      <c r="L297" s="303">
        <v>45995</v>
      </c>
      <c r="M297" s="303">
        <v>46752</v>
      </c>
      <c r="N297" s="303"/>
      <c r="O297" s="303">
        <v>46054</v>
      </c>
      <c r="P297" s="303">
        <v>46934</v>
      </c>
      <c r="Q297" s="304" t="s">
        <v>45</v>
      </c>
      <c r="R297" s="305">
        <v>157760</v>
      </c>
      <c r="S297" s="305">
        <f>157760-SUM(S298)</f>
        <v>90880</v>
      </c>
      <c r="T297" s="305"/>
      <c r="U297" s="191">
        <f t="shared" si="318"/>
        <v>0</v>
      </c>
      <c r="V297" s="306"/>
      <c r="W297" s="307"/>
      <c r="X297" s="46"/>
      <c r="Y297" s="167">
        <f t="shared" si="319"/>
        <v>90880</v>
      </c>
      <c r="Z297" s="167">
        <f t="shared" si="320"/>
        <v>0</v>
      </c>
      <c r="AA297" s="167">
        <f t="shared" si="321"/>
        <v>90880</v>
      </c>
      <c r="AB297" s="167">
        <f t="shared" si="322"/>
        <v>0</v>
      </c>
      <c r="AC297" s="167">
        <f t="shared" si="323"/>
        <v>0</v>
      </c>
      <c r="AD297" s="167">
        <f t="shared" si="324"/>
        <v>0</v>
      </c>
      <c r="AF297" s="47">
        <f t="shared" si="308"/>
        <v>1</v>
      </c>
      <c r="AG297" s="202" t="str">
        <f t="shared" si="271"/>
        <v xml:space="preserve"> Sewage/Septic Tank Removal</v>
      </c>
      <c r="AH297" s="172"/>
      <c r="AI297" s="173"/>
      <c r="AJ297" s="173"/>
      <c r="AK297" s="173"/>
      <c r="AL297" s="173"/>
      <c r="AM297" s="173"/>
      <c r="AN297" s="173"/>
      <c r="AO297" s="173"/>
      <c r="AP297" s="173"/>
      <c r="AQ297" s="173"/>
      <c r="AR297" s="173"/>
      <c r="AS297" s="173"/>
      <c r="AT297" s="173"/>
      <c r="AU297" s="173"/>
      <c r="AV297" s="173"/>
      <c r="AW297" s="173"/>
      <c r="AX297" s="173"/>
      <c r="AY297" s="173"/>
      <c r="AZ297" s="173"/>
      <c r="BA297" s="173"/>
      <c r="BB297" s="173"/>
      <c r="BC297" s="173"/>
      <c r="BD297" s="173"/>
      <c r="BE297" s="173"/>
      <c r="BF297" s="173"/>
      <c r="BG297" s="173"/>
      <c r="BH297" s="173"/>
      <c r="BI297" s="173"/>
      <c r="BJ297" s="173"/>
      <c r="BK297" s="173"/>
      <c r="BL297" s="173"/>
      <c r="BM297" s="173"/>
      <c r="BN297" s="173"/>
      <c r="BO297" s="173"/>
      <c r="BP297" s="173"/>
      <c r="BQ297" s="173"/>
      <c r="BR297" s="173"/>
      <c r="BS297" s="173"/>
      <c r="BT297" s="173"/>
      <c r="BU297" s="173"/>
      <c r="BV297" s="173"/>
      <c r="BW297" s="173"/>
      <c r="BX297" s="173"/>
      <c r="BY297" s="173"/>
      <c r="BZ297" s="173"/>
      <c r="CA297" s="173"/>
      <c r="CB297" s="173"/>
      <c r="CC297" s="173"/>
      <c r="CD297" s="173"/>
      <c r="CE297" s="173"/>
      <c r="CF297" s="173"/>
      <c r="CG297" s="173"/>
      <c r="CH297" s="173"/>
      <c r="CI297" s="173"/>
      <c r="CJ297" s="173"/>
      <c r="CK297" s="173"/>
      <c r="CL297" s="173"/>
      <c r="CM297" s="173"/>
      <c r="CN297" s="173"/>
      <c r="CO297" s="173"/>
      <c r="CP297" s="173"/>
      <c r="CQ297" s="173"/>
      <c r="CR297" s="173"/>
      <c r="CS297" s="173"/>
      <c r="CT297" s="173"/>
      <c r="CU297" s="173"/>
      <c r="CV297" s="173"/>
      <c r="CW297" s="173"/>
      <c r="CX297" s="173"/>
      <c r="CY297" s="148"/>
      <c r="CZ297" s="148"/>
      <c r="DA297" s="148"/>
      <c r="DB297" s="148"/>
      <c r="DC297" s="148"/>
      <c r="DD297" s="148"/>
      <c r="DE297" s="148"/>
      <c r="DF297" s="148"/>
      <c r="DG297" s="148"/>
      <c r="DH297" s="148"/>
      <c r="DI297" s="148"/>
      <c r="DJ297" s="148"/>
      <c r="DK297" s="148"/>
      <c r="DL297" s="148"/>
      <c r="DM297" s="148"/>
      <c r="DN297" s="148"/>
      <c r="DO297" s="148"/>
      <c r="DP297" s="148"/>
      <c r="DQ297" s="148"/>
      <c r="DR297" s="148"/>
      <c r="DS297" s="148"/>
      <c r="DT297" s="148"/>
      <c r="DU297" s="148"/>
      <c r="DV297" s="148"/>
      <c r="DW297" s="148"/>
      <c r="DX297" s="148"/>
      <c r="DY297" s="148"/>
      <c r="DZ297" s="148"/>
      <c r="EA297" s="148"/>
      <c r="EB297" s="148"/>
      <c r="EC297" s="148"/>
      <c r="ED297" s="148"/>
      <c r="EE297" s="148"/>
      <c r="EF297" s="148"/>
      <c r="EG297" s="148"/>
      <c r="EH297" s="148"/>
      <c r="EI297" s="148"/>
      <c r="EJ297" s="148"/>
      <c r="EK297" s="148"/>
      <c r="EL297" s="148"/>
      <c r="EM297" s="148"/>
      <c r="EN297" s="148"/>
      <c r="EO297" s="148"/>
      <c r="EP297" s="148"/>
      <c r="EQ297" s="148"/>
      <c r="ER297" s="148"/>
      <c r="ES297" s="148"/>
      <c r="ET297" s="148"/>
      <c r="EU297" s="148"/>
      <c r="EV297" s="148"/>
      <c r="EW297" s="148"/>
      <c r="EX297" s="148"/>
      <c r="EY297" s="148"/>
      <c r="EZ297" s="148"/>
      <c r="FA297" s="148"/>
      <c r="FB297" s="148"/>
      <c r="FC297" s="148"/>
      <c r="FD297" s="148"/>
      <c r="FE297" s="148"/>
      <c r="FF297" s="148"/>
      <c r="FG297" s="148"/>
      <c r="FH297" s="148"/>
      <c r="FI297" s="148"/>
      <c r="FJ297" s="148"/>
      <c r="FK297" s="148"/>
      <c r="FL297" s="148"/>
      <c r="FM297" s="148"/>
      <c r="FN297" s="148"/>
      <c r="FO297" s="148"/>
      <c r="FP297" s="148"/>
      <c r="FQ297" s="148"/>
      <c r="FR297" s="148"/>
      <c r="FS297" s="148"/>
      <c r="FT297" s="148"/>
      <c r="FU297" s="148"/>
      <c r="FV297" s="148"/>
      <c r="FW297" s="148"/>
      <c r="FX297" s="148"/>
      <c r="FY297" s="148"/>
      <c r="FZ297" s="148"/>
      <c r="GA297" s="148"/>
      <c r="GB297" s="148"/>
      <c r="GC297" s="148"/>
      <c r="GD297" s="148"/>
      <c r="GE297" s="148"/>
      <c r="GF297" s="148"/>
      <c r="GG297" s="149"/>
    </row>
    <row r="298" spans="1:189" ht="27.75" x14ac:dyDescent="0.35">
      <c r="A298" s="267" t="s">
        <v>1211</v>
      </c>
      <c r="B298" s="221"/>
      <c r="C298" s="221"/>
      <c r="D298" s="222"/>
      <c r="E298" s="221" t="s">
        <v>1205</v>
      </c>
      <c r="F298" s="221" t="s">
        <v>1206</v>
      </c>
      <c r="G298" s="223">
        <v>2</v>
      </c>
      <c r="H298" s="224" t="s">
        <v>1204</v>
      </c>
      <c r="I298" s="225"/>
      <c r="J298" s="225"/>
      <c r="K298" s="225"/>
      <c r="L298" s="226">
        <v>45995</v>
      </c>
      <c r="M298" s="226">
        <v>46752</v>
      </c>
      <c r="N298" s="226">
        <v>46022</v>
      </c>
      <c r="O298" s="226">
        <v>46054</v>
      </c>
      <c r="P298" s="226">
        <v>46934</v>
      </c>
      <c r="Q298" s="227" t="s">
        <v>20</v>
      </c>
      <c r="R298" s="228"/>
      <c r="S298" s="228">
        <v>66880</v>
      </c>
      <c r="T298" s="228">
        <v>66880</v>
      </c>
      <c r="U298" s="191">
        <f t="shared" si="318"/>
        <v>0</v>
      </c>
      <c r="V298" s="230"/>
      <c r="W298" s="232"/>
      <c r="X298" s="46"/>
      <c r="Y298" s="167">
        <f t="shared" si="319"/>
        <v>66880</v>
      </c>
      <c r="Z298" s="167">
        <f t="shared" si="320"/>
        <v>66880</v>
      </c>
      <c r="AA298" s="167">
        <f t="shared" si="321"/>
        <v>0</v>
      </c>
      <c r="AB298" s="167">
        <f t="shared" si="322"/>
        <v>0</v>
      </c>
      <c r="AC298" s="167">
        <f t="shared" si="323"/>
        <v>0</v>
      </c>
      <c r="AD298" s="167">
        <f t="shared" si="324"/>
        <v>0</v>
      </c>
      <c r="AF298" s="47">
        <f t="shared" ref="AF298:AF327" si="342">IF(S298&lt;&gt;"",1,0)</f>
        <v>1</v>
      </c>
      <c r="AG298" s="202" t="str">
        <f t="shared" ref="AG298:AG327" si="343">B298&amp;" "&amp;F298</f>
        <v xml:space="preserve"> Water consumption and sewage disposal ECd_21</v>
      </c>
      <c r="AH298" s="153"/>
      <c r="AI298" s="154"/>
      <c r="AJ298" s="154"/>
      <c r="AK298" s="154"/>
      <c r="AL298" s="154"/>
      <c r="AM298" s="154"/>
      <c r="AN298" s="154"/>
      <c r="AO298" s="154"/>
      <c r="AP298" s="154"/>
      <c r="AQ298" s="154"/>
      <c r="AR298" s="154"/>
      <c r="AS298" s="154"/>
      <c r="AT298" s="154"/>
      <c r="AU298" s="154"/>
      <c r="AV298" s="154"/>
      <c r="AW298" s="154"/>
      <c r="AX298" s="154"/>
      <c r="AY298" s="154"/>
      <c r="AZ298" s="154"/>
      <c r="BA298" s="151"/>
      <c r="BB298" s="151"/>
      <c r="BC298" s="151"/>
      <c r="BD298" s="151"/>
      <c r="BE298" s="151"/>
      <c r="BF298" s="151"/>
      <c r="BG298" s="151"/>
      <c r="BH298" s="151"/>
      <c r="BI298" s="151"/>
      <c r="BJ298" s="151"/>
      <c r="BK298" s="151"/>
      <c r="BL298" s="151"/>
      <c r="BM298" s="151"/>
      <c r="BN298" s="151"/>
      <c r="BO298" s="151"/>
      <c r="BP298" s="151"/>
      <c r="BQ298" s="151"/>
      <c r="BR298" s="151"/>
      <c r="BS298" s="151"/>
      <c r="BT298" s="151"/>
      <c r="BU298" s="151"/>
      <c r="BV298" s="151"/>
      <c r="BW298" s="151"/>
      <c r="BX298" s="151"/>
      <c r="BY298" s="151"/>
      <c r="BZ298" s="151"/>
      <c r="CA298" s="151"/>
      <c r="CB298" s="151"/>
      <c r="CC298" s="151"/>
      <c r="CD298" s="151"/>
      <c r="CE298" s="151"/>
      <c r="CF298" s="151"/>
      <c r="CG298" s="151"/>
      <c r="CH298" s="151"/>
      <c r="CI298" s="151"/>
      <c r="CJ298" s="151"/>
      <c r="CK298" s="151"/>
      <c r="CL298" s="151"/>
      <c r="CM298" s="151"/>
      <c r="CN298" s="151"/>
      <c r="CO298" s="151"/>
      <c r="CP298" s="151"/>
      <c r="CQ298" s="151"/>
      <c r="CR298" s="151"/>
      <c r="CS298" s="151"/>
      <c r="CT298" s="151"/>
      <c r="CU298" s="151"/>
      <c r="CV298" s="151"/>
      <c r="CW298" s="151"/>
      <c r="CX298" s="151"/>
      <c r="CY298" s="151"/>
      <c r="CZ298" s="151"/>
      <c r="DA298" s="151"/>
      <c r="DB298" s="151"/>
      <c r="DC298" s="151"/>
      <c r="DD298" s="151"/>
      <c r="DE298" s="151"/>
      <c r="DF298" s="151"/>
      <c r="DG298" s="151"/>
      <c r="DH298" s="151"/>
      <c r="DI298" s="151"/>
      <c r="DJ298" s="151"/>
      <c r="DK298" s="151"/>
      <c r="DL298" s="151"/>
      <c r="DM298" s="151"/>
      <c r="DN298" s="151"/>
      <c r="DO298" s="151"/>
      <c r="DP298" s="151"/>
      <c r="DQ298" s="151"/>
      <c r="DR298" s="151"/>
      <c r="DS298" s="151"/>
      <c r="DT298" s="151"/>
      <c r="DU298" s="151"/>
      <c r="DV298" s="151"/>
      <c r="DW298" s="151"/>
      <c r="DX298" s="151"/>
      <c r="DY298" s="151"/>
      <c r="DZ298" s="151"/>
      <c r="EA298" s="151"/>
      <c r="EB298" s="151"/>
      <c r="EC298" s="151"/>
      <c r="ED298" s="151"/>
      <c r="EE298" s="151"/>
      <c r="EF298" s="151"/>
      <c r="EG298" s="151"/>
      <c r="EH298" s="151"/>
      <c r="EI298" s="151"/>
      <c r="EJ298" s="151"/>
      <c r="EK298" s="151"/>
      <c r="EL298" s="151"/>
      <c r="EM298" s="151"/>
      <c r="EN298" s="151"/>
      <c r="EO298" s="151"/>
      <c r="EP298" s="151"/>
      <c r="EQ298" s="151"/>
      <c r="ER298" s="151"/>
      <c r="ES298" s="151"/>
      <c r="ET298" s="151"/>
      <c r="EU298" s="151"/>
      <c r="EV298" s="151"/>
      <c r="EW298" s="151"/>
      <c r="EX298" s="151"/>
      <c r="EY298" s="151"/>
      <c r="EZ298" s="151"/>
      <c r="FA298" s="151"/>
      <c r="FB298" s="151"/>
      <c r="FC298" s="151"/>
      <c r="FD298" s="151"/>
      <c r="FE298" s="151"/>
      <c r="FF298" s="151"/>
      <c r="FG298" s="151"/>
      <c r="FH298" s="151"/>
      <c r="FI298" s="151"/>
      <c r="FJ298" s="151"/>
      <c r="FK298" s="151"/>
      <c r="FL298" s="151"/>
      <c r="FM298" s="151"/>
      <c r="FN298" s="151"/>
      <c r="FO298" s="151"/>
      <c r="FP298" s="151"/>
      <c r="FQ298" s="151"/>
      <c r="FR298" s="151"/>
      <c r="FS298" s="151"/>
      <c r="FT298" s="151"/>
      <c r="FU298" s="151"/>
      <c r="FV298" s="151"/>
      <c r="FW298" s="151"/>
      <c r="FX298" s="151"/>
      <c r="FY298" s="151"/>
      <c r="FZ298" s="151"/>
      <c r="GA298" s="151"/>
      <c r="GB298" s="151"/>
      <c r="GC298" s="151"/>
      <c r="GD298" s="151"/>
      <c r="GE298" s="151"/>
      <c r="GF298" s="151"/>
      <c r="GG298" s="152"/>
    </row>
    <row r="299" spans="1:189" x14ac:dyDescent="0.35">
      <c r="A299" s="297" t="s">
        <v>927</v>
      </c>
      <c r="B299" s="298"/>
      <c r="C299" s="298"/>
      <c r="D299" s="299"/>
      <c r="E299" s="298" t="s">
        <v>793</v>
      </c>
      <c r="F299" s="298" t="s">
        <v>836</v>
      </c>
      <c r="G299" s="300">
        <v>2</v>
      </c>
      <c r="H299" s="301"/>
      <c r="I299" s="302"/>
      <c r="J299" s="302"/>
      <c r="K299" s="302"/>
      <c r="L299" s="303">
        <v>45995</v>
      </c>
      <c r="M299" s="303">
        <v>46752</v>
      </c>
      <c r="N299" s="303"/>
      <c r="O299" s="303">
        <v>46054</v>
      </c>
      <c r="P299" s="303">
        <v>46934</v>
      </c>
      <c r="Q299" s="304" t="s">
        <v>45</v>
      </c>
      <c r="R299" s="305">
        <v>179520</v>
      </c>
      <c r="S299" s="305">
        <v>179520</v>
      </c>
      <c r="T299" s="305"/>
      <c r="U299" s="191">
        <f t="shared" si="318"/>
        <v>0</v>
      </c>
      <c r="V299" s="306"/>
      <c r="W299" s="307"/>
      <c r="X299" s="46"/>
      <c r="Y299" s="167">
        <f t="shared" si="319"/>
        <v>179520</v>
      </c>
      <c r="Z299" s="167">
        <f t="shared" si="320"/>
        <v>0</v>
      </c>
      <c r="AA299" s="167">
        <f t="shared" si="321"/>
        <v>179520</v>
      </c>
      <c r="AB299" s="167">
        <f t="shared" si="322"/>
        <v>0</v>
      </c>
      <c r="AC299" s="167">
        <f t="shared" si="323"/>
        <v>0</v>
      </c>
      <c r="AD299" s="167">
        <f t="shared" si="324"/>
        <v>0</v>
      </c>
      <c r="AF299" s="47">
        <f t="shared" si="342"/>
        <v>1</v>
      </c>
      <c r="AG299" s="202" t="str">
        <f t="shared" si="343"/>
        <v xml:space="preserve"> Monthly Internet Costs</v>
      </c>
      <c r="AH299" s="172"/>
      <c r="AI299" s="173"/>
      <c r="AJ299" s="173"/>
      <c r="AK299" s="173"/>
      <c r="AL299" s="173"/>
      <c r="AM299" s="173"/>
      <c r="AN299" s="173"/>
      <c r="AO299" s="173"/>
      <c r="AP299" s="173"/>
      <c r="AQ299" s="173"/>
      <c r="AR299" s="173"/>
      <c r="AS299" s="173"/>
      <c r="AT299" s="173"/>
      <c r="AU299" s="173"/>
      <c r="AV299" s="173"/>
      <c r="AW299" s="173"/>
      <c r="AX299" s="173"/>
      <c r="AY299" s="173"/>
      <c r="AZ299" s="173"/>
      <c r="BA299" s="173"/>
      <c r="BB299" s="173"/>
      <c r="BC299" s="173"/>
      <c r="BD299" s="173"/>
      <c r="BE299" s="173"/>
      <c r="BF299" s="173"/>
      <c r="BG299" s="173"/>
      <c r="BH299" s="173"/>
      <c r="BI299" s="173"/>
      <c r="BJ299" s="173"/>
      <c r="BK299" s="173"/>
      <c r="BL299" s="173"/>
      <c r="BM299" s="173"/>
      <c r="BN299" s="173"/>
      <c r="BO299" s="173"/>
      <c r="BP299" s="173"/>
      <c r="BQ299" s="173"/>
      <c r="BR299" s="173"/>
      <c r="BS299" s="173"/>
      <c r="BT299" s="173"/>
      <c r="BU299" s="173"/>
      <c r="BV299" s="173"/>
      <c r="BW299" s="173"/>
      <c r="BX299" s="173"/>
      <c r="BY299" s="173"/>
      <c r="BZ299" s="173"/>
      <c r="CA299" s="173"/>
      <c r="CB299" s="173"/>
      <c r="CC299" s="173"/>
      <c r="CD299" s="173"/>
      <c r="CE299" s="173"/>
      <c r="CF299" s="173"/>
      <c r="CG299" s="173"/>
      <c r="CH299" s="173"/>
      <c r="CI299" s="173"/>
      <c r="CJ299" s="173"/>
      <c r="CK299" s="173"/>
      <c r="CL299" s="173"/>
      <c r="CM299" s="173"/>
      <c r="CN299" s="173"/>
      <c r="CO299" s="173"/>
      <c r="CP299" s="173"/>
      <c r="CQ299" s="173"/>
      <c r="CR299" s="173"/>
      <c r="CS299" s="173"/>
      <c r="CT299" s="173"/>
      <c r="CU299" s="173"/>
      <c r="CV299" s="173"/>
      <c r="CW299" s="173"/>
      <c r="CX299" s="173"/>
      <c r="CY299" s="148"/>
      <c r="CZ299" s="148"/>
      <c r="DA299" s="148"/>
      <c r="DB299" s="148"/>
      <c r="DC299" s="148"/>
      <c r="DD299" s="148"/>
      <c r="DE299" s="148"/>
      <c r="DF299" s="148"/>
      <c r="DG299" s="148"/>
      <c r="DH299" s="148"/>
      <c r="DI299" s="148"/>
      <c r="DJ299" s="148"/>
      <c r="DK299" s="148"/>
      <c r="DL299" s="148"/>
      <c r="DM299" s="148"/>
      <c r="DN299" s="148"/>
      <c r="DO299" s="148"/>
      <c r="DP299" s="148"/>
      <c r="DQ299" s="148"/>
      <c r="DR299" s="148"/>
      <c r="DS299" s="148"/>
      <c r="DT299" s="148"/>
      <c r="DU299" s="148"/>
      <c r="DV299" s="148"/>
      <c r="DW299" s="148"/>
      <c r="DX299" s="148"/>
      <c r="DY299" s="148"/>
      <c r="DZ299" s="148"/>
      <c r="EA299" s="148"/>
      <c r="EB299" s="148"/>
      <c r="EC299" s="148"/>
      <c r="ED299" s="148"/>
      <c r="EE299" s="148"/>
      <c r="EF299" s="148"/>
      <c r="EG299" s="148"/>
      <c r="EH299" s="148"/>
      <c r="EI299" s="148"/>
      <c r="EJ299" s="148"/>
      <c r="EK299" s="148"/>
      <c r="EL299" s="148"/>
      <c r="EM299" s="148"/>
      <c r="EN299" s="148"/>
      <c r="EO299" s="148"/>
      <c r="EP299" s="148"/>
      <c r="EQ299" s="148"/>
      <c r="ER299" s="148"/>
      <c r="ES299" s="148"/>
      <c r="ET299" s="148"/>
      <c r="EU299" s="148"/>
      <c r="EV299" s="148"/>
      <c r="EW299" s="148"/>
      <c r="EX299" s="148"/>
      <c r="EY299" s="148"/>
      <c r="EZ299" s="148"/>
      <c r="FA299" s="148"/>
      <c r="FB299" s="148"/>
      <c r="FC299" s="148"/>
      <c r="FD299" s="148"/>
      <c r="FE299" s="148"/>
      <c r="FF299" s="148"/>
      <c r="FG299" s="148"/>
      <c r="FH299" s="148"/>
      <c r="FI299" s="148"/>
      <c r="FJ299" s="148"/>
      <c r="FK299" s="148"/>
      <c r="FL299" s="148"/>
      <c r="FM299" s="148"/>
      <c r="FN299" s="148"/>
      <c r="FO299" s="148"/>
      <c r="FP299" s="148"/>
      <c r="FQ299" s="148"/>
      <c r="FR299" s="148"/>
      <c r="FS299" s="148"/>
      <c r="FT299" s="148"/>
      <c r="FU299" s="148"/>
      <c r="FV299" s="148"/>
      <c r="FW299" s="148"/>
      <c r="FX299" s="148"/>
      <c r="FY299" s="148"/>
      <c r="FZ299" s="148"/>
      <c r="GA299" s="148"/>
      <c r="GB299" s="148"/>
      <c r="GC299" s="148"/>
      <c r="GD299" s="148"/>
      <c r="GE299" s="148"/>
      <c r="GF299" s="148"/>
      <c r="GG299" s="149"/>
    </row>
    <row r="300" spans="1:189" ht="14" customHeight="1" x14ac:dyDescent="0.35">
      <c r="A300" s="297" t="s">
        <v>928</v>
      </c>
      <c r="B300" s="298"/>
      <c r="C300" s="298"/>
      <c r="D300" s="299"/>
      <c r="E300" s="298" t="s">
        <v>794</v>
      </c>
      <c r="F300" s="298" t="s">
        <v>837</v>
      </c>
      <c r="G300" s="300">
        <v>2</v>
      </c>
      <c r="H300" s="301"/>
      <c r="I300" s="302"/>
      <c r="J300" s="302"/>
      <c r="K300" s="302"/>
      <c r="L300" s="303">
        <v>45995</v>
      </c>
      <c r="M300" s="303">
        <v>46752</v>
      </c>
      <c r="N300" s="303"/>
      <c r="O300" s="303">
        <v>46054</v>
      </c>
      <c r="P300" s="303">
        <v>46934</v>
      </c>
      <c r="Q300" s="304" t="s">
        <v>45</v>
      </c>
      <c r="R300" s="305">
        <v>174080</v>
      </c>
      <c r="S300" s="305">
        <f>R300-SUM(S301:S301)</f>
        <v>84080</v>
      </c>
      <c r="T300" s="305"/>
      <c r="U300" s="191">
        <f t="shared" si="318"/>
        <v>0</v>
      </c>
      <c r="V300" s="306"/>
      <c r="W300" s="307"/>
      <c r="X300" s="46"/>
      <c r="Y300" s="167">
        <f t="shared" si="319"/>
        <v>84080</v>
      </c>
      <c r="Z300" s="167">
        <f t="shared" si="320"/>
        <v>0</v>
      </c>
      <c r="AA300" s="167">
        <f t="shared" si="321"/>
        <v>84080</v>
      </c>
      <c r="AB300" s="167">
        <f t="shared" si="322"/>
        <v>0</v>
      </c>
      <c r="AC300" s="167">
        <f t="shared" si="323"/>
        <v>0</v>
      </c>
      <c r="AD300" s="167">
        <f t="shared" si="324"/>
        <v>0</v>
      </c>
      <c r="AF300" s="47">
        <f t="shared" si="342"/>
        <v>1</v>
      </c>
      <c r="AG300" s="202" t="str">
        <f t="shared" si="343"/>
        <v xml:space="preserve"> Office Supplies</v>
      </c>
      <c r="AH300" s="172"/>
      <c r="AI300" s="173"/>
      <c r="AJ300" s="173"/>
      <c r="AK300" s="173"/>
      <c r="AL300" s="173"/>
      <c r="AM300" s="173"/>
      <c r="AN300" s="173"/>
      <c r="AO300" s="173"/>
      <c r="AP300" s="173"/>
      <c r="AQ300" s="173"/>
      <c r="AR300" s="173"/>
      <c r="AS300" s="173"/>
      <c r="AT300" s="173"/>
      <c r="AU300" s="173"/>
      <c r="AV300" s="173"/>
      <c r="AW300" s="173"/>
      <c r="AX300" s="173"/>
      <c r="AY300" s="173"/>
      <c r="AZ300" s="173"/>
      <c r="BA300" s="173"/>
      <c r="BB300" s="173"/>
      <c r="BC300" s="173"/>
      <c r="BD300" s="173"/>
      <c r="BE300" s="173"/>
      <c r="BF300" s="173"/>
      <c r="BG300" s="173"/>
      <c r="BH300" s="173"/>
      <c r="BI300" s="173"/>
      <c r="BJ300" s="173"/>
      <c r="BK300" s="173"/>
      <c r="BL300" s="173"/>
      <c r="BM300" s="173"/>
      <c r="BN300" s="173"/>
      <c r="BO300" s="173"/>
      <c r="BP300" s="173"/>
      <c r="BQ300" s="173"/>
      <c r="BR300" s="173"/>
      <c r="BS300" s="173"/>
      <c r="BT300" s="173"/>
      <c r="BU300" s="173"/>
      <c r="BV300" s="173"/>
      <c r="BW300" s="173"/>
      <c r="BX300" s="173"/>
      <c r="BY300" s="173"/>
      <c r="BZ300" s="173"/>
      <c r="CA300" s="173"/>
      <c r="CB300" s="173"/>
      <c r="CC300" s="173"/>
      <c r="CD300" s="173"/>
      <c r="CE300" s="173"/>
      <c r="CF300" s="173"/>
      <c r="CG300" s="173"/>
      <c r="CH300" s="173"/>
      <c r="CI300" s="173"/>
      <c r="CJ300" s="173"/>
      <c r="CK300" s="173"/>
      <c r="CL300" s="173"/>
      <c r="CM300" s="173"/>
      <c r="CN300" s="173"/>
      <c r="CO300" s="173"/>
      <c r="CP300" s="173"/>
      <c r="CQ300" s="173"/>
      <c r="CR300" s="173"/>
      <c r="CS300" s="173"/>
      <c r="CT300" s="173"/>
      <c r="CU300" s="173"/>
      <c r="CV300" s="173"/>
      <c r="CW300" s="173"/>
      <c r="CX300" s="173"/>
      <c r="CY300" s="148"/>
      <c r="CZ300" s="148"/>
      <c r="DA300" s="148"/>
      <c r="DB300" s="148"/>
      <c r="DC300" s="148"/>
      <c r="DD300" s="148"/>
      <c r="DE300" s="148"/>
      <c r="DF300" s="148"/>
      <c r="DG300" s="148"/>
      <c r="DH300" s="148"/>
      <c r="DI300" s="148"/>
      <c r="DJ300" s="148"/>
      <c r="DK300" s="148"/>
      <c r="DL300" s="148"/>
      <c r="DM300" s="148"/>
      <c r="DN300" s="148"/>
      <c r="DO300" s="148"/>
      <c r="DP300" s="148"/>
      <c r="DQ300" s="148"/>
      <c r="DR300" s="148"/>
      <c r="DS300" s="148"/>
      <c r="DT300" s="148"/>
      <c r="DU300" s="148"/>
      <c r="DV300" s="148"/>
      <c r="DW300" s="148"/>
      <c r="DX300" s="148"/>
      <c r="DY300" s="148"/>
      <c r="DZ300" s="148"/>
      <c r="EA300" s="148"/>
      <c r="EB300" s="148"/>
      <c r="EC300" s="148"/>
      <c r="ED300" s="148"/>
      <c r="EE300" s="148"/>
      <c r="EF300" s="148"/>
      <c r="EG300" s="148"/>
      <c r="EH300" s="148"/>
      <c r="EI300" s="148"/>
      <c r="EJ300" s="148"/>
      <c r="EK300" s="148"/>
      <c r="EL300" s="148"/>
      <c r="EM300" s="148"/>
      <c r="EN300" s="148"/>
      <c r="EO300" s="148"/>
      <c r="EP300" s="148"/>
      <c r="EQ300" s="148"/>
      <c r="ER300" s="148"/>
      <c r="ES300" s="148"/>
      <c r="ET300" s="148"/>
      <c r="EU300" s="148"/>
      <c r="EV300" s="148"/>
      <c r="EW300" s="148"/>
      <c r="EX300" s="148"/>
      <c r="EY300" s="148"/>
      <c r="EZ300" s="148"/>
      <c r="FA300" s="148"/>
      <c r="FB300" s="148"/>
      <c r="FC300" s="148"/>
      <c r="FD300" s="148"/>
      <c r="FE300" s="148"/>
      <c r="FF300" s="148"/>
      <c r="FG300" s="148"/>
      <c r="FH300" s="148"/>
      <c r="FI300" s="148"/>
      <c r="FJ300" s="148"/>
      <c r="FK300" s="148"/>
      <c r="FL300" s="148"/>
      <c r="FM300" s="148"/>
      <c r="FN300" s="148"/>
      <c r="FO300" s="148"/>
      <c r="FP300" s="148"/>
      <c r="FQ300" s="148"/>
      <c r="FR300" s="148"/>
      <c r="FS300" s="148"/>
      <c r="FT300" s="148"/>
      <c r="FU300" s="148"/>
      <c r="FV300" s="148"/>
      <c r="FW300" s="148"/>
      <c r="FX300" s="148"/>
      <c r="FY300" s="148"/>
      <c r="FZ300" s="148"/>
      <c r="GA300" s="148"/>
      <c r="GB300" s="148"/>
      <c r="GC300" s="148"/>
      <c r="GD300" s="148"/>
      <c r="GE300" s="148"/>
      <c r="GF300" s="148"/>
      <c r="GG300" s="149"/>
    </row>
    <row r="301" spans="1:189" ht="27.75" x14ac:dyDescent="0.35">
      <c r="A301" s="267" t="s">
        <v>1288</v>
      </c>
      <c r="B301" s="221"/>
      <c r="C301" s="221"/>
      <c r="D301" s="222"/>
      <c r="E301" s="221" t="s">
        <v>1290</v>
      </c>
      <c r="F301" s="221" t="s">
        <v>1289</v>
      </c>
      <c r="G301" s="223">
        <v>1</v>
      </c>
      <c r="H301" s="224" t="s">
        <v>1293</v>
      </c>
      <c r="I301" s="225"/>
      <c r="J301" s="225"/>
      <c r="K301" s="225"/>
      <c r="L301" s="226">
        <v>45995</v>
      </c>
      <c r="M301" s="226">
        <v>46063</v>
      </c>
      <c r="N301" s="226"/>
      <c r="O301" s="226">
        <v>46063</v>
      </c>
      <c r="P301" s="226">
        <v>46934</v>
      </c>
      <c r="Q301" s="227" t="s">
        <v>20</v>
      </c>
      <c r="R301" s="228"/>
      <c r="S301" s="228">
        <v>90000</v>
      </c>
      <c r="T301" s="228">
        <v>90000</v>
      </c>
      <c r="U301" s="191">
        <f t="shared" ref="U301" si="344">IF(Q301="",0,IF(T301="",0,+S301-T301))</f>
        <v>0</v>
      </c>
      <c r="V301" s="230"/>
      <c r="W301" s="232"/>
      <c r="X301" s="46"/>
      <c r="Y301" s="167">
        <f t="shared" ref="Y301" si="345">IF(G301=2,S301,0)</f>
        <v>0</v>
      </c>
      <c r="Z301" s="167">
        <f t="shared" ref="Z301" si="346">IF(Q301="",0,IF(G301=2,T301,0))</f>
        <v>0</v>
      </c>
      <c r="AA301" s="167">
        <f t="shared" ref="AA301" si="347">Y301-Z301</f>
        <v>0</v>
      </c>
      <c r="AB301" s="167">
        <f t="shared" ref="AB301" si="348">IF(G301=1,S301,0)</f>
        <v>90000</v>
      </c>
      <c r="AC301" s="167">
        <f t="shared" ref="AC301" si="349">IF(Q301="",0,IF(G301=1,T301,0))</f>
        <v>90000</v>
      </c>
      <c r="AD301" s="167">
        <f t="shared" ref="AD301" si="350">AB301-AC301</f>
        <v>0</v>
      </c>
      <c r="AF301" s="47">
        <f t="shared" ref="AF301" si="351">IF(S301&lt;&gt;"",1,0)</f>
        <v>1</v>
      </c>
      <c r="AG301" s="202" t="str">
        <f t="shared" ref="AG301" si="352">B301&amp;" "&amp;F301</f>
        <v xml:space="preserve"> Open order - office supplies ECd_32</v>
      </c>
      <c r="AH301" s="153"/>
      <c r="AI301" s="154"/>
      <c r="AJ301" s="154"/>
      <c r="AK301" s="154"/>
      <c r="AL301" s="154"/>
      <c r="AM301" s="154"/>
      <c r="AN301" s="154"/>
      <c r="AO301" s="154"/>
      <c r="AP301" s="154"/>
      <c r="AQ301" s="154"/>
      <c r="AR301" s="154"/>
      <c r="AS301" s="154"/>
      <c r="AT301" s="154"/>
      <c r="AU301" s="154"/>
      <c r="AV301" s="154"/>
      <c r="AW301" s="154"/>
      <c r="AX301" s="154"/>
      <c r="AY301" s="154"/>
      <c r="AZ301" s="154"/>
      <c r="BA301" s="151"/>
      <c r="BB301" s="151"/>
      <c r="BC301" s="151"/>
      <c r="BD301" s="151"/>
      <c r="BE301" s="151"/>
      <c r="BF301" s="151"/>
      <c r="BG301" s="151"/>
      <c r="BH301" s="151"/>
      <c r="BI301" s="151"/>
      <c r="BJ301" s="151"/>
      <c r="BK301" s="151"/>
      <c r="BL301" s="151"/>
      <c r="BM301" s="151"/>
      <c r="BN301" s="151"/>
      <c r="BO301" s="151"/>
      <c r="BP301" s="151"/>
      <c r="BQ301" s="151"/>
      <c r="BR301" s="151"/>
      <c r="BS301" s="151"/>
      <c r="BT301" s="151"/>
      <c r="BU301" s="151"/>
      <c r="BV301" s="151"/>
      <c r="BW301" s="151"/>
      <c r="BX301" s="151"/>
      <c r="BY301" s="151"/>
      <c r="BZ301" s="151"/>
      <c r="CA301" s="151"/>
      <c r="CB301" s="151"/>
      <c r="CC301" s="151"/>
      <c r="CD301" s="151"/>
      <c r="CE301" s="151"/>
      <c r="CF301" s="151"/>
      <c r="CG301" s="151"/>
      <c r="CH301" s="151"/>
      <c r="CI301" s="151"/>
      <c r="CJ301" s="151"/>
      <c r="CK301" s="151"/>
      <c r="CL301" s="151"/>
      <c r="CM301" s="151"/>
      <c r="CN301" s="151"/>
      <c r="CO301" s="151"/>
      <c r="CP301" s="151"/>
      <c r="CQ301" s="151"/>
      <c r="CR301" s="151"/>
      <c r="CS301" s="151"/>
      <c r="CT301" s="151"/>
      <c r="CU301" s="151"/>
      <c r="CV301" s="151"/>
      <c r="CW301" s="151"/>
      <c r="CX301" s="151"/>
      <c r="CY301" s="151"/>
      <c r="CZ301" s="151"/>
      <c r="DA301" s="151"/>
      <c r="DB301" s="151"/>
      <c r="DC301" s="151"/>
      <c r="DD301" s="151"/>
      <c r="DE301" s="151"/>
      <c r="DF301" s="151"/>
      <c r="DG301" s="151"/>
      <c r="DH301" s="151"/>
      <c r="DI301" s="151"/>
      <c r="DJ301" s="151"/>
      <c r="DK301" s="151"/>
      <c r="DL301" s="151"/>
      <c r="DM301" s="151"/>
      <c r="DN301" s="151"/>
      <c r="DO301" s="151"/>
      <c r="DP301" s="151"/>
      <c r="DQ301" s="151"/>
      <c r="DR301" s="151"/>
      <c r="DS301" s="151"/>
      <c r="DT301" s="151"/>
      <c r="DU301" s="151"/>
      <c r="DV301" s="151"/>
      <c r="DW301" s="151"/>
      <c r="DX301" s="151"/>
      <c r="DY301" s="151"/>
      <c r="DZ301" s="151"/>
      <c r="EA301" s="151"/>
      <c r="EB301" s="151"/>
      <c r="EC301" s="151"/>
      <c r="ED301" s="151"/>
      <c r="EE301" s="151"/>
      <c r="EF301" s="151"/>
      <c r="EG301" s="151"/>
      <c r="EH301" s="151"/>
      <c r="EI301" s="151"/>
      <c r="EJ301" s="151"/>
      <c r="EK301" s="151"/>
      <c r="EL301" s="151"/>
      <c r="EM301" s="151"/>
      <c r="EN301" s="151"/>
      <c r="EO301" s="151"/>
      <c r="EP301" s="151"/>
      <c r="EQ301" s="151"/>
      <c r="ER301" s="151"/>
      <c r="ES301" s="151"/>
      <c r="ET301" s="151"/>
      <c r="EU301" s="151"/>
      <c r="EV301" s="151"/>
      <c r="EW301" s="151"/>
      <c r="EX301" s="151"/>
      <c r="EY301" s="151"/>
      <c r="EZ301" s="151"/>
      <c r="FA301" s="151"/>
      <c r="FB301" s="151"/>
      <c r="FC301" s="151"/>
      <c r="FD301" s="151"/>
      <c r="FE301" s="151"/>
      <c r="FF301" s="151"/>
      <c r="FG301" s="151"/>
      <c r="FH301" s="151"/>
      <c r="FI301" s="151"/>
      <c r="FJ301" s="151"/>
      <c r="FK301" s="151"/>
      <c r="FL301" s="151"/>
      <c r="FM301" s="151"/>
      <c r="FN301" s="151"/>
      <c r="FO301" s="151"/>
      <c r="FP301" s="151"/>
      <c r="FQ301" s="151"/>
      <c r="FR301" s="151"/>
      <c r="FS301" s="151"/>
      <c r="FT301" s="151"/>
      <c r="FU301" s="151"/>
      <c r="FV301" s="151"/>
      <c r="FW301" s="151"/>
      <c r="FX301" s="151"/>
      <c r="FY301" s="151"/>
      <c r="FZ301" s="151"/>
      <c r="GA301" s="151"/>
      <c r="GB301" s="151"/>
      <c r="GC301" s="151"/>
      <c r="GD301" s="151"/>
      <c r="GE301" s="151"/>
      <c r="GF301" s="151"/>
      <c r="GG301" s="152"/>
    </row>
    <row r="302" spans="1:189" x14ac:dyDescent="0.35">
      <c r="A302" s="297" t="s">
        <v>929</v>
      </c>
      <c r="B302" s="298"/>
      <c r="C302" s="298"/>
      <c r="D302" s="299"/>
      <c r="E302" s="298" t="s">
        <v>795</v>
      </c>
      <c r="F302" s="298" t="s">
        <v>838</v>
      </c>
      <c r="G302" s="300">
        <v>2</v>
      </c>
      <c r="H302" s="301"/>
      <c r="I302" s="302"/>
      <c r="J302" s="302"/>
      <c r="K302" s="302"/>
      <c r="L302" s="303">
        <v>45995</v>
      </c>
      <c r="M302" s="303">
        <v>46752</v>
      </c>
      <c r="N302" s="303"/>
      <c r="O302" s="303">
        <v>46054</v>
      </c>
      <c r="P302" s="303">
        <v>46934</v>
      </c>
      <c r="Q302" s="304" t="s">
        <v>45</v>
      </c>
      <c r="R302" s="305">
        <v>282880</v>
      </c>
      <c r="S302" s="305">
        <f>R302-SUM(S303:S303)</f>
        <v>104680</v>
      </c>
      <c r="T302" s="305"/>
      <c r="U302" s="191">
        <f t="shared" si="318"/>
        <v>0</v>
      </c>
      <c r="V302" s="306"/>
      <c r="W302" s="307"/>
      <c r="X302" s="46"/>
      <c r="Y302" s="167">
        <f t="shared" si="319"/>
        <v>104680</v>
      </c>
      <c r="Z302" s="167">
        <f t="shared" si="320"/>
        <v>0</v>
      </c>
      <c r="AA302" s="167">
        <f t="shared" si="321"/>
        <v>104680</v>
      </c>
      <c r="AB302" s="167">
        <f t="shared" si="322"/>
        <v>0</v>
      </c>
      <c r="AC302" s="167">
        <f t="shared" si="323"/>
        <v>0</v>
      </c>
      <c r="AD302" s="167">
        <f t="shared" si="324"/>
        <v>0</v>
      </c>
      <c r="AF302" s="47">
        <f t="shared" si="342"/>
        <v>1</v>
      </c>
      <c r="AG302" s="202" t="str">
        <f t="shared" si="343"/>
        <v xml:space="preserve"> Cleaning</v>
      </c>
      <c r="AH302" s="172"/>
      <c r="AI302" s="173"/>
      <c r="AJ302" s="173"/>
      <c r="AK302" s="173"/>
      <c r="AL302" s="173"/>
      <c r="AM302" s="173"/>
      <c r="AN302" s="173"/>
      <c r="AO302" s="173"/>
      <c r="AP302" s="173"/>
      <c r="AQ302" s="173"/>
      <c r="AR302" s="173"/>
      <c r="AS302" s="173"/>
      <c r="AT302" s="173"/>
      <c r="AU302" s="173"/>
      <c r="AV302" s="173"/>
      <c r="AW302" s="173"/>
      <c r="AX302" s="173"/>
      <c r="AY302" s="173"/>
      <c r="AZ302" s="173"/>
      <c r="BA302" s="173"/>
      <c r="BB302" s="173"/>
      <c r="BC302" s="173"/>
      <c r="BD302" s="173"/>
      <c r="BE302" s="173"/>
      <c r="BF302" s="173"/>
      <c r="BG302" s="173"/>
      <c r="BH302" s="173"/>
      <c r="BI302" s="173"/>
      <c r="BJ302" s="173"/>
      <c r="BK302" s="173"/>
      <c r="BL302" s="173"/>
      <c r="BM302" s="173"/>
      <c r="BN302" s="173"/>
      <c r="BO302" s="173"/>
      <c r="BP302" s="173"/>
      <c r="BQ302" s="173"/>
      <c r="BR302" s="173"/>
      <c r="BS302" s="173"/>
      <c r="BT302" s="173"/>
      <c r="BU302" s="173"/>
      <c r="BV302" s="173"/>
      <c r="BW302" s="173"/>
      <c r="BX302" s="173"/>
      <c r="BY302" s="173"/>
      <c r="BZ302" s="173"/>
      <c r="CA302" s="173"/>
      <c r="CB302" s="173"/>
      <c r="CC302" s="173"/>
      <c r="CD302" s="173"/>
      <c r="CE302" s="173"/>
      <c r="CF302" s="173"/>
      <c r="CG302" s="173"/>
      <c r="CH302" s="173"/>
      <c r="CI302" s="173"/>
      <c r="CJ302" s="173"/>
      <c r="CK302" s="173"/>
      <c r="CL302" s="173"/>
      <c r="CM302" s="173"/>
      <c r="CN302" s="173"/>
      <c r="CO302" s="173"/>
      <c r="CP302" s="173"/>
      <c r="CQ302" s="173"/>
      <c r="CR302" s="173"/>
      <c r="CS302" s="173"/>
      <c r="CT302" s="173"/>
      <c r="CU302" s="173"/>
      <c r="CV302" s="173"/>
      <c r="CW302" s="173"/>
      <c r="CX302" s="173"/>
      <c r="CY302" s="148"/>
      <c r="CZ302" s="148"/>
      <c r="DA302" s="148"/>
      <c r="DB302" s="148"/>
      <c r="DC302" s="148"/>
      <c r="DD302" s="148"/>
      <c r="DE302" s="148"/>
      <c r="DF302" s="148"/>
      <c r="DG302" s="148"/>
      <c r="DH302" s="148"/>
      <c r="DI302" s="148"/>
      <c r="DJ302" s="148"/>
      <c r="DK302" s="148"/>
      <c r="DL302" s="148"/>
      <c r="DM302" s="148"/>
      <c r="DN302" s="148"/>
      <c r="DO302" s="148"/>
      <c r="DP302" s="148"/>
      <c r="DQ302" s="148"/>
      <c r="DR302" s="148"/>
      <c r="DS302" s="148"/>
      <c r="DT302" s="148"/>
      <c r="DU302" s="148"/>
      <c r="DV302" s="148"/>
      <c r="DW302" s="148"/>
      <c r="DX302" s="148"/>
      <c r="DY302" s="148"/>
      <c r="DZ302" s="148"/>
      <c r="EA302" s="148"/>
      <c r="EB302" s="148"/>
      <c r="EC302" s="148"/>
      <c r="ED302" s="148"/>
      <c r="EE302" s="148"/>
      <c r="EF302" s="148"/>
      <c r="EG302" s="148"/>
      <c r="EH302" s="148"/>
      <c r="EI302" s="148"/>
      <c r="EJ302" s="148"/>
      <c r="EK302" s="148"/>
      <c r="EL302" s="148"/>
      <c r="EM302" s="148"/>
      <c r="EN302" s="148"/>
      <c r="EO302" s="148"/>
      <c r="EP302" s="148"/>
      <c r="EQ302" s="148"/>
      <c r="ER302" s="148"/>
      <c r="ES302" s="148"/>
      <c r="ET302" s="148"/>
      <c r="EU302" s="148"/>
      <c r="EV302" s="148"/>
      <c r="EW302" s="148"/>
      <c r="EX302" s="148"/>
      <c r="EY302" s="148"/>
      <c r="EZ302" s="148"/>
      <c r="FA302" s="148"/>
      <c r="FB302" s="148"/>
      <c r="FC302" s="148"/>
      <c r="FD302" s="148"/>
      <c r="FE302" s="148"/>
      <c r="FF302" s="148"/>
      <c r="FG302" s="148"/>
      <c r="FH302" s="148"/>
      <c r="FI302" s="148"/>
      <c r="FJ302" s="148"/>
      <c r="FK302" s="148"/>
      <c r="FL302" s="148"/>
      <c r="FM302" s="148"/>
      <c r="FN302" s="148"/>
      <c r="FO302" s="148"/>
      <c r="FP302" s="148"/>
      <c r="FQ302" s="148"/>
      <c r="FR302" s="148"/>
      <c r="FS302" s="148"/>
      <c r="FT302" s="148"/>
      <c r="FU302" s="148"/>
      <c r="FV302" s="148"/>
      <c r="FW302" s="148"/>
      <c r="FX302" s="148"/>
      <c r="FY302" s="148"/>
      <c r="FZ302" s="148"/>
      <c r="GA302" s="148"/>
      <c r="GB302" s="148"/>
      <c r="GC302" s="148"/>
      <c r="GD302" s="148"/>
      <c r="GE302" s="148"/>
      <c r="GF302" s="148"/>
      <c r="GG302" s="149"/>
    </row>
    <row r="303" spans="1:189" x14ac:dyDescent="0.35">
      <c r="A303" s="267" t="s">
        <v>1300</v>
      </c>
      <c r="B303" s="221"/>
      <c r="C303" s="221"/>
      <c r="D303" s="222"/>
      <c r="E303" s="221" t="s">
        <v>1303</v>
      </c>
      <c r="F303" s="221" t="s">
        <v>1302</v>
      </c>
      <c r="G303" s="223">
        <v>2</v>
      </c>
      <c r="H303" s="224" t="s">
        <v>1301</v>
      </c>
      <c r="I303" s="225"/>
      <c r="J303" s="225"/>
      <c r="K303" s="225"/>
      <c r="L303" s="226">
        <v>46054</v>
      </c>
      <c r="M303" s="226">
        <v>46069</v>
      </c>
      <c r="N303" s="226"/>
      <c r="O303" s="226">
        <v>46069</v>
      </c>
      <c r="P303" s="226">
        <v>46934</v>
      </c>
      <c r="Q303" s="227" t="s">
        <v>20</v>
      </c>
      <c r="R303" s="228"/>
      <c r="S303" s="228">
        <v>178200</v>
      </c>
      <c r="T303" s="228">
        <v>178200</v>
      </c>
      <c r="U303" s="191">
        <f t="shared" ref="U303" si="353">IF(Q303="",0,IF(T303="",0,+S303-T303))</f>
        <v>0</v>
      </c>
      <c r="V303" s="230"/>
      <c r="W303" s="232"/>
      <c r="X303" s="46"/>
      <c r="Y303" s="167">
        <f t="shared" ref="Y303" si="354">IF(G303=2,S303,0)</f>
        <v>178200</v>
      </c>
      <c r="Z303" s="167">
        <f t="shared" ref="Z303" si="355">IF(Q303="",0,IF(G303=2,T303,0))</f>
        <v>178200</v>
      </c>
      <c r="AA303" s="167">
        <f t="shared" ref="AA303" si="356">Y303-Z303</f>
        <v>0</v>
      </c>
      <c r="AB303" s="167">
        <f t="shared" ref="AB303" si="357">IF(G303=1,S303,0)</f>
        <v>0</v>
      </c>
      <c r="AC303" s="167">
        <f t="shared" ref="AC303" si="358">IF(Q303="",0,IF(G303=1,T303,0))</f>
        <v>0</v>
      </c>
      <c r="AD303" s="167">
        <f t="shared" ref="AD303" si="359">AB303-AC303</f>
        <v>0</v>
      </c>
      <c r="AF303" s="47">
        <f t="shared" ref="AF303" si="360">IF(S303&lt;&gt;"",1,0)</f>
        <v>1</v>
      </c>
      <c r="AG303" s="202" t="str">
        <f t="shared" ref="AG303" si="361">B303&amp;" "&amp;F303</f>
        <v xml:space="preserve"> Cleaning services ECd_35</v>
      </c>
      <c r="AH303" s="153"/>
      <c r="AI303" s="154"/>
      <c r="AJ303" s="154"/>
      <c r="AK303" s="154"/>
      <c r="AL303" s="154"/>
      <c r="AM303" s="154"/>
      <c r="AN303" s="154"/>
      <c r="AO303" s="154"/>
      <c r="AP303" s="154"/>
      <c r="AQ303" s="154"/>
      <c r="AR303" s="154"/>
      <c r="AS303" s="154"/>
      <c r="AT303" s="154"/>
      <c r="AU303" s="154"/>
      <c r="AV303" s="154"/>
      <c r="AW303" s="154"/>
      <c r="AX303" s="154"/>
      <c r="AY303" s="154"/>
      <c r="AZ303" s="154"/>
      <c r="BA303" s="151"/>
      <c r="BB303" s="151"/>
      <c r="BC303" s="151"/>
      <c r="BD303" s="151"/>
      <c r="BE303" s="151"/>
      <c r="BF303" s="151"/>
      <c r="BG303" s="151"/>
      <c r="BH303" s="151"/>
      <c r="BI303" s="151"/>
      <c r="BJ303" s="151"/>
      <c r="BK303" s="151"/>
      <c r="BL303" s="151"/>
      <c r="BM303" s="151"/>
      <c r="BN303" s="151"/>
      <c r="BO303" s="151"/>
      <c r="BP303" s="151"/>
      <c r="BQ303" s="151"/>
      <c r="BR303" s="151"/>
      <c r="BS303" s="151"/>
      <c r="BT303" s="151"/>
      <c r="BU303" s="151"/>
      <c r="BV303" s="151"/>
      <c r="BW303" s="151"/>
      <c r="BX303" s="151"/>
      <c r="BY303" s="151"/>
      <c r="BZ303" s="151"/>
      <c r="CA303" s="151"/>
      <c r="CB303" s="151"/>
      <c r="CC303" s="151"/>
      <c r="CD303" s="151"/>
      <c r="CE303" s="151"/>
      <c r="CF303" s="151"/>
      <c r="CG303" s="151"/>
      <c r="CH303" s="151"/>
      <c r="CI303" s="151"/>
      <c r="CJ303" s="151"/>
      <c r="CK303" s="151"/>
      <c r="CL303" s="151"/>
      <c r="CM303" s="151"/>
      <c r="CN303" s="151"/>
      <c r="CO303" s="151"/>
      <c r="CP303" s="151"/>
      <c r="CQ303" s="151"/>
      <c r="CR303" s="151"/>
      <c r="CS303" s="151"/>
      <c r="CT303" s="151"/>
      <c r="CU303" s="151"/>
      <c r="CV303" s="151"/>
      <c r="CW303" s="151"/>
      <c r="CX303" s="151"/>
      <c r="CY303" s="151"/>
      <c r="CZ303" s="151"/>
      <c r="DA303" s="151"/>
      <c r="DB303" s="151"/>
      <c r="DC303" s="151"/>
      <c r="DD303" s="151"/>
      <c r="DE303" s="151"/>
      <c r="DF303" s="151"/>
      <c r="DG303" s="151"/>
      <c r="DH303" s="151"/>
      <c r="DI303" s="151"/>
      <c r="DJ303" s="151"/>
      <c r="DK303" s="151"/>
      <c r="DL303" s="151"/>
      <c r="DM303" s="151"/>
      <c r="DN303" s="151"/>
      <c r="DO303" s="151"/>
      <c r="DP303" s="151"/>
      <c r="DQ303" s="151"/>
      <c r="DR303" s="151"/>
      <c r="DS303" s="151"/>
      <c r="DT303" s="151"/>
      <c r="DU303" s="151"/>
      <c r="DV303" s="151"/>
      <c r="DW303" s="151"/>
      <c r="DX303" s="151"/>
      <c r="DY303" s="151"/>
      <c r="DZ303" s="151"/>
      <c r="EA303" s="151"/>
      <c r="EB303" s="151"/>
      <c r="EC303" s="151"/>
      <c r="ED303" s="151"/>
      <c r="EE303" s="151"/>
      <c r="EF303" s="151"/>
      <c r="EG303" s="151"/>
      <c r="EH303" s="151"/>
      <c r="EI303" s="151"/>
      <c r="EJ303" s="151"/>
      <c r="EK303" s="151"/>
      <c r="EL303" s="151"/>
      <c r="EM303" s="151"/>
      <c r="EN303" s="151"/>
      <c r="EO303" s="151"/>
      <c r="EP303" s="151"/>
      <c r="EQ303" s="151"/>
      <c r="ER303" s="151"/>
      <c r="ES303" s="151"/>
      <c r="ET303" s="151"/>
      <c r="EU303" s="151"/>
      <c r="EV303" s="151"/>
      <c r="EW303" s="151"/>
      <c r="EX303" s="151"/>
      <c r="EY303" s="151"/>
      <c r="EZ303" s="151"/>
      <c r="FA303" s="151"/>
      <c r="FB303" s="151"/>
      <c r="FC303" s="151"/>
      <c r="FD303" s="151"/>
      <c r="FE303" s="151"/>
      <c r="FF303" s="151"/>
      <c r="FG303" s="151"/>
      <c r="FH303" s="151"/>
      <c r="FI303" s="151"/>
      <c r="FJ303" s="151"/>
      <c r="FK303" s="151"/>
      <c r="FL303" s="151"/>
      <c r="FM303" s="151"/>
      <c r="FN303" s="151"/>
      <c r="FO303" s="151"/>
      <c r="FP303" s="151"/>
      <c r="FQ303" s="151"/>
      <c r="FR303" s="151"/>
      <c r="FS303" s="151"/>
      <c r="FT303" s="151"/>
      <c r="FU303" s="151"/>
      <c r="FV303" s="151"/>
      <c r="FW303" s="151"/>
      <c r="FX303" s="151"/>
      <c r="FY303" s="151"/>
      <c r="FZ303" s="151"/>
      <c r="GA303" s="151"/>
      <c r="GB303" s="151"/>
      <c r="GC303" s="151"/>
      <c r="GD303" s="151"/>
      <c r="GE303" s="151"/>
      <c r="GF303" s="151"/>
      <c r="GG303" s="152"/>
    </row>
    <row r="304" spans="1:189" x14ac:dyDescent="0.35">
      <c r="A304" s="297" t="s">
        <v>930</v>
      </c>
      <c r="B304" s="298"/>
      <c r="C304" s="298"/>
      <c r="D304" s="299"/>
      <c r="E304" s="298" t="s">
        <v>796</v>
      </c>
      <c r="F304" s="298" t="s">
        <v>839</v>
      </c>
      <c r="G304" s="300">
        <v>2</v>
      </c>
      <c r="H304" s="301"/>
      <c r="I304" s="302"/>
      <c r="J304" s="302"/>
      <c r="K304" s="302"/>
      <c r="L304" s="303">
        <v>45995</v>
      </c>
      <c r="M304" s="303">
        <v>46752</v>
      </c>
      <c r="N304" s="303"/>
      <c r="O304" s="303">
        <v>46054</v>
      </c>
      <c r="P304" s="303">
        <v>46934</v>
      </c>
      <c r="Q304" s="304" t="s">
        <v>45</v>
      </c>
      <c r="R304" s="305">
        <v>84320</v>
      </c>
      <c r="S304" s="305">
        <f>84320-SUM(S305:S306)</f>
        <v>34320</v>
      </c>
      <c r="T304" s="305"/>
      <c r="U304" s="191">
        <f t="shared" si="318"/>
        <v>0</v>
      </c>
      <c r="V304" s="306"/>
      <c r="W304" s="307"/>
      <c r="X304" s="46"/>
      <c r="Y304" s="167">
        <f t="shared" si="319"/>
        <v>34320</v>
      </c>
      <c r="Z304" s="167">
        <f t="shared" si="320"/>
        <v>0</v>
      </c>
      <c r="AA304" s="167">
        <f t="shared" si="321"/>
        <v>34320</v>
      </c>
      <c r="AB304" s="167">
        <f t="shared" si="322"/>
        <v>0</v>
      </c>
      <c r="AC304" s="167">
        <f t="shared" si="323"/>
        <v>0</v>
      </c>
      <c r="AD304" s="167">
        <f t="shared" si="324"/>
        <v>0</v>
      </c>
      <c r="AF304" s="47">
        <f t="shared" si="342"/>
        <v>1</v>
      </c>
      <c r="AG304" s="202" t="str">
        <f t="shared" si="343"/>
        <v xml:space="preserve"> Coffee and Tea</v>
      </c>
      <c r="AH304" s="172"/>
      <c r="AI304" s="173"/>
      <c r="AJ304" s="173"/>
      <c r="AK304" s="173"/>
      <c r="AL304" s="173"/>
      <c r="AM304" s="173"/>
      <c r="AN304" s="173"/>
      <c r="AO304" s="173"/>
      <c r="AP304" s="173"/>
      <c r="AQ304" s="173"/>
      <c r="AR304" s="173"/>
      <c r="AS304" s="173"/>
      <c r="AT304" s="173"/>
      <c r="AU304" s="173"/>
      <c r="AV304" s="173"/>
      <c r="AW304" s="173"/>
      <c r="AX304" s="173"/>
      <c r="AY304" s="173"/>
      <c r="AZ304" s="173"/>
      <c r="BA304" s="173"/>
      <c r="BB304" s="173"/>
      <c r="BC304" s="173"/>
      <c r="BD304" s="173"/>
      <c r="BE304" s="173"/>
      <c r="BF304" s="173"/>
      <c r="BG304" s="173"/>
      <c r="BH304" s="173"/>
      <c r="BI304" s="173"/>
      <c r="BJ304" s="173"/>
      <c r="BK304" s="173"/>
      <c r="BL304" s="173"/>
      <c r="BM304" s="173"/>
      <c r="BN304" s="173"/>
      <c r="BO304" s="173"/>
      <c r="BP304" s="173"/>
      <c r="BQ304" s="173"/>
      <c r="BR304" s="173"/>
      <c r="BS304" s="173"/>
      <c r="BT304" s="173"/>
      <c r="BU304" s="173"/>
      <c r="BV304" s="173"/>
      <c r="BW304" s="173"/>
      <c r="BX304" s="173"/>
      <c r="BY304" s="173"/>
      <c r="BZ304" s="173"/>
      <c r="CA304" s="173"/>
      <c r="CB304" s="173"/>
      <c r="CC304" s="173"/>
      <c r="CD304" s="173"/>
      <c r="CE304" s="173"/>
      <c r="CF304" s="173"/>
      <c r="CG304" s="173"/>
      <c r="CH304" s="173"/>
      <c r="CI304" s="173"/>
      <c r="CJ304" s="173"/>
      <c r="CK304" s="173"/>
      <c r="CL304" s="173"/>
      <c r="CM304" s="173"/>
      <c r="CN304" s="173"/>
      <c r="CO304" s="173"/>
      <c r="CP304" s="173"/>
      <c r="CQ304" s="173"/>
      <c r="CR304" s="173"/>
      <c r="CS304" s="173"/>
      <c r="CT304" s="173"/>
      <c r="CU304" s="173"/>
      <c r="CV304" s="173"/>
      <c r="CW304" s="173"/>
      <c r="CX304" s="173"/>
      <c r="CY304" s="148"/>
      <c r="CZ304" s="148"/>
      <c r="DA304" s="148"/>
      <c r="DB304" s="148"/>
      <c r="DC304" s="148"/>
      <c r="DD304" s="148"/>
      <c r="DE304" s="148"/>
      <c r="DF304" s="148"/>
      <c r="DG304" s="148"/>
      <c r="DH304" s="148"/>
      <c r="DI304" s="148"/>
      <c r="DJ304" s="148"/>
      <c r="DK304" s="148"/>
      <c r="DL304" s="148"/>
      <c r="DM304" s="148"/>
      <c r="DN304" s="148"/>
      <c r="DO304" s="148"/>
      <c r="DP304" s="148"/>
      <c r="DQ304" s="148"/>
      <c r="DR304" s="148"/>
      <c r="DS304" s="148"/>
      <c r="DT304" s="148"/>
      <c r="DU304" s="148"/>
      <c r="DV304" s="148"/>
      <c r="DW304" s="148"/>
      <c r="DX304" s="148"/>
      <c r="DY304" s="148"/>
      <c r="DZ304" s="148"/>
      <c r="EA304" s="148"/>
      <c r="EB304" s="148"/>
      <c r="EC304" s="148"/>
      <c r="ED304" s="148"/>
      <c r="EE304" s="148"/>
      <c r="EF304" s="148"/>
      <c r="EG304" s="148"/>
      <c r="EH304" s="148"/>
      <c r="EI304" s="148"/>
      <c r="EJ304" s="148"/>
      <c r="EK304" s="148"/>
      <c r="EL304" s="148"/>
      <c r="EM304" s="148"/>
      <c r="EN304" s="148"/>
      <c r="EO304" s="148"/>
      <c r="EP304" s="148"/>
      <c r="EQ304" s="148"/>
      <c r="ER304" s="148"/>
      <c r="ES304" s="148"/>
      <c r="ET304" s="148"/>
      <c r="EU304" s="148"/>
      <c r="EV304" s="148"/>
      <c r="EW304" s="148"/>
      <c r="EX304" s="148"/>
      <c r="EY304" s="148"/>
      <c r="EZ304" s="148"/>
      <c r="FA304" s="148"/>
      <c r="FB304" s="148"/>
      <c r="FC304" s="148"/>
      <c r="FD304" s="148"/>
      <c r="FE304" s="148"/>
      <c r="FF304" s="148"/>
      <c r="FG304" s="148"/>
      <c r="FH304" s="148"/>
      <c r="FI304" s="148"/>
      <c r="FJ304" s="148"/>
      <c r="FK304" s="148"/>
      <c r="FL304" s="148"/>
      <c r="FM304" s="148"/>
      <c r="FN304" s="148"/>
      <c r="FO304" s="148"/>
      <c r="FP304" s="148"/>
      <c r="FQ304" s="148"/>
      <c r="FR304" s="148"/>
      <c r="FS304" s="148"/>
      <c r="FT304" s="148"/>
      <c r="FU304" s="148"/>
      <c r="FV304" s="148"/>
      <c r="FW304" s="148"/>
      <c r="FX304" s="148"/>
      <c r="FY304" s="148"/>
      <c r="FZ304" s="148"/>
      <c r="GA304" s="148"/>
      <c r="GB304" s="148"/>
      <c r="GC304" s="148"/>
      <c r="GD304" s="148"/>
      <c r="GE304" s="148"/>
      <c r="GF304" s="148"/>
      <c r="GG304" s="149"/>
    </row>
    <row r="305" spans="1:189" x14ac:dyDescent="0.35">
      <c r="A305" s="267" t="s">
        <v>1235</v>
      </c>
      <c r="B305" s="221"/>
      <c r="C305" s="221"/>
      <c r="D305" s="222"/>
      <c r="E305" s="221" t="s">
        <v>1238</v>
      </c>
      <c r="F305" s="221" t="s">
        <v>1239</v>
      </c>
      <c r="G305" s="223">
        <v>2</v>
      </c>
      <c r="H305" s="224" t="s">
        <v>1237</v>
      </c>
      <c r="I305" s="225"/>
      <c r="J305" s="225"/>
      <c r="K305" s="225"/>
      <c r="L305" s="226">
        <v>45995</v>
      </c>
      <c r="M305" s="226">
        <v>46063</v>
      </c>
      <c r="N305" s="226"/>
      <c r="O305" s="226">
        <v>46063</v>
      </c>
      <c r="P305" s="226">
        <v>46934</v>
      </c>
      <c r="Q305" s="227" t="s">
        <v>20</v>
      </c>
      <c r="R305" s="228"/>
      <c r="S305" s="228">
        <v>50000</v>
      </c>
      <c r="T305" s="228">
        <v>50000</v>
      </c>
      <c r="U305" s="191">
        <f t="shared" ref="U305:U306" si="362">IF(Q305="",0,IF(T305="",0,+S305-T305))</f>
        <v>0</v>
      </c>
      <c r="V305" s="230"/>
      <c r="W305" s="232"/>
      <c r="X305" s="46"/>
      <c r="Y305" s="167">
        <f t="shared" ref="Y305:Y306" si="363">IF(G305=2,S305,0)</f>
        <v>50000</v>
      </c>
      <c r="Z305" s="167">
        <f t="shared" ref="Z305:Z306" si="364">IF(Q305="",0,IF(G305=2,T305,0))</f>
        <v>50000</v>
      </c>
      <c r="AA305" s="167">
        <f t="shared" ref="AA305:AA306" si="365">Y305-Z305</f>
        <v>0</v>
      </c>
      <c r="AB305" s="167">
        <f t="shared" ref="AB305:AB306" si="366">IF(G305=1,S305,0)</f>
        <v>0</v>
      </c>
      <c r="AC305" s="167">
        <f t="shared" ref="AC305:AC306" si="367">IF(Q305="",0,IF(G305=1,T305,0))</f>
        <v>0</v>
      </c>
      <c r="AD305" s="167">
        <f t="shared" ref="AD305:AD306" si="368">AB305-AC305</f>
        <v>0</v>
      </c>
      <c r="AF305" s="47">
        <f t="shared" ref="AF305:AF306" si="369">IF(S305&lt;&gt;"",1,0)</f>
        <v>1</v>
      </c>
      <c r="AG305" s="202" t="str">
        <f t="shared" ref="AG305:AG306" si="370">B305&amp;" "&amp;F305</f>
        <v xml:space="preserve"> Coffee machine rental ECd_28</v>
      </c>
      <c r="AH305" s="147"/>
      <c r="AI305" s="148"/>
      <c r="AJ305" s="148"/>
      <c r="AK305" s="148"/>
      <c r="AL305" s="148"/>
      <c r="AM305" s="148"/>
      <c r="AN305" s="148"/>
      <c r="AO305" s="148"/>
      <c r="AP305" s="148"/>
      <c r="AQ305" s="148"/>
      <c r="AR305" s="148"/>
      <c r="AS305" s="148"/>
      <c r="AT305" s="148"/>
      <c r="AU305" s="148"/>
      <c r="AV305" s="148"/>
      <c r="AW305" s="148"/>
      <c r="AX305" s="148"/>
      <c r="AY305" s="148"/>
      <c r="AZ305" s="148"/>
      <c r="BA305" s="148"/>
      <c r="BB305" s="148"/>
      <c r="BC305" s="148"/>
      <c r="BD305" s="148"/>
      <c r="BE305" s="148"/>
      <c r="BF305" s="148"/>
      <c r="BG305" s="148"/>
      <c r="BH305" s="148"/>
      <c r="BI305" s="148"/>
      <c r="BJ305" s="148"/>
      <c r="BK305" s="148"/>
      <c r="BL305" s="148"/>
      <c r="BM305" s="148"/>
      <c r="BN305" s="148"/>
      <c r="BO305" s="148"/>
      <c r="BP305" s="148"/>
      <c r="BQ305" s="148"/>
      <c r="BR305" s="148"/>
      <c r="BS305" s="148"/>
      <c r="BT305" s="148"/>
      <c r="BU305" s="148"/>
      <c r="BV305" s="148"/>
      <c r="BW305" s="148"/>
      <c r="BX305" s="148"/>
      <c r="BY305" s="148"/>
      <c r="BZ305" s="148"/>
      <c r="CA305" s="148"/>
      <c r="CB305" s="148"/>
      <c r="CC305" s="148"/>
      <c r="CD305" s="148"/>
      <c r="CE305" s="148"/>
      <c r="CF305" s="148"/>
      <c r="CG305" s="148"/>
      <c r="CH305" s="148"/>
      <c r="CI305" s="148"/>
      <c r="CJ305" s="148"/>
      <c r="CK305" s="148"/>
      <c r="CL305" s="148"/>
      <c r="CM305" s="148"/>
      <c r="CN305" s="148"/>
      <c r="CO305" s="148"/>
      <c r="CP305" s="148"/>
      <c r="CQ305" s="148"/>
      <c r="CR305" s="148"/>
      <c r="CS305" s="148"/>
      <c r="CT305" s="148"/>
      <c r="CU305" s="148"/>
      <c r="CV305" s="148"/>
      <c r="CW305" s="148"/>
      <c r="CX305" s="148"/>
      <c r="CY305" s="148"/>
      <c r="CZ305" s="148"/>
      <c r="DA305" s="148"/>
      <c r="DB305" s="148"/>
      <c r="DC305" s="148"/>
      <c r="DD305" s="148"/>
      <c r="DE305" s="148"/>
      <c r="DF305" s="148"/>
      <c r="DG305" s="148"/>
      <c r="DH305" s="148"/>
      <c r="DI305" s="148"/>
      <c r="DJ305" s="148"/>
      <c r="DK305" s="148"/>
      <c r="DL305" s="148"/>
      <c r="DM305" s="148"/>
      <c r="DN305" s="148"/>
      <c r="DO305" s="148"/>
      <c r="DP305" s="148"/>
      <c r="DQ305" s="148"/>
      <c r="DR305" s="148"/>
      <c r="DS305" s="148"/>
      <c r="DT305" s="148"/>
      <c r="DU305" s="148"/>
      <c r="DV305" s="148"/>
      <c r="DW305" s="148"/>
      <c r="DX305" s="148"/>
      <c r="DY305" s="148"/>
      <c r="DZ305" s="148"/>
      <c r="EA305" s="148"/>
      <c r="EB305" s="148"/>
      <c r="EC305" s="148"/>
      <c r="ED305" s="148"/>
      <c r="EE305" s="148"/>
      <c r="EF305" s="148"/>
      <c r="EG305" s="148"/>
      <c r="EH305" s="148"/>
      <c r="EI305" s="148"/>
      <c r="EJ305" s="148"/>
      <c r="EK305" s="148"/>
      <c r="EL305" s="148"/>
      <c r="EM305" s="148"/>
      <c r="EN305" s="148"/>
      <c r="EO305" s="148"/>
      <c r="EP305" s="148"/>
      <c r="EQ305" s="148"/>
      <c r="ER305" s="148"/>
      <c r="ES305" s="148"/>
      <c r="ET305" s="148"/>
      <c r="EU305" s="148"/>
      <c r="EV305" s="148"/>
      <c r="EW305" s="148"/>
      <c r="EX305" s="148"/>
      <c r="EY305" s="148"/>
      <c r="EZ305" s="148"/>
      <c r="FA305" s="148"/>
      <c r="FB305" s="148"/>
      <c r="FC305" s="148"/>
      <c r="FD305" s="148"/>
      <c r="FE305" s="148"/>
      <c r="FF305" s="148"/>
      <c r="FG305" s="148"/>
      <c r="FH305" s="148"/>
      <c r="FI305" s="148"/>
      <c r="FJ305" s="148"/>
      <c r="FK305" s="148"/>
      <c r="FL305" s="148"/>
      <c r="FM305" s="148"/>
      <c r="FN305" s="148"/>
      <c r="FO305" s="148"/>
      <c r="FP305" s="148"/>
      <c r="FQ305" s="148"/>
      <c r="FR305" s="148"/>
      <c r="FS305" s="148"/>
      <c r="FT305" s="148"/>
      <c r="FU305" s="148"/>
      <c r="FV305" s="148"/>
      <c r="FW305" s="148"/>
      <c r="FX305" s="148"/>
      <c r="FY305" s="148"/>
      <c r="FZ305" s="148"/>
      <c r="GA305" s="148"/>
      <c r="GB305" s="148"/>
      <c r="GC305" s="148"/>
      <c r="GD305" s="148"/>
      <c r="GE305" s="148"/>
      <c r="GF305" s="148"/>
      <c r="GG305" s="149"/>
    </row>
    <row r="306" spans="1:189" x14ac:dyDescent="0.35">
      <c r="A306" s="267" t="s">
        <v>1236</v>
      </c>
      <c r="B306" s="221"/>
      <c r="C306" s="221"/>
      <c r="D306" s="222"/>
      <c r="E306" s="221"/>
      <c r="F306" s="221"/>
      <c r="G306" s="223">
        <v>2</v>
      </c>
      <c r="H306" s="224"/>
      <c r="I306" s="225"/>
      <c r="J306" s="225"/>
      <c r="K306" s="225"/>
      <c r="L306" s="226"/>
      <c r="M306" s="226"/>
      <c r="N306" s="226"/>
      <c r="O306" s="226"/>
      <c r="P306" s="226"/>
      <c r="Q306" s="227"/>
      <c r="R306" s="228"/>
      <c r="S306" s="228"/>
      <c r="T306" s="228"/>
      <c r="U306" s="191">
        <f t="shared" si="362"/>
        <v>0</v>
      </c>
      <c r="V306" s="230"/>
      <c r="W306" s="232"/>
      <c r="X306" s="46"/>
      <c r="Y306" s="167">
        <f t="shared" si="363"/>
        <v>0</v>
      </c>
      <c r="Z306" s="167">
        <f t="shared" si="364"/>
        <v>0</v>
      </c>
      <c r="AA306" s="167">
        <f t="shared" si="365"/>
        <v>0</v>
      </c>
      <c r="AB306" s="167">
        <f t="shared" si="366"/>
        <v>0</v>
      </c>
      <c r="AC306" s="167">
        <f t="shared" si="367"/>
        <v>0</v>
      </c>
      <c r="AD306" s="167">
        <f t="shared" si="368"/>
        <v>0</v>
      </c>
      <c r="AF306" s="47">
        <f t="shared" si="369"/>
        <v>0</v>
      </c>
      <c r="AG306" s="202" t="str">
        <f t="shared" si="370"/>
        <v xml:space="preserve"> </v>
      </c>
      <c r="AH306" s="172"/>
      <c r="AI306" s="173"/>
      <c r="AJ306" s="173"/>
      <c r="AK306" s="173"/>
      <c r="AL306" s="173"/>
      <c r="AM306" s="173"/>
      <c r="AN306" s="173"/>
      <c r="AO306" s="173"/>
      <c r="AP306" s="173"/>
      <c r="AQ306" s="173"/>
      <c r="AR306" s="173"/>
      <c r="AS306" s="173"/>
      <c r="AT306" s="173"/>
      <c r="AU306" s="173"/>
      <c r="AV306" s="173"/>
      <c r="AW306" s="173"/>
      <c r="AX306" s="173"/>
      <c r="AY306" s="173"/>
      <c r="AZ306" s="173"/>
      <c r="BA306" s="173"/>
      <c r="BB306" s="173"/>
      <c r="BC306" s="173"/>
      <c r="BD306" s="173"/>
      <c r="BE306" s="173"/>
      <c r="BF306" s="173"/>
      <c r="BG306" s="173"/>
      <c r="BH306" s="173"/>
      <c r="BI306" s="173"/>
      <c r="BJ306" s="173"/>
      <c r="BK306" s="173"/>
      <c r="BL306" s="173"/>
      <c r="BM306" s="173"/>
      <c r="BN306" s="173"/>
      <c r="BO306" s="173"/>
      <c r="BP306" s="173"/>
      <c r="BQ306" s="173"/>
      <c r="BR306" s="173"/>
      <c r="BS306" s="173"/>
      <c r="BT306" s="173"/>
      <c r="BU306" s="173"/>
      <c r="BV306" s="173"/>
      <c r="BW306" s="173"/>
      <c r="BX306" s="173"/>
      <c r="BY306" s="173"/>
      <c r="BZ306" s="173"/>
      <c r="CA306" s="173"/>
      <c r="CB306" s="173"/>
      <c r="CC306" s="173"/>
      <c r="CD306" s="173"/>
      <c r="CE306" s="173"/>
      <c r="CF306" s="173"/>
      <c r="CG306" s="173"/>
      <c r="CH306" s="173"/>
      <c r="CI306" s="173"/>
      <c r="CJ306" s="173"/>
      <c r="CK306" s="173"/>
      <c r="CL306" s="173"/>
      <c r="CM306" s="173"/>
      <c r="CN306" s="173"/>
      <c r="CO306" s="173"/>
      <c r="CP306" s="173"/>
      <c r="CQ306" s="173"/>
      <c r="CR306" s="173"/>
      <c r="CS306" s="173"/>
      <c r="CT306" s="173"/>
      <c r="CU306" s="173"/>
      <c r="CV306" s="173"/>
      <c r="CW306" s="173"/>
      <c r="CX306" s="173"/>
      <c r="CY306" s="148"/>
      <c r="CZ306" s="148"/>
      <c r="DA306" s="148"/>
      <c r="DB306" s="148"/>
      <c r="DC306" s="148"/>
      <c r="DD306" s="148"/>
      <c r="DE306" s="148"/>
      <c r="DF306" s="148"/>
      <c r="DG306" s="148"/>
      <c r="DH306" s="148"/>
      <c r="DI306" s="148"/>
      <c r="DJ306" s="148"/>
      <c r="DK306" s="148"/>
      <c r="DL306" s="148"/>
      <c r="DM306" s="148"/>
      <c r="DN306" s="148"/>
      <c r="DO306" s="148"/>
      <c r="DP306" s="148"/>
      <c r="DQ306" s="148"/>
      <c r="DR306" s="148"/>
      <c r="DS306" s="148"/>
      <c r="DT306" s="148"/>
      <c r="DU306" s="148"/>
      <c r="DV306" s="148"/>
      <c r="DW306" s="148"/>
      <c r="DX306" s="148"/>
      <c r="DY306" s="148"/>
      <c r="DZ306" s="148"/>
      <c r="EA306" s="148"/>
      <c r="EB306" s="148"/>
      <c r="EC306" s="148"/>
      <c r="ED306" s="148"/>
      <c r="EE306" s="148"/>
      <c r="EF306" s="148"/>
      <c r="EG306" s="148"/>
      <c r="EH306" s="148"/>
      <c r="EI306" s="148"/>
      <c r="EJ306" s="148"/>
      <c r="EK306" s="148"/>
      <c r="EL306" s="148"/>
      <c r="EM306" s="148"/>
      <c r="EN306" s="148"/>
      <c r="EO306" s="148"/>
      <c r="EP306" s="148"/>
      <c r="EQ306" s="148"/>
      <c r="ER306" s="148"/>
      <c r="ES306" s="148"/>
      <c r="ET306" s="148"/>
      <c r="EU306" s="148"/>
      <c r="EV306" s="148"/>
      <c r="EW306" s="148"/>
      <c r="EX306" s="148"/>
      <c r="EY306" s="148"/>
      <c r="EZ306" s="148"/>
      <c r="FA306" s="148"/>
      <c r="FB306" s="148"/>
      <c r="FC306" s="148"/>
      <c r="FD306" s="148"/>
      <c r="FE306" s="148"/>
      <c r="FF306" s="148"/>
      <c r="FG306" s="148"/>
      <c r="FH306" s="148"/>
      <c r="FI306" s="148"/>
      <c r="FJ306" s="148"/>
      <c r="FK306" s="148"/>
      <c r="FL306" s="148"/>
      <c r="FM306" s="148"/>
      <c r="FN306" s="148"/>
      <c r="FO306" s="148"/>
      <c r="FP306" s="148"/>
      <c r="FQ306" s="148"/>
      <c r="FR306" s="148"/>
      <c r="FS306" s="148"/>
      <c r="FT306" s="148"/>
      <c r="FU306" s="148"/>
      <c r="FV306" s="148"/>
      <c r="FW306" s="148"/>
      <c r="FX306" s="148"/>
      <c r="FY306" s="148"/>
      <c r="FZ306" s="148"/>
      <c r="GA306" s="148"/>
      <c r="GB306" s="148"/>
      <c r="GC306" s="148"/>
      <c r="GD306" s="148"/>
      <c r="GE306" s="148"/>
      <c r="GF306" s="148"/>
      <c r="GG306" s="149"/>
    </row>
    <row r="307" spans="1:189" x14ac:dyDescent="0.35">
      <c r="A307" s="297" t="s">
        <v>931</v>
      </c>
      <c r="B307" s="298"/>
      <c r="C307" s="298"/>
      <c r="D307" s="299"/>
      <c r="E307" s="298" t="s">
        <v>797</v>
      </c>
      <c r="F307" s="298" t="s">
        <v>840</v>
      </c>
      <c r="G307" s="300">
        <v>2</v>
      </c>
      <c r="H307" s="301"/>
      <c r="I307" s="302"/>
      <c r="J307" s="302"/>
      <c r="K307" s="302"/>
      <c r="L307" s="303">
        <v>45995</v>
      </c>
      <c r="M307" s="303">
        <v>46752</v>
      </c>
      <c r="N307" s="303"/>
      <c r="O307" s="303">
        <v>46054</v>
      </c>
      <c r="P307" s="303">
        <v>46934</v>
      </c>
      <c r="Q307" s="304" t="s">
        <v>45</v>
      </c>
      <c r="R307" s="305">
        <v>500480</v>
      </c>
      <c r="S307" s="305">
        <v>500480</v>
      </c>
      <c r="T307" s="305"/>
      <c r="U307" s="191">
        <f t="shared" si="318"/>
        <v>0</v>
      </c>
      <c r="V307" s="306"/>
      <c r="W307" s="307"/>
      <c r="X307" s="46"/>
      <c r="Y307" s="167">
        <f t="shared" si="319"/>
        <v>500480</v>
      </c>
      <c r="Z307" s="167">
        <f t="shared" si="320"/>
        <v>0</v>
      </c>
      <c r="AA307" s="167">
        <f t="shared" si="321"/>
        <v>500480</v>
      </c>
      <c r="AB307" s="167">
        <f t="shared" si="322"/>
        <v>0</v>
      </c>
      <c r="AC307" s="167">
        <f t="shared" si="323"/>
        <v>0</v>
      </c>
      <c r="AD307" s="167">
        <f t="shared" si="324"/>
        <v>0</v>
      </c>
      <c r="AF307" s="47">
        <f t="shared" si="342"/>
        <v>1</v>
      </c>
      <c r="AG307" s="202" t="str">
        <f t="shared" si="343"/>
        <v xml:space="preserve"> PORR Office Costs (with PC Service)</v>
      </c>
      <c r="AH307" s="172"/>
      <c r="AI307" s="173"/>
      <c r="AJ307" s="173"/>
      <c r="AK307" s="173"/>
      <c r="AL307" s="173"/>
      <c r="AM307" s="173"/>
      <c r="AN307" s="173"/>
      <c r="AO307" s="173"/>
      <c r="AP307" s="173"/>
      <c r="AQ307" s="173"/>
      <c r="AR307" s="173"/>
      <c r="AS307" s="173"/>
      <c r="AT307" s="173"/>
      <c r="AU307" s="173"/>
      <c r="AV307" s="173"/>
      <c r="AW307" s="173"/>
      <c r="AX307" s="173"/>
      <c r="AY307" s="173"/>
      <c r="AZ307" s="173"/>
      <c r="BA307" s="173"/>
      <c r="BB307" s="173"/>
      <c r="BC307" s="173"/>
      <c r="BD307" s="173"/>
      <c r="BE307" s="173"/>
      <c r="BF307" s="173"/>
      <c r="BG307" s="173"/>
      <c r="BH307" s="173"/>
      <c r="BI307" s="173"/>
      <c r="BJ307" s="173"/>
      <c r="BK307" s="173"/>
      <c r="BL307" s="173"/>
      <c r="BM307" s="173"/>
      <c r="BN307" s="173"/>
      <c r="BO307" s="173"/>
      <c r="BP307" s="173"/>
      <c r="BQ307" s="173"/>
      <c r="BR307" s="173"/>
      <c r="BS307" s="173"/>
      <c r="BT307" s="173"/>
      <c r="BU307" s="173"/>
      <c r="BV307" s="173"/>
      <c r="BW307" s="173"/>
      <c r="BX307" s="173"/>
      <c r="BY307" s="173"/>
      <c r="BZ307" s="173"/>
      <c r="CA307" s="173"/>
      <c r="CB307" s="173"/>
      <c r="CC307" s="173"/>
      <c r="CD307" s="173"/>
      <c r="CE307" s="173"/>
      <c r="CF307" s="173"/>
      <c r="CG307" s="173"/>
      <c r="CH307" s="173"/>
      <c r="CI307" s="173"/>
      <c r="CJ307" s="173"/>
      <c r="CK307" s="173"/>
      <c r="CL307" s="173"/>
      <c r="CM307" s="173"/>
      <c r="CN307" s="173"/>
      <c r="CO307" s="173"/>
      <c r="CP307" s="173"/>
      <c r="CQ307" s="173"/>
      <c r="CR307" s="173"/>
      <c r="CS307" s="173"/>
      <c r="CT307" s="173"/>
      <c r="CU307" s="173"/>
      <c r="CV307" s="173"/>
      <c r="CW307" s="173"/>
      <c r="CX307" s="173"/>
      <c r="CY307" s="148"/>
      <c r="CZ307" s="148"/>
      <c r="DA307" s="148"/>
      <c r="DB307" s="148"/>
      <c r="DC307" s="148"/>
      <c r="DD307" s="148"/>
      <c r="DE307" s="148"/>
      <c r="DF307" s="148"/>
      <c r="DG307" s="148"/>
      <c r="DH307" s="148"/>
      <c r="DI307" s="148"/>
      <c r="DJ307" s="148"/>
      <c r="DK307" s="148"/>
      <c r="DL307" s="148"/>
      <c r="DM307" s="148"/>
      <c r="DN307" s="148"/>
      <c r="DO307" s="148"/>
      <c r="DP307" s="148"/>
      <c r="DQ307" s="148"/>
      <c r="DR307" s="148"/>
      <c r="DS307" s="148"/>
      <c r="DT307" s="148"/>
      <c r="DU307" s="148"/>
      <c r="DV307" s="148"/>
      <c r="DW307" s="148"/>
      <c r="DX307" s="148"/>
      <c r="DY307" s="148"/>
      <c r="DZ307" s="148"/>
      <c r="EA307" s="148"/>
      <c r="EB307" s="148"/>
      <c r="EC307" s="148"/>
      <c r="ED307" s="148"/>
      <c r="EE307" s="148"/>
      <c r="EF307" s="148"/>
      <c r="EG307" s="148"/>
      <c r="EH307" s="148"/>
      <c r="EI307" s="148"/>
      <c r="EJ307" s="148"/>
      <c r="EK307" s="148"/>
      <c r="EL307" s="148"/>
      <c r="EM307" s="148"/>
      <c r="EN307" s="148"/>
      <c r="EO307" s="148"/>
      <c r="EP307" s="148"/>
      <c r="EQ307" s="148"/>
      <c r="ER307" s="148"/>
      <c r="ES307" s="148"/>
      <c r="ET307" s="148"/>
      <c r="EU307" s="148"/>
      <c r="EV307" s="148"/>
      <c r="EW307" s="148"/>
      <c r="EX307" s="148"/>
      <c r="EY307" s="148"/>
      <c r="EZ307" s="148"/>
      <c r="FA307" s="148"/>
      <c r="FB307" s="148"/>
      <c r="FC307" s="148"/>
      <c r="FD307" s="148"/>
      <c r="FE307" s="148"/>
      <c r="FF307" s="148"/>
      <c r="FG307" s="148"/>
      <c r="FH307" s="148"/>
      <c r="FI307" s="148"/>
      <c r="FJ307" s="148"/>
      <c r="FK307" s="148"/>
      <c r="FL307" s="148"/>
      <c r="FM307" s="148"/>
      <c r="FN307" s="148"/>
      <c r="FO307" s="148"/>
      <c r="FP307" s="148"/>
      <c r="FQ307" s="148"/>
      <c r="FR307" s="148"/>
      <c r="FS307" s="148"/>
      <c r="FT307" s="148"/>
      <c r="FU307" s="148"/>
      <c r="FV307" s="148"/>
      <c r="FW307" s="148"/>
      <c r="FX307" s="148"/>
      <c r="FY307" s="148"/>
      <c r="FZ307" s="148"/>
      <c r="GA307" s="148"/>
      <c r="GB307" s="148"/>
      <c r="GC307" s="148"/>
      <c r="GD307" s="148"/>
      <c r="GE307" s="148"/>
      <c r="GF307" s="148"/>
      <c r="GG307" s="149"/>
    </row>
    <row r="308" spans="1:189" x14ac:dyDescent="0.35">
      <c r="A308" s="297" t="s">
        <v>932</v>
      </c>
      <c r="B308" s="298"/>
      <c r="C308" s="298"/>
      <c r="D308" s="299"/>
      <c r="E308" s="298" t="s">
        <v>798</v>
      </c>
      <c r="F308" s="298" t="s">
        <v>841</v>
      </c>
      <c r="G308" s="300">
        <v>2</v>
      </c>
      <c r="H308" s="301"/>
      <c r="I308" s="302"/>
      <c r="J308" s="302"/>
      <c r="K308" s="302"/>
      <c r="L308" s="303">
        <v>45995</v>
      </c>
      <c r="M308" s="303">
        <v>46752</v>
      </c>
      <c r="N308" s="303"/>
      <c r="O308" s="303">
        <v>46054</v>
      </c>
      <c r="P308" s="303">
        <v>46934</v>
      </c>
      <c r="Q308" s="304" t="s">
        <v>45</v>
      </c>
      <c r="R308" s="305">
        <v>43520</v>
      </c>
      <c r="S308" s="305">
        <f>R308-SUM(S309:S309)</f>
        <v>31540</v>
      </c>
      <c r="T308" s="305"/>
      <c r="U308" s="191">
        <f t="shared" si="318"/>
        <v>0</v>
      </c>
      <c r="V308" s="306"/>
      <c r="W308" s="307"/>
      <c r="X308" s="46"/>
      <c r="Y308" s="167">
        <f t="shared" si="319"/>
        <v>31540</v>
      </c>
      <c r="Z308" s="167">
        <f t="shared" si="320"/>
        <v>0</v>
      </c>
      <c r="AA308" s="167">
        <f t="shared" si="321"/>
        <v>31540</v>
      </c>
      <c r="AB308" s="167">
        <f t="shared" si="322"/>
        <v>0</v>
      </c>
      <c r="AC308" s="167">
        <f t="shared" si="323"/>
        <v>0</v>
      </c>
      <c r="AD308" s="167">
        <f t="shared" si="324"/>
        <v>0</v>
      </c>
      <c r="AF308" s="47">
        <f t="shared" si="342"/>
        <v>1</v>
      </c>
      <c r="AG308" s="202" t="str">
        <f t="shared" si="343"/>
        <v xml:space="preserve"> Office Equipment</v>
      </c>
      <c r="AH308" s="172"/>
      <c r="AI308" s="173"/>
      <c r="AJ308" s="173"/>
      <c r="AK308" s="173"/>
      <c r="AL308" s="173"/>
      <c r="AM308" s="173"/>
      <c r="AN308" s="173"/>
      <c r="AO308" s="173"/>
      <c r="AP308" s="173"/>
      <c r="AQ308" s="173"/>
      <c r="AR308" s="173"/>
      <c r="AS308" s="173"/>
      <c r="AT308" s="173"/>
      <c r="AU308" s="173"/>
      <c r="AV308" s="173"/>
      <c r="AW308" s="173"/>
      <c r="AX308" s="173"/>
      <c r="AY308" s="173"/>
      <c r="AZ308" s="173"/>
      <c r="BA308" s="173"/>
      <c r="BB308" s="173"/>
      <c r="BC308" s="173"/>
      <c r="BD308" s="173"/>
      <c r="BE308" s="173"/>
      <c r="BF308" s="173"/>
      <c r="BG308" s="173"/>
      <c r="BH308" s="173"/>
      <c r="BI308" s="173"/>
      <c r="BJ308" s="173"/>
      <c r="BK308" s="173"/>
      <c r="BL308" s="173"/>
      <c r="BM308" s="173"/>
      <c r="BN308" s="173"/>
      <c r="BO308" s="173"/>
      <c r="BP308" s="173"/>
      <c r="BQ308" s="173"/>
      <c r="BR308" s="173"/>
      <c r="BS308" s="173"/>
      <c r="BT308" s="173"/>
      <c r="BU308" s="173"/>
      <c r="BV308" s="173"/>
      <c r="BW308" s="173"/>
      <c r="BX308" s="173"/>
      <c r="BY308" s="173"/>
      <c r="BZ308" s="173"/>
      <c r="CA308" s="173"/>
      <c r="CB308" s="173"/>
      <c r="CC308" s="173"/>
      <c r="CD308" s="173"/>
      <c r="CE308" s="173"/>
      <c r="CF308" s="173"/>
      <c r="CG308" s="173"/>
      <c r="CH308" s="173"/>
      <c r="CI308" s="173"/>
      <c r="CJ308" s="173"/>
      <c r="CK308" s="173"/>
      <c r="CL308" s="173"/>
      <c r="CM308" s="173"/>
      <c r="CN308" s="173"/>
      <c r="CO308" s="173"/>
      <c r="CP308" s="173"/>
      <c r="CQ308" s="173"/>
      <c r="CR308" s="173"/>
      <c r="CS308" s="173"/>
      <c r="CT308" s="173"/>
      <c r="CU308" s="173"/>
      <c r="CV308" s="173"/>
      <c r="CW308" s="173"/>
      <c r="CX308" s="173"/>
      <c r="CY308" s="148"/>
      <c r="CZ308" s="148"/>
      <c r="DA308" s="148"/>
      <c r="DB308" s="148"/>
      <c r="DC308" s="148"/>
      <c r="DD308" s="148"/>
      <c r="DE308" s="148"/>
      <c r="DF308" s="148"/>
      <c r="DG308" s="148"/>
      <c r="DH308" s="148"/>
      <c r="DI308" s="148"/>
      <c r="DJ308" s="148"/>
      <c r="DK308" s="148"/>
      <c r="DL308" s="148"/>
      <c r="DM308" s="148"/>
      <c r="DN308" s="148"/>
      <c r="DO308" s="148"/>
      <c r="DP308" s="148"/>
      <c r="DQ308" s="148"/>
      <c r="DR308" s="148"/>
      <c r="DS308" s="148"/>
      <c r="DT308" s="148"/>
      <c r="DU308" s="148"/>
      <c r="DV308" s="148"/>
      <c r="DW308" s="148"/>
      <c r="DX308" s="148"/>
      <c r="DY308" s="148"/>
      <c r="DZ308" s="148"/>
      <c r="EA308" s="148"/>
      <c r="EB308" s="148"/>
      <c r="EC308" s="148"/>
      <c r="ED308" s="148"/>
      <c r="EE308" s="148"/>
      <c r="EF308" s="148"/>
      <c r="EG308" s="148"/>
      <c r="EH308" s="148"/>
      <c r="EI308" s="148"/>
      <c r="EJ308" s="148"/>
      <c r="EK308" s="148"/>
      <c r="EL308" s="148"/>
      <c r="EM308" s="148"/>
      <c r="EN308" s="148"/>
      <c r="EO308" s="148"/>
      <c r="EP308" s="148"/>
      <c r="EQ308" s="148"/>
      <c r="ER308" s="148"/>
      <c r="ES308" s="148"/>
      <c r="ET308" s="148"/>
      <c r="EU308" s="148"/>
      <c r="EV308" s="148"/>
      <c r="EW308" s="148"/>
      <c r="EX308" s="148"/>
      <c r="EY308" s="148"/>
      <c r="EZ308" s="148"/>
      <c r="FA308" s="148"/>
      <c r="FB308" s="148"/>
      <c r="FC308" s="148"/>
      <c r="FD308" s="148"/>
      <c r="FE308" s="148"/>
      <c r="FF308" s="148"/>
      <c r="FG308" s="148"/>
      <c r="FH308" s="148"/>
      <c r="FI308" s="148"/>
      <c r="FJ308" s="148"/>
      <c r="FK308" s="148"/>
      <c r="FL308" s="148"/>
      <c r="FM308" s="148"/>
      <c r="FN308" s="148"/>
      <c r="FO308" s="148"/>
      <c r="FP308" s="148"/>
      <c r="FQ308" s="148"/>
      <c r="FR308" s="148"/>
      <c r="FS308" s="148"/>
      <c r="FT308" s="148"/>
      <c r="FU308" s="148"/>
      <c r="FV308" s="148"/>
      <c r="FW308" s="148"/>
      <c r="FX308" s="148"/>
      <c r="FY308" s="148"/>
      <c r="FZ308" s="148"/>
      <c r="GA308" s="148"/>
      <c r="GB308" s="148"/>
      <c r="GC308" s="148"/>
      <c r="GD308" s="148"/>
      <c r="GE308" s="148"/>
      <c r="GF308" s="148"/>
      <c r="GG308" s="149"/>
    </row>
    <row r="309" spans="1:189" x14ac:dyDescent="0.35">
      <c r="A309" s="267" t="s">
        <v>1291</v>
      </c>
      <c r="B309" s="221"/>
      <c r="C309" s="221"/>
      <c r="D309" s="222"/>
      <c r="E309" s="221" t="s">
        <v>1294</v>
      </c>
      <c r="F309" s="221" t="s">
        <v>1294</v>
      </c>
      <c r="G309" s="223">
        <v>1</v>
      </c>
      <c r="H309" s="224" t="s">
        <v>1292</v>
      </c>
      <c r="I309" s="225"/>
      <c r="J309" s="225"/>
      <c r="K309" s="225"/>
      <c r="L309" s="226">
        <v>45995</v>
      </c>
      <c r="M309" s="226">
        <v>46064</v>
      </c>
      <c r="N309" s="226"/>
      <c r="O309" s="226">
        <v>46064</v>
      </c>
      <c r="P309" s="226">
        <v>46934</v>
      </c>
      <c r="Q309" s="227" t="s">
        <v>20</v>
      </c>
      <c r="R309" s="228"/>
      <c r="S309" s="228">
        <v>11980</v>
      </c>
      <c r="T309" s="228">
        <v>11980</v>
      </c>
      <c r="U309" s="191">
        <f t="shared" si="318"/>
        <v>0</v>
      </c>
      <c r="V309" s="230"/>
      <c r="W309" s="232"/>
      <c r="X309" s="46"/>
      <c r="Y309" s="167">
        <f t="shared" si="319"/>
        <v>0</v>
      </c>
      <c r="Z309" s="167">
        <f t="shared" si="320"/>
        <v>0</v>
      </c>
      <c r="AA309" s="167">
        <f t="shared" si="321"/>
        <v>0</v>
      </c>
      <c r="AB309" s="167">
        <f t="shared" si="322"/>
        <v>11980</v>
      </c>
      <c r="AC309" s="167">
        <f t="shared" si="323"/>
        <v>11980</v>
      </c>
      <c r="AD309" s="167">
        <f t="shared" si="324"/>
        <v>0</v>
      </c>
      <c r="AF309" s="47">
        <f t="shared" si="342"/>
        <v>1</v>
      </c>
      <c r="AG309" s="202" t="str">
        <f t="shared" si="343"/>
        <v xml:space="preserve"> TV ECd_33</v>
      </c>
      <c r="AH309" s="153"/>
      <c r="AI309" s="154"/>
      <c r="AJ309" s="154"/>
      <c r="AK309" s="154"/>
      <c r="AL309" s="154"/>
      <c r="AM309" s="154"/>
      <c r="AN309" s="154"/>
      <c r="AO309" s="154"/>
      <c r="AP309" s="154"/>
      <c r="AQ309" s="154"/>
      <c r="AR309" s="154"/>
      <c r="AS309" s="154"/>
      <c r="AT309" s="154"/>
      <c r="AU309" s="154"/>
      <c r="AV309" s="154"/>
      <c r="AW309" s="154"/>
      <c r="AX309" s="154"/>
      <c r="AY309" s="154"/>
      <c r="AZ309" s="154"/>
      <c r="BA309" s="151"/>
      <c r="BB309" s="151"/>
      <c r="BC309" s="151"/>
      <c r="BD309" s="151"/>
      <c r="BE309" s="151"/>
      <c r="BF309" s="151"/>
      <c r="BG309" s="151"/>
      <c r="BH309" s="151"/>
      <c r="BI309" s="151"/>
      <c r="BJ309" s="151"/>
      <c r="BK309" s="151"/>
      <c r="BL309" s="151"/>
      <c r="BM309" s="151"/>
      <c r="BN309" s="151"/>
      <c r="BO309" s="151"/>
      <c r="BP309" s="151"/>
      <c r="BQ309" s="151"/>
      <c r="BR309" s="151"/>
      <c r="BS309" s="151"/>
      <c r="BT309" s="151"/>
      <c r="BU309" s="151"/>
      <c r="BV309" s="151"/>
      <c r="BW309" s="151"/>
      <c r="BX309" s="151"/>
      <c r="BY309" s="151"/>
      <c r="BZ309" s="151"/>
      <c r="CA309" s="151"/>
      <c r="CB309" s="151"/>
      <c r="CC309" s="151"/>
      <c r="CD309" s="151"/>
      <c r="CE309" s="151"/>
      <c r="CF309" s="151"/>
      <c r="CG309" s="151"/>
      <c r="CH309" s="151"/>
      <c r="CI309" s="151"/>
      <c r="CJ309" s="151"/>
      <c r="CK309" s="151"/>
      <c r="CL309" s="151"/>
      <c r="CM309" s="151"/>
      <c r="CN309" s="151"/>
      <c r="CO309" s="151"/>
      <c r="CP309" s="151"/>
      <c r="CQ309" s="151"/>
      <c r="CR309" s="151"/>
      <c r="CS309" s="151"/>
      <c r="CT309" s="151"/>
      <c r="CU309" s="151"/>
      <c r="CV309" s="151"/>
      <c r="CW309" s="151"/>
      <c r="CX309" s="151"/>
      <c r="CY309" s="151"/>
      <c r="CZ309" s="151"/>
      <c r="DA309" s="151"/>
      <c r="DB309" s="151"/>
      <c r="DC309" s="151"/>
      <c r="DD309" s="151"/>
      <c r="DE309" s="151"/>
      <c r="DF309" s="151"/>
      <c r="DG309" s="151"/>
      <c r="DH309" s="151"/>
      <c r="DI309" s="151"/>
      <c r="DJ309" s="151"/>
      <c r="DK309" s="151"/>
      <c r="DL309" s="151"/>
      <c r="DM309" s="151"/>
      <c r="DN309" s="151"/>
      <c r="DO309" s="151"/>
      <c r="DP309" s="151"/>
      <c r="DQ309" s="151"/>
      <c r="DR309" s="151"/>
      <c r="DS309" s="151"/>
      <c r="DT309" s="151"/>
      <c r="DU309" s="151"/>
      <c r="DV309" s="151"/>
      <c r="DW309" s="151"/>
      <c r="DX309" s="151"/>
      <c r="DY309" s="151"/>
      <c r="DZ309" s="151"/>
      <c r="EA309" s="151"/>
      <c r="EB309" s="151"/>
      <c r="EC309" s="151"/>
      <c r="ED309" s="151"/>
      <c r="EE309" s="151"/>
      <c r="EF309" s="151"/>
      <c r="EG309" s="151"/>
      <c r="EH309" s="151"/>
      <c r="EI309" s="151"/>
      <c r="EJ309" s="151"/>
      <c r="EK309" s="151"/>
      <c r="EL309" s="151"/>
      <c r="EM309" s="151"/>
      <c r="EN309" s="151"/>
      <c r="EO309" s="151"/>
      <c r="EP309" s="151"/>
      <c r="EQ309" s="151"/>
      <c r="ER309" s="151"/>
      <c r="ES309" s="151"/>
      <c r="ET309" s="151"/>
      <c r="EU309" s="151"/>
      <c r="EV309" s="151"/>
      <c r="EW309" s="151"/>
      <c r="EX309" s="151"/>
      <c r="EY309" s="151"/>
      <c r="EZ309" s="151"/>
      <c r="FA309" s="151"/>
      <c r="FB309" s="151"/>
      <c r="FC309" s="151"/>
      <c r="FD309" s="151"/>
      <c r="FE309" s="151"/>
      <c r="FF309" s="151"/>
      <c r="FG309" s="151"/>
      <c r="FH309" s="151"/>
      <c r="FI309" s="151"/>
      <c r="FJ309" s="151"/>
      <c r="FK309" s="151"/>
      <c r="FL309" s="151"/>
      <c r="FM309" s="151"/>
      <c r="FN309" s="151"/>
      <c r="FO309" s="151"/>
      <c r="FP309" s="151"/>
      <c r="FQ309" s="151"/>
      <c r="FR309" s="151"/>
      <c r="FS309" s="151"/>
      <c r="FT309" s="151"/>
      <c r="FU309" s="151"/>
      <c r="FV309" s="151"/>
      <c r="FW309" s="151"/>
      <c r="FX309" s="151"/>
      <c r="FY309" s="151"/>
      <c r="FZ309" s="151"/>
      <c r="GA309" s="151"/>
      <c r="GB309" s="151"/>
      <c r="GC309" s="151"/>
      <c r="GD309" s="151"/>
      <c r="GE309" s="151"/>
      <c r="GF309" s="151"/>
      <c r="GG309" s="152"/>
    </row>
    <row r="310" spans="1:189" x14ac:dyDescent="0.35">
      <c r="A310" s="297" t="s">
        <v>933</v>
      </c>
      <c r="B310" s="298"/>
      <c r="C310" s="298"/>
      <c r="D310" s="299"/>
      <c r="E310" s="298" t="s">
        <v>799</v>
      </c>
      <c r="F310" s="298" t="s">
        <v>842</v>
      </c>
      <c r="G310" s="300">
        <v>2</v>
      </c>
      <c r="H310" s="301"/>
      <c r="I310" s="302"/>
      <c r="J310" s="302"/>
      <c r="K310" s="302"/>
      <c r="L310" s="303">
        <v>45995</v>
      </c>
      <c r="M310" s="303">
        <v>46752</v>
      </c>
      <c r="N310" s="303"/>
      <c r="O310" s="303">
        <v>46054</v>
      </c>
      <c r="P310" s="303">
        <v>46934</v>
      </c>
      <c r="Q310" s="304" t="s">
        <v>45</v>
      </c>
      <c r="R310" s="305">
        <v>38080</v>
      </c>
      <c r="S310" s="305">
        <v>38080</v>
      </c>
      <c r="T310" s="305"/>
      <c r="U310" s="191">
        <f t="shared" si="318"/>
        <v>0</v>
      </c>
      <c r="V310" s="306"/>
      <c r="W310" s="307"/>
      <c r="X310" s="46"/>
      <c r="Y310" s="167">
        <f t="shared" si="319"/>
        <v>38080</v>
      </c>
      <c r="Z310" s="167">
        <f t="shared" si="320"/>
        <v>0</v>
      </c>
      <c r="AA310" s="167">
        <f t="shared" si="321"/>
        <v>38080</v>
      </c>
      <c r="AB310" s="167">
        <f t="shared" si="322"/>
        <v>0</v>
      </c>
      <c r="AC310" s="167">
        <f t="shared" si="323"/>
        <v>0</v>
      </c>
      <c r="AD310" s="167">
        <f t="shared" si="324"/>
        <v>0</v>
      </c>
      <c r="AF310" s="47">
        <f t="shared" si="342"/>
        <v>1</v>
      </c>
      <c r="AG310" s="202" t="str">
        <f t="shared" si="343"/>
        <v xml:space="preserve"> Cleaning Supplies</v>
      </c>
      <c r="AH310" s="172"/>
      <c r="AI310" s="173"/>
      <c r="AJ310" s="173"/>
      <c r="AK310" s="173"/>
      <c r="AL310" s="173"/>
      <c r="AM310" s="173"/>
      <c r="AN310" s="173"/>
      <c r="AO310" s="173"/>
      <c r="AP310" s="173"/>
      <c r="AQ310" s="173"/>
      <c r="AR310" s="173"/>
      <c r="AS310" s="173"/>
      <c r="AT310" s="173"/>
      <c r="AU310" s="173"/>
      <c r="AV310" s="173"/>
      <c r="AW310" s="173"/>
      <c r="AX310" s="173"/>
      <c r="AY310" s="173"/>
      <c r="AZ310" s="173"/>
      <c r="BA310" s="173"/>
      <c r="BB310" s="173"/>
      <c r="BC310" s="173"/>
      <c r="BD310" s="173"/>
      <c r="BE310" s="173"/>
      <c r="BF310" s="173"/>
      <c r="BG310" s="173"/>
      <c r="BH310" s="173"/>
      <c r="BI310" s="173"/>
      <c r="BJ310" s="173"/>
      <c r="BK310" s="173"/>
      <c r="BL310" s="173"/>
      <c r="BM310" s="173"/>
      <c r="BN310" s="173"/>
      <c r="BO310" s="173"/>
      <c r="BP310" s="173"/>
      <c r="BQ310" s="173"/>
      <c r="BR310" s="173"/>
      <c r="BS310" s="173"/>
      <c r="BT310" s="173"/>
      <c r="BU310" s="173"/>
      <c r="BV310" s="173"/>
      <c r="BW310" s="173"/>
      <c r="BX310" s="173"/>
      <c r="BY310" s="173"/>
      <c r="BZ310" s="173"/>
      <c r="CA310" s="173"/>
      <c r="CB310" s="173"/>
      <c r="CC310" s="173"/>
      <c r="CD310" s="173"/>
      <c r="CE310" s="173"/>
      <c r="CF310" s="173"/>
      <c r="CG310" s="173"/>
      <c r="CH310" s="173"/>
      <c r="CI310" s="173"/>
      <c r="CJ310" s="173"/>
      <c r="CK310" s="173"/>
      <c r="CL310" s="173"/>
      <c r="CM310" s="173"/>
      <c r="CN310" s="173"/>
      <c r="CO310" s="173"/>
      <c r="CP310" s="173"/>
      <c r="CQ310" s="173"/>
      <c r="CR310" s="173"/>
      <c r="CS310" s="173"/>
      <c r="CT310" s="173"/>
      <c r="CU310" s="173"/>
      <c r="CV310" s="173"/>
      <c r="CW310" s="173"/>
      <c r="CX310" s="173"/>
      <c r="CY310" s="148"/>
      <c r="CZ310" s="148"/>
      <c r="DA310" s="148"/>
      <c r="DB310" s="148"/>
      <c r="DC310" s="148"/>
      <c r="DD310" s="148"/>
      <c r="DE310" s="148"/>
      <c r="DF310" s="148"/>
      <c r="DG310" s="148"/>
      <c r="DH310" s="148"/>
      <c r="DI310" s="148"/>
      <c r="DJ310" s="148"/>
      <c r="DK310" s="148"/>
      <c r="DL310" s="148"/>
      <c r="DM310" s="148"/>
      <c r="DN310" s="148"/>
      <c r="DO310" s="148"/>
      <c r="DP310" s="148"/>
      <c r="DQ310" s="148"/>
      <c r="DR310" s="148"/>
      <c r="DS310" s="148"/>
      <c r="DT310" s="148"/>
      <c r="DU310" s="148"/>
      <c r="DV310" s="148"/>
      <c r="DW310" s="148"/>
      <c r="DX310" s="148"/>
      <c r="DY310" s="148"/>
      <c r="DZ310" s="148"/>
      <c r="EA310" s="148"/>
      <c r="EB310" s="148"/>
      <c r="EC310" s="148"/>
      <c r="ED310" s="148"/>
      <c r="EE310" s="148"/>
      <c r="EF310" s="148"/>
      <c r="EG310" s="148"/>
      <c r="EH310" s="148"/>
      <c r="EI310" s="148"/>
      <c r="EJ310" s="148"/>
      <c r="EK310" s="148"/>
      <c r="EL310" s="148"/>
      <c r="EM310" s="148"/>
      <c r="EN310" s="148"/>
      <c r="EO310" s="148"/>
      <c r="EP310" s="148"/>
      <c r="EQ310" s="148"/>
      <c r="ER310" s="148"/>
      <c r="ES310" s="148"/>
      <c r="ET310" s="148"/>
      <c r="EU310" s="148"/>
      <c r="EV310" s="148"/>
      <c r="EW310" s="148"/>
      <c r="EX310" s="148"/>
      <c r="EY310" s="148"/>
      <c r="EZ310" s="148"/>
      <c r="FA310" s="148"/>
      <c r="FB310" s="148"/>
      <c r="FC310" s="148"/>
      <c r="FD310" s="148"/>
      <c r="FE310" s="148"/>
      <c r="FF310" s="148"/>
      <c r="FG310" s="148"/>
      <c r="FH310" s="148"/>
      <c r="FI310" s="148"/>
      <c r="FJ310" s="148"/>
      <c r="FK310" s="148"/>
      <c r="FL310" s="148"/>
      <c r="FM310" s="148"/>
      <c r="FN310" s="148"/>
      <c r="FO310" s="148"/>
      <c r="FP310" s="148"/>
      <c r="FQ310" s="148"/>
      <c r="FR310" s="148"/>
      <c r="FS310" s="148"/>
      <c r="FT310" s="148"/>
      <c r="FU310" s="148"/>
      <c r="FV310" s="148"/>
      <c r="FW310" s="148"/>
      <c r="FX310" s="148"/>
      <c r="FY310" s="148"/>
      <c r="FZ310" s="148"/>
      <c r="GA310" s="148"/>
      <c r="GB310" s="148"/>
      <c r="GC310" s="148"/>
      <c r="GD310" s="148"/>
      <c r="GE310" s="148"/>
      <c r="GF310" s="148"/>
      <c r="GG310" s="149"/>
    </row>
    <row r="311" spans="1:189" x14ac:dyDescent="0.35">
      <c r="A311" s="270" t="s">
        <v>884</v>
      </c>
      <c r="B311" s="236"/>
      <c r="C311" s="236"/>
      <c r="D311" s="237"/>
      <c r="E311" s="236" t="s">
        <v>817</v>
      </c>
      <c r="F311" s="236" t="s">
        <v>843</v>
      </c>
      <c r="G311" s="238">
        <v>2</v>
      </c>
      <c r="H311" s="239"/>
      <c r="I311" s="240"/>
      <c r="J311" s="240"/>
      <c r="K311" s="240"/>
      <c r="L311" s="241"/>
      <c r="M311" s="241"/>
      <c r="N311" s="241"/>
      <c r="O311" s="241"/>
      <c r="P311" s="241"/>
      <c r="Q311" s="242" t="s">
        <v>45</v>
      </c>
      <c r="R311" s="243"/>
      <c r="S311" s="243"/>
      <c r="T311" s="243"/>
      <c r="U311" s="191">
        <f t="shared" si="318"/>
        <v>0</v>
      </c>
      <c r="V311" s="244"/>
      <c r="W311" s="245"/>
      <c r="X311" s="46"/>
      <c r="Y311" s="167">
        <f t="shared" si="319"/>
        <v>0</v>
      </c>
      <c r="Z311" s="167">
        <f t="shared" si="320"/>
        <v>0</v>
      </c>
      <c r="AA311" s="167">
        <f t="shared" si="321"/>
        <v>0</v>
      </c>
      <c r="AB311" s="167">
        <f t="shared" si="322"/>
        <v>0</v>
      </c>
      <c r="AC311" s="167">
        <f t="shared" si="323"/>
        <v>0</v>
      </c>
      <c r="AD311" s="167">
        <f t="shared" si="324"/>
        <v>0</v>
      </c>
      <c r="AF311" s="47">
        <f t="shared" si="342"/>
        <v>0</v>
      </c>
      <c r="AG311" s="202" t="str">
        <f t="shared" si="343"/>
        <v xml:space="preserve"> Construction (Monthly Cost)</v>
      </c>
      <c r="AH311" s="172"/>
      <c r="AI311" s="173"/>
      <c r="AJ311" s="173"/>
      <c r="AK311" s="173"/>
      <c r="AL311" s="173"/>
      <c r="AM311" s="173"/>
      <c r="AN311" s="173"/>
      <c r="AO311" s="173"/>
      <c r="AP311" s="173"/>
      <c r="AQ311" s="173"/>
      <c r="AR311" s="173"/>
      <c r="AS311" s="173"/>
      <c r="AT311" s="173"/>
      <c r="AU311" s="173"/>
      <c r="AV311" s="173"/>
      <c r="AW311" s="173"/>
      <c r="AX311" s="173"/>
      <c r="AY311" s="173"/>
      <c r="AZ311" s="173"/>
      <c r="BA311" s="173"/>
      <c r="BB311" s="173"/>
      <c r="BC311" s="173"/>
      <c r="BD311" s="173"/>
      <c r="BE311" s="173"/>
      <c r="BF311" s="173"/>
      <c r="BG311" s="173"/>
      <c r="BH311" s="173"/>
      <c r="BI311" s="173"/>
      <c r="BJ311" s="173"/>
      <c r="BK311" s="173"/>
      <c r="BL311" s="173"/>
      <c r="BM311" s="173"/>
      <c r="BN311" s="173"/>
      <c r="BO311" s="173"/>
      <c r="BP311" s="173"/>
      <c r="BQ311" s="173"/>
      <c r="BR311" s="173"/>
      <c r="BS311" s="173"/>
      <c r="BT311" s="173"/>
      <c r="BU311" s="173"/>
      <c r="BV311" s="173"/>
      <c r="BW311" s="173"/>
      <c r="BX311" s="173"/>
      <c r="BY311" s="173"/>
      <c r="BZ311" s="173"/>
      <c r="CA311" s="173"/>
      <c r="CB311" s="173"/>
      <c r="CC311" s="173"/>
      <c r="CD311" s="173"/>
      <c r="CE311" s="173"/>
      <c r="CF311" s="173"/>
      <c r="CG311" s="173"/>
      <c r="CH311" s="173"/>
      <c r="CI311" s="173"/>
      <c r="CJ311" s="173"/>
      <c r="CK311" s="173"/>
      <c r="CL311" s="173"/>
      <c r="CM311" s="173"/>
      <c r="CN311" s="173"/>
      <c r="CO311" s="173"/>
      <c r="CP311" s="173"/>
      <c r="CQ311" s="173"/>
      <c r="CR311" s="173"/>
      <c r="CS311" s="173"/>
      <c r="CT311" s="173"/>
      <c r="CU311" s="173"/>
      <c r="CV311" s="173"/>
      <c r="CW311" s="173"/>
      <c r="CX311" s="173"/>
      <c r="CY311" s="148"/>
      <c r="CZ311" s="148"/>
      <c r="DA311" s="148"/>
      <c r="DB311" s="148"/>
      <c r="DC311" s="148"/>
      <c r="DD311" s="148"/>
      <c r="DE311" s="148"/>
      <c r="DF311" s="148"/>
      <c r="DG311" s="148"/>
      <c r="DH311" s="148"/>
      <c r="DI311" s="148"/>
      <c r="DJ311" s="148"/>
      <c r="DK311" s="148"/>
      <c r="DL311" s="148"/>
      <c r="DM311" s="148"/>
      <c r="DN311" s="148"/>
      <c r="DO311" s="148"/>
      <c r="DP311" s="148"/>
      <c r="DQ311" s="148"/>
      <c r="DR311" s="148"/>
      <c r="DS311" s="148"/>
      <c r="DT311" s="148"/>
      <c r="DU311" s="148"/>
      <c r="DV311" s="148"/>
      <c r="DW311" s="148"/>
      <c r="DX311" s="148"/>
      <c r="DY311" s="148"/>
      <c r="DZ311" s="148"/>
      <c r="EA311" s="148"/>
      <c r="EB311" s="148"/>
      <c r="EC311" s="148"/>
      <c r="ED311" s="148"/>
      <c r="EE311" s="148"/>
      <c r="EF311" s="148"/>
      <c r="EG311" s="148"/>
      <c r="EH311" s="148"/>
      <c r="EI311" s="148"/>
      <c r="EJ311" s="148"/>
      <c r="EK311" s="148"/>
      <c r="EL311" s="148"/>
      <c r="EM311" s="148"/>
      <c r="EN311" s="148"/>
      <c r="EO311" s="148"/>
      <c r="EP311" s="148"/>
      <c r="EQ311" s="148"/>
      <c r="ER311" s="148"/>
      <c r="ES311" s="151"/>
      <c r="ET311" s="151"/>
      <c r="EU311" s="151"/>
      <c r="EV311" s="151"/>
      <c r="EW311" s="151"/>
      <c r="EX311" s="151"/>
      <c r="EY311" s="151"/>
      <c r="EZ311" s="151"/>
      <c r="FA311" s="151"/>
      <c r="FB311" s="151"/>
      <c r="FC311" s="151"/>
      <c r="FD311" s="151"/>
      <c r="FE311" s="151"/>
      <c r="FF311" s="151"/>
      <c r="FG311" s="151"/>
      <c r="FH311" s="151"/>
      <c r="FI311" s="151"/>
      <c r="FJ311" s="151"/>
      <c r="FK311" s="151"/>
      <c r="FL311" s="151"/>
      <c r="FM311" s="151"/>
      <c r="FN311" s="151"/>
      <c r="FO311" s="151"/>
      <c r="FP311" s="151"/>
      <c r="FQ311" s="151"/>
      <c r="FR311" s="151"/>
      <c r="FS311" s="151"/>
      <c r="FT311" s="151"/>
      <c r="FU311" s="151"/>
      <c r="FV311" s="151"/>
      <c r="FW311" s="151"/>
      <c r="FX311" s="151"/>
      <c r="FY311" s="151"/>
      <c r="FZ311" s="151"/>
      <c r="GA311" s="151"/>
      <c r="GB311" s="151"/>
      <c r="GC311" s="151"/>
      <c r="GD311" s="151"/>
      <c r="GE311" s="151"/>
      <c r="GF311" s="151"/>
      <c r="GG311" s="152"/>
    </row>
    <row r="312" spans="1:189" x14ac:dyDescent="0.35">
      <c r="A312" s="297" t="s">
        <v>885</v>
      </c>
      <c r="B312" s="298"/>
      <c r="C312" s="298"/>
      <c r="D312" s="299"/>
      <c r="E312" s="298" t="s">
        <v>816</v>
      </c>
      <c r="F312" s="298" t="s">
        <v>844</v>
      </c>
      <c r="G312" s="300">
        <v>2</v>
      </c>
      <c r="H312" s="301"/>
      <c r="I312" s="302"/>
      <c r="J312" s="302"/>
      <c r="K312" s="302"/>
      <c r="L312" s="303">
        <v>45995</v>
      </c>
      <c r="M312" s="303">
        <v>46752</v>
      </c>
      <c r="N312" s="303"/>
      <c r="O312" s="303">
        <v>46054</v>
      </c>
      <c r="P312" s="303">
        <v>46934</v>
      </c>
      <c r="Q312" s="304" t="s">
        <v>45</v>
      </c>
      <c r="R312" s="305">
        <v>1569780</v>
      </c>
      <c r="S312" s="305">
        <f>1569780-SUM(S313:S314)</f>
        <v>1445876</v>
      </c>
      <c r="T312" s="305"/>
      <c r="U312" s="191">
        <f t="shared" si="318"/>
        <v>0</v>
      </c>
      <c r="V312" s="306"/>
      <c r="W312" s="307"/>
      <c r="X312" s="46"/>
      <c r="Y312" s="167">
        <f t="shared" si="319"/>
        <v>1445876</v>
      </c>
      <c r="Z312" s="167">
        <f t="shared" si="320"/>
        <v>0</v>
      </c>
      <c r="AA312" s="167">
        <f t="shared" si="321"/>
        <v>1445876</v>
      </c>
      <c r="AB312" s="167">
        <f t="shared" si="322"/>
        <v>0</v>
      </c>
      <c r="AC312" s="167">
        <f t="shared" si="323"/>
        <v>0</v>
      </c>
      <c r="AD312" s="167">
        <f t="shared" si="324"/>
        <v>0</v>
      </c>
      <c r="AF312" s="47">
        <f t="shared" si="342"/>
        <v>1</v>
      </c>
      <c r="AG312" s="202" t="str">
        <f t="shared" si="343"/>
        <v xml:space="preserve"> Electricity Costs</v>
      </c>
      <c r="AH312" s="172"/>
      <c r="AI312" s="173"/>
      <c r="AJ312" s="173"/>
      <c r="AK312" s="173"/>
      <c r="AL312" s="173"/>
      <c r="AM312" s="173"/>
      <c r="AN312" s="173"/>
      <c r="AO312" s="173"/>
      <c r="AP312" s="173"/>
      <c r="AQ312" s="173"/>
      <c r="AR312" s="173"/>
      <c r="AS312" s="173"/>
      <c r="AT312" s="173"/>
      <c r="AU312" s="173"/>
      <c r="AV312" s="173"/>
      <c r="AW312" s="173"/>
      <c r="AX312" s="173"/>
      <c r="AY312" s="173"/>
      <c r="AZ312" s="173"/>
      <c r="BA312" s="173"/>
      <c r="BB312" s="173"/>
      <c r="BC312" s="173"/>
      <c r="BD312" s="173"/>
      <c r="BE312" s="173"/>
      <c r="BF312" s="173"/>
      <c r="BG312" s="173"/>
      <c r="BH312" s="173"/>
      <c r="BI312" s="173"/>
      <c r="BJ312" s="173"/>
      <c r="BK312" s="173"/>
      <c r="BL312" s="173"/>
      <c r="BM312" s="173"/>
      <c r="BN312" s="173"/>
      <c r="BO312" s="173"/>
      <c r="BP312" s="173"/>
      <c r="BQ312" s="173"/>
      <c r="BR312" s="173"/>
      <c r="BS312" s="173"/>
      <c r="BT312" s="173"/>
      <c r="BU312" s="173"/>
      <c r="BV312" s="173"/>
      <c r="BW312" s="173"/>
      <c r="BX312" s="173"/>
      <c r="BY312" s="173"/>
      <c r="BZ312" s="173"/>
      <c r="CA312" s="173"/>
      <c r="CB312" s="173"/>
      <c r="CC312" s="173"/>
      <c r="CD312" s="173"/>
      <c r="CE312" s="173"/>
      <c r="CF312" s="173"/>
      <c r="CG312" s="173"/>
      <c r="CH312" s="173"/>
      <c r="CI312" s="173"/>
      <c r="CJ312" s="173"/>
      <c r="CK312" s="173"/>
      <c r="CL312" s="173"/>
      <c r="CM312" s="173"/>
      <c r="CN312" s="173"/>
      <c r="CO312" s="173"/>
      <c r="CP312" s="173"/>
      <c r="CQ312" s="173"/>
      <c r="CR312" s="173"/>
      <c r="CS312" s="173"/>
      <c r="CT312" s="173"/>
      <c r="CU312" s="173"/>
      <c r="CV312" s="173"/>
      <c r="CW312" s="173"/>
      <c r="CX312" s="173"/>
      <c r="CY312" s="148"/>
      <c r="CZ312" s="148"/>
      <c r="DA312" s="148"/>
      <c r="DB312" s="148"/>
      <c r="DC312" s="148"/>
      <c r="DD312" s="148"/>
      <c r="DE312" s="148"/>
      <c r="DF312" s="148"/>
      <c r="DG312" s="148"/>
      <c r="DH312" s="148"/>
      <c r="DI312" s="148"/>
      <c r="DJ312" s="148"/>
      <c r="DK312" s="148"/>
      <c r="DL312" s="148"/>
      <c r="DM312" s="148"/>
      <c r="DN312" s="148"/>
      <c r="DO312" s="148"/>
      <c r="DP312" s="148"/>
      <c r="DQ312" s="148"/>
      <c r="DR312" s="148"/>
      <c r="DS312" s="148"/>
      <c r="DT312" s="148"/>
      <c r="DU312" s="148"/>
      <c r="DV312" s="148"/>
      <c r="DW312" s="148"/>
      <c r="DX312" s="148"/>
      <c r="DY312" s="148"/>
      <c r="DZ312" s="148"/>
      <c r="EA312" s="148"/>
      <c r="EB312" s="148"/>
      <c r="EC312" s="148"/>
      <c r="ED312" s="148"/>
      <c r="EE312" s="148"/>
      <c r="EF312" s="148"/>
      <c r="EG312" s="148"/>
      <c r="EH312" s="148"/>
      <c r="EI312" s="148"/>
      <c r="EJ312" s="148"/>
      <c r="EK312" s="148"/>
      <c r="EL312" s="148"/>
      <c r="EM312" s="148"/>
      <c r="EN312" s="148"/>
      <c r="EO312" s="148"/>
      <c r="EP312" s="148"/>
      <c r="EQ312" s="148"/>
      <c r="ER312" s="148"/>
      <c r="ES312" s="148"/>
      <c r="ET312" s="148"/>
      <c r="EU312" s="148"/>
      <c r="EV312" s="148"/>
      <c r="EW312" s="148"/>
      <c r="EX312" s="148"/>
      <c r="EY312" s="148"/>
      <c r="EZ312" s="148"/>
      <c r="FA312" s="148"/>
      <c r="FB312" s="148"/>
      <c r="FC312" s="148"/>
      <c r="FD312" s="148"/>
      <c r="FE312" s="148"/>
      <c r="FF312" s="148"/>
      <c r="FG312" s="148"/>
      <c r="FH312" s="148"/>
      <c r="FI312" s="148"/>
      <c r="FJ312" s="148"/>
      <c r="FK312" s="148"/>
      <c r="FL312" s="148"/>
      <c r="FM312" s="148"/>
      <c r="FN312" s="148"/>
      <c r="FO312" s="148"/>
      <c r="FP312" s="148"/>
      <c r="FQ312" s="148"/>
      <c r="FR312" s="148"/>
      <c r="FS312" s="148"/>
      <c r="FT312" s="148"/>
      <c r="FU312" s="148"/>
      <c r="FV312" s="148"/>
      <c r="FW312" s="148"/>
      <c r="FX312" s="148"/>
      <c r="FY312" s="148"/>
      <c r="FZ312" s="148"/>
      <c r="GA312" s="148"/>
      <c r="GB312" s="148"/>
      <c r="GC312" s="148"/>
      <c r="GD312" s="148"/>
      <c r="GE312" s="148"/>
      <c r="GF312" s="148"/>
      <c r="GG312" s="149"/>
    </row>
    <row r="313" spans="1:189" x14ac:dyDescent="0.35">
      <c r="A313" s="267" t="s">
        <v>1335</v>
      </c>
      <c r="B313" s="221"/>
      <c r="C313" s="221"/>
      <c r="D313" s="222"/>
      <c r="E313" s="221" t="s">
        <v>816</v>
      </c>
      <c r="F313" s="221" t="s">
        <v>844</v>
      </c>
      <c r="G313" s="223">
        <v>2</v>
      </c>
      <c r="H313" s="224" t="s">
        <v>877</v>
      </c>
      <c r="I313" s="225"/>
      <c r="J313" s="225"/>
      <c r="K313" s="225"/>
      <c r="L313" s="226">
        <v>45995</v>
      </c>
      <c r="M313" s="226">
        <v>46122</v>
      </c>
      <c r="N313" s="226">
        <v>46122</v>
      </c>
      <c r="O313" s="226">
        <v>46122</v>
      </c>
      <c r="P313" s="226">
        <v>46173</v>
      </c>
      <c r="Q313" s="227" t="s">
        <v>20</v>
      </c>
      <c r="R313" s="228"/>
      <c r="S313" s="228">
        <v>100000</v>
      </c>
      <c r="T313" s="228">
        <v>100000</v>
      </c>
      <c r="U313" s="191">
        <f t="shared" ref="U313" si="371">IF(Q313="",0,IF(T313="",0,+S313-T313))</f>
        <v>0</v>
      </c>
      <c r="V313" s="230"/>
      <c r="W313" s="232"/>
      <c r="X313" s="46"/>
      <c r="Y313" s="167">
        <f t="shared" ref="Y313" si="372">IF(G313=2,S313,0)</f>
        <v>100000</v>
      </c>
      <c r="Z313" s="167">
        <f t="shared" ref="Z313" si="373">IF(Q313="",0,IF(G313=2,T313,0))</f>
        <v>100000</v>
      </c>
      <c r="AA313" s="167">
        <f t="shared" ref="AA313" si="374">Y313-Z313</f>
        <v>0</v>
      </c>
      <c r="AB313" s="167">
        <f t="shared" ref="AB313" si="375">IF(G313=1,S313,0)</f>
        <v>0</v>
      </c>
      <c r="AC313" s="167">
        <f t="shared" ref="AC313" si="376">IF(Q313="",0,IF(G313=1,T313,0))</f>
        <v>0</v>
      </c>
      <c r="AD313" s="167">
        <f t="shared" ref="AD313" si="377">AB313-AC313</f>
        <v>0</v>
      </c>
      <c r="AF313" s="47">
        <f t="shared" ref="AF313" si="378">IF(S313&lt;&gt;"",1,0)</f>
        <v>1</v>
      </c>
      <c r="AG313" s="202" t="str">
        <f t="shared" ref="AG313" si="379">B313&amp;" "&amp;F313</f>
        <v xml:space="preserve"> Electricity Costs</v>
      </c>
      <c r="AH313" s="153"/>
      <c r="AI313" s="154"/>
      <c r="AJ313" s="154"/>
      <c r="AK313" s="154"/>
      <c r="AL313" s="154"/>
      <c r="AM313" s="154"/>
      <c r="AN313" s="154"/>
      <c r="AO313" s="154"/>
      <c r="AP313" s="154"/>
      <c r="AQ313" s="154"/>
      <c r="AR313" s="154"/>
      <c r="AS313" s="154"/>
      <c r="AT313" s="154"/>
      <c r="AU313" s="154"/>
      <c r="AV313" s="154"/>
      <c r="AW313" s="154"/>
      <c r="AX313" s="154"/>
      <c r="AY313" s="154"/>
      <c r="AZ313" s="154"/>
      <c r="BA313" s="151"/>
      <c r="BB313" s="151"/>
      <c r="BC313" s="151"/>
      <c r="BD313" s="151"/>
      <c r="BE313" s="151"/>
      <c r="BF313" s="151"/>
      <c r="BG313" s="151"/>
      <c r="BH313" s="151"/>
      <c r="BI313" s="151"/>
      <c r="BJ313" s="151"/>
      <c r="BK313" s="151"/>
      <c r="BL313" s="151"/>
      <c r="BM313" s="151"/>
      <c r="BN313" s="151"/>
      <c r="BO313" s="151"/>
      <c r="BP313" s="151"/>
      <c r="BQ313" s="151"/>
      <c r="BR313" s="151"/>
      <c r="BS313" s="151"/>
      <c r="BT313" s="151"/>
      <c r="BU313" s="151"/>
      <c r="BV313" s="151"/>
      <c r="BW313" s="151"/>
      <c r="BX313" s="151"/>
      <c r="BY313" s="151"/>
      <c r="BZ313" s="151"/>
      <c r="CA313" s="151"/>
      <c r="CB313" s="151"/>
      <c r="CC313" s="151"/>
      <c r="CD313" s="151"/>
      <c r="CE313" s="151"/>
      <c r="CF313" s="151"/>
      <c r="CG313" s="151"/>
      <c r="CH313" s="151"/>
      <c r="CI313" s="151"/>
      <c r="CJ313" s="151"/>
      <c r="CK313" s="151"/>
      <c r="CL313" s="151"/>
      <c r="CM313" s="151"/>
      <c r="CN313" s="151"/>
      <c r="CO313" s="151"/>
      <c r="CP313" s="151"/>
      <c r="CQ313" s="151"/>
      <c r="CR313" s="151"/>
      <c r="CS313" s="151"/>
      <c r="CT313" s="151"/>
      <c r="CU313" s="151"/>
      <c r="CV313" s="151"/>
      <c r="CW313" s="151"/>
      <c r="CX313" s="151"/>
      <c r="CY313" s="151"/>
      <c r="CZ313" s="151"/>
      <c r="DA313" s="151"/>
      <c r="DB313" s="151"/>
      <c r="DC313" s="151"/>
      <c r="DD313" s="151"/>
      <c r="DE313" s="151"/>
      <c r="DF313" s="151"/>
      <c r="DG313" s="151"/>
      <c r="DH313" s="151"/>
      <c r="DI313" s="151"/>
      <c r="DJ313" s="151"/>
      <c r="DK313" s="151"/>
      <c r="DL313" s="151"/>
      <c r="DM313" s="151"/>
      <c r="DN313" s="151"/>
      <c r="DO313" s="151"/>
      <c r="DP313" s="151"/>
      <c r="DQ313" s="151"/>
      <c r="DR313" s="151"/>
      <c r="DS313" s="151"/>
      <c r="DT313" s="151"/>
      <c r="DU313" s="151"/>
      <c r="DV313" s="151"/>
      <c r="DW313" s="151"/>
      <c r="DX313" s="151"/>
      <c r="DY313" s="151"/>
      <c r="DZ313" s="151"/>
      <c r="EA313" s="151"/>
      <c r="EB313" s="151"/>
      <c r="EC313" s="151"/>
      <c r="ED313" s="151"/>
      <c r="EE313" s="151"/>
      <c r="EF313" s="151"/>
      <c r="EG313" s="151"/>
      <c r="EH313" s="151"/>
      <c r="EI313" s="151"/>
      <c r="EJ313" s="151"/>
      <c r="EK313" s="151"/>
      <c r="EL313" s="151"/>
      <c r="EM313" s="151"/>
      <c r="EN313" s="151"/>
      <c r="EO313" s="151"/>
      <c r="EP313" s="151"/>
      <c r="EQ313" s="151"/>
      <c r="ER313" s="151"/>
      <c r="ES313" s="151"/>
      <c r="ET313" s="151"/>
      <c r="EU313" s="151"/>
      <c r="EV313" s="151"/>
      <c r="EW313" s="151"/>
      <c r="EX313" s="151"/>
      <c r="EY313" s="151"/>
      <c r="EZ313" s="151"/>
      <c r="FA313" s="151"/>
      <c r="FB313" s="151"/>
      <c r="FC313" s="151"/>
      <c r="FD313" s="151"/>
      <c r="FE313" s="151"/>
      <c r="FF313" s="151"/>
      <c r="FG313" s="151"/>
      <c r="FH313" s="151"/>
      <c r="FI313" s="151"/>
      <c r="FJ313" s="151"/>
      <c r="FK313" s="151"/>
      <c r="FL313" s="151"/>
      <c r="FM313" s="151"/>
      <c r="FN313" s="151"/>
      <c r="FO313" s="151"/>
      <c r="FP313" s="151"/>
      <c r="FQ313" s="151"/>
      <c r="FR313" s="151"/>
      <c r="FS313" s="151"/>
      <c r="FT313" s="151"/>
      <c r="FU313" s="151"/>
      <c r="FV313" s="151"/>
      <c r="FW313" s="151"/>
      <c r="FX313" s="151"/>
      <c r="FY313" s="151"/>
      <c r="FZ313" s="151"/>
      <c r="GA313" s="151"/>
      <c r="GB313" s="151"/>
      <c r="GC313" s="151"/>
      <c r="GD313" s="151"/>
      <c r="GE313" s="151"/>
      <c r="GF313" s="151"/>
      <c r="GG313" s="152"/>
    </row>
    <row r="314" spans="1:189" ht="27.75" x14ac:dyDescent="0.35">
      <c r="A314" s="267" t="s">
        <v>1343</v>
      </c>
      <c r="B314" s="221"/>
      <c r="C314" s="221"/>
      <c r="D314" s="222"/>
      <c r="E314" s="221" t="s">
        <v>1345</v>
      </c>
      <c r="F314" s="221" t="s">
        <v>1346</v>
      </c>
      <c r="G314" s="223">
        <v>2</v>
      </c>
      <c r="H314" s="224" t="s">
        <v>1344</v>
      </c>
      <c r="I314" s="225"/>
      <c r="J314" s="225"/>
      <c r="K314" s="225"/>
      <c r="L314" s="226">
        <v>46082</v>
      </c>
      <c r="M314" s="226">
        <v>46096</v>
      </c>
      <c r="N314" s="226">
        <v>46096</v>
      </c>
      <c r="O314" s="226">
        <v>46096</v>
      </c>
      <c r="P314" s="226">
        <v>46173</v>
      </c>
      <c r="Q314" s="227" t="s">
        <v>20</v>
      </c>
      <c r="R314" s="228"/>
      <c r="S314" s="228">
        <v>23904</v>
      </c>
      <c r="T314" s="228">
        <v>23904</v>
      </c>
      <c r="U314" s="191">
        <f t="shared" ref="U314" si="380">IF(Q314="",0,IF(T314="",0,+S314-T314))</f>
        <v>0</v>
      </c>
      <c r="V314" s="230"/>
      <c r="W314" s="232"/>
      <c r="X314" s="46"/>
      <c r="Y314" s="167">
        <f t="shared" ref="Y314" si="381">IF(G314=2,S314,0)</f>
        <v>23904</v>
      </c>
      <c r="Z314" s="167">
        <f t="shared" ref="Z314" si="382">IF(Q314="",0,IF(G314=2,T314,0))</f>
        <v>23904</v>
      </c>
      <c r="AA314" s="167">
        <f t="shared" ref="AA314" si="383">Y314-Z314</f>
        <v>0</v>
      </c>
      <c r="AB314" s="167">
        <f t="shared" ref="AB314" si="384">IF(G314=1,S314,0)</f>
        <v>0</v>
      </c>
      <c r="AC314" s="167">
        <f t="shared" ref="AC314" si="385">IF(Q314="",0,IF(G314=1,T314,0))</f>
        <v>0</v>
      </c>
      <c r="AD314" s="167">
        <f t="shared" ref="AD314" si="386">AB314-AC314</f>
        <v>0</v>
      </c>
      <c r="AF314" s="47">
        <f t="shared" ref="AF314" si="387">IF(S314&lt;&gt;"",1,0)</f>
        <v>1</v>
      </c>
      <c r="AG314" s="202" t="str">
        <f t="shared" ref="AG314" si="388">B314&amp;" "&amp;F314</f>
        <v xml:space="preserve"> Generator rental ECd_44</v>
      </c>
      <c r="AH314" s="153"/>
      <c r="AI314" s="154"/>
      <c r="AJ314" s="154"/>
      <c r="AK314" s="154"/>
      <c r="AL314" s="154"/>
      <c r="AM314" s="154"/>
      <c r="AN314" s="154"/>
      <c r="AO314" s="154"/>
      <c r="AP314" s="154"/>
      <c r="AQ314" s="154"/>
      <c r="AR314" s="154"/>
      <c r="AS314" s="154"/>
      <c r="AT314" s="154"/>
      <c r="AU314" s="154"/>
      <c r="AV314" s="154"/>
      <c r="AW314" s="154"/>
      <c r="AX314" s="154"/>
      <c r="AY314" s="154"/>
      <c r="AZ314" s="154"/>
      <c r="BA314" s="151"/>
      <c r="BB314" s="151"/>
      <c r="BC314" s="151"/>
      <c r="BD314" s="151"/>
      <c r="BE314" s="151"/>
      <c r="BF314" s="151"/>
      <c r="BG314" s="151"/>
      <c r="BH314" s="151"/>
      <c r="BI314" s="151"/>
      <c r="BJ314" s="151"/>
      <c r="BK314" s="151"/>
      <c r="BL314" s="151"/>
      <c r="BM314" s="151"/>
      <c r="BN314" s="151"/>
      <c r="BO314" s="151"/>
      <c r="BP314" s="151"/>
      <c r="BQ314" s="151"/>
      <c r="BR314" s="151"/>
      <c r="BS314" s="151"/>
      <c r="BT314" s="151"/>
      <c r="BU314" s="151"/>
      <c r="BV314" s="151"/>
      <c r="BW314" s="151"/>
      <c r="BX314" s="151"/>
      <c r="BY314" s="151"/>
      <c r="BZ314" s="151"/>
      <c r="CA314" s="151"/>
      <c r="CB314" s="151"/>
      <c r="CC314" s="151"/>
      <c r="CD314" s="151"/>
      <c r="CE314" s="151"/>
      <c r="CF314" s="151"/>
      <c r="CG314" s="151"/>
      <c r="CH314" s="151"/>
      <c r="CI314" s="151"/>
      <c r="CJ314" s="151"/>
      <c r="CK314" s="151"/>
      <c r="CL314" s="151"/>
      <c r="CM314" s="151"/>
      <c r="CN314" s="151"/>
      <c r="CO314" s="151"/>
      <c r="CP314" s="151"/>
      <c r="CQ314" s="151"/>
      <c r="CR314" s="151"/>
      <c r="CS314" s="151"/>
      <c r="CT314" s="151"/>
      <c r="CU314" s="151"/>
      <c r="CV314" s="151"/>
      <c r="CW314" s="151"/>
      <c r="CX314" s="151"/>
      <c r="CY314" s="151"/>
      <c r="CZ314" s="151"/>
      <c r="DA314" s="151"/>
      <c r="DB314" s="151"/>
      <c r="DC314" s="151"/>
      <c r="DD314" s="151"/>
      <c r="DE314" s="151"/>
      <c r="DF314" s="151"/>
      <c r="DG314" s="151"/>
      <c r="DH314" s="151"/>
      <c r="DI314" s="151"/>
      <c r="DJ314" s="151"/>
      <c r="DK314" s="151"/>
      <c r="DL314" s="151"/>
      <c r="DM314" s="151"/>
      <c r="DN314" s="151"/>
      <c r="DO314" s="151"/>
      <c r="DP314" s="151"/>
      <c r="DQ314" s="151"/>
      <c r="DR314" s="151"/>
      <c r="DS314" s="151"/>
      <c r="DT314" s="151"/>
      <c r="DU314" s="151"/>
      <c r="DV314" s="151"/>
      <c r="DW314" s="151"/>
      <c r="DX314" s="151"/>
      <c r="DY314" s="151"/>
      <c r="DZ314" s="151"/>
      <c r="EA314" s="151"/>
      <c r="EB314" s="151"/>
      <c r="EC314" s="151"/>
      <c r="ED314" s="151"/>
      <c r="EE314" s="151"/>
      <c r="EF314" s="151"/>
      <c r="EG314" s="151"/>
      <c r="EH314" s="151"/>
      <c r="EI314" s="151"/>
      <c r="EJ314" s="151"/>
      <c r="EK314" s="151"/>
      <c r="EL314" s="151"/>
      <c r="EM314" s="151"/>
      <c r="EN314" s="151"/>
      <c r="EO314" s="151"/>
      <c r="EP314" s="151"/>
      <c r="EQ314" s="151"/>
      <c r="ER314" s="151"/>
      <c r="ES314" s="151"/>
      <c r="ET314" s="151"/>
      <c r="EU314" s="151"/>
      <c r="EV314" s="151"/>
      <c r="EW314" s="151"/>
      <c r="EX314" s="151"/>
      <c r="EY314" s="151"/>
      <c r="EZ314" s="151"/>
      <c r="FA314" s="151"/>
      <c r="FB314" s="151"/>
      <c r="FC314" s="151"/>
      <c r="FD314" s="151"/>
      <c r="FE314" s="151"/>
      <c r="FF314" s="151"/>
      <c r="FG314" s="151"/>
      <c r="FH314" s="151"/>
      <c r="FI314" s="151"/>
      <c r="FJ314" s="151"/>
      <c r="FK314" s="151"/>
      <c r="FL314" s="151"/>
      <c r="FM314" s="151"/>
      <c r="FN314" s="151"/>
      <c r="FO314" s="151"/>
      <c r="FP314" s="151"/>
      <c r="FQ314" s="151"/>
      <c r="FR314" s="151"/>
      <c r="FS314" s="151"/>
      <c r="FT314" s="151"/>
      <c r="FU314" s="151"/>
      <c r="FV314" s="151"/>
      <c r="FW314" s="151"/>
      <c r="FX314" s="151"/>
      <c r="FY314" s="151"/>
      <c r="FZ314" s="151"/>
      <c r="GA314" s="151"/>
      <c r="GB314" s="151"/>
      <c r="GC314" s="151"/>
      <c r="GD314" s="151"/>
      <c r="GE314" s="151"/>
      <c r="GF314" s="151"/>
      <c r="GG314" s="152"/>
    </row>
    <row r="315" spans="1:189" x14ac:dyDescent="0.35">
      <c r="A315" s="297" t="s">
        <v>917</v>
      </c>
      <c r="B315" s="298"/>
      <c r="C315" s="298"/>
      <c r="D315" s="299"/>
      <c r="E315" s="298" t="s">
        <v>792</v>
      </c>
      <c r="F315" s="298" t="s">
        <v>845</v>
      </c>
      <c r="G315" s="300">
        <v>2</v>
      </c>
      <c r="H315" s="301"/>
      <c r="I315" s="302"/>
      <c r="J315" s="302"/>
      <c r="K315" s="302"/>
      <c r="L315" s="303">
        <v>45995</v>
      </c>
      <c r="M315" s="303">
        <v>46752</v>
      </c>
      <c r="N315" s="303"/>
      <c r="O315" s="303">
        <v>46054</v>
      </c>
      <c r="P315" s="303">
        <v>46934</v>
      </c>
      <c r="Q315" s="304" t="s">
        <v>45</v>
      </c>
      <c r="R315" s="305">
        <v>190400</v>
      </c>
      <c r="S315" s="305">
        <v>190400</v>
      </c>
      <c r="T315" s="305"/>
      <c r="U315" s="191">
        <f t="shared" si="318"/>
        <v>0</v>
      </c>
      <c r="V315" s="306"/>
      <c r="W315" s="307"/>
      <c r="X315" s="46"/>
      <c r="Y315" s="167">
        <f t="shared" si="319"/>
        <v>190400</v>
      </c>
      <c r="Z315" s="167">
        <f t="shared" si="320"/>
        <v>0</v>
      </c>
      <c r="AA315" s="167">
        <f t="shared" si="321"/>
        <v>190400</v>
      </c>
      <c r="AB315" s="167">
        <f t="shared" si="322"/>
        <v>0</v>
      </c>
      <c r="AC315" s="167">
        <f t="shared" si="323"/>
        <v>0</v>
      </c>
      <c r="AD315" s="167">
        <f t="shared" si="324"/>
        <v>0</v>
      </c>
      <c r="AF315" s="47">
        <f t="shared" si="342"/>
        <v>1</v>
      </c>
      <c r="AG315" s="202" t="str">
        <f t="shared" si="343"/>
        <v xml:space="preserve"> Potable Water Costs</v>
      </c>
      <c r="AH315" s="172"/>
      <c r="AI315" s="173"/>
      <c r="AJ315" s="173"/>
      <c r="AK315" s="173"/>
      <c r="AL315" s="173"/>
      <c r="AM315" s="173"/>
      <c r="AN315" s="173"/>
      <c r="AO315" s="173"/>
      <c r="AP315" s="173"/>
      <c r="AQ315" s="173"/>
      <c r="AR315" s="173"/>
      <c r="AS315" s="173"/>
      <c r="AT315" s="173"/>
      <c r="AU315" s="173"/>
      <c r="AV315" s="173"/>
      <c r="AW315" s="173"/>
      <c r="AX315" s="173"/>
      <c r="AY315" s="173"/>
      <c r="AZ315" s="173"/>
      <c r="BA315" s="173"/>
      <c r="BB315" s="173"/>
      <c r="BC315" s="173"/>
      <c r="BD315" s="173"/>
      <c r="BE315" s="173"/>
      <c r="BF315" s="173"/>
      <c r="BG315" s="173"/>
      <c r="BH315" s="173"/>
      <c r="BI315" s="173"/>
      <c r="BJ315" s="173"/>
      <c r="BK315" s="173"/>
      <c r="BL315" s="173"/>
      <c r="BM315" s="173"/>
      <c r="BN315" s="173"/>
      <c r="BO315" s="173"/>
      <c r="BP315" s="173"/>
      <c r="BQ315" s="173"/>
      <c r="BR315" s="173"/>
      <c r="BS315" s="173"/>
      <c r="BT315" s="173"/>
      <c r="BU315" s="173"/>
      <c r="BV315" s="173"/>
      <c r="BW315" s="173"/>
      <c r="BX315" s="173"/>
      <c r="BY315" s="173"/>
      <c r="BZ315" s="173"/>
      <c r="CA315" s="173"/>
      <c r="CB315" s="173"/>
      <c r="CC315" s="173"/>
      <c r="CD315" s="173"/>
      <c r="CE315" s="173"/>
      <c r="CF315" s="173"/>
      <c r="CG315" s="173"/>
      <c r="CH315" s="173"/>
      <c r="CI315" s="173"/>
      <c r="CJ315" s="173"/>
      <c r="CK315" s="173"/>
      <c r="CL315" s="173"/>
      <c r="CM315" s="173"/>
      <c r="CN315" s="173"/>
      <c r="CO315" s="173"/>
      <c r="CP315" s="173"/>
      <c r="CQ315" s="173"/>
      <c r="CR315" s="173"/>
      <c r="CS315" s="173"/>
      <c r="CT315" s="173"/>
      <c r="CU315" s="173"/>
      <c r="CV315" s="173"/>
      <c r="CW315" s="173"/>
      <c r="CX315" s="173"/>
      <c r="CY315" s="148"/>
      <c r="CZ315" s="148"/>
      <c r="DA315" s="148"/>
      <c r="DB315" s="148"/>
      <c r="DC315" s="148"/>
      <c r="DD315" s="148"/>
      <c r="DE315" s="148"/>
      <c r="DF315" s="148"/>
      <c r="DG315" s="148"/>
      <c r="DH315" s="148"/>
      <c r="DI315" s="148"/>
      <c r="DJ315" s="148"/>
      <c r="DK315" s="148"/>
      <c r="DL315" s="148"/>
      <c r="DM315" s="148"/>
      <c r="DN315" s="148"/>
      <c r="DO315" s="148"/>
      <c r="DP315" s="148"/>
      <c r="DQ315" s="148"/>
      <c r="DR315" s="148"/>
      <c r="DS315" s="148"/>
      <c r="DT315" s="148"/>
      <c r="DU315" s="148"/>
      <c r="DV315" s="148"/>
      <c r="DW315" s="148"/>
      <c r="DX315" s="148"/>
      <c r="DY315" s="148"/>
      <c r="DZ315" s="148"/>
      <c r="EA315" s="148"/>
      <c r="EB315" s="148"/>
      <c r="EC315" s="148"/>
      <c r="ED315" s="148"/>
      <c r="EE315" s="148"/>
      <c r="EF315" s="148"/>
      <c r="EG315" s="148"/>
      <c r="EH315" s="148"/>
      <c r="EI315" s="148"/>
      <c r="EJ315" s="148"/>
      <c r="EK315" s="148"/>
      <c r="EL315" s="148"/>
      <c r="EM315" s="148"/>
      <c r="EN315" s="148"/>
      <c r="EO315" s="148"/>
      <c r="EP315" s="148"/>
      <c r="EQ315" s="148"/>
      <c r="ER315" s="148"/>
      <c r="ES315" s="148"/>
      <c r="ET315" s="148"/>
      <c r="EU315" s="148"/>
      <c r="EV315" s="148"/>
      <c r="EW315" s="148"/>
      <c r="EX315" s="148"/>
      <c r="EY315" s="148"/>
      <c r="EZ315" s="148"/>
      <c r="FA315" s="148"/>
      <c r="FB315" s="148"/>
      <c r="FC315" s="148"/>
      <c r="FD315" s="148"/>
      <c r="FE315" s="148"/>
      <c r="FF315" s="148"/>
      <c r="FG315" s="148"/>
      <c r="FH315" s="148"/>
      <c r="FI315" s="148"/>
      <c r="FJ315" s="148"/>
      <c r="FK315" s="148"/>
      <c r="FL315" s="148"/>
      <c r="FM315" s="148"/>
      <c r="FN315" s="148"/>
      <c r="FO315" s="148"/>
      <c r="FP315" s="148"/>
      <c r="FQ315" s="148"/>
      <c r="FR315" s="148"/>
      <c r="FS315" s="148"/>
      <c r="FT315" s="148"/>
      <c r="FU315" s="148"/>
      <c r="FV315" s="148"/>
      <c r="FW315" s="148"/>
      <c r="FX315" s="148"/>
      <c r="FY315" s="148"/>
      <c r="FZ315" s="148"/>
      <c r="GA315" s="148"/>
      <c r="GB315" s="148"/>
      <c r="GC315" s="148"/>
      <c r="GD315" s="148"/>
      <c r="GE315" s="148"/>
      <c r="GF315" s="148"/>
      <c r="GG315" s="149"/>
    </row>
    <row r="316" spans="1:189" x14ac:dyDescent="0.35">
      <c r="A316" s="297" t="s">
        <v>918</v>
      </c>
      <c r="B316" s="298"/>
      <c r="C316" s="298"/>
      <c r="D316" s="299"/>
      <c r="E316" s="298" t="s">
        <v>800</v>
      </c>
      <c r="F316" s="298" t="s">
        <v>846</v>
      </c>
      <c r="G316" s="300">
        <v>2</v>
      </c>
      <c r="H316" s="301"/>
      <c r="I316" s="302"/>
      <c r="J316" s="302"/>
      <c r="K316" s="302"/>
      <c r="L316" s="303">
        <v>45995</v>
      </c>
      <c r="M316" s="303">
        <v>46752</v>
      </c>
      <c r="N316" s="303"/>
      <c r="O316" s="303">
        <v>46054</v>
      </c>
      <c r="P316" s="303">
        <v>46934</v>
      </c>
      <c r="Q316" s="304" t="s">
        <v>45</v>
      </c>
      <c r="R316" s="305">
        <v>272000</v>
      </c>
      <c r="S316" s="305">
        <v>272000</v>
      </c>
      <c r="T316" s="305"/>
      <c r="U316" s="191">
        <f t="shared" si="318"/>
        <v>0</v>
      </c>
      <c r="V316" s="306"/>
      <c r="W316" s="307"/>
      <c r="X316" s="46"/>
      <c r="Y316" s="167">
        <f t="shared" si="319"/>
        <v>272000</v>
      </c>
      <c r="Z316" s="167">
        <f t="shared" si="320"/>
        <v>0</v>
      </c>
      <c r="AA316" s="167">
        <f t="shared" si="321"/>
        <v>272000</v>
      </c>
      <c r="AB316" s="167">
        <f t="shared" si="322"/>
        <v>0</v>
      </c>
      <c r="AC316" s="167">
        <f t="shared" si="323"/>
        <v>0</v>
      </c>
      <c r="AD316" s="167">
        <f t="shared" si="324"/>
        <v>0</v>
      </c>
      <c r="AF316" s="47">
        <f t="shared" si="342"/>
        <v>1</v>
      </c>
      <c r="AG316" s="202" t="str">
        <f t="shared" si="343"/>
        <v xml:space="preserve"> Sewage Costs</v>
      </c>
      <c r="AH316" s="172"/>
      <c r="AI316" s="173"/>
      <c r="AJ316" s="173"/>
      <c r="AK316" s="173"/>
      <c r="AL316" s="173"/>
      <c r="AM316" s="173"/>
      <c r="AN316" s="173"/>
      <c r="AO316" s="173"/>
      <c r="AP316" s="173"/>
      <c r="AQ316" s="173"/>
      <c r="AR316" s="173"/>
      <c r="AS316" s="173"/>
      <c r="AT316" s="173"/>
      <c r="AU316" s="173"/>
      <c r="AV316" s="173"/>
      <c r="AW316" s="173"/>
      <c r="AX316" s="173"/>
      <c r="AY316" s="173"/>
      <c r="AZ316" s="173"/>
      <c r="BA316" s="173"/>
      <c r="BB316" s="173"/>
      <c r="BC316" s="173"/>
      <c r="BD316" s="173"/>
      <c r="BE316" s="173"/>
      <c r="BF316" s="173"/>
      <c r="BG316" s="173"/>
      <c r="BH316" s="173"/>
      <c r="BI316" s="173"/>
      <c r="BJ316" s="173"/>
      <c r="BK316" s="173"/>
      <c r="BL316" s="173"/>
      <c r="BM316" s="173"/>
      <c r="BN316" s="173"/>
      <c r="BO316" s="173"/>
      <c r="BP316" s="173"/>
      <c r="BQ316" s="173"/>
      <c r="BR316" s="173"/>
      <c r="BS316" s="173"/>
      <c r="BT316" s="173"/>
      <c r="BU316" s="173"/>
      <c r="BV316" s="173"/>
      <c r="BW316" s="173"/>
      <c r="BX316" s="173"/>
      <c r="BY316" s="173"/>
      <c r="BZ316" s="173"/>
      <c r="CA316" s="173"/>
      <c r="CB316" s="173"/>
      <c r="CC316" s="173"/>
      <c r="CD316" s="173"/>
      <c r="CE316" s="173"/>
      <c r="CF316" s="173"/>
      <c r="CG316" s="173"/>
      <c r="CH316" s="173"/>
      <c r="CI316" s="173"/>
      <c r="CJ316" s="173"/>
      <c r="CK316" s="173"/>
      <c r="CL316" s="173"/>
      <c r="CM316" s="173"/>
      <c r="CN316" s="173"/>
      <c r="CO316" s="173"/>
      <c r="CP316" s="173"/>
      <c r="CQ316" s="173"/>
      <c r="CR316" s="173"/>
      <c r="CS316" s="173"/>
      <c r="CT316" s="173"/>
      <c r="CU316" s="173"/>
      <c r="CV316" s="173"/>
      <c r="CW316" s="173"/>
      <c r="CX316" s="173"/>
      <c r="CY316" s="148"/>
      <c r="CZ316" s="148"/>
      <c r="DA316" s="148"/>
      <c r="DB316" s="148"/>
      <c r="DC316" s="148"/>
      <c r="DD316" s="148"/>
      <c r="DE316" s="148"/>
      <c r="DF316" s="148"/>
      <c r="DG316" s="148"/>
      <c r="DH316" s="148"/>
      <c r="DI316" s="148"/>
      <c r="DJ316" s="148"/>
      <c r="DK316" s="148"/>
      <c r="DL316" s="148"/>
      <c r="DM316" s="148"/>
      <c r="DN316" s="148"/>
      <c r="DO316" s="148"/>
      <c r="DP316" s="148"/>
      <c r="DQ316" s="148"/>
      <c r="DR316" s="148"/>
      <c r="DS316" s="148"/>
      <c r="DT316" s="148"/>
      <c r="DU316" s="148"/>
      <c r="DV316" s="148"/>
      <c r="DW316" s="148"/>
      <c r="DX316" s="148"/>
      <c r="DY316" s="148"/>
      <c r="DZ316" s="148"/>
      <c r="EA316" s="148"/>
      <c r="EB316" s="148"/>
      <c r="EC316" s="148"/>
      <c r="ED316" s="148"/>
      <c r="EE316" s="148"/>
      <c r="EF316" s="148"/>
      <c r="EG316" s="148"/>
      <c r="EH316" s="148"/>
      <c r="EI316" s="148"/>
      <c r="EJ316" s="148"/>
      <c r="EK316" s="148"/>
      <c r="EL316" s="148"/>
      <c r="EM316" s="148"/>
      <c r="EN316" s="148"/>
      <c r="EO316" s="148"/>
      <c r="EP316" s="148"/>
      <c r="EQ316" s="148"/>
      <c r="ER316" s="148"/>
      <c r="ES316" s="148"/>
      <c r="ET316" s="148"/>
      <c r="EU316" s="148"/>
      <c r="EV316" s="148"/>
      <c r="EW316" s="148"/>
      <c r="EX316" s="148"/>
      <c r="EY316" s="148"/>
      <c r="EZ316" s="148"/>
      <c r="FA316" s="148"/>
      <c r="FB316" s="148"/>
      <c r="FC316" s="148"/>
      <c r="FD316" s="148"/>
      <c r="FE316" s="148"/>
      <c r="FF316" s="148"/>
      <c r="FG316" s="148"/>
      <c r="FH316" s="148"/>
      <c r="FI316" s="148"/>
      <c r="FJ316" s="148"/>
      <c r="FK316" s="148"/>
      <c r="FL316" s="148"/>
      <c r="FM316" s="148"/>
      <c r="FN316" s="148"/>
      <c r="FO316" s="148"/>
      <c r="FP316" s="148"/>
      <c r="FQ316" s="148"/>
      <c r="FR316" s="148"/>
      <c r="FS316" s="148"/>
      <c r="FT316" s="148"/>
      <c r="FU316" s="148"/>
      <c r="FV316" s="148"/>
      <c r="FW316" s="148"/>
      <c r="FX316" s="148"/>
      <c r="FY316" s="148"/>
      <c r="FZ316" s="148"/>
      <c r="GA316" s="148"/>
      <c r="GB316" s="148"/>
      <c r="GC316" s="148"/>
      <c r="GD316" s="148"/>
      <c r="GE316" s="148"/>
      <c r="GF316" s="148"/>
      <c r="GG316" s="149"/>
    </row>
    <row r="317" spans="1:189" x14ac:dyDescent="0.35">
      <c r="A317" s="297" t="s">
        <v>919</v>
      </c>
      <c r="B317" s="298"/>
      <c r="C317" s="298"/>
      <c r="D317" s="299"/>
      <c r="E317" s="298" t="s">
        <v>790</v>
      </c>
      <c r="F317" s="298" t="s">
        <v>832</v>
      </c>
      <c r="G317" s="300">
        <v>2</v>
      </c>
      <c r="H317" s="301"/>
      <c r="I317" s="302"/>
      <c r="J317" s="302"/>
      <c r="K317" s="302"/>
      <c r="L317" s="303">
        <v>45995</v>
      </c>
      <c r="M317" s="303">
        <v>46022</v>
      </c>
      <c r="N317" s="303"/>
      <c r="O317" s="303">
        <v>46054</v>
      </c>
      <c r="P317" s="303">
        <v>46934</v>
      </c>
      <c r="Q317" s="304" t="s">
        <v>45</v>
      </c>
      <c r="R317" s="305">
        <v>108800</v>
      </c>
      <c r="S317" s="305">
        <v>108800</v>
      </c>
      <c r="T317" s="305"/>
      <c r="U317" s="191">
        <f t="shared" si="318"/>
        <v>0</v>
      </c>
      <c r="V317" s="306"/>
      <c r="W317" s="307"/>
      <c r="X317" s="46"/>
      <c r="Y317" s="167">
        <f t="shared" si="319"/>
        <v>108800</v>
      </c>
      <c r="Z317" s="167">
        <f t="shared" si="320"/>
        <v>0</v>
      </c>
      <c r="AA317" s="167">
        <f t="shared" si="321"/>
        <v>108800</v>
      </c>
      <c r="AB317" s="167">
        <f t="shared" si="322"/>
        <v>0</v>
      </c>
      <c r="AC317" s="167">
        <f t="shared" si="323"/>
        <v>0</v>
      </c>
      <c r="AD317" s="167">
        <f t="shared" si="324"/>
        <v>0</v>
      </c>
      <c r="AF317" s="47">
        <f t="shared" si="342"/>
        <v>1</v>
      </c>
      <c r="AG317" s="202" t="str">
        <f t="shared" si="343"/>
        <v xml:space="preserve"> Municipal Waste Collection</v>
      </c>
      <c r="AH317" s="172"/>
      <c r="AI317" s="173"/>
      <c r="AJ317" s="173"/>
      <c r="AK317" s="173"/>
      <c r="AL317" s="173"/>
      <c r="AM317" s="173"/>
      <c r="AN317" s="173"/>
      <c r="AO317" s="173"/>
      <c r="AP317" s="173"/>
      <c r="AQ317" s="173"/>
      <c r="AR317" s="173"/>
      <c r="AS317" s="173"/>
      <c r="AT317" s="173"/>
      <c r="AU317" s="173"/>
      <c r="AV317" s="173"/>
      <c r="AW317" s="173"/>
      <c r="AX317" s="173"/>
      <c r="AY317" s="173"/>
      <c r="AZ317" s="173"/>
      <c r="BA317" s="173"/>
      <c r="BB317" s="173"/>
      <c r="BC317" s="173"/>
      <c r="BD317" s="173"/>
      <c r="BE317" s="173"/>
      <c r="BF317" s="173"/>
      <c r="BG317" s="173"/>
      <c r="BH317" s="173"/>
      <c r="BI317" s="173"/>
      <c r="BJ317" s="173"/>
      <c r="BK317" s="173"/>
      <c r="BL317" s="173"/>
      <c r="BM317" s="173"/>
      <c r="BN317" s="173"/>
      <c r="BO317" s="173"/>
      <c r="BP317" s="173"/>
      <c r="BQ317" s="173"/>
      <c r="BR317" s="173"/>
      <c r="BS317" s="173"/>
      <c r="BT317" s="173"/>
      <c r="BU317" s="173"/>
      <c r="BV317" s="173"/>
      <c r="BW317" s="173"/>
      <c r="BX317" s="173"/>
      <c r="BY317" s="173"/>
      <c r="BZ317" s="173"/>
      <c r="CA317" s="173"/>
      <c r="CB317" s="173"/>
      <c r="CC317" s="173"/>
      <c r="CD317" s="173"/>
      <c r="CE317" s="173"/>
      <c r="CF317" s="173"/>
      <c r="CG317" s="173"/>
      <c r="CH317" s="173"/>
      <c r="CI317" s="173"/>
      <c r="CJ317" s="173"/>
      <c r="CK317" s="173"/>
      <c r="CL317" s="173"/>
      <c r="CM317" s="173"/>
      <c r="CN317" s="173"/>
      <c r="CO317" s="173"/>
      <c r="CP317" s="173"/>
      <c r="CQ317" s="173"/>
      <c r="CR317" s="173"/>
      <c r="CS317" s="173"/>
      <c r="CT317" s="173"/>
      <c r="CU317" s="173"/>
      <c r="CV317" s="173"/>
      <c r="CW317" s="173"/>
      <c r="CX317" s="173"/>
      <c r="CY317" s="148"/>
      <c r="CZ317" s="148"/>
      <c r="DA317" s="148"/>
      <c r="DB317" s="148"/>
      <c r="DC317" s="148"/>
      <c r="DD317" s="148"/>
      <c r="DE317" s="148"/>
      <c r="DF317" s="148"/>
      <c r="DG317" s="148"/>
      <c r="DH317" s="148"/>
      <c r="DI317" s="148"/>
      <c r="DJ317" s="148"/>
      <c r="DK317" s="148"/>
      <c r="DL317" s="148"/>
      <c r="DM317" s="148"/>
      <c r="DN317" s="148"/>
      <c r="DO317" s="148"/>
      <c r="DP317" s="148"/>
      <c r="DQ317" s="148"/>
      <c r="DR317" s="148"/>
      <c r="DS317" s="148"/>
      <c r="DT317" s="148"/>
      <c r="DU317" s="148"/>
      <c r="DV317" s="148"/>
      <c r="DW317" s="148"/>
      <c r="DX317" s="148"/>
      <c r="DY317" s="148"/>
      <c r="DZ317" s="148"/>
      <c r="EA317" s="148"/>
      <c r="EB317" s="148"/>
      <c r="EC317" s="148"/>
      <c r="ED317" s="148"/>
      <c r="EE317" s="148"/>
      <c r="EF317" s="148"/>
      <c r="EG317" s="148"/>
      <c r="EH317" s="148"/>
      <c r="EI317" s="148"/>
      <c r="EJ317" s="148"/>
      <c r="EK317" s="148"/>
      <c r="EL317" s="148"/>
      <c r="EM317" s="148"/>
      <c r="EN317" s="148"/>
      <c r="EO317" s="148"/>
      <c r="EP317" s="148"/>
      <c r="EQ317" s="148"/>
      <c r="ER317" s="148"/>
      <c r="ES317" s="148"/>
      <c r="ET317" s="148"/>
      <c r="EU317" s="148"/>
      <c r="EV317" s="148"/>
      <c r="EW317" s="148"/>
      <c r="EX317" s="148"/>
      <c r="EY317" s="148"/>
      <c r="EZ317" s="148"/>
      <c r="FA317" s="148"/>
      <c r="FB317" s="148"/>
      <c r="FC317" s="148"/>
      <c r="FD317" s="148"/>
      <c r="FE317" s="148"/>
      <c r="FF317" s="148"/>
      <c r="FG317" s="148"/>
      <c r="FH317" s="148"/>
      <c r="FI317" s="148"/>
      <c r="FJ317" s="148"/>
      <c r="FK317" s="148"/>
      <c r="FL317" s="148"/>
      <c r="FM317" s="148"/>
      <c r="FN317" s="148"/>
      <c r="FO317" s="148"/>
      <c r="FP317" s="148"/>
      <c r="FQ317" s="148"/>
      <c r="FR317" s="148"/>
      <c r="FS317" s="148"/>
      <c r="FT317" s="148"/>
      <c r="FU317" s="148"/>
      <c r="FV317" s="148"/>
      <c r="FW317" s="148"/>
      <c r="FX317" s="148"/>
      <c r="FY317" s="148"/>
      <c r="FZ317" s="148"/>
      <c r="GA317" s="148"/>
      <c r="GB317" s="148"/>
      <c r="GC317" s="148"/>
      <c r="GD317" s="148"/>
      <c r="GE317" s="148"/>
      <c r="GF317" s="148"/>
      <c r="GG317" s="149"/>
    </row>
    <row r="318" spans="1:189" x14ac:dyDescent="0.35">
      <c r="A318" s="297" t="s">
        <v>920</v>
      </c>
      <c r="B318" s="298"/>
      <c r="C318" s="298"/>
      <c r="D318" s="299"/>
      <c r="E318" s="298" t="s">
        <v>1314</v>
      </c>
      <c r="F318" s="298" t="s">
        <v>1315</v>
      </c>
      <c r="G318" s="300">
        <v>2</v>
      </c>
      <c r="H318" s="301" t="s">
        <v>1129</v>
      </c>
      <c r="I318" s="302"/>
      <c r="J318" s="302"/>
      <c r="K318" s="302"/>
      <c r="L318" s="303">
        <v>45995</v>
      </c>
      <c r="M318" s="303">
        <v>46068</v>
      </c>
      <c r="N318" s="303">
        <v>46127</v>
      </c>
      <c r="O318" s="303">
        <v>46127</v>
      </c>
      <c r="P318" s="303">
        <v>46934</v>
      </c>
      <c r="Q318" s="304" t="s">
        <v>20</v>
      </c>
      <c r="R318" s="305">
        <v>326400</v>
      </c>
      <c r="S318" s="305">
        <v>326400</v>
      </c>
      <c r="T318" s="305">
        <v>290720</v>
      </c>
      <c r="U318" s="191">
        <f t="shared" si="318"/>
        <v>35680</v>
      </c>
      <c r="V318" s="306"/>
      <c r="W318" s="307"/>
      <c r="X318" s="46"/>
      <c r="Y318" s="167">
        <f t="shared" si="319"/>
        <v>326400</v>
      </c>
      <c r="Z318" s="167">
        <f t="shared" si="320"/>
        <v>290720</v>
      </c>
      <c r="AA318" s="167">
        <f t="shared" si="321"/>
        <v>35680</v>
      </c>
      <c r="AB318" s="167">
        <f t="shared" si="322"/>
        <v>0</v>
      </c>
      <c r="AC318" s="167">
        <f t="shared" si="323"/>
        <v>0</v>
      </c>
      <c r="AD318" s="167">
        <f t="shared" si="324"/>
        <v>0</v>
      </c>
      <c r="AF318" s="47">
        <f t="shared" si="342"/>
        <v>1</v>
      </c>
      <c r="AG318" s="202" t="str">
        <f t="shared" si="343"/>
        <v xml:space="preserve"> Construction Waste Removal  ECd_38</v>
      </c>
      <c r="AH318" s="147"/>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c r="BL318" s="148"/>
      <c r="BM318" s="148"/>
      <c r="BN318" s="148"/>
      <c r="BO318" s="148"/>
      <c r="BP318" s="148"/>
      <c r="BQ318" s="148"/>
      <c r="BR318" s="148"/>
      <c r="BS318" s="148"/>
      <c r="BT318" s="148"/>
      <c r="BU318" s="148"/>
      <c r="BV318" s="148"/>
      <c r="BW318" s="148"/>
      <c r="BX318" s="148"/>
      <c r="BY318" s="148"/>
      <c r="BZ318" s="148"/>
      <c r="CA318" s="148"/>
      <c r="CB318" s="148"/>
      <c r="CC318" s="148"/>
      <c r="CD318" s="148"/>
      <c r="CE318" s="148"/>
      <c r="CF318" s="148"/>
      <c r="CG318" s="148"/>
      <c r="CH318" s="148"/>
      <c r="CI318" s="148"/>
      <c r="CJ318" s="148"/>
      <c r="CK318" s="148"/>
      <c r="CL318" s="148"/>
      <c r="CM318" s="148"/>
      <c r="CN318" s="148"/>
      <c r="CO318" s="148"/>
      <c r="CP318" s="148"/>
      <c r="CQ318" s="148"/>
      <c r="CR318" s="148"/>
      <c r="CS318" s="148"/>
      <c r="CT318" s="148"/>
      <c r="CU318" s="148"/>
      <c r="CV318" s="148"/>
      <c r="CW318" s="148"/>
      <c r="CX318" s="148"/>
      <c r="CY318" s="148"/>
      <c r="CZ318" s="148"/>
      <c r="DA318" s="148"/>
      <c r="DB318" s="148"/>
      <c r="DC318" s="148"/>
      <c r="DD318" s="148"/>
      <c r="DE318" s="148"/>
      <c r="DF318" s="148"/>
      <c r="DG318" s="148"/>
      <c r="DH318" s="148"/>
      <c r="DI318" s="148"/>
      <c r="DJ318" s="148"/>
      <c r="DK318" s="148"/>
      <c r="DL318" s="148"/>
      <c r="DM318" s="148"/>
      <c r="DN318" s="148"/>
      <c r="DO318" s="148"/>
      <c r="DP318" s="148"/>
      <c r="DQ318" s="148"/>
      <c r="DR318" s="148"/>
      <c r="DS318" s="148"/>
      <c r="DT318" s="148"/>
      <c r="DU318" s="148"/>
      <c r="DV318" s="148"/>
      <c r="DW318" s="148"/>
      <c r="DX318" s="148"/>
      <c r="DY318" s="148"/>
      <c r="DZ318" s="148"/>
      <c r="EA318" s="148"/>
      <c r="EB318" s="148"/>
      <c r="EC318" s="148"/>
      <c r="ED318" s="148"/>
      <c r="EE318" s="148"/>
      <c r="EF318" s="148"/>
      <c r="EG318" s="148"/>
      <c r="EH318" s="148"/>
      <c r="EI318" s="148"/>
      <c r="EJ318" s="148"/>
      <c r="EK318" s="148"/>
      <c r="EL318" s="148"/>
      <c r="EM318" s="148"/>
      <c r="EN318" s="148"/>
      <c r="EO318" s="148"/>
      <c r="EP318" s="148"/>
      <c r="EQ318" s="148"/>
      <c r="ER318" s="148"/>
      <c r="ES318" s="148"/>
      <c r="ET318" s="148"/>
      <c r="EU318" s="148"/>
      <c r="EV318" s="148"/>
      <c r="EW318" s="148"/>
      <c r="EX318" s="148"/>
      <c r="EY318" s="148"/>
      <c r="EZ318" s="148"/>
      <c r="FA318" s="148"/>
      <c r="FB318" s="148"/>
      <c r="FC318" s="148"/>
      <c r="FD318" s="148"/>
      <c r="FE318" s="148"/>
      <c r="FF318" s="148"/>
      <c r="FG318" s="148"/>
      <c r="FH318" s="148"/>
      <c r="FI318" s="148"/>
      <c r="FJ318" s="148"/>
      <c r="FK318" s="148"/>
      <c r="FL318" s="148"/>
      <c r="FM318" s="148"/>
      <c r="FN318" s="148"/>
      <c r="FO318" s="148"/>
      <c r="FP318" s="148"/>
      <c r="FQ318" s="148"/>
      <c r="FR318" s="148"/>
      <c r="FS318" s="148"/>
      <c r="FT318" s="148"/>
      <c r="FU318" s="148"/>
      <c r="FV318" s="148"/>
      <c r="FW318" s="148"/>
      <c r="FX318" s="148"/>
      <c r="FY318" s="148"/>
      <c r="FZ318" s="148"/>
      <c r="GA318" s="148"/>
      <c r="GB318" s="148"/>
      <c r="GC318" s="148"/>
      <c r="GD318" s="148"/>
      <c r="GE318" s="148"/>
      <c r="GF318" s="148"/>
      <c r="GG318" s="149"/>
    </row>
    <row r="319" spans="1:189" x14ac:dyDescent="0.35">
      <c r="A319" s="297" t="s">
        <v>921</v>
      </c>
      <c r="B319" s="298"/>
      <c r="C319" s="298"/>
      <c r="D319" s="299"/>
      <c r="E319" s="298" t="s">
        <v>1153</v>
      </c>
      <c r="F319" s="298" t="s">
        <v>1154</v>
      </c>
      <c r="G319" s="300">
        <v>2</v>
      </c>
      <c r="H319" s="301" t="s">
        <v>869</v>
      </c>
      <c r="I319" s="302"/>
      <c r="J319" s="302"/>
      <c r="K319" s="302"/>
      <c r="L319" s="303">
        <v>45995</v>
      </c>
      <c r="M319" s="303">
        <v>46022</v>
      </c>
      <c r="N319" s="303">
        <v>46022</v>
      </c>
      <c r="O319" s="303">
        <v>46023</v>
      </c>
      <c r="P319" s="303">
        <v>46934</v>
      </c>
      <c r="Q319" s="304" t="s">
        <v>20</v>
      </c>
      <c r="R319" s="305">
        <v>585600</v>
      </c>
      <c r="S319" s="305">
        <v>585600</v>
      </c>
      <c r="T319" s="305">
        <v>563696.81000000006</v>
      </c>
      <c r="U319" s="191">
        <f t="shared" si="318"/>
        <v>21903.189999999944</v>
      </c>
      <c r="V319" s="306"/>
      <c r="W319" s="307"/>
      <c r="X319" s="46"/>
      <c r="Y319" s="167">
        <f t="shared" si="319"/>
        <v>585600</v>
      </c>
      <c r="Z319" s="167">
        <f t="shared" si="320"/>
        <v>563696.81000000006</v>
      </c>
      <c r="AA319" s="167">
        <f t="shared" si="321"/>
        <v>21903.189999999944</v>
      </c>
      <c r="AB319" s="167">
        <f t="shared" si="322"/>
        <v>0</v>
      </c>
      <c r="AC319" s="167">
        <f t="shared" si="323"/>
        <v>0</v>
      </c>
      <c r="AD319" s="167">
        <f t="shared" si="324"/>
        <v>0</v>
      </c>
      <c r="AF319" s="47">
        <f t="shared" si="342"/>
        <v>1</v>
      </c>
      <c r="AG319" s="202" t="str">
        <f t="shared" si="343"/>
        <v xml:space="preserve"> Site Security ECd_04</v>
      </c>
      <c r="AH319" s="147"/>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c r="BL319" s="148"/>
      <c r="BM319" s="148"/>
      <c r="BN319" s="148"/>
      <c r="BO319" s="148"/>
      <c r="BP319" s="148"/>
      <c r="BQ319" s="148"/>
      <c r="BR319" s="148"/>
      <c r="BS319" s="148"/>
      <c r="BT319" s="148"/>
      <c r="BU319" s="148"/>
      <c r="BV319" s="148"/>
      <c r="BW319" s="148"/>
      <c r="BX319" s="148"/>
      <c r="BY319" s="148"/>
      <c r="BZ319" s="148"/>
      <c r="CA319" s="148"/>
      <c r="CB319" s="148"/>
      <c r="CC319" s="148"/>
      <c r="CD319" s="148"/>
      <c r="CE319" s="148"/>
      <c r="CF319" s="148"/>
      <c r="CG319" s="148"/>
      <c r="CH319" s="148"/>
      <c r="CI319" s="148"/>
      <c r="CJ319" s="148"/>
      <c r="CK319" s="148"/>
      <c r="CL319" s="148"/>
      <c r="CM319" s="148"/>
      <c r="CN319" s="148"/>
      <c r="CO319" s="148"/>
      <c r="CP319" s="148"/>
      <c r="CQ319" s="148"/>
      <c r="CR319" s="148"/>
      <c r="CS319" s="148"/>
      <c r="CT319" s="148"/>
      <c r="CU319" s="148"/>
      <c r="CV319" s="148"/>
      <c r="CW319" s="148"/>
      <c r="CX319" s="148"/>
      <c r="CY319" s="148"/>
      <c r="CZ319" s="148"/>
      <c r="DA319" s="148"/>
      <c r="DB319" s="148"/>
      <c r="DC319" s="148"/>
      <c r="DD319" s="148"/>
      <c r="DE319" s="148"/>
      <c r="DF319" s="148"/>
      <c r="DG319" s="148"/>
      <c r="DH319" s="148"/>
      <c r="DI319" s="148"/>
      <c r="DJ319" s="148"/>
      <c r="DK319" s="148"/>
      <c r="DL319" s="148"/>
      <c r="DM319" s="148"/>
      <c r="DN319" s="148"/>
      <c r="DO319" s="148"/>
      <c r="DP319" s="148"/>
      <c r="DQ319" s="148"/>
      <c r="DR319" s="148"/>
      <c r="DS319" s="148"/>
      <c r="DT319" s="148"/>
      <c r="DU319" s="148"/>
      <c r="DV319" s="148"/>
      <c r="DW319" s="148"/>
      <c r="DX319" s="148"/>
      <c r="DY319" s="148"/>
      <c r="DZ319" s="148"/>
      <c r="EA319" s="148"/>
      <c r="EB319" s="148"/>
      <c r="EC319" s="148"/>
      <c r="ED319" s="148"/>
      <c r="EE319" s="148"/>
      <c r="EF319" s="148"/>
      <c r="EG319" s="148"/>
      <c r="EH319" s="148"/>
      <c r="EI319" s="148"/>
      <c r="EJ319" s="148"/>
      <c r="EK319" s="148"/>
      <c r="EL319" s="148"/>
      <c r="EM319" s="148"/>
      <c r="EN319" s="148"/>
      <c r="EO319" s="148"/>
      <c r="EP319" s="148"/>
      <c r="EQ319" s="148"/>
      <c r="ER319" s="148"/>
      <c r="ES319" s="148"/>
      <c r="ET319" s="148"/>
      <c r="EU319" s="148"/>
      <c r="EV319" s="148"/>
      <c r="EW319" s="148"/>
      <c r="EX319" s="148"/>
      <c r="EY319" s="148"/>
      <c r="EZ319" s="148"/>
      <c r="FA319" s="148"/>
      <c r="FB319" s="148"/>
      <c r="FC319" s="148"/>
      <c r="FD319" s="148"/>
      <c r="FE319" s="148"/>
      <c r="FF319" s="148"/>
      <c r="FG319" s="148"/>
      <c r="FH319" s="148"/>
      <c r="FI319" s="148"/>
      <c r="FJ319" s="148"/>
      <c r="FK319" s="148"/>
      <c r="FL319" s="148"/>
      <c r="FM319" s="148"/>
      <c r="FN319" s="148"/>
      <c r="FO319" s="148"/>
      <c r="FP319" s="148"/>
      <c r="FQ319" s="148"/>
      <c r="FR319" s="148"/>
      <c r="FS319" s="148"/>
      <c r="FT319" s="148"/>
      <c r="FU319" s="148"/>
      <c r="FV319" s="148"/>
      <c r="FW319" s="148"/>
      <c r="FX319" s="148"/>
      <c r="FY319" s="148"/>
      <c r="FZ319" s="148"/>
      <c r="GA319" s="148"/>
      <c r="GB319" s="148"/>
      <c r="GC319" s="148"/>
      <c r="GD319" s="148"/>
      <c r="GE319" s="148"/>
      <c r="GF319" s="148"/>
      <c r="GG319" s="149"/>
    </row>
    <row r="320" spans="1:189" x14ac:dyDescent="0.35">
      <c r="A320" s="297" t="s">
        <v>922</v>
      </c>
      <c r="B320" s="298"/>
      <c r="C320" s="298"/>
      <c r="D320" s="299"/>
      <c r="E320" s="298" t="s">
        <v>1178</v>
      </c>
      <c r="F320" s="298" t="s">
        <v>1178</v>
      </c>
      <c r="G320" s="300">
        <v>2</v>
      </c>
      <c r="H320" s="301" t="s">
        <v>1177</v>
      </c>
      <c r="I320" s="302"/>
      <c r="J320" s="302"/>
      <c r="K320" s="302"/>
      <c r="L320" s="303">
        <v>45995</v>
      </c>
      <c r="M320" s="303">
        <v>46053</v>
      </c>
      <c r="N320" s="303">
        <v>46053</v>
      </c>
      <c r="O320" s="303">
        <v>46054</v>
      </c>
      <c r="P320" s="303">
        <v>46934</v>
      </c>
      <c r="Q320" s="304" t="s">
        <v>20</v>
      </c>
      <c r="R320" s="305">
        <v>44030</v>
      </c>
      <c r="S320" s="305">
        <v>44030</v>
      </c>
      <c r="T320" s="305">
        <v>26466</v>
      </c>
      <c r="U320" s="191">
        <f t="shared" si="318"/>
        <v>17564</v>
      </c>
      <c r="V320" s="306"/>
      <c r="W320" s="307"/>
      <c r="X320" s="46"/>
      <c r="Y320" s="167">
        <f t="shared" si="319"/>
        <v>44030</v>
      </c>
      <c r="Z320" s="167">
        <f t="shared" si="320"/>
        <v>26466</v>
      </c>
      <c r="AA320" s="167">
        <f t="shared" si="321"/>
        <v>17564</v>
      </c>
      <c r="AB320" s="167">
        <f t="shared" si="322"/>
        <v>0</v>
      </c>
      <c r="AC320" s="167">
        <f t="shared" si="323"/>
        <v>0</v>
      </c>
      <c r="AD320" s="167">
        <f t="shared" si="324"/>
        <v>0</v>
      </c>
      <c r="AF320" s="47">
        <f t="shared" si="342"/>
        <v>1</v>
      </c>
      <c r="AG320" s="202" t="str">
        <f t="shared" si="343"/>
        <v xml:space="preserve"> Toi-Toi ECd_17</v>
      </c>
      <c r="AH320" s="147"/>
      <c r="AI320" s="148"/>
      <c r="AJ320" s="148"/>
      <c r="AK320" s="148"/>
      <c r="AL320" s="148"/>
      <c r="AM320" s="148"/>
      <c r="AN320" s="148"/>
      <c r="AO320" s="148"/>
      <c r="AP320" s="148"/>
      <c r="AQ320" s="148"/>
      <c r="AR320" s="148"/>
      <c r="AS320" s="148"/>
      <c r="AT320" s="148"/>
      <c r="AU320" s="148"/>
      <c r="AV320" s="148"/>
      <c r="AW320" s="148"/>
      <c r="AX320" s="148"/>
      <c r="AY320" s="148"/>
      <c r="AZ320" s="148"/>
      <c r="BA320" s="148"/>
      <c r="BB320" s="148"/>
      <c r="BC320" s="148"/>
      <c r="BD320" s="148"/>
      <c r="BE320" s="148"/>
      <c r="BF320" s="148"/>
      <c r="BG320" s="148"/>
      <c r="BH320" s="148"/>
      <c r="BI320" s="148"/>
      <c r="BJ320" s="148"/>
      <c r="BK320" s="148"/>
      <c r="BL320" s="148"/>
      <c r="BM320" s="148"/>
      <c r="BN320" s="148"/>
      <c r="BO320" s="148"/>
      <c r="BP320" s="148"/>
      <c r="BQ320" s="148"/>
      <c r="BR320" s="148"/>
      <c r="BS320" s="148"/>
      <c r="BT320" s="148"/>
      <c r="BU320" s="148"/>
      <c r="BV320" s="148"/>
      <c r="BW320" s="148"/>
      <c r="BX320" s="148"/>
      <c r="BY320" s="148"/>
      <c r="BZ320" s="148"/>
      <c r="CA320" s="148"/>
      <c r="CB320" s="148"/>
      <c r="CC320" s="148"/>
      <c r="CD320" s="148"/>
      <c r="CE320" s="148"/>
      <c r="CF320" s="148"/>
      <c r="CG320" s="148"/>
      <c r="CH320" s="148"/>
      <c r="CI320" s="148"/>
      <c r="CJ320" s="148"/>
      <c r="CK320" s="148"/>
      <c r="CL320" s="148"/>
      <c r="CM320" s="148"/>
      <c r="CN320" s="148"/>
      <c r="CO320" s="148"/>
      <c r="CP320" s="148"/>
      <c r="CQ320" s="148"/>
      <c r="CR320" s="148"/>
      <c r="CS320" s="148"/>
      <c r="CT320" s="148"/>
      <c r="CU320" s="148"/>
      <c r="CV320" s="148"/>
      <c r="CW320" s="148"/>
      <c r="CX320" s="148"/>
      <c r="CY320" s="148"/>
      <c r="CZ320" s="148"/>
      <c r="DA320" s="148"/>
      <c r="DB320" s="148"/>
      <c r="DC320" s="148"/>
      <c r="DD320" s="148"/>
      <c r="DE320" s="148"/>
      <c r="DF320" s="148"/>
      <c r="DG320" s="148"/>
      <c r="DH320" s="148"/>
      <c r="DI320" s="148"/>
      <c r="DJ320" s="148"/>
      <c r="DK320" s="148"/>
      <c r="DL320" s="148"/>
      <c r="DM320" s="148"/>
      <c r="DN320" s="148"/>
      <c r="DO320" s="148"/>
      <c r="DP320" s="148"/>
      <c r="DQ320" s="148"/>
      <c r="DR320" s="148"/>
      <c r="DS320" s="148"/>
      <c r="DT320" s="148"/>
      <c r="DU320" s="148"/>
      <c r="DV320" s="148"/>
      <c r="DW320" s="148"/>
      <c r="DX320" s="148"/>
      <c r="DY320" s="148"/>
      <c r="DZ320" s="148"/>
      <c r="EA320" s="148"/>
      <c r="EB320" s="148"/>
      <c r="EC320" s="148"/>
      <c r="ED320" s="148"/>
      <c r="EE320" s="148"/>
      <c r="EF320" s="148"/>
      <c r="EG320" s="148"/>
      <c r="EH320" s="148"/>
      <c r="EI320" s="148"/>
      <c r="EJ320" s="148"/>
      <c r="EK320" s="148"/>
      <c r="EL320" s="148"/>
      <c r="EM320" s="148"/>
      <c r="EN320" s="148"/>
      <c r="EO320" s="148"/>
      <c r="EP320" s="148"/>
      <c r="EQ320" s="148"/>
      <c r="ER320" s="148"/>
      <c r="ES320" s="148"/>
      <c r="ET320" s="148"/>
      <c r="EU320" s="148"/>
      <c r="EV320" s="148"/>
      <c r="EW320" s="148"/>
      <c r="EX320" s="148"/>
      <c r="EY320" s="148"/>
      <c r="EZ320" s="148"/>
      <c r="FA320" s="148"/>
      <c r="FB320" s="148"/>
      <c r="FC320" s="148"/>
      <c r="FD320" s="148"/>
      <c r="FE320" s="148"/>
      <c r="FF320" s="148"/>
      <c r="FG320" s="148"/>
      <c r="FH320" s="148"/>
      <c r="FI320" s="148"/>
      <c r="FJ320" s="148"/>
      <c r="FK320" s="148"/>
      <c r="FL320" s="148"/>
      <c r="FM320" s="148"/>
      <c r="FN320" s="148"/>
      <c r="FO320" s="148"/>
      <c r="FP320" s="148"/>
      <c r="FQ320" s="148"/>
      <c r="FR320" s="148"/>
      <c r="FS320" s="148"/>
      <c r="FT320" s="148"/>
      <c r="FU320" s="148"/>
      <c r="FV320" s="148"/>
      <c r="FW320" s="148"/>
      <c r="FX320" s="148"/>
      <c r="FY320" s="148"/>
      <c r="FZ320" s="148"/>
      <c r="GA320" s="148"/>
      <c r="GB320" s="148"/>
      <c r="GC320" s="148"/>
      <c r="GD320" s="148"/>
      <c r="GE320" s="148"/>
      <c r="GF320" s="148"/>
      <c r="GG320" s="149"/>
    </row>
    <row r="321" spans="1:189" x14ac:dyDescent="0.35">
      <c r="A321" s="270" t="s">
        <v>886</v>
      </c>
      <c r="B321" s="236"/>
      <c r="C321" s="236"/>
      <c r="D321" s="237"/>
      <c r="E321" s="236" t="s">
        <v>801</v>
      </c>
      <c r="F321" s="236" t="s">
        <v>847</v>
      </c>
      <c r="G321" s="238">
        <v>2</v>
      </c>
      <c r="H321" s="239"/>
      <c r="I321" s="240"/>
      <c r="J321" s="240"/>
      <c r="K321" s="240"/>
      <c r="L321" s="241"/>
      <c r="M321" s="241"/>
      <c r="N321" s="241"/>
      <c r="O321" s="241"/>
      <c r="P321" s="241"/>
      <c r="Q321" s="242" t="s">
        <v>45</v>
      </c>
      <c r="R321" s="243"/>
      <c r="S321" s="243"/>
      <c r="T321" s="243"/>
      <c r="U321" s="191">
        <f t="shared" si="318"/>
        <v>0</v>
      </c>
      <c r="V321" s="244"/>
      <c r="W321" s="245"/>
      <c r="X321" s="46"/>
      <c r="Y321" s="167">
        <f t="shared" si="319"/>
        <v>0</v>
      </c>
      <c r="Z321" s="167">
        <f t="shared" si="320"/>
        <v>0</v>
      </c>
      <c r="AA321" s="167">
        <f t="shared" si="321"/>
        <v>0</v>
      </c>
      <c r="AB321" s="167">
        <f t="shared" si="322"/>
        <v>0</v>
      </c>
      <c r="AC321" s="167">
        <f t="shared" si="323"/>
        <v>0</v>
      </c>
      <c r="AD321" s="167">
        <f t="shared" si="324"/>
        <v>0</v>
      </c>
      <c r="AF321" s="47">
        <f t="shared" si="342"/>
        <v>0</v>
      </c>
      <c r="AG321" s="202" t="str">
        <f t="shared" si="343"/>
        <v xml:space="preserve"> Miscellaneous Costs</v>
      </c>
      <c r="AH321" s="172"/>
      <c r="AI321" s="173"/>
      <c r="AJ321" s="173"/>
      <c r="AK321" s="173"/>
      <c r="AL321" s="173"/>
      <c r="AM321" s="173"/>
      <c r="AN321" s="173"/>
      <c r="AO321" s="173"/>
      <c r="AP321" s="173"/>
      <c r="AQ321" s="173"/>
      <c r="AR321" s="173"/>
      <c r="AS321" s="173"/>
      <c r="AT321" s="173"/>
      <c r="AU321" s="173"/>
      <c r="AV321" s="173"/>
      <c r="AW321" s="173"/>
      <c r="AX321" s="173"/>
      <c r="AY321" s="173"/>
      <c r="AZ321" s="173"/>
      <c r="BA321" s="173"/>
      <c r="BB321" s="173"/>
      <c r="BC321" s="173"/>
      <c r="BD321" s="173"/>
      <c r="BE321" s="173"/>
      <c r="BF321" s="173"/>
      <c r="BG321" s="173"/>
      <c r="BH321" s="173"/>
      <c r="BI321" s="173"/>
      <c r="BJ321" s="173"/>
      <c r="BK321" s="173"/>
      <c r="BL321" s="173"/>
      <c r="BM321" s="173"/>
      <c r="BN321" s="173"/>
      <c r="BO321" s="173"/>
      <c r="BP321" s="173"/>
      <c r="BQ321" s="173"/>
      <c r="BR321" s="173"/>
      <c r="BS321" s="173"/>
      <c r="BT321" s="173"/>
      <c r="BU321" s="173"/>
      <c r="BV321" s="173"/>
      <c r="BW321" s="173"/>
      <c r="BX321" s="173"/>
      <c r="BY321" s="173"/>
      <c r="BZ321" s="173"/>
      <c r="CA321" s="173"/>
      <c r="CB321" s="173"/>
      <c r="CC321" s="173"/>
      <c r="CD321" s="173"/>
      <c r="CE321" s="173"/>
      <c r="CF321" s="173"/>
      <c r="CG321" s="173"/>
      <c r="CH321" s="173"/>
      <c r="CI321" s="173"/>
      <c r="CJ321" s="173"/>
      <c r="CK321" s="173"/>
      <c r="CL321" s="173"/>
      <c r="CM321" s="173"/>
      <c r="CN321" s="173"/>
      <c r="CO321" s="173"/>
      <c r="CP321" s="173"/>
      <c r="CQ321" s="173"/>
      <c r="CR321" s="173"/>
      <c r="CS321" s="173"/>
      <c r="CT321" s="173"/>
      <c r="CU321" s="173"/>
      <c r="CV321" s="173"/>
      <c r="CW321" s="173"/>
      <c r="CX321" s="173"/>
      <c r="CY321" s="148"/>
      <c r="CZ321" s="148"/>
      <c r="DA321" s="148"/>
      <c r="DB321" s="148"/>
      <c r="DC321" s="148"/>
      <c r="DD321" s="148"/>
      <c r="DE321" s="148"/>
      <c r="DF321" s="148"/>
      <c r="DG321" s="148"/>
      <c r="DH321" s="148"/>
      <c r="DI321" s="148"/>
      <c r="DJ321" s="148"/>
      <c r="DK321" s="148"/>
      <c r="DL321" s="148"/>
      <c r="DM321" s="148"/>
      <c r="DN321" s="148"/>
      <c r="DO321" s="148"/>
      <c r="DP321" s="148"/>
      <c r="DQ321" s="148"/>
      <c r="DR321" s="148"/>
      <c r="DS321" s="148"/>
      <c r="DT321" s="148"/>
      <c r="DU321" s="148"/>
      <c r="DV321" s="148"/>
      <c r="DW321" s="148"/>
      <c r="DX321" s="148"/>
      <c r="DY321" s="148"/>
      <c r="DZ321" s="148"/>
      <c r="EA321" s="148"/>
      <c r="EB321" s="148"/>
      <c r="EC321" s="148"/>
      <c r="ED321" s="148"/>
      <c r="EE321" s="148"/>
      <c r="EF321" s="148"/>
      <c r="EG321" s="148"/>
      <c r="EH321" s="148"/>
      <c r="EI321" s="148"/>
      <c r="EJ321" s="148"/>
      <c r="EK321" s="148"/>
      <c r="EL321" s="148"/>
      <c r="EM321" s="148"/>
      <c r="EN321" s="148"/>
      <c r="EO321" s="148"/>
      <c r="EP321" s="148"/>
      <c r="EQ321" s="148"/>
      <c r="ER321" s="148"/>
      <c r="ES321" s="151"/>
      <c r="ET321" s="151"/>
      <c r="EU321" s="151"/>
      <c r="EV321" s="151"/>
      <c r="EW321" s="151"/>
      <c r="EX321" s="151"/>
      <c r="EY321" s="151"/>
      <c r="EZ321" s="151"/>
      <c r="FA321" s="151"/>
      <c r="FB321" s="151"/>
      <c r="FC321" s="151"/>
      <c r="FD321" s="151"/>
      <c r="FE321" s="151"/>
      <c r="FF321" s="151"/>
      <c r="FG321" s="151"/>
      <c r="FH321" s="151"/>
      <c r="FI321" s="151"/>
      <c r="FJ321" s="151"/>
      <c r="FK321" s="151"/>
      <c r="FL321" s="151"/>
      <c r="FM321" s="151"/>
      <c r="FN321" s="151"/>
      <c r="FO321" s="151"/>
      <c r="FP321" s="151"/>
      <c r="FQ321" s="151"/>
      <c r="FR321" s="151"/>
      <c r="FS321" s="151"/>
      <c r="FT321" s="151"/>
      <c r="FU321" s="151"/>
      <c r="FV321" s="151"/>
      <c r="FW321" s="151"/>
      <c r="FX321" s="151"/>
      <c r="FY321" s="151"/>
      <c r="FZ321" s="151"/>
      <c r="GA321" s="151"/>
      <c r="GB321" s="151"/>
      <c r="GC321" s="151"/>
      <c r="GD321" s="151"/>
      <c r="GE321" s="151"/>
      <c r="GF321" s="151"/>
      <c r="GG321" s="152"/>
    </row>
    <row r="322" spans="1:189" ht="27.75" x14ac:dyDescent="0.35">
      <c r="A322" s="297" t="s">
        <v>887</v>
      </c>
      <c r="B322" s="298"/>
      <c r="C322" s="298"/>
      <c r="D322" s="299"/>
      <c r="E322" s="298" t="s">
        <v>802</v>
      </c>
      <c r="F322" s="298" t="s">
        <v>848</v>
      </c>
      <c r="G322" s="300">
        <v>2</v>
      </c>
      <c r="H322" s="301"/>
      <c r="I322" s="302"/>
      <c r="J322" s="302"/>
      <c r="K322" s="302"/>
      <c r="L322" s="303">
        <v>45995</v>
      </c>
      <c r="M322" s="303">
        <v>46752</v>
      </c>
      <c r="N322" s="303"/>
      <c r="O322" s="303">
        <v>46419</v>
      </c>
      <c r="P322" s="303">
        <v>46934</v>
      </c>
      <c r="Q322" s="304" t="s">
        <v>45</v>
      </c>
      <c r="R322" s="305">
        <v>160208</v>
      </c>
      <c r="S322" s="305">
        <f>160208-SUM(S323)</f>
        <v>130208</v>
      </c>
      <c r="T322" s="305"/>
      <c r="U322" s="191">
        <f t="shared" si="318"/>
        <v>0</v>
      </c>
      <c r="V322" s="306"/>
      <c r="W322" s="307"/>
      <c r="X322" s="46"/>
      <c r="Y322" s="167">
        <f t="shared" si="319"/>
        <v>130208</v>
      </c>
      <c r="Z322" s="167">
        <f t="shared" si="320"/>
        <v>0</v>
      </c>
      <c r="AA322" s="167">
        <f t="shared" si="321"/>
        <v>130208</v>
      </c>
      <c r="AB322" s="167">
        <f t="shared" si="322"/>
        <v>0</v>
      </c>
      <c r="AC322" s="167">
        <f t="shared" si="323"/>
        <v>0</v>
      </c>
      <c r="AD322" s="167">
        <f t="shared" si="324"/>
        <v>0</v>
      </c>
      <c r="AF322" s="47">
        <f t="shared" si="342"/>
        <v>1</v>
      </c>
      <c r="AG322" s="202" t="str">
        <f t="shared" si="343"/>
        <v xml:space="preserve"> Personal Occupational Health and Safety Equipment</v>
      </c>
      <c r="AH322" s="172"/>
      <c r="AI322" s="173"/>
      <c r="AJ322" s="173"/>
      <c r="AK322" s="173"/>
      <c r="AL322" s="173"/>
      <c r="AM322" s="173"/>
      <c r="AN322" s="173"/>
      <c r="AO322" s="173"/>
      <c r="AP322" s="173"/>
      <c r="AQ322" s="173"/>
      <c r="AR322" s="173"/>
      <c r="AS322" s="173"/>
      <c r="AT322" s="173"/>
      <c r="AU322" s="173"/>
      <c r="AV322" s="173"/>
      <c r="AW322" s="173"/>
      <c r="AX322" s="173"/>
      <c r="AY322" s="173"/>
      <c r="AZ322" s="173"/>
      <c r="BA322" s="173"/>
      <c r="BB322" s="173"/>
      <c r="BC322" s="173"/>
      <c r="BD322" s="173"/>
      <c r="BE322" s="173"/>
      <c r="BF322" s="173"/>
      <c r="BG322" s="173"/>
      <c r="BH322" s="173"/>
      <c r="BI322" s="173"/>
      <c r="BJ322" s="173"/>
      <c r="BK322" s="173"/>
      <c r="BL322" s="173"/>
      <c r="BM322" s="173"/>
      <c r="BN322" s="173"/>
      <c r="BO322" s="173"/>
      <c r="BP322" s="173"/>
      <c r="BQ322" s="173"/>
      <c r="BR322" s="173"/>
      <c r="BS322" s="173"/>
      <c r="BT322" s="173"/>
      <c r="BU322" s="173"/>
      <c r="BV322" s="173"/>
      <c r="BW322" s="173"/>
      <c r="BX322" s="173"/>
      <c r="BY322" s="173"/>
      <c r="BZ322" s="173"/>
      <c r="CA322" s="173"/>
      <c r="CB322" s="173"/>
      <c r="CC322" s="173"/>
      <c r="CD322" s="173"/>
      <c r="CE322" s="173"/>
      <c r="CF322" s="173"/>
      <c r="CG322" s="173"/>
      <c r="CH322" s="173"/>
      <c r="CI322" s="173"/>
      <c r="CJ322" s="173"/>
      <c r="CK322" s="173"/>
      <c r="CL322" s="173"/>
      <c r="CM322" s="173"/>
      <c r="CN322" s="173"/>
      <c r="CO322" s="173"/>
      <c r="CP322" s="173"/>
      <c r="CQ322" s="173"/>
      <c r="CR322" s="173"/>
      <c r="CS322" s="173"/>
      <c r="CT322" s="173"/>
      <c r="CU322" s="173"/>
      <c r="CV322" s="173"/>
      <c r="CW322" s="173"/>
      <c r="CX322" s="173"/>
      <c r="CY322" s="148"/>
      <c r="CZ322" s="148"/>
      <c r="DA322" s="148"/>
      <c r="DB322" s="148"/>
      <c r="DC322" s="148"/>
      <c r="DD322" s="148"/>
      <c r="DE322" s="148"/>
      <c r="DF322" s="148"/>
      <c r="DG322" s="148"/>
      <c r="DH322" s="148"/>
      <c r="DI322" s="148"/>
      <c r="DJ322" s="148"/>
      <c r="DK322" s="148"/>
      <c r="DL322" s="148"/>
      <c r="DM322" s="148"/>
      <c r="DN322" s="148"/>
      <c r="DO322" s="148"/>
      <c r="DP322" s="148"/>
      <c r="DQ322" s="148"/>
      <c r="DR322" s="148"/>
      <c r="DS322" s="148"/>
      <c r="DT322" s="148"/>
      <c r="DU322" s="148"/>
      <c r="DV322" s="148"/>
      <c r="DW322" s="148"/>
      <c r="DX322" s="148"/>
      <c r="DY322" s="148"/>
      <c r="DZ322" s="148"/>
      <c r="EA322" s="148"/>
      <c r="EB322" s="148"/>
      <c r="EC322" s="148"/>
      <c r="ED322" s="148"/>
      <c r="EE322" s="148"/>
      <c r="EF322" s="148"/>
      <c r="EG322" s="148"/>
      <c r="EH322" s="148"/>
      <c r="EI322" s="148"/>
      <c r="EJ322" s="148"/>
      <c r="EK322" s="148"/>
      <c r="EL322" s="148"/>
      <c r="EM322" s="148"/>
      <c r="EN322" s="148"/>
      <c r="EO322" s="148"/>
      <c r="EP322" s="148"/>
      <c r="EQ322" s="148"/>
      <c r="ER322" s="148"/>
      <c r="ES322" s="148"/>
      <c r="ET322" s="148"/>
      <c r="EU322" s="148"/>
      <c r="EV322" s="148"/>
      <c r="EW322" s="148"/>
      <c r="EX322" s="148"/>
      <c r="EY322" s="148"/>
      <c r="EZ322" s="148"/>
      <c r="FA322" s="148"/>
      <c r="FB322" s="148"/>
      <c r="FC322" s="148"/>
      <c r="FD322" s="148"/>
      <c r="FE322" s="148"/>
      <c r="FF322" s="148"/>
      <c r="FG322" s="148"/>
      <c r="FH322" s="148"/>
      <c r="FI322" s="148"/>
      <c r="FJ322" s="148"/>
      <c r="FK322" s="148"/>
      <c r="FL322" s="148"/>
      <c r="FM322" s="148"/>
      <c r="FN322" s="148"/>
      <c r="FO322" s="148"/>
      <c r="FP322" s="148"/>
      <c r="FQ322" s="148"/>
      <c r="FR322" s="148"/>
      <c r="FS322" s="148"/>
      <c r="FT322" s="148"/>
      <c r="FU322" s="148"/>
      <c r="FV322" s="148"/>
      <c r="FW322" s="148"/>
      <c r="FX322" s="148"/>
      <c r="FY322" s="148"/>
      <c r="FZ322" s="148"/>
      <c r="GA322" s="148"/>
      <c r="GB322" s="148"/>
      <c r="GC322" s="148"/>
      <c r="GD322" s="148"/>
      <c r="GE322" s="148"/>
      <c r="GF322" s="148"/>
      <c r="GG322" s="149"/>
    </row>
    <row r="323" spans="1:189" ht="27.75" x14ac:dyDescent="0.35">
      <c r="A323" s="267" t="s">
        <v>1347</v>
      </c>
      <c r="B323" s="221"/>
      <c r="C323" s="221"/>
      <c r="D323" s="222"/>
      <c r="E323" s="221" t="s">
        <v>1349</v>
      </c>
      <c r="F323" s="221" t="s">
        <v>1350</v>
      </c>
      <c r="G323" s="223">
        <v>1</v>
      </c>
      <c r="H323" s="224" t="s">
        <v>1348</v>
      </c>
      <c r="I323" s="225"/>
      <c r="J323" s="225"/>
      <c r="K323" s="225"/>
      <c r="L323" s="226">
        <v>45995</v>
      </c>
      <c r="M323" s="226">
        <v>46090</v>
      </c>
      <c r="N323" s="226">
        <v>46090</v>
      </c>
      <c r="O323" s="226">
        <v>46054</v>
      </c>
      <c r="P323" s="226">
        <v>46934</v>
      </c>
      <c r="Q323" s="227" t="s">
        <v>20</v>
      </c>
      <c r="R323" s="228"/>
      <c r="S323" s="228">
        <v>30000</v>
      </c>
      <c r="T323" s="228">
        <v>30000</v>
      </c>
      <c r="U323" s="191">
        <f t="shared" si="318"/>
        <v>0</v>
      </c>
      <c r="V323" s="230"/>
      <c r="W323" s="232"/>
      <c r="X323" s="46"/>
      <c r="Y323" s="167">
        <f t="shared" si="319"/>
        <v>0</v>
      </c>
      <c r="Z323" s="167">
        <f t="shared" si="320"/>
        <v>0</v>
      </c>
      <c r="AA323" s="167">
        <f t="shared" si="321"/>
        <v>0</v>
      </c>
      <c r="AB323" s="167">
        <f t="shared" si="322"/>
        <v>30000</v>
      </c>
      <c r="AC323" s="167">
        <f t="shared" si="323"/>
        <v>30000</v>
      </c>
      <c r="AD323" s="167">
        <f t="shared" si="324"/>
        <v>0</v>
      </c>
      <c r="AF323" s="47">
        <f t="shared" si="342"/>
        <v>1</v>
      </c>
      <c r="AG323" s="202" t="str">
        <f t="shared" si="343"/>
        <v xml:space="preserve"> Personal Occupational Health and Safety Equipment ECd_43</v>
      </c>
      <c r="AH323" s="153"/>
      <c r="AI323" s="154"/>
      <c r="AJ323" s="154"/>
      <c r="AK323" s="154"/>
      <c r="AL323" s="154"/>
      <c r="AM323" s="154"/>
      <c r="AN323" s="154"/>
      <c r="AO323" s="154"/>
      <c r="AP323" s="154"/>
      <c r="AQ323" s="154"/>
      <c r="AR323" s="154"/>
      <c r="AS323" s="154"/>
      <c r="AT323" s="154"/>
      <c r="AU323" s="154"/>
      <c r="AV323" s="154"/>
      <c r="AW323" s="154"/>
      <c r="AX323" s="154"/>
      <c r="AY323" s="154"/>
      <c r="AZ323" s="154"/>
      <c r="BA323" s="151"/>
      <c r="BB323" s="151"/>
      <c r="BC323" s="151"/>
      <c r="BD323" s="151"/>
      <c r="BE323" s="151"/>
      <c r="BF323" s="151"/>
      <c r="BG323" s="151"/>
      <c r="BH323" s="151"/>
      <c r="BI323" s="151"/>
      <c r="BJ323" s="151"/>
      <c r="BK323" s="151"/>
      <c r="BL323" s="151"/>
      <c r="BM323" s="151"/>
      <c r="BN323" s="151"/>
      <c r="BO323" s="151"/>
      <c r="BP323" s="151"/>
      <c r="BQ323" s="151"/>
      <c r="BR323" s="151"/>
      <c r="BS323" s="151"/>
      <c r="BT323" s="151"/>
      <c r="BU323" s="151"/>
      <c r="BV323" s="151"/>
      <c r="BW323" s="151"/>
      <c r="BX323" s="151"/>
      <c r="BY323" s="151"/>
      <c r="BZ323" s="151"/>
      <c r="CA323" s="151"/>
      <c r="CB323" s="151"/>
      <c r="CC323" s="151"/>
      <c r="CD323" s="151"/>
      <c r="CE323" s="151"/>
      <c r="CF323" s="151"/>
      <c r="CG323" s="151"/>
      <c r="CH323" s="151"/>
      <c r="CI323" s="151"/>
      <c r="CJ323" s="151"/>
      <c r="CK323" s="151"/>
      <c r="CL323" s="151"/>
      <c r="CM323" s="151"/>
      <c r="CN323" s="151"/>
      <c r="CO323" s="151"/>
      <c r="CP323" s="151"/>
      <c r="CQ323" s="151"/>
      <c r="CR323" s="151"/>
      <c r="CS323" s="151"/>
      <c r="CT323" s="151"/>
      <c r="CU323" s="151"/>
      <c r="CV323" s="151"/>
      <c r="CW323" s="151"/>
      <c r="CX323" s="151"/>
      <c r="CY323" s="151"/>
      <c r="CZ323" s="151"/>
      <c r="DA323" s="151"/>
      <c r="DB323" s="151"/>
      <c r="DC323" s="151"/>
      <c r="DD323" s="151"/>
      <c r="DE323" s="151"/>
      <c r="DF323" s="151"/>
      <c r="DG323" s="151"/>
      <c r="DH323" s="151"/>
      <c r="DI323" s="151"/>
      <c r="DJ323" s="151"/>
      <c r="DK323" s="151"/>
      <c r="DL323" s="151"/>
      <c r="DM323" s="151"/>
      <c r="DN323" s="151"/>
      <c r="DO323" s="151"/>
      <c r="DP323" s="151"/>
      <c r="DQ323" s="151"/>
      <c r="DR323" s="151"/>
      <c r="DS323" s="151"/>
      <c r="DT323" s="151"/>
      <c r="DU323" s="151"/>
      <c r="DV323" s="151"/>
      <c r="DW323" s="151"/>
      <c r="DX323" s="151"/>
      <c r="DY323" s="151"/>
      <c r="DZ323" s="151"/>
      <c r="EA323" s="151"/>
      <c r="EB323" s="151"/>
      <c r="EC323" s="151"/>
      <c r="ED323" s="151"/>
      <c r="EE323" s="151"/>
      <c r="EF323" s="151"/>
      <c r="EG323" s="151"/>
      <c r="EH323" s="151"/>
      <c r="EI323" s="151"/>
      <c r="EJ323" s="151"/>
      <c r="EK323" s="151"/>
      <c r="EL323" s="151"/>
      <c r="EM323" s="151"/>
      <c r="EN323" s="151"/>
      <c r="EO323" s="151"/>
      <c r="EP323" s="151"/>
      <c r="EQ323" s="151"/>
      <c r="ER323" s="151"/>
      <c r="ES323" s="151"/>
      <c r="ET323" s="151"/>
      <c r="EU323" s="151"/>
      <c r="EV323" s="151"/>
      <c r="EW323" s="151"/>
      <c r="EX323" s="151"/>
      <c r="EY323" s="151"/>
      <c r="EZ323" s="151"/>
      <c r="FA323" s="151"/>
      <c r="FB323" s="151"/>
      <c r="FC323" s="151"/>
      <c r="FD323" s="151"/>
      <c r="FE323" s="151"/>
      <c r="FF323" s="151"/>
      <c r="FG323" s="151"/>
      <c r="FH323" s="151"/>
      <c r="FI323" s="151"/>
      <c r="FJ323" s="151"/>
      <c r="FK323" s="151"/>
      <c r="FL323" s="151"/>
      <c r="FM323" s="151"/>
      <c r="FN323" s="151"/>
      <c r="FO323" s="151"/>
      <c r="FP323" s="151"/>
      <c r="FQ323" s="151"/>
      <c r="FR323" s="151"/>
      <c r="FS323" s="151"/>
      <c r="FT323" s="151"/>
      <c r="FU323" s="151"/>
      <c r="FV323" s="151"/>
      <c r="FW323" s="151"/>
      <c r="FX323" s="151"/>
      <c r="FY323" s="151"/>
      <c r="FZ323" s="151"/>
      <c r="GA323" s="151"/>
      <c r="GB323" s="151"/>
      <c r="GC323" s="151"/>
      <c r="GD323" s="151"/>
      <c r="GE323" s="151"/>
      <c r="GF323" s="151"/>
      <c r="GG323" s="152"/>
    </row>
    <row r="324" spans="1:189" x14ac:dyDescent="0.35">
      <c r="A324" s="297" t="s">
        <v>888</v>
      </c>
      <c r="B324" s="298"/>
      <c r="C324" s="298"/>
      <c r="D324" s="299"/>
      <c r="E324" s="298" t="s">
        <v>803</v>
      </c>
      <c r="F324" s="298" t="s">
        <v>849</v>
      </c>
      <c r="G324" s="300">
        <v>2</v>
      </c>
      <c r="H324" s="301"/>
      <c r="I324" s="302"/>
      <c r="J324" s="302"/>
      <c r="K324" s="302"/>
      <c r="L324" s="303">
        <v>46631</v>
      </c>
      <c r="M324" s="303">
        <v>46660</v>
      </c>
      <c r="N324" s="303"/>
      <c r="O324" s="303">
        <v>46692</v>
      </c>
      <c r="P324" s="303">
        <v>46934</v>
      </c>
      <c r="Q324" s="304" t="s">
        <v>45</v>
      </c>
      <c r="R324" s="305">
        <v>50000</v>
      </c>
      <c r="S324" s="305">
        <v>50000</v>
      </c>
      <c r="T324" s="305"/>
      <c r="U324" s="191">
        <f t="shared" si="318"/>
        <v>0</v>
      </c>
      <c r="V324" s="306"/>
      <c r="W324" s="307"/>
      <c r="X324" s="46"/>
      <c r="Y324" s="167">
        <f t="shared" si="319"/>
        <v>50000</v>
      </c>
      <c r="Z324" s="167">
        <f t="shared" si="320"/>
        <v>0</v>
      </c>
      <c r="AA324" s="167">
        <f t="shared" si="321"/>
        <v>50000</v>
      </c>
      <c r="AB324" s="167">
        <f t="shared" si="322"/>
        <v>0</v>
      </c>
      <c r="AC324" s="167">
        <f t="shared" si="323"/>
        <v>0</v>
      </c>
      <c r="AD324" s="167">
        <f t="shared" si="324"/>
        <v>0</v>
      </c>
      <c r="AF324" s="47">
        <f t="shared" si="342"/>
        <v>1</v>
      </c>
      <c r="AG324" s="202" t="str">
        <f t="shared" si="343"/>
        <v xml:space="preserve"> Final Cleaning</v>
      </c>
      <c r="AH324" s="172"/>
      <c r="AI324" s="173"/>
      <c r="AJ324" s="173"/>
      <c r="AK324" s="173"/>
      <c r="AL324" s="173"/>
      <c r="AM324" s="173"/>
      <c r="AN324" s="173"/>
      <c r="AO324" s="173"/>
      <c r="AP324" s="173"/>
      <c r="AQ324" s="173"/>
      <c r="AR324" s="173"/>
      <c r="AS324" s="173"/>
      <c r="AT324" s="173"/>
      <c r="AU324" s="173"/>
      <c r="AV324" s="173"/>
      <c r="AW324" s="173"/>
      <c r="AX324" s="173"/>
      <c r="AY324" s="173"/>
      <c r="AZ324" s="173"/>
      <c r="BA324" s="173"/>
      <c r="BB324" s="173"/>
      <c r="BC324" s="173"/>
      <c r="BD324" s="173"/>
      <c r="BE324" s="173"/>
      <c r="BF324" s="173"/>
      <c r="BG324" s="173"/>
      <c r="BH324" s="173"/>
      <c r="BI324" s="173"/>
      <c r="BJ324" s="173"/>
      <c r="BK324" s="173"/>
      <c r="BL324" s="173"/>
      <c r="BM324" s="173"/>
      <c r="BN324" s="173"/>
      <c r="BO324" s="173"/>
      <c r="BP324" s="173"/>
      <c r="BQ324" s="173"/>
      <c r="BR324" s="173"/>
      <c r="BS324" s="173"/>
      <c r="BT324" s="173"/>
      <c r="BU324" s="173"/>
      <c r="BV324" s="173"/>
      <c r="BW324" s="173"/>
      <c r="BX324" s="173"/>
      <c r="BY324" s="173"/>
      <c r="BZ324" s="173"/>
      <c r="CA324" s="173"/>
      <c r="CB324" s="173"/>
      <c r="CC324" s="173"/>
      <c r="CD324" s="173"/>
      <c r="CE324" s="173"/>
      <c r="CF324" s="173"/>
      <c r="CG324" s="173"/>
      <c r="CH324" s="173"/>
      <c r="CI324" s="173"/>
      <c r="CJ324" s="173"/>
      <c r="CK324" s="173"/>
      <c r="CL324" s="173"/>
      <c r="CM324" s="173"/>
      <c r="CN324" s="173"/>
      <c r="CO324" s="173"/>
      <c r="CP324" s="173"/>
      <c r="CQ324" s="173"/>
      <c r="CR324" s="173"/>
      <c r="CS324" s="173"/>
      <c r="CT324" s="173"/>
      <c r="CU324" s="173"/>
      <c r="CV324" s="173"/>
      <c r="CW324" s="173"/>
      <c r="CX324" s="173"/>
      <c r="CY324" s="148"/>
      <c r="CZ324" s="148"/>
      <c r="DA324" s="148"/>
      <c r="DB324" s="148"/>
      <c r="DC324" s="148"/>
      <c r="DD324" s="148"/>
      <c r="DE324" s="148"/>
      <c r="DF324" s="148"/>
      <c r="DG324" s="148"/>
      <c r="DH324" s="148"/>
      <c r="DI324" s="148"/>
      <c r="DJ324" s="148"/>
      <c r="DK324" s="148"/>
      <c r="DL324" s="148"/>
      <c r="DM324" s="148"/>
      <c r="DN324" s="148"/>
      <c r="DO324" s="148"/>
      <c r="DP324" s="148"/>
      <c r="DQ324" s="148"/>
      <c r="DR324" s="148"/>
      <c r="DS324" s="148"/>
      <c r="DT324" s="148"/>
      <c r="DU324" s="148"/>
      <c r="DV324" s="148"/>
      <c r="DW324" s="148"/>
      <c r="DX324" s="148"/>
      <c r="DY324" s="148"/>
      <c r="DZ324" s="148"/>
      <c r="EA324" s="148"/>
      <c r="EB324" s="148"/>
      <c r="EC324" s="148"/>
      <c r="ED324" s="148"/>
      <c r="EE324" s="148"/>
      <c r="EF324" s="148"/>
      <c r="EG324" s="148"/>
      <c r="EH324" s="148"/>
      <c r="EI324" s="148"/>
      <c r="EJ324" s="148"/>
      <c r="EK324" s="148"/>
      <c r="EL324" s="148"/>
      <c r="EM324" s="148"/>
      <c r="EN324" s="148"/>
      <c r="EO324" s="148"/>
      <c r="EP324" s="148"/>
      <c r="EQ324" s="148"/>
      <c r="ER324" s="148"/>
      <c r="ES324" s="148"/>
      <c r="ET324" s="148"/>
      <c r="EU324" s="148"/>
      <c r="EV324" s="148"/>
      <c r="EW324" s="148"/>
      <c r="EX324" s="148"/>
      <c r="EY324" s="148"/>
      <c r="EZ324" s="148"/>
      <c r="FA324" s="148"/>
      <c r="FB324" s="148"/>
      <c r="FC324" s="148"/>
      <c r="FD324" s="148"/>
      <c r="FE324" s="148"/>
      <c r="FF324" s="148"/>
      <c r="FG324" s="148"/>
      <c r="FH324" s="148"/>
      <c r="FI324" s="148"/>
      <c r="FJ324" s="148"/>
      <c r="FK324" s="148"/>
      <c r="FL324" s="148"/>
      <c r="FM324" s="148"/>
      <c r="FN324" s="148"/>
      <c r="FO324" s="148"/>
      <c r="FP324" s="148"/>
      <c r="FQ324" s="148"/>
      <c r="FR324" s="148"/>
      <c r="FS324" s="148"/>
      <c r="FT324" s="148"/>
      <c r="FU324" s="148"/>
      <c r="FV324" s="148"/>
      <c r="FW324" s="148"/>
      <c r="FX324" s="148"/>
      <c r="FY324" s="148"/>
      <c r="FZ324" s="148"/>
      <c r="GA324" s="148"/>
      <c r="GB324" s="148"/>
      <c r="GC324" s="148"/>
      <c r="GD324" s="148"/>
      <c r="GE324" s="148"/>
      <c r="GF324" s="148"/>
      <c r="GG324" s="149"/>
    </row>
    <row r="325" spans="1:189" x14ac:dyDescent="0.35">
      <c r="A325" s="297" t="s">
        <v>916</v>
      </c>
      <c r="B325" s="298"/>
      <c r="C325" s="298"/>
      <c r="D325" s="299"/>
      <c r="E325" s="298" t="s">
        <v>818</v>
      </c>
      <c r="F325" s="298" t="s">
        <v>850</v>
      </c>
      <c r="G325" s="300">
        <v>2</v>
      </c>
      <c r="H325" s="301"/>
      <c r="I325" s="302"/>
      <c r="J325" s="302"/>
      <c r="K325" s="302"/>
      <c r="L325" s="303">
        <v>45995</v>
      </c>
      <c r="M325" s="303">
        <v>46022</v>
      </c>
      <c r="N325" s="303"/>
      <c r="O325" s="303">
        <v>46023</v>
      </c>
      <c r="P325" s="303">
        <v>46934</v>
      </c>
      <c r="Q325" s="304" t="s">
        <v>11</v>
      </c>
      <c r="R325" s="305">
        <v>1280000</v>
      </c>
      <c r="S325" s="305">
        <f>1280000-SUM(S326:S327)</f>
        <v>557000</v>
      </c>
      <c r="T325" s="305"/>
      <c r="U325" s="191">
        <f t="shared" si="318"/>
        <v>0</v>
      </c>
      <c r="V325" s="306"/>
      <c r="W325" s="307"/>
      <c r="X325" s="46"/>
      <c r="Y325" s="167">
        <f t="shared" si="319"/>
        <v>557000</v>
      </c>
      <c r="Z325" s="167">
        <f t="shared" si="320"/>
        <v>0</v>
      </c>
      <c r="AA325" s="167">
        <f t="shared" si="321"/>
        <v>557000</v>
      </c>
      <c r="AB325" s="167">
        <f t="shared" si="322"/>
        <v>0</v>
      </c>
      <c r="AC325" s="167">
        <f t="shared" si="323"/>
        <v>0</v>
      </c>
      <c r="AD325" s="167">
        <f t="shared" si="324"/>
        <v>0</v>
      </c>
      <c r="AF325" s="47">
        <f t="shared" si="342"/>
        <v>1</v>
      </c>
      <c r="AG325" s="202" t="str">
        <f t="shared" si="343"/>
        <v xml:space="preserve"> Construction Support - Manual Workers</v>
      </c>
      <c r="AH325" s="172"/>
      <c r="AI325" s="173"/>
      <c r="AJ325" s="173"/>
      <c r="AK325" s="173"/>
      <c r="AL325" s="173"/>
      <c r="AM325" s="173"/>
      <c r="AN325" s="173"/>
      <c r="AO325" s="173"/>
      <c r="AP325" s="173"/>
      <c r="AQ325" s="173"/>
      <c r="AR325" s="173"/>
      <c r="AS325" s="173"/>
      <c r="AT325" s="173"/>
      <c r="AU325" s="173"/>
      <c r="AV325" s="173"/>
      <c r="AW325" s="173"/>
      <c r="AX325" s="173"/>
      <c r="AY325" s="173"/>
      <c r="AZ325" s="173"/>
      <c r="BA325" s="173"/>
      <c r="BB325" s="173"/>
      <c r="BC325" s="173"/>
      <c r="BD325" s="173"/>
      <c r="BE325" s="173"/>
      <c r="BF325" s="173"/>
      <c r="BG325" s="173"/>
      <c r="BH325" s="173"/>
      <c r="BI325" s="173"/>
      <c r="BJ325" s="173"/>
      <c r="BK325" s="173"/>
      <c r="BL325" s="173"/>
      <c r="BM325" s="173"/>
      <c r="BN325" s="173"/>
      <c r="BO325" s="173"/>
      <c r="BP325" s="173"/>
      <c r="BQ325" s="173"/>
      <c r="BR325" s="173"/>
      <c r="BS325" s="173"/>
      <c r="BT325" s="173"/>
      <c r="BU325" s="173"/>
      <c r="BV325" s="173"/>
      <c r="BW325" s="173"/>
      <c r="BX325" s="173"/>
      <c r="BY325" s="173"/>
      <c r="BZ325" s="173"/>
      <c r="CA325" s="173"/>
      <c r="CB325" s="173"/>
      <c r="CC325" s="173"/>
      <c r="CD325" s="173"/>
      <c r="CE325" s="173"/>
      <c r="CF325" s="173"/>
      <c r="CG325" s="173"/>
      <c r="CH325" s="173"/>
      <c r="CI325" s="173"/>
      <c r="CJ325" s="173"/>
      <c r="CK325" s="173"/>
      <c r="CL325" s="173"/>
      <c r="CM325" s="173"/>
      <c r="CN325" s="173"/>
      <c r="CO325" s="173"/>
      <c r="CP325" s="173"/>
      <c r="CQ325" s="173"/>
      <c r="CR325" s="173"/>
      <c r="CS325" s="173"/>
      <c r="CT325" s="173"/>
      <c r="CU325" s="173"/>
      <c r="CV325" s="173"/>
      <c r="CW325" s="173"/>
      <c r="CX325" s="173"/>
      <c r="CY325" s="148"/>
      <c r="CZ325" s="148"/>
      <c r="DA325" s="148"/>
      <c r="DB325" s="148"/>
      <c r="DC325" s="148"/>
      <c r="DD325" s="148"/>
      <c r="DE325" s="148"/>
      <c r="DF325" s="148"/>
      <c r="DG325" s="148"/>
      <c r="DH325" s="148"/>
      <c r="DI325" s="148"/>
      <c r="DJ325" s="148"/>
      <c r="DK325" s="148"/>
      <c r="DL325" s="148"/>
      <c r="DM325" s="148"/>
      <c r="DN325" s="148"/>
      <c r="DO325" s="148"/>
      <c r="DP325" s="148"/>
      <c r="DQ325" s="148"/>
      <c r="DR325" s="148"/>
      <c r="DS325" s="148"/>
      <c r="DT325" s="148"/>
      <c r="DU325" s="148"/>
      <c r="DV325" s="148"/>
      <c r="DW325" s="148"/>
      <c r="DX325" s="148"/>
      <c r="DY325" s="148"/>
      <c r="DZ325" s="148"/>
      <c r="EA325" s="148"/>
      <c r="EB325" s="148"/>
      <c r="EC325" s="148"/>
      <c r="ED325" s="148"/>
      <c r="EE325" s="148"/>
      <c r="EF325" s="148"/>
      <c r="EG325" s="148"/>
      <c r="EH325" s="148"/>
      <c r="EI325" s="148"/>
      <c r="EJ325" s="148"/>
      <c r="EK325" s="148"/>
      <c r="EL325" s="148"/>
      <c r="EM325" s="148"/>
      <c r="EN325" s="148"/>
      <c r="EO325" s="148"/>
      <c r="EP325" s="148"/>
      <c r="EQ325" s="148"/>
      <c r="ER325" s="148"/>
      <c r="ES325" s="148"/>
      <c r="ET325" s="148"/>
      <c r="EU325" s="148"/>
      <c r="EV325" s="148"/>
      <c r="EW325" s="148"/>
      <c r="EX325" s="148"/>
      <c r="EY325" s="148"/>
      <c r="EZ325" s="148"/>
      <c r="FA325" s="148"/>
      <c r="FB325" s="148"/>
      <c r="FC325" s="148"/>
      <c r="FD325" s="148"/>
      <c r="FE325" s="148"/>
      <c r="FF325" s="148"/>
      <c r="FG325" s="148"/>
      <c r="FH325" s="148"/>
      <c r="FI325" s="148"/>
      <c r="FJ325" s="148"/>
      <c r="FK325" s="148"/>
      <c r="FL325" s="148"/>
      <c r="FM325" s="148"/>
      <c r="FN325" s="148"/>
      <c r="FO325" s="148"/>
      <c r="FP325" s="148"/>
      <c r="FQ325" s="148"/>
      <c r="FR325" s="148"/>
      <c r="FS325" s="148"/>
      <c r="FT325" s="148"/>
      <c r="FU325" s="148"/>
      <c r="FV325" s="148"/>
      <c r="FW325" s="148"/>
      <c r="FX325" s="148"/>
      <c r="FY325" s="148"/>
      <c r="FZ325" s="148"/>
      <c r="GA325" s="148"/>
      <c r="GB325" s="148"/>
      <c r="GC325" s="148"/>
      <c r="GD325" s="148"/>
      <c r="GE325" s="148"/>
      <c r="GF325" s="148"/>
      <c r="GG325" s="149"/>
    </row>
    <row r="326" spans="1:189" ht="27.75" x14ac:dyDescent="0.35">
      <c r="A326" s="267" t="s">
        <v>1131</v>
      </c>
      <c r="B326" s="221"/>
      <c r="C326" s="221"/>
      <c r="D326" s="222"/>
      <c r="E326" s="221" t="s">
        <v>1162</v>
      </c>
      <c r="F326" s="221" t="s">
        <v>1161</v>
      </c>
      <c r="G326" s="223">
        <v>2</v>
      </c>
      <c r="H326" s="224" t="s">
        <v>1133</v>
      </c>
      <c r="I326" s="225"/>
      <c r="J326" s="225"/>
      <c r="K326" s="225"/>
      <c r="L326" s="226">
        <v>45995</v>
      </c>
      <c r="M326" s="226">
        <v>46022</v>
      </c>
      <c r="N326" s="226">
        <v>46022</v>
      </c>
      <c r="O326" s="226">
        <v>46023</v>
      </c>
      <c r="P326" s="226">
        <v>46934</v>
      </c>
      <c r="Q326" s="227" t="s">
        <v>20</v>
      </c>
      <c r="R326" s="228"/>
      <c r="S326" s="228">
        <v>361500</v>
      </c>
      <c r="T326" s="228">
        <v>361500</v>
      </c>
      <c r="U326" s="191">
        <f t="shared" ref="U326:U327" si="389">IF(Q326="",0,IF(T326="",0,+S326-T326))</f>
        <v>0</v>
      </c>
      <c r="V326" s="230"/>
      <c r="W326" s="231"/>
      <c r="X326" s="46"/>
      <c r="Y326" s="167">
        <f t="shared" ref="Y326:Y327" si="390">IF(G326=2,S326,0)</f>
        <v>361500</v>
      </c>
      <c r="Z326" s="167">
        <f t="shared" ref="Z326:Z327" si="391">IF(Q326="",0,IF(G326=2,T326,0))</f>
        <v>361500</v>
      </c>
      <c r="AA326" s="167">
        <f t="shared" ref="AA326:AA327" si="392">Y326-Z326</f>
        <v>0</v>
      </c>
      <c r="AB326" s="167">
        <f t="shared" ref="AB326:AB327" si="393">IF(G326=1,S326,0)</f>
        <v>0</v>
      </c>
      <c r="AC326" s="167">
        <f t="shared" ref="AC326:AC327" si="394">IF(Q326="",0,IF(G326=1,T326,0))</f>
        <v>0</v>
      </c>
      <c r="AD326" s="167">
        <f t="shared" ref="AD326:AD327" si="395">AB326-AC326</f>
        <v>0</v>
      </c>
      <c r="AF326" s="47">
        <f t="shared" si="342"/>
        <v>1</v>
      </c>
      <c r="AG326" s="202" t="str">
        <f t="shared" si="343"/>
        <v xml:space="preserve"> Construction Support - Manual Workers ECd_11</v>
      </c>
      <c r="AH326" s="150"/>
      <c r="AI326" s="151"/>
      <c r="AJ326" s="151"/>
      <c r="AK326" s="151"/>
      <c r="AL326" s="151"/>
      <c r="AM326" s="151"/>
      <c r="AN326" s="151"/>
      <c r="AO326" s="151"/>
      <c r="AP326" s="151"/>
      <c r="AQ326" s="151"/>
      <c r="AR326" s="151"/>
      <c r="AS326" s="151"/>
      <c r="AT326" s="151"/>
      <c r="AU326" s="151"/>
      <c r="AV326" s="151"/>
      <c r="AW326" s="151"/>
      <c r="AX326" s="151"/>
      <c r="AY326" s="151"/>
      <c r="AZ326" s="151"/>
      <c r="BA326" s="151"/>
      <c r="BB326" s="151"/>
      <c r="BC326" s="151"/>
      <c r="BD326" s="151"/>
      <c r="BE326" s="151"/>
      <c r="BF326" s="151"/>
      <c r="BG326" s="151"/>
      <c r="BH326" s="151"/>
      <c r="BI326" s="151"/>
      <c r="BJ326" s="151"/>
      <c r="BK326" s="151"/>
      <c r="BL326" s="151"/>
      <c r="BM326" s="151"/>
      <c r="BN326" s="151"/>
      <c r="BO326" s="151"/>
      <c r="BP326" s="151"/>
      <c r="BQ326" s="151"/>
      <c r="BR326" s="151"/>
      <c r="BS326" s="151"/>
      <c r="BT326" s="151"/>
      <c r="BU326" s="151"/>
      <c r="BV326" s="151"/>
      <c r="BW326" s="151"/>
      <c r="BX326" s="151"/>
      <c r="BY326" s="151"/>
      <c r="BZ326" s="151"/>
      <c r="CA326" s="151"/>
      <c r="CB326" s="151"/>
      <c r="CC326" s="151"/>
      <c r="CD326" s="151"/>
      <c r="CE326" s="151"/>
      <c r="CF326" s="151"/>
      <c r="CG326" s="151"/>
      <c r="CH326" s="151"/>
      <c r="CI326" s="151"/>
      <c r="CJ326" s="151"/>
      <c r="CK326" s="151"/>
      <c r="CL326" s="151"/>
      <c r="CM326" s="151"/>
      <c r="CN326" s="151"/>
      <c r="CO326" s="151"/>
      <c r="CP326" s="151"/>
      <c r="CQ326" s="151"/>
      <c r="CR326" s="151"/>
      <c r="CS326" s="151"/>
      <c r="CT326" s="151"/>
      <c r="CU326" s="151"/>
      <c r="CV326" s="151"/>
      <c r="CW326" s="151"/>
      <c r="CX326" s="151"/>
      <c r="CY326" s="151"/>
      <c r="CZ326" s="151"/>
      <c r="DA326" s="151"/>
      <c r="DB326" s="151"/>
      <c r="DC326" s="151"/>
      <c r="DD326" s="151"/>
      <c r="DE326" s="151"/>
      <c r="DF326" s="151"/>
      <c r="DG326" s="151"/>
      <c r="DH326" s="151"/>
      <c r="DI326" s="151"/>
      <c r="DJ326" s="151"/>
      <c r="DK326" s="151"/>
      <c r="DL326" s="151"/>
      <c r="DM326" s="151"/>
      <c r="DN326" s="151"/>
      <c r="DO326" s="151"/>
      <c r="DP326" s="151"/>
      <c r="DQ326" s="151"/>
      <c r="DR326" s="151"/>
      <c r="DS326" s="151"/>
      <c r="DT326" s="151"/>
      <c r="DU326" s="151"/>
      <c r="DV326" s="151"/>
      <c r="DW326" s="151"/>
      <c r="DX326" s="151"/>
      <c r="DY326" s="151"/>
      <c r="DZ326" s="151"/>
      <c r="EA326" s="151"/>
      <c r="EB326" s="151"/>
      <c r="EC326" s="151"/>
      <c r="ED326" s="151"/>
      <c r="EE326" s="151"/>
      <c r="EF326" s="151"/>
      <c r="EG326" s="151"/>
      <c r="EH326" s="151"/>
      <c r="EI326" s="151"/>
      <c r="EJ326" s="151"/>
      <c r="EK326" s="151"/>
      <c r="EL326" s="151"/>
      <c r="EM326" s="151"/>
      <c r="EN326" s="151"/>
      <c r="EO326" s="151"/>
      <c r="EP326" s="151"/>
      <c r="EQ326" s="151"/>
      <c r="ER326" s="151"/>
      <c r="ES326" s="151"/>
      <c r="ET326" s="151"/>
      <c r="EU326" s="151"/>
      <c r="EV326" s="151"/>
      <c r="EW326" s="151"/>
      <c r="EX326" s="151"/>
      <c r="EY326" s="151"/>
      <c r="EZ326" s="151"/>
      <c r="FA326" s="151"/>
      <c r="FB326" s="151"/>
      <c r="FC326" s="151"/>
      <c r="FD326" s="151"/>
      <c r="FE326" s="151"/>
      <c r="FF326" s="151"/>
      <c r="FG326" s="151"/>
      <c r="FH326" s="151"/>
      <c r="FI326" s="151"/>
      <c r="FJ326" s="151"/>
      <c r="FK326" s="151"/>
      <c r="FL326" s="151"/>
      <c r="FM326" s="151"/>
      <c r="FN326" s="151"/>
      <c r="FO326" s="151"/>
      <c r="FP326" s="151"/>
      <c r="FQ326" s="151"/>
      <c r="FR326" s="151"/>
      <c r="FS326" s="151"/>
      <c r="FT326" s="151"/>
      <c r="FU326" s="151"/>
      <c r="FV326" s="151"/>
      <c r="FW326" s="151"/>
      <c r="FX326" s="151"/>
      <c r="FY326" s="151"/>
      <c r="FZ326" s="151"/>
      <c r="GA326" s="151"/>
      <c r="GB326" s="151"/>
      <c r="GC326" s="151"/>
      <c r="GD326" s="151"/>
      <c r="GE326" s="151"/>
      <c r="GF326" s="151"/>
      <c r="GG326" s="152"/>
    </row>
    <row r="327" spans="1:189" ht="27.75" x14ac:dyDescent="0.35">
      <c r="A327" s="267" t="s">
        <v>1132</v>
      </c>
      <c r="B327" s="221"/>
      <c r="C327" s="221"/>
      <c r="D327" s="222"/>
      <c r="E327" s="221" t="s">
        <v>1159</v>
      </c>
      <c r="F327" s="221" t="s">
        <v>1160</v>
      </c>
      <c r="G327" s="223">
        <v>2</v>
      </c>
      <c r="H327" s="224" t="s">
        <v>1134</v>
      </c>
      <c r="I327" s="225"/>
      <c r="J327" s="225"/>
      <c r="K327" s="225"/>
      <c r="L327" s="226">
        <v>45995</v>
      </c>
      <c r="M327" s="226">
        <v>46022</v>
      </c>
      <c r="N327" s="226">
        <v>46022</v>
      </c>
      <c r="O327" s="226">
        <v>46023</v>
      </c>
      <c r="P327" s="226">
        <v>46934</v>
      </c>
      <c r="Q327" s="227" t="s">
        <v>20</v>
      </c>
      <c r="R327" s="228"/>
      <c r="S327" s="228">
        <v>361500</v>
      </c>
      <c r="T327" s="228">
        <v>361500</v>
      </c>
      <c r="U327" s="191">
        <f t="shared" si="389"/>
        <v>0</v>
      </c>
      <c r="V327" s="230"/>
      <c r="W327" s="231"/>
      <c r="X327" s="46"/>
      <c r="Y327" s="167">
        <f t="shared" si="390"/>
        <v>361500</v>
      </c>
      <c r="Z327" s="167">
        <f t="shared" si="391"/>
        <v>361500</v>
      </c>
      <c r="AA327" s="167">
        <f t="shared" si="392"/>
        <v>0</v>
      </c>
      <c r="AB327" s="167">
        <f t="shared" si="393"/>
        <v>0</v>
      </c>
      <c r="AC327" s="167">
        <f t="shared" si="394"/>
        <v>0</v>
      </c>
      <c r="AD327" s="167">
        <f t="shared" si="395"/>
        <v>0</v>
      </c>
      <c r="AF327" s="47">
        <f t="shared" si="342"/>
        <v>1</v>
      </c>
      <c r="AG327" s="202" t="str">
        <f t="shared" si="343"/>
        <v xml:space="preserve"> Construction Support - Manual Workers ECd_10</v>
      </c>
      <c r="AH327" s="150"/>
      <c r="AI327" s="151"/>
      <c r="AJ327" s="151"/>
      <c r="AK327" s="151"/>
      <c r="AL327" s="151"/>
      <c r="AM327" s="151"/>
      <c r="AN327" s="151"/>
      <c r="AO327" s="151"/>
      <c r="AP327" s="151"/>
      <c r="AQ327" s="151"/>
      <c r="AR327" s="151"/>
      <c r="AS327" s="151"/>
      <c r="AT327" s="151"/>
      <c r="AU327" s="151"/>
      <c r="AV327" s="151"/>
      <c r="AW327" s="151"/>
      <c r="AX327" s="151"/>
      <c r="AY327" s="151"/>
      <c r="AZ327" s="151"/>
      <c r="BA327" s="151"/>
      <c r="BB327" s="151"/>
      <c r="BC327" s="151"/>
      <c r="BD327" s="151"/>
      <c r="BE327" s="151"/>
      <c r="BF327" s="151"/>
      <c r="BG327" s="151"/>
      <c r="BH327" s="151"/>
      <c r="BI327" s="151"/>
      <c r="BJ327" s="151"/>
      <c r="BK327" s="151"/>
      <c r="BL327" s="151"/>
      <c r="BM327" s="151"/>
      <c r="BN327" s="151"/>
      <c r="BO327" s="151"/>
      <c r="BP327" s="151"/>
      <c r="BQ327" s="151"/>
      <c r="BR327" s="151"/>
      <c r="BS327" s="151"/>
      <c r="BT327" s="151"/>
      <c r="BU327" s="151"/>
      <c r="BV327" s="151"/>
      <c r="BW327" s="151"/>
      <c r="BX327" s="151"/>
      <c r="BY327" s="151"/>
      <c r="BZ327" s="151"/>
      <c r="CA327" s="151"/>
      <c r="CB327" s="151"/>
      <c r="CC327" s="151"/>
      <c r="CD327" s="151"/>
      <c r="CE327" s="151"/>
      <c r="CF327" s="151"/>
      <c r="CG327" s="151"/>
      <c r="CH327" s="151"/>
      <c r="CI327" s="151"/>
      <c r="CJ327" s="151"/>
      <c r="CK327" s="151"/>
      <c r="CL327" s="151"/>
      <c r="CM327" s="151"/>
      <c r="CN327" s="151"/>
      <c r="CO327" s="151"/>
      <c r="CP327" s="151"/>
      <c r="CQ327" s="151"/>
      <c r="CR327" s="151"/>
      <c r="CS327" s="151"/>
      <c r="CT327" s="151"/>
      <c r="CU327" s="151"/>
      <c r="CV327" s="151"/>
      <c r="CW327" s="151"/>
      <c r="CX327" s="151"/>
      <c r="CY327" s="151"/>
      <c r="CZ327" s="151"/>
      <c r="DA327" s="151"/>
      <c r="DB327" s="151"/>
      <c r="DC327" s="151"/>
      <c r="DD327" s="151"/>
      <c r="DE327" s="151"/>
      <c r="DF327" s="151"/>
      <c r="DG327" s="151"/>
      <c r="DH327" s="151"/>
      <c r="DI327" s="151"/>
      <c r="DJ327" s="151"/>
      <c r="DK327" s="151"/>
      <c r="DL327" s="151"/>
      <c r="DM327" s="151"/>
      <c r="DN327" s="151"/>
      <c r="DO327" s="151"/>
      <c r="DP327" s="151"/>
      <c r="DQ327" s="151"/>
      <c r="DR327" s="151"/>
      <c r="DS327" s="151"/>
      <c r="DT327" s="151"/>
      <c r="DU327" s="151"/>
      <c r="DV327" s="151"/>
      <c r="DW327" s="151"/>
      <c r="DX327" s="151"/>
      <c r="DY327" s="151"/>
      <c r="DZ327" s="151"/>
      <c r="EA327" s="151"/>
      <c r="EB327" s="151"/>
      <c r="EC327" s="151"/>
      <c r="ED327" s="151"/>
      <c r="EE327" s="151"/>
      <c r="EF327" s="151"/>
      <c r="EG327" s="151"/>
      <c r="EH327" s="151"/>
      <c r="EI327" s="151"/>
      <c r="EJ327" s="151"/>
      <c r="EK327" s="151"/>
      <c r="EL327" s="151"/>
      <c r="EM327" s="151"/>
      <c r="EN327" s="151"/>
      <c r="EO327" s="151"/>
      <c r="EP327" s="151"/>
      <c r="EQ327" s="151"/>
      <c r="ER327" s="151"/>
      <c r="ES327" s="151"/>
      <c r="ET327" s="151"/>
      <c r="EU327" s="151"/>
      <c r="EV327" s="151"/>
      <c r="EW327" s="151"/>
      <c r="EX327" s="151"/>
      <c r="EY327" s="151"/>
      <c r="EZ327" s="151"/>
      <c r="FA327" s="151"/>
      <c r="FB327" s="151"/>
      <c r="FC327" s="151"/>
      <c r="FD327" s="151"/>
      <c r="FE327" s="151"/>
      <c r="FF327" s="151"/>
      <c r="FG327" s="151"/>
      <c r="FH327" s="151"/>
      <c r="FI327" s="151"/>
      <c r="FJ327" s="151"/>
      <c r="FK327" s="151"/>
      <c r="FL327" s="151"/>
      <c r="FM327" s="151"/>
      <c r="FN327" s="151"/>
      <c r="FO327" s="151"/>
      <c r="FP327" s="151"/>
      <c r="FQ327" s="151"/>
      <c r="FR327" s="151"/>
      <c r="FS327" s="151"/>
      <c r="FT327" s="151"/>
      <c r="FU327" s="151"/>
      <c r="FV327" s="151"/>
      <c r="FW327" s="151"/>
      <c r="FX327" s="151"/>
      <c r="FY327" s="151"/>
      <c r="FZ327" s="151"/>
      <c r="GA327" s="151"/>
      <c r="GB327" s="151"/>
      <c r="GC327" s="151"/>
      <c r="GD327" s="151"/>
      <c r="GE327" s="151"/>
      <c r="GF327" s="151"/>
      <c r="GG327" s="152"/>
    </row>
    <row r="328" spans="1:189" ht="27.75" x14ac:dyDescent="0.35">
      <c r="A328" s="270" t="s">
        <v>889</v>
      </c>
      <c r="B328" s="236"/>
      <c r="C328" s="236"/>
      <c r="D328" s="237"/>
      <c r="E328" s="236" t="s">
        <v>820</v>
      </c>
      <c r="F328" s="236" t="s">
        <v>851</v>
      </c>
      <c r="G328" s="238">
        <v>2</v>
      </c>
      <c r="H328" s="239"/>
      <c r="I328" s="240"/>
      <c r="J328" s="240"/>
      <c r="K328" s="240"/>
      <c r="L328" s="241"/>
      <c r="M328" s="241"/>
      <c r="N328" s="241"/>
      <c r="O328" s="241"/>
      <c r="P328" s="241"/>
      <c r="Q328" s="242" t="s">
        <v>45</v>
      </c>
      <c r="R328" s="243"/>
      <c r="S328" s="243"/>
      <c r="T328" s="243"/>
      <c r="U328" s="191">
        <f t="shared" si="318"/>
        <v>0</v>
      </c>
      <c r="V328" s="244"/>
      <c r="W328" s="245"/>
      <c r="X328" s="46"/>
      <c r="Y328" s="167">
        <f t="shared" si="319"/>
        <v>0</v>
      </c>
      <c r="Z328" s="167">
        <f t="shared" si="320"/>
        <v>0</v>
      </c>
      <c r="AA328" s="167">
        <f t="shared" si="321"/>
        <v>0</v>
      </c>
      <c r="AB328" s="167">
        <f t="shared" si="322"/>
        <v>0</v>
      </c>
      <c r="AC328" s="167">
        <f t="shared" si="323"/>
        <v>0</v>
      </c>
      <c r="AD328" s="167">
        <f t="shared" si="324"/>
        <v>0</v>
      </c>
      <c r="AF328" s="47">
        <f t="shared" ref="AF328:AF353" si="396">IF(S328&lt;&gt;"",1,0)</f>
        <v>0</v>
      </c>
      <c r="AG328" s="202" t="str">
        <f t="shared" ref="AG328:AG353" si="397">B328&amp;" "&amp;F328</f>
        <v xml:space="preserve"> Construction Office - Connections and Equipment</v>
      </c>
      <c r="AH328" s="172"/>
      <c r="AI328" s="173"/>
      <c r="AJ328" s="173"/>
      <c r="AK328" s="173"/>
      <c r="AL328" s="173"/>
      <c r="AM328" s="173"/>
      <c r="AN328" s="173"/>
      <c r="AO328" s="173"/>
      <c r="AP328" s="173"/>
      <c r="AQ328" s="173"/>
      <c r="AR328" s="173"/>
      <c r="AS328" s="173"/>
      <c r="AT328" s="173"/>
      <c r="AU328" s="173"/>
      <c r="AV328" s="173"/>
      <c r="AW328" s="173"/>
      <c r="AX328" s="173"/>
      <c r="AY328" s="173"/>
      <c r="AZ328" s="173"/>
      <c r="BA328" s="173"/>
      <c r="BB328" s="173"/>
      <c r="BC328" s="173"/>
      <c r="BD328" s="173"/>
      <c r="BE328" s="173"/>
      <c r="BF328" s="173"/>
      <c r="BG328" s="173"/>
      <c r="BH328" s="173"/>
      <c r="BI328" s="173"/>
      <c r="BJ328" s="173"/>
      <c r="BK328" s="173"/>
      <c r="BL328" s="173"/>
      <c r="BM328" s="173"/>
      <c r="BN328" s="173"/>
      <c r="BO328" s="173"/>
      <c r="BP328" s="173"/>
      <c r="BQ328" s="173"/>
      <c r="BR328" s="173"/>
      <c r="BS328" s="173"/>
      <c r="BT328" s="173"/>
      <c r="BU328" s="173"/>
      <c r="BV328" s="173"/>
      <c r="BW328" s="173"/>
      <c r="BX328" s="173"/>
      <c r="BY328" s="173"/>
      <c r="BZ328" s="173"/>
      <c r="CA328" s="173"/>
      <c r="CB328" s="173"/>
      <c r="CC328" s="173"/>
      <c r="CD328" s="173"/>
      <c r="CE328" s="173"/>
      <c r="CF328" s="173"/>
      <c r="CG328" s="173"/>
      <c r="CH328" s="173"/>
      <c r="CI328" s="173"/>
      <c r="CJ328" s="173"/>
      <c r="CK328" s="173"/>
      <c r="CL328" s="173"/>
      <c r="CM328" s="173"/>
      <c r="CN328" s="173"/>
      <c r="CO328" s="173"/>
      <c r="CP328" s="173"/>
      <c r="CQ328" s="173"/>
      <c r="CR328" s="173"/>
      <c r="CS328" s="173"/>
      <c r="CT328" s="173"/>
      <c r="CU328" s="173"/>
      <c r="CV328" s="173"/>
      <c r="CW328" s="173"/>
      <c r="CX328" s="173"/>
      <c r="CY328" s="148"/>
      <c r="CZ328" s="148"/>
      <c r="DA328" s="148"/>
      <c r="DB328" s="148"/>
      <c r="DC328" s="148"/>
      <c r="DD328" s="148"/>
      <c r="DE328" s="148"/>
      <c r="DF328" s="148"/>
      <c r="DG328" s="148"/>
      <c r="DH328" s="148"/>
      <c r="DI328" s="148"/>
      <c r="DJ328" s="148"/>
      <c r="DK328" s="148"/>
      <c r="DL328" s="148"/>
      <c r="DM328" s="148"/>
      <c r="DN328" s="148"/>
      <c r="DO328" s="148"/>
      <c r="DP328" s="148"/>
      <c r="DQ328" s="148"/>
      <c r="DR328" s="148"/>
      <c r="DS328" s="148"/>
      <c r="DT328" s="148"/>
      <c r="DU328" s="148"/>
      <c r="DV328" s="148"/>
      <c r="DW328" s="148"/>
      <c r="DX328" s="148"/>
      <c r="DY328" s="148"/>
      <c r="DZ328" s="148"/>
      <c r="EA328" s="148"/>
      <c r="EB328" s="148"/>
      <c r="EC328" s="148"/>
      <c r="ED328" s="148"/>
      <c r="EE328" s="148"/>
      <c r="EF328" s="148"/>
      <c r="EG328" s="148"/>
      <c r="EH328" s="148"/>
      <c r="EI328" s="148"/>
      <c r="EJ328" s="148"/>
      <c r="EK328" s="148"/>
      <c r="EL328" s="148"/>
      <c r="EM328" s="148"/>
      <c r="EN328" s="148"/>
      <c r="EO328" s="148"/>
      <c r="EP328" s="148"/>
      <c r="EQ328" s="148"/>
      <c r="ER328" s="148"/>
      <c r="ES328" s="151"/>
      <c r="ET328" s="151"/>
      <c r="EU328" s="151"/>
      <c r="EV328" s="151"/>
      <c r="EW328" s="151"/>
      <c r="EX328" s="151"/>
      <c r="EY328" s="151"/>
      <c r="EZ328" s="151"/>
      <c r="FA328" s="151"/>
      <c r="FB328" s="151"/>
      <c r="FC328" s="151"/>
      <c r="FD328" s="151"/>
      <c r="FE328" s="151"/>
      <c r="FF328" s="151"/>
      <c r="FG328" s="151"/>
      <c r="FH328" s="151"/>
      <c r="FI328" s="151"/>
      <c r="FJ328" s="151"/>
      <c r="FK328" s="151"/>
      <c r="FL328" s="151"/>
      <c r="FM328" s="151"/>
      <c r="FN328" s="151"/>
      <c r="FO328" s="151"/>
      <c r="FP328" s="151"/>
      <c r="FQ328" s="151"/>
      <c r="FR328" s="151"/>
      <c r="FS328" s="151"/>
      <c r="FT328" s="151"/>
      <c r="FU328" s="151"/>
      <c r="FV328" s="151"/>
      <c r="FW328" s="151"/>
      <c r="FX328" s="151"/>
      <c r="FY328" s="151"/>
      <c r="FZ328" s="151"/>
      <c r="GA328" s="151"/>
      <c r="GB328" s="151"/>
      <c r="GC328" s="151"/>
      <c r="GD328" s="151"/>
      <c r="GE328" s="151"/>
      <c r="GF328" s="151"/>
      <c r="GG328" s="152"/>
    </row>
    <row r="329" spans="1:189" x14ac:dyDescent="0.35">
      <c r="A329" s="297" t="s">
        <v>890</v>
      </c>
      <c r="B329" s="298"/>
      <c r="C329" s="298"/>
      <c r="D329" s="299"/>
      <c r="E329" s="298" t="s">
        <v>1311</v>
      </c>
      <c r="F329" s="298" t="s">
        <v>1312</v>
      </c>
      <c r="G329" s="300">
        <v>2</v>
      </c>
      <c r="H329" s="301" t="s">
        <v>1313</v>
      </c>
      <c r="I329" s="302"/>
      <c r="J329" s="302"/>
      <c r="K329" s="302"/>
      <c r="L329" s="303">
        <v>45995</v>
      </c>
      <c r="M329" s="303">
        <v>46073</v>
      </c>
      <c r="N329" s="303"/>
      <c r="O329" s="303">
        <v>46054</v>
      </c>
      <c r="P329" s="303">
        <v>46081</v>
      </c>
      <c r="Q329" s="304" t="s">
        <v>20</v>
      </c>
      <c r="R329" s="305">
        <v>25000</v>
      </c>
      <c r="S329" s="305">
        <v>25000</v>
      </c>
      <c r="T329" s="305">
        <v>27350</v>
      </c>
      <c r="U329" s="191">
        <f t="shared" si="318"/>
        <v>-2350</v>
      </c>
      <c r="V329" s="306"/>
      <c r="W329" s="307"/>
      <c r="X329" s="46"/>
      <c r="Y329" s="167">
        <f t="shared" si="319"/>
        <v>25000</v>
      </c>
      <c r="Z329" s="167">
        <f t="shared" si="320"/>
        <v>27350</v>
      </c>
      <c r="AA329" s="167">
        <f t="shared" si="321"/>
        <v>-2350</v>
      </c>
      <c r="AB329" s="167">
        <f t="shared" si="322"/>
        <v>0</v>
      </c>
      <c r="AC329" s="167">
        <f t="shared" si="323"/>
        <v>0</v>
      </c>
      <c r="AD329" s="167">
        <f t="shared" si="324"/>
        <v>0</v>
      </c>
      <c r="AF329" s="47">
        <f t="shared" si="396"/>
        <v>1</v>
      </c>
      <c r="AG329" s="202" t="str">
        <f t="shared" si="397"/>
        <v xml:space="preserve"> Internet Connection ECd_37</v>
      </c>
      <c r="AH329" s="147"/>
      <c r="AI329" s="148"/>
      <c r="AJ329" s="148"/>
      <c r="AK329" s="148"/>
      <c r="AL329" s="148"/>
      <c r="AM329" s="148"/>
      <c r="AN329" s="148"/>
      <c r="AO329" s="148"/>
      <c r="AP329" s="148"/>
      <c r="AQ329" s="148"/>
      <c r="AR329" s="148"/>
      <c r="AS329" s="148"/>
      <c r="AT329" s="148"/>
      <c r="AU329" s="148"/>
      <c r="AV329" s="148"/>
      <c r="AW329" s="148"/>
      <c r="AX329" s="148"/>
      <c r="AY329" s="148"/>
      <c r="AZ329" s="148"/>
      <c r="BA329" s="148"/>
      <c r="BB329" s="148"/>
      <c r="BC329" s="148"/>
      <c r="BD329" s="148"/>
      <c r="BE329" s="148"/>
      <c r="BF329" s="148"/>
      <c r="BG329" s="148"/>
      <c r="BH329" s="148"/>
      <c r="BI329" s="148"/>
      <c r="BJ329" s="148"/>
      <c r="BK329" s="148"/>
      <c r="BL329" s="148"/>
      <c r="BM329" s="148"/>
      <c r="BN329" s="148"/>
      <c r="BO329" s="148"/>
      <c r="BP329" s="148"/>
      <c r="BQ329" s="148"/>
      <c r="BR329" s="148"/>
      <c r="BS329" s="148"/>
      <c r="BT329" s="148"/>
      <c r="BU329" s="148"/>
      <c r="BV329" s="148"/>
      <c r="BW329" s="148"/>
      <c r="BX329" s="148"/>
      <c r="BY329" s="148"/>
      <c r="BZ329" s="148"/>
      <c r="CA329" s="148"/>
      <c r="CB329" s="148"/>
      <c r="CC329" s="148"/>
      <c r="CD329" s="148"/>
      <c r="CE329" s="148"/>
      <c r="CF329" s="148"/>
      <c r="CG329" s="148"/>
      <c r="CH329" s="148"/>
      <c r="CI329" s="148"/>
      <c r="CJ329" s="148"/>
      <c r="CK329" s="148"/>
      <c r="CL329" s="148"/>
      <c r="CM329" s="148"/>
      <c r="CN329" s="148"/>
      <c r="CO329" s="148"/>
      <c r="CP329" s="148"/>
      <c r="CQ329" s="148"/>
      <c r="CR329" s="148"/>
      <c r="CS329" s="148"/>
      <c r="CT329" s="148"/>
      <c r="CU329" s="148"/>
      <c r="CV329" s="148"/>
      <c r="CW329" s="148"/>
      <c r="CX329" s="148"/>
      <c r="CY329" s="148"/>
      <c r="CZ329" s="148"/>
      <c r="DA329" s="148"/>
      <c r="DB329" s="148"/>
      <c r="DC329" s="148"/>
      <c r="DD329" s="148"/>
      <c r="DE329" s="148"/>
      <c r="DF329" s="148"/>
      <c r="DG329" s="148"/>
      <c r="DH329" s="148"/>
      <c r="DI329" s="148"/>
      <c r="DJ329" s="148"/>
      <c r="DK329" s="148"/>
      <c r="DL329" s="148"/>
      <c r="DM329" s="148"/>
      <c r="DN329" s="148"/>
      <c r="DO329" s="148"/>
      <c r="DP329" s="148"/>
      <c r="DQ329" s="148"/>
      <c r="DR329" s="148"/>
      <c r="DS329" s="148"/>
      <c r="DT329" s="148"/>
      <c r="DU329" s="148"/>
      <c r="DV329" s="148"/>
      <c r="DW329" s="148"/>
      <c r="DX329" s="148"/>
      <c r="DY329" s="148"/>
      <c r="DZ329" s="148"/>
      <c r="EA329" s="148"/>
      <c r="EB329" s="148"/>
      <c r="EC329" s="148"/>
      <c r="ED329" s="148"/>
      <c r="EE329" s="148"/>
      <c r="EF329" s="148"/>
      <c r="EG329" s="148"/>
      <c r="EH329" s="148"/>
      <c r="EI329" s="148"/>
      <c r="EJ329" s="148"/>
      <c r="EK329" s="148"/>
      <c r="EL329" s="148"/>
      <c r="EM329" s="148"/>
      <c r="EN329" s="148"/>
      <c r="EO329" s="148"/>
      <c r="EP329" s="148"/>
      <c r="EQ329" s="148"/>
      <c r="ER329" s="148"/>
      <c r="ES329" s="148"/>
      <c r="ET329" s="148"/>
      <c r="EU329" s="148"/>
      <c r="EV329" s="148"/>
      <c r="EW329" s="148"/>
      <c r="EX329" s="148"/>
      <c r="EY329" s="148"/>
      <c r="EZ329" s="148"/>
      <c r="FA329" s="148"/>
      <c r="FB329" s="148"/>
      <c r="FC329" s="148"/>
      <c r="FD329" s="148"/>
      <c r="FE329" s="148"/>
      <c r="FF329" s="148"/>
      <c r="FG329" s="148"/>
      <c r="FH329" s="148"/>
      <c r="FI329" s="148"/>
      <c r="FJ329" s="148"/>
      <c r="FK329" s="148"/>
      <c r="FL329" s="148"/>
      <c r="FM329" s="148"/>
      <c r="FN329" s="148"/>
      <c r="FO329" s="148"/>
      <c r="FP329" s="148"/>
      <c r="FQ329" s="148"/>
      <c r="FR329" s="148"/>
      <c r="FS329" s="148"/>
      <c r="FT329" s="148"/>
      <c r="FU329" s="148"/>
      <c r="FV329" s="148"/>
      <c r="FW329" s="148"/>
      <c r="FX329" s="148"/>
      <c r="FY329" s="148"/>
      <c r="FZ329" s="148"/>
      <c r="GA329" s="148"/>
      <c r="GB329" s="148"/>
      <c r="GC329" s="148"/>
      <c r="GD329" s="148"/>
      <c r="GE329" s="148"/>
      <c r="GF329" s="148"/>
      <c r="GG329" s="149"/>
    </row>
    <row r="330" spans="1:189" ht="27.75" x14ac:dyDescent="0.35">
      <c r="A330" s="297" t="s">
        <v>912</v>
      </c>
      <c r="B330" s="298"/>
      <c r="C330" s="298"/>
      <c r="D330" s="299"/>
      <c r="E330" s="298" t="s">
        <v>1309</v>
      </c>
      <c r="F330" s="298" t="s">
        <v>1310</v>
      </c>
      <c r="G330" s="300">
        <v>2</v>
      </c>
      <c r="H330" s="301"/>
      <c r="I330" s="302"/>
      <c r="J330" s="302"/>
      <c r="K330" s="302"/>
      <c r="L330" s="303">
        <v>45995</v>
      </c>
      <c r="M330" s="303">
        <v>46053</v>
      </c>
      <c r="N330" s="303">
        <v>46053</v>
      </c>
      <c r="O330" s="303">
        <v>46054</v>
      </c>
      <c r="P330" s="303">
        <v>46112</v>
      </c>
      <c r="Q330" s="304" t="s">
        <v>20</v>
      </c>
      <c r="R330" s="305">
        <v>50000</v>
      </c>
      <c r="S330" s="305">
        <f>50000-SUM(S331:S332)</f>
        <v>0</v>
      </c>
      <c r="T330" s="305">
        <v>0</v>
      </c>
      <c r="U330" s="191">
        <f t="shared" si="318"/>
        <v>0</v>
      </c>
      <c r="V330" s="306"/>
      <c r="W330" s="307"/>
      <c r="X330" s="46"/>
      <c r="Y330" s="167">
        <f t="shared" si="319"/>
        <v>0</v>
      </c>
      <c r="Z330" s="167">
        <f t="shared" si="320"/>
        <v>0</v>
      </c>
      <c r="AA330" s="167">
        <f t="shared" si="321"/>
        <v>0</v>
      </c>
      <c r="AB330" s="167">
        <f t="shared" si="322"/>
        <v>0</v>
      </c>
      <c r="AC330" s="167">
        <f t="shared" si="323"/>
        <v>0</v>
      </c>
      <c r="AD330" s="167">
        <f t="shared" si="324"/>
        <v>0</v>
      </c>
      <c r="AF330" s="47">
        <f t="shared" si="396"/>
        <v>1</v>
      </c>
      <c r="AG330" s="202" t="str">
        <f t="shared" si="397"/>
        <v xml:space="preserve"> Equipment (kitchen and office equipment + furniture) </v>
      </c>
      <c r="AH330" s="147"/>
      <c r="AI330" s="148"/>
      <c r="AJ330" s="148"/>
      <c r="AK330" s="148"/>
      <c r="AL330" s="148"/>
      <c r="AM330" s="148"/>
      <c r="AN330" s="148"/>
      <c r="AO330" s="148"/>
      <c r="AP330" s="148"/>
      <c r="AQ330" s="148"/>
      <c r="AR330" s="148"/>
      <c r="AS330" s="148"/>
      <c r="AT330" s="148"/>
      <c r="AU330" s="148"/>
      <c r="AV330" s="148"/>
      <c r="AW330" s="148"/>
      <c r="AX330" s="148"/>
      <c r="AY330" s="148"/>
      <c r="AZ330" s="148"/>
      <c r="BA330" s="148"/>
      <c r="BB330" s="148"/>
      <c r="BC330" s="148"/>
      <c r="BD330" s="148"/>
      <c r="BE330" s="148"/>
      <c r="BF330" s="148"/>
      <c r="BG330" s="148"/>
      <c r="BH330" s="148"/>
      <c r="BI330" s="148"/>
      <c r="BJ330" s="148"/>
      <c r="BK330" s="148"/>
      <c r="BL330" s="148"/>
      <c r="BM330" s="148"/>
      <c r="BN330" s="148"/>
      <c r="BO330" s="148"/>
      <c r="BP330" s="148"/>
      <c r="BQ330" s="148"/>
      <c r="BR330" s="148"/>
      <c r="BS330" s="148"/>
      <c r="BT330" s="148"/>
      <c r="BU330" s="148"/>
      <c r="BV330" s="148"/>
      <c r="BW330" s="148"/>
      <c r="BX330" s="148"/>
      <c r="BY330" s="148"/>
      <c r="BZ330" s="148"/>
      <c r="CA330" s="148"/>
      <c r="CB330" s="148"/>
      <c r="CC330" s="148"/>
      <c r="CD330" s="148"/>
      <c r="CE330" s="148"/>
      <c r="CF330" s="148"/>
      <c r="CG330" s="148"/>
      <c r="CH330" s="148"/>
      <c r="CI330" s="148"/>
      <c r="CJ330" s="148"/>
      <c r="CK330" s="148"/>
      <c r="CL330" s="148"/>
      <c r="CM330" s="148"/>
      <c r="CN330" s="148"/>
      <c r="CO330" s="148"/>
      <c r="CP330" s="148"/>
      <c r="CQ330" s="148"/>
      <c r="CR330" s="148"/>
      <c r="CS330" s="148"/>
      <c r="CT330" s="148"/>
      <c r="CU330" s="148"/>
      <c r="CV330" s="148"/>
      <c r="CW330" s="148"/>
      <c r="CX330" s="148"/>
      <c r="CY330" s="148"/>
      <c r="CZ330" s="148"/>
      <c r="DA330" s="148"/>
      <c r="DB330" s="148"/>
      <c r="DC330" s="148"/>
      <c r="DD330" s="148"/>
      <c r="DE330" s="148"/>
      <c r="DF330" s="148"/>
      <c r="DG330" s="148"/>
      <c r="DH330" s="148"/>
      <c r="DI330" s="148"/>
      <c r="DJ330" s="148"/>
      <c r="DK330" s="148"/>
      <c r="DL330" s="148"/>
      <c r="DM330" s="148"/>
      <c r="DN330" s="148"/>
      <c r="DO330" s="148"/>
      <c r="DP330" s="148"/>
      <c r="DQ330" s="148"/>
      <c r="DR330" s="148"/>
      <c r="DS330" s="148"/>
      <c r="DT330" s="148"/>
      <c r="DU330" s="148"/>
      <c r="DV330" s="148"/>
      <c r="DW330" s="148"/>
      <c r="DX330" s="148"/>
      <c r="DY330" s="148"/>
      <c r="DZ330" s="148"/>
      <c r="EA330" s="148"/>
      <c r="EB330" s="148"/>
      <c r="EC330" s="148"/>
      <c r="ED330" s="148"/>
      <c r="EE330" s="148"/>
      <c r="EF330" s="148"/>
      <c r="EG330" s="148"/>
      <c r="EH330" s="148"/>
      <c r="EI330" s="148"/>
      <c r="EJ330" s="148"/>
      <c r="EK330" s="148"/>
      <c r="EL330" s="148"/>
      <c r="EM330" s="148"/>
      <c r="EN330" s="148"/>
      <c r="EO330" s="148"/>
      <c r="EP330" s="148"/>
      <c r="EQ330" s="148"/>
      <c r="ER330" s="148"/>
      <c r="ES330" s="148"/>
      <c r="ET330" s="148"/>
      <c r="EU330" s="148"/>
      <c r="EV330" s="148"/>
      <c r="EW330" s="148"/>
      <c r="EX330" s="148"/>
      <c r="EY330" s="148"/>
      <c r="EZ330" s="148"/>
      <c r="FA330" s="148"/>
      <c r="FB330" s="148"/>
      <c r="FC330" s="148"/>
      <c r="FD330" s="148"/>
      <c r="FE330" s="148"/>
      <c r="FF330" s="148"/>
      <c r="FG330" s="148"/>
      <c r="FH330" s="148"/>
      <c r="FI330" s="148"/>
      <c r="FJ330" s="148"/>
      <c r="FK330" s="148"/>
      <c r="FL330" s="148"/>
      <c r="FM330" s="148"/>
      <c r="FN330" s="148"/>
      <c r="FO330" s="148"/>
      <c r="FP330" s="148"/>
      <c r="FQ330" s="148"/>
      <c r="FR330" s="148"/>
      <c r="FS330" s="148"/>
      <c r="FT330" s="148"/>
      <c r="FU330" s="148"/>
      <c r="FV330" s="148"/>
      <c r="FW330" s="148"/>
      <c r="FX330" s="148"/>
      <c r="FY330" s="148"/>
      <c r="FZ330" s="148"/>
      <c r="GA330" s="148"/>
      <c r="GB330" s="148"/>
      <c r="GC330" s="148"/>
      <c r="GD330" s="148"/>
      <c r="GE330" s="148"/>
      <c r="GF330" s="148"/>
      <c r="GG330" s="149"/>
    </row>
    <row r="331" spans="1:189" ht="27.75" x14ac:dyDescent="0.35">
      <c r="A331" s="267" t="s">
        <v>1307</v>
      </c>
      <c r="B331" s="221"/>
      <c r="C331" s="221"/>
      <c r="D331" s="222"/>
      <c r="E331" s="221" t="s">
        <v>1169</v>
      </c>
      <c r="F331" s="221" t="s">
        <v>1170</v>
      </c>
      <c r="G331" s="223">
        <v>2</v>
      </c>
      <c r="H331" s="224" t="s">
        <v>1168</v>
      </c>
      <c r="I331" s="225"/>
      <c r="J331" s="225"/>
      <c r="K331" s="225"/>
      <c r="L331" s="226">
        <v>45995</v>
      </c>
      <c r="M331" s="226">
        <v>46053</v>
      </c>
      <c r="N331" s="226">
        <v>46053</v>
      </c>
      <c r="O331" s="226">
        <v>46054</v>
      </c>
      <c r="P331" s="226">
        <v>46112</v>
      </c>
      <c r="Q331" s="227" t="s">
        <v>20</v>
      </c>
      <c r="R331" s="228"/>
      <c r="S331" s="228">
        <v>50000</v>
      </c>
      <c r="T331" s="228">
        <f>99632-4360</f>
        <v>95272</v>
      </c>
      <c r="U331" s="191">
        <f t="shared" ref="U331" si="398">IF(Q331="",0,IF(T331="",0,+S331-T331))</f>
        <v>-45272</v>
      </c>
      <c r="V331" s="230"/>
      <c r="W331" s="231"/>
      <c r="X331" s="46"/>
      <c r="Y331" s="167">
        <f t="shared" ref="Y331" si="399">IF(G331=2,S331,0)</f>
        <v>50000</v>
      </c>
      <c r="Z331" s="167">
        <f t="shared" ref="Z331" si="400">IF(Q331="",0,IF(G331=2,T331,0))</f>
        <v>95272</v>
      </c>
      <c r="AA331" s="167">
        <f t="shared" ref="AA331" si="401">Y331-Z331</f>
        <v>-45272</v>
      </c>
      <c r="AB331" s="167">
        <f t="shared" ref="AB331" si="402">IF(G331=1,S331,0)</f>
        <v>0</v>
      </c>
      <c r="AC331" s="167">
        <f t="shared" ref="AC331" si="403">IF(Q331="",0,IF(G331=1,T331,0))</f>
        <v>0</v>
      </c>
      <c r="AD331" s="167">
        <f t="shared" ref="AD331" si="404">AB331-AC331</f>
        <v>0</v>
      </c>
      <c r="AF331" s="47">
        <f t="shared" ref="AF331" si="405">IF(S331&lt;&gt;"",1,0)</f>
        <v>1</v>
      </c>
      <c r="AG331" s="202" t="str">
        <f t="shared" ref="AG331" si="406">B331&amp;" "&amp;F331</f>
        <v xml:space="preserve"> Equipment (kitchen and office equipment + furniture) ECd_09</v>
      </c>
      <c r="AH331" s="150"/>
      <c r="AI331" s="151"/>
      <c r="AJ331" s="151"/>
      <c r="AK331" s="151"/>
      <c r="AL331" s="151"/>
      <c r="AM331" s="151"/>
      <c r="AN331" s="151"/>
      <c r="AO331" s="151"/>
      <c r="AP331" s="151"/>
      <c r="AQ331" s="151"/>
      <c r="AR331" s="151"/>
      <c r="AS331" s="151"/>
      <c r="AT331" s="151"/>
      <c r="AU331" s="151"/>
      <c r="AV331" s="151"/>
      <c r="AW331" s="151"/>
      <c r="AX331" s="151"/>
      <c r="AY331" s="151"/>
      <c r="AZ331" s="151"/>
      <c r="BA331" s="151"/>
      <c r="BB331" s="151"/>
      <c r="BC331" s="151"/>
      <c r="BD331" s="151"/>
      <c r="BE331" s="151"/>
      <c r="BF331" s="151"/>
      <c r="BG331" s="151"/>
      <c r="BH331" s="151"/>
      <c r="BI331" s="151"/>
      <c r="BJ331" s="151"/>
      <c r="BK331" s="151"/>
      <c r="BL331" s="151"/>
      <c r="BM331" s="151"/>
      <c r="BN331" s="151"/>
      <c r="BO331" s="151"/>
      <c r="BP331" s="151"/>
      <c r="BQ331" s="151"/>
      <c r="BR331" s="151"/>
      <c r="BS331" s="151"/>
      <c r="BT331" s="151"/>
      <c r="BU331" s="151"/>
      <c r="BV331" s="151"/>
      <c r="BW331" s="151"/>
      <c r="BX331" s="151"/>
      <c r="BY331" s="151"/>
      <c r="BZ331" s="151"/>
      <c r="CA331" s="151"/>
      <c r="CB331" s="151"/>
      <c r="CC331" s="151"/>
      <c r="CD331" s="151"/>
      <c r="CE331" s="151"/>
      <c r="CF331" s="151"/>
      <c r="CG331" s="151"/>
      <c r="CH331" s="151"/>
      <c r="CI331" s="151"/>
      <c r="CJ331" s="151"/>
      <c r="CK331" s="151"/>
      <c r="CL331" s="151"/>
      <c r="CM331" s="151"/>
      <c r="CN331" s="151"/>
      <c r="CO331" s="151"/>
      <c r="CP331" s="151"/>
      <c r="CQ331" s="151"/>
      <c r="CR331" s="151"/>
      <c r="CS331" s="151"/>
      <c r="CT331" s="151"/>
      <c r="CU331" s="151"/>
      <c r="CV331" s="151"/>
      <c r="CW331" s="151"/>
      <c r="CX331" s="151"/>
      <c r="CY331" s="151"/>
      <c r="CZ331" s="151"/>
      <c r="DA331" s="151"/>
      <c r="DB331" s="151"/>
      <c r="DC331" s="151"/>
      <c r="DD331" s="151"/>
      <c r="DE331" s="151"/>
      <c r="DF331" s="151"/>
      <c r="DG331" s="151"/>
      <c r="DH331" s="151"/>
      <c r="DI331" s="151"/>
      <c r="DJ331" s="151"/>
      <c r="DK331" s="151"/>
      <c r="DL331" s="151"/>
      <c r="DM331" s="151"/>
      <c r="DN331" s="151"/>
      <c r="DO331" s="151"/>
      <c r="DP331" s="151"/>
      <c r="DQ331" s="151"/>
      <c r="DR331" s="151"/>
      <c r="DS331" s="151"/>
      <c r="DT331" s="151"/>
      <c r="DU331" s="151"/>
      <c r="DV331" s="151"/>
      <c r="DW331" s="151"/>
      <c r="DX331" s="151"/>
      <c r="DY331" s="151"/>
      <c r="DZ331" s="151"/>
      <c r="EA331" s="151"/>
      <c r="EB331" s="151"/>
      <c r="EC331" s="151"/>
      <c r="ED331" s="151"/>
      <c r="EE331" s="151"/>
      <c r="EF331" s="151"/>
      <c r="EG331" s="151"/>
      <c r="EH331" s="151"/>
      <c r="EI331" s="151"/>
      <c r="EJ331" s="151"/>
      <c r="EK331" s="151"/>
      <c r="EL331" s="151"/>
      <c r="EM331" s="151"/>
      <c r="EN331" s="151"/>
      <c r="EO331" s="151"/>
      <c r="EP331" s="151"/>
      <c r="EQ331" s="151"/>
      <c r="ER331" s="151"/>
      <c r="ES331" s="151"/>
      <c r="ET331" s="151"/>
      <c r="EU331" s="151"/>
      <c r="EV331" s="151"/>
      <c r="EW331" s="151"/>
      <c r="EX331" s="151"/>
      <c r="EY331" s="151"/>
      <c r="EZ331" s="151"/>
      <c r="FA331" s="151"/>
      <c r="FB331" s="151"/>
      <c r="FC331" s="151"/>
      <c r="FD331" s="151"/>
      <c r="FE331" s="151"/>
      <c r="FF331" s="151"/>
      <c r="FG331" s="151"/>
      <c r="FH331" s="151"/>
      <c r="FI331" s="151"/>
      <c r="FJ331" s="151"/>
      <c r="FK331" s="151"/>
      <c r="FL331" s="151"/>
      <c r="FM331" s="151"/>
      <c r="FN331" s="151"/>
      <c r="FO331" s="151"/>
      <c r="FP331" s="151"/>
      <c r="FQ331" s="151"/>
      <c r="FR331" s="151"/>
      <c r="FS331" s="151"/>
      <c r="FT331" s="151"/>
      <c r="FU331" s="151"/>
      <c r="FV331" s="151"/>
      <c r="FW331" s="151"/>
      <c r="FX331" s="151"/>
      <c r="FY331" s="151"/>
      <c r="FZ331" s="151"/>
      <c r="GA331" s="151"/>
      <c r="GB331" s="151"/>
      <c r="GC331" s="151"/>
      <c r="GD331" s="151"/>
      <c r="GE331" s="151"/>
      <c r="GF331" s="151"/>
      <c r="GG331" s="152"/>
    </row>
    <row r="332" spans="1:189" x14ac:dyDescent="0.35">
      <c r="A332" s="267" t="s">
        <v>1308</v>
      </c>
      <c r="B332" s="221"/>
      <c r="C332" s="221"/>
      <c r="D332" s="222"/>
      <c r="E332" s="221" t="s">
        <v>1305</v>
      </c>
      <c r="F332" s="221" t="s">
        <v>1306</v>
      </c>
      <c r="G332" s="223">
        <v>2</v>
      </c>
      <c r="H332" s="224" t="s">
        <v>1304</v>
      </c>
      <c r="I332" s="225"/>
      <c r="J332" s="225"/>
      <c r="K332" s="225"/>
      <c r="L332" s="226">
        <v>46054</v>
      </c>
      <c r="M332" s="226">
        <v>46070</v>
      </c>
      <c r="N332" s="226"/>
      <c r="O332" s="226">
        <v>46082</v>
      </c>
      <c r="P332" s="226">
        <v>46934</v>
      </c>
      <c r="Q332" s="227" t="s">
        <v>20</v>
      </c>
      <c r="R332" s="228"/>
      <c r="S332" s="228">
        <v>0</v>
      </c>
      <c r="T332" s="228">
        <v>13414.64</v>
      </c>
      <c r="U332" s="191">
        <f t="shared" ref="U332" si="407">IF(Q332="",0,IF(T332="",0,+S332-T332))</f>
        <v>-13414.64</v>
      </c>
      <c r="V332" s="230"/>
      <c r="W332" s="231"/>
      <c r="X332" s="46"/>
      <c r="Y332" s="167">
        <f t="shared" ref="Y332" si="408">IF(G332=2,S332,0)</f>
        <v>0</v>
      </c>
      <c r="Z332" s="167">
        <f t="shared" ref="Z332" si="409">IF(Q332="",0,IF(G332=2,T332,0))</f>
        <v>13414.64</v>
      </c>
      <c r="AA332" s="167">
        <f t="shared" ref="AA332" si="410">Y332-Z332</f>
        <v>-13414.64</v>
      </c>
      <c r="AB332" s="167">
        <f t="shared" ref="AB332" si="411">IF(G332=1,S332,0)</f>
        <v>0</v>
      </c>
      <c r="AC332" s="167">
        <f t="shared" ref="AC332" si="412">IF(Q332="",0,IF(G332=1,T332,0))</f>
        <v>0</v>
      </c>
      <c r="AD332" s="167">
        <f t="shared" ref="AD332" si="413">AB332-AC332</f>
        <v>0</v>
      </c>
      <c r="AF332" s="47">
        <f t="shared" ref="AF332" si="414">IF(S332&lt;&gt;"",1,0)</f>
        <v>1</v>
      </c>
      <c r="AG332" s="202" t="str">
        <f t="shared" ref="AG332" si="415">B332&amp;" "&amp;F332</f>
        <v xml:space="preserve"> Office kitchen furniture  ECd_36</v>
      </c>
      <c r="AH332" s="150"/>
      <c r="AI332" s="151"/>
      <c r="AJ332" s="151"/>
      <c r="AK332" s="151"/>
      <c r="AL332" s="151"/>
      <c r="AM332" s="151"/>
      <c r="AN332" s="151"/>
      <c r="AO332" s="151"/>
      <c r="AP332" s="151"/>
      <c r="AQ332" s="151"/>
      <c r="AR332" s="151"/>
      <c r="AS332" s="151"/>
      <c r="AT332" s="151"/>
      <c r="AU332" s="151"/>
      <c r="AV332" s="151"/>
      <c r="AW332" s="151"/>
      <c r="AX332" s="151"/>
      <c r="AY332" s="151"/>
      <c r="AZ332" s="151"/>
      <c r="BA332" s="151"/>
      <c r="BB332" s="151"/>
      <c r="BC332" s="151"/>
      <c r="BD332" s="151"/>
      <c r="BE332" s="151"/>
      <c r="BF332" s="151"/>
      <c r="BG332" s="151"/>
      <c r="BH332" s="151"/>
      <c r="BI332" s="151"/>
      <c r="BJ332" s="151"/>
      <c r="BK332" s="151"/>
      <c r="BL332" s="151"/>
      <c r="BM332" s="151"/>
      <c r="BN332" s="151"/>
      <c r="BO332" s="151"/>
      <c r="BP332" s="151"/>
      <c r="BQ332" s="151"/>
      <c r="BR332" s="151"/>
      <c r="BS332" s="151"/>
      <c r="BT332" s="151"/>
      <c r="BU332" s="151"/>
      <c r="BV332" s="151"/>
      <c r="BW332" s="151"/>
      <c r="BX332" s="151"/>
      <c r="BY332" s="151"/>
      <c r="BZ332" s="151"/>
      <c r="CA332" s="151"/>
      <c r="CB332" s="151"/>
      <c r="CC332" s="151"/>
      <c r="CD332" s="151"/>
      <c r="CE332" s="151"/>
      <c r="CF332" s="151"/>
      <c r="CG332" s="151"/>
      <c r="CH332" s="151"/>
      <c r="CI332" s="151"/>
      <c r="CJ332" s="151"/>
      <c r="CK332" s="151"/>
      <c r="CL332" s="151"/>
      <c r="CM332" s="151"/>
      <c r="CN332" s="151"/>
      <c r="CO332" s="151"/>
      <c r="CP332" s="151"/>
      <c r="CQ332" s="151"/>
      <c r="CR332" s="151"/>
      <c r="CS332" s="151"/>
      <c r="CT332" s="151"/>
      <c r="CU332" s="151"/>
      <c r="CV332" s="151"/>
      <c r="CW332" s="151"/>
      <c r="CX332" s="151"/>
      <c r="CY332" s="151"/>
      <c r="CZ332" s="151"/>
      <c r="DA332" s="151"/>
      <c r="DB332" s="151"/>
      <c r="DC332" s="151"/>
      <c r="DD332" s="151"/>
      <c r="DE332" s="151"/>
      <c r="DF332" s="151"/>
      <c r="DG332" s="151"/>
      <c r="DH332" s="151"/>
      <c r="DI332" s="151"/>
      <c r="DJ332" s="151"/>
      <c r="DK332" s="151"/>
      <c r="DL332" s="151"/>
      <c r="DM332" s="151"/>
      <c r="DN332" s="151"/>
      <c r="DO332" s="151"/>
      <c r="DP332" s="151"/>
      <c r="DQ332" s="151"/>
      <c r="DR332" s="151"/>
      <c r="DS332" s="151"/>
      <c r="DT332" s="151"/>
      <c r="DU332" s="151"/>
      <c r="DV332" s="151"/>
      <c r="DW332" s="151"/>
      <c r="DX332" s="151"/>
      <c r="DY332" s="151"/>
      <c r="DZ332" s="151"/>
      <c r="EA332" s="151"/>
      <c r="EB332" s="151"/>
      <c r="EC332" s="151"/>
      <c r="ED332" s="151"/>
      <c r="EE332" s="151"/>
      <c r="EF332" s="151"/>
      <c r="EG332" s="151"/>
      <c r="EH332" s="151"/>
      <c r="EI332" s="151"/>
      <c r="EJ332" s="151"/>
      <c r="EK332" s="151"/>
      <c r="EL332" s="151"/>
      <c r="EM332" s="151"/>
      <c r="EN332" s="151"/>
      <c r="EO332" s="151"/>
      <c r="EP332" s="151"/>
      <c r="EQ332" s="151"/>
      <c r="ER332" s="151"/>
      <c r="ES332" s="151"/>
      <c r="ET332" s="151"/>
      <c r="EU332" s="151"/>
      <c r="EV332" s="151"/>
      <c r="EW332" s="151"/>
      <c r="EX332" s="151"/>
      <c r="EY332" s="151"/>
      <c r="EZ332" s="151"/>
      <c r="FA332" s="151"/>
      <c r="FB332" s="151"/>
      <c r="FC332" s="151"/>
      <c r="FD332" s="151"/>
      <c r="FE332" s="151"/>
      <c r="FF332" s="151"/>
      <c r="FG332" s="151"/>
      <c r="FH332" s="151"/>
      <c r="FI332" s="151"/>
      <c r="FJ332" s="151"/>
      <c r="FK332" s="151"/>
      <c r="FL332" s="151"/>
      <c r="FM332" s="151"/>
      <c r="FN332" s="151"/>
      <c r="FO332" s="151"/>
      <c r="FP332" s="151"/>
      <c r="FQ332" s="151"/>
      <c r="FR332" s="151"/>
      <c r="FS332" s="151"/>
      <c r="FT332" s="151"/>
      <c r="FU332" s="151"/>
      <c r="FV332" s="151"/>
      <c r="FW332" s="151"/>
      <c r="FX332" s="151"/>
      <c r="FY332" s="151"/>
      <c r="FZ332" s="151"/>
      <c r="GA332" s="151"/>
      <c r="GB332" s="151"/>
      <c r="GC332" s="151"/>
      <c r="GD332" s="151"/>
      <c r="GE332" s="151"/>
      <c r="GF332" s="151"/>
      <c r="GG332" s="152"/>
    </row>
    <row r="333" spans="1:189" ht="41.65" x14ac:dyDescent="0.35">
      <c r="A333" s="297" t="s">
        <v>913</v>
      </c>
      <c r="B333" s="298"/>
      <c r="C333" s="298"/>
      <c r="D333" s="299"/>
      <c r="E333" s="298" t="s">
        <v>819</v>
      </c>
      <c r="F333" s="298" t="s">
        <v>852</v>
      </c>
      <c r="G333" s="300">
        <v>2</v>
      </c>
      <c r="H333" s="301"/>
      <c r="I333" s="302"/>
      <c r="J333" s="302"/>
      <c r="K333" s="302"/>
      <c r="L333" s="303">
        <v>45995</v>
      </c>
      <c r="M333" s="303">
        <v>46053</v>
      </c>
      <c r="N333" s="303"/>
      <c r="O333" s="303">
        <v>46054</v>
      </c>
      <c r="P333" s="303">
        <v>46081</v>
      </c>
      <c r="Q333" s="304" t="s">
        <v>45</v>
      </c>
      <c r="R333" s="305">
        <v>158511.4</v>
      </c>
      <c r="S333" s="305">
        <v>158511.4</v>
      </c>
      <c r="T333" s="305"/>
      <c r="U333" s="191">
        <f t="shared" si="318"/>
        <v>0</v>
      </c>
      <c r="V333" s="306"/>
      <c r="W333" s="307"/>
      <c r="X333" s="46"/>
      <c r="Y333" s="167">
        <f t="shared" si="319"/>
        <v>158511.4</v>
      </c>
      <c r="Z333" s="167">
        <f t="shared" si="320"/>
        <v>0</v>
      </c>
      <c r="AA333" s="167">
        <f t="shared" si="321"/>
        <v>158511.4</v>
      </c>
      <c r="AB333" s="167">
        <f t="shared" si="322"/>
        <v>0</v>
      </c>
      <c r="AC333" s="167">
        <f t="shared" si="323"/>
        <v>0</v>
      </c>
      <c r="AD333" s="167">
        <f t="shared" si="324"/>
        <v>0</v>
      </c>
      <c r="AF333" s="47">
        <f t="shared" si="396"/>
        <v>1</v>
      </c>
      <c r="AG333" s="202" t="str">
        <f t="shared" si="397"/>
        <v xml:space="preserve"> Installation of office/cloakroom containers + power and water connections</v>
      </c>
      <c r="AH333" s="172"/>
      <c r="AI333" s="173"/>
      <c r="AJ333" s="173"/>
      <c r="AK333" s="173"/>
      <c r="AL333" s="173"/>
      <c r="AM333" s="173"/>
      <c r="AN333" s="173"/>
      <c r="AO333" s="173"/>
      <c r="AP333" s="173"/>
      <c r="AQ333" s="173"/>
      <c r="AR333" s="173"/>
      <c r="AS333" s="173"/>
      <c r="AT333" s="173"/>
      <c r="AU333" s="173"/>
      <c r="AV333" s="173"/>
      <c r="AW333" s="173"/>
      <c r="AX333" s="173"/>
      <c r="AY333" s="173"/>
      <c r="AZ333" s="173"/>
      <c r="BA333" s="173"/>
      <c r="BB333" s="173"/>
      <c r="BC333" s="173"/>
      <c r="BD333" s="173"/>
      <c r="BE333" s="173"/>
      <c r="BF333" s="173"/>
      <c r="BG333" s="173"/>
      <c r="BH333" s="173"/>
      <c r="BI333" s="173"/>
      <c r="BJ333" s="173"/>
      <c r="BK333" s="173"/>
      <c r="BL333" s="173"/>
      <c r="BM333" s="173"/>
      <c r="BN333" s="173"/>
      <c r="BO333" s="173"/>
      <c r="BP333" s="173"/>
      <c r="BQ333" s="173"/>
      <c r="BR333" s="173"/>
      <c r="BS333" s="173"/>
      <c r="BT333" s="173"/>
      <c r="BU333" s="173"/>
      <c r="BV333" s="173"/>
      <c r="BW333" s="173"/>
      <c r="BX333" s="173"/>
      <c r="BY333" s="173"/>
      <c r="BZ333" s="173"/>
      <c r="CA333" s="173"/>
      <c r="CB333" s="173"/>
      <c r="CC333" s="173"/>
      <c r="CD333" s="173"/>
      <c r="CE333" s="173"/>
      <c r="CF333" s="173"/>
      <c r="CG333" s="173"/>
      <c r="CH333" s="173"/>
      <c r="CI333" s="173"/>
      <c r="CJ333" s="173"/>
      <c r="CK333" s="173"/>
      <c r="CL333" s="173"/>
      <c r="CM333" s="173"/>
      <c r="CN333" s="173"/>
      <c r="CO333" s="173"/>
      <c r="CP333" s="173"/>
      <c r="CQ333" s="173"/>
      <c r="CR333" s="173"/>
      <c r="CS333" s="173"/>
      <c r="CT333" s="173"/>
      <c r="CU333" s="173"/>
      <c r="CV333" s="173"/>
      <c r="CW333" s="173"/>
      <c r="CX333" s="173"/>
      <c r="CY333" s="148"/>
      <c r="CZ333" s="148"/>
      <c r="DA333" s="148"/>
      <c r="DB333" s="148"/>
      <c r="DC333" s="148"/>
      <c r="DD333" s="148"/>
      <c r="DE333" s="148"/>
      <c r="DF333" s="148"/>
      <c r="DG333" s="148"/>
      <c r="DH333" s="148"/>
      <c r="DI333" s="148"/>
      <c r="DJ333" s="148"/>
      <c r="DK333" s="148"/>
      <c r="DL333" s="148"/>
      <c r="DM333" s="148"/>
      <c r="DN333" s="148"/>
      <c r="DO333" s="148"/>
      <c r="DP333" s="148"/>
      <c r="DQ333" s="148"/>
      <c r="DR333" s="148"/>
      <c r="DS333" s="148"/>
      <c r="DT333" s="148"/>
      <c r="DU333" s="148"/>
      <c r="DV333" s="148"/>
      <c r="DW333" s="148"/>
      <c r="DX333" s="148"/>
      <c r="DY333" s="148"/>
      <c r="DZ333" s="148"/>
      <c r="EA333" s="148"/>
      <c r="EB333" s="148"/>
      <c r="EC333" s="148"/>
      <c r="ED333" s="148"/>
      <c r="EE333" s="148"/>
      <c r="EF333" s="148"/>
      <c r="EG333" s="148"/>
      <c r="EH333" s="148"/>
      <c r="EI333" s="148"/>
      <c r="EJ333" s="148"/>
      <c r="EK333" s="148"/>
      <c r="EL333" s="148"/>
      <c r="EM333" s="148"/>
      <c r="EN333" s="148"/>
      <c r="EO333" s="148"/>
      <c r="EP333" s="148"/>
      <c r="EQ333" s="148"/>
      <c r="ER333" s="148"/>
      <c r="ES333" s="148"/>
      <c r="ET333" s="148"/>
      <c r="EU333" s="148"/>
      <c r="EV333" s="148"/>
      <c r="EW333" s="148"/>
      <c r="EX333" s="148"/>
      <c r="EY333" s="148"/>
      <c r="EZ333" s="148"/>
      <c r="FA333" s="148"/>
      <c r="FB333" s="148"/>
      <c r="FC333" s="148"/>
      <c r="FD333" s="148"/>
      <c r="FE333" s="148"/>
      <c r="FF333" s="148"/>
      <c r="FG333" s="148"/>
      <c r="FH333" s="148"/>
      <c r="FI333" s="148"/>
      <c r="FJ333" s="148"/>
      <c r="FK333" s="148"/>
      <c r="FL333" s="148"/>
      <c r="FM333" s="148"/>
      <c r="FN333" s="148"/>
      <c r="FO333" s="148"/>
      <c r="FP333" s="148"/>
      <c r="FQ333" s="148"/>
      <c r="FR333" s="148"/>
      <c r="FS333" s="148"/>
      <c r="FT333" s="148"/>
      <c r="FU333" s="148"/>
      <c r="FV333" s="148"/>
      <c r="FW333" s="148"/>
      <c r="FX333" s="148"/>
      <c r="FY333" s="148"/>
      <c r="FZ333" s="148"/>
      <c r="GA333" s="148"/>
      <c r="GB333" s="148"/>
      <c r="GC333" s="148"/>
      <c r="GD333" s="148"/>
      <c r="GE333" s="148"/>
      <c r="GF333" s="148"/>
      <c r="GG333" s="149"/>
    </row>
    <row r="334" spans="1:189" x14ac:dyDescent="0.35">
      <c r="A334" s="297" t="s">
        <v>914</v>
      </c>
      <c r="B334" s="298" t="s">
        <v>1070</v>
      </c>
      <c r="C334" s="298" t="s">
        <v>1064</v>
      </c>
      <c r="D334" s="299"/>
      <c r="E334" s="298" t="s">
        <v>1157</v>
      </c>
      <c r="F334" s="298" t="s">
        <v>1158</v>
      </c>
      <c r="G334" s="300">
        <v>2</v>
      </c>
      <c r="H334" s="301" t="s">
        <v>1135</v>
      </c>
      <c r="I334" s="302"/>
      <c r="J334" s="302"/>
      <c r="K334" s="302"/>
      <c r="L334" s="303">
        <v>45995</v>
      </c>
      <c r="M334" s="303">
        <v>46022</v>
      </c>
      <c r="N334" s="303">
        <v>46022</v>
      </c>
      <c r="O334" s="303">
        <v>46023</v>
      </c>
      <c r="P334" s="303">
        <v>46053</v>
      </c>
      <c r="Q334" s="304" t="s">
        <v>20</v>
      </c>
      <c r="R334" s="305">
        <v>50000</v>
      </c>
      <c r="S334" s="305">
        <f>50000+100000</f>
        <v>150000</v>
      </c>
      <c r="T334" s="305">
        <f>151500+21000</f>
        <v>172500</v>
      </c>
      <c r="U334" s="191">
        <f t="shared" si="318"/>
        <v>-22500</v>
      </c>
      <c r="V334" s="306"/>
      <c r="W334" s="307"/>
      <c r="X334" s="46"/>
      <c r="Y334" s="167">
        <f t="shared" si="319"/>
        <v>150000</v>
      </c>
      <c r="Z334" s="167">
        <f t="shared" si="320"/>
        <v>172500</v>
      </c>
      <c r="AA334" s="167">
        <f t="shared" si="321"/>
        <v>-22500</v>
      </c>
      <c r="AB334" s="167">
        <f t="shared" si="322"/>
        <v>0</v>
      </c>
      <c r="AC334" s="167">
        <f t="shared" si="323"/>
        <v>0</v>
      </c>
      <c r="AD334" s="167">
        <f t="shared" si="324"/>
        <v>0</v>
      </c>
      <c r="AF334" s="47">
        <f t="shared" si="396"/>
        <v>1</v>
      </c>
      <c r="AG334" s="202" t="str">
        <f t="shared" si="397"/>
        <v>Jan Szczubiał Water and sewage connections ECd_05</v>
      </c>
      <c r="AH334" s="147"/>
      <c r="AI334" s="148"/>
      <c r="AJ334" s="148"/>
      <c r="AK334" s="148"/>
      <c r="AL334" s="148"/>
      <c r="AM334" s="148"/>
      <c r="AN334" s="148"/>
      <c r="AO334" s="148"/>
      <c r="AP334" s="148"/>
      <c r="AQ334" s="148"/>
      <c r="AR334" s="148"/>
      <c r="AS334" s="148"/>
      <c r="AT334" s="148"/>
      <c r="AU334" s="148"/>
      <c r="AV334" s="148"/>
      <c r="AW334" s="148"/>
      <c r="AX334" s="148"/>
      <c r="AY334" s="148"/>
      <c r="AZ334" s="148"/>
      <c r="BA334" s="148"/>
      <c r="BB334" s="148"/>
      <c r="BC334" s="148"/>
      <c r="BD334" s="148"/>
      <c r="BE334" s="148"/>
      <c r="BF334" s="148"/>
      <c r="BG334" s="148"/>
      <c r="BH334" s="148"/>
      <c r="BI334" s="148"/>
      <c r="BJ334" s="148"/>
      <c r="BK334" s="148"/>
      <c r="BL334" s="148"/>
      <c r="BM334" s="148"/>
      <c r="BN334" s="148"/>
      <c r="BO334" s="148"/>
      <c r="BP334" s="148"/>
      <c r="BQ334" s="148"/>
      <c r="BR334" s="148"/>
      <c r="BS334" s="148"/>
      <c r="BT334" s="148"/>
      <c r="BU334" s="148"/>
      <c r="BV334" s="148"/>
      <c r="BW334" s="148"/>
      <c r="BX334" s="148"/>
      <c r="BY334" s="148"/>
      <c r="BZ334" s="148"/>
      <c r="CA334" s="148"/>
      <c r="CB334" s="148"/>
      <c r="CC334" s="148"/>
      <c r="CD334" s="148"/>
      <c r="CE334" s="148"/>
      <c r="CF334" s="148"/>
      <c r="CG334" s="148"/>
      <c r="CH334" s="148"/>
      <c r="CI334" s="148"/>
      <c r="CJ334" s="148"/>
      <c r="CK334" s="148"/>
      <c r="CL334" s="148"/>
      <c r="CM334" s="148"/>
      <c r="CN334" s="148"/>
      <c r="CO334" s="148"/>
      <c r="CP334" s="148"/>
      <c r="CQ334" s="148"/>
      <c r="CR334" s="148"/>
      <c r="CS334" s="148"/>
      <c r="CT334" s="148"/>
      <c r="CU334" s="148"/>
      <c r="CV334" s="148"/>
      <c r="CW334" s="148"/>
      <c r="CX334" s="148"/>
      <c r="CY334" s="148"/>
      <c r="CZ334" s="148"/>
      <c r="DA334" s="148"/>
      <c r="DB334" s="148"/>
      <c r="DC334" s="148"/>
      <c r="DD334" s="148"/>
      <c r="DE334" s="148"/>
      <c r="DF334" s="148"/>
      <c r="DG334" s="148"/>
      <c r="DH334" s="148"/>
      <c r="DI334" s="148"/>
      <c r="DJ334" s="148"/>
      <c r="DK334" s="148"/>
      <c r="DL334" s="148"/>
      <c r="DM334" s="148"/>
      <c r="DN334" s="148"/>
      <c r="DO334" s="148"/>
      <c r="DP334" s="148"/>
      <c r="DQ334" s="148"/>
      <c r="DR334" s="148"/>
      <c r="DS334" s="148"/>
      <c r="DT334" s="148"/>
      <c r="DU334" s="148"/>
      <c r="DV334" s="148"/>
      <c r="DW334" s="148"/>
      <c r="DX334" s="148"/>
      <c r="DY334" s="148"/>
      <c r="DZ334" s="148"/>
      <c r="EA334" s="148"/>
      <c r="EB334" s="148"/>
      <c r="EC334" s="148"/>
      <c r="ED334" s="148"/>
      <c r="EE334" s="148"/>
      <c r="EF334" s="148"/>
      <c r="EG334" s="148"/>
      <c r="EH334" s="148"/>
      <c r="EI334" s="148"/>
      <c r="EJ334" s="148"/>
      <c r="EK334" s="148"/>
      <c r="EL334" s="148"/>
      <c r="EM334" s="148"/>
      <c r="EN334" s="148"/>
      <c r="EO334" s="148"/>
      <c r="EP334" s="148"/>
      <c r="EQ334" s="148"/>
      <c r="ER334" s="148"/>
      <c r="ES334" s="148"/>
      <c r="ET334" s="148"/>
      <c r="EU334" s="148"/>
      <c r="EV334" s="148"/>
      <c r="EW334" s="148"/>
      <c r="EX334" s="148"/>
      <c r="EY334" s="148"/>
      <c r="EZ334" s="148"/>
      <c r="FA334" s="148"/>
      <c r="FB334" s="148"/>
      <c r="FC334" s="148"/>
      <c r="FD334" s="148"/>
      <c r="FE334" s="148"/>
      <c r="FF334" s="148"/>
      <c r="FG334" s="148"/>
      <c r="FH334" s="148"/>
      <c r="FI334" s="148"/>
      <c r="FJ334" s="148"/>
      <c r="FK334" s="148"/>
      <c r="FL334" s="148"/>
      <c r="FM334" s="148"/>
      <c r="FN334" s="148"/>
      <c r="FO334" s="148"/>
      <c r="FP334" s="148"/>
      <c r="FQ334" s="148"/>
      <c r="FR334" s="148"/>
      <c r="FS334" s="148"/>
      <c r="FT334" s="148"/>
      <c r="FU334" s="148"/>
      <c r="FV334" s="148"/>
      <c r="FW334" s="148"/>
      <c r="FX334" s="148"/>
      <c r="FY334" s="148"/>
      <c r="FZ334" s="148"/>
      <c r="GA334" s="148"/>
      <c r="GB334" s="148"/>
      <c r="GC334" s="148"/>
      <c r="GD334" s="148"/>
      <c r="GE334" s="148"/>
      <c r="GF334" s="148"/>
      <c r="GG334" s="149"/>
    </row>
    <row r="335" spans="1:189" ht="27.75" x14ac:dyDescent="0.35">
      <c r="A335" s="297" t="s">
        <v>915</v>
      </c>
      <c r="B335" s="298"/>
      <c r="C335" s="298"/>
      <c r="D335" s="299"/>
      <c r="E335" s="298" t="s">
        <v>804</v>
      </c>
      <c r="F335" s="298" t="s">
        <v>853</v>
      </c>
      <c r="G335" s="300">
        <v>2</v>
      </c>
      <c r="H335" s="301"/>
      <c r="I335" s="302"/>
      <c r="J335" s="302"/>
      <c r="K335" s="302"/>
      <c r="L335" s="303">
        <v>45995</v>
      </c>
      <c r="M335" s="303">
        <v>46022</v>
      </c>
      <c r="N335" s="303"/>
      <c r="O335" s="303">
        <v>46023</v>
      </c>
      <c r="P335" s="303">
        <v>46934</v>
      </c>
      <c r="Q335" s="304" t="s">
        <v>45</v>
      </c>
      <c r="R335" s="305">
        <v>12500</v>
      </c>
      <c r="S335" s="305">
        <v>12500</v>
      </c>
      <c r="T335" s="305"/>
      <c r="U335" s="191">
        <f t="shared" si="318"/>
        <v>0</v>
      </c>
      <c r="V335" s="306"/>
      <c r="W335" s="307"/>
      <c r="X335" s="46"/>
      <c r="Y335" s="167">
        <f t="shared" si="319"/>
        <v>12500</v>
      </c>
      <c r="Z335" s="167">
        <f t="shared" si="320"/>
        <v>0</v>
      </c>
      <c r="AA335" s="167">
        <f t="shared" si="321"/>
        <v>12500</v>
      </c>
      <c r="AB335" s="167">
        <f t="shared" si="322"/>
        <v>0</v>
      </c>
      <c r="AC335" s="167">
        <f t="shared" si="323"/>
        <v>0</v>
      </c>
      <c r="AD335" s="167">
        <f t="shared" si="324"/>
        <v>0</v>
      </c>
      <c r="AF335" s="47">
        <f t="shared" si="396"/>
        <v>1</v>
      </c>
      <c r="AG335" s="202" t="str">
        <f t="shared" si="397"/>
        <v xml:space="preserve"> Multifunction printer/copier/scanner/fax device</v>
      </c>
      <c r="AH335" s="172"/>
      <c r="AI335" s="173"/>
      <c r="AJ335" s="173"/>
      <c r="AK335" s="173"/>
      <c r="AL335" s="173"/>
      <c r="AM335" s="173"/>
      <c r="AN335" s="173"/>
      <c r="AO335" s="173"/>
      <c r="AP335" s="173"/>
      <c r="AQ335" s="173"/>
      <c r="AR335" s="173"/>
      <c r="AS335" s="173"/>
      <c r="AT335" s="173"/>
      <c r="AU335" s="173"/>
      <c r="AV335" s="173"/>
      <c r="AW335" s="173"/>
      <c r="AX335" s="173"/>
      <c r="AY335" s="173"/>
      <c r="AZ335" s="173"/>
      <c r="BA335" s="173"/>
      <c r="BB335" s="173"/>
      <c r="BC335" s="173"/>
      <c r="BD335" s="173"/>
      <c r="BE335" s="173"/>
      <c r="BF335" s="173"/>
      <c r="BG335" s="173"/>
      <c r="BH335" s="173"/>
      <c r="BI335" s="173"/>
      <c r="BJ335" s="173"/>
      <c r="BK335" s="173"/>
      <c r="BL335" s="173"/>
      <c r="BM335" s="173"/>
      <c r="BN335" s="173"/>
      <c r="BO335" s="173"/>
      <c r="BP335" s="173"/>
      <c r="BQ335" s="173"/>
      <c r="BR335" s="173"/>
      <c r="BS335" s="173"/>
      <c r="BT335" s="173"/>
      <c r="BU335" s="173"/>
      <c r="BV335" s="173"/>
      <c r="BW335" s="173"/>
      <c r="BX335" s="173"/>
      <c r="BY335" s="173"/>
      <c r="BZ335" s="173"/>
      <c r="CA335" s="173"/>
      <c r="CB335" s="173"/>
      <c r="CC335" s="173"/>
      <c r="CD335" s="173"/>
      <c r="CE335" s="173"/>
      <c r="CF335" s="173"/>
      <c r="CG335" s="173"/>
      <c r="CH335" s="173"/>
      <c r="CI335" s="173"/>
      <c r="CJ335" s="173"/>
      <c r="CK335" s="173"/>
      <c r="CL335" s="173"/>
      <c r="CM335" s="173"/>
      <c r="CN335" s="173"/>
      <c r="CO335" s="173"/>
      <c r="CP335" s="173"/>
      <c r="CQ335" s="173"/>
      <c r="CR335" s="173"/>
      <c r="CS335" s="173"/>
      <c r="CT335" s="173"/>
      <c r="CU335" s="173"/>
      <c r="CV335" s="173"/>
      <c r="CW335" s="173"/>
      <c r="CX335" s="173"/>
      <c r="CY335" s="148"/>
      <c r="CZ335" s="148"/>
      <c r="DA335" s="148"/>
      <c r="DB335" s="148"/>
      <c r="DC335" s="148"/>
      <c r="DD335" s="148"/>
      <c r="DE335" s="148"/>
      <c r="DF335" s="148"/>
      <c r="DG335" s="148"/>
      <c r="DH335" s="148"/>
      <c r="DI335" s="148"/>
      <c r="DJ335" s="148"/>
      <c r="DK335" s="148"/>
      <c r="DL335" s="148"/>
      <c r="DM335" s="148"/>
      <c r="DN335" s="148"/>
      <c r="DO335" s="148"/>
      <c r="DP335" s="148"/>
      <c r="DQ335" s="148"/>
      <c r="DR335" s="148"/>
      <c r="DS335" s="148"/>
      <c r="DT335" s="148"/>
      <c r="DU335" s="148"/>
      <c r="DV335" s="148"/>
      <c r="DW335" s="148"/>
      <c r="DX335" s="148"/>
      <c r="DY335" s="148"/>
      <c r="DZ335" s="148"/>
      <c r="EA335" s="148"/>
      <c r="EB335" s="148"/>
      <c r="EC335" s="148"/>
      <c r="ED335" s="148"/>
      <c r="EE335" s="148"/>
      <c r="EF335" s="148"/>
      <c r="EG335" s="148"/>
      <c r="EH335" s="148"/>
      <c r="EI335" s="148"/>
      <c r="EJ335" s="148"/>
      <c r="EK335" s="148"/>
      <c r="EL335" s="148"/>
      <c r="EM335" s="148"/>
      <c r="EN335" s="148"/>
      <c r="EO335" s="148"/>
      <c r="EP335" s="148"/>
      <c r="EQ335" s="148"/>
      <c r="ER335" s="148"/>
      <c r="ES335" s="148"/>
      <c r="ET335" s="148"/>
      <c r="EU335" s="148"/>
      <c r="EV335" s="148"/>
      <c r="EW335" s="148"/>
      <c r="EX335" s="148"/>
      <c r="EY335" s="148"/>
      <c r="EZ335" s="148"/>
      <c r="FA335" s="148"/>
      <c r="FB335" s="148"/>
      <c r="FC335" s="148"/>
      <c r="FD335" s="148"/>
      <c r="FE335" s="148"/>
      <c r="FF335" s="148"/>
      <c r="FG335" s="148"/>
      <c r="FH335" s="148"/>
      <c r="FI335" s="148"/>
      <c r="FJ335" s="148"/>
      <c r="FK335" s="148"/>
      <c r="FL335" s="148"/>
      <c r="FM335" s="148"/>
      <c r="FN335" s="148"/>
      <c r="FO335" s="148"/>
      <c r="FP335" s="148"/>
      <c r="FQ335" s="148"/>
      <c r="FR335" s="148"/>
      <c r="FS335" s="148"/>
      <c r="FT335" s="148"/>
      <c r="FU335" s="148"/>
      <c r="FV335" s="148"/>
      <c r="FW335" s="148"/>
      <c r="FX335" s="148"/>
      <c r="FY335" s="148"/>
      <c r="FZ335" s="148"/>
      <c r="GA335" s="148"/>
      <c r="GB335" s="148"/>
      <c r="GC335" s="148"/>
      <c r="GD335" s="148"/>
      <c r="GE335" s="148"/>
      <c r="GF335" s="148"/>
      <c r="GG335" s="149"/>
    </row>
    <row r="336" spans="1:189" x14ac:dyDescent="0.35">
      <c r="A336" s="270" t="s">
        <v>891</v>
      </c>
      <c r="B336" s="236"/>
      <c r="C336" s="236"/>
      <c r="D336" s="237"/>
      <c r="E336" s="236" t="s">
        <v>821</v>
      </c>
      <c r="F336" s="236" t="s">
        <v>854</v>
      </c>
      <c r="G336" s="238">
        <v>2</v>
      </c>
      <c r="H336" s="239"/>
      <c r="I336" s="240"/>
      <c r="J336" s="240"/>
      <c r="K336" s="240"/>
      <c r="L336" s="241"/>
      <c r="M336" s="241"/>
      <c r="N336" s="241"/>
      <c r="O336" s="241"/>
      <c r="P336" s="241"/>
      <c r="Q336" s="242"/>
      <c r="R336" s="243"/>
      <c r="S336" s="243"/>
      <c r="T336" s="243"/>
      <c r="U336" s="191">
        <f t="shared" si="318"/>
        <v>0</v>
      </c>
      <c r="V336" s="244"/>
      <c r="W336" s="245"/>
      <c r="X336" s="46"/>
      <c r="Y336" s="167">
        <f t="shared" si="319"/>
        <v>0</v>
      </c>
      <c r="Z336" s="167">
        <f t="shared" si="320"/>
        <v>0</v>
      </c>
      <c r="AA336" s="167">
        <f t="shared" si="321"/>
        <v>0</v>
      </c>
      <c r="AB336" s="167">
        <f t="shared" si="322"/>
        <v>0</v>
      </c>
      <c r="AC336" s="167">
        <f t="shared" si="323"/>
        <v>0</v>
      </c>
      <c r="AD336" s="167">
        <f t="shared" si="324"/>
        <v>0</v>
      </c>
      <c r="AF336" s="47">
        <f t="shared" si="396"/>
        <v>0</v>
      </c>
      <c r="AG336" s="202" t="str">
        <f t="shared" si="397"/>
        <v xml:space="preserve"> Construction services</v>
      </c>
      <c r="AH336" s="172"/>
      <c r="AI336" s="173"/>
      <c r="AJ336" s="173"/>
      <c r="AK336" s="173"/>
      <c r="AL336" s="173"/>
      <c r="AM336" s="173"/>
      <c r="AN336" s="173"/>
      <c r="AO336" s="173"/>
      <c r="AP336" s="173"/>
      <c r="AQ336" s="173"/>
      <c r="AR336" s="173"/>
      <c r="AS336" s="173"/>
      <c r="AT336" s="173"/>
      <c r="AU336" s="173"/>
      <c r="AV336" s="173"/>
      <c r="AW336" s="173"/>
      <c r="AX336" s="173"/>
      <c r="AY336" s="173"/>
      <c r="AZ336" s="173"/>
      <c r="BA336" s="173"/>
      <c r="BB336" s="173"/>
      <c r="BC336" s="173"/>
      <c r="BD336" s="173"/>
      <c r="BE336" s="173"/>
      <c r="BF336" s="173"/>
      <c r="BG336" s="173"/>
      <c r="BH336" s="173"/>
      <c r="BI336" s="173"/>
      <c r="BJ336" s="173"/>
      <c r="BK336" s="173"/>
      <c r="BL336" s="173"/>
      <c r="BM336" s="173"/>
      <c r="BN336" s="173"/>
      <c r="BO336" s="173"/>
      <c r="BP336" s="173"/>
      <c r="BQ336" s="173"/>
      <c r="BR336" s="173"/>
      <c r="BS336" s="173"/>
      <c r="BT336" s="173"/>
      <c r="BU336" s="173"/>
      <c r="BV336" s="173"/>
      <c r="BW336" s="173"/>
      <c r="BX336" s="173"/>
      <c r="BY336" s="173"/>
      <c r="BZ336" s="173"/>
      <c r="CA336" s="173"/>
      <c r="CB336" s="173"/>
      <c r="CC336" s="173"/>
      <c r="CD336" s="173"/>
      <c r="CE336" s="173"/>
      <c r="CF336" s="173"/>
      <c r="CG336" s="173"/>
      <c r="CH336" s="173"/>
      <c r="CI336" s="173"/>
      <c r="CJ336" s="173"/>
      <c r="CK336" s="173"/>
      <c r="CL336" s="173"/>
      <c r="CM336" s="173"/>
      <c r="CN336" s="173"/>
      <c r="CO336" s="173"/>
      <c r="CP336" s="173"/>
      <c r="CQ336" s="173"/>
      <c r="CR336" s="173"/>
      <c r="CS336" s="173"/>
      <c r="CT336" s="173"/>
      <c r="CU336" s="173"/>
      <c r="CV336" s="173"/>
      <c r="CW336" s="173"/>
      <c r="CX336" s="173"/>
      <c r="CY336" s="148"/>
      <c r="CZ336" s="148"/>
      <c r="DA336" s="148"/>
      <c r="DB336" s="148"/>
      <c r="DC336" s="148"/>
      <c r="DD336" s="148"/>
      <c r="DE336" s="148"/>
      <c r="DF336" s="148"/>
      <c r="DG336" s="148"/>
      <c r="DH336" s="148"/>
      <c r="DI336" s="148"/>
      <c r="DJ336" s="148"/>
      <c r="DK336" s="148"/>
      <c r="DL336" s="148"/>
      <c r="DM336" s="148"/>
      <c r="DN336" s="148"/>
      <c r="DO336" s="148"/>
      <c r="DP336" s="148"/>
      <c r="DQ336" s="148"/>
      <c r="DR336" s="148"/>
      <c r="DS336" s="148"/>
      <c r="DT336" s="148"/>
      <c r="DU336" s="148"/>
      <c r="DV336" s="148"/>
      <c r="DW336" s="148"/>
      <c r="DX336" s="148"/>
      <c r="DY336" s="148"/>
      <c r="DZ336" s="148"/>
      <c r="EA336" s="148"/>
      <c r="EB336" s="148"/>
      <c r="EC336" s="148"/>
      <c r="ED336" s="148"/>
      <c r="EE336" s="148"/>
      <c r="EF336" s="148"/>
      <c r="EG336" s="148"/>
      <c r="EH336" s="148"/>
      <c r="EI336" s="148"/>
      <c r="EJ336" s="148"/>
      <c r="EK336" s="148"/>
      <c r="EL336" s="148"/>
      <c r="EM336" s="148"/>
      <c r="EN336" s="148"/>
      <c r="EO336" s="148"/>
      <c r="EP336" s="148"/>
      <c r="EQ336" s="148"/>
      <c r="ER336" s="148"/>
      <c r="ES336" s="151"/>
      <c r="ET336" s="151"/>
      <c r="EU336" s="151"/>
      <c r="EV336" s="151"/>
      <c r="EW336" s="151"/>
      <c r="EX336" s="151"/>
      <c r="EY336" s="151"/>
      <c r="EZ336" s="151"/>
      <c r="FA336" s="151"/>
      <c r="FB336" s="151"/>
      <c r="FC336" s="151"/>
      <c r="FD336" s="151"/>
      <c r="FE336" s="151"/>
      <c r="FF336" s="151"/>
      <c r="FG336" s="151"/>
      <c r="FH336" s="151"/>
      <c r="FI336" s="151"/>
      <c r="FJ336" s="151"/>
      <c r="FK336" s="151"/>
      <c r="FL336" s="151"/>
      <c r="FM336" s="151"/>
      <c r="FN336" s="151"/>
      <c r="FO336" s="151"/>
      <c r="FP336" s="151"/>
      <c r="FQ336" s="151"/>
      <c r="FR336" s="151"/>
      <c r="FS336" s="151"/>
      <c r="FT336" s="151"/>
      <c r="FU336" s="151"/>
      <c r="FV336" s="151"/>
      <c r="FW336" s="151"/>
      <c r="FX336" s="151"/>
      <c r="FY336" s="151"/>
      <c r="FZ336" s="151"/>
      <c r="GA336" s="151"/>
      <c r="GB336" s="151"/>
      <c r="GC336" s="151"/>
      <c r="GD336" s="151"/>
      <c r="GE336" s="151"/>
      <c r="GF336" s="151"/>
      <c r="GG336" s="152"/>
    </row>
    <row r="337" spans="1:189" x14ac:dyDescent="0.35">
      <c r="A337" s="297" t="s">
        <v>892</v>
      </c>
      <c r="B337" s="298" t="s">
        <v>1051</v>
      </c>
      <c r="C337" s="298" t="s">
        <v>1064</v>
      </c>
      <c r="D337" s="299"/>
      <c r="E337" s="298" t="s">
        <v>1163</v>
      </c>
      <c r="F337" s="298" t="s">
        <v>1164</v>
      </c>
      <c r="G337" s="300">
        <v>2</v>
      </c>
      <c r="H337" s="301" t="s">
        <v>870</v>
      </c>
      <c r="I337" s="302"/>
      <c r="J337" s="302"/>
      <c r="K337" s="302"/>
      <c r="L337" s="303">
        <v>45995</v>
      </c>
      <c r="M337" s="303">
        <v>46022</v>
      </c>
      <c r="N337" s="303">
        <v>46022</v>
      </c>
      <c r="O337" s="303">
        <v>46023</v>
      </c>
      <c r="P337" s="303">
        <v>46934</v>
      </c>
      <c r="Q337" s="304" t="s">
        <v>20</v>
      </c>
      <c r="R337" s="305">
        <v>350000</v>
      </c>
      <c r="S337" s="305">
        <v>350000</v>
      </c>
      <c r="T337" s="305">
        <v>505550</v>
      </c>
      <c r="U337" s="191">
        <f t="shared" si="318"/>
        <v>-155550</v>
      </c>
      <c r="V337" s="306"/>
      <c r="W337" s="307"/>
      <c r="X337" s="46"/>
      <c r="Y337" s="167">
        <f t="shared" si="319"/>
        <v>350000</v>
      </c>
      <c r="Z337" s="167">
        <f t="shared" si="320"/>
        <v>505550</v>
      </c>
      <c r="AA337" s="167">
        <f t="shared" si="321"/>
        <v>-155550</v>
      </c>
      <c r="AB337" s="167">
        <f t="shared" si="322"/>
        <v>0</v>
      </c>
      <c r="AC337" s="167">
        <f t="shared" si="323"/>
        <v>0</v>
      </c>
      <c r="AD337" s="167">
        <f t="shared" si="324"/>
        <v>0</v>
      </c>
      <c r="AF337" s="47">
        <f t="shared" si="396"/>
        <v>1</v>
      </c>
      <c r="AG337" s="202" t="str">
        <f t="shared" si="397"/>
        <v>Roger Gołombek Surveying ECd_06</v>
      </c>
      <c r="AH337" s="147"/>
      <c r="AI337" s="148"/>
      <c r="AJ337" s="148"/>
      <c r="AK337" s="148"/>
      <c r="AL337" s="148"/>
      <c r="AM337" s="148"/>
      <c r="AN337" s="148"/>
      <c r="AO337" s="148"/>
      <c r="AP337" s="148"/>
      <c r="AQ337" s="148"/>
      <c r="AR337" s="148"/>
      <c r="AS337" s="148"/>
      <c r="AT337" s="148"/>
      <c r="AU337" s="148"/>
      <c r="AV337" s="148"/>
      <c r="AW337" s="148"/>
      <c r="AX337" s="148"/>
      <c r="AY337" s="148"/>
      <c r="AZ337" s="148"/>
      <c r="BA337" s="148"/>
      <c r="BB337" s="148"/>
      <c r="BC337" s="148"/>
      <c r="BD337" s="148"/>
      <c r="BE337" s="148"/>
      <c r="BF337" s="148"/>
      <c r="BG337" s="148"/>
      <c r="BH337" s="148"/>
      <c r="BI337" s="148"/>
      <c r="BJ337" s="148"/>
      <c r="BK337" s="148"/>
      <c r="BL337" s="148"/>
      <c r="BM337" s="148"/>
      <c r="BN337" s="148"/>
      <c r="BO337" s="148"/>
      <c r="BP337" s="148"/>
      <c r="BQ337" s="148"/>
      <c r="BR337" s="148"/>
      <c r="BS337" s="148"/>
      <c r="BT337" s="148"/>
      <c r="BU337" s="148"/>
      <c r="BV337" s="148"/>
      <c r="BW337" s="148"/>
      <c r="BX337" s="148"/>
      <c r="BY337" s="148"/>
      <c r="BZ337" s="148"/>
      <c r="CA337" s="148"/>
      <c r="CB337" s="148"/>
      <c r="CC337" s="148"/>
      <c r="CD337" s="148"/>
      <c r="CE337" s="148"/>
      <c r="CF337" s="148"/>
      <c r="CG337" s="148"/>
      <c r="CH337" s="148"/>
      <c r="CI337" s="148"/>
      <c r="CJ337" s="148"/>
      <c r="CK337" s="148"/>
      <c r="CL337" s="148"/>
      <c r="CM337" s="148"/>
      <c r="CN337" s="148"/>
      <c r="CO337" s="148"/>
      <c r="CP337" s="148"/>
      <c r="CQ337" s="148"/>
      <c r="CR337" s="148"/>
      <c r="CS337" s="148"/>
      <c r="CT337" s="148"/>
      <c r="CU337" s="148"/>
      <c r="CV337" s="148"/>
      <c r="CW337" s="148"/>
      <c r="CX337" s="148"/>
      <c r="CY337" s="148"/>
      <c r="CZ337" s="148"/>
      <c r="DA337" s="148"/>
      <c r="DB337" s="148"/>
      <c r="DC337" s="148"/>
      <c r="DD337" s="148"/>
      <c r="DE337" s="148"/>
      <c r="DF337" s="148"/>
      <c r="DG337" s="148"/>
      <c r="DH337" s="148"/>
      <c r="DI337" s="148"/>
      <c r="DJ337" s="148"/>
      <c r="DK337" s="148"/>
      <c r="DL337" s="148"/>
      <c r="DM337" s="148"/>
      <c r="DN337" s="148"/>
      <c r="DO337" s="148"/>
      <c r="DP337" s="148"/>
      <c r="DQ337" s="148"/>
      <c r="DR337" s="148"/>
      <c r="DS337" s="148"/>
      <c r="DT337" s="148"/>
      <c r="DU337" s="148"/>
      <c r="DV337" s="148"/>
      <c r="DW337" s="148"/>
      <c r="DX337" s="148"/>
      <c r="DY337" s="148"/>
      <c r="DZ337" s="148"/>
      <c r="EA337" s="148"/>
      <c r="EB337" s="148"/>
      <c r="EC337" s="148"/>
      <c r="ED337" s="148"/>
      <c r="EE337" s="148"/>
      <c r="EF337" s="148"/>
      <c r="EG337" s="148"/>
      <c r="EH337" s="148"/>
      <c r="EI337" s="148"/>
      <c r="EJ337" s="148"/>
      <c r="EK337" s="148"/>
      <c r="EL337" s="148"/>
      <c r="EM337" s="148"/>
      <c r="EN337" s="148"/>
      <c r="EO337" s="148"/>
      <c r="EP337" s="148"/>
      <c r="EQ337" s="148"/>
      <c r="ER337" s="148"/>
      <c r="ES337" s="148"/>
      <c r="ET337" s="148"/>
      <c r="EU337" s="148"/>
      <c r="EV337" s="148"/>
      <c r="EW337" s="148"/>
      <c r="EX337" s="148"/>
      <c r="EY337" s="148"/>
      <c r="EZ337" s="148"/>
      <c r="FA337" s="148"/>
      <c r="FB337" s="148"/>
      <c r="FC337" s="148"/>
      <c r="FD337" s="148"/>
      <c r="FE337" s="148"/>
      <c r="FF337" s="148"/>
      <c r="FG337" s="148"/>
      <c r="FH337" s="148"/>
      <c r="FI337" s="148"/>
      <c r="FJ337" s="148"/>
      <c r="FK337" s="148"/>
      <c r="FL337" s="148"/>
      <c r="FM337" s="148"/>
      <c r="FN337" s="148"/>
      <c r="FO337" s="148"/>
      <c r="FP337" s="148"/>
      <c r="FQ337" s="148"/>
      <c r="FR337" s="148"/>
      <c r="FS337" s="148"/>
      <c r="FT337" s="148"/>
      <c r="FU337" s="148"/>
      <c r="FV337" s="148"/>
      <c r="FW337" s="148"/>
      <c r="FX337" s="148"/>
      <c r="FY337" s="148"/>
      <c r="FZ337" s="148"/>
      <c r="GA337" s="148"/>
      <c r="GB337" s="148"/>
      <c r="GC337" s="148"/>
      <c r="GD337" s="148"/>
      <c r="GE337" s="148"/>
      <c r="GF337" s="148"/>
      <c r="GG337" s="149"/>
    </row>
    <row r="338" spans="1:189" x14ac:dyDescent="0.35">
      <c r="A338" s="297" t="s">
        <v>909</v>
      </c>
      <c r="B338" s="298" t="s">
        <v>1071</v>
      </c>
      <c r="C338" s="298" t="s">
        <v>1064</v>
      </c>
      <c r="D338" s="299"/>
      <c r="E338" s="298" t="s">
        <v>822</v>
      </c>
      <c r="F338" s="298" t="s">
        <v>855</v>
      </c>
      <c r="G338" s="300">
        <v>2</v>
      </c>
      <c r="H338" s="301"/>
      <c r="I338" s="302"/>
      <c r="J338" s="302"/>
      <c r="K338" s="302"/>
      <c r="L338" s="303">
        <v>45995</v>
      </c>
      <c r="M338" s="303">
        <v>46022</v>
      </c>
      <c r="N338" s="303"/>
      <c r="O338" s="303">
        <v>46023</v>
      </c>
      <c r="P338" s="303">
        <v>46934</v>
      </c>
      <c r="Q338" s="304" t="s">
        <v>20</v>
      </c>
      <c r="R338" s="305">
        <v>50000</v>
      </c>
      <c r="S338" s="305">
        <f>50000-SUM(S339:S340)</f>
        <v>0</v>
      </c>
      <c r="T338" s="305">
        <v>0</v>
      </c>
      <c r="U338" s="191">
        <f t="shared" si="318"/>
        <v>0</v>
      </c>
      <c r="V338" s="306"/>
      <c r="W338" s="307"/>
      <c r="X338" s="46"/>
      <c r="Y338" s="167">
        <f t="shared" si="319"/>
        <v>0</v>
      </c>
      <c r="Z338" s="167">
        <f t="shared" si="320"/>
        <v>0</v>
      </c>
      <c r="AA338" s="167">
        <f t="shared" si="321"/>
        <v>0</v>
      </c>
      <c r="AB338" s="167">
        <f t="shared" si="322"/>
        <v>0</v>
      </c>
      <c r="AC338" s="167">
        <f t="shared" si="323"/>
        <v>0</v>
      </c>
      <c r="AD338" s="167">
        <f t="shared" si="324"/>
        <v>0</v>
      </c>
      <c r="AF338" s="47">
        <f t="shared" si="396"/>
        <v>1</v>
      </c>
      <c r="AG338" s="202" t="str">
        <f t="shared" si="397"/>
        <v>Magdalena Białorucka Laboratory</v>
      </c>
      <c r="AH338" s="147"/>
      <c r="AI338" s="148"/>
      <c r="AJ338" s="148"/>
      <c r="AK338" s="148"/>
      <c r="AL338" s="148"/>
      <c r="AM338" s="148"/>
      <c r="AN338" s="148"/>
      <c r="AO338" s="148"/>
      <c r="AP338" s="148"/>
      <c r="AQ338" s="148"/>
      <c r="AR338" s="148"/>
      <c r="AS338" s="148"/>
      <c r="AT338" s="148"/>
      <c r="AU338" s="148"/>
      <c r="AV338" s="148"/>
      <c r="AW338" s="148"/>
      <c r="AX338" s="148"/>
      <c r="AY338" s="148"/>
      <c r="AZ338" s="148"/>
      <c r="BA338" s="148"/>
      <c r="BB338" s="148"/>
      <c r="BC338" s="148"/>
      <c r="BD338" s="148"/>
      <c r="BE338" s="148"/>
      <c r="BF338" s="148"/>
      <c r="BG338" s="148"/>
      <c r="BH338" s="148"/>
      <c r="BI338" s="148"/>
      <c r="BJ338" s="148"/>
      <c r="BK338" s="148"/>
      <c r="BL338" s="148"/>
      <c r="BM338" s="148"/>
      <c r="BN338" s="148"/>
      <c r="BO338" s="148"/>
      <c r="BP338" s="148"/>
      <c r="BQ338" s="148"/>
      <c r="BR338" s="148"/>
      <c r="BS338" s="148"/>
      <c r="BT338" s="148"/>
      <c r="BU338" s="148"/>
      <c r="BV338" s="148"/>
      <c r="BW338" s="148"/>
      <c r="BX338" s="148"/>
      <c r="BY338" s="148"/>
      <c r="BZ338" s="148"/>
      <c r="CA338" s="148"/>
      <c r="CB338" s="148"/>
      <c r="CC338" s="148"/>
      <c r="CD338" s="148"/>
      <c r="CE338" s="148"/>
      <c r="CF338" s="148"/>
      <c r="CG338" s="148"/>
      <c r="CH338" s="148"/>
      <c r="CI338" s="148"/>
      <c r="CJ338" s="148"/>
      <c r="CK338" s="148"/>
      <c r="CL338" s="148"/>
      <c r="CM338" s="148"/>
      <c r="CN338" s="148"/>
      <c r="CO338" s="148"/>
      <c r="CP338" s="148"/>
      <c r="CQ338" s="148"/>
      <c r="CR338" s="148"/>
      <c r="CS338" s="148"/>
      <c r="CT338" s="148"/>
      <c r="CU338" s="148"/>
      <c r="CV338" s="148"/>
      <c r="CW338" s="148"/>
      <c r="CX338" s="148"/>
      <c r="CY338" s="148"/>
      <c r="CZ338" s="148"/>
      <c r="DA338" s="148"/>
      <c r="DB338" s="148"/>
      <c r="DC338" s="148"/>
      <c r="DD338" s="148"/>
      <c r="DE338" s="148"/>
      <c r="DF338" s="148"/>
      <c r="DG338" s="148"/>
      <c r="DH338" s="148"/>
      <c r="DI338" s="148"/>
      <c r="DJ338" s="148"/>
      <c r="DK338" s="148"/>
      <c r="DL338" s="148"/>
      <c r="DM338" s="148"/>
      <c r="DN338" s="148"/>
      <c r="DO338" s="148"/>
      <c r="DP338" s="148"/>
      <c r="DQ338" s="148"/>
      <c r="DR338" s="148"/>
      <c r="DS338" s="148"/>
      <c r="DT338" s="148"/>
      <c r="DU338" s="148"/>
      <c r="DV338" s="148"/>
      <c r="DW338" s="148"/>
      <c r="DX338" s="148"/>
      <c r="DY338" s="148"/>
      <c r="DZ338" s="148"/>
      <c r="EA338" s="148"/>
      <c r="EB338" s="148"/>
      <c r="EC338" s="148"/>
      <c r="ED338" s="148"/>
      <c r="EE338" s="148"/>
      <c r="EF338" s="148"/>
      <c r="EG338" s="148"/>
      <c r="EH338" s="148"/>
      <c r="EI338" s="148"/>
      <c r="EJ338" s="148"/>
      <c r="EK338" s="148"/>
      <c r="EL338" s="148"/>
      <c r="EM338" s="148"/>
      <c r="EN338" s="148"/>
      <c r="EO338" s="148"/>
      <c r="EP338" s="148"/>
      <c r="EQ338" s="148"/>
      <c r="ER338" s="148"/>
      <c r="ES338" s="148"/>
      <c r="ET338" s="148"/>
      <c r="EU338" s="148"/>
      <c r="EV338" s="148"/>
      <c r="EW338" s="148"/>
      <c r="EX338" s="148"/>
      <c r="EY338" s="148"/>
      <c r="EZ338" s="148"/>
      <c r="FA338" s="148"/>
      <c r="FB338" s="148"/>
      <c r="FC338" s="148"/>
      <c r="FD338" s="148"/>
      <c r="FE338" s="148"/>
      <c r="FF338" s="148"/>
      <c r="FG338" s="148"/>
      <c r="FH338" s="148"/>
      <c r="FI338" s="148"/>
      <c r="FJ338" s="148"/>
      <c r="FK338" s="148"/>
      <c r="FL338" s="148"/>
      <c r="FM338" s="148"/>
      <c r="FN338" s="148"/>
      <c r="FO338" s="148"/>
      <c r="FP338" s="148"/>
      <c r="FQ338" s="148"/>
      <c r="FR338" s="148"/>
      <c r="FS338" s="148"/>
      <c r="FT338" s="148"/>
      <c r="FU338" s="148"/>
      <c r="FV338" s="148"/>
      <c r="FW338" s="148"/>
      <c r="FX338" s="148"/>
      <c r="FY338" s="148"/>
      <c r="FZ338" s="148"/>
      <c r="GA338" s="148"/>
      <c r="GB338" s="148"/>
      <c r="GC338" s="148"/>
      <c r="GD338" s="148"/>
      <c r="GE338" s="148"/>
      <c r="GF338" s="148"/>
      <c r="GG338" s="149"/>
    </row>
    <row r="339" spans="1:189" x14ac:dyDescent="0.35">
      <c r="A339" s="267" t="s">
        <v>1226</v>
      </c>
      <c r="B339" s="221"/>
      <c r="C339" s="221"/>
      <c r="D339" s="222"/>
      <c r="E339" s="221" t="s">
        <v>1229</v>
      </c>
      <c r="F339" s="221" t="s">
        <v>1228</v>
      </c>
      <c r="G339" s="223">
        <v>2</v>
      </c>
      <c r="H339" s="224" t="s">
        <v>1230</v>
      </c>
      <c r="I339" s="225"/>
      <c r="J339" s="225"/>
      <c r="K339" s="225"/>
      <c r="L339" s="226">
        <v>46023</v>
      </c>
      <c r="M339" s="226">
        <v>46050</v>
      </c>
      <c r="N339" s="226"/>
      <c r="O339" s="226">
        <v>46054</v>
      </c>
      <c r="P339" s="226">
        <v>46934</v>
      </c>
      <c r="Q339" s="227" t="s">
        <v>20</v>
      </c>
      <c r="R339" s="228"/>
      <c r="S339" s="228">
        <v>13280</v>
      </c>
      <c r="T339" s="228">
        <v>13280</v>
      </c>
      <c r="U339" s="191">
        <f t="shared" si="318"/>
        <v>0</v>
      </c>
      <c r="V339" s="230"/>
      <c r="W339" s="231"/>
      <c r="X339" s="46"/>
      <c r="Y339" s="167">
        <f t="shared" ref="Y339" si="416">IF(G339=2,S339,0)</f>
        <v>13280</v>
      </c>
      <c r="Z339" s="167">
        <f t="shared" ref="Z339" si="417">IF(Q339="",0,IF(G339=2,T339,0))</f>
        <v>13280</v>
      </c>
      <c r="AA339" s="167">
        <f t="shared" ref="AA339" si="418">Y339-Z339</f>
        <v>0</v>
      </c>
      <c r="AB339" s="167">
        <f t="shared" ref="AB339" si="419">IF(G339=1,S339,0)</f>
        <v>0</v>
      </c>
      <c r="AC339" s="167">
        <f t="shared" ref="AC339" si="420">IF(Q339="",0,IF(G339=1,T339,0))</f>
        <v>0</v>
      </c>
      <c r="AD339" s="167">
        <f t="shared" ref="AD339" si="421">AB339-AC339</f>
        <v>0</v>
      </c>
      <c r="AF339" s="47">
        <f t="shared" si="396"/>
        <v>1</v>
      </c>
      <c r="AG339" s="202" t="str">
        <f t="shared" si="397"/>
        <v xml:space="preserve"> Installation of piezometers ECd_25</v>
      </c>
      <c r="AH339" s="147"/>
      <c r="AI339" s="148"/>
      <c r="AJ339" s="148"/>
      <c r="AK339" s="148"/>
      <c r="AL339" s="148"/>
      <c r="AM339" s="148"/>
      <c r="AN339" s="148"/>
      <c r="AO339" s="148"/>
      <c r="AP339" s="148"/>
      <c r="AQ339" s="148"/>
      <c r="AR339" s="148"/>
      <c r="AS339" s="148"/>
      <c r="AT339" s="148"/>
      <c r="AU339" s="148"/>
      <c r="AV339" s="148"/>
      <c r="AW339" s="148"/>
      <c r="AX339" s="148"/>
      <c r="AY339" s="148"/>
      <c r="AZ339" s="148"/>
      <c r="BA339" s="148"/>
      <c r="BB339" s="148"/>
      <c r="BC339" s="148"/>
      <c r="BD339" s="148"/>
      <c r="BE339" s="148"/>
      <c r="BF339" s="148"/>
      <c r="BG339" s="148"/>
      <c r="BH339" s="148"/>
      <c r="BI339" s="148"/>
      <c r="BJ339" s="148"/>
      <c r="BK339" s="148"/>
      <c r="BL339" s="148"/>
      <c r="BM339" s="148"/>
      <c r="BN339" s="148"/>
      <c r="BO339" s="148"/>
      <c r="BP339" s="148"/>
      <c r="BQ339" s="148"/>
      <c r="BR339" s="148"/>
      <c r="BS339" s="148"/>
      <c r="BT339" s="148"/>
      <c r="BU339" s="148"/>
      <c r="BV339" s="148"/>
      <c r="BW339" s="148"/>
      <c r="BX339" s="148"/>
      <c r="BY339" s="148"/>
      <c r="BZ339" s="148"/>
      <c r="CA339" s="148"/>
      <c r="CB339" s="148"/>
      <c r="CC339" s="148"/>
      <c r="CD339" s="148"/>
      <c r="CE339" s="148"/>
      <c r="CF339" s="148"/>
      <c r="CG339" s="148"/>
      <c r="CH339" s="148"/>
      <c r="CI339" s="148"/>
      <c r="CJ339" s="148"/>
      <c r="CK339" s="148"/>
      <c r="CL339" s="148"/>
      <c r="CM339" s="148"/>
      <c r="CN339" s="148"/>
      <c r="CO339" s="148"/>
      <c r="CP339" s="148"/>
      <c r="CQ339" s="148"/>
      <c r="CR339" s="148"/>
      <c r="CS339" s="148"/>
      <c r="CT339" s="148"/>
      <c r="CU339" s="148"/>
      <c r="CV339" s="148"/>
      <c r="CW339" s="148"/>
      <c r="CX339" s="148"/>
      <c r="CY339" s="148"/>
      <c r="CZ339" s="148"/>
      <c r="DA339" s="148"/>
      <c r="DB339" s="148"/>
      <c r="DC339" s="148"/>
      <c r="DD339" s="148"/>
      <c r="DE339" s="148"/>
      <c r="DF339" s="148"/>
      <c r="DG339" s="148"/>
      <c r="DH339" s="148"/>
      <c r="DI339" s="148"/>
      <c r="DJ339" s="148"/>
      <c r="DK339" s="148"/>
      <c r="DL339" s="148"/>
      <c r="DM339" s="148"/>
      <c r="DN339" s="148"/>
      <c r="DO339" s="148"/>
      <c r="DP339" s="148"/>
      <c r="DQ339" s="148"/>
      <c r="DR339" s="148"/>
      <c r="DS339" s="148"/>
      <c r="DT339" s="148"/>
      <c r="DU339" s="148"/>
      <c r="DV339" s="148"/>
      <c r="DW339" s="148"/>
      <c r="DX339" s="148"/>
      <c r="DY339" s="148"/>
      <c r="DZ339" s="148"/>
      <c r="EA339" s="148"/>
      <c r="EB339" s="148"/>
      <c r="EC339" s="148"/>
      <c r="ED339" s="148"/>
      <c r="EE339" s="148"/>
      <c r="EF339" s="148"/>
      <c r="EG339" s="148"/>
      <c r="EH339" s="148"/>
      <c r="EI339" s="148"/>
      <c r="EJ339" s="148"/>
      <c r="EK339" s="148"/>
      <c r="EL339" s="148"/>
      <c r="EM339" s="148"/>
      <c r="EN339" s="148"/>
      <c r="EO339" s="148"/>
      <c r="EP339" s="148"/>
      <c r="EQ339" s="148"/>
      <c r="ER339" s="148"/>
      <c r="ES339" s="148"/>
      <c r="ET339" s="148"/>
      <c r="EU339" s="148"/>
      <c r="EV339" s="148"/>
      <c r="EW339" s="148"/>
      <c r="EX339" s="148"/>
      <c r="EY339" s="148"/>
      <c r="EZ339" s="148"/>
      <c r="FA339" s="148"/>
      <c r="FB339" s="148"/>
      <c r="FC339" s="148"/>
      <c r="FD339" s="148"/>
      <c r="FE339" s="148"/>
      <c r="FF339" s="148"/>
      <c r="FG339" s="148"/>
      <c r="FH339" s="148"/>
      <c r="FI339" s="148"/>
      <c r="FJ339" s="148"/>
      <c r="FK339" s="148"/>
      <c r="FL339" s="148"/>
      <c r="FM339" s="148"/>
      <c r="FN339" s="148"/>
      <c r="FO339" s="148"/>
      <c r="FP339" s="148"/>
      <c r="FQ339" s="148"/>
      <c r="FR339" s="148"/>
      <c r="FS339" s="148"/>
      <c r="FT339" s="148"/>
      <c r="FU339" s="148"/>
      <c r="FV339" s="148"/>
      <c r="FW339" s="148"/>
      <c r="FX339" s="148"/>
      <c r="FY339" s="148"/>
      <c r="FZ339" s="148"/>
      <c r="GA339" s="148"/>
      <c r="GB339" s="148"/>
      <c r="GC339" s="148"/>
      <c r="GD339" s="148"/>
      <c r="GE339" s="148"/>
      <c r="GF339" s="148"/>
      <c r="GG339" s="149"/>
    </row>
    <row r="340" spans="1:189" x14ac:dyDescent="0.35">
      <c r="A340" s="267" t="s">
        <v>1227</v>
      </c>
      <c r="B340" s="221"/>
      <c r="C340" s="221"/>
      <c r="D340" s="222"/>
      <c r="E340" s="221" t="s">
        <v>1282</v>
      </c>
      <c r="F340" s="221" t="s">
        <v>1283</v>
      </c>
      <c r="G340" s="223">
        <v>2</v>
      </c>
      <c r="H340" s="224" t="s">
        <v>1284</v>
      </c>
      <c r="I340" s="225"/>
      <c r="J340" s="225"/>
      <c r="K340" s="225"/>
      <c r="L340" s="226">
        <v>46023</v>
      </c>
      <c r="M340" s="226">
        <v>46063</v>
      </c>
      <c r="N340" s="226"/>
      <c r="O340" s="226">
        <v>46063</v>
      </c>
      <c r="P340" s="226">
        <v>46934</v>
      </c>
      <c r="Q340" s="227" t="s">
        <v>20</v>
      </c>
      <c r="R340" s="228"/>
      <c r="S340" s="228">
        <v>36720</v>
      </c>
      <c r="T340" s="228">
        <v>49500</v>
      </c>
      <c r="U340" s="191">
        <f t="shared" ref="U340" si="422">IF(Q340="",0,IF(T340="",0,+S340-T340))</f>
        <v>-12780</v>
      </c>
      <c r="V340" s="230"/>
      <c r="W340" s="231"/>
      <c r="X340" s="46"/>
      <c r="Y340" s="167">
        <f t="shared" ref="Y340" si="423">IF(G340=2,S340,0)</f>
        <v>36720</v>
      </c>
      <c r="Z340" s="167">
        <f t="shared" ref="Z340" si="424">IF(Q340="",0,IF(G340=2,T340,0))</f>
        <v>49500</v>
      </c>
      <c r="AA340" s="167">
        <f t="shared" ref="AA340" si="425">Y340-Z340</f>
        <v>-12780</v>
      </c>
      <c r="AB340" s="167">
        <f t="shared" ref="AB340" si="426">IF(G340=1,S340,0)</f>
        <v>0</v>
      </c>
      <c r="AC340" s="167">
        <f t="shared" ref="AC340" si="427">IF(Q340="",0,IF(G340=1,T340,0))</f>
        <v>0</v>
      </c>
      <c r="AD340" s="167">
        <f t="shared" ref="AD340" si="428">AB340-AC340</f>
        <v>0</v>
      </c>
      <c r="AF340" s="47">
        <f t="shared" ref="AF340" si="429">IF(S340&lt;&gt;"",1,0)</f>
        <v>1</v>
      </c>
      <c r="AG340" s="202" t="str">
        <f t="shared" ref="AG340" si="430">B340&amp;" "&amp;F340</f>
        <v xml:space="preserve"> Laboratory services ECd_31</v>
      </c>
      <c r="AH340" s="147"/>
      <c r="AI340" s="148"/>
      <c r="AJ340" s="148"/>
      <c r="AK340" s="148"/>
      <c r="AL340" s="148"/>
      <c r="AM340" s="148"/>
      <c r="AN340" s="148"/>
      <c r="AO340" s="148"/>
      <c r="AP340" s="148"/>
      <c r="AQ340" s="148"/>
      <c r="AR340" s="148"/>
      <c r="AS340" s="148"/>
      <c r="AT340" s="148"/>
      <c r="AU340" s="148"/>
      <c r="AV340" s="148"/>
      <c r="AW340" s="148"/>
      <c r="AX340" s="148"/>
      <c r="AY340" s="148"/>
      <c r="AZ340" s="148"/>
      <c r="BA340" s="148"/>
      <c r="BB340" s="148"/>
      <c r="BC340" s="148"/>
      <c r="BD340" s="148"/>
      <c r="BE340" s="148"/>
      <c r="BF340" s="148"/>
      <c r="BG340" s="148"/>
      <c r="BH340" s="148"/>
      <c r="BI340" s="148"/>
      <c r="BJ340" s="148"/>
      <c r="BK340" s="148"/>
      <c r="BL340" s="148"/>
      <c r="BM340" s="148"/>
      <c r="BN340" s="148"/>
      <c r="BO340" s="148"/>
      <c r="BP340" s="148"/>
      <c r="BQ340" s="148"/>
      <c r="BR340" s="148"/>
      <c r="BS340" s="148"/>
      <c r="BT340" s="148"/>
      <c r="BU340" s="148"/>
      <c r="BV340" s="148"/>
      <c r="BW340" s="148"/>
      <c r="BX340" s="148"/>
      <c r="BY340" s="148"/>
      <c r="BZ340" s="148"/>
      <c r="CA340" s="148"/>
      <c r="CB340" s="148"/>
      <c r="CC340" s="148"/>
      <c r="CD340" s="148"/>
      <c r="CE340" s="148"/>
      <c r="CF340" s="148"/>
      <c r="CG340" s="148"/>
      <c r="CH340" s="148"/>
      <c r="CI340" s="148"/>
      <c r="CJ340" s="148"/>
      <c r="CK340" s="148"/>
      <c r="CL340" s="148"/>
      <c r="CM340" s="148"/>
      <c r="CN340" s="148"/>
      <c r="CO340" s="148"/>
      <c r="CP340" s="148"/>
      <c r="CQ340" s="148"/>
      <c r="CR340" s="148"/>
      <c r="CS340" s="148"/>
      <c r="CT340" s="148"/>
      <c r="CU340" s="148"/>
      <c r="CV340" s="148"/>
      <c r="CW340" s="148"/>
      <c r="CX340" s="148"/>
      <c r="CY340" s="148"/>
      <c r="CZ340" s="148"/>
      <c r="DA340" s="148"/>
      <c r="DB340" s="148"/>
      <c r="DC340" s="148"/>
      <c r="DD340" s="148"/>
      <c r="DE340" s="148"/>
      <c r="DF340" s="148"/>
      <c r="DG340" s="148"/>
      <c r="DH340" s="148"/>
      <c r="DI340" s="148"/>
      <c r="DJ340" s="148"/>
      <c r="DK340" s="148"/>
      <c r="DL340" s="148"/>
      <c r="DM340" s="148"/>
      <c r="DN340" s="148"/>
      <c r="DO340" s="148"/>
      <c r="DP340" s="148"/>
      <c r="DQ340" s="148"/>
      <c r="DR340" s="148"/>
      <c r="DS340" s="148"/>
      <c r="DT340" s="148"/>
      <c r="DU340" s="148"/>
      <c r="DV340" s="148"/>
      <c r="DW340" s="148"/>
      <c r="DX340" s="148"/>
      <c r="DY340" s="148"/>
      <c r="DZ340" s="148"/>
      <c r="EA340" s="148"/>
      <c r="EB340" s="148"/>
      <c r="EC340" s="148"/>
      <c r="ED340" s="148"/>
      <c r="EE340" s="148"/>
      <c r="EF340" s="148"/>
      <c r="EG340" s="148"/>
      <c r="EH340" s="148"/>
      <c r="EI340" s="148"/>
      <c r="EJ340" s="148"/>
      <c r="EK340" s="148"/>
      <c r="EL340" s="148"/>
      <c r="EM340" s="148"/>
      <c r="EN340" s="148"/>
      <c r="EO340" s="148"/>
      <c r="EP340" s="148"/>
      <c r="EQ340" s="148"/>
      <c r="ER340" s="148"/>
      <c r="ES340" s="148"/>
      <c r="ET340" s="148"/>
      <c r="EU340" s="148"/>
      <c r="EV340" s="148"/>
      <c r="EW340" s="148"/>
      <c r="EX340" s="148"/>
      <c r="EY340" s="148"/>
      <c r="EZ340" s="148"/>
      <c r="FA340" s="148"/>
      <c r="FB340" s="148"/>
      <c r="FC340" s="148"/>
      <c r="FD340" s="148"/>
      <c r="FE340" s="148"/>
      <c r="FF340" s="148"/>
      <c r="FG340" s="148"/>
      <c r="FH340" s="148"/>
      <c r="FI340" s="148"/>
      <c r="FJ340" s="148"/>
      <c r="FK340" s="148"/>
      <c r="FL340" s="148"/>
      <c r="FM340" s="148"/>
      <c r="FN340" s="148"/>
      <c r="FO340" s="148"/>
      <c r="FP340" s="148"/>
      <c r="FQ340" s="148"/>
      <c r="FR340" s="148"/>
      <c r="FS340" s="148"/>
      <c r="FT340" s="148"/>
      <c r="FU340" s="148"/>
      <c r="FV340" s="148"/>
      <c r="FW340" s="148"/>
      <c r="FX340" s="148"/>
      <c r="FY340" s="148"/>
      <c r="FZ340" s="148"/>
      <c r="GA340" s="148"/>
      <c r="GB340" s="148"/>
      <c r="GC340" s="148"/>
      <c r="GD340" s="148"/>
      <c r="GE340" s="148"/>
      <c r="GF340" s="148"/>
      <c r="GG340" s="149"/>
    </row>
    <row r="341" spans="1:189" x14ac:dyDescent="0.35">
      <c r="A341" s="297" t="s">
        <v>910</v>
      </c>
      <c r="B341" s="298"/>
      <c r="C341" s="298"/>
      <c r="D341" s="299"/>
      <c r="E341" s="298" t="s">
        <v>823</v>
      </c>
      <c r="F341" s="298" t="s">
        <v>856</v>
      </c>
      <c r="G341" s="300">
        <v>2</v>
      </c>
      <c r="H341" s="301"/>
      <c r="I341" s="302"/>
      <c r="J341" s="302"/>
      <c r="K341" s="302"/>
      <c r="L341" s="303">
        <v>45995</v>
      </c>
      <c r="M341" s="303">
        <v>46752</v>
      </c>
      <c r="N341" s="303"/>
      <c r="O341" s="303">
        <v>46419</v>
      </c>
      <c r="P341" s="303">
        <v>46934</v>
      </c>
      <c r="Q341" s="304" t="s">
        <v>45</v>
      </c>
      <c r="R341" s="305">
        <v>120000</v>
      </c>
      <c r="S341" s="305">
        <v>120000</v>
      </c>
      <c r="T341" s="305"/>
      <c r="U341" s="191">
        <f t="shared" si="318"/>
        <v>0</v>
      </c>
      <c r="V341" s="306"/>
      <c r="W341" s="307"/>
      <c r="X341" s="46"/>
      <c r="Y341" s="167">
        <f t="shared" si="319"/>
        <v>120000</v>
      </c>
      <c r="Z341" s="167">
        <f t="shared" si="320"/>
        <v>0</v>
      </c>
      <c r="AA341" s="167">
        <f t="shared" si="321"/>
        <v>120000</v>
      </c>
      <c r="AB341" s="167">
        <f t="shared" si="322"/>
        <v>0</v>
      </c>
      <c r="AC341" s="167">
        <f t="shared" si="323"/>
        <v>0</v>
      </c>
      <c r="AD341" s="167">
        <f t="shared" si="324"/>
        <v>0</v>
      </c>
      <c r="AF341" s="47">
        <f t="shared" si="396"/>
        <v>1</v>
      </c>
      <c r="AG341" s="202" t="str">
        <f t="shared" si="397"/>
        <v xml:space="preserve"> Snow removal from the construction site</v>
      </c>
      <c r="AH341" s="172"/>
      <c r="AI341" s="173"/>
      <c r="AJ341" s="173"/>
      <c r="AK341" s="173"/>
      <c r="AL341" s="173"/>
      <c r="AM341" s="173"/>
      <c r="AN341" s="173"/>
      <c r="AO341" s="173"/>
      <c r="AP341" s="173"/>
      <c r="AQ341" s="173"/>
      <c r="AR341" s="173"/>
      <c r="AS341" s="173"/>
      <c r="AT341" s="173"/>
      <c r="AU341" s="173"/>
      <c r="AV341" s="173"/>
      <c r="AW341" s="173"/>
      <c r="AX341" s="173"/>
      <c r="AY341" s="173"/>
      <c r="AZ341" s="173"/>
      <c r="BA341" s="173"/>
      <c r="BB341" s="173"/>
      <c r="BC341" s="173"/>
      <c r="BD341" s="173"/>
      <c r="BE341" s="173"/>
      <c r="BF341" s="173"/>
      <c r="BG341" s="173"/>
      <c r="BH341" s="173"/>
      <c r="BI341" s="173"/>
      <c r="BJ341" s="173"/>
      <c r="BK341" s="173"/>
      <c r="BL341" s="173"/>
      <c r="BM341" s="173"/>
      <c r="BN341" s="173"/>
      <c r="BO341" s="173"/>
      <c r="BP341" s="173"/>
      <c r="BQ341" s="173"/>
      <c r="BR341" s="173"/>
      <c r="BS341" s="173"/>
      <c r="BT341" s="173"/>
      <c r="BU341" s="173"/>
      <c r="BV341" s="173"/>
      <c r="BW341" s="173"/>
      <c r="BX341" s="173"/>
      <c r="BY341" s="173"/>
      <c r="BZ341" s="173"/>
      <c r="CA341" s="173"/>
      <c r="CB341" s="173"/>
      <c r="CC341" s="173"/>
      <c r="CD341" s="173"/>
      <c r="CE341" s="173"/>
      <c r="CF341" s="173"/>
      <c r="CG341" s="173"/>
      <c r="CH341" s="173"/>
      <c r="CI341" s="173"/>
      <c r="CJ341" s="173"/>
      <c r="CK341" s="173"/>
      <c r="CL341" s="173"/>
      <c r="CM341" s="173"/>
      <c r="CN341" s="173"/>
      <c r="CO341" s="173"/>
      <c r="CP341" s="173"/>
      <c r="CQ341" s="173"/>
      <c r="CR341" s="173"/>
      <c r="CS341" s="173"/>
      <c r="CT341" s="173"/>
      <c r="CU341" s="173"/>
      <c r="CV341" s="173"/>
      <c r="CW341" s="173"/>
      <c r="CX341" s="173"/>
      <c r="CY341" s="148"/>
      <c r="CZ341" s="148"/>
      <c r="DA341" s="148"/>
      <c r="DB341" s="148"/>
      <c r="DC341" s="148"/>
      <c r="DD341" s="148"/>
      <c r="DE341" s="148"/>
      <c r="DF341" s="148"/>
      <c r="DG341" s="148"/>
      <c r="DH341" s="148"/>
      <c r="DI341" s="148"/>
      <c r="DJ341" s="148"/>
      <c r="DK341" s="148"/>
      <c r="DL341" s="148"/>
      <c r="DM341" s="148"/>
      <c r="DN341" s="148"/>
      <c r="DO341" s="148"/>
      <c r="DP341" s="148"/>
      <c r="DQ341" s="148"/>
      <c r="DR341" s="148"/>
      <c r="DS341" s="148"/>
      <c r="DT341" s="148"/>
      <c r="DU341" s="148"/>
      <c r="DV341" s="148"/>
      <c r="DW341" s="148"/>
      <c r="DX341" s="148"/>
      <c r="DY341" s="148"/>
      <c r="DZ341" s="148"/>
      <c r="EA341" s="148"/>
      <c r="EB341" s="148"/>
      <c r="EC341" s="148"/>
      <c r="ED341" s="148"/>
      <c r="EE341" s="148"/>
      <c r="EF341" s="148"/>
      <c r="EG341" s="148"/>
      <c r="EH341" s="148"/>
      <c r="EI341" s="148"/>
      <c r="EJ341" s="148"/>
      <c r="EK341" s="148"/>
      <c r="EL341" s="148"/>
      <c r="EM341" s="148"/>
      <c r="EN341" s="148"/>
      <c r="EO341" s="148"/>
      <c r="EP341" s="148"/>
      <c r="EQ341" s="148"/>
      <c r="ER341" s="148"/>
      <c r="ES341" s="148"/>
      <c r="ET341" s="148"/>
      <c r="EU341" s="148"/>
      <c r="EV341" s="148"/>
      <c r="EW341" s="148"/>
      <c r="EX341" s="148"/>
      <c r="EY341" s="148"/>
      <c r="EZ341" s="148"/>
      <c r="FA341" s="148"/>
      <c r="FB341" s="148"/>
      <c r="FC341" s="148"/>
      <c r="FD341" s="148"/>
      <c r="FE341" s="148"/>
      <c r="FF341" s="148"/>
      <c r="FG341" s="148"/>
      <c r="FH341" s="148"/>
      <c r="FI341" s="148"/>
      <c r="FJ341" s="148"/>
      <c r="FK341" s="148"/>
      <c r="FL341" s="148"/>
      <c r="FM341" s="148"/>
      <c r="FN341" s="148"/>
      <c r="FO341" s="148"/>
      <c r="FP341" s="148"/>
      <c r="FQ341" s="148"/>
      <c r="FR341" s="148"/>
      <c r="FS341" s="148"/>
      <c r="FT341" s="148"/>
      <c r="FU341" s="148"/>
      <c r="FV341" s="148"/>
      <c r="FW341" s="148"/>
      <c r="FX341" s="148"/>
      <c r="FY341" s="148"/>
      <c r="FZ341" s="148"/>
      <c r="GA341" s="148"/>
      <c r="GB341" s="148"/>
      <c r="GC341" s="148"/>
      <c r="GD341" s="148"/>
      <c r="GE341" s="148"/>
      <c r="GF341" s="148"/>
      <c r="GG341" s="149"/>
    </row>
    <row r="342" spans="1:189" x14ac:dyDescent="0.35">
      <c r="A342" s="297" t="s">
        <v>911</v>
      </c>
      <c r="B342" s="298"/>
      <c r="C342" s="298"/>
      <c r="D342" s="299"/>
      <c r="E342" s="298" t="s">
        <v>805</v>
      </c>
      <c r="F342" s="298" t="s">
        <v>857</v>
      </c>
      <c r="G342" s="300">
        <v>2</v>
      </c>
      <c r="H342" s="301"/>
      <c r="I342" s="302"/>
      <c r="J342" s="302"/>
      <c r="K342" s="302"/>
      <c r="L342" s="303">
        <v>46631</v>
      </c>
      <c r="M342" s="303">
        <v>46660</v>
      </c>
      <c r="N342" s="303"/>
      <c r="O342" s="303">
        <v>46692</v>
      </c>
      <c r="P342" s="303">
        <v>46934</v>
      </c>
      <c r="Q342" s="304" t="s">
        <v>45</v>
      </c>
      <c r="R342" s="305">
        <v>100000</v>
      </c>
      <c r="S342" s="305">
        <v>100000</v>
      </c>
      <c r="T342" s="305"/>
      <c r="U342" s="191">
        <f t="shared" si="318"/>
        <v>0</v>
      </c>
      <c r="V342" s="306"/>
      <c r="W342" s="307"/>
      <c r="X342" s="46"/>
      <c r="Y342" s="167">
        <f t="shared" si="319"/>
        <v>100000</v>
      </c>
      <c r="Z342" s="167">
        <f t="shared" si="320"/>
        <v>0</v>
      </c>
      <c r="AA342" s="167">
        <f t="shared" si="321"/>
        <v>100000</v>
      </c>
      <c r="AB342" s="167">
        <f t="shared" si="322"/>
        <v>0</v>
      </c>
      <c r="AC342" s="167">
        <f t="shared" si="323"/>
        <v>0</v>
      </c>
      <c r="AD342" s="167">
        <f t="shared" si="324"/>
        <v>0</v>
      </c>
      <c r="AF342" s="47">
        <f t="shared" si="396"/>
        <v>1</v>
      </c>
      <c r="AG342" s="202" t="str">
        <f t="shared" si="397"/>
        <v xml:space="preserve"> Construction site removal</v>
      </c>
      <c r="AH342" s="172"/>
      <c r="AI342" s="173"/>
      <c r="AJ342" s="173"/>
      <c r="AK342" s="173"/>
      <c r="AL342" s="173"/>
      <c r="AM342" s="173"/>
      <c r="AN342" s="173"/>
      <c r="AO342" s="173"/>
      <c r="AP342" s="173"/>
      <c r="AQ342" s="173"/>
      <c r="AR342" s="173"/>
      <c r="AS342" s="173"/>
      <c r="AT342" s="173"/>
      <c r="AU342" s="173"/>
      <c r="AV342" s="173"/>
      <c r="AW342" s="173"/>
      <c r="AX342" s="173"/>
      <c r="AY342" s="173"/>
      <c r="AZ342" s="173"/>
      <c r="BA342" s="173"/>
      <c r="BB342" s="173"/>
      <c r="BC342" s="173"/>
      <c r="BD342" s="173"/>
      <c r="BE342" s="173"/>
      <c r="BF342" s="173"/>
      <c r="BG342" s="173"/>
      <c r="BH342" s="173"/>
      <c r="BI342" s="173"/>
      <c r="BJ342" s="173"/>
      <c r="BK342" s="173"/>
      <c r="BL342" s="173"/>
      <c r="BM342" s="173"/>
      <c r="BN342" s="173"/>
      <c r="BO342" s="173"/>
      <c r="BP342" s="173"/>
      <c r="BQ342" s="173"/>
      <c r="BR342" s="173"/>
      <c r="BS342" s="173"/>
      <c r="BT342" s="173"/>
      <c r="BU342" s="173"/>
      <c r="BV342" s="173"/>
      <c r="BW342" s="173"/>
      <c r="BX342" s="173"/>
      <c r="BY342" s="173"/>
      <c r="BZ342" s="173"/>
      <c r="CA342" s="173"/>
      <c r="CB342" s="173"/>
      <c r="CC342" s="173"/>
      <c r="CD342" s="173"/>
      <c r="CE342" s="173"/>
      <c r="CF342" s="173"/>
      <c r="CG342" s="173"/>
      <c r="CH342" s="173"/>
      <c r="CI342" s="173"/>
      <c r="CJ342" s="173"/>
      <c r="CK342" s="173"/>
      <c r="CL342" s="173"/>
      <c r="CM342" s="173"/>
      <c r="CN342" s="173"/>
      <c r="CO342" s="173"/>
      <c r="CP342" s="173"/>
      <c r="CQ342" s="173"/>
      <c r="CR342" s="173"/>
      <c r="CS342" s="173"/>
      <c r="CT342" s="173"/>
      <c r="CU342" s="173"/>
      <c r="CV342" s="173"/>
      <c r="CW342" s="173"/>
      <c r="CX342" s="173"/>
      <c r="CY342" s="148"/>
      <c r="CZ342" s="148"/>
      <c r="DA342" s="148"/>
      <c r="DB342" s="148"/>
      <c r="DC342" s="148"/>
      <c r="DD342" s="148"/>
      <c r="DE342" s="148"/>
      <c r="DF342" s="148"/>
      <c r="DG342" s="148"/>
      <c r="DH342" s="148"/>
      <c r="DI342" s="148"/>
      <c r="DJ342" s="148"/>
      <c r="DK342" s="148"/>
      <c r="DL342" s="148"/>
      <c r="DM342" s="148"/>
      <c r="DN342" s="148"/>
      <c r="DO342" s="148"/>
      <c r="DP342" s="148"/>
      <c r="DQ342" s="148"/>
      <c r="DR342" s="148"/>
      <c r="DS342" s="148"/>
      <c r="DT342" s="148"/>
      <c r="DU342" s="148"/>
      <c r="DV342" s="148"/>
      <c r="DW342" s="148"/>
      <c r="DX342" s="148"/>
      <c r="DY342" s="148"/>
      <c r="DZ342" s="148"/>
      <c r="EA342" s="148"/>
      <c r="EB342" s="148"/>
      <c r="EC342" s="148"/>
      <c r="ED342" s="148"/>
      <c r="EE342" s="148"/>
      <c r="EF342" s="148"/>
      <c r="EG342" s="148"/>
      <c r="EH342" s="148"/>
      <c r="EI342" s="148"/>
      <c r="EJ342" s="148"/>
      <c r="EK342" s="148"/>
      <c r="EL342" s="148"/>
      <c r="EM342" s="148"/>
      <c r="EN342" s="148"/>
      <c r="EO342" s="148"/>
      <c r="EP342" s="148"/>
      <c r="EQ342" s="148"/>
      <c r="ER342" s="148"/>
      <c r="ES342" s="148"/>
      <c r="ET342" s="148"/>
      <c r="EU342" s="148"/>
      <c r="EV342" s="148"/>
      <c r="EW342" s="148"/>
      <c r="EX342" s="148"/>
      <c r="EY342" s="148"/>
      <c r="EZ342" s="148"/>
      <c r="FA342" s="148"/>
      <c r="FB342" s="148"/>
      <c r="FC342" s="148"/>
      <c r="FD342" s="148"/>
      <c r="FE342" s="148"/>
      <c r="FF342" s="148"/>
      <c r="FG342" s="148"/>
      <c r="FH342" s="148"/>
      <c r="FI342" s="148"/>
      <c r="FJ342" s="148"/>
      <c r="FK342" s="148"/>
      <c r="FL342" s="148"/>
      <c r="FM342" s="148"/>
      <c r="FN342" s="148"/>
      <c r="FO342" s="148"/>
      <c r="FP342" s="148"/>
      <c r="FQ342" s="148"/>
      <c r="FR342" s="148"/>
      <c r="FS342" s="148"/>
      <c r="FT342" s="148"/>
      <c r="FU342" s="148"/>
      <c r="FV342" s="148"/>
      <c r="FW342" s="148"/>
      <c r="FX342" s="148"/>
      <c r="FY342" s="148"/>
      <c r="FZ342" s="148"/>
      <c r="GA342" s="148"/>
      <c r="GB342" s="148"/>
      <c r="GC342" s="148"/>
      <c r="GD342" s="148"/>
      <c r="GE342" s="148"/>
      <c r="GF342" s="148"/>
      <c r="GG342" s="149"/>
    </row>
    <row r="343" spans="1:189" x14ac:dyDescent="0.35">
      <c r="A343" s="270" t="s">
        <v>893</v>
      </c>
      <c r="B343" s="236"/>
      <c r="C343" s="236"/>
      <c r="D343" s="237"/>
      <c r="E343" s="236" t="s">
        <v>806</v>
      </c>
      <c r="F343" s="236" t="s">
        <v>858</v>
      </c>
      <c r="G343" s="238">
        <v>2</v>
      </c>
      <c r="H343" s="239"/>
      <c r="I343" s="240"/>
      <c r="J343" s="240"/>
      <c r="K343" s="240"/>
      <c r="L343" s="241"/>
      <c r="M343" s="241"/>
      <c r="N343" s="241"/>
      <c r="O343" s="241"/>
      <c r="P343" s="241"/>
      <c r="Q343" s="242"/>
      <c r="R343" s="243"/>
      <c r="S343" s="243"/>
      <c r="T343" s="243"/>
      <c r="U343" s="191">
        <f t="shared" si="318"/>
        <v>0</v>
      </c>
      <c r="V343" s="244"/>
      <c r="W343" s="245"/>
      <c r="X343" s="46"/>
      <c r="Y343" s="167">
        <f t="shared" si="319"/>
        <v>0</v>
      </c>
      <c r="Z343" s="167">
        <f t="shared" si="320"/>
        <v>0</v>
      </c>
      <c r="AA343" s="167">
        <f t="shared" si="321"/>
        <v>0</v>
      </c>
      <c r="AB343" s="167">
        <f t="shared" si="322"/>
        <v>0</v>
      </c>
      <c r="AC343" s="167">
        <f t="shared" si="323"/>
        <v>0</v>
      </c>
      <c r="AD343" s="167">
        <f t="shared" si="324"/>
        <v>0</v>
      </c>
      <c r="AF343" s="47">
        <f t="shared" si="396"/>
        <v>0</v>
      </c>
      <c r="AG343" s="202" t="str">
        <f t="shared" si="397"/>
        <v xml:space="preserve"> Construction site installation/disassembly</v>
      </c>
      <c r="AH343" s="172"/>
      <c r="AI343" s="173"/>
      <c r="AJ343" s="173"/>
      <c r="AK343" s="173"/>
      <c r="AL343" s="173"/>
      <c r="AM343" s="173"/>
      <c r="AN343" s="173"/>
      <c r="AO343" s="173"/>
      <c r="AP343" s="173"/>
      <c r="AQ343" s="173"/>
      <c r="AR343" s="173"/>
      <c r="AS343" s="173"/>
      <c r="AT343" s="173"/>
      <c r="AU343" s="173"/>
      <c r="AV343" s="173"/>
      <c r="AW343" s="173"/>
      <c r="AX343" s="173"/>
      <c r="AY343" s="173"/>
      <c r="AZ343" s="173"/>
      <c r="BA343" s="173"/>
      <c r="BB343" s="173"/>
      <c r="BC343" s="173"/>
      <c r="BD343" s="173"/>
      <c r="BE343" s="173"/>
      <c r="BF343" s="173"/>
      <c r="BG343" s="173"/>
      <c r="BH343" s="173"/>
      <c r="BI343" s="173"/>
      <c r="BJ343" s="173"/>
      <c r="BK343" s="173"/>
      <c r="BL343" s="173"/>
      <c r="BM343" s="173"/>
      <c r="BN343" s="173"/>
      <c r="BO343" s="173"/>
      <c r="BP343" s="173"/>
      <c r="BQ343" s="173"/>
      <c r="BR343" s="173"/>
      <c r="BS343" s="173"/>
      <c r="BT343" s="173"/>
      <c r="BU343" s="173"/>
      <c r="BV343" s="173"/>
      <c r="BW343" s="173"/>
      <c r="BX343" s="173"/>
      <c r="BY343" s="173"/>
      <c r="BZ343" s="173"/>
      <c r="CA343" s="173"/>
      <c r="CB343" s="173"/>
      <c r="CC343" s="173"/>
      <c r="CD343" s="173"/>
      <c r="CE343" s="173"/>
      <c r="CF343" s="173"/>
      <c r="CG343" s="173"/>
      <c r="CH343" s="173"/>
      <c r="CI343" s="173"/>
      <c r="CJ343" s="173"/>
      <c r="CK343" s="173"/>
      <c r="CL343" s="173"/>
      <c r="CM343" s="173"/>
      <c r="CN343" s="173"/>
      <c r="CO343" s="173"/>
      <c r="CP343" s="173"/>
      <c r="CQ343" s="173"/>
      <c r="CR343" s="173"/>
      <c r="CS343" s="173"/>
      <c r="CT343" s="173"/>
      <c r="CU343" s="173"/>
      <c r="CV343" s="173"/>
      <c r="CW343" s="173"/>
      <c r="CX343" s="173"/>
      <c r="CY343" s="148"/>
      <c r="CZ343" s="148"/>
      <c r="DA343" s="148"/>
      <c r="DB343" s="148"/>
      <c r="DC343" s="148"/>
      <c r="DD343" s="148"/>
      <c r="DE343" s="148"/>
      <c r="DF343" s="148"/>
      <c r="DG343" s="148"/>
      <c r="DH343" s="148"/>
      <c r="DI343" s="148"/>
      <c r="DJ343" s="148"/>
      <c r="DK343" s="148"/>
      <c r="DL343" s="148"/>
      <c r="DM343" s="148"/>
      <c r="DN343" s="148"/>
      <c r="DO343" s="148"/>
      <c r="DP343" s="148"/>
      <c r="DQ343" s="148"/>
      <c r="DR343" s="148"/>
      <c r="DS343" s="148"/>
      <c r="DT343" s="148"/>
      <c r="DU343" s="148"/>
      <c r="DV343" s="148"/>
      <c r="DW343" s="148"/>
      <c r="DX343" s="148"/>
      <c r="DY343" s="148"/>
      <c r="DZ343" s="148"/>
      <c r="EA343" s="148"/>
      <c r="EB343" s="148"/>
      <c r="EC343" s="148"/>
      <c r="ED343" s="148"/>
      <c r="EE343" s="148"/>
      <c r="EF343" s="148"/>
      <c r="EG343" s="148"/>
      <c r="EH343" s="148"/>
      <c r="EI343" s="148"/>
      <c r="EJ343" s="148"/>
      <c r="EK343" s="148"/>
      <c r="EL343" s="148"/>
      <c r="EM343" s="148"/>
      <c r="EN343" s="148"/>
      <c r="EO343" s="148"/>
      <c r="EP343" s="148"/>
      <c r="EQ343" s="148"/>
      <c r="ER343" s="148"/>
      <c r="ES343" s="151"/>
      <c r="ET343" s="151"/>
      <c r="EU343" s="151"/>
      <c r="EV343" s="151"/>
      <c r="EW343" s="151"/>
      <c r="EX343" s="151"/>
      <c r="EY343" s="151"/>
      <c r="EZ343" s="151"/>
      <c r="FA343" s="151"/>
      <c r="FB343" s="151"/>
      <c r="FC343" s="151"/>
      <c r="FD343" s="151"/>
      <c r="FE343" s="151"/>
      <c r="FF343" s="151"/>
      <c r="FG343" s="151"/>
      <c r="FH343" s="151"/>
      <c r="FI343" s="151"/>
      <c r="FJ343" s="151"/>
      <c r="FK343" s="151"/>
      <c r="FL343" s="151"/>
      <c r="FM343" s="151"/>
      <c r="FN343" s="151"/>
      <c r="FO343" s="151"/>
      <c r="FP343" s="151"/>
      <c r="FQ343" s="151"/>
      <c r="FR343" s="151"/>
      <c r="FS343" s="151"/>
      <c r="FT343" s="151"/>
      <c r="FU343" s="151"/>
      <c r="FV343" s="151"/>
      <c r="FW343" s="151"/>
      <c r="FX343" s="151"/>
      <c r="FY343" s="151"/>
      <c r="FZ343" s="151"/>
      <c r="GA343" s="151"/>
      <c r="GB343" s="151"/>
      <c r="GC343" s="151"/>
      <c r="GD343" s="151"/>
      <c r="GE343" s="151"/>
      <c r="GF343" s="151"/>
      <c r="GG343" s="152"/>
    </row>
    <row r="344" spans="1:189" ht="97.15" x14ac:dyDescent="0.35">
      <c r="A344" s="297" t="s">
        <v>894</v>
      </c>
      <c r="B344" s="298" t="s">
        <v>1077</v>
      </c>
      <c r="C344" s="298" t="s">
        <v>1064</v>
      </c>
      <c r="D344" s="299"/>
      <c r="E344" s="298" t="s">
        <v>966</v>
      </c>
      <c r="F344" s="298" t="s">
        <v>967</v>
      </c>
      <c r="G344" s="300">
        <v>2</v>
      </c>
      <c r="H344" s="301"/>
      <c r="I344" s="302"/>
      <c r="J344" s="302"/>
      <c r="K344" s="302"/>
      <c r="L344" s="303">
        <v>45995</v>
      </c>
      <c r="M344" s="303">
        <v>46053</v>
      </c>
      <c r="N344" s="303"/>
      <c r="O344" s="303">
        <v>46054</v>
      </c>
      <c r="P344" s="303">
        <v>46081</v>
      </c>
      <c r="Q344" s="304" t="s">
        <v>20</v>
      </c>
      <c r="R344" s="305">
        <f>200000+250000+300000+50000+34000</f>
        <v>834000</v>
      </c>
      <c r="S344" s="305">
        <f>200000+250000+300000+50000+34000-SUM(S345:S351)</f>
        <v>0</v>
      </c>
      <c r="T344" s="305">
        <v>0</v>
      </c>
      <c r="U344" s="191">
        <f t="shared" si="318"/>
        <v>0</v>
      </c>
      <c r="V344" s="306"/>
      <c r="W344" s="307"/>
      <c r="X344" s="46"/>
      <c r="Y344" s="167">
        <f t="shared" si="319"/>
        <v>0</v>
      </c>
      <c r="Z344" s="167">
        <f t="shared" si="320"/>
        <v>0</v>
      </c>
      <c r="AA344" s="167">
        <f t="shared" si="321"/>
        <v>0</v>
      </c>
      <c r="AB344" s="167">
        <f t="shared" si="322"/>
        <v>0</v>
      </c>
      <c r="AC344" s="167">
        <f t="shared" si="323"/>
        <v>0</v>
      </c>
      <c r="AD344" s="167">
        <f t="shared" si="324"/>
        <v>0</v>
      </c>
      <c r="AF344" s="47">
        <f t="shared" si="396"/>
        <v>1</v>
      </c>
      <c r="AG344" s="202" t="str">
        <f t="shared" si="397"/>
        <v>Dorota Jozenas Paving of the area for cranes and assembly equipment, Storage and storage areas (aggregate), Paving of construction and assembly areas (aggregate), Temporary roads and sidewalks, Construction site preparation costs (aggregate)</v>
      </c>
      <c r="AH344" s="147"/>
      <c r="AI344" s="148"/>
      <c r="AJ344" s="148"/>
      <c r="AK344" s="148"/>
      <c r="AL344" s="148"/>
      <c r="AM344" s="148"/>
      <c r="AN344" s="148"/>
      <c r="AO344" s="148"/>
      <c r="AP344" s="148"/>
      <c r="AQ344" s="148"/>
      <c r="AR344" s="148"/>
      <c r="AS344" s="148"/>
      <c r="AT344" s="148"/>
      <c r="AU344" s="148"/>
      <c r="AV344" s="148"/>
      <c r="AW344" s="148"/>
      <c r="AX344" s="148"/>
      <c r="AY344" s="148"/>
      <c r="AZ344" s="148"/>
      <c r="BA344" s="148"/>
      <c r="BB344" s="148"/>
      <c r="BC344" s="148"/>
      <c r="BD344" s="148"/>
      <c r="BE344" s="148"/>
      <c r="BF344" s="148"/>
      <c r="BG344" s="148"/>
      <c r="BH344" s="148"/>
      <c r="BI344" s="148"/>
      <c r="BJ344" s="148"/>
      <c r="BK344" s="148"/>
      <c r="BL344" s="148"/>
      <c r="BM344" s="148"/>
      <c r="BN344" s="148"/>
      <c r="BO344" s="148"/>
      <c r="BP344" s="148"/>
      <c r="BQ344" s="148"/>
      <c r="BR344" s="148"/>
      <c r="BS344" s="148"/>
      <c r="BT344" s="148"/>
      <c r="BU344" s="148"/>
      <c r="BV344" s="148"/>
      <c r="BW344" s="148"/>
      <c r="BX344" s="148"/>
      <c r="BY344" s="148"/>
      <c r="BZ344" s="148"/>
      <c r="CA344" s="148"/>
      <c r="CB344" s="148"/>
      <c r="CC344" s="148"/>
      <c r="CD344" s="148"/>
      <c r="CE344" s="148"/>
      <c r="CF344" s="148"/>
      <c r="CG344" s="148"/>
      <c r="CH344" s="148"/>
      <c r="CI344" s="148"/>
      <c r="CJ344" s="148"/>
      <c r="CK344" s="148"/>
      <c r="CL344" s="148"/>
      <c r="CM344" s="148"/>
      <c r="CN344" s="148"/>
      <c r="CO344" s="148"/>
      <c r="CP344" s="148"/>
      <c r="CQ344" s="148"/>
      <c r="CR344" s="148"/>
      <c r="CS344" s="148"/>
      <c r="CT344" s="148"/>
      <c r="CU344" s="148"/>
      <c r="CV344" s="148"/>
      <c r="CW344" s="148"/>
      <c r="CX344" s="148"/>
      <c r="CY344" s="148"/>
      <c r="CZ344" s="148"/>
      <c r="DA344" s="148"/>
      <c r="DB344" s="148"/>
      <c r="DC344" s="148"/>
      <c r="DD344" s="148"/>
      <c r="DE344" s="148"/>
      <c r="DF344" s="148"/>
      <c r="DG344" s="148"/>
      <c r="DH344" s="148"/>
      <c r="DI344" s="148"/>
      <c r="DJ344" s="148"/>
      <c r="DK344" s="148"/>
      <c r="DL344" s="148"/>
      <c r="DM344" s="148"/>
      <c r="DN344" s="148"/>
      <c r="DO344" s="148"/>
      <c r="DP344" s="148"/>
      <c r="DQ344" s="148"/>
      <c r="DR344" s="148"/>
      <c r="DS344" s="148"/>
      <c r="DT344" s="148"/>
      <c r="DU344" s="148"/>
      <c r="DV344" s="148"/>
      <c r="DW344" s="148"/>
      <c r="DX344" s="148"/>
      <c r="DY344" s="148"/>
      <c r="DZ344" s="148"/>
      <c r="EA344" s="148"/>
      <c r="EB344" s="148"/>
      <c r="EC344" s="148"/>
      <c r="ED344" s="148"/>
      <c r="EE344" s="148"/>
      <c r="EF344" s="148"/>
      <c r="EG344" s="148"/>
      <c r="EH344" s="148"/>
      <c r="EI344" s="148"/>
      <c r="EJ344" s="148"/>
      <c r="EK344" s="148"/>
      <c r="EL344" s="148"/>
      <c r="EM344" s="148"/>
      <c r="EN344" s="148"/>
      <c r="EO344" s="148"/>
      <c r="EP344" s="148"/>
      <c r="EQ344" s="148"/>
      <c r="ER344" s="148"/>
      <c r="ES344" s="148"/>
      <c r="ET344" s="148"/>
      <c r="EU344" s="148"/>
      <c r="EV344" s="148"/>
      <c r="EW344" s="148"/>
      <c r="EX344" s="148"/>
      <c r="EY344" s="148"/>
      <c r="EZ344" s="148"/>
      <c r="FA344" s="148"/>
      <c r="FB344" s="148"/>
      <c r="FC344" s="148"/>
      <c r="FD344" s="148"/>
      <c r="FE344" s="148"/>
      <c r="FF344" s="148"/>
      <c r="FG344" s="148"/>
      <c r="FH344" s="148"/>
      <c r="FI344" s="148"/>
      <c r="FJ344" s="148"/>
      <c r="FK344" s="148"/>
      <c r="FL344" s="148"/>
      <c r="FM344" s="148"/>
      <c r="FN344" s="148"/>
      <c r="FO344" s="148"/>
      <c r="FP344" s="148"/>
      <c r="FQ344" s="148"/>
      <c r="FR344" s="148"/>
      <c r="FS344" s="148"/>
      <c r="FT344" s="148"/>
      <c r="FU344" s="148"/>
      <c r="FV344" s="148"/>
      <c r="FW344" s="148"/>
      <c r="FX344" s="148"/>
      <c r="FY344" s="148"/>
      <c r="FZ344" s="148"/>
      <c r="GA344" s="148"/>
      <c r="GB344" s="148"/>
      <c r="GC344" s="148"/>
      <c r="GD344" s="148"/>
      <c r="GE344" s="148"/>
      <c r="GF344" s="148"/>
      <c r="GG344" s="149"/>
    </row>
    <row r="345" spans="1:189" x14ac:dyDescent="0.35">
      <c r="A345" s="267" t="s">
        <v>896</v>
      </c>
      <c r="B345" s="221" t="s">
        <v>1078</v>
      </c>
      <c r="C345" s="221" t="s">
        <v>1064</v>
      </c>
      <c r="D345" s="222"/>
      <c r="E345" s="221" t="s">
        <v>1140</v>
      </c>
      <c r="F345" s="221" t="s">
        <v>1141</v>
      </c>
      <c r="G345" s="223">
        <v>2</v>
      </c>
      <c r="H345" s="224" t="s">
        <v>776</v>
      </c>
      <c r="I345" s="225"/>
      <c r="J345" s="225"/>
      <c r="K345" s="225"/>
      <c r="L345" s="226">
        <v>45995</v>
      </c>
      <c r="M345" s="226">
        <v>46022</v>
      </c>
      <c r="N345" s="226">
        <v>46022</v>
      </c>
      <c r="O345" s="226">
        <v>46023</v>
      </c>
      <c r="P345" s="226">
        <v>46053</v>
      </c>
      <c r="Q345" s="227" t="s">
        <v>20</v>
      </c>
      <c r="R345" s="228"/>
      <c r="S345" s="228">
        <v>469000</v>
      </c>
      <c r="T345" s="228">
        <v>469000</v>
      </c>
      <c r="U345" s="191">
        <f t="shared" ref="U345:U351" si="431">IF(Q345="",0,IF(T345="",0,+S345-T345))</f>
        <v>0</v>
      </c>
      <c r="V345" s="230"/>
      <c r="W345" s="231"/>
      <c r="X345" s="46"/>
      <c r="Y345" s="167">
        <f t="shared" ref="Y345:Y351" si="432">IF(G345=2,S345,0)</f>
        <v>469000</v>
      </c>
      <c r="Z345" s="167">
        <f t="shared" ref="Z345:Z351" si="433">IF(Q345="",0,IF(G345=2,T345,0))</f>
        <v>469000</v>
      </c>
      <c r="AA345" s="167">
        <f t="shared" ref="AA345:AA351" si="434">Y345-Z345</f>
        <v>0</v>
      </c>
      <c r="AB345" s="167">
        <f t="shared" ref="AB345:AB351" si="435">IF(G345=1,S345,0)</f>
        <v>0</v>
      </c>
      <c r="AC345" s="167">
        <f t="shared" ref="AC345:AC351" si="436">IF(Q345="",0,IF(G345=1,T345,0))</f>
        <v>0</v>
      </c>
      <c r="AD345" s="167">
        <f t="shared" ref="AD345:AD351" si="437">AB345-AC345</f>
        <v>0</v>
      </c>
      <c r="AF345" s="47">
        <f t="shared" si="396"/>
        <v>1</v>
      </c>
      <c r="AG345" s="202" t="str">
        <f t="shared" si="397"/>
        <v>Roer Gołombek Delivery of MON road slabs ECd_01</v>
      </c>
      <c r="AH345" s="150"/>
      <c r="AI345" s="151"/>
      <c r="AJ345" s="151"/>
      <c r="AK345" s="151"/>
      <c r="AL345" s="151"/>
      <c r="AM345" s="151"/>
      <c r="AN345" s="151"/>
      <c r="AO345" s="151"/>
      <c r="AP345" s="151"/>
      <c r="AQ345" s="151"/>
      <c r="AR345" s="151"/>
      <c r="AS345" s="151"/>
      <c r="AT345" s="151"/>
      <c r="AU345" s="151"/>
      <c r="AV345" s="151"/>
      <c r="AW345" s="151"/>
      <c r="AX345" s="151"/>
      <c r="AY345" s="151"/>
      <c r="AZ345" s="151"/>
      <c r="BA345" s="151"/>
      <c r="BB345" s="151"/>
      <c r="BC345" s="151"/>
      <c r="BD345" s="151"/>
      <c r="BE345" s="151"/>
      <c r="BF345" s="151"/>
      <c r="BG345" s="151"/>
      <c r="BH345" s="151"/>
      <c r="BI345" s="151"/>
      <c r="BJ345" s="151"/>
      <c r="BK345" s="151"/>
      <c r="BL345" s="151"/>
      <c r="BM345" s="151"/>
      <c r="BN345" s="151"/>
      <c r="BO345" s="151"/>
      <c r="BP345" s="151"/>
      <c r="BQ345" s="151"/>
      <c r="BR345" s="151"/>
      <c r="BS345" s="151"/>
      <c r="BT345" s="151"/>
      <c r="BU345" s="151"/>
      <c r="BV345" s="151"/>
      <c r="BW345" s="151"/>
      <c r="BX345" s="151"/>
      <c r="BY345" s="151"/>
      <c r="BZ345" s="151"/>
      <c r="CA345" s="151"/>
      <c r="CB345" s="151"/>
      <c r="CC345" s="151"/>
      <c r="CD345" s="151"/>
      <c r="CE345" s="151"/>
      <c r="CF345" s="151"/>
      <c r="CG345" s="151"/>
      <c r="CH345" s="151"/>
      <c r="CI345" s="151"/>
      <c r="CJ345" s="151"/>
      <c r="CK345" s="151"/>
      <c r="CL345" s="151"/>
      <c r="CM345" s="151"/>
      <c r="CN345" s="151"/>
      <c r="CO345" s="151"/>
      <c r="CP345" s="151"/>
      <c r="CQ345" s="151"/>
      <c r="CR345" s="151"/>
      <c r="CS345" s="151"/>
      <c r="CT345" s="151"/>
      <c r="CU345" s="151"/>
      <c r="CV345" s="151"/>
      <c r="CW345" s="151"/>
      <c r="CX345" s="151"/>
      <c r="CY345" s="151"/>
      <c r="CZ345" s="151"/>
      <c r="DA345" s="151"/>
      <c r="DB345" s="151"/>
      <c r="DC345" s="151"/>
      <c r="DD345" s="151"/>
      <c r="DE345" s="151"/>
      <c r="DF345" s="151"/>
      <c r="DG345" s="151"/>
      <c r="DH345" s="151"/>
      <c r="DI345" s="151"/>
      <c r="DJ345" s="151"/>
      <c r="DK345" s="151"/>
      <c r="DL345" s="151"/>
      <c r="DM345" s="151"/>
      <c r="DN345" s="151"/>
      <c r="DO345" s="151"/>
      <c r="DP345" s="151"/>
      <c r="DQ345" s="151"/>
      <c r="DR345" s="151"/>
      <c r="DS345" s="151"/>
      <c r="DT345" s="151"/>
      <c r="DU345" s="151"/>
      <c r="DV345" s="151"/>
      <c r="DW345" s="151"/>
      <c r="DX345" s="151"/>
      <c r="DY345" s="151"/>
      <c r="DZ345" s="151"/>
      <c r="EA345" s="151"/>
      <c r="EB345" s="151"/>
      <c r="EC345" s="151"/>
      <c r="ED345" s="151"/>
      <c r="EE345" s="151"/>
      <c r="EF345" s="151"/>
      <c r="EG345" s="151"/>
      <c r="EH345" s="151"/>
      <c r="EI345" s="151"/>
      <c r="EJ345" s="151"/>
      <c r="EK345" s="151"/>
      <c r="EL345" s="151"/>
      <c r="EM345" s="151"/>
      <c r="EN345" s="151"/>
      <c r="EO345" s="151"/>
      <c r="EP345" s="151"/>
      <c r="EQ345" s="151"/>
      <c r="ER345" s="151"/>
      <c r="ES345" s="151"/>
      <c r="ET345" s="151"/>
      <c r="EU345" s="151"/>
      <c r="EV345" s="151"/>
      <c r="EW345" s="151"/>
      <c r="EX345" s="151"/>
      <c r="EY345" s="151"/>
      <c r="EZ345" s="151"/>
      <c r="FA345" s="151"/>
      <c r="FB345" s="151"/>
      <c r="FC345" s="151"/>
      <c r="FD345" s="151"/>
      <c r="FE345" s="151"/>
      <c r="FF345" s="151"/>
      <c r="FG345" s="151"/>
      <c r="FH345" s="151"/>
      <c r="FI345" s="151"/>
      <c r="FJ345" s="151"/>
      <c r="FK345" s="151"/>
      <c r="FL345" s="151"/>
      <c r="FM345" s="151"/>
      <c r="FN345" s="151"/>
      <c r="FO345" s="151"/>
      <c r="FP345" s="151"/>
      <c r="FQ345" s="151"/>
      <c r="FR345" s="151"/>
      <c r="FS345" s="151"/>
      <c r="FT345" s="151"/>
      <c r="FU345" s="151"/>
      <c r="FV345" s="151"/>
      <c r="FW345" s="151"/>
      <c r="FX345" s="151"/>
      <c r="FY345" s="151"/>
      <c r="FZ345" s="151"/>
      <c r="GA345" s="151"/>
      <c r="GB345" s="151"/>
      <c r="GC345" s="151"/>
      <c r="GD345" s="151"/>
      <c r="GE345" s="151"/>
      <c r="GF345" s="151"/>
      <c r="GG345" s="152"/>
    </row>
    <row r="346" spans="1:189" x14ac:dyDescent="0.35">
      <c r="A346" s="267" t="s">
        <v>906</v>
      </c>
      <c r="B346" s="221" t="s">
        <v>1063</v>
      </c>
      <c r="C346" s="221" t="s">
        <v>1064</v>
      </c>
      <c r="D346" s="222"/>
      <c r="E346" s="221" t="s">
        <v>875</v>
      </c>
      <c r="F346" s="221" t="s">
        <v>879</v>
      </c>
      <c r="G346" s="223">
        <v>2</v>
      </c>
      <c r="H346" s="224" t="s">
        <v>877</v>
      </c>
      <c r="I346" s="225"/>
      <c r="J346" s="225"/>
      <c r="K346" s="225"/>
      <c r="L346" s="226">
        <v>45962</v>
      </c>
      <c r="M346" s="226">
        <v>46037</v>
      </c>
      <c r="N346" s="226">
        <v>46037</v>
      </c>
      <c r="O346" s="226">
        <v>45995</v>
      </c>
      <c r="P346" s="226">
        <v>46068</v>
      </c>
      <c r="Q346" s="227" t="s">
        <v>20</v>
      </c>
      <c r="R346" s="228"/>
      <c r="S346" s="228">
        <v>134644.59</v>
      </c>
      <c r="T346" s="228">
        <v>134644.59</v>
      </c>
      <c r="U346" s="191">
        <f t="shared" si="431"/>
        <v>0</v>
      </c>
      <c r="V346" s="230"/>
      <c r="W346" s="231"/>
      <c r="X346" s="46"/>
      <c r="Y346" s="167">
        <f t="shared" si="432"/>
        <v>134644.59</v>
      </c>
      <c r="Z346" s="167">
        <f t="shared" si="433"/>
        <v>134644.59</v>
      </c>
      <c r="AA346" s="167">
        <f t="shared" si="434"/>
        <v>0</v>
      </c>
      <c r="AB346" s="167">
        <f t="shared" si="435"/>
        <v>0</v>
      </c>
      <c r="AC346" s="167">
        <f t="shared" si="436"/>
        <v>0</v>
      </c>
      <c r="AD346" s="167">
        <f t="shared" si="437"/>
        <v>0</v>
      </c>
      <c r="AF346" s="47">
        <f t="shared" si="396"/>
        <v>1</v>
      </c>
      <c r="AG346" s="202" t="str">
        <f t="shared" si="397"/>
        <v>Agnieszka Zając Laying of MON road slabs</v>
      </c>
      <c r="AH346" s="150"/>
      <c r="AI346" s="151"/>
      <c r="AJ346" s="151"/>
      <c r="AK346" s="151"/>
      <c r="AL346" s="151"/>
      <c r="AM346" s="151"/>
      <c r="AN346" s="151"/>
      <c r="AO346" s="151"/>
      <c r="AP346" s="151"/>
      <c r="AQ346" s="151"/>
      <c r="AR346" s="151"/>
      <c r="AS346" s="151"/>
      <c r="AT346" s="151"/>
      <c r="AU346" s="151"/>
      <c r="AV346" s="151"/>
      <c r="AW346" s="151"/>
      <c r="AX346" s="151"/>
      <c r="AY346" s="151"/>
      <c r="AZ346" s="151"/>
      <c r="BA346" s="151"/>
      <c r="BB346" s="151"/>
      <c r="BC346" s="151"/>
      <c r="BD346" s="151"/>
      <c r="BE346" s="151"/>
      <c r="BF346" s="151"/>
      <c r="BG346" s="151"/>
      <c r="BH346" s="151"/>
      <c r="BI346" s="151"/>
      <c r="BJ346" s="151"/>
      <c r="BK346" s="151"/>
      <c r="BL346" s="151"/>
      <c r="BM346" s="151"/>
      <c r="BN346" s="151"/>
      <c r="BO346" s="151"/>
      <c r="BP346" s="151"/>
      <c r="BQ346" s="151"/>
      <c r="BR346" s="151"/>
      <c r="BS346" s="151"/>
      <c r="BT346" s="151"/>
      <c r="BU346" s="151"/>
      <c r="BV346" s="151"/>
      <c r="BW346" s="151"/>
      <c r="BX346" s="151"/>
      <c r="BY346" s="151"/>
      <c r="BZ346" s="151"/>
      <c r="CA346" s="151"/>
      <c r="CB346" s="151"/>
      <c r="CC346" s="151"/>
      <c r="CD346" s="151"/>
      <c r="CE346" s="151"/>
      <c r="CF346" s="151"/>
      <c r="CG346" s="151"/>
      <c r="CH346" s="151"/>
      <c r="CI346" s="151"/>
      <c r="CJ346" s="151"/>
      <c r="CK346" s="151"/>
      <c r="CL346" s="151"/>
      <c r="CM346" s="151"/>
      <c r="CN346" s="151"/>
      <c r="CO346" s="151"/>
      <c r="CP346" s="151"/>
      <c r="CQ346" s="151"/>
      <c r="CR346" s="151"/>
      <c r="CS346" s="151"/>
      <c r="CT346" s="151"/>
      <c r="CU346" s="151"/>
      <c r="CV346" s="151"/>
      <c r="CW346" s="151"/>
      <c r="CX346" s="151"/>
      <c r="CY346" s="151"/>
      <c r="CZ346" s="151"/>
      <c r="DA346" s="151"/>
      <c r="DB346" s="151"/>
      <c r="DC346" s="151"/>
      <c r="DD346" s="151"/>
      <c r="DE346" s="151"/>
      <c r="DF346" s="151"/>
      <c r="DG346" s="151"/>
      <c r="DH346" s="151"/>
      <c r="DI346" s="151"/>
      <c r="DJ346" s="151"/>
      <c r="DK346" s="151"/>
      <c r="DL346" s="151"/>
      <c r="DM346" s="151"/>
      <c r="DN346" s="151"/>
      <c r="DO346" s="151"/>
      <c r="DP346" s="151"/>
      <c r="DQ346" s="151"/>
      <c r="DR346" s="151"/>
      <c r="DS346" s="151"/>
      <c r="DT346" s="151"/>
      <c r="DU346" s="151"/>
      <c r="DV346" s="151"/>
      <c r="DW346" s="151"/>
      <c r="DX346" s="151"/>
      <c r="DY346" s="151"/>
      <c r="DZ346" s="151"/>
      <c r="EA346" s="151"/>
      <c r="EB346" s="151"/>
      <c r="EC346" s="151"/>
      <c r="ED346" s="151"/>
      <c r="EE346" s="151"/>
      <c r="EF346" s="151"/>
      <c r="EG346" s="151"/>
      <c r="EH346" s="151"/>
      <c r="EI346" s="151"/>
      <c r="EJ346" s="151"/>
      <c r="EK346" s="151"/>
      <c r="EL346" s="151"/>
      <c r="EM346" s="151"/>
      <c r="EN346" s="151"/>
      <c r="EO346" s="151"/>
      <c r="EP346" s="151"/>
      <c r="EQ346" s="151"/>
      <c r="ER346" s="151"/>
      <c r="ES346" s="151"/>
      <c r="ET346" s="151"/>
      <c r="EU346" s="151"/>
      <c r="EV346" s="151"/>
      <c r="EW346" s="151"/>
      <c r="EX346" s="151"/>
      <c r="EY346" s="151"/>
      <c r="EZ346" s="151"/>
      <c r="FA346" s="151"/>
      <c r="FB346" s="151"/>
      <c r="FC346" s="151"/>
      <c r="FD346" s="151"/>
      <c r="FE346" s="151"/>
      <c r="FF346" s="151"/>
      <c r="FG346" s="151"/>
      <c r="FH346" s="151"/>
      <c r="FI346" s="151"/>
      <c r="FJ346" s="151"/>
      <c r="FK346" s="151"/>
      <c r="FL346" s="151"/>
      <c r="FM346" s="151"/>
      <c r="FN346" s="151"/>
      <c r="FO346" s="151"/>
      <c r="FP346" s="151"/>
      <c r="FQ346" s="151"/>
      <c r="FR346" s="151"/>
      <c r="FS346" s="151"/>
      <c r="FT346" s="151"/>
      <c r="FU346" s="151"/>
      <c r="FV346" s="151"/>
      <c r="FW346" s="151"/>
      <c r="FX346" s="151"/>
      <c r="FY346" s="151"/>
      <c r="FZ346" s="151"/>
      <c r="GA346" s="151"/>
      <c r="GB346" s="151"/>
      <c r="GC346" s="151"/>
      <c r="GD346" s="151"/>
      <c r="GE346" s="151"/>
      <c r="GF346" s="151"/>
      <c r="GG346" s="152"/>
    </row>
    <row r="347" spans="1:189" x14ac:dyDescent="0.35">
      <c r="A347" s="267" t="s">
        <v>907</v>
      </c>
      <c r="B347" s="221" t="s">
        <v>1077</v>
      </c>
      <c r="C347" s="221" t="s">
        <v>1064</v>
      </c>
      <c r="D347" s="222"/>
      <c r="E347" s="221" t="s">
        <v>1143</v>
      </c>
      <c r="F347" s="221" t="s">
        <v>1144</v>
      </c>
      <c r="G347" s="223">
        <v>2</v>
      </c>
      <c r="H347" s="224" t="s">
        <v>1142</v>
      </c>
      <c r="I347" s="225"/>
      <c r="J347" s="225"/>
      <c r="K347" s="225"/>
      <c r="L347" s="226">
        <v>45995</v>
      </c>
      <c r="M347" s="226">
        <v>46053</v>
      </c>
      <c r="N347" s="226">
        <v>46053</v>
      </c>
      <c r="O347" s="226">
        <v>46054</v>
      </c>
      <c r="P347" s="226">
        <v>46081</v>
      </c>
      <c r="Q347" s="227" t="s">
        <v>20</v>
      </c>
      <c r="R347" s="228"/>
      <c r="S347" s="228">
        <v>230307</v>
      </c>
      <c r="T347" s="228">
        <v>255612.58</v>
      </c>
      <c r="U347" s="191">
        <f t="shared" ref="U347:U350" si="438">IF(Q347="",0,IF(T347="",0,+S347-T347))</f>
        <v>-25305.579999999987</v>
      </c>
      <c r="V347" s="230"/>
      <c r="W347" s="231"/>
      <c r="X347" s="46"/>
      <c r="Y347" s="167">
        <f t="shared" ref="Y347:Y350" si="439">IF(G347=2,S347,0)</f>
        <v>230307</v>
      </c>
      <c r="Z347" s="167">
        <f t="shared" ref="Z347:Z350" si="440">IF(Q347="",0,IF(G347=2,T347,0))</f>
        <v>255612.58</v>
      </c>
      <c r="AA347" s="167">
        <f t="shared" ref="AA347:AA350" si="441">Y347-Z347</f>
        <v>-25305.579999999987</v>
      </c>
      <c r="AB347" s="167">
        <f t="shared" ref="AB347:AB350" si="442">IF(G347=1,S347,0)</f>
        <v>0</v>
      </c>
      <c r="AC347" s="167">
        <f t="shared" ref="AC347:AC350" si="443">IF(Q347="",0,IF(G347=1,T347,0))</f>
        <v>0</v>
      </c>
      <c r="AD347" s="167">
        <f t="shared" ref="AD347:AD350" si="444">AB347-AC347</f>
        <v>0</v>
      </c>
      <c r="AF347" s="47">
        <f t="shared" si="396"/>
        <v>1</v>
      </c>
      <c r="AG347" s="202" t="str">
        <f t="shared" si="397"/>
        <v>Dorota Jozenas Delivery of aggregate ECd_14</v>
      </c>
      <c r="AH347" s="150"/>
      <c r="AI347" s="151"/>
      <c r="AJ347" s="151"/>
      <c r="AK347" s="151"/>
      <c r="AL347" s="151"/>
      <c r="AM347" s="151"/>
      <c r="AN347" s="151"/>
      <c r="AO347" s="151"/>
      <c r="AP347" s="151"/>
      <c r="AQ347" s="151"/>
      <c r="AR347" s="151"/>
      <c r="AS347" s="151"/>
      <c r="AT347" s="151"/>
      <c r="AU347" s="151"/>
      <c r="AV347" s="151"/>
      <c r="AW347" s="151"/>
      <c r="AX347" s="151"/>
      <c r="AY347" s="151"/>
      <c r="AZ347" s="151"/>
      <c r="BA347" s="151"/>
      <c r="BB347" s="151"/>
      <c r="BC347" s="151"/>
      <c r="BD347" s="151"/>
      <c r="BE347" s="151"/>
      <c r="BF347" s="151"/>
      <c r="BG347" s="151"/>
      <c r="BH347" s="151"/>
      <c r="BI347" s="151"/>
      <c r="BJ347" s="151"/>
      <c r="BK347" s="151"/>
      <c r="BL347" s="151"/>
      <c r="BM347" s="151"/>
      <c r="BN347" s="151"/>
      <c r="BO347" s="151"/>
      <c r="BP347" s="151"/>
      <c r="BQ347" s="151"/>
      <c r="BR347" s="151"/>
      <c r="BS347" s="151"/>
      <c r="BT347" s="151"/>
      <c r="BU347" s="151"/>
      <c r="BV347" s="151"/>
      <c r="BW347" s="151"/>
      <c r="BX347" s="151"/>
      <c r="BY347" s="151"/>
      <c r="BZ347" s="151"/>
      <c r="CA347" s="151"/>
      <c r="CB347" s="151"/>
      <c r="CC347" s="151"/>
      <c r="CD347" s="151"/>
      <c r="CE347" s="151"/>
      <c r="CF347" s="151"/>
      <c r="CG347" s="151"/>
      <c r="CH347" s="151"/>
      <c r="CI347" s="151"/>
      <c r="CJ347" s="151"/>
      <c r="CK347" s="151"/>
      <c r="CL347" s="151"/>
      <c r="CM347" s="151"/>
      <c r="CN347" s="151"/>
      <c r="CO347" s="151"/>
      <c r="CP347" s="151"/>
      <c r="CQ347" s="151"/>
      <c r="CR347" s="151"/>
      <c r="CS347" s="151"/>
      <c r="CT347" s="151"/>
      <c r="CU347" s="151"/>
      <c r="CV347" s="151"/>
      <c r="CW347" s="151"/>
      <c r="CX347" s="151"/>
      <c r="CY347" s="151"/>
      <c r="CZ347" s="151"/>
      <c r="DA347" s="151"/>
      <c r="DB347" s="151"/>
      <c r="DC347" s="151"/>
      <c r="DD347" s="151"/>
      <c r="DE347" s="151"/>
      <c r="DF347" s="151"/>
      <c r="DG347" s="151"/>
      <c r="DH347" s="151"/>
      <c r="DI347" s="151"/>
      <c r="DJ347" s="151"/>
      <c r="DK347" s="151"/>
      <c r="DL347" s="151"/>
      <c r="DM347" s="151"/>
      <c r="DN347" s="151"/>
      <c r="DO347" s="151"/>
      <c r="DP347" s="151"/>
      <c r="DQ347" s="151"/>
      <c r="DR347" s="151"/>
      <c r="DS347" s="151"/>
      <c r="DT347" s="151"/>
      <c r="DU347" s="151"/>
      <c r="DV347" s="151"/>
      <c r="DW347" s="151"/>
      <c r="DX347" s="151"/>
      <c r="DY347" s="151"/>
      <c r="DZ347" s="151"/>
      <c r="EA347" s="151"/>
      <c r="EB347" s="151"/>
      <c r="EC347" s="151"/>
      <c r="ED347" s="151"/>
      <c r="EE347" s="151"/>
      <c r="EF347" s="151"/>
      <c r="EG347" s="151"/>
      <c r="EH347" s="151"/>
      <c r="EI347" s="151"/>
      <c r="EJ347" s="151"/>
      <c r="EK347" s="151"/>
      <c r="EL347" s="151"/>
      <c r="EM347" s="151"/>
      <c r="EN347" s="151"/>
      <c r="EO347" s="151"/>
      <c r="EP347" s="151"/>
      <c r="EQ347" s="151"/>
      <c r="ER347" s="151"/>
      <c r="ES347" s="151"/>
      <c r="ET347" s="151"/>
      <c r="EU347" s="151"/>
      <c r="EV347" s="151"/>
      <c r="EW347" s="151"/>
      <c r="EX347" s="151"/>
      <c r="EY347" s="151"/>
      <c r="EZ347" s="151"/>
      <c r="FA347" s="151"/>
      <c r="FB347" s="151"/>
      <c r="FC347" s="151"/>
      <c r="FD347" s="151"/>
      <c r="FE347" s="151"/>
      <c r="FF347" s="151"/>
      <c r="FG347" s="151"/>
      <c r="FH347" s="151"/>
      <c r="FI347" s="151"/>
      <c r="FJ347" s="151"/>
      <c r="FK347" s="151"/>
      <c r="FL347" s="151"/>
      <c r="FM347" s="151"/>
      <c r="FN347" s="151"/>
      <c r="FO347" s="151"/>
      <c r="FP347" s="151"/>
      <c r="FQ347" s="151"/>
      <c r="FR347" s="151"/>
      <c r="FS347" s="151"/>
      <c r="FT347" s="151"/>
      <c r="FU347" s="151"/>
      <c r="FV347" s="151"/>
      <c r="FW347" s="151"/>
      <c r="FX347" s="151"/>
      <c r="FY347" s="151"/>
      <c r="FZ347" s="151"/>
      <c r="GA347" s="151"/>
      <c r="GB347" s="151"/>
      <c r="GC347" s="151"/>
      <c r="GD347" s="151"/>
      <c r="GE347" s="151"/>
      <c r="GF347" s="151"/>
      <c r="GG347" s="152"/>
    </row>
    <row r="348" spans="1:189" x14ac:dyDescent="0.35">
      <c r="A348" s="267" t="s">
        <v>908</v>
      </c>
      <c r="B348" s="221" t="s">
        <v>1063</v>
      </c>
      <c r="C348" s="221" t="s">
        <v>1064</v>
      </c>
      <c r="D348" s="222"/>
      <c r="E348" s="221" t="s">
        <v>876</v>
      </c>
      <c r="F348" s="221" t="s">
        <v>878</v>
      </c>
      <c r="G348" s="223">
        <v>2</v>
      </c>
      <c r="H348" s="224" t="s">
        <v>877</v>
      </c>
      <c r="I348" s="225"/>
      <c r="J348" s="225"/>
      <c r="K348" s="225"/>
      <c r="L348" s="226">
        <v>45995</v>
      </c>
      <c r="M348" s="226">
        <v>46122</v>
      </c>
      <c r="N348" s="226">
        <v>46122</v>
      </c>
      <c r="O348" s="226">
        <v>46122</v>
      </c>
      <c r="P348" s="226">
        <v>46081</v>
      </c>
      <c r="Q348" s="227" t="s">
        <v>20</v>
      </c>
      <c r="R348" s="228"/>
      <c r="S348" s="228">
        <v>0</v>
      </c>
      <c r="T348" s="228">
        <v>124700</v>
      </c>
      <c r="U348" s="191">
        <f t="shared" si="438"/>
        <v>-124700</v>
      </c>
      <c r="V348" s="230"/>
      <c r="W348" s="231"/>
      <c r="X348" s="46"/>
      <c r="Y348" s="167">
        <f t="shared" si="439"/>
        <v>0</v>
      </c>
      <c r="Z348" s="167">
        <f t="shared" si="440"/>
        <v>124700</v>
      </c>
      <c r="AA348" s="167">
        <f t="shared" si="441"/>
        <v>-124700</v>
      </c>
      <c r="AB348" s="167">
        <f t="shared" si="442"/>
        <v>0</v>
      </c>
      <c r="AC348" s="167">
        <f t="shared" si="443"/>
        <v>0</v>
      </c>
      <c r="AD348" s="167">
        <f t="shared" si="444"/>
        <v>0</v>
      </c>
      <c r="AF348" s="47">
        <f t="shared" ref="AF348" si="445">IF(S348&lt;&gt;"",1,0)</f>
        <v>1</v>
      </c>
      <c r="AG348" s="202" t="str">
        <f t="shared" ref="AG348" si="446">B348&amp;" "&amp;F348</f>
        <v>Agnieszka Zając Construction of aggregate squares</v>
      </c>
      <c r="AH348" s="150"/>
      <c r="AI348" s="151"/>
      <c r="AJ348" s="151"/>
      <c r="AK348" s="151"/>
      <c r="AL348" s="151"/>
      <c r="AM348" s="151"/>
      <c r="AN348" s="151"/>
      <c r="AO348" s="151"/>
      <c r="AP348" s="151"/>
      <c r="AQ348" s="151"/>
      <c r="AR348" s="151"/>
      <c r="AS348" s="151"/>
      <c r="AT348" s="151"/>
      <c r="AU348" s="151"/>
      <c r="AV348" s="151"/>
      <c r="AW348" s="151"/>
      <c r="AX348" s="151"/>
      <c r="AY348" s="151"/>
      <c r="AZ348" s="151"/>
      <c r="BA348" s="151"/>
      <c r="BB348" s="151"/>
      <c r="BC348" s="151"/>
      <c r="BD348" s="151"/>
      <c r="BE348" s="151"/>
      <c r="BF348" s="151"/>
      <c r="BG348" s="151"/>
      <c r="BH348" s="151"/>
      <c r="BI348" s="151"/>
      <c r="BJ348" s="151"/>
      <c r="BK348" s="151"/>
      <c r="BL348" s="151"/>
      <c r="BM348" s="151"/>
      <c r="BN348" s="151"/>
      <c r="BO348" s="151"/>
      <c r="BP348" s="151"/>
      <c r="BQ348" s="151"/>
      <c r="BR348" s="151"/>
      <c r="BS348" s="151"/>
      <c r="BT348" s="151"/>
      <c r="BU348" s="151"/>
      <c r="BV348" s="151"/>
      <c r="BW348" s="151"/>
      <c r="BX348" s="151"/>
      <c r="BY348" s="151"/>
      <c r="BZ348" s="151"/>
      <c r="CA348" s="151"/>
      <c r="CB348" s="151"/>
      <c r="CC348" s="151"/>
      <c r="CD348" s="151"/>
      <c r="CE348" s="151"/>
      <c r="CF348" s="151"/>
      <c r="CG348" s="151"/>
      <c r="CH348" s="151"/>
      <c r="CI348" s="151"/>
      <c r="CJ348" s="151"/>
      <c r="CK348" s="151"/>
      <c r="CL348" s="151"/>
      <c r="CM348" s="151"/>
      <c r="CN348" s="151"/>
      <c r="CO348" s="151"/>
      <c r="CP348" s="151"/>
      <c r="CQ348" s="151"/>
      <c r="CR348" s="151"/>
      <c r="CS348" s="151"/>
      <c r="CT348" s="151"/>
      <c r="CU348" s="151"/>
      <c r="CV348" s="151"/>
      <c r="CW348" s="151"/>
      <c r="CX348" s="151"/>
      <c r="CY348" s="151"/>
      <c r="CZ348" s="151"/>
      <c r="DA348" s="151"/>
      <c r="DB348" s="151"/>
      <c r="DC348" s="151"/>
      <c r="DD348" s="151"/>
      <c r="DE348" s="151"/>
      <c r="DF348" s="151"/>
      <c r="DG348" s="151"/>
      <c r="DH348" s="151"/>
      <c r="DI348" s="151"/>
      <c r="DJ348" s="151"/>
      <c r="DK348" s="151"/>
      <c r="DL348" s="151"/>
      <c r="DM348" s="151"/>
      <c r="DN348" s="151"/>
      <c r="DO348" s="151"/>
      <c r="DP348" s="151"/>
      <c r="DQ348" s="151"/>
      <c r="DR348" s="151"/>
      <c r="DS348" s="151"/>
      <c r="DT348" s="151"/>
      <c r="DU348" s="151"/>
      <c r="DV348" s="151"/>
      <c r="DW348" s="151"/>
      <c r="DX348" s="151"/>
      <c r="DY348" s="151"/>
      <c r="DZ348" s="151"/>
      <c r="EA348" s="151"/>
      <c r="EB348" s="151"/>
      <c r="EC348" s="151"/>
      <c r="ED348" s="151"/>
      <c r="EE348" s="151"/>
      <c r="EF348" s="151"/>
      <c r="EG348" s="151"/>
      <c r="EH348" s="151"/>
      <c r="EI348" s="151"/>
      <c r="EJ348" s="151"/>
      <c r="EK348" s="151"/>
      <c r="EL348" s="151"/>
      <c r="EM348" s="151"/>
      <c r="EN348" s="151"/>
      <c r="EO348" s="151"/>
      <c r="EP348" s="151"/>
      <c r="EQ348" s="151"/>
      <c r="ER348" s="151"/>
      <c r="ES348" s="151"/>
      <c r="ET348" s="151"/>
      <c r="EU348" s="151"/>
      <c r="EV348" s="151"/>
      <c r="EW348" s="151"/>
      <c r="EX348" s="151"/>
      <c r="EY348" s="151"/>
      <c r="EZ348" s="151"/>
      <c r="FA348" s="151"/>
      <c r="FB348" s="151"/>
      <c r="FC348" s="151"/>
      <c r="FD348" s="151"/>
      <c r="FE348" s="151"/>
      <c r="FF348" s="151"/>
      <c r="FG348" s="151"/>
      <c r="FH348" s="151"/>
      <c r="FI348" s="151"/>
      <c r="FJ348" s="151"/>
      <c r="FK348" s="151"/>
      <c r="FL348" s="151"/>
      <c r="FM348" s="151"/>
      <c r="FN348" s="151"/>
      <c r="FO348" s="151"/>
      <c r="FP348" s="151"/>
      <c r="FQ348" s="151"/>
      <c r="FR348" s="151"/>
      <c r="FS348" s="151"/>
      <c r="FT348" s="151"/>
      <c r="FU348" s="151"/>
      <c r="FV348" s="151"/>
      <c r="FW348" s="151"/>
      <c r="FX348" s="151"/>
      <c r="FY348" s="151"/>
      <c r="FZ348" s="151"/>
      <c r="GA348" s="151"/>
      <c r="GB348" s="151"/>
      <c r="GC348" s="151"/>
      <c r="GD348" s="151"/>
      <c r="GE348" s="151"/>
      <c r="GF348" s="151"/>
      <c r="GG348" s="152"/>
    </row>
    <row r="349" spans="1:189" x14ac:dyDescent="0.35">
      <c r="A349" s="267" t="s">
        <v>1295</v>
      </c>
      <c r="B349" s="221"/>
      <c r="C349" s="221" t="s">
        <v>1352</v>
      </c>
      <c r="D349" s="222"/>
      <c r="E349" s="221" t="s">
        <v>1298</v>
      </c>
      <c r="F349" s="221" t="s">
        <v>1299</v>
      </c>
      <c r="G349" s="223">
        <v>2</v>
      </c>
      <c r="H349" s="224" t="s">
        <v>1297</v>
      </c>
      <c r="I349" s="225"/>
      <c r="J349" s="225"/>
      <c r="K349" s="225"/>
      <c r="L349" s="226">
        <v>46054</v>
      </c>
      <c r="M349" s="226">
        <v>46064</v>
      </c>
      <c r="N349" s="226">
        <v>46064</v>
      </c>
      <c r="O349" s="226">
        <v>42412</v>
      </c>
      <c r="P349" s="226">
        <v>46934</v>
      </c>
      <c r="Q349" s="227" t="s">
        <v>20</v>
      </c>
      <c r="R349" s="228"/>
      <c r="S349" s="228">
        <v>48.410000000032596</v>
      </c>
      <c r="T349" s="228">
        <v>950</v>
      </c>
      <c r="U349" s="191">
        <f t="shared" si="438"/>
        <v>-901.5899999999674</v>
      </c>
      <c r="V349" s="230"/>
      <c r="W349" s="231"/>
      <c r="X349" s="46"/>
      <c r="Y349" s="167">
        <f t="shared" si="439"/>
        <v>48.410000000032596</v>
      </c>
      <c r="Z349" s="167">
        <f t="shared" si="440"/>
        <v>950</v>
      </c>
      <c r="AA349" s="167">
        <f t="shared" si="441"/>
        <v>-901.5899999999674</v>
      </c>
      <c r="AB349" s="167">
        <f t="shared" si="442"/>
        <v>0</v>
      </c>
      <c r="AC349" s="167">
        <f t="shared" si="443"/>
        <v>0</v>
      </c>
      <c r="AD349" s="167">
        <f t="shared" si="444"/>
        <v>0</v>
      </c>
      <c r="AF349" s="47">
        <f t="shared" ref="AF349:AF350" si="447">IF(S349&lt;&gt;"",1,0)</f>
        <v>1</v>
      </c>
      <c r="AG349" s="202" t="str">
        <f t="shared" ref="AG349:AG350" si="448">B349&amp;" "&amp;F349</f>
        <v xml:space="preserve"> Temporary Traffic Management ECd_34</v>
      </c>
      <c r="AH349" s="150"/>
      <c r="AI349" s="151"/>
      <c r="AJ349" s="151"/>
      <c r="AK349" s="151"/>
      <c r="AL349" s="151"/>
      <c r="AM349" s="151"/>
      <c r="AN349" s="151"/>
      <c r="AO349" s="151"/>
      <c r="AP349" s="151"/>
      <c r="AQ349" s="151"/>
      <c r="AR349" s="151"/>
      <c r="AS349" s="151"/>
      <c r="AT349" s="151"/>
      <c r="AU349" s="151"/>
      <c r="AV349" s="151"/>
      <c r="AW349" s="151"/>
      <c r="AX349" s="151"/>
      <c r="AY349" s="151"/>
      <c r="AZ349" s="151"/>
      <c r="BA349" s="151"/>
      <c r="BB349" s="151"/>
      <c r="BC349" s="151"/>
      <c r="BD349" s="151"/>
      <c r="BE349" s="151"/>
      <c r="BF349" s="151"/>
      <c r="BG349" s="151"/>
      <c r="BH349" s="151"/>
      <c r="BI349" s="151"/>
      <c r="BJ349" s="151"/>
      <c r="BK349" s="151"/>
      <c r="BL349" s="151"/>
      <c r="BM349" s="151"/>
      <c r="BN349" s="151"/>
      <c r="BO349" s="151"/>
      <c r="BP349" s="151"/>
      <c r="BQ349" s="151"/>
      <c r="BR349" s="151"/>
      <c r="BS349" s="151"/>
      <c r="BT349" s="151"/>
      <c r="BU349" s="151"/>
      <c r="BV349" s="151"/>
      <c r="BW349" s="151"/>
      <c r="BX349" s="151"/>
      <c r="BY349" s="151"/>
      <c r="BZ349" s="151"/>
      <c r="CA349" s="151"/>
      <c r="CB349" s="151"/>
      <c r="CC349" s="151"/>
      <c r="CD349" s="151"/>
      <c r="CE349" s="151"/>
      <c r="CF349" s="151"/>
      <c r="CG349" s="151"/>
      <c r="CH349" s="151"/>
      <c r="CI349" s="151"/>
      <c r="CJ349" s="151"/>
      <c r="CK349" s="151"/>
      <c r="CL349" s="151"/>
      <c r="CM349" s="151"/>
      <c r="CN349" s="151"/>
      <c r="CO349" s="151"/>
      <c r="CP349" s="151"/>
      <c r="CQ349" s="151"/>
      <c r="CR349" s="151"/>
      <c r="CS349" s="151"/>
      <c r="CT349" s="151"/>
      <c r="CU349" s="151"/>
      <c r="CV349" s="151"/>
      <c r="CW349" s="151"/>
      <c r="CX349" s="151"/>
      <c r="CY349" s="151"/>
      <c r="CZ349" s="151"/>
      <c r="DA349" s="151"/>
      <c r="DB349" s="151"/>
      <c r="DC349" s="151"/>
      <c r="DD349" s="151"/>
      <c r="DE349" s="151"/>
      <c r="DF349" s="151"/>
      <c r="DG349" s="151"/>
      <c r="DH349" s="151"/>
      <c r="DI349" s="151"/>
      <c r="DJ349" s="151"/>
      <c r="DK349" s="151"/>
      <c r="DL349" s="151"/>
      <c r="DM349" s="151"/>
      <c r="DN349" s="151"/>
      <c r="DO349" s="151"/>
      <c r="DP349" s="151"/>
      <c r="DQ349" s="151"/>
      <c r="DR349" s="151"/>
      <c r="DS349" s="151"/>
      <c r="DT349" s="151"/>
      <c r="DU349" s="151"/>
      <c r="DV349" s="151"/>
      <c r="DW349" s="151"/>
      <c r="DX349" s="151"/>
      <c r="DY349" s="151"/>
      <c r="DZ349" s="151"/>
      <c r="EA349" s="151"/>
      <c r="EB349" s="151"/>
      <c r="EC349" s="151"/>
      <c r="ED349" s="151"/>
      <c r="EE349" s="151"/>
      <c r="EF349" s="151"/>
      <c r="EG349" s="151"/>
      <c r="EH349" s="151"/>
      <c r="EI349" s="151"/>
      <c r="EJ349" s="151"/>
      <c r="EK349" s="151"/>
      <c r="EL349" s="151"/>
      <c r="EM349" s="151"/>
      <c r="EN349" s="151"/>
      <c r="EO349" s="151"/>
      <c r="EP349" s="151"/>
      <c r="EQ349" s="151"/>
      <c r="ER349" s="151"/>
      <c r="ES349" s="151"/>
      <c r="ET349" s="151"/>
      <c r="EU349" s="151"/>
      <c r="EV349" s="151"/>
      <c r="EW349" s="151"/>
      <c r="EX349" s="151"/>
      <c r="EY349" s="151"/>
      <c r="EZ349" s="151"/>
      <c r="FA349" s="151"/>
      <c r="FB349" s="151"/>
      <c r="FC349" s="151"/>
      <c r="FD349" s="151"/>
      <c r="FE349" s="151"/>
      <c r="FF349" s="151"/>
      <c r="FG349" s="151"/>
      <c r="FH349" s="151"/>
      <c r="FI349" s="151"/>
      <c r="FJ349" s="151"/>
      <c r="FK349" s="151"/>
      <c r="FL349" s="151"/>
      <c r="FM349" s="151"/>
      <c r="FN349" s="151"/>
      <c r="FO349" s="151"/>
      <c r="FP349" s="151"/>
      <c r="FQ349" s="151"/>
      <c r="FR349" s="151"/>
      <c r="FS349" s="151"/>
      <c r="FT349" s="151"/>
      <c r="FU349" s="151"/>
      <c r="FV349" s="151"/>
      <c r="FW349" s="151"/>
      <c r="FX349" s="151"/>
      <c r="FY349" s="151"/>
      <c r="FZ349" s="151"/>
      <c r="GA349" s="151"/>
      <c r="GB349" s="151"/>
      <c r="GC349" s="151"/>
      <c r="GD349" s="151"/>
      <c r="GE349" s="151"/>
      <c r="GF349" s="151"/>
      <c r="GG349" s="152"/>
    </row>
    <row r="350" spans="1:189" x14ac:dyDescent="0.35">
      <c r="A350" s="267" t="s">
        <v>1296</v>
      </c>
      <c r="B350" s="221"/>
      <c r="C350" s="221" t="s">
        <v>1352</v>
      </c>
      <c r="D350" s="222"/>
      <c r="E350" s="221" t="s">
        <v>1356</v>
      </c>
      <c r="F350" s="221" t="s">
        <v>1358</v>
      </c>
      <c r="G350" s="223">
        <v>1</v>
      </c>
      <c r="H350" s="224" t="s">
        <v>1354</v>
      </c>
      <c r="I350" s="225"/>
      <c r="J350" s="225"/>
      <c r="K350" s="225"/>
      <c r="L350" s="226">
        <v>46082</v>
      </c>
      <c r="M350" s="226">
        <v>46096</v>
      </c>
      <c r="N350" s="226">
        <v>46096</v>
      </c>
      <c r="O350" s="226">
        <v>46096</v>
      </c>
      <c r="P350" s="226">
        <v>46112</v>
      </c>
      <c r="Q350" s="227" t="s">
        <v>20</v>
      </c>
      <c r="R350" s="228"/>
      <c r="S350" s="228">
        <v>0</v>
      </c>
      <c r="T350" s="228">
        <v>2000</v>
      </c>
      <c r="U350" s="191">
        <f t="shared" si="438"/>
        <v>-2000</v>
      </c>
      <c r="V350" s="230"/>
      <c r="W350" s="231"/>
      <c r="X350" s="46"/>
      <c r="Y350" s="167">
        <f t="shared" si="439"/>
        <v>0</v>
      </c>
      <c r="Z350" s="167">
        <f t="shared" si="440"/>
        <v>0</v>
      </c>
      <c r="AA350" s="167">
        <f t="shared" si="441"/>
        <v>0</v>
      </c>
      <c r="AB350" s="167">
        <f t="shared" si="442"/>
        <v>0</v>
      </c>
      <c r="AC350" s="167">
        <f t="shared" si="443"/>
        <v>2000</v>
      </c>
      <c r="AD350" s="167">
        <f t="shared" si="444"/>
        <v>-2000</v>
      </c>
      <c r="AF350" s="47">
        <f t="shared" si="447"/>
        <v>1</v>
      </c>
      <c r="AG350" s="202" t="str">
        <f t="shared" si="448"/>
        <v xml:space="preserve"> Purchase of road signs ECd_42</v>
      </c>
      <c r="AH350" s="150"/>
      <c r="AI350" s="151"/>
      <c r="AJ350" s="151"/>
      <c r="AK350" s="151"/>
      <c r="AL350" s="151"/>
      <c r="AM350" s="151"/>
      <c r="AN350" s="151"/>
      <c r="AO350" s="151"/>
      <c r="AP350" s="151"/>
      <c r="AQ350" s="151"/>
      <c r="AR350" s="151"/>
      <c r="AS350" s="151"/>
      <c r="AT350" s="151"/>
      <c r="AU350" s="151"/>
      <c r="AV350" s="151"/>
      <c r="AW350" s="151"/>
      <c r="AX350" s="151"/>
      <c r="AY350" s="151"/>
      <c r="AZ350" s="151"/>
      <c r="BA350" s="151"/>
      <c r="BB350" s="151"/>
      <c r="BC350" s="151"/>
      <c r="BD350" s="151"/>
      <c r="BE350" s="151"/>
      <c r="BF350" s="151"/>
      <c r="BG350" s="151"/>
      <c r="BH350" s="151"/>
      <c r="BI350" s="151"/>
      <c r="BJ350" s="151"/>
      <c r="BK350" s="151"/>
      <c r="BL350" s="151"/>
      <c r="BM350" s="151"/>
      <c r="BN350" s="151"/>
      <c r="BO350" s="151"/>
      <c r="BP350" s="151"/>
      <c r="BQ350" s="151"/>
      <c r="BR350" s="151"/>
      <c r="BS350" s="151"/>
      <c r="BT350" s="151"/>
      <c r="BU350" s="151"/>
      <c r="BV350" s="151"/>
      <c r="BW350" s="151"/>
      <c r="BX350" s="151"/>
      <c r="BY350" s="151"/>
      <c r="BZ350" s="151"/>
      <c r="CA350" s="151"/>
      <c r="CB350" s="151"/>
      <c r="CC350" s="151"/>
      <c r="CD350" s="151"/>
      <c r="CE350" s="151"/>
      <c r="CF350" s="151"/>
      <c r="CG350" s="151"/>
      <c r="CH350" s="151"/>
      <c r="CI350" s="151"/>
      <c r="CJ350" s="151"/>
      <c r="CK350" s="151"/>
      <c r="CL350" s="151"/>
      <c r="CM350" s="151"/>
      <c r="CN350" s="151"/>
      <c r="CO350" s="151"/>
      <c r="CP350" s="151"/>
      <c r="CQ350" s="151"/>
      <c r="CR350" s="151"/>
      <c r="CS350" s="151"/>
      <c r="CT350" s="151"/>
      <c r="CU350" s="151"/>
      <c r="CV350" s="151"/>
      <c r="CW350" s="151"/>
      <c r="CX350" s="151"/>
      <c r="CY350" s="151"/>
      <c r="CZ350" s="151"/>
      <c r="DA350" s="151"/>
      <c r="DB350" s="151"/>
      <c r="DC350" s="151"/>
      <c r="DD350" s="151"/>
      <c r="DE350" s="151"/>
      <c r="DF350" s="151"/>
      <c r="DG350" s="151"/>
      <c r="DH350" s="151"/>
      <c r="DI350" s="151"/>
      <c r="DJ350" s="151"/>
      <c r="DK350" s="151"/>
      <c r="DL350" s="151"/>
      <c r="DM350" s="151"/>
      <c r="DN350" s="151"/>
      <c r="DO350" s="151"/>
      <c r="DP350" s="151"/>
      <c r="DQ350" s="151"/>
      <c r="DR350" s="151"/>
      <c r="DS350" s="151"/>
      <c r="DT350" s="151"/>
      <c r="DU350" s="151"/>
      <c r="DV350" s="151"/>
      <c r="DW350" s="151"/>
      <c r="DX350" s="151"/>
      <c r="DY350" s="151"/>
      <c r="DZ350" s="151"/>
      <c r="EA350" s="151"/>
      <c r="EB350" s="151"/>
      <c r="EC350" s="151"/>
      <c r="ED350" s="151"/>
      <c r="EE350" s="151"/>
      <c r="EF350" s="151"/>
      <c r="EG350" s="151"/>
      <c r="EH350" s="151"/>
      <c r="EI350" s="151"/>
      <c r="EJ350" s="151"/>
      <c r="EK350" s="151"/>
      <c r="EL350" s="151"/>
      <c r="EM350" s="151"/>
      <c r="EN350" s="151"/>
      <c r="EO350" s="151"/>
      <c r="EP350" s="151"/>
      <c r="EQ350" s="151"/>
      <c r="ER350" s="151"/>
      <c r="ES350" s="151"/>
      <c r="ET350" s="151"/>
      <c r="EU350" s="151"/>
      <c r="EV350" s="151"/>
      <c r="EW350" s="151"/>
      <c r="EX350" s="151"/>
      <c r="EY350" s="151"/>
      <c r="EZ350" s="151"/>
      <c r="FA350" s="151"/>
      <c r="FB350" s="151"/>
      <c r="FC350" s="151"/>
      <c r="FD350" s="151"/>
      <c r="FE350" s="151"/>
      <c r="FF350" s="151"/>
      <c r="FG350" s="151"/>
      <c r="FH350" s="151"/>
      <c r="FI350" s="151"/>
      <c r="FJ350" s="151"/>
      <c r="FK350" s="151"/>
      <c r="FL350" s="151"/>
      <c r="FM350" s="151"/>
      <c r="FN350" s="151"/>
      <c r="FO350" s="151"/>
      <c r="FP350" s="151"/>
      <c r="FQ350" s="151"/>
      <c r="FR350" s="151"/>
      <c r="FS350" s="151"/>
      <c r="FT350" s="151"/>
      <c r="FU350" s="151"/>
      <c r="FV350" s="151"/>
      <c r="FW350" s="151"/>
      <c r="FX350" s="151"/>
      <c r="FY350" s="151"/>
      <c r="FZ350" s="151"/>
      <c r="GA350" s="151"/>
      <c r="GB350" s="151"/>
      <c r="GC350" s="151"/>
      <c r="GD350" s="151"/>
      <c r="GE350" s="151"/>
      <c r="GF350" s="151"/>
      <c r="GG350" s="152"/>
    </row>
    <row r="351" spans="1:189" ht="27.75" x14ac:dyDescent="0.35">
      <c r="A351" s="267" t="s">
        <v>1351</v>
      </c>
      <c r="B351" s="221"/>
      <c r="C351" s="221" t="s">
        <v>1353</v>
      </c>
      <c r="D351" s="222"/>
      <c r="E351" s="221" t="s">
        <v>1357</v>
      </c>
      <c r="F351" s="221" t="s">
        <v>1359</v>
      </c>
      <c r="G351" s="223">
        <v>1</v>
      </c>
      <c r="H351" s="224" t="s">
        <v>1355</v>
      </c>
      <c r="I351" s="225"/>
      <c r="J351" s="225"/>
      <c r="K351" s="225"/>
      <c r="L351" s="226">
        <v>46082</v>
      </c>
      <c r="M351" s="226">
        <v>46096</v>
      </c>
      <c r="N351" s="226">
        <v>46096</v>
      </c>
      <c r="O351" s="226">
        <v>46096</v>
      </c>
      <c r="P351" s="226">
        <v>46112</v>
      </c>
      <c r="Q351" s="227" t="s">
        <v>20</v>
      </c>
      <c r="R351" s="228"/>
      <c r="S351" s="228">
        <v>0</v>
      </c>
      <c r="T351" s="228">
        <v>83200</v>
      </c>
      <c r="U351" s="191">
        <f t="shared" si="431"/>
        <v>-83200</v>
      </c>
      <c r="V351" s="230"/>
      <c r="W351" s="231"/>
      <c r="X351" s="46"/>
      <c r="Y351" s="167">
        <f t="shared" si="432"/>
        <v>0</v>
      </c>
      <c r="Z351" s="167">
        <f t="shared" si="433"/>
        <v>0</v>
      </c>
      <c r="AA351" s="167">
        <f t="shared" si="434"/>
        <v>0</v>
      </c>
      <c r="AB351" s="167">
        <f t="shared" si="435"/>
        <v>0</v>
      </c>
      <c r="AC351" s="167">
        <f t="shared" si="436"/>
        <v>83200</v>
      </c>
      <c r="AD351" s="167">
        <f t="shared" si="437"/>
        <v>-83200</v>
      </c>
      <c r="AF351" s="47">
        <f t="shared" si="396"/>
        <v>1</v>
      </c>
      <c r="AG351" s="202" t="str">
        <f t="shared" si="397"/>
        <v xml:space="preserve"> Purchase of rubble for the construction of storage yards and work platforms ECd_45</v>
      </c>
      <c r="AH351" s="150"/>
      <c r="AI351" s="151"/>
      <c r="AJ351" s="151"/>
      <c r="AK351" s="151"/>
      <c r="AL351" s="151"/>
      <c r="AM351" s="151"/>
      <c r="AN351" s="151"/>
      <c r="AO351" s="151"/>
      <c r="AP351" s="151"/>
      <c r="AQ351" s="151"/>
      <c r="AR351" s="151"/>
      <c r="AS351" s="151"/>
      <c r="AT351" s="151"/>
      <c r="AU351" s="151"/>
      <c r="AV351" s="151"/>
      <c r="AW351" s="151"/>
      <c r="AX351" s="151"/>
      <c r="AY351" s="151"/>
      <c r="AZ351" s="151"/>
      <c r="BA351" s="151"/>
      <c r="BB351" s="151"/>
      <c r="BC351" s="151"/>
      <c r="BD351" s="151"/>
      <c r="BE351" s="151"/>
      <c r="BF351" s="151"/>
      <c r="BG351" s="151"/>
      <c r="BH351" s="151"/>
      <c r="BI351" s="151"/>
      <c r="BJ351" s="151"/>
      <c r="BK351" s="151"/>
      <c r="BL351" s="151"/>
      <c r="BM351" s="151"/>
      <c r="BN351" s="151"/>
      <c r="BO351" s="151"/>
      <c r="BP351" s="151"/>
      <c r="BQ351" s="151"/>
      <c r="BR351" s="151"/>
      <c r="BS351" s="151"/>
      <c r="BT351" s="151"/>
      <c r="BU351" s="151"/>
      <c r="BV351" s="151"/>
      <c r="BW351" s="151"/>
      <c r="BX351" s="151"/>
      <c r="BY351" s="151"/>
      <c r="BZ351" s="151"/>
      <c r="CA351" s="151"/>
      <c r="CB351" s="151"/>
      <c r="CC351" s="151"/>
      <c r="CD351" s="151"/>
      <c r="CE351" s="151"/>
      <c r="CF351" s="151"/>
      <c r="CG351" s="151"/>
      <c r="CH351" s="151"/>
      <c r="CI351" s="151"/>
      <c r="CJ351" s="151"/>
      <c r="CK351" s="151"/>
      <c r="CL351" s="151"/>
      <c r="CM351" s="151"/>
      <c r="CN351" s="151"/>
      <c r="CO351" s="151"/>
      <c r="CP351" s="151"/>
      <c r="CQ351" s="151"/>
      <c r="CR351" s="151"/>
      <c r="CS351" s="151"/>
      <c r="CT351" s="151"/>
      <c r="CU351" s="151"/>
      <c r="CV351" s="151"/>
      <c r="CW351" s="151"/>
      <c r="CX351" s="151"/>
      <c r="CY351" s="151"/>
      <c r="CZ351" s="151"/>
      <c r="DA351" s="151"/>
      <c r="DB351" s="151"/>
      <c r="DC351" s="151"/>
      <c r="DD351" s="151"/>
      <c r="DE351" s="151"/>
      <c r="DF351" s="151"/>
      <c r="DG351" s="151"/>
      <c r="DH351" s="151"/>
      <c r="DI351" s="151"/>
      <c r="DJ351" s="151"/>
      <c r="DK351" s="151"/>
      <c r="DL351" s="151"/>
      <c r="DM351" s="151"/>
      <c r="DN351" s="151"/>
      <c r="DO351" s="151"/>
      <c r="DP351" s="151"/>
      <c r="DQ351" s="151"/>
      <c r="DR351" s="151"/>
      <c r="DS351" s="151"/>
      <c r="DT351" s="151"/>
      <c r="DU351" s="151"/>
      <c r="DV351" s="151"/>
      <c r="DW351" s="151"/>
      <c r="DX351" s="151"/>
      <c r="DY351" s="151"/>
      <c r="DZ351" s="151"/>
      <c r="EA351" s="151"/>
      <c r="EB351" s="151"/>
      <c r="EC351" s="151"/>
      <c r="ED351" s="151"/>
      <c r="EE351" s="151"/>
      <c r="EF351" s="151"/>
      <c r="EG351" s="151"/>
      <c r="EH351" s="151"/>
      <c r="EI351" s="151"/>
      <c r="EJ351" s="151"/>
      <c r="EK351" s="151"/>
      <c r="EL351" s="151"/>
      <c r="EM351" s="151"/>
      <c r="EN351" s="151"/>
      <c r="EO351" s="151"/>
      <c r="EP351" s="151"/>
      <c r="EQ351" s="151"/>
      <c r="ER351" s="151"/>
      <c r="ES351" s="151"/>
      <c r="ET351" s="151"/>
      <c r="EU351" s="151"/>
      <c r="EV351" s="151"/>
      <c r="EW351" s="151"/>
      <c r="EX351" s="151"/>
      <c r="EY351" s="151"/>
      <c r="EZ351" s="151"/>
      <c r="FA351" s="151"/>
      <c r="FB351" s="151"/>
      <c r="FC351" s="151"/>
      <c r="FD351" s="151"/>
      <c r="FE351" s="151"/>
      <c r="FF351" s="151"/>
      <c r="FG351" s="151"/>
      <c r="FH351" s="151"/>
      <c r="FI351" s="151"/>
      <c r="FJ351" s="151"/>
      <c r="FK351" s="151"/>
      <c r="FL351" s="151"/>
      <c r="FM351" s="151"/>
      <c r="FN351" s="151"/>
      <c r="FO351" s="151"/>
      <c r="FP351" s="151"/>
      <c r="FQ351" s="151"/>
      <c r="FR351" s="151"/>
      <c r="FS351" s="151"/>
      <c r="FT351" s="151"/>
      <c r="FU351" s="151"/>
      <c r="FV351" s="151"/>
      <c r="FW351" s="151"/>
      <c r="FX351" s="151"/>
      <c r="FY351" s="151"/>
      <c r="FZ351" s="151"/>
      <c r="GA351" s="151"/>
      <c r="GB351" s="151"/>
      <c r="GC351" s="151"/>
      <c r="GD351" s="151"/>
      <c r="GE351" s="151"/>
      <c r="GF351" s="151"/>
      <c r="GG351" s="152"/>
    </row>
    <row r="352" spans="1:189" ht="27.75" x14ac:dyDescent="0.35">
      <c r="A352" s="267" t="s">
        <v>1384</v>
      </c>
      <c r="B352" s="221"/>
      <c r="C352" s="221" t="s">
        <v>1353</v>
      </c>
      <c r="D352" s="222"/>
      <c r="E352" s="221" t="s">
        <v>1386</v>
      </c>
      <c r="F352" s="221" t="s">
        <v>1387</v>
      </c>
      <c r="G352" s="223">
        <v>2</v>
      </c>
      <c r="H352" s="224" t="s">
        <v>1385</v>
      </c>
      <c r="I352" s="225"/>
      <c r="J352" s="225"/>
      <c r="K352" s="225"/>
      <c r="L352" s="226">
        <v>46113</v>
      </c>
      <c r="M352" s="226">
        <v>46142</v>
      </c>
      <c r="N352" s="226">
        <v>46142</v>
      </c>
      <c r="O352" s="226">
        <v>46142</v>
      </c>
      <c r="P352" s="226">
        <v>46142</v>
      </c>
      <c r="Q352" s="227" t="s">
        <v>20</v>
      </c>
      <c r="R352" s="228"/>
      <c r="S352" s="228">
        <v>0</v>
      </c>
      <c r="T352" s="228">
        <v>920</v>
      </c>
      <c r="U352" s="191">
        <f t="shared" ref="U352" si="449">IF(Q352="",0,IF(T352="",0,+S352-T352))</f>
        <v>-920</v>
      </c>
      <c r="V352" s="230"/>
      <c r="W352" s="231"/>
      <c r="X352" s="46"/>
      <c r="Y352" s="167">
        <f t="shared" ref="Y352" si="450">IF(G352=2,S352,0)</f>
        <v>0</v>
      </c>
      <c r="Z352" s="167">
        <f t="shared" ref="Z352" si="451">IF(Q352="",0,IF(G352=2,T352,0))</f>
        <v>920</v>
      </c>
      <c r="AA352" s="167">
        <f t="shared" ref="AA352" si="452">Y352-Z352</f>
        <v>-920</v>
      </c>
      <c r="AB352" s="167">
        <f t="shared" ref="AB352" si="453">IF(G352=1,S352,0)</f>
        <v>0</v>
      </c>
      <c r="AC352" s="167">
        <f t="shared" ref="AC352" si="454">IF(Q352="",0,IF(G352=1,T352,0))</f>
        <v>0</v>
      </c>
      <c r="AD352" s="167">
        <f t="shared" ref="AD352" si="455">AB352-AC352</f>
        <v>0</v>
      </c>
      <c r="AF352" s="47">
        <f t="shared" ref="AF352" si="456">IF(S352&lt;&gt;"",1,0)</f>
        <v>1</v>
      </c>
      <c r="AG352" s="202" t="str">
        <f t="shared" ref="AG352" si="457">B352&amp;" "&amp;F352</f>
        <v xml:space="preserve"> Installation of road markings and traffic signs ECd_52</v>
      </c>
      <c r="AH352" s="150"/>
      <c r="AI352" s="151"/>
      <c r="AJ352" s="151"/>
      <c r="AK352" s="151"/>
      <c r="AL352" s="151"/>
      <c r="AM352" s="151"/>
      <c r="AN352" s="151"/>
      <c r="AO352" s="151"/>
      <c r="AP352" s="151"/>
      <c r="AQ352" s="151"/>
      <c r="AR352" s="151"/>
      <c r="AS352" s="151"/>
      <c r="AT352" s="151"/>
      <c r="AU352" s="151"/>
      <c r="AV352" s="151"/>
      <c r="AW352" s="151"/>
      <c r="AX352" s="151"/>
      <c r="AY352" s="151"/>
      <c r="AZ352" s="151"/>
      <c r="BA352" s="151"/>
      <c r="BB352" s="151"/>
      <c r="BC352" s="151"/>
      <c r="BD352" s="151"/>
      <c r="BE352" s="151"/>
      <c r="BF352" s="151"/>
      <c r="BG352" s="151"/>
      <c r="BH352" s="151"/>
      <c r="BI352" s="151"/>
      <c r="BJ352" s="151"/>
      <c r="BK352" s="151"/>
      <c r="BL352" s="151"/>
      <c r="BM352" s="151"/>
      <c r="BN352" s="151"/>
      <c r="BO352" s="151"/>
      <c r="BP352" s="151"/>
      <c r="BQ352" s="151"/>
      <c r="BR352" s="151"/>
      <c r="BS352" s="151"/>
      <c r="BT352" s="151"/>
      <c r="BU352" s="151"/>
      <c r="BV352" s="151"/>
      <c r="BW352" s="151"/>
      <c r="BX352" s="151"/>
      <c r="BY352" s="151"/>
      <c r="BZ352" s="151"/>
      <c r="CA352" s="151"/>
      <c r="CB352" s="151"/>
      <c r="CC352" s="151"/>
      <c r="CD352" s="151"/>
      <c r="CE352" s="151"/>
      <c r="CF352" s="151"/>
      <c r="CG352" s="151"/>
      <c r="CH352" s="151"/>
      <c r="CI352" s="151"/>
      <c r="CJ352" s="151"/>
      <c r="CK352" s="151"/>
      <c r="CL352" s="151"/>
      <c r="CM352" s="151"/>
      <c r="CN352" s="151"/>
      <c r="CO352" s="151"/>
      <c r="CP352" s="151"/>
      <c r="CQ352" s="151"/>
      <c r="CR352" s="151"/>
      <c r="CS352" s="151"/>
      <c r="CT352" s="151"/>
      <c r="CU352" s="151"/>
      <c r="CV352" s="151"/>
      <c r="CW352" s="151"/>
      <c r="CX352" s="151"/>
      <c r="CY352" s="151"/>
      <c r="CZ352" s="151"/>
      <c r="DA352" s="151"/>
      <c r="DB352" s="151"/>
      <c r="DC352" s="151"/>
      <c r="DD352" s="151"/>
      <c r="DE352" s="151"/>
      <c r="DF352" s="151"/>
      <c r="DG352" s="151"/>
      <c r="DH352" s="151"/>
      <c r="DI352" s="151"/>
      <c r="DJ352" s="151"/>
      <c r="DK352" s="151"/>
      <c r="DL352" s="151"/>
      <c r="DM352" s="151"/>
      <c r="DN352" s="151"/>
      <c r="DO352" s="151"/>
      <c r="DP352" s="151"/>
      <c r="DQ352" s="151"/>
      <c r="DR352" s="151"/>
      <c r="DS352" s="151"/>
      <c r="DT352" s="151"/>
      <c r="DU352" s="151"/>
      <c r="DV352" s="151"/>
      <c r="DW352" s="151"/>
      <c r="DX352" s="151"/>
      <c r="DY352" s="151"/>
      <c r="DZ352" s="151"/>
      <c r="EA352" s="151"/>
      <c r="EB352" s="151"/>
      <c r="EC352" s="151"/>
      <c r="ED352" s="151"/>
      <c r="EE352" s="151"/>
      <c r="EF352" s="151"/>
      <c r="EG352" s="151"/>
      <c r="EH352" s="151"/>
      <c r="EI352" s="151"/>
      <c r="EJ352" s="151"/>
      <c r="EK352" s="151"/>
      <c r="EL352" s="151"/>
      <c r="EM352" s="151"/>
      <c r="EN352" s="151"/>
      <c r="EO352" s="151"/>
      <c r="EP352" s="151"/>
      <c r="EQ352" s="151"/>
      <c r="ER352" s="151"/>
      <c r="ES352" s="151"/>
      <c r="ET352" s="151"/>
      <c r="EU352" s="151"/>
      <c r="EV352" s="151"/>
      <c r="EW352" s="151"/>
      <c r="EX352" s="151"/>
      <c r="EY352" s="151"/>
      <c r="EZ352" s="151"/>
      <c r="FA352" s="151"/>
      <c r="FB352" s="151"/>
      <c r="FC352" s="151"/>
      <c r="FD352" s="151"/>
      <c r="FE352" s="151"/>
      <c r="FF352" s="151"/>
      <c r="FG352" s="151"/>
      <c r="FH352" s="151"/>
      <c r="FI352" s="151"/>
      <c r="FJ352" s="151"/>
      <c r="FK352" s="151"/>
      <c r="FL352" s="151"/>
      <c r="FM352" s="151"/>
      <c r="FN352" s="151"/>
      <c r="FO352" s="151"/>
      <c r="FP352" s="151"/>
      <c r="FQ352" s="151"/>
      <c r="FR352" s="151"/>
      <c r="FS352" s="151"/>
      <c r="FT352" s="151"/>
      <c r="FU352" s="151"/>
      <c r="FV352" s="151"/>
      <c r="FW352" s="151"/>
      <c r="FX352" s="151"/>
      <c r="FY352" s="151"/>
      <c r="FZ352" s="151"/>
      <c r="GA352" s="151"/>
      <c r="GB352" s="151"/>
      <c r="GC352" s="151"/>
      <c r="GD352" s="151"/>
      <c r="GE352" s="151"/>
      <c r="GF352" s="151"/>
      <c r="GG352" s="152"/>
    </row>
    <row r="353" spans="1:189" ht="41.65" x14ac:dyDescent="0.35">
      <c r="A353" s="297" t="s">
        <v>897</v>
      </c>
      <c r="B353" s="298" t="s">
        <v>1051</v>
      </c>
      <c r="C353" s="298" t="s">
        <v>1064</v>
      </c>
      <c r="D353" s="299"/>
      <c r="E353" s="298" t="s">
        <v>968</v>
      </c>
      <c r="F353" s="298" t="s">
        <v>969</v>
      </c>
      <c r="G353" s="300">
        <v>2</v>
      </c>
      <c r="H353" s="301"/>
      <c r="I353" s="302"/>
      <c r="J353" s="302"/>
      <c r="K353" s="302"/>
      <c r="L353" s="303">
        <v>45995</v>
      </c>
      <c r="M353" s="303">
        <v>46022</v>
      </c>
      <c r="N353" s="303"/>
      <c r="O353" s="303">
        <v>46023</v>
      </c>
      <c r="P353" s="303">
        <v>46112</v>
      </c>
      <c r="Q353" s="304" t="s">
        <v>11</v>
      </c>
      <c r="R353" s="305">
        <f>680000+200000+160000</f>
        <v>1040000</v>
      </c>
      <c r="S353" s="305">
        <f>680000+200000+160000-SUM(S354:S355)</f>
        <v>139200</v>
      </c>
      <c r="T353" s="305"/>
      <c r="U353" s="191">
        <f t="shared" si="318"/>
        <v>0</v>
      </c>
      <c r="V353" s="306"/>
      <c r="W353" s="307"/>
      <c r="X353" s="46"/>
      <c r="Y353" s="167">
        <f t="shared" si="319"/>
        <v>139200</v>
      </c>
      <c r="Z353" s="167">
        <f t="shared" si="320"/>
        <v>0</v>
      </c>
      <c r="AA353" s="167">
        <f t="shared" si="321"/>
        <v>139200</v>
      </c>
      <c r="AB353" s="167">
        <f t="shared" si="322"/>
        <v>0</v>
      </c>
      <c r="AC353" s="167">
        <f t="shared" si="323"/>
        <v>0</v>
      </c>
      <c r="AD353" s="167">
        <f t="shared" si="324"/>
        <v>0</v>
      </c>
      <c r="AF353" s="47">
        <f t="shared" si="396"/>
        <v>1</v>
      </c>
      <c r="AG353" s="202" t="str">
        <f t="shared" si="397"/>
        <v>Roger Gołombek Construction site power supply, Site Power Supply, Construction site and temporary road lighting</v>
      </c>
      <c r="AH353" s="172"/>
      <c r="AI353" s="173"/>
      <c r="AJ353" s="173"/>
      <c r="AK353" s="173"/>
      <c r="AL353" s="173"/>
      <c r="AM353" s="173"/>
      <c r="AN353" s="173"/>
      <c r="AO353" s="173"/>
      <c r="AP353" s="173"/>
      <c r="AQ353" s="173"/>
      <c r="AR353" s="173"/>
      <c r="AS353" s="173"/>
      <c r="AT353" s="173"/>
      <c r="AU353" s="173"/>
      <c r="AV353" s="173"/>
      <c r="AW353" s="173"/>
      <c r="AX353" s="173"/>
      <c r="AY353" s="173"/>
      <c r="AZ353" s="173"/>
      <c r="BA353" s="173"/>
      <c r="BB353" s="173"/>
      <c r="BC353" s="173"/>
      <c r="BD353" s="173"/>
      <c r="BE353" s="173"/>
      <c r="BF353" s="173"/>
      <c r="BG353" s="173"/>
      <c r="BH353" s="173"/>
      <c r="BI353" s="173"/>
      <c r="BJ353" s="173"/>
      <c r="BK353" s="173"/>
      <c r="BL353" s="173"/>
      <c r="BM353" s="173"/>
      <c r="BN353" s="173"/>
      <c r="BO353" s="173"/>
      <c r="BP353" s="173"/>
      <c r="BQ353" s="173"/>
      <c r="BR353" s="173"/>
      <c r="BS353" s="173"/>
      <c r="BT353" s="173"/>
      <c r="BU353" s="173"/>
      <c r="BV353" s="173"/>
      <c r="BW353" s="173"/>
      <c r="BX353" s="173"/>
      <c r="BY353" s="173"/>
      <c r="BZ353" s="173"/>
      <c r="CA353" s="173"/>
      <c r="CB353" s="173"/>
      <c r="CC353" s="173"/>
      <c r="CD353" s="173"/>
      <c r="CE353" s="173"/>
      <c r="CF353" s="173"/>
      <c r="CG353" s="173"/>
      <c r="CH353" s="173"/>
      <c r="CI353" s="173"/>
      <c r="CJ353" s="173"/>
      <c r="CK353" s="173"/>
      <c r="CL353" s="173"/>
      <c r="CM353" s="173"/>
      <c r="CN353" s="173"/>
      <c r="CO353" s="173"/>
      <c r="CP353" s="173"/>
      <c r="CQ353" s="173"/>
      <c r="CR353" s="173"/>
      <c r="CS353" s="173"/>
      <c r="CT353" s="173"/>
      <c r="CU353" s="173"/>
      <c r="CV353" s="173"/>
      <c r="CW353" s="173"/>
      <c r="CX353" s="173"/>
      <c r="CY353" s="148"/>
      <c r="CZ353" s="148"/>
      <c r="DA353" s="148"/>
      <c r="DB353" s="148"/>
      <c r="DC353" s="148"/>
      <c r="DD353" s="148"/>
      <c r="DE353" s="148"/>
      <c r="DF353" s="148"/>
      <c r="DG353" s="148"/>
      <c r="DH353" s="148"/>
      <c r="DI353" s="148"/>
      <c r="DJ353" s="148"/>
      <c r="DK353" s="148"/>
      <c r="DL353" s="148"/>
      <c r="DM353" s="148"/>
      <c r="DN353" s="148"/>
      <c r="DO353" s="148"/>
      <c r="DP353" s="148"/>
      <c r="DQ353" s="148"/>
      <c r="DR353" s="148"/>
      <c r="DS353" s="148"/>
      <c r="DT353" s="148"/>
      <c r="DU353" s="148"/>
      <c r="DV353" s="148"/>
      <c r="DW353" s="148"/>
      <c r="DX353" s="148"/>
      <c r="DY353" s="148"/>
      <c r="DZ353" s="148"/>
      <c r="EA353" s="148"/>
      <c r="EB353" s="148"/>
      <c r="EC353" s="148"/>
      <c r="ED353" s="148"/>
      <c r="EE353" s="148"/>
      <c r="EF353" s="148"/>
      <c r="EG353" s="148"/>
      <c r="EH353" s="148"/>
      <c r="EI353" s="148"/>
      <c r="EJ353" s="148"/>
      <c r="EK353" s="148"/>
      <c r="EL353" s="148"/>
      <c r="EM353" s="148"/>
      <c r="EN353" s="148"/>
      <c r="EO353" s="148"/>
      <c r="EP353" s="148"/>
      <c r="EQ353" s="148"/>
      <c r="ER353" s="148"/>
      <c r="ES353" s="148"/>
      <c r="ET353" s="148"/>
      <c r="EU353" s="148"/>
      <c r="EV353" s="148"/>
      <c r="EW353" s="148"/>
      <c r="EX353" s="148"/>
      <c r="EY353" s="148"/>
      <c r="EZ353" s="148"/>
      <c r="FA353" s="148"/>
      <c r="FB353" s="148"/>
      <c r="FC353" s="148"/>
      <c r="FD353" s="148"/>
      <c r="FE353" s="148"/>
      <c r="FF353" s="148"/>
      <c r="FG353" s="148"/>
      <c r="FH353" s="148"/>
      <c r="FI353" s="148"/>
      <c r="FJ353" s="148"/>
      <c r="FK353" s="148"/>
      <c r="FL353" s="148"/>
      <c r="FM353" s="148"/>
      <c r="FN353" s="148"/>
      <c r="FO353" s="148"/>
      <c r="FP353" s="148"/>
      <c r="FQ353" s="148"/>
      <c r="FR353" s="148"/>
      <c r="FS353" s="148"/>
      <c r="FT353" s="148"/>
      <c r="FU353" s="148"/>
      <c r="FV353" s="148"/>
      <c r="FW353" s="148"/>
      <c r="FX353" s="148"/>
      <c r="FY353" s="148"/>
      <c r="FZ353" s="148"/>
      <c r="GA353" s="148"/>
      <c r="GB353" s="148"/>
      <c r="GC353" s="148"/>
      <c r="GD353" s="148"/>
      <c r="GE353" s="148"/>
      <c r="GF353" s="148"/>
      <c r="GG353" s="149"/>
    </row>
    <row r="354" spans="1:189" ht="41.65" x14ac:dyDescent="0.35">
      <c r="A354" s="267" t="s">
        <v>1136</v>
      </c>
      <c r="B354" s="221" t="s">
        <v>1051</v>
      </c>
      <c r="C354" s="221" t="s">
        <v>1064</v>
      </c>
      <c r="D354" s="222"/>
      <c r="E354" s="221" t="s">
        <v>1166</v>
      </c>
      <c r="F354" s="221" t="s">
        <v>1167</v>
      </c>
      <c r="G354" s="223">
        <v>2</v>
      </c>
      <c r="H354" s="224" t="s">
        <v>1165</v>
      </c>
      <c r="I354" s="225"/>
      <c r="J354" s="225"/>
      <c r="K354" s="225"/>
      <c r="L354" s="226">
        <v>45995</v>
      </c>
      <c r="M354" s="226">
        <v>46022</v>
      </c>
      <c r="N354" s="226">
        <v>46022</v>
      </c>
      <c r="O354" s="226">
        <v>46023</v>
      </c>
      <c r="P354" s="226">
        <v>46112</v>
      </c>
      <c r="Q354" s="227" t="s">
        <v>20</v>
      </c>
      <c r="R354" s="228"/>
      <c r="S354" s="228">
        <v>889000</v>
      </c>
      <c r="T354" s="228">
        <v>889000</v>
      </c>
      <c r="U354" s="191">
        <f t="shared" si="318"/>
        <v>0</v>
      </c>
      <c r="V354" s="230"/>
      <c r="W354" s="231"/>
      <c r="X354" s="46"/>
      <c r="Y354" s="167">
        <f t="shared" si="319"/>
        <v>889000</v>
      </c>
      <c r="Z354" s="167">
        <f t="shared" si="320"/>
        <v>889000</v>
      </c>
      <c r="AA354" s="167">
        <f t="shared" si="321"/>
        <v>0</v>
      </c>
      <c r="AB354" s="167">
        <f t="shared" si="322"/>
        <v>0</v>
      </c>
      <c r="AC354" s="167">
        <f t="shared" si="323"/>
        <v>0</v>
      </c>
      <c r="AD354" s="167">
        <f t="shared" si="324"/>
        <v>0</v>
      </c>
      <c r="AF354" s="47">
        <f t="shared" ref="AF354:AF384" si="458">IF(S354&lt;&gt;"",1,0)</f>
        <v>1</v>
      </c>
      <c r="AG354" s="202" t="str">
        <f t="shared" ref="AG354:AG384" si="459">B354&amp;" "&amp;F354</f>
        <v>Roger Gołombek Construction site power supply, Site Power Supply, Construction site and temporary road lighting ECd_07</v>
      </c>
      <c r="AH354" s="150"/>
      <c r="AI354" s="151"/>
      <c r="AJ354" s="151"/>
      <c r="AK354" s="151"/>
      <c r="AL354" s="151"/>
      <c r="AM354" s="151"/>
      <c r="AN354" s="151"/>
      <c r="AO354" s="151"/>
      <c r="AP354" s="151"/>
      <c r="AQ354" s="151"/>
      <c r="AR354" s="151"/>
      <c r="AS354" s="151"/>
      <c r="AT354" s="151"/>
      <c r="AU354" s="151"/>
      <c r="AV354" s="151"/>
      <c r="AW354" s="151"/>
      <c r="AX354" s="151"/>
      <c r="AY354" s="151"/>
      <c r="AZ354" s="151"/>
      <c r="BA354" s="151"/>
      <c r="BB354" s="151"/>
      <c r="BC354" s="151"/>
      <c r="BD354" s="151"/>
      <c r="BE354" s="151"/>
      <c r="BF354" s="151"/>
      <c r="BG354" s="151"/>
      <c r="BH354" s="151"/>
      <c r="BI354" s="151"/>
      <c r="BJ354" s="151"/>
      <c r="BK354" s="151"/>
      <c r="BL354" s="151"/>
      <c r="BM354" s="151"/>
      <c r="BN354" s="151"/>
      <c r="BO354" s="151"/>
      <c r="BP354" s="151"/>
      <c r="BQ354" s="151"/>
      <c r="BR354" s="151"/>
      <c r="BS354" s="151"/>
      <c r="BT354" s="151"/>
      <c r="BU354" s="151"/>
      <c r="BV354" s="151"/>
      <c r="BW354" s="151"/>
      <c r="BX354" s="151"/>
      <c r="BY354" s="151"/>
      <c r="BZ354" s="151"/>
      <c r="CA354" s="151"/>
      <c r="CB354" s="151"/>
      <c r="CC354" s="151"/>
      <c r="CD354" s="151"/>
      <c r="CE354" s="151"/>
      <c r="CF354" s="151"/>
      <c r="CG354" s="151"/>
      <c r="CH354" s="151"/>
      <c r="CI354" s="151"/>
      <c r="CJ354" s="151"/>
      <c r="CK354" s="151"/>
      <c r="CL354" s="151"/>
      <c r="CM354" s="151"/>
      <c r="CN354" s="151"/>
      <c r="CO354" s="151"/>
      <c r="CP354" s="151"/>
      <c r="CQ354" s="151"/>
      <c r="CR354" s="151"/>
      <c r="CS354" s="151"/>
      <c r="CT354" s="151"/>
      <c r="CU354" s="151"/>
      <c r="CV354" s="151"/>
      <c r="CW354" s="151"/>
      <c r="CX354" s="151"/>
      <c r="CY354" s="151"/>
      <c r="CZ354" s="151"/>
      <c r="DA354" s="151"/>
      <c r="DB354" s="151"/>
      <c r="DC354" s="151"/>
      <c r="DD354" s="151"/>
      <c r="DE354" s="151"/>
      <c r="DF354" s="151"/>
      <c r="DG354" s="151"/>
      <c r="DH354" s="151"/>
      <c r="DI354" s="151"/>
      <c r="DJ354" s="151"/>
      <c r="DK354" s="151"/>
      <c r="DL354" s="151"/>
      <c r="DM354" s="151"/>
      <c r="DN354" s="151"/>
      <c r="DO354" s="151"/>
      <c r="DP354" s="151"/>
      <c r="DQ354" s="151"/>
      <c r="DR354" s="151"/>
      <c r="DS354" s="151"/>
      <c r="DT354" s="151"/>
      <c r="DU354" s="151"/>
      <c r="DV354" s="151"/>
      <c r="DW354" s="151"/>
      <c r="DX354" s="151"/>
      <c r="DY354" s="151"/>
      <c r="DZ354" s="151"/>
      <c r="EA354" s="151"/>
      <c r="EB354" s="151"/>
      <c r="EC354" s="151"/>
      <c r="ED354" s="151"/>
      <c r="EE354" s="151"/>
      <c r="EF354" s="151"/>
      <c r="EG354" s="151"/>
      <c r="EH354" s="151"/>
      <c r="EI354" s="151"/>
      <c r="EJ354" s="151"/>
      <c r="EK354" s="151"/>
      <c r="EL354" s="151"/>
      <c r="EM354" s="151"/>
      <c r="EN354" s="151"/>
      <c r="EO354" s="151"/>
      <c r="EP354" s="151"/>
      <c r="EQ354" s="151"/>
      <c r="ER354" s="151"/>
      <c r="ES354" s="151"/>
      <c r="ET354" s="151"/>
      <c r="EU354" s="151"/>
      <c r="EV354" s="151"/>
      <c r="EW354" s="151"/>
      <c r="EX354" s="151"/>
      <c r="EY354" s="151"/>
      <c r="EZ354" s="151"/>
      <c r="FA354" s="151"/>
      <c r="FB354" s="151"/>
      <c r="FC354" s="151"/>
      <c r="FD354" s="151"/>
      <c r="FE354" s="151"/>
      <c r="FF354" s="151"/>
      <c r="FG354" s="151"/>
      <c r="FH354" s="151"/>
      <c r="FI354" s="151"/>
      <c r="FJ354" s="151"/>
      <c r="FK354" s="151"/>
      <c r="FL354" s="151"/>
      <c r="FM354" s="151"/>
      <c r="FN354" s="151"/>
      <c r="FO354" s="151"/>
      <c r="FP354" s="151"/>
      <c r="FQ354" s="151"/>
      <c r="FR354" s="151"/>
      <c r="FS354" s="151"/>
      <c r="FT354" s="151"/>
      <c r="FU354" s="151"/>
      <c r="FV354" s="151"/>
      <c r="FW354" s="151"/>
      <c r="FX354" s="151"/>
      <c r="FY354" s="151"/>
      <c r="FZ354" s="151"/>
      <c r="GA354" s="151"/>
      <c r="GB354" s="151"/>
      <c r="GC354" s="151"/>
      <c r="GD354" s="151"/>
      <c r="GE354" s="151"/>
      <c r="GF354" s="151"/>
      <c r="GG354" s="152"/>
    </row>
    <row r="355" spans="1:189" ht="41.65" x14ac:dyDescent="0.35">
      <c r="A355" s="267" t="s">
        <v>1173</v>
      </c>
      <c r="B355" s="221"/>
      <c r="C355" s="221" t="s">
        <v>1064</v>
      </c>
      <c r="D355" s="222"/>
      <c r="E355" s="221" t="s">
        <v>1214</v>
      </c>
      <c r="F355" s="221" t="s">
        <v>1215</v>
      </c>
      <c r="G355" s="223">
        <v>2</v>
      </c>
      <c r="H355" s="224" t="s">
        <v>1174</v>
      </c>
      <c r="I355" s="225"/>
      <c r="J355" s="225"/>
      <c r="K355" s="225"/>
      <c r="L355" s="226">
        <v>45995</v>
      </c>
      <c r="M355" s="226">
        <v>46022</v>
      </c>
      <c r="N355" s="226">
        <v>46022</v>
      </c>
      <c r="O355" s="226">
        <v>46023</v>
      </c>
      <c r="P355" s="226">
        <v>46112</v>
      </c>
      <c r="Q355" s="227" t="s">
        <v>20</v>
      </c>
      <c r="R355" s="228"/>
      <c r="S355" s="228">
        <v>11800</v>
      </c>
      <c r="T355" s="228">
        <v>11800</v>
      </c>
      <c r="U355" s="191">
        <f t="shared" ref="U355" si="460">IF(Q355="",0,IF(T355="",0,+S355-T355))</f>
        <v>0</v>
      </c>
      <c r="V355" s="230"/>
      <c r="W355" s="231"/>
      <c r="X355" s="46"/>
      <c r="Y355" s="167">
        <f t="shared" ref="Y355" si="461">IF(G355=2,S355,0)</f>
        <v>11800</v>
      </c>
      <c r="Z355" s="167">
        <f t="shared" ref="Z355" si="462">IF(Q355="",0,IF(G355=2,T355,0))</f>
        <v>11800</v>
      </c>
      <c r="AA355" s="167">
        <f t="shared" ref="AA355" si="463">Y355-Z355</f>
        <v>0</v>
      </c>
      <c r="AB355" s="167">
        <f t="shared" ref="AB355" si="464">IF(G355=1,S355,0)</f>
        <v>0</v>
      </c>
      <c r="AC355" s="167">
        <f t="shared" ref="AC355" si="465">IF(Q355="",0,IF(G355=1,T355,0))</f>
        <v>0</v>
      </c>
      <c r="AD355" s="167">
        <f t="shared" ref="AD355" si="466">AB355-AC355</f>
        <v>0</v>
      </c>
      <c r="AF355" s="47">
        <f t="shared" si="458"/>
        <v>1</v>
      </c>
      <c r="AG355" s="202" t="str">
        <f t="shared" si="459"/>
        <v xml:space="preserve"> Transport of materials from the construction site GR2 Świnoujście and Rzeszów ECd_15</v>
      </c>
      <c r="AH355" s="150"/>
      <c r="AI355" s="151"/>
      <c r="AJ355" s="151"/>
      <c r="AK355" s="151"/>
      <c r="AL355" s="151"/>
      <c r="AM355" s="151"/>
      <c r="AN355" s="151"/>
      <c r="AO355" s="151"/>
      <c r="AP355" s="151"/>
      <c r="AQ355" s="151"/>
      <c r="AR355" s="151"/>
      <c r="AS355" s="151"/>
      <c r="AT355" s="151"/>
      <c r="AU355" s="151"/>
      <c r="AV355" s="151"/>
      <c r="AW355" s="151"/>
      <c r="AX355" s="151"/>
      <c r="AY355" s="151"/>
      <c r="AZ355" s="151"/>
      <c r="BA355" s="151"/>
      <c r="BB355" s="151"/>
      <c r="BC355" s="151"/>
      <c r="BD355" s="151"/>
      <c r="BE355" s="151"/>
      <c r="BF355" s="151"/>
      <c r="BG355" s="151"/>
      <c r="BH355" s="151"/>
      <c r="BI355" s="151"/>
      <c r="BJ355" s="151"/>
      <c r="BK355" s="151"/>
      <c r="BL355" s="151"/>
      <c r="BM355" s="151"/>
      <c r="BN355" s="151"/>
      <c r="BO355" s="151"/>
      <c r="BP355" s="151"/>
      <c r="BQ355" s="151"/>
      <c r="BR355" s="151"/>
      <c r="BS355" s="151"/>
      <c r="BT355" s="151"/>
      <c r="BU355" s="151"/>
      <c r="BV355" s="151"/>
      <c r="BW355" s="151"/>
      <c r="BX355" s="151"/>
      <c r="BY355" s="151"/>
      <c r="BZ355" s="151"/>
      <c r="CA355" s="151"/>
      <c r="CB355" s="151"/>
      <c r="CC355" s="151"/>
      <c r="CD355" s="151"/>
      <c r="CE355" s="151"/>
      <c r="CF355" s="151"/>
      <c r="CG355" s="151"/>
      <c r="CH355" s="151"/>
      <c r="CI355" s="151"/>
      <c r="CJ355" s="151"/>
      <c r="CK355" s="151"/>
      <c r="CL355" s="151"/>
      <c r="CM355" s="151"/>
      <c r="CN355" s="151"/>
      <c r="CO355" s="151"/>
      <c r="CP355" s="151"/>
      <c r="CQ355" s="151"/>
      <c r="CR355" s="151"/>
      <c r="CS355" s="151"/>
      <c r="CT355" s="151"/>
      <c r="CU355" s="151"/>
      <c r="CV355" s="151"/>
      <c r="CW355" s="151"/>
      <c r="CX355" s="151"/>
      <c r="CY355" s="151"/>
      <c r="CZ355" s="151"/>
      <c r="DA355" s="151"/>
      <c r="DB355" s="151"/>
      <c r="DC355" s="151"/>
      <c r="DD355" s="151"/>
      <c r="DE355" s="151"/>
      <c r="DF355" s="151"/>
      <c r="DG355" s="151"/>
      <c r="DH355" s="151"/>
      <c r="DI355" s="151"/>
      <c r="DJ355" s="151"/>
      <c r="DK355" s="151"/>
      <c r="DL355" s="151"/>
      <c r="DM355" s="151"/>
      <c r="DN355" s="151"/>
      <c r="DO355" s="151"/>
      <c r="DP355" s="151"/>
      <c r="DQ355" s="151"/>
      <c r="DR355" s="151"/>
      <c r="DS355" s="151"/>
      <c r="DT355" s="151"/>
      <c r="DU355" s="151"/>
      <c r="DV355" s="151"/>
      <c r="DW355" s="151"/>
      <c r="DX355" s="151"/>
      <c r="DY355" s="151"/>
      <c r="DZ355" s="151"/>
      <c r="EA355" s="151"/>
      <c r="EB355" s="151"/>
      <c r="EC355" s="151"/>
      <c r="ED355" s="151"/>
      <c r="EE355" s="151"/>
      <c r="EF355" s="151"/>
      <c r="EG355" s="151"/>
      <c r="EH355" s="151"/>
      <c r="EI355" s="151"/>
      <c r="EJ355" s="151"/>
      <c r="EK355" s="151"/>
      <c r="EL355" s="151"/>
      <c r="EM355" s="151"/>
      <c r="EN355" s="151"/>
      <c r="EO355" s="151"/>
      <c r="EP355" s="151"/>
      <c r="EQ355" s="151"/>
      <c r="ER355" s="151"/>
      <c r="ES355" s="151"/>
      <c r="ET355" s="151"/>
      <c r="EU355" s="151"/>
      <c r="EV355" s="151"/>
      <c r="EW355" s="151"/>
      <c r="EX355" s="151"/>
      <c r="EY355" s="151"/>
      <c r="EZ355" s="151"/>
      <c r="FA355" s="151"/>
      <c r="FB355" s="151"/>
      <c r="FC355" s="151"/>
      <c r="FD355" s="151"/>
      <c r="FE355" s="151"/>
      <c r="FF355" s="151"/>
      <c r="FG355" s="151"/>
      <c r="FH355" s="151"/>
      <c r="FI355" s="151"/>
      <c r="FJ355" s="151"/>
      <c r="FK355" s="151"/>
      <c r="FL355" s="151"/>
      <c r="FM355" s="151"/>
      <c r="FN355" s="151"/>
      <c r="FO355" s="151"/>
      <c r="FP355" s="151"/>
      <c r="FQ355" s="151"/>
      <c r="FR355" s="151"/>
      <c r="FS355" s="151"/>
      <c r="FT355" s="151"/>
      <c r="FU355" s="151"/>
      <c r="FV355" s="151"/>
      <c r="FW355" s="151"/>
      <c r="FX355" s="151"/>
      <c r="FY355" s="151"/>
      <c r="FZ355" s="151"/>
      <c r="GA355" s="151"/>
      <c r="GB355" s="151"/>
      <c r="GC355" s="151"/>
      <c r="GD355" s="151"/>
      <c r="GE355" s="151"/>
      <c r="GF355" s="151"/>
      <c r="GG355" s="152"/>
    </row>
    <row r="356" spans="1:189" x14ac:dyDescent="0.35">
      <c r="A356" s="297" t="s">
        <v>895</v>
      </c>
      <c r="B356" s="298" t="s">
        <v>1075</v>
      </c>
      <c r="C356" s="298"/>
      <c r="D356" s="299"/>
      <c r="E356" s="298" t="s">
        <v>807</v>
      </c>
      <c r="F356" s="298" t="s">
        <v>859</v>
      </c>
      <c r="G356" s="300">
        <v>2</v>
      </c>
      <c r="H356" s="301"/>
      <c r="I356" s="302"/>
      <c r="J356" s="302"/>
      <c r="K356" s="302"/>
      <c r="L356" s="303">
        <v>46023</v>
      </c>
      <c r="M356" s="303">
        <v>46111</v>
      </c>
      <c r="N356" s="303"/>
      <c r="O356" s="303">
        <v>46113</v>
      </c>
      <c r="P356" s="303">
        <v>46934</v>
      </c>
      <c r="Q356" s="304" t="s">
        <v>45</v>
      </c>
      <c r="R356" s="305">
        <v>100000</v>
      </c>
      <c r="S356" s="305">
        <v>100000</v>
      </c>
      <c r="T356" s="305"/>
      <c r="U356" s="191">
        <f t="shared" si="318"/>
        <v>0</v>
      </c>
      <c r="V356" s="306"/>
      <c r="W356" s="307"/>
      <c r="X356" s="46"/>
      <c r="Y356" s="167">
        <f t="shared" si="319"/>
        <v>100000</v>
      </c>
      <c r="Z356" s="167">
        <f t="shared" si="320"/>
        <v>0</v>
      </c>
      <c r="AA356" s="167">
        <f t="shared" si="321"/>
        <v>100000</v>
      </c>
      <c r="AB356" s="167">
        <f t="shared" si="322"/>
        <v>0</v>
      </c>
      <c r="AC356" s="167">
        <f t="shared" si="323"/>
        <v>0</v>
      </c>
      <c r="AD356" s="167">
        <f t="shared" si="324"/>
        <v>0</v>
      </c>
      <c r="AF356" s="47">
        <f t="shared" si="458"/>
        <v>1</v>
      </c>
      <c r="AG356" s="202" t="str">
        <f t="shared" si="459"/>
        <v>- Wheel washer</v>
      </c>
      <c r="AH356" s="172"/>
      <c r="AI356" s="173"/>
      <c r="AJ356" s="173"/>
      <c r="AK356" s="173"/>
      <c r="AL356" s="173"/>
      <c r="AM356" s="173"/>
      <c r="AN356" s="173"/>
      <c r="AO356" s="173"/>
      <c r="AP356" s="173"/>
      <c r="AQ356" s="173"/>
      <c r="AR356" s="173"/>
      <c r="AS356" s="173"/>
      <c r="AT356" s="173"/>
      <c r="AU356" s="173"/>
      <c r="AV356" s="173"/>
      <c r="AW356" s="173"/>
      <c r="AX356" s="173"/>
      <c r="AY356" s="173"/>
      <c r="AZ356" s="173"/>
      <c r="BA356" s="173"/>
      <c r="BB356" s="173"/>
      <c r="BC356" s="173"/>
      <c r="BD356" s="173"/>
      <c r="BE356" s="173"/>
      <c r="BF356" s="173"/>
      <c r="BG356" s="173"/>
      <c r="BH356" s="173"/>
      <c r="BI356" s="173"/>
      <c r="BJ356" s="173"/>
      <c r="BK356" s="173"/>
      <c r="BL356" s="173"/>
      <c r="BM356" s="173"/>
      <c r="BN356" s="173"/>
      <c r="BO356" s="173"/>
      <c r="BP356" s="173"/>
      <c r="BQ356" s="173"/>
      <c r="BR356" s="173"/>
      <c r="BS356" s="173"/>
      <c r="BT356" s="173"/>
      <c r="BU356" s="173"/>
      <c r="BV356" s="173"/>
      <c r="BW356" s="173"/>
      <c r="BX356" s="173"/>
      <c r="BY356" s="173"/>
      <c r="BZ356" s="173"/>
      <c r="CA356" s="173"/>
      <c r="CB356" s="173"/>
      <c r="CC356" s="173"/>
      <c r="CD356" s="173"/>
      <c r="CE356" s="173"/>
      <c r="CF356" s="173"/>
      <c r="CG356" s="173"/>
      <c r="CH356" s="173"/>
      <c r="CI356" s="173"/>
      <c r="CJ356" s="173"/>
      <c r="CK356" s="173"/>
      <c r="CL356" s="173"/>
      <c r="CM356" s="173"/>
      <c r="CN356" s="173"/>
      <c r="CO356" s="173"/>
      <c r="CP356" s="173"/>
      <c r="CQ356" s="173"/>
      <c r="CR356" s="173"/>
      <c r="CS356" s="173"/>
      <c r="CT356" s="173"/>
      <c r="CU356" s="173"/>
      <c r="CV356" s="173"/>
      <c r="CW356" s="173"/>
      <c r="CX356" s="173"/>
      <c r="CY356" s="148"/>
      <c r="CZ356" s="148"/>
      <c r="DA356" s="148"/>
      <c r="DB356" s="148"/>
      <c r="DC356" s="148"/>
      <c r="DD356" s="148"/>
      <c r="DE356" s="148"/>
      <c r="DF356" s="148"/>
      <c r="DG356" s="148"/>
      <c r="DH356" s="148"/>
      <c r="DI356" s="148"/>
      <c r="DJ356" s="148"/>
      <c r="DK356" s="148"/>
      <c r="DL356" s="148"/>
      <c r="DM356" s="148"/>
      <c r="DN356" s="148"/>
      <c r="DO356" s="148"/>
      <c r="DP356" s="148"/>
      <c r="DQ356" s="148"/>
      <c r="DR356" s="148"/>
      <c r="DS356" s="148"/>
      <c r="DT356" s="148"/>
      <c r="DU356" s="148"/>
      <c r="DV356" s="148"/>
      <c r="DW356" s="148"/>
      <c r="DX356" s="148"/>
      <c r="DY356" s="148"/>
      <c r="DZ356" s="148"/>
      <c r="EA356" s="148"/>
      <c r="EB356" s="148"/>
      <c r="EC356" s="148"/>
      <c r="ED356" s="148"/>
      <c r="EE356" s="148"/>
      <c r="EF356" s="148"/>
      <c r="EG356" s="148"/>
      <c r="EH356" s="148"/>
      <c r="EI356" s="148"/>
      <c r="EJ356" s="148"/>
      <c r="EK356" s="148"/>
      <c r="EL356" s="148"/>
      <c r="EM356" s="148"/>
      <c r="EN356" s="148"/>
      <c r="EO356" s="148"/>
      <c r="EP356" s="148"/>
      <c r="EQ356" s="148"/>
      <c r="ER356" s="148"/>
      <c r="ES356" s="148"/>
      <c r="ET356" s="148"/>
      <c r="EU356" s="148"/>
      <c r="EV356" s="148"/>
      <c r="EW356" s="148"/>
      <c r="EX356" s="148"/>
      <c r="EY356" s="148"/>
      <c r="EZ356" s="148"/>
      <c r="FA356" s="148"/>
      <c r="FB356" s="148"/>
      <c r="FC356" s="148"/>
      <c r="FD356" s="148"/>
      <c r="FE356" s="148"/>
      <c r="FF356" s="148"/>
      <c r="FG356" s="148"/>
      <c r="FH356" s="148"/>
      <c r="FI356" s="148"/>
      <c r="FJ356" s="148"/>
      <c r="FK356" s="148"/>
      <c r="FL356" s="148"/>
      <c r="FM356" s="148"/>
      <c r="FN356" s="148"/>
      <c r="FO356" s="148"/>
      <c r="FP356" s="148"/>
      <c r="FQ356" s="148"/>
      <c r="FR356" s="148"/>
      <c r="FS356" s="148"/>
      <c r="FT356" s="148"/>
      <c r="FU356" s="148"/>
      <c r="FV356" s="148"/>
      <c r="FW356" s="148"/>
      <c r="FX356" s="148"/>
      <c r="FY356" s="148"/>
      <c r="FZ356" s="148"/>
      <c r="GA356" s="148"/>
      <c r="GB356" s="148"/>
      <c r="GC356" s="148"/>
      <c r="GD356" s="148"/>
      <c r="GE356" s="148"/>
      <c r="GF356" s="148"/>
      <c r="GG356" s="149"/>
    </row>
    <row r="357" spans="1:189" ht="27.75" x14ac:dyDescent="0.35">
      <c r="A357" s="297" t="s">
        <v>898</v>
      </c>
      <c r="B357" s="298" t="s">
        <v>1079</v>
      </c>
      <c r="C357" s="298" t="s">
        <v>1064</v>
      </c>
      <c r="D357" s="299"/>
      <c r="E357" s="298" t="s">
        <v>808</v>
      </c>
      <c r="F357" s="298" t="s">
        <v>860</v>
      </c>
      <c r="G357" s="300">
        <v>2</v>
      </c>
      <c r="H357" s="301"/>
      <c r="I357" s="302"/>
      <c r="J357" s="302"/>
      <c r="K357" s="302"/>
      <c r="L357" s="303">
        <v>45995</v>
      </c>
      <c r="M357" s="303">
        <v>46022</v>
      </c>
      <c r="N357" s="303"/>
      <c r="O357" s="303">
        <v>46023</v>
      </c>
      <c r="P357" s="303">
        <v>46934</v>
      </c>
      <c r="Q357" s="304" t="s">
        <v>11</v>
      </c>
      <c r="R357" s="305">
        <v>340000</v>
      </c>
      <c r="S357" s="305">
        <f>340000-SUM(S358)</f>
        <v>242560</v>
      </c>
      <c r="T357" s="305"/>
      <c r="U357" s="191">
        <f t="shared" si="318"/>
        <v>0</v>
      </c>
      <c r="V357" s="306"/>
      <c r="W357" s="307"/>
      <c r="X357" s="46"/>
      <c r="Y357" s="167">
        <f t="shared" si="319"/>
        <v>242560</v>
      </c>
      <c r="Z357" s="167">
        <f t="shared" si="320"/>
        <v>0</v>
      </c>
      <c r="AA357" s="167">
        <f t="shared" si="321"/>
        <v>242560</v>
      </c>
      <c r="AB357" s="167">
        <f t="shared" si="322"/>
        <v>0</v>
      </c>
      <c r="AC357" s="167">
        <f t="shared" si="323"/>
        <v>0</v>
      </c>
      <c r="AD357" s="167">
        <f t="shared" si="324"/>
        <v>0</v>
      </c>
      <c r="AF357" s="47">
        <f t="shared" si="458"/>
        <v>1</v>
      </c>
      <c r="AG357" s="202" t="str">
        <f t="shared" si="459"/>
        <v>Urszula Szwarc Construction site fencing with gates and wickets</v>
      </c>
      <c r="AH357" s="172"/>
      <c r="AI357" s="173"/>
      <c r="AJ357" s="173"/>
      <c r="AK357" s="173"/>
      <c r="AL357" s="173"/>
      <c r="AM357" s="173"/>
      <c r="AN357" s="173"/>
      <c r="AO357" s="173"/>
      <c r="AP357" s="173"/>
      <c r="AQ357" s="173"/>
      <c r="AR357" s="173"/>
      <c r="AS357" s="173"/>
      <c r="AT357" s="173"/>
      <c r="AU357" s="173"/>
      <c r="AV357" s="173"/>
      <c r="AW357" s="173"/>
      <c r="AX357" s="173"/>
      <c r="AY357" s="173"/>
      <c r="AZ357" s="173"/>
      <c r="BA357" s="173"/>
      <c r="BB357" s="173"/>
      <c r="BC357" s="173"/>
      <c r="BD357" s="173"/>
      <c r="BE357" s="173"/>
      <c r="BF357" s="173"/>
      <c r="BG357" s="173"/>
      <c r="BH357" s="173"/>
      <c r="BI357" s="173"/>
      <c r="BJ357" s="173"/>
      <c r="BK357" s="173"/>
      <c r="BL357" s="173"/>
      <c r="BM357" s="173"/>
      <c r="BN357" s="173"/>
      <c r="BO357" s="173"/>
      <c r="BP357" s="173"/>
      <c r="BQ357" s="173"/>
      <c r="BR357" s="173"/>
      <c r="BS357" s="173"/>
      <c r="BT357" s="173"/>
      <c r="BU357" s="173"/>
      <c r="BV357" s="173"/>
      <c r="BW357" s="173"/>
      <c r="BX357" s="173"/>
      <c r="BY357" s="173"/>
      <c r="BZ357" s="173"/>
      <c r="CA357" s="173"/>
      <c r="CB357" s="173"/>
      <c r="CC357" s="173"/>
      <c r="CD357" s="173"/>
      <c r="CE357" s="173"/>
      <c r="CF357" s="173"/>
      <c r="CG357" s="173"/>
      <c r="CH357" s="173"/>
      <c r="CI357" s="173"/>
      <c r="CJ357" s="173"/>
      <c r="CK357" s="173"/>
      <c r="CL357" s="173"/>
      <c r="CM357" s="173"/>
      <c r="CN357" s="173"/>
      <c r="CO357" s="173"/>
      <c r="CP357" s="173"/>
      <c r="CQ357" s="173"/>
      <c r="CR357" s="173"/>
      <c r="CS357" s="173"/>
      <c r="CT357" s="173"/>
      <c r="CU357" s="173"/>
      <c r="CV357" s="173"/>
      <c r="CW357" s="173"/>
      <c r="CX357" s="173"/>
      <c r="CY357" s="148"/>
      <c r="CZ357" s="148"/>
      <c r="DA357" s="148"/>
      <c r="DB357" s="148"/>
      <c r="DC357" s="148"/>
      <c r="DD357" s="148"/>
      <c r="DE357" s="148"/>
      <c r="DF357" s="148"/>
      <c r="DG357" s="148"/>
      <c r="DH357" s="148"/>
      <c r="DI357" s="148"/>
      <c r="DJ357" s="148"/>
      <c r="DK357" s="148"/>
      <c r="DL357" s="148"/>
      <c r="DM357" s="148"/>
      <c r="DN357" s="148"/>
      <c r="DO357" s="148"/>
      <c r="DP357" s="148"/>
      <c r="DQ357" s="148"/>
      <c r="DR357" s="148"/>
      <c r="DS357" s="148"/>
      <c r="DT357" s="148"/>
      <c r="DU357" s="148"/>
      <c r="DV357" s="148"/>
      <c r="DW357" s="148"/>
      <c r="DX357" s="148"/>
      <c r="DY357" s="148"/>
      <c r="DZ357" s="148"/>
      <c r="EA357" s="148"/>
      <c r="EB357" s="148"/>
      <c r="EC357" s="148"/>
      <c r="ED357" s="148"/>
      <c r="EE357" s="148"/>
      <c r="EF357" s="148"/>
      <c r="EG357" s="148"/>
      <c r="EH357" s="148"/>
      <c r="EI357" s="148"/>
      <c r="EJ357" s="148"/>
      <c r="EK357" s="148"/>
      <c r="EL357" s="148"/>
      <c r="EM357" s="148"/>
      <c r="EN357" s="148"/>
      <c r="EO357" s="148"/>
      <c r="EP357" s="148"/>
      <c r="EQ357" s="148"/>
      <c r="ER357" s="148"/>
      <c r="ES357" s="148"/>
      <c r="ET357" s="148"/>
      <c r="EU357" s="148"/>
      <c r="EV357" s="148"/>
      <c r="EW357" s="148"/>
      <c r="EX357" s="148"/>
      <c r="EY357" s="148"/>
      <c r="EZ357" s="148"/>
      <c r="FA357" s="148"/>
      <c r="FB357" s="148"/>
      <c r="FC357" s="148"/>
      <c r="FD357" s="148"/>
      <c r="FE357" s="148"/>
      <c r="FF357" s="148"/>
      <c r="FG357" s="148"/>
      <c r="FH357" s="148"/>
      <c r="FI357" s="148"/>
      <c r="FJ357" s="148"/>
      <c r="FK357" s="148"/>
      <c r="FL357" s="148"/>
      <c r="FM357" s="148"/>
      <c r="FN357" s="148"/>
      <c r="FO357" s="148"/>
      <c r="FP357" s="148"/>
      <c r="FQ357" s="148"/>
      <c r="FR357" s="148"/>
      <c r="FS357" s="148"/>
      <c r="FT357" s="148"/>
      <c r="FU357" s="148"/>
      <c r="FV357" s="148"/>
      <c r="FW357" s="148"/>
      <c r="FX357" s="148"/>
      <c r="FY357" s="148"/>
      <c r="FZ357" s="148"/>
      <c r="GA357" s="148"/>
      <c r="GB357" s="148"/>
      <c r="GC357" s="148"/>
      <c r="GD357" s="148"/>
      <c r="GE357" s="148"/>
      <c r="GF357" s="148"/>
      <c r="GG357" s="149"/>
    </row>
    <row r="358" spans="1:189" ht="27.75" x14ac:dyDescent="0.35">
      <c r="A358" s="267" t="s">
        <v>1139</v>
      </c>
      <c r="B358" s="221" t="s">
        <v>1079</v>
      </c>
      <c r="C358" s="221" t="s">
        <v>1064</v>
      </c>
      <c r="D358" s="222"/>
      <c r="E358" s="221" t="s">
        <v>1176</v>
      </c>
      <c r="F358" s="221" t="s">
        <v>1175</v>
      </c>
      <c r="G358" s="223">
        <v>2</v>
      </c>
      <c r="H358" s="224" t="s">
        <v>872</v>
      </c>
      <c r="I358" s="225"/>
      <c r="J358" s="225"/>
      <c r="K358" s="225"/>
      <c r="L358" s="226">
        <v>45995</v>
      </c>
      <c r="M358" s="226">
        <v>46022</v>
      </c>
      <c r="N358" s="226">
        <v>46022</v>
      </c>
      <c r="O358" s="226">
        <v>46023</v>
      </c>
      <c r="P358" s="226">
        <v>46934</v>
      </c>
      <c r="Q358" s="227" t="s">
        <v>20</v>
      </c>
      <c r="R358" s="228"/>
      <c r="S358" s="228">
        <v>97440</v>
      </c>
      <c r="T358" s="228">
        <v>97440</v>
      </c>
      <c r="U358" s="191">
        <f t="shared" ref="U358" si="467">IF(Q358="",0,IF(T358="",0,+S358-T358))</f>
        <v>0</v>
      </c>
      <c r="V358" s="230"/>
      <c r="W358" s="231"/>
      <c r="X358" s="46"/>
      <c r="Y358" s="167">
        <f t="shared" ref="Y358" si="468">IF(G358=2,S358,0)</f>
        <v>97440</v>
      </c>
      <c r="Z358" s="167">
        <f t="shared" ref="Z358" si="469">IF(Q358="",0,IF(G358=2,T358,0))</f>
        <v>97440</v>
      </c>
      <c r="AA358" s="167">
        <f t="shared" ref="AA358" si="470">Y358-Z358</f>
        <v>0</v>
      </c>
      <c r="AB358" s="167">
        <f t="shared" ref="AB358" si="471">IF(G358=1,S358,0)</f>
        <v>0</v>
      </c>
      <c r="AC358" s="167">
        <f t="shared" ref="AC358" si="472">IF(Q358="",0,IF(G358=1,T358,0))</f>
        <v>0</v>
      </c>
      <c r="AD358" s="167">
        <f t="shared" ref="AD358" si="473">AB358-AC358</f>
        <v>0</v>
      </c>
      <c r="AF358" s="47">
        <f t="shared" si="458"/>
        <v>1</v>
      </c>
      <c r="AG358" s="202" t="str">
        <f t="shared" si="459"/>
        <v>Urszula Szwarc Construction site fencing with gates and wickets ECd_16</v>
      </c>
      <c r="AH358" s="150"/>
      <c r="AI358" s="151"/>
      <c r="AJ358" s="151"/>
      <c r="AK358" s="151"/>
      <c r="AL358" s="151"/>
      <c r="AM358" s="151"/>
      <c r="AN358" s="151"/>
      <c r="AO358" s="151"/>
      <c r="AP358" s="151"/>
      <c r="AQ358" s="151"/>
      <c r="AR358" s="151"/>
      <c r="AS358" s="151"/>
      <c r="AT358" s="151"/>
      <c r="AU358" s="151"/>
      <c r="AV358" s="151"/>
      <c r="AW358" s="151"/>
      <c r="AX358" s="151"/>
      <c r="AY358" s="151"/>
      <c r="AZ358" s="151"/>
      <c r="BA358" s="151"/>
      <c r="BB358" s="151"/>
      <c r="BC358" s="151"/>
      <c r="BD358" s="151"/>
      <c r="BE358" s="151"/>
      <c r="BF358" s="151"/>
      <c r="BG358" s="151"/>
      <c r="BH358" s="151"/>
      <c r="BI358" s="151"/>
      <c r="BJ358" s="151"/>
      <c r="BK358" s="151"/>
      <c r="BL358" s="151"/>
      <c r="BM358" s="151"/>
      <c r="BN358" s="151"/>
      <c r="BO358" s="151"/>
      <c r="BP358" s="151"/>
      <c r="BQ358" s="151"/>
      <c r="BR358" s="151"/>
      <c r="BS358" s="151"/>
      <c r="BT358" s="151"/>
      <c r="BU358" s="151"/>
      <c r="BV358" s="151"/>
      <c r="BW358" s="151"/>
      <c r="BX358" s="151"/>
      <c r="BY358" s="151"/>
      <c r="BZ358" s="151"/>
      <c r="CA358" s="151"/>
      <c r="CB358" s="151"/>
      <c r="CC358" s="151"/>
      <c r="CD358" s="151"/>
      <c r="CE358" s="151"/>
      <c r="CF358" s="151"/>
      <c r="CG358" s="151"/>
      <c r="CH358" s="151"/>
      <c r="CI358" s="151"/>
      <c r="CJ358" s="151"/>
      <c r="CK358" s="151"/>
      <c r="CL358" s="151"/>
      <c r="CM358" s="151"/>
      <c r="CN358" s="151"/>
      <c r="CO358" s="151"/>
      <c r="CP358" s="151"/>
      <c r="CQ358" s="151"/>
      <c r="CR358" s="151"/>
      <c r="CS358" s="151"/>
      <c r="CT358" s="151"/>
      <c r="CU358" s="151"/>
      <c r="CV358" s="151"/>
      <c r="CW358" s="151"/>
      <c r="CX358" s="151"/>
      <c r="CY358" s="151"/>
      <c r="CZ358" s="151"/>
      <c r="DA358" s="151"/>
      <c r="DB358" s="151"/>
      <c r="DC358" s="151"/>
      <c r="DD358" s="151"/>
      <c r="DE358" s="151"/>
      <c r="DF358" s="151"/>
      <c r="DG358" s="151"/>
      <c r="DH358" s="151"/>
      <c r="DI358" s="151"/>
      <c r="DJ358" s="151"/>
      <c r="DK358" s="151"/>
      <c r="DL358" s="151"/>
      <c r="DM358" s="151"/>
      <c r="DN358" s="151"/>
      <c r="DO358" s="151"/>
      <c r="DP358" s="151"/>
      <c r="DQ358" s="151"/>
      <c r="DR358" s="151"/>
      <c r="DS358" s="151"/>
      <c r="DT358" s="151"/>
      <c r="DU358" s="151"/>
      <c r="DV358" s="151"/>
      <c r="DW358" s="151"/>
      <c r="DX358" s="151"/>
      <c r="DY358" s="151"/>
      <c r="DZ358" s="151"/>
      <c r="EA358" s="151"/>
      <c r="EB358" s="151"/>
      <c r="EC358" s="151"/>
      <c r="ED358" s="151"/>
      <c r="EE358" s="151"/>
      <c r="EF358" s="151"/>
      <c r="EG358" s="151"/>
      <c r="EH358" s="151"/>
      <c r="EI358" s="151"/>
      <c r="EJ358" s="151"/>
      <c r="EK358" s="151"/>
      <c r="EL358" s="151"/>
      <c r="EM358" s="151"/>
      <c r="EN358" s="151"/>
      <c r="EO358" s="151"/>
      <c r="EP358" s="151"/>
      <c r="EQ358" s="151"/>
      <c r="ER358" s="151"/>
      <c r="ES358" s="151"/>
      <c r="ET358" s="151"/>
      <c r="EU358" s="151"/>
      <c r="EV358" s="151"/>
      <c r="EW358" s="151"/>
      <c r="EX358" s="151"/>
      <c r="EY358" s="151"/>
      <c r="EZ358" s="151"/>
      <c r="FA358" s="151"/>
      <c r="FB358" s="151"/>
      <c r="FC358" s="151"/>
      <c r="FD358" s="151"/>
      <c r="FE358" s="151"/>
      <c r="FF358" s="151"/>
      <c r="FG358" s="151"/>
      <c r="FH358" s="151"/>
      <c r="FI358" s="151"/>
      <c r="FJ358" s="151"/>
      <c r="FK358" s="151"/>
      <c r="FL358" s="151"/>
      <c r="FM358" s="151"/>
      <c r="FN358" s="151"/>
      <c r="FO358" s="151"/>
      <c r="FP358" s="151"/>
      <c r="FQ358" s="151"/>
      <c r="FR358" s="151"/>
      <c r="FS358" s="151"/>
      <c r="FT358" s="151"/>
      <c r="FU358" s="151"/>
      <c r="FV358" s="151"/>
      <c r="FW358" s="151"/>
      <c r="FX358" s="151"/>
      <c r="FY358" s="151"/>
      <c r="FZ358" s="151"/>
      <c r="GA358" s="151"/>
      <c r="GB358" s="151"/>
      <c r="GC358" s="151"/>
      <c r="GD358" s="151"/>
      <c r="GE358" s="151"/>
      <c r="GF358" s="151"/>
      <c r="GG358" s="152"/>
    </row>
    <row r="359" spans="1:189" x14ac:dyDescent="0.35">
      <c r="A359" s="297" t="s">
        <v>899</v>
      </c>
      <c r="B359" s="298"/>
      <c r="C359" s="298"/>
      <c r="D359" s="299"/>
      <c r="E359" s="298" t="s">
        <v>824</v>
      </c>
      <c r="F359" s="298" t="s">
        <v>861</v>
      </c>
      <c r="G359" s="300">
        <v>2</v>
      </c>
      <c r="H359" s="301"/>
      <c r="I359" s="302"/>
      <c r="J359" s="302"/>
      <c r="K359" s="302"/>
      <c r="L359" s="303">
        <v>45995</v>
      </c>
      <c r="M359" s="303">
        <v>46022</v>
      </c>
      <c r="N359" s="303"/>
      <c r="O359" s="303">
        <v>46023</v>
      </c>
      <c r="P359" s="303">
        <v>46934</v>
      </c>
      <c r="Q359" s="304" t="s">
        <v>45</v>
      </c>
      <c r="R359" s="305">
        <v>8000</v>
      </c>
      <c r="S359" s="305">
        <v>8000</v>
      </c>
      <c r="T359" s="305"/>
      <c r="U359" s="191">
        <f t="shared" si="318"/>
        <v>0</v>
      </c>
      <c r="V359" s="306"/>
      <c r="W359" s="307"/>
      <c r="X359" s="46"/>
      <c r="Y359" s="167">
        <f t="shared" si="319"/>
        <v>8000</v>
      </c>
      <c r="Z359" s="167">
        <f t="shared" si="320"/>
        <v>0</v>
      </c>
      <c r="AA359" s="167">
        <f t="shared" si="321"/>
        <v>8000</v>
      </c>
      <c r="AB359" s="167">
        <f t="shared" si="322"/>
        <v>0</v>
      </c>
      <c r="AC359" s="167">
        <f t="shared" si="323"/>
        <v>0</v>
      </c>
      <c r="AD359" s="167">
        <f t="shared" si="324"/>
        <v>0</v>
      </c>
      <c r="AF359" s="47">
        <f t="shared" si="458"/>
        <v>1</v>
      </c>
      <c r="AG359" s="202" t="str">
        <f t="shared" si="459"/>
        <v xml:space="preserve"> Information boards</v>
      </c>
      <c r="AH359" s="172"/>
      <c r="AI359" s="173"/>
      <c r="AJ359" s="173"/>
      <c r="AK359" s="173"/>
      <c r="AL359" s="173"/>
      <c r="AM359" s="173"/>
      <c r="AN359" s="173"/>
      <c r="AO359" s="173"/>
      <c r="AP359" s="173"/>
      <c r="AQ359" s="173"/>
      <c r="AR359" s="173"/>
      <c r="AS359" s="173"/>
      <c r="AT359" s="173"/>
      <c r="AU359" s="173"/>
      <c r="AV359" s="173"/>
      <c r="AW359" s="173"/>
      <c r="AX359" s="173"/>
      <c r="AY359" s="173"/>
      <c r="AZ359" s="173"/>
      <c r="BA359" s="173"/>
      <c r="BB359" s="173"/>
      <c r="BC359" s="173"/>
      <c r="BD359" s="173"/>
      <c r="BE359" s="173"/>
      <c r="BF359" s="173"/>
      <c r="BG359" s="173"/>
      <c r="BH359" s="173"/>
      <c r="BI359" s="173"/>
      <c r="BJ359" s="173"/>
      <c r="BK359" s="173"/>
      <c r="BL359" s="173"/>
      <c r="BM359" s="173"/>
      <c r="BN359" s="173"/>
      <c r="BO359" s="173"/>
      <c r="BP359" s="173"/>
      <c r="BQ359" s="173"/>
      <c r="BR359" s="173"/>
      <c r="BS359" s="173"/>
      <c r="BT359" s="173"/>
      <c r="BU359" s="173"/>
      <c r="BV359" s="173"/>
      <c r="BW359" s="173"/>
      <c r="BX359" s="173"/>
      <c r="BY359" s="173"/>
      <c r="BZ359" s="173"/>
      <c r="CA359" s="173"/>
      <c r="CB359" s="173"/>
      <c r="CC359" s="173"/>
      <c r="CD359" s="173"/>
      <c r="CE359" s="173"/>
      <c r="CF359" s="173"/>
      <c r="CG359" s="173"/>
      <c r="CH359" s="173"/>
      <c r="CI359" s="173"/>
      <c r="CJ359" s="173"/>
      <c r="CK359" s="173"/>
      <c r="CL359" s="173"/>
      <c r="CM359" s="173"/>
      <c r="CN359" s="173"/>
      <c r="CO359" s="173"/>
      <c r="CP359" s="173"/>
      <c r="CQ359" s="173"/>
      <c r="CR359" s="173"/>
      <c r="CS359" s="173"/>
      <c r="CT359" s="173"/>
      <c r="CU359" s="173"/>
      <c r="CV359" s="173"/>
      <c r="CW359" s="173"/>
      <c r="CX359" s="173"/>
      <c r="CY359" s="148"/>
      <c r="CZ359" s="148"/>
      <c r="DA359" s="148"/>
      <c r="DB359" s="148"/>
      <c r="DC359" s="148"/>
      <c r="DD359" s="148"/>
      <c r="DE359" s="148"/>
      <c r="DF359" s="148"/>
      <c r="DG359" s="148"/>
      <c r="DH359" s="148"/>
      <c r="DI359" s="148"/>
      <c r="DJ359" s="148"/>
      <c r="DK359" s="148"/>
      <c r="DL359" s="148"/>
      <c r="DM359" s="148"/>
      <c r="DN359" s="148"/>
      <c r="DO359" s="148"/>
      <c r="DP359" s="148"/>
      <c r="DQ359" s="148"/>
      <c r="DR359" s="148"/>
      <c r="DS359" s="148"/>
      <c r="DT359" s="148"/>
      <c r="DU359" s="148"/>
      <c r="DV359" s="148"/>
      <c r="DW359" s="148"/>
      <c r="DX359" s="148"/>
      <c r="DY359" s="148"/>
      <c r="DZ359" s="148"/>
      <c r="EA359" s="148"/>
      <c r="EB359" s="148"/>
      <c r="EC359" s="148"/>
      <c r="ED359" s="148"/>
      <c r="EE359" s="148"/>
      <c r="EF359" s="148"/>
      <c r="EG359" s="148"/>
      <c r="EH359" s="148"/>
      <c r="EI359" s="148"/>
      <c r="EJ359" s="148"/>
      <c r="EK359" s="148"/>
      <c r="EL359" s="148"/>
      <c r="EM359" s="148"/>
      <c r="EN359" s="148"/>
      <c r="EO359" s="148"/>
      <c r="EP359" s="148"/>
      <c r="EQ359" s="148"/>
      <c r="ER359" s="148"/>
      <c r="ES359" s="148"/>
      <c r="ET359" s="148"/>
      <c r="EU359" s="148"/>
      <c r="EV359" s="148"/>
      <c r="EW359" s="148"/>
      <c r="EX359" s="148"/>
      <c r="EY359" s="148"/>
      <c r="EZ359" s="148"/>
      <c r="FA359" s="148"/>
      <c r="FB359" s="148"/>
      <c r="FC359" s="148"/>
      <c r="FD359" s="148"/>
      <c r="FE359" s="148"/>
      <c r="FF359" s="148"/>
      <c r="FG359" s="148"/>
      <c r="FH359" s="148"/>
      <c r="FI359" s="148"/>
      <c r="FJ359" s="148"/>
      <c r="FK359" s="148"/>
      <c r="FL359" s="148"/>
      <c r="FM359" s="148"/>
      <c r="FN359" s="148"/>
      <c r="FO359" s="148"/>
      <c r="FP359" s="148"/>
      <c r="FQ359" s="148"/>
      <c r="FR359" s="148"/>
      <c r="FS359" s="148"/>
      <c r="FT359" s="148"/>
      <c r="FU359" s="148"/>
      <c r="FV359" s="148"/>
      <c r="FW359" s="148"/>
      <c r="FX359" s="148"/>
      <c r="FY359" s="148"/>
      <c r="FZ359" s="148"/>
      <c r="GA359" s="148"/>
      <c r="GB359" s="148"/>
      <c r="GC359" s="148"/>
      <c r="GD359" s="148"/>
      <c r="GE359" s="148"/>
      <c r="GF359" s="148"/>
      <c r="GG359" s="149"/>
    </row>
    <row r="360" spans="1:189" x14ac:dyDescent="0.35">
      <c r="A360" s="297" t="s">
        <v>900</v>
      </c>
      <c r="B360" s="298"/>
      <c r="C360" s="298"/>
      <c r="D360" s="299"/>
      <c r="E360" s="298" t="s">
        <v>809</v>
      </c>
      <c r="F360" s="298" t="s">
        <v>862</v>
      </c>
      <c r="G360" s="300">
        <v>2</v>
      </c>
      <c r="H360" s="301"/>
      <c r="I360" s="302"/>
      <c r="J360" s="302"/>
      <c r="K360" s="302"/>
      <c r="L360" s="303"/>
      <c r="M360" s="303"/>
      <c r="N360" s="303"/>
      <c r="O360" s="303"/>
      <c r="P360" s="303"/>
      <c r="Q360" s="304" t="s">
        <v>45</v>
      </c>
      <c r="R360" s="305">
        <v>40160</v>
      </c>
      <c r="S360" s="305">
        <v>40160</v>
      </c>
      <c r="T360" s="305"/>
      <c r="U360" s="191">
        <f t="shared" si="318"/>
        <v>0</v>
      </c>
      <c r="V360" s="306"/>
      <c r="W360" s="307"/>
      <c r="X360" s="46"/>
      <c r="Y360" s="167">
        <f t="shared" si="319"/>
        <v>40160</v>
      </c>
      <c r="Z360" s="167">
        <f t="shared" si="320"/>
        <v>0</v>
      </c>
      <c r="AA360" s="167">
        <f t="shared" si="321"/>
        <v>40160</v>
      </c>
      <c r="AB360" s="167">
        <f t="shared" si="322"/>
        <v>0</v>
      </c>
      <c r="AC360" s="167">
        <f t="shared" si="323"/>
        <v>0</v>
      </c>
      <c r="AD360" s="167">
        <f t="shared" si="324"/>
        <v>0</v>
      </c>
      <c r="AF360" s="47">
        <f t="shared" si="458"/>
        <v>1</v>
      </c>
      <c r="AG360" s="202" t="str">
        <f t="shared" si="459"/>
        <v xml:space="preserve"> Restoration of greenery (grassing)</v>
      </c>
      <c r="AH360" s="172"/>
      <c r="AI360" s="173"/>
      <c r="AJ360" s="173"/>
      <c r="AK360" s="173"/>
      <c r="AL360" s="173"/>
      <c r="AM360" s="173"/>
      <c r="AN360" s="173"/>
      <c r="AO360" s="173"/>
      <c r="AP360" s="173"/>
      <c r="AQ360" s="173"/>
      <c r="AR360" s="173"/>
      <c r="AS360" s="173"/>
      <c r="AT360" s="173"/>
      <c r="AU360" s="173"/>
      <c r="AV360" s="173"/>
      <c r="AW360" s="173"/>
      <c r="AX360" s="173"/>
      <c r="AY360" s="173"/>
      <c r="AZ360" s="173"/>
      <c r="BA360" s="173"/>
      <c r="BB360" s="173"/>
      <c r="BC360" s="173"/>
      <c r="BD360" s="173"/>
      <c r="BE360" s="173"/>
      <c r="BF360" s="173"/>
      <c r="BG360" s="173"/>
      <c r="BH360" s="173"/>
      <c r="BI360" s="173"/>
      <c r="BJ360" s="173"/>
      <c r="BK360" s="173"/>
      <c r="BL360" s="173"/>
      <c r="BM360" s="173"/>
      <c r="BN360" s="173"/>
      <c r="BO360" s="173"/>
      <c r="BP360" s="173"/>
      <c r="BQ360" s="173"/>
      <c r="BR360" s="173"/>
      <c r="BS360" s="173"/>
      <c r="BT360" s="173"/>
      <c r="BU360" s="173"/>
      <c r="BV360" s="173"/>
      <c r="BW360" s="173"/>
      <c r="BX360" s="173"/>
      <c r="BY360" s="173"/>
      <c r="BZ360" s="173"/>
      <c r="CA360" s="173"/>
      <c r="CB360" s="173"/>
      <c r="CC360" s="173"/>
      <c r="CD360" s="173"/>
      <c r="CE360" s="173"/>
      <c r="CF360" s="173"/>
      <c r="CG360" s="173"/>
      <c r="CH360" s="173"/>
      <c r="CI360" s="173"/>
      <c r="CJ360" s="173"/>
      <c r="CK360" s="173"/>
      <c r="CL360" s="173"/>
      <c r="CM360" s="173"/>
      <c r="CN360" s="173"/>
      <c r="CO360" s="173"/>
      <c r="CP360" s="173"/>
      <c r="CQ360" s="173"/>
      <c r="CR360" s="173"/>
      <c r="CS360" s="173"/>
      <c r="CT360" s="173"/>
      <c r="CU360" s="173"/>
      <c r="CV360" s="173"/>
      <c r="CW360" s="173"/>
      <c r="CX360" s="173"/>
      <c r="CY360" s="148"/>
      <c r="CZ360" s="148"/>
      <c r="DA360" s="148"/>
      <c r="DB360" s="148"/>
      <c r="DC360" s="148"/>
      <c r="DD360" s="148"/>
      <c r="DE360" s="148"/>
      <c r="DF360" s="148"/>
      <c r="DG360" s="148"/>
      <c r="DH360" s="148"/>
      <c r="DI360" s="148"/>
      <c r="DJ360" s="148"/>
      <c r="DK360" s="148"/>
      <c r="DL360" s="148"/>
      <c r="DM360" s="148"/>
      <c r="DN360" s="148"/>
      <c r="DO360" s="148"/>
      <c r="DP360" s="148"/>
      <c r="DQ360" s="148"/>
      <c r="DR360" s="148"/>
      <c r="DS360" s="148"/>
      <c r="DT360" s="148"/>
      <c r="DU360" s="148"/>
      <c r="DV360" s="148"/>
      <c r="DW360" s="148"/>
      <c r="DX360" s="148"/>
      <c r="DY360" s="148"/>
      <c r="DZ360" s="148"/>
      <c r="EA360" s="148"/>
      <c r="EB360" s="148"/>
      <c r="EC360" s="148"/>
      <c r="ED360" s="148"/>
      <c r="EE360" s="148"/>
      <c r="EF360" s="148"/>
      <c r="EG360" s="148"/>
      <c r="EH360" s="148"/>
      <c r="EI360" s="148"/>
      <c r="EJ360" s="148"/>
      <c r="EK360" s="148"/>
      <c r="EL360" s="148"/>
      <c r="EM360" s="148"/>
      <c r="EN360" s="148"/>
      <c r="EO360" s="148"/>
      <c r="EP360" s="148"/>
      <c r="EQ360" s="148"/>
      <c r="ER360" s="148"/>
      <c r="ES360" s="148"/>
      <c r="ET360" s="148"/>
      <c r="EU360" s="148"/>
      <c r="EV360" s="148"/>
      <c r="EW360" s="148"/>
      <c r="EX360" s="148"/>
      <c r="EY360" s="148"/>
      <c r="EZ360" s="148"/>
      <c r="FA360" s="148"/>
      <c r="FB360" s="148"/>
      <c r="FC360" s="148"/>
      <c r="FD360" s="148"/>
      <c r="FE360" s="148"/>
      <c r="FF360" s="148"/>
      <c r="FG360" s="148"/>
      <c r="FH360" s="148"/>
      <c r="FI360" s="148"/>
      <c r="FJ360" s="148"/>
      <c r="FK360" s="148"/>
      <c r="FL360" s="148"/>
      <c r="FM360" s="148"/>
      <c r="FN360" s="148"/>
      <c r="FO360" s="148"/>
      <c r="FP360" s="148"/>
      <c r="FQ360" s="148"/>
      <c r="FR360" s="148"/>
      <c r="FS360" s="148"/>
      <c r="FT360" s="148"/>
      <c r="FU360" s="148"/>
      <c r="FV360" s="148"/>
      <c r="FW360" s="148"/>
      <c r="FX360" s="148"/>
      <c r="FY360" s="148"/>
      <c r="FZ360" s="148"/>
      <c r="GA360" s="148"/>
      <c r="GB360" s="148"/>
      <c r="GC360" s="148"/>
      <c r="GD360" s="148"/>
      <c r="GE360" s="148"/>
      <c r="GF360" s="148"/>
      <c r="GG360" s="149"/>
    </row>
    <row r="361" spans="1:189" x14ac:dyDescent="0.35">
      <c r="A361" s="270" t="s">
        <v>901</v>
      </c>
      <c r="B361" s="236"/>
      <c r="C361" s="236"/>
      <c r="D361" s="237"/>
      <c r="E361" s="236" t="s">
        <v>801</v>
      </c>
      <c r="F361" s="236" t="s">
        <v>863</v>
      </c>
      <c r="G361" s="238">
        <v>2</v>
      </c>
      <c r="H361" s="239"/>
      <c r="I361" s="240"/>
      <c r="J361" s="240"/>
      <c r="K361" s="240"/>
      <c r="L361" s="241"/>
      <c r="M361" s="241"/>
      <c r="N361" s="241"/>
      <c r="O361" s="241"/>
      <c r="P361" s="241"/>
      <c r="Q361" s="242"/>
      <c r="R361" s="243"/>
      <c r="S361" s="243"/>
      <c r="T361" s="243"/>
      <c r="U361" s="191">
        <f t="shared" si="318"/>
        <v>0</v>
      </c>
      <c r="V361" s="244"/>
      <c r="W361" s="245"/>
      <c r="X361" s="46"/>
      <c r="Y361" s="167">
        <f t="shared" si="319"/>
        <v>0</v>
      </c>
      <c r="Z361" s="167">
        <f t="shared" si="320"/>
        <v>0</v>
      </c>
      <c r="AA361" s="167">
        <f t="shared" si="321"/>
        <v>0</v>
      </c>
      <c r="AB361" s="167">
        <f t="shared" si="322"/>
        <v>0</v>
      </c>
      <c r="AC361" s="167">
        <f t="shared" si="323"/>
        <v>0</v>
      </c>
      <c r="AD361" s="167">
        <f t="shared" si="324"/>
        <v>0</v>
      </c>
      <c r="AF361" s="47">
        <f t="shared" si="458"/>
        <v>0</v>
      </c>
      <c r="AG361" s="202" t="str">
        <f t="shared" si="459"/>
        <v xml:space="preserve"> Miscellaneous costs</v>
      </c>
      <c r="AH361" s="172"/>
      <c r="AI361" s="173"/>
      <c r="AJ361" s="173"/>
      <c r="AK361" s="173"/>
      <c r="AL361" s="173"/>
      <c r="AM361" s="173"/>
      <c r="AN361" s="173"/>
      <c r="AO361" s="173"/>
      <c r="AP361" s="173"/>
      <c r="AQ361" s="173"/>
      <c r="AR361" s="173"/>
      <c r="AS361" s="173"/>
      <c r="AT361" s="173"/>
      <c r="AU361" s="173"/>
      <c r="AV361" s="173"/>
      <c r="AW361" s="173"/>
      <c r="AX361" s="173"/>
      <c r="AY361" s="173"/>
      <c r="AZ361" s="173"/>
      <c r="BA361" s="173"/>
      <c r="BB361" s="173"/>
      <c r="BC361" s="173"/>
      <c r="BD361" s="173"/>
      <c r="BE361" s="173"/>
      <c r="BF361" s="173"/>
      <c r="BG361" s="173"/>
      <c r="BH361" s="173"/>
      <c r="BI361" s="173"/>
      <c r="BJ361" s="173"/>
      <c r="BK361" s="173"/>
      <c r="BL361" s="173"/>
      <c r="BM361" s="173"/>
      <c r="BN361" s="173"/>
      <c r="BO361" s="173"/>
      <c r="BP361" s="173"/>
      <c r="BQ361" s="173"/>
      <c r="BR361" s="173"/>
      <c r="BS361" s="173"/>
      <c r="BT361" s="173"/>
      <c r="BU361" s="173"/>
      <c r="BV361" s="173"/>
      <c r="BW361" s="173"/>
      <c r="BX361" s="173"/>
      <c r="BY361" s="173"/>
      <c r="BZ361" s="173"/>
      <c r="CA361" s="173"/>
      <c r="CB361" s="173"/>
      <c r="CC361" s="173"/>
      <c r="CD361" s="173"/>
      <c r="CE361" s="173"/>
      <c r="CF361" s="173"/>
      <c r="CG361" s="173"/>
      <c r="CH361" s="173"/>
      <c r="CI361" s="173"/>
      <c r="CJ361" s="173"/>
      <c r="CK361" s="173"/>
      <c r="CL361" s="173"/>
      <c r="CM361" s="173"/>
      <c r="CN361" s="173"/>
      <c r="CO361" s="173"/>
      <c r="CP361" s="173"/>
      <c r="CQ361" s="173"/>
      <c r="CR361" s="173"/>
      <c r="CS361" s="173"/>
      <c r="CT361" s="173"/>
      <c r="CU361" s="173"/>
      <c r="CV361" s="173"/>
      <c r="CW361" s="173"/>
      <c r="CX361" s="173"/>
      <c r="CY361" s="148"/>
      <c r="CZ361" s="148"/>
      <c r="DA361" s="148"/>
      <c r="DB361" s="148"/>
      <c r="DC361" s="148"/>
      <c r="DD361" s="148"/>
      <c r="DE361" s="148"/>
      <c r="DF361" s="148"/>
      <c r="DG361" s="148"/>
      <c r="DH361" s="148"/>
      <c r="DI361" s="148"/>
      <c r="DJ361" s="148"/>
      <c r="DK361" s="148"/>
      <c r="DL361" s="148"/>
      <c r="DM361" s="148"/>
      <c r="DN361" s="148"/>
      <c r="DO361" s="148"/>
      <c r="DP361" s="148"/>
      <c r="DQ361" s="148"/>
      <c r="DR361" s="148"/>
      <c r="DS361" s="148"/>
      <c r="DT361" s="148"/>
      <c r="DU361" s="148"/>
      <c r="DV361" s="148"/>
      <c r="DW361" s="148"/>
      <c r="DX361" s="148"/>
      <c r="DY361" s="148"/>
      <c r="DZ361" s="148"/>
      <c r="EA361" s="148"/>
      <c r="EB361" s="148"/>
      <c r="EC361" s="148"/>
      <c r="ED361" s="148"/>
      <c r="EE361" s="148"/>
      <c r="EF361" s="148"/>
      <c r="EG361" s="148"/>
      <c r="EH361" s="148"/>
      <c r="EI361" s="148"/>
      <c r="EJ361" s="148"/>
      <c r="EK361" s="148"/>
      <c r="EL361" s="148"/>
      <c r="EM361" s="148"/>
      <c r="EN361" s="148"/>
      <c r="EO361" s="148"/>
      <c r="EP361" s="148"/>
      <c r="EQ361" s="148"/>
      <c r="ER361" s="148"/>
      <c r="ES361" s="151"/>
      <c r="ET361" s="151"/>
      <c r="EU361" s="151"/>
      <c r="EV361" s="151"/>
      <c r="EW361" s="151"/>
      <c r="EX361" s="151"/>
      <c r="EY361" s="151"/>
      <c r="EZ361" s="151"/>
      <c r="FA361" s="151"/>
      <c r="FB361" s="151"/>
      <c r="FC361" s="151"/>
      <c r="FD361" s="151"/>
      <c r="FE361" s="151"/>
      <c r="FF361" s="151"/>
      <c r="FG361" s="151"/>
      <c r="FH361" s="151"/>
      <c r="FI361" s="151"/>
      <c r="FJ361" s="151"/>
      <c r="FK361" s="151"/>
      <c r="FL361" s="151"/>
      <c r="FM361" s="151"/>
      <c r="FN361" s="151"/>
      <c r="FO361" s="151"/>
      <c r="FP361" s="151"/>
      <c r="FQ361" s="151"/>
      <c r="FR361" s="151"/>
      <c r="FS361" s="151"/>
      <c r="FT361" s="151"/>
      <c r="FU361" s="151"/>
      <c r="FV361" s="151"/>
      <c r="FW361" s="151"/>
      <c r="FX361" s="151"/>
      <c r="FY361" s="151"/>
      <c r="FZ361" s="151"/>
      <c r="GA361" s="151"/>
      <c r="GB361" s="151"/>
      <c r="GC361" s="151"/>
      <c r="GD361" s="151"/>
      <c r="GE361" s="151"/>
      <c r="GF361" s="151"/>
      <c r="GG361" s="152"/>
    </row>
    <row r="362" spans="1:189" ht="27.75" x14ac:dyDescent="0.35">
      <c r="A362" s="297" t="s">
        <v>902</v>
      </c>
      <c r="B362" s="298"/>
      <c r="C362" s="298"/>
      <c r="D362" s="299"/>
      <c r="E362" s="298" t="s">
        <v>810</v>
      </c>
      <c r="F362" s="298" t="s">
        <v>864</v>
      </c>
      <c r="G362" s="300">
        <v>2</v>
      </c>
      <c r="H362" s="301"/>
      <c r="I362" s="302"/>
      <c r="J362" s="302"/>
      <c r="K362" s="302"/>
      <c r="L362" s="303">
        <v>46054</v>
      </c>
      <c r="M362" s="303">
        <v>46081</v>
      </c>
      <c r="N362" s="303"/>
      <c r="O362" s="303">
        <v>46082</v>
      </c>
      <c r="P362" s="303">
        <v>46934</v>
      </c>
      <c r="Q362" s="304" t="s">
        <v>45</v>
      </c>
      <c r="R362" s="305">
        <v>50000</v>
      </c>
      <c r="S362" s="305">
        <v>50000</v>
      </c>
      <c r="T362" s="305"/>
      <c r="U362" s="191">
        <f t="shared" si="318"/>
        <v>0</v>
      </c>
      <c r="V362" s="306"/>
      <c r="W362" s="307"/>
      <c r="X362" s="46"/>
      <c r="Y362" s="167">
        <f t="shared" si="319"/>
        <v>50000</v>
      </c>
      <c r="Z362" s="167">
        <f t="shared" si="320"/>
        <v>0</v>
      </c>
      <c r="AA362" s="167">
        <f t="shared" si="321"/>
        <v>50000</v>
      </c>
      <c r="AB362" s="167">
        <f t="shared" si="322"/>
        <v>0</v>
      </c>
      <c r="AC362" s="167">
        <f t="shared" si="323"/>
        <v>0</v>
      </c>
      <c r="AD362" s="167">
        <f t="shared" si="324"/>
        <v>0</v>
      </c>
      <c r="AF362" s="47">
        <f t="shared" si="458"/>
        <v>1</v>
      </c>
      <c r="AG362" s="202" t="str">
        <f t="shared" si="459"/>
        <v xml:space="preserve"> Fire protection services and fire protection equipment</v>
      </c>
      <c r="AH362" s="172"/>
      <c r="AI362" s="173"/>
      <c r="AJ362" s="173"/>
      <c r="AK362" s="173"/>
      <c r="AL362" s="173"/>
      <c r="AM362" s="173"/>
      <c r="AN362" s="173"/>
      <c r="AO362" s="173"/>
      <c r="AP362" s="173"/>
      <c r="AQ362" s="173"/>
      <c r="AR362" s="173"/>
      <c r="AS362" s="173"/>
      <c r="AT362" s="173"/>
      <c r="AU362" s="173"/>
      <c r="AV362" s="173"/>
      <c r="AW362" s="173"/>
      <c r="AX362" s="173"/>
      <c r="AY362" s="173"/>
      <c r="AZ362" s="173"/>
      <c r="BA362" s="173"/>
      <c r="BB362" s="173"/>
      <c r="BC362" s="173"/>
      <c r="BD362" s="173"/>
      <c r="BE362" s="173"/>
      <c r="BF362" s="173"/>
      <c r="BG362" s="173"/>
      <c r="BH362" s="173"/>
      <c r="BI362" s="173"/>
      <c r="BJ362" s="173"/>
      <c r="BK362" s="173"/>
      <c r="BL362" s="173"/>
      <c r="BM362" s="173"/>
      <c r="BN362" s="173"/>
      <c r="BO362" s="173"/>
      <c r="BP362" s="173"/>
      <c r="BQ362" s="173"/>
      <c r="BR362" s="173"/>
      <c r="BS362" s="173"/>
      <c r="BT362" s="173"/>
      <c r="BU362" s="173"/>
      <c r="BV362" s="173"/>
      <c r="BW362" s="173"/>
      <c r="BX362" s="173"/>
      <c r="BY362" s="173"/>
      <c r="BZ362" s="173"/>
      <c r="CA362" s="173"/>
      <c r="CB362" s="173"/>
      <c r="CC362" s="173"/>
      <c r="CD362" s="173"/>
      <c r="CE362" s="173"/>
      <c r="CF362" s="173"/>
      <c r="CG362" s="173"/>
      <c r="CH362" s="173"/>
      <c r="CI362" s="173"/>
      <c r="CJ362" s="173"/>
      <c r="CK362" s="173"/>
      <c r="CL362" s="173"/>
      <c r="CM362" s="173"/>
      <c r="CN362" s="173"/>
      <c r="CO362" s="173"/>
      <c r="CP362" s="173"/>
      <c r="CQ362" s="173"/>
      <c r="CR362" s="173"/>
      <c r="CS362" s="173"/>
      <c r="CT362" s="173"/>
      <c r="CU362" s="173"/>
      <c r="CV362" s="173"/>
      <c r="CW362" s="173"/>
      <c r="CX362" s="173"/>
      <c r="CY362" s="148"/>
      <c r="CZ362" s="148"/>
      <c r="DA362" s="148"/>
      <c r="DB362" s="148"/>
      <c r="DC362" s="148"/>
      <c r="DD362" s="148"/>
      <c r="DE362" s="148"/>
      <c r="DF362" s="148"/>
      <c r="DG362" s="148"/>
      <c r="DH362" s="148"/>
      <c r="DI362" s="148"/>
      <c r="DJ362" s="148"/>
      <c r="DK362" s="148"/>
      <c r="DL362" s="148"/>
      <c r="DM362" s="148"/>
      <c r="DN362" s="148"/>
      <c r="DO362" s="148"/>
      <c r="DP362" s="148"/>
      <c r="DQ362" s="148"/>
      <c r="DR362" s="148"/>
      <c r="DS362" s="148"/>
      <c r="DT362" s="148"/>
      <c r="DU362" s="148"/>
      <c r="DV362" s="148"/>
      <c r="DW362" s="148"/>
      <c r="DX362" s="148"/>
      <c r="DY362" s="148"/>
      <c r="DZ362" s="148"/>
      <c r="EA362" s="148"/>
      <c r="EB362" s="148"/>
      <c r="EC362" s="148"/>
      <c r="ED362" s="148"/>
      <c r="EE362" s="148"/>
      <c r="EF362" s="148"/>
      <c r="EG362" s="148"/>
      <c r="EH362" s="148"/>
      <c r="EI362" s="148"/>
      <c r="EJ362" s="148"/>
      <c r="EK362" s="148"/>
      <c r="EL362" s="148"/>
      <c r="EM362" s="148"/>
      <c r="EN362" s="148"/>
      <c r="EO362" s="148"/>
      <c r="EP362" s="148"/>
      <c r="EQ362" s="148"/>
      <c r="ER362" s="148"/>
      <c r="ES362" s="148"/>
      <c r="ET362" s="148"/>
      <c r="EU362" s="148"/>
      <c r="EV362" s="148"/>
      <c r="EW362" s="148"/>
      <c r="EX362" s="148"/>
      <c r="EY362" s="148"/>
      <c r="EZ362" s="148"/>
      <c r="FA362" s="148"/>
      <c r="FB362" s="148"/>
      <c r="FC362" s="148"/>
      <c r="FD362" s="148"/>
      <c r="FE362" s="148"/>
      <c r="FF362" s="148"/>
      <c r="FG362" s="148"/>
      <c r="FH362" s="148"/>
      <c r="FI362" s="148"/>
      <c r="FJ362" s="148"/>
      <c r="FK362" s="148"/>
      <c r="FL362" s="148"/>
      <c r="FM362" s="148"/>
      <c r="FN362" s="148"/>
      <c r="FO362" s="148"/>
      <c r="FP362" s="148"/>
      <c r="FQ362" s="148"/>
      <c r="FR362" s="148"/>
      <c r="FS362" s="148"/>
      <c r="FT362" s="148"/>
      <c r="FU362" s="148"/>
      <c r="FV362" s="148"/>
      <c r="FW362" s="148"/>
      <c r="FX362" s="148"/>
      <c r="FY362" s="148"/>
      <c r="FZ362" s="148"/>
      <c r="GA362" s="148"/>
      <c r="GB362" s="148"/>
      <c r="GC362" s="148"/>
      <c r="GD362" s="148"/>
      <c r="GE362" s="148"/>
      <c r="GF362" s="148"/>
      <c r="GG362" s="149"/>
    </row>
    <row r="363" spans="1:189" ht="27.75" x14ac:dyDescent="0.35">
      <c r="A363" s="297" t="s">
        <v>903</v>
      </c>
      <c r="B363" s="298"/>
      <c r="C363" s="298"/>
      <c r="D363" s="299"/>
      <c r="E363" s="298" t="s">
        <v>811</v>
      </c>
      <c r="F363" s="298" t="s">
        <v>865</v>
      </c>
      <c r="G363" s="300">
        <v>2</v>
      </c>
      <c r="H363" s="301"/>
      <c r="I363" s="302"/>
      <c r="J363" s="302"/>
      <c r="K363" s="302"/>
      <c r="L363" s="303">
        <v>46054</v>
      </c>
      <c r="M363" s="303">
        <v>46081</v>
      </c>
      <c r="N363" s="303"/>
      <c r="O363" s="303">
        <v>46082</v>
      </c>
      <c r="P363" s="303">
        <v>46934</v>
      </c>
      <c r="Q363" s="304" t="s">
        <v>45</v>
      </c>
      <c r="R363" s="305">
        <v>20000</v>
      </c>
      <c r="S363" s="305">
        <f>R363-SUM(S364:S365)</f>
        <v>1583.75</v>
      </c>
      <c r="T363" s="305"/>
      <c r="U363" s="191">
        <f t="shared" si="318"/>
        <v>0</v>
      </c>
      <c r="V363" s="306"/>
      <c r="W363" s="307"/>
      <c r="X363" s="46"/>
      <c r="Y363" s="167">
        <f t="shared" si="319"/>
        <v>1583.75</v>
      </c>
      <c r="Z363" s="167">
        <f t="shared" si="320"/>
        <v>0</v>
      </c>
      <c r="AA363" s="167">
        <f t="shared" si="321"/>
        <v>1583.75</v>
      </c>
      <c r="AB363" s="167">
        <f t="shared" si="322"/>
        <v>0</v>
      </c>
      <c r="AC363" s="167">
        <f t="shared" si="323"/>
        <v>0</v>
      </c>
      <c r="AD363" s="167">
        <f t="shared" si="324"/>
        <v>0</v>
      </c>
      <c r="AF363" s="47">
        <f t="shared" si="458"/>
        <v>1</v>
      </c>
      <c r="AG363" s="202" t="str">
        <f t="shared" si="459"/>
        <v xml:space="preserve"> Monitoring of existing construction facilities</v>
      </c>
      <c r="AH363" s="172"/>
      <c r="AI363" s="173"/>
      <c r="AJ363" s="173"/>
      <c r="AK363" s="173"/>
      <c r="AL363" s="173"/>
      <c r="AM363" s="173"/>
      <c r="AN363" s="173"/>
      <c r="AO363" s="173"/>
      <c r="AP363" s="173"/>
      <c r="AQ363" s="173"/>
      <c r="AR363" s="173"/>
      <c r="AS363" s="173"/>
      <c r="AT363" s="173"/>
      <c r="AU363" s="173"/>
      <c r="AV363" s="173"/>
      <c r="AW363" s="173"/>
      <c r="AX363" s="173"/>
      <c r="AY363" s="173"/>
      <c r="AZ363" s="173"/>
      <c r="BA363" s="173"/>
      <c r="BB363" s="173"/>
      <c r="BC363" s="173"/>
      <c r="BD363" s="173"/>
      <c r="BE363" s="173"/>
      <c r="BF363" s="173"/>
      <c r="BG363" s="173"/>
      <c r="BH363" s="173"/>
      <c r="BI363" s="173"/>
      <c r="BJ363" s="173"/>
      <c r="BK363" s="173"/>
      <c r="BL363" s="173"/>
      <c r="BM363" s="173"/>
      <c r="BN363" s="173"/>
      <c r="BO363" s="173"/>
      <c r="BP363" s="173"/>
      <c r="BQ363" s="173"/>
      <c r="BR363" s="173"/>
      <c r="BS363" s="173"/>
      <c r="BT363" s="173"/>
      <c r="BU363" s="173"/>
      <c r="BV363" s="173"/>
      <c r="BW363" s="173"/>
      <c r="BX363" s="173"/>
      <c r="BY363" s="173"/>
      <c r="BZ363" s="173"/>
      <c r="CA363" s="173"/>
      <c r="CB363" s="173"/>
      <c r="CC363" s="173"/>
      <c r="CD363" s="173"/>
      <c r="CE363" s="173"/>
      <c r="CF363" s="173"/>
      <c r="CG363" s="173"/>
      <c r="CH363" s="173"/>
      <c r="CI363" s="173"/>
      <c r="CJ363" s="173"/>
      <c r="CK363" s="173"/>
      <c r="CL363" s="173"/>
      <c r="CM363" s="173"/>
      <c r="CN363" s="173"/>
      <c r="CO363" s="173"/>
      <c r="CP363" s="173"/>
      <c r="CQ363" s="173"/>
      <c r="CR363" s="173"/>
      <c r="CS363" s="173"/>
      <c r="CT363" s="173"/>
      <c r="CU363" s="173"/>
      <c r="CV363" s="173"/>
      <c r="CW363" s="173"/>
      <c r="CX363" s="173"/>
      <c r="CY363" s="148"/>
      <c r="CZ363" s="148"/>
      <c r="DA363" s="148"/>
      <c r="DB363" s="148"/>
      <c r="DC363" s="148"/>
      <c r="DD363" s="148"/>
      <c r="DE363" s="148"/>
      <c r="DF363" s="148"/>
      <c r="DG363" s="148"/>
      <c r="DH363" s="148"/>
      <c r="DI363" s="148"/>
      <c r="DJ363" s="148"/>
      <c r="DK363" s="148"/>
      <c r="DL363" s="148"/>
      <c r="DM363" s="148"/>
      <c r="DN363" s="148"/>
      <c r="DO363" s="148"/>
      <c r="DP363" s="148"/>
      <c r="DQ363" s="148"/>
      <c r="DR363" s="148"/>
      <c r="DS363" s="148"/>
      <c r="DT363" s="148"/>
      <c r="DU363" s="148"/>
      <c r="DV363" s="148"/>
      <c r="DW363" s="148"/>
      <c r="DX363" s="148"/>
      <c r="DY363" s="148"/>
      <c r="DZ363" s="148"/>
      <c r="EA363" s="148"/>
      <c r="EB363" s="148"/>
      <c r="EC363" s="148"/>
      <c r="ED363" s="148"/>
      <c r="EE363" s="148"/>
      <c r="EF363" s="148"/>
      <c r="EG363" s="148"/>
      <c r="EH363" s="148"/>
      <c r="EI363" s="148"/>
      <c r="EJ363" s="148"/>
      <c r="EK363" s="148"/>
      <c r="EL363" s="148"/>
      <c r="EM363" s="148"/>
      <c r="EN363" s="148"/>
      <c r="EO363" s="148"/>
      <c r="EP363" s="148"/>
      <c r="EQ363" s="148"/>
      <c r="ER363" s="148"/>
      <c r="ES363" s="148"/>
      <c r="ET363" s="148"/>
      <c r="EU363" s="148"/>
      <c r="EV363" s="148"/>
      <c r="EW363" s="148"/>
      <c r="EX363" s="148"/>
      <c r="EY363" s="148"/>
      <c r="EZ363" s="148"/>
      <c r="FA363" s="148"/>
      <c r="FB363" s="148"/>
      <c r="FC363" s="148"/>
      <c r="FD363" s="148"/>
      <c r="FE363" s="148"/>
      <c r="FF363" s="148"/>
      <c r="FG363" s="148"/>
      <c r="FH363" s="148"/>
      <c r="FI363" s="148"/>
      <c r="FJ363" s="148"/>
      <c r="FK363" s="148"/>
      <c r="FL363" s="148"/>
      <c r="FM363" s="148"/>
      <c r="FN363" s="148"/>
      <c r="FO363" s="148"/>
      <c r="FP363" s="148"/>
      <c r="FQ363" s="148"/>
      <c r="FR363" s="148"/>
      <c r="FS363" s="148"/>
      <c r="FT363" s="148"/>
      <c r="FU363" s="148"/>
      <c r="FV363" s="148"/>
      <c r="FW363" s="148"/>
      <c r="FX363" s="148"/>
      <c r="FY363" s="148"/>
      <c r="FZ363" s="148"/>
      <c r="GA363" s="148"/>
      <c r="GB363" s="148"/>
      <c r="GC363" s="148"/>
      <c r="GD363" s="148"/>
      <c r="GE363" s="148"/>
      <c r="GF363" s="148"/>
      <c r="GG363" s="149"/>
    </row>
    <row r="364" spans="1:189" ht="18" customHeight="1" x14ac:dyDescent="0.35">
      <c r="A364" s="267" t="s">
        <v>1218</v>
      </c>
      <c r="B364" s="221"/>
      <c r="C364" s="221"/>
      <c r="D364" s="222"/>
      <c r="E364" s="221" t="s">
        <v>1216</v>
      </c>
      <c r="F364" s="221" t="s">
        <v>1217</v>
      </c>
      <c r="G364" s="223">
        <v>2</v>
      </c>
      <c r="H364" s="224" t="s">
        <v>1220</v>
      </c>
      <c r="I364" s="225"/>
      <c r="J364" s="225"/>
      <c r="K364" s="225"/>
      <c r="L364" s="226">
        <v>46023</v>
      </c>
      <c r="M364" s="226">
        <v>46052</v>
      </c>
      <c r="N364" s="226"/>
      <c r="O364" s="226">
        <v>46054</v>
      </c>
      <c r="P364" s="226">
        <v>46934</v>
      </c>
      <c r="Q364" s="227" t="s">
        <v>20</v>
      </c>
      <c r="R364" s="228"/>
      <c r="S364" s="228">
        <v>16616.25</v>
      </c>
      <c r="T364" s="228">
        <v>16616.25</v>
      </c>
      <c r="U364" s="191">
        <f t="shared" ref="U364:U365" si="474">IF(Q364="",0,IF(T364="",0,+S364-T364))</f>
        <v>0</v>
      </c>
      <c r="V364" s="230"/>
      <c r="W364" s="231"/>
      <c r="X364" s="46"/>
      <c r="Y364" s="167">
        <f t="shared" ref="Y364:Y365" si="475">IF(G364=2,S364,0)</f>
        <v>16616.25</v>
      </c>
      <c r="Z364" s="167">
        <f t="shared" ref="Z364:Z365" si="476">IF(Q364="",0,IF(G364=2,T364,0))</f>
        <v>16616.25</v>
      </c>
      <c r="AA364" s="167">
        <f t="shared" ref="AA364:AA365" si="477">Y364-Z364</f>
        <v>0</v>
      </c>
      <c r="AB364" s="167">
        <f t="shared" ref="AB364:AB365" si="478">IF(G364=1,S364,0)</f>
        <v>0</v>
      </c>
      <c r="AC364" s="167">
        <f t="shared" ref="AC364:AC365" si="479">IF(Q364="",0,IF(G364=1,T364,0))</f>
        <v>0</v>
      </c>
      <c r="AD364" s="167">
        <f t="shared" ref="AD364:AD365" si="480">AB364-AC364</f>
        <v>0</v>
      </c>
      <c r="AF364" s="47">
        <f t="shared" si="458"/>
        <v>1</v>
      </c>
      <c r="AG364" s="202" t="str">
        <f t="shared" si="459"/>
        <v xml:space="preserve"> Monitoring - timelaps camera ECd_22</v>
      </c>
      <c r="AH364" s="150"/>
      <c r="AI364" s="151"/>
      <c r="AJ364" s="151"/>
      <c r="AK364" s="151"/>
      <c r="AL364" s="151"/>
      <c r="AM364" s="151"/>
      <c r="AN364" s="151"/>
      <c r="AO364" s="151"/>
      <c r="AP364" s="151"/>
      <c r="AQ364" s="151"/>
      <c r="AR364" s="151"/>
      <c r="AS364" s="151"/>
      <c r="AT364" s="151"/>
      <c r="AU364" s="151"/>
      <c r="AV364" s="151"/>
      <c r="AW364" s="151"/>
      <c r="AX364" s="151"/>
      <c r="AY364" s="151"/>
      <c r="AZ364" s="151"/>
      <c r="BA364" s="151"/>
      <c r="BB364" s="151"/>
      <c r="BC364" s="151"/>
      <c r="BD364" s="151"/>
      <c r="BE364" s="151"/>
      <c r="BF364" s="151"/>
      <c r="BG364" s="151"/>
      <c r="BH364" s="151"/>
      <c r="BI364" s="151"/>
      <c r="BJ364" s="151"/>
      <c r="BK364" s="151"/>
      <c r="BL364" s="151"/>
      <c r="BM364" s="151"/>
      <c r="BN364" s="151"/>
      <c r="BO364" s="151"/>
      <c r="BP364" s="151"/>
      <c r="BQ364" s="151"/>
      <c r="BR364" s="151"/>
      <c r="BS364" s="151"/>
      <c r="BT364" s="151"/>
      <c r="BU364" s="151"/>
      <c r="BV364" s="151"/>
      <c r="BW364" s="151"/>
      <c r="BX364" s="151"/>
      <c r="BY364" s="151"/>
      <c r="BZ364" s="151"/>
      <c r="CA364" s="151"/>
      <c r="CB364" s="151"/>
      <c r="CC364" s="151"/>
      <c r="CD364" s="151"/>
      <c r="CE364" s="151"/>
      <c r="CF364" s="151"/>
      <c r="CG364" s="151"/>
      <c r="CH364" s="151"/>
      <c r="CI364" s="151"/>
      <c r="CJ364" s="151"/>
      <c r="CK364" s="151"/>
      <c r="CL364" s="151"/>
      <c r="CM364" s="151"/>
      <c r="CN364" s="151"/>
      <c r="CO364" s="151"/>
      <c r="CP364" s="151"/>
      <c r="CQ364" s="151"/>
      <c r="CR364" s="151"/>
      <c r="CS364" s="151"/>
      <c r="CT364" s="151"/>
      <c r="CU364" s="151"/>
      <c r="CV364" s="151"/>
      <c r="CW364" s="151"/>
      <c r="CX364" s="151"/>
      <c r="CY364" s="151"/>
      <c r="CZ364" s="151"/>
      <c r="DA364" s="151"/>
      <c r="DB364" s="151"/>
      <c r="DC364" s="151"/>
      <c r="DD364" s="151"/>
      <c r="DE364" s="151"/>
      <c r="DF364" s="151"/>
      <c r="DG364" s="151"/>
      <c r="DH364" s="151"/>
      <c r="DI364" s="151"/>
      <c r="DJ364" s="151"/>
      <c r="DK364" s="151"/>
      <c r="DL364" s="151"/>
      <c r="DM364" s="151"/>
      <c r="DN364" s="151"/>
      <c r="DO364" s="151"/>
      <c r="DP364" s="151"/>
      <c r="DQ364" s="151"/>
      <c r="DR364" s="151"/>
      <c r="DS364" s="151"/>
      <c r="DT364" s="151"/>
      <c r="DU364" s="151"/>
      <c r="DV364" s="151"/>
      <c r="DW364" s="151"/>
      <c r="DX364" s="151"/>
      <c r="DY364" s="151"/>
      <c r="DZ364" s="151"/>
      <c r="EA364" s="151"/>
      <c r="EB364" s="151"/>
      <c r="EC364" s="151"/>
      <c r="ED364" s="151"/>
      <c r="EE364" s="151"/>
      <c r="EF364" s="151"/>
      <c r="EG364" s="151"/>
      <c r="EH364" s="151"/>
      <c r="EI364" s="151"/>
      <c r="EJ364" s="151"/>
      <c r="EK364" s="151"/>
      <c r="EL364" s="151"/>
      <c r="EM364" s="151"/>
      <c r="EN364" s="151"/>
      <c r="EO364" s="151"/>
      <c r="EP364" s="151"/>
      <c r="EQ364" s="151"/>
      <c r="ER364" s="151"/>
      <c r="ES364" s="151"/>
      <c r="ET364" s="151"/>
      <c r="EU364" s="151"/>
      <c r="EV364" s="151"/>
      <c r="EW364" s="151"/>
      <c r="EX364" s="151"/>
      <c r="EY364" s="151"/>
      <c r="EZ364" s="151"/>
      <c r="FA364" s="151"/>
      <c r="FB364" s="151"/>
      <c r="FC364" s="151"/>
      <c r="FD364" s="151"/>
      <c r="FE364" s="151"/>
      <c r="FF364" s="151"/>
      <c r="FG364" s="151"/>
      <c r="FH364" s="151"/>
      <c r="FI364" s="151"/>
      <c r="FJ364" s="151"/>
      <c r="FK364" s="151"/>
      <c r="FL364" s="151"/>
      <c r="FM364" s="151"/>
      <c r="FN364" s="151"/>
      <c r="FO364" s="151"/>
      <c r="FP364" s="151"/>
      <c r="FQ364" s="151"/>
      <c r="FR364" s="151"/>
      <c r="FS364" s="151"/>
      <c r="FT364" s="151"/>
      <c r="FU364" s="151"/>
      <c r="FV364" s="151"/>
      <c r="FW364" s="151"/>
      <c r="FX364" s="151"/>
      <c r="FY364" s="151"/>
      <c r="FZ364" s="151"/>
      <c r="GA364" s="151"/>
      <c r="GB364" s="151"/>
      <c r="GC364" s="151"/>
      <c r="GD364" s="151"/>
      <c r="GE364" s="151"/>
      <c r="GF364" s="151"/>
      <c r="GG364" s="152"/>
    </row>
    <row r="365" spans="1:189" ht="27.75" x14ac:dyDescent="0.35">
      <c r="A365" s="267" t="s">
        <v>1278</v>
      </c>
      <c r="B365" s="221"/>
      <c r="C365" s="221"/>
      <c r="D365" s="222"/>
      <c r="E365" s="221" t="s">
        <v>1279</v>
      </c>
      <c r="F365" s="221" t="s">
        <v>1280</v>
      </c>
      <c r="G365" s="223">
        <v>2</v>
      </c>
      <c r="H365" s="224" t="s">
        <v>1281</v>
      </c>
      <c r="I365" s="225"/>
      <c r="J365" s="225"/>
      <c r="K365" s="225"/>
      <c r="L365" s="226">
        <v>46023</v>
      </c>
      <c r="M365" s="226">
        <v>46063</v>
      </c>
      <c r="N365" s="226"/>
      <c r="O365" s="226">
        <v>46078</v>
      </c>
      <c r="P365" s="226">
        <v>46078</v>
      </c>
      <c r="Q365" s="227" t="s">
        <v>20</v>
      </c>
      <c r="R365" s="228"/>
      <c r="S365" s="228">
        <f>336.59+1463.41</f>
        <v>1800</v>
      </c>
      <c r="T365" s="228">
        <f>336.59+1463.41</f>
        <v>1800</v>
      </c>
      <c r="U365" s="191">
        <f t="shared" si="474"/>
        <v>0</v>
      </c>
      <c r="V365" s="230"/>
      <c r="W365" s="231"/>
      <c r="X365" s="46"/>
      <c r="Y365" s="167">
        <f t="shared" si="475"/>
        <v>1800</v>
      </c>
      <c r="Z365" s="167">
        <f t="shared" si="476"/>
        <v>1800</v>
      </c>
      <c r="AA365" s="167">
        <f t="shared" si="477"/>
        <v>0</v>
      </c>
      <c r="AB365" s="167">
        <f t="shared" si="478"/>
        <v>0</v>
      </c>
      <c r="AC365" s="167">
        <f t="shared" si="479"/>
        <v>0</v>
      </c>
      <c r="AD365" s="167">
        <f t="shared" si="480"/>
        <v>0</v>
      </c>
      <c r="AF365" s="47">
        <f t="shared" si="458"/>
        <v>1</v>
      </c>
      <c r="AG365" s="202" t="str">
        <f t="shared" si="459"/>
        <v xml:space="preserve"> Monitoring - installation of timelaps camera ECd_30</v>
      </c>
      <c r="AH365" s="150"/>
      <c r="AI365" s="151"/>
      <c r="AJ365" s="151"/>
      <c r="AK365" s="151"/>
      <c r="AL365" s="151"/>
      <c r="AM365" s="151"/>
      <c r="AN365" s="151"/>
      <c r="AO365" s="151"/>
      <c r="AP365" s="151"/>
      <c r="AQ365" s="151"/>
      <c r="AR365" s="151"/>
      <c r="AS365" s="151"/>
      <c r="AT365" s="151"/>
      <c r="AU365" s="151"/>
      <c r="AV365" s="151"/>
      <c r="AW365" s="151"/>
      <c r="AX365" s="151"/>
      <c r="AY365" s="151"/>
      <c r="AZ365" s="151"/>
      <c r="BA365" s="151"/>
      <c r="BB365" s="151"/>
      <c r="BC365" s="151"/>
      <c r="BD365" s="151"/>
      <c r="BE365" s="151"/>
      <c r="BF365" s="151"/>
      <c r="BG365" s="151"/>
      <c r="BH365" s="151"/>
      <c r="BI365" s="151"/>
      <c r="BJ365" s="151"/>
      <c r="BK365" s="151"/>
      <c r="BL365" s="151"/>
      <c r="BM365" s="151"/>
      <c r="BN365" s="151"/>
      <c r="BO365" s="151"/>
      <c r="BP365" s="151"/>
      <c r="BQ365" s="151"/>
      <c r="BR365" s="151"/>
      <c r="BS365" s="151"/>
      <c r="BT365" s="151"/>
      <c r="BU365" s="151"/>
      <c r="BV365" s="151"/>
      <c r="BW365" s="151"/>
      <c r="BX365" s="151"/>
      <c r="BY365" s="151"/>
      <c r="BZ365" s="151"/>
      <c r="CA365" s="151"/>
      <c r="CB365" s="151"/>
      <c r="CC365" s="151"/>
      <c r="CD365" s="151"/>
      <c r="CE365" s="151"/>
      <c r="CF365" s="151"/>
      <c r="CG365" s="151"/>
      <c r="CH365" s="151"/>
      <c r="CI365" s="151"/>
      <c r="CJ365" s="151"/>
      <c r="CK365" s="151"/>
      <c r="CL365" s="151"/>
      <c r="CM365" s="151"/>
      <c r="CN365" s="151"/>
      <c r="CO365" s="151"/>
      <c r="CP365" s="151"/>
      <c r="CQ365" s="151"/>
      <c r="CR365" s="151"/>
      <c r="CS365" s="151"/>
      <c r="CT365" s="151"/>
      <c r="CU365" s="151"/>
      <c r="CV365" s="151"/>
      <c r="CW365" s="151"/>
      <c r="CX365" s="151"/>
      <c r="CY365" s="151"/>
      <c r="CZ365" s="151"/>
      <c r="DA365" s="151"/>
      <c r="DB365" s="151"/>
      <c r="DC365" s="151"/>
      <c r="DD365" s="151"/>
      <c r="DE365" s="151"/>
      <c r="DF365" s="151"/>
      <c r="DG365" s="151"/>
      <c r="DH365" s="151"/>
      <c r="DI365" s="151"/>
      <c r="DJ365" s="151"/>
      <c r="DK365" s="151"/>
      <c r="DL365" s="151"/>
      <c r="DM365" s="151"/>
      <c r="DN365" s="151"/>
      <c r="DO365" s="151"/>
      <c r="DP365" s="151"/>
      <c r="DQ365" s="151"/>
      <c r="DR365" s="151"/>
      <c r="DS365" s="151"/>
      <c r="DT365" s="151"/>
      <c r="DU365" s="151"/>
      <c r="DV365" s="151"/>
      <c r="DW365" s="151"/>
      <c r="DX365" s="151"/>
      <c r="DY365" s="151"/>
      <c r="DZ365" s="151"/>
      <c r="EA365" s="151"/>
      <c r="EB365" s="151"/>
      <c r="EC365" s="151"/>
      <c r="ED365" s="151"/>
      <c r="EE365" s="151"/>
      <c r="EF365" s="151"/>
      <c r="EG365" s="151"/>
      <c r="EH365" s="151"/>
      <c r="EI365" s="151"/>
      <c r="EJ365" s="151"/>
      <c r="EK365" s="151"/>
      <c r="EL365" s="151"/>
      <c r="EM365" s="151"/>
      <c r="EN365" s="151"/>
      <c r="EO365" s="151"/>
      <c r="EP365" s="151"/>
      <c r="EQ365" s="151"/>
      <c r="ER365" s="151"/>
      <c r="ES365" s="151"/>
      <c r="ET365" s="151"/>
      <c r="EU365" s="151"/>
      <c r="EV365" s="151"/>
      <c r="EW365" s="151"/>
      <c r="EX365" s="151"/>
      <c r="EY365" s="151"/>
      <c r="EZ365" s="151"/>
      <c r="FA365" s="151"/>
      <c r="FB365" s="151"/>
      <c r="FC365" s="151"/>
      <c r="FD365" s="151"/>
      <c r="FE365" s="151"/>
      <c r="FF365" s="151"/>
      <c r="FG365" s="151"/>
      <c r="FH365" s="151"/>
      <c r="FI365" s="151"/>
      <c r="FJ365" s="151"/>
      <c r="FK365" s="151"/>
      <c r="FL365" s="151"/>
      <c r="FM365" s="151"/>
      <c r="FN365" s="151"/>
      <c r="FO365" s="151"/>
      <c r="FP365" s="151"/>
      <c r="FQ365" s="151"/>
      <c r="FR365" s="151"/>
      <c r="FS365" s="151"/>
      <c r="FT365" s="151"/>
      <c r="FU365" s="151"/>
      <c r="FV365" s="151"/>
      <c r="FW365" s="151"/>
      <c r="FX365" s="151"/>
      <c r="FY365" s="151"/>
      <c r="FZ365" s="151"/>
      <c r="GA365" s="151"/>
      <c r="GB365" s="151"/>
      <c r="GC365" s="151"/>
      <c r="GD365" s="151"/>
      <c r="GE365" s="151"/>
      <c r="GF365" s="151"/>
      <c r="GG365" s="152"/>
    </row>
    <row r="366" spans="1:189" ht="27.75" x14ac:dyDescent="0.35">
      <c r="A366" s="297" t="s">
        <v>904</v>
      </c>
      <c r="B366" s="298"/>
      <c r="C366" s="298"/>
      <c r="D366" s="299"/>
      <c r="E366" s="298" t="s">
        <v>825</v>
      </c>
      <c r="F366" s="298" t="s">
        <v>866</v>
      </c>
      <c r="G366" s="300">
        <v>2</v>
      </c>
      <c r="H366" s="301"/>
      <c r="I366" s="302"/>
      <c r="J366" s="302"/>
      <c r="K366" s="302"/>
      <c r="L366" s="303">
        <v>46054</v>
      </c>
      <c r="M366" s="303">
        <v>46081</v>
      </c>
      <c r="N366" s="303"/>
      <c r="O366" s="303">
        <v>46082</v>
      </c>
      <c r="P366" s="303">
        <v>46934</v>
      </c>
      <c r="Q366" s="304" t="s">
        <v>45</v>
      </c>
      <c r="R366" s="305">
        <v>20000</v>
      </c>
      <c r="S366" s="305">
        <v>20000</v>
      </c>
      <c r="T366" s="305"/>
      <c r="U366" s="191">
        <f t="shared" si="318"/>
        <v>0</v>
      </c>
      <c r="V366" s="306"/>
      <c r="W366" s="307"/>
      <c r="X366" s="46"/>
      <c r="Y366" s="167">
        <f t="shared" si="319"/>
        <v>20000</v>
      </c>
      <c r="Z366" s="167">
        <f t="shared" si="320"/>
        <v>0</v>
      </c>
      <c r="AA366" s="167">
        <f t="shared" si="321"/>
        <v>20000</v>
      </c>
      <c r="AB366" s="167">
        <f t="shared" si="322"/>
        <v>0</v>
      </c>
      <c r="AC366" s="167">
        <f t="shared" si="323"/>
        <v>0</v>
      </c>
      <c r="AD366" s="167">
        <f t="shared" si="324"/>
        <v>0</v>
      </c>
      <c r="AF366" s="47">
        <f t="shared" si="458"/>
        <v>1</v>
      </c>
      <c r="AG366" s="202" t="str">
        <f t="shared" si="459"/>
        <v xml:space="preserve"> Safety and Environmental Management System</v>
      </c>
      <c r="AH366" s="172"/>
      <c r="AI366" s="173"/>
      <c r="AJ366" s="173"/>
      <c r="AK366" s="173"/>
      <c r="AL366" s="173"/>
      <c r="AM366" s="173"/>
      <c r="AN366" s="173"/>
      <c r="AO366" s="173"/>
      <c r="AP366" s="173"/>
      <c r="AQ366" s="173"/>
      <c r="AR366" s="173"/>
      <c r="AS366" s="173"/>
      <c r="AT366" s="173"/>
      <c r="AU366" s="173"/>
      <c r="AV366" s="173"/>
      <c r="AW366" s="173"/>
      <c r="AX366" s="173"/>
      <c r="AY366" s="173"/>
      <c r="AZ366" s="173"/>
      <c r="BA366" s="173"/>
      <c r="BB366" s="173"/>
      <c r="BC366" s="173"/>
      <c r="BD366" s="173"/>
      <c r="BE366" s="173"/>
      <c r="BF366" s="173"/>
      <c r="BG366" s="173"/>
      <c r="BH366" s="173"/>
      <c r="BI366" s="173"/>
      <c r="BJ366" s="173"/>
      <c r="BK366" s="173"/>
      <c r="BL366" s="173"/>
      <c r="BM366" s="173"/>
      <c r="BN366" s="173"/>
      <c r="BO366" s="173"/>
      <c r="BP366" s="173"/>
      <c r="BQ366" s="173"/>
      <c r="BR366" s="173"/>
      <c r="BS366" s="173"/>
      <c r="BT366" s="173"/>
      <c r="BU366" s="173"/>
      <c r="BV366" s="173"/>
      <c r="BW366" s="173"/>
      <c r="BX366" s="173"/>
      <c r="BY366" s="173"/>
      <c r="BZ366" s="173"/>
      <c r="CA366" s="173"/>
      <c r="CB366" s="173"/>
      <c r="CC366" s="173"/>
      <c r="CD366" s="173"/>
      <c r="CE366" s="173"/>
      <c r="CF366" s="173"/>
      <c r="CG366" s="173"/>
      <c r="CH366" s="173"/>
      <c r="CI366" s="173"/>
      <c r="CJ366" s="173"/>
      <c r="CK366" s="173"/>
      <c r="CL366" s="173"/>
      <c r="CM366" s="173"/>
      <c r="CN366" s="173"/>
      <c r="CO366" s="173"/>
      <c r="CP366" s="173"/>
      <c r="CQ366" s="173"/>
      <c r="CR366" s="173"/>
      <c r="CS366" s="173"/>
      <c r="CT366" s="173"/>
      <c r="CU366" s="173"/>
      <c r="CV366" s="173"/>
      <c r="CW366" s="173"/>
      <c r="CX366" s="173"/>
      <c r="CY366" s="148"/>
      <c r="CZ366" s="148"/>
      <c r="DA366" s="148"/>
      <c r="DB366" s="148"/>
      <c r="DC366" s="148"/>
      <c r="DD366" s="148"/>
      <c r="DE366" s="148"/>
      <c r="DF366" s="148"/>
      <c r="DG366" s="148"/>
      <c r="DH366" s="148"/>
      <c r="DI366" s="148"/>
      <c r="DJ366" s="148"/>
      <c r="DK366" s="148"/>
      <c r="DL366" s="148"/>
      <c r="DM366" s="148"/>
      <c r="DN366" s="148"/>
      <c r="DO366" s="148"/>
      <c r="DP366" s="148"/>
      <c r="DQ366" s="148"/>
      <c r="DR366" s="148"/>
      <c r="DS366" s="148"/>
      <c r="DT366" s="148"/>
      <c r="DU366" s="148"/>
      <c r="DV366" s="148"/>
      <c r="DW366" s="148"/>
      <c r="DX366" s="148"/>
      <c r="DY366" s="148"/>
      <c r="DZ366" s="148"/>
      <c r="EA366" s="148"/>
      <c r="EB366" s="148"/>
      <c r="EC366" s="148"/>
      <c r="ED366" s="148"/>
      <c r="EE366" s="148"/>
      <c r="EF366" s="148"/>
      <c r="EG366" s="148"/>
      <c r="EH366" s="148"/>
      <c r="EI366" s="148"/>
      <c r="EJ366" s="148"/>
      <c r="EK366" s="148"/>
      <c r="EL366" s="148"/>
      <c r="EM366" s="148"/>
      <c r="EN366" s="148"/>
      <c r="EO366" s="148"/>
      <c r="EP366" s="148"/>
      <c r="EQ366" s="148"/>
      <c r="ER366" s="148"/>
      <c r="ES366" s="148"/>
      <c r="ET366" s="148"/>
      <c r="EU366" s="148"/>
      <c r="EV366" s="148"/>
      <c r="EW366" s="148"/>
      <c r="EX366" s="148"/>
      <c r="EY366" s="148"/>
      <c r="EZ366" s="148"/>
      <c r="FA366" s="148"/>
      <c r="FB366" s="148"/>
      <c r="FC366" s="148"/>
      <c r="FD366" s="148"/>
      <c r="FE366" s="148"/>
      <c r="FF366" s="148"/>
      <c r="FG366" s="148"/>
      <c r="FH366" s="148"/>
      <c r="FI366" s="148"/>
      <c r="FJ366" s="148"/>
      <c r="FK366" s="148"/>
      <c r="FL366" s="148"/>
      <c r="FM366" s="148"/>
      <c r="FN366" s="148"/>
      <c r="FO366" s="148"/>
      <c r="FP366" s="148"/>
      <c r="FQ366" s="148"/>
      <c r="FR366" s="148"/>
      <c r="FS366" s="148"/>
      <c r="FT366" s="148"/>
      <c r="FU366" s="148"/>
      <c r="FV366" s="148"/>
      <c r="FW366" s="148"/>
      <c r="FX366" s="148"/>
      <c r="FY366" s="148"/>
      <c r="FZ366" s="148"/>
      <c r="GA366" s="148"/>
      <c r="GB366" s="148"/>
      <c r="GC366" s="148"/>
      <c r="GD366" s="148"/>
      <c r="GE366" s="148"/>
      <c r="GF366" s="148"/>
      <c r="GG366" s="149"/>
    </row>
    <row r="367" spans="1:189" ht="41.65" x14ac:dyDescent="0.35">
      <c r="A367" s="297" t="s">
        <v>905</v>
      </c>
      <c r="B367" s="298"/>
      <c r="C367" s="298"/>
      <c r="D367" s="299"/>
      <c r="E367" s="298" t="s">
        <v>1333</v>
      </c>
      <c r="F367" s="298" t="s">
        <v>871</v>
      </c>
      <c r="G367" s="300">
        <v>2</v>
      </c>
      <c r="H367" s="301"/>
      <c r="I367" s="302"/>
      <c r="J367" s="302"/>
      <c r="K367" s="302"/>
      <c r="L367" s="303">
        <v>46054</v>
      </c>
      <c r="M367" s="303">
        <v>46122</v>
      </c>
      <c r="N367" s="303">
        <v>46122</v>
      </c>
      <c r="O367" s="303">
        <v>46122</v>
      </c>
      <c r="P367" s="303">
        <v>46934</v>
      </c>
      <c r="Q367" s="304" t="s">
        <v>20</v>
      </c>
      <c r="R367" s="305">
        <v>20000</v>
      </c>
      <c r="S367" s="305">
        <v>0</v>
      </c>
      <c r="T367" s="305">
        <v>0</v>
      </c>
      <c r="U367" s="191">
        <f t="shared" si="318"/>
        <v>0</v>
      </c>
      <c r="V367" s="306"/>
      <c r="W367" s="307"/>
      <c r="X367" s="46"/>
      <c r="Y367" s="167">
        <f t="shared" si="319"/>
        <v>0</v>
      </c>
      <c r="Z367" s="167">
        <f t="shared" si="320"/>
        <v>0</v>
      </c>
      <c r="AA367" s="167">
        <f t="shared" si="321"/>
        <v>0</v>
      </c>
      <c r="AB367" s="167">
        <f t="shared" si="322"/>
        <v>0</v>
      </c>
      <c r="AC367" s="167">
        <f t="shared" si="323"/>
        <v>0</v>
      </c>
      <c r="AD367" s="167">
        <f t="shared" si="324"/>
        <v>0</v>
      </c>
      <c r="AF367" s="47">
        <f t="shared" si="458"/>
        <v>1</v>
      </c>
      <c r="AG367" s="202" t="str">
        <f t="shared" si="459"/>
        <v xml:space="preserve"> Removing collisions related to site preparation and construction</v>
      </c>
      <c r="AH367" s="147"/>
      <c r="AI367" s="148"/>
      <c r="AJ367" s="148"/>
      <c r="AK367" s="148"/>
      <c r="AL367" s="148"/>
      <c r="AM367" s="148"/>
      <c r="AN367" s="148"/>
      <c r="AO367" s="148"/>
      <c r="AP367" s="148"/>
      <c r="AQ367" s="148"/>
      <c r="AR367" s="148"/>
      <c r="AS367" s="148"/>
      <c r="AT367" s="148"/>
      <c r="AU367" s="148"/>
      <c r="AV367" s="148"/>
      <c r="AW367" s="148"/>
      <c r="AX367" s="148"/>
      <c r="AY367" s="148"/>
      <c r="AZ367" s="148"/>
      <c r="BA367" s="148"/>
      <c r="BB367" s="148"/>
      <c r="BC367" s="148"/>
      <c r="BD367" s="148"/>
      <c r="BE367" s="148"/>
      <c r="BF367" s="148"/>
      <c r="BG367" s="148"/>
      <c r="BH367" s="148"/>
      <c r="BI367" s="148"/>
      <c r="BJ367" s="148"/>
      <c r="BK367" s="148"/>
      <c r="BL367" s="148"/>
      <c r="BM367" s="148"/>
      <c r="BN367" s="148"/>
      <c r="BO367" s="148"/>
      <c r="BP367" s="148"/>
      <c r="BQ367" s="148"/>
      <c r="BR367" s="148"/>
      <c r="BS367" s="148"/>
      <c r="BT367" s="148"/>
      <c r="BU367" s="148"/>
      <c r="BV367" s="148"/>
      <c r="BW367" s="148"/>
      <c r="BX367" s="148"/>
      <c r="BY367" s="148"/>
      <c r="BZ367" s="148"/>
      <c r="CA367" s="148"/>
      <c r="CB367" s="148"/>
      <c r="CC367" s="148"/>
      <c r="CD367" s="148"/>
      <c r="CE367" s="148"/>
      <c r="CF367" s="148"/>
      <c r="CG367" s="148"/>
      <c r="CH367" s="148"/>
      <c r="CI367" s="148"/>
      <c r="CJ367" s="148"/>
      <c r="CK367" s="148"/>
      <c r="CL367" s="148"/>
      <c r="CM367" s="148"/>
      <c r="CN367" s="148"/>
      <c r="CO367" s="148"/>
      <c r="CP367" s="148"/>
      <c r="CQ367" s="148"/>
      <c r="CR367" s="148"/>
      <c r="CS367" s="148"/>
      <c r="CT367" s="148"/>
      <c r="CU367" s="148"/>
      <c r="CV367" s="148"/>
      <c r="CW367" s="148"/>
      <c r="CX367" s="148"/>
      <c r="CY367" s="148"/>
      <c r="CZ367" s="148"/>
      <c r="DA367" s="148"/>
      <c r="DB367" s="148"/>
      <c r="DC367" s="148"/>
      <c r="DD367" s="148"/>
      <c r="DE367" s="148"/>
      <c r="DF367" s="148"/>
      <c r="DG367" s="148"/>
      <c r="DH367" s="148"/>
      <c r="DI367" s="148"/>
      <c r="DJ367" s="148"/>
      <c r="DK367" s="148"/>
      <c r="DL367" s="148"/>
      <c r="DM367" s="148"/>
      <c r="DN367" s="148"/>
      <c r="DO367" s="148"/>
      <c r="DP367" s="148"/>
      <c r="DQ367" s="148"/>
      <c r="DR367" s="148"/>
      <c r="DS367" s="148"/>
      <c r="DT367" s="148"/>
      <c r="DU367" s="148"/>
      <c r="DV367" s="148"/>
      <c r="DW367" s="148"/>
      <c r="DX367" s="148"/>
      <c r="DY367" s="148"/>
      <c r="DZ367" s="148"/>
      <c r="EA367" s="148"/>
      <c r="EB367" s="148"/>
      <c r="EC367" s="148"/>
      <c r="ED367" s="148"/>
      <c r="EE367" s="148"/>
      <c r="EF367" s="148"/>
      <c r="EG367" s="148"/>
      <c r="EH367" s="148"/>
      <c r="EI367" s="148"/>
      <c r="EJ367" s="148"/>
      <c r="EK367" s="148"/>
      <c r="EL367" s="148"/>
      <c r="EM367" s="148"/>
      <c r="EN367" s="148"/>
      <c r="EO367" s="148"/>
      <c r="EP367" s="148"/>
      <c r="EQ367" s="148"/>
      <c r="ER367" s="148"/>
      <c r="ES367" s="148"/>
      <c r="ET367" s="148"/>
      <c r="EU367" s="148"/>
      <c r="EV367" s="148"/>
      <c r="EW367" s="148"/>
      <c r="EX367" s="148"/>
      <c r="EY367" s="148"/>
      <c r="EZ367" s="148"/>
      <c r="FA367" s="148"/>
      <c r="FB367" s="148"/>
      <c r="FC367" s="148"/>
      <c r="FD367" s="148"/>
      <c r="FE367" s="148"/>
      <c r="FF367" s="148"/>
      <c r="FG367" s="148"/>
      <c r="FH367" s="148"/>
      <c r="FI367" s="148"/>
      <c r="FJ367" s="148"/>
      <c r="FK367" s="148"/>
      <c r="FL367" s="148"/>
      <c r="FM367" s="148"/>
      <c r="FN367" s="148"/>
      <c r="FO367" s="148"/>
      <c r="FP367" s="148"/>
      <c r="FQ367" s="148"/>
      <c r="FR367" s="148"/>
      <c r="FS367" s="148"/>
      <c r="FT367" s="148"/>
      <c r="FU367" s="148"/>
      <c r="FV367" s="148"/>
      <c r="FW367" s="148"/>
      <c r="FX367" s="148"/>
      <c r="FY367" s="148"/>
      <c r="FZ367" s="148"/>
      <c r="GA367" s="148"/>
      <c r="GB367" s="148"/>
      <c r="GC367" s="148"/>
      <c r="GD367" s="148"/>
      <c r="GE367" s="148"/>
      <c r="GF367" s="148"/>
      <c r="GG367" s="149"/>
    </row>
    <row r="368" spans="1:189" ht="27.75" x14ac:dyDescent="0.35">
      <c r="A368" s="267" t="s">
        <v>1377</v>
      </c>
      <c r="B368" s="221"/>
      <c r="C368" s="221"/>
      <c r="D368" s="222"/>
      <c r="E368" s="221" t="s">
        <v>1379</v>
      </c>
      <c r="F368" s="221" t="s">
        <v>1382</v>
      </c>
      <c r="G368" s="223">
        <v>2</v>
      </c>
      <c r="H368" s="224" t="s">
        <v>877</v>
      </c>
      <c r="I368" s="225"/>
      <c r="J368" s="225"/>
      <c r="K368" s="225"/>
      <c r="L368" s="226">
        <v>46054</v>
      </c>
      <c r="M368" s="226">
        <v>46122</v>
      </c>
      <c r="N368" s="226">
        <v>46122</v>
      </c>
      <c r="O368" s="226">
        <v>46122</v>
      </c>
      <c r="P368" s="226">
        <v>46934</v>
      </c>
      <c r="Q368" s="227" t="s">
        <v>20</v>
      </c>
      <c r="R368" s="228"/>
      <c r="S368" s="228">
        <v>20000</v>
      </c>
      <c r="T368" s="228">
        <v>50000</v>
      </c>
      <c r="U368" s="191">
        <f t="shared" si="318"/>
        <v>-30000</v>
      </c>
      <c r="V368" s="230"/>
      <c r="W368" s="231"/>
      <c r="X368" s="46"/>
      <c r="Y368" s="167">
        <f t="shared" si="319"/>
        <v>20000</v>
      </c>
      <c r="Z368" s="167">
        <f t="shared" si="320"/>
        <v>50000</v>
      </c>
      <c r="AA368" s="167">
        <f t="shared" si="321"/>
        <v>-30000</v>
      </c>
      <c r="AB368" s="167">
        <f t="shared" si="322"/>
        <v>0</v>
      </c>
      <c r="AC368" s="167">
        <f t="shared" si="323"/>
        <v>0</v>
      </c>
      <c r="AD368" s="167">
        <f t="shared" si="324"/>
        <v>0</v>
      </c>
      <c r="AF368" s="47">
        <f t="shared" ref="AF368:AF369" si="481">IF(S368&lt;&gt;"",1,0)</f>
        <v>1</v>
      </c>
      <c r="AG368" s="202" t="str">
        <f t="shared" ref="AG368:AG369" si="482">B368&amp;" "&amp;F368</f>
        <v xml:space="preserve"> Removal of existing reinforced concrete foundations in the vicinity of Building B2</v>
      </c>
      <c r="AH368" s="150"/>
      <c r="AI368" s="151"/>
      <c r="AJ368" s="151"/>
      <c r="AK368" s="151"/>
      <c r="AL368" s="151"/>
      <c r="AM368" s="151"/>
      <c r="AN368" s="151"/>
      <c r="AO368" s="151"/>
      <c r="AP368" s="151"/>
      <c r="AQ368" s="151"/>
      <c r="AR368" s="151"/>
      <c r="AS368" s="151"/>
      <c r="AT368" s="151"/>
      <c r="AU368" s="151"/>
      <c r="AV368" s="151"/>
      <c r="AW368" s="151"/>
      <c r="AX368" s="151"/>
      <c r="AY368" s="151"/>
      <c r="AZ368" s="151"/>
      <c r="BA368" s="151"/>
      <c r="BB368" s="151"/>
      <c r="BC368" s="151"/>
      <c r="BD368" s="151"/>
      <c r="BE368" s="151"/>
      <c r="BF368" s="151"/>
      <c r="BG368" s="151"/>
      <c r="BH368" s="151"/>
      <c r="BI368" s="151"/>
      <c r="BJ368" s="151"/>
      <c r="BK368" s="151"/>
      <c r="BL368" s="151"/>
      <c r="BM368" s="151"/>
      <c r="BN368" s="151"/>
      <c r="BO368" s="151"/>
      <c r="BP368" s="151"/>
      <c r="BQ368" s="151"/>
      <c r="BR368" s="151"/>
      <c r="BS368" s="151"/>
      <c r="BT368" s="151"/>
      <c r="BU368" s="151"/>
      <c r="BV368" s="151"/>
      <c r="BW368" s="151"/>
      <c r="BX368" s="151"/>
      <c r="BY368" s="151"/>
      <c r="BZ368" s="151"/>
      <c r="CA368" s="151"/>
      <c r="CB368" s="151"/>
      <c r="CC368" s="151"/>
      <c r="CD368" s="151"/>
      <c r="CE368" s="151"/>
      <c r="CF368" s="151"/>
      <c r="CG368" s="151"/>
      <c r="CH368" s="151"/>
      <c r="CI368" s="151"/>
      <c r="CJ368" s="151"/>
      <c r="CK368" s="151"/>
      <c r="CL368" s="151"/>
      <c r="CM368" s="151"/>
      <c r="CN368" s="151"/>
      <c r="CO368" s="151"/>
      <c r="CP368" s="151"/>
      <c r="CQ368" s="151"/>
      <c r="CR368" s="151"/>
      <c r="CS368" s="151"/>
      <c r="CT368" s="151"/>
      <c r="CU368" s="151"/>
      <c r="CV368" s="151"/>
      <c r="CW368" s="151"/>
      <c r="CX368" s="151"/>
      <c r="CY368" s="151"/>
      <c r="CZ368" s="151"/>
      <c r="DA368" s="151"/>
      <c r="DB368" s="151"/>
      <c r="DC368" s="151"/>
      <c r="DD368" s="151"/>
      <c r="DE368" s="151"/>
      <c r="DF368" s="151"/>
      <c r="DG368" s="151"/>
      <c r="DH368" s="151"/>
      <c r="DI368" s="151"/>
      <c r="DJ368" s="151"/>
      <c r="DK368" s="151"/>
      <c r="DL368" s="151"/>
      <c r="DM368" s="151"/>
      <c r="DN368" s="151"/>
      <c r="DO368" s="151"/>
      <c r="DP368" s="151"/>
      <c r="DQ368" s="151"/>
      <c r="DR368" s="151"/>
      <c r="DS368" s="151"/>
      <c r="DT368" s="151"/>
      <c r="DU368" s="151"/>
      <c r="DV368" s="151"/>
      <c r="DW368" s="151"/>
      <c r="DX368" s="151"/>
      <c r="DY368" s="151"/>
      <c r="DZ368" s="151"/>
      <c r="EA368" s="151"/>
      <c r="EB368" s="151"/>
      <c r="EC368" s="151"/>
      <c r="ED368" s="151"/>
      <c r="EE368" s="151"/>
      <c r="EF368" s="151"/>
      <c r="EG368" s="151"/>
      <c r="EH368" s="151"/>
      <c r="EI368" s="151"/>
      <c r="EJ368" s="151"/>
      <c r="EK368" s="151"/>
      <c r="EL368" s="151"/>
      <c r="EM368" s="151"/>
      <c r="EN368" s="151"/>
      <c r="EO368" s="151"/>
      <c r="EP368" s="151"/>
      <c r="EQ368" s="151"/>
      <c r="ER368" s="151"/>
      <c r="ES368" s="151"/>
      <c r="ET368" s="151"/>
      <c r="EU368" s="151"/>
      <c r="EV368" s="151"/>
      <c r="EW368" s="151"/>
      <c r="EX368" s="151"/>
      <c r="EY368" s="151"/>
      <c r="EZ368" s="151"/>
      <c r="FA368" s="151"/>
      <c r="FB368" s="151"/>
      <c r="FC368" s="151"/>
      <c r="FD368" s="151"/>
      <c r="FE368" s="151"/>
      <c r="FF368" s="151"/>
      <c r="FG368" s="151"/>
      <c r="FH368" s="151"/>
      <c r="FI368" s="151"/>
      <c r="FJ368" s="151"/>
      <c r="FK368" s="151"/>
      <c r="FL368" s="151"/>
      <c r="FM368" s="151"/>
      <c r="FN368" s="151"/>
      <c r="FO368" s="151"/>
      <c r="FP368" s="151"/>
      <c r="FQ368" s="151"/>
      <c r="FR368" s="151"/>
      <c r="FS368" s="151"/>
      <c r="FT368" s="151"/>
      <c r="FU368" s="151"/>
      <c r="FV368" s="151"/>
      <c r="FW368" s="151"/>
      <c r="FX368" s="151"/>
      <c r="FY368" s="151"/>
      <c r="FZ368" s="151"/>
      <c r="GA368" s="151"/>
      <c r="GB368" s="151"/>
      <c r="GC368" s="151"/>
      <c r="GD368" s="151"/>
      <c r="GE368" s="151"/>
      <c r="GF368" s="151"/>
      <c r="GG368" s="152"/>
    </row>
    <row r="369" spans="1:189" ht="27.75" x14ac:dyDescent="0.35">
      <c r="A369" s="267" t="s">
        <v>1378</v>
      </c>
      <c r="B369" s="221"/>
      <c r="C369" s="221"/>
      <c r="D369" s="222"/>
      <c r="E369" s="221" t="s">
        <v>1381</v>
      </c>
      <c r="F369" s="221" t="s">
        <v>1383</v>
      </c>
      <c r="G369" s="223">
        <v>2</v>
      </c>
      <c r="H369" s="224" t="s">
        <v>1380</v>
      </c>
      <c r="I369" s="225"/>
      <c r="J369" s="225"/>
      <c r="K369" s="225"/>
      <c r="L369" s="226">
        <v>46113</v>
      </c>
      <c r="M369" s="226">
        <v>46153</v>
      </c>
      <c r="N369" s="226">
        <v>46153</v>
      </c>
      <c r="O369" s="226">
        <v>46153</v>
      </c>
      <c r="P369" s="226">
        <v>46173</v>
      </c>
      <c r="Q369" s="227" t="s">
        <v>23</v>
      </c>
      <c r="R369" s="228"/>
      <c r="S369" s="228">
        <v>0</v>
      </c>
      <c r="T369" s="228">
        <v>16000</v>
      </c>
      <c r="U369" s="191">
        <f t="shared" si="318"/>
        <v>-16000</v>
      </c>
      <c r="V369" s="230"/>
      <c r="W369" s="231"/>
      <c r="X369" s="46"/>
      <c r="Y369" s="167">
        <f t="shared" si="319"/>
        <v>0</v>
      </c>
      <c r="Z369" s="167">
        <f t="shared" si="320"/>
        <v>16000</v>
      </c>
      <c r="AA369" s="167">
        <f t="shared" si="321"/>
        <v>-16000</v>
      </c>
      <c r="AB369" s="167">
        <f t="shared" si="322"/>
        <v>0</v>
      </c>
      <c r="AC369" s="167">
        <f t="shared" si="323"/>
        <v>0</v>
      </c>
      <c r="AD369" s="167">
        <f t="shared" si="324"/>
        <v>0</v>
      </c>
      <c r="AF369" s="47">
        <f t="shared" si="481"/>
        <v>1</v>
      </c>
      <c r="AG369" s="202" t="str">
        <f t="shared" si="482"/>
        <v xml:space="preserve"> Capping of the existing gas pipeline ECd_54</v>
      </c>
      <c r="AH369" s="150"/>
      <c r="AI369" s="151"/>
      <c r="AJ369" s="151"/>
      <c r="AK369" s="151"/>
      <c r="AL369" s="151"/>
      <c r="AM369" s="151"/>
      <c r="AN369" s="151"/>
      <c r="AO369" s="151"/>
      <c r="AP369" s="151"/>
      <c r="AQ369" s="151"/>
      <c r="AR369" s="151"/>
      <c r="AS369" s="151"/>
      <c r="AT369" s="151"/>
      <c r="AU369" s="151"/>
      <c r="AV369" s="151"/>
      <c r="AW369" s="151"/>
      <c r="AX369" s="151"/>
      <c r="AY369" s="151"/>
      <c r="AZ369" s="151"/>
      <c r="BA369" s="151"/>
      <c r="BB369" s="151"/>
      <c r="BC369" s="151"/>
      <c r="BD369" s="151"/>
      <c r="BE369" s="151"/>
      <c r="BF369" s="151"/>
      <c r="BG369" s="151"/>
      <c r="BH369" s="151"/>
      <c r="BI369" s="151"/>
      <c r="BJ369" s="151"/>
      <c r="BK369" s="151"/>
      <c r="BL369" s="151"/>
      <c r="BM369" s="151"/>
      <c r="BN369" s="151"/>
      <c r="BO369" s="151"/>
      <c r="BP369" s="151"/>
      <c r="BQ369" s="151"/>
      <c r="BR369" s="151"/>
      <c r="BS369" s="151"/>
      <c r="BT369" s="151"/>
      <c r="BU369" s="151"/>
      <c r="BV369" s="151"/>
      <c r="BW369" s="151"/>
      <c r="BX369" s="151"/>
      <c r="BY369" s="151"/>
      <c r="BZ369" s="151"/>
      <c r="CA369" s="151"/>
      <c r="CB369" s="151"/>
      <c r="CC369" s="151"/>
      <c r="CD369" s="151"/>
      <c r="CE369" s="151"/>
      <c r="CF369" s="151"/>
      <c r="CG369" s="151"/>
      <c r="CH369" s="151"/>
      <c r="CI369" s="151"/>
      <c r="CJ369" s="151"/>
      <c r="CK369" s="151"/>
      <c r="CL369" s="151"/>
      <c r="CM369" s="151"/>
      <c r="CN369" s="151"/>
      <c r="CO369" s="151"/>
      <c r="CP369" s="151"/>
      <c r="CQ369" s="151"/>
      <c r="CR369" s="151"/>
      <c r="CS369" s="151"/>
      <c r="CT369" s="151"/>
      <c r="CU369" s="151"/>
      <c r="CV369" s="151"/>
      <c r="CW369" s="151"/>
      <c r="CX369" s="151"/>
      <c r="CY369" s="151"/>
      <c r="CZ369" s="151"/>
      <c r="DA369" s="151"/>
      <c r="DB369" s="151"/>
      <c r="DC369" s="151"/>
      <c r="DD369" s="151"/>
      <c r="DE369" s="151"/>
      <c r="DF369" s="151"/>
      <c r="DG369" s="151"/>
      <c r="DH369" s="151"/>
      <c r="DI369" s="151"/>
      <c r="DJ369" s="151"/>
      <c r="DK369" s="151"/>
      <c r="DL369" s="151"/>
      <c r="DM369" s="151"/>
      <c r="DN369" s="151"/>
      <c r="DO369" s="151"/>
      <c r="DP369" s="151"/>
      <c r="DQ369" s="151"/>
      <c r="DR369" s="151"/>
      <c r="DS369" s="151"/>
      <c r="DT369" s="151"/>
      <c r="DU369" s="151"/>
      <c r="DV369" s="151"/>
      <c r="DW369" s="151"/>
      <c r="DX369" s="151"/>
      <c r="DY369" s="151"/>
      <c r="DZ369" s="151"/>
      <c r="EA369" s="151"/>
      <c r="EB369" s="151"/>
      <c r="EC369" s="151"/>
      <c r="ED369" s="151"/>
      <c r="EE369" s="151"/>
      <c r="EF369" s="151"/>
      <c r="EG369" s="151"/>
      <c r="EH369" s="151"/>
      <c r="EI369" s="151"/>
      <c r="EJ369" s="151"/>
      <c r="EK369" s="151"/>
      <c r="EL369" s="151"/>
      <c r="EM369" s="151"/>
      <c r="EN369" s="151"/>
      <c r="EO369" s="151"/>
      <c r="EP369" s="151"/>
      <c r="EQ369" s="151"/>
      <c r="ER369" s="151"/>
      <c r="ES369" s="151"/>
      <c r="ET369" s="151"/>
      <c r="EU369" s="151"/>
      <c r="EV369" s="151"/>
      <c r="EW369" s="151"/>
      <c r="EX369" s="151"/>
      <c r="EY369" s="151"/>
      <c r="EZ369" s="151"/>
      <c r="FA369" s="151"/>
      <c r="FB369" s="151"/>
      <c r="FC369" s="151"/>
      <c r="FD369" s="151"/>
      <c r="FE369" s="151"/>
      <c r="FF369" s="151"/>
      <c r="FG369" s="151"/>
      <c r="FH369" s="151"/>
      <c r="FI369" s="151"/>
      <c r="FJ369" s="151"/>
      <c r="FK369" s="151"/>
      <c r="FL369" s="151"/>
      <c r="FM369" s="151"/>
      <c r="FN369" s="151"/>
      <c r="FO369" s="151"/>
      <c r="FP369" s="151"/>
      <c r="FQ369" s="151"/>
      <c r="FR369" s="151"/>
      <c r="FS369" s="151"/>
      <c r="FT369" s="151"/>
      <c r="FU369" s="151"/>
      <c r="FV369" s="151"/>
      <c r="FW369" s="151"/>
      <c r="FX369" s="151"/>
      <c r="FY369" s="151"/>
      <c r="FZ369" s="151"/>
      <c r="GA369" s="151"/>
      <c r="GB369" s="151"/>
      <c r="GC369" s="151"/>
      <c r="GD369" s="151"/>
      <c r="GE369" s="151"/>
      <c r="GF369" s="151"/>
      <c r="GG369" s="152"/>
    </row>
    <row r="370" spans="1:189" s="168" customFormat="1" ht="28.5" x14ac:dyDescent="0.35">
      <c r="A370" s="266" t="s">
        <v>1201</v>
      </c>
      <c r="B370" s="206"/>
      <c r="C370" s="207"/>
      <c r="D370" s="208"/>
      <c r="E370" s="207" t="s">
        <v>1202</v>
      </c>
      <c r="F370" s="206" t="s">
        <v>1203</v>
      </c>
      <c r="G370" s="209">
        <v>2</v>
      </c>
      <c r="H370" s="210"/>
      <c r="I370" s="206"/>
      <c r="J370" s="207"/>
      <c r="K370" s="206"/>
      <c r="L370" s="211"/>
      <c r="M370" s="211"/>
      <c r="N370" s="212"/>
      <c r="O370" s="211"/>
      <c r="P370" s="211"/>
      <c r="Q370" s="213" t="s">
        <v>20</v>
      </c>
      <c r="R370" s="214">
        <v>414428.5197940818</v>
      </c>
      <c r="S370" s="214">
        <v>414428.5197940818</v>
      </c>
      <c r="T370" s="214">
        <v>0</v>
      </c>
      <c r="U370" s="216">
        <f t="shared" si="318"/>
        <v>414428.5197940818</v>
      </c>
      <c r="V370" s="217"/>
      <c r="W370" s="218"/>
      <c r="X370" s="219"/>
      <c r="Y370" s="220">
        <f t="shared" si="319"/>
        <v>414428.5197940818</v>
      </c>
      <c r="Z370" s="220">
        <f t="shared" si="320"/>
        <v>0</v>
      </c>
      <c r="AA370" s="220">
        <f t="shared" si="321"/>
        <v>414428.5197940818</v>
      </c>
      <c r="AB370" s="220">
        <f t="shared" si="322"/>
        <v>0</v>
      </c>
      <c r="AC370" s="220">
        <f t="shared" si="323"/>
        <v>0</v>
      </c>
      <c r="AD370" s="220">
        <f t="shared" si="324"/>
        <v>0</v>
      </c>
      <c r="AF370" s="47">
        <f t="shared" si="458"/>
        <v>1</v>
      </c>
      <c r="AG370" s="202" t="str">
        <f t="shared" si="459"/>
        <v xml:space="preserve"> Opportunities and risks from the acquisition stage</v>
      </c>
      <c r="AH370" s="172"/>
      <c r="AI370" s="173"/>
      <c r="AJ370" s="173"/>
      <c r="AK370" s="173"/>
      <c r="AL370" s="151"/>
      <c r="AM370" s="151"/>
      <c r="AN370" s="151"/>
      <c r="AO370" s="151"/>
      <c r="AP370" s="151"/>
      <c r="AQ370" s="151"/>
      <c r="AR370" s="151"/>
      <c r="AS370" s="151"/>
      <c r="AT370" s="151"/>
      <c r="AU370" s="151"/>
      <c r="AV370" s="151"/>
      <c r="AW370" s="151"/>
      <c r="AX370" s="151"/>
      <c r="AY370" s="151"/>
      <c r="AZ370" s="151"/>
      <c r="BA370" s="151"/>
      <c r="BB370" s="151"/>
      <c r="BC370" s="151"/>
      <c r="BD370" s="151"/>
      <c r="BE370" s="151"/>
      <c r="BF370" s="151"/>
      <c r="BG370" s="151"/>
      <c r="BH370" s="151"/>
      <c r="BI370" s="151"/>
      <c r="BJ370" s="151"/>
      <c r="BK370" s="151"/>
      <c r="BL370" s="151"/>
      <c r="BM370" s="151"/>
      <c r="BN370" s="151"/>
      <c r="BO370" s="151"/>
      <c r="BP370" s="151"/>
      <c r="BQ370" s="151"/>
      <c r="BR370" s="151"/>
      <c r="BS370" s="151"/>
      <c r="BT370" s="151"/>
      <c r="BU370" s="151"/>
      <c r="BV370" s="151"/>
      <c r="BW370" s="151"/>
      <c r="BX370" s="151"/>
      <c r="BY370" s="151"/>
      <c r="BZ370" s="151"/>
      <c r="CA370" s="151"/>
      <c r="CB370" s="151"/>
      <c r="CC370" s="151"/>
      <c r="CD370" s="151"/>
      <c r="CE370" s="151"/>
      <c r="CF370" s="151"/>
      <c r="CG370" s="151"/>
      <c r="CH370" s="151"/>
      <c r="CI370" s="151"/>
      <c r="CJ370" s="151"/>
      <c r="CK370" s="151"/>
      <c r="CL370" s="151"/>
      <c r="CM370" s="151"/>
      <c r="CN370" s="151"/>
      <c r="CO370" s="151"/>
      <c r="CP370" s="151"/>
      <c r="CQ370" s="151"/>
      <c r="CR370" s="151"/>
      <c r="CS370" s="151"/>
      <c r="CT370" s="151"/>
      <c r="CU370" s="151"/>
      <c r="CV370" s="151"/>
      <c r="CW370" s="151"/>
      <c r="CX370" s="151"/>
      <c r="CY370" s="151"/>
      <c r="CZ370" s="173"/>
      <c r="DA370" s="173"/>
      <c r="DB370" s="173"/>
      <c r="DC370" s="173"/>
      <c r="DD370" s="173"/>
      <c r="DE370" s="173"/>
      <c r="DF370" s="173"/>
      <c r="DG370" s="173"/>
      <c r="DH370" s="173"/>
      <c r="DI370" s="173"/>
      <c r="DJ370" s="173"/>
      <c r="DK370" s="173"/>
      <c r="DL370" s="173"/>
      <c r="DM370" s="173"/>
      <c r="DN370" s="173"/>
      <c r="DO370" s="173"/>
      <c r="DP370" s="173"/>
      <c r="DQ370" s="173"/>
      <c r="DR370" s="173"/>
      <c r="DS370" s="173"/>
      <c r="DT370" s="173"/>
      <c r="DU370" s="173"/>
      <c r="DV370" s="173"/>
      <c r="DW370" s="173"/>
      <c r="DX370" s="173"/>
      <c r="DY370" s="173"/>
      <c r="DZ370" s="173"/>
      <c r="EA370" s="173"/>
      <c r="EB370" s="173"/>
      <c r="EC370" s="173"/>
      <c r="ED370" s="173"/>
      <c r="EE370" s="173"/>
      <c r="EF370" s="173"/>
      <c r="EG370" s="173"/>
      <c r="EH370" s="173"/>
      <c r="EI370" s="173"/>
      <c r="EJ370" s="173"/>
      <c r="EK370" s="173"/>
      <c r="EL370" s="173"/>
      <c r="EM370" s="173"/>
      <c r="EN370" s="173"/>
      <c r="EO370" s="173"/>
      <c r="EP370" s="173"/>
      <c r="EQ370" s="173"/>
      <c r="ER370" s="173"/>
      <c r="ES370" s="173"/>
      <c r="ET370" s="173"/>
      <c r="EU370" s="173"/>
      <c r="EV370" s="173"/>
      <c r="EW370" s="173"/>
      <c r="EX370" s="173"/>
      <c r="EY370" s="173"/>
      <c r="EZ370" s="173"/>
      <c r="FA370" s="173"/>
      <c r="FB370" s="173"/>
      <c r="FC370" s="173"/>
      <c r="FD370" s="173"/>
      <c r="FE370" s="173"/>
      <c r="FF370" s="173"/>
      <c r="FG370" s="173"/>
      <c r="FH370" s="173"/>
      <c r="FI370" s="173"/>
      <c r="FJ370" s="173"/>
      <c r="FK370" s="173"/>
      <c r="FL370" s="173"/>
      <c r="FM370" s="173"/>
      <c r="FN370" s="173"/>
      <c r="FO370" s="173"/>
      <c r="FP370" s="173"/>
      <c r="FQ370" s="173"/>
      <c r="FR370" s="173"/>
      <c r="FS370" s="173"/>
      <c r="FT370" s="173"/>
      <c r="FU370" s="173"/>
      <c r="FV370" s="173"/>
      <c r="FW370" s="173"/>
      <c r="FX370" s="173"/>
      <c r="FY370" s="173"/>
      <c r="FZ370" s="173"/>
      <c r="GA370" s="173"/>
      <c r="GB370" s="173"/>
      <c r="GC370" s="173"/>
      <c r="GD370" s="173"/>
      <c r="GE370" s="173"/>
      <c r="GF370" s="173"/>
      <c r="GG370" s="174"/>
    </row>
    <row r="371" spans="1:189" x14ac:dyDescent="0.35">
      <c r="A371" s="267"/>
      <c r="B371" s="221"/>
      <c r="C371" s="221"/>
      <c r="D371" s="222"/>
      <c r="E371" s="221"/>
      <c r="F371" s="221"/>
      <c r="G371" s="223"/>
      <c r="H371" s="224"/>
      <c r="I371" s="225"/>
      <c r="J371" s="225"/>
      <c r="K371" s="225"/>
      <c r="L371" s="226"/>
      <c r="M371" s="226"/>
      <c r="N371" s="226"/>
      <c r="O371" s="226"/>
      <c r="P371" s="226"/>
      <c r="Q371" s="227"/>
      <c r="R371" s="228"/>
      <c r="S371" s="228"/>
      <c r="T371" s="228"/>
      <c r="U371" s="191">
        <f t="shared" si="318"/>
        <v>0</v>
      </c>
      <c r="V371" s="230"/>
      <c r="W371" s="231"/>
      <c r="X371" s="46"/>
      <c r="Y371" s="167">
        <f t="shared" si="319"/>
        <v>0</v>
      </c>
      <c r="Z371" s="167">
        <f t="shared" si="320"/>
        <v>0</v>
      </c>
      <c r="AA371" s="167">
        <f t="shared" si="321"/>
        <v>0</v>
      </c>
      <c r="AB371" s="167">
        <f t="shared" si="322"/>
        <v>0</v>
      </c>
      <c r="AC371" s="167">
        <f t="shared" si="323"/>
        <v>0</v>
      </c>
      <c r="AD371" s="167">
        <f t="shared" si="324"/>
        <v>0</v>
      </c>
      <c r="AF371" s="47">
        <f t="shared" si="458"/>
        <v>0</v>
      </c>
      <c r="AG371" s="202" t="str">
        <f t="shared" si="459"/>
        <v xml:space="preserve"> </v>
      </c>
      <c r="AH371" s="172"/>
      <c r="AI371" s="173"/>
      <c r="AJ371" s="173"/>
      <c r="AK371" s="173"/>
      <c r="AL371" s="173"/>
      <c r="AM371" s="173"/>
      <c r="AN371" s="173"/>
      <c r="AO371" s="173"/>
      <c r="AP371" s="173"/>
      <c r="AQ371" s="173"/>
      <c r="AR371" s="173"/>
      <c r="AS371" s="173"/>
      <c r="AT371" s="173"/>
      <c r="AU371" s="173"/>
      <c r="AV371" s="173"/>
      <c r="AW371" s="173"/>
      <c r="AX371" s="173"/>
      <c r="AY371" s="173"/>
      <c r="AZ371" s="173"/>
      <c r="BA371" s="173"/>
      <c r="BB371" s="173"/>
      <c r="BC371" s="173"/>
      <c r="BD371" s="173"/>
      <c r="BE371" s="173"/>
      <c r="BF371" s="173"/>
      <c r="BG371" s="173"/>
      <c r="BH371" s="173"/>
      <c r="BI371" s="173"/>
      <c r="BJ371" s="173"/>
      <c r="BK371" s="173"/>
      <c r="BL371" s="173"/>
      <c r="BM371" s="173"/>
      <c r="BN371" s="173"/>
      <c r="BO371" s="173"/>
      <c r="BP371" s="173"/>
      <c r="BQ371" s="173"/>
      <c r="BR371" s="173"/>
      <c r="BS371" s="173"/>
      <c r="BT371" s="173"/>
      <c r="BU371" s="173"/>
      <c r="BV371" s="173"/>
      <c r="BW371" s="173"/>
      <c r="BX371" s="173"/>
      <c r="BY371" s="173"/>
      <c r="BZ371" s="173"/>
      <c r="CA371" s="173"/>
      <c r="CB371" s="173"/>
      <c r="CC371" s="173"/>
      <c r="CD371" s="173"/>
      <c r="CE371" s="173"/>
      <c r="CF371" s="173"/>
      <c r="CG371" s="173"/>
      <c r="CH371" s="173"/>
      <c r="CI371" s="173"/>
      <c r="CJ371" s="173"/>
      <c r="CK371" s="173"/>
      <c r="CL371" s="173"/>
      <c r="CM371" s="173"/>
      <c r="CN371" s="173"/>
      <c r="CO371" s="173"/>
      <c r="CP371" s="173"/>
      <c r="CQ371" s="173"/>
      <c r="CR371" s="173"/>
      <c r="CS371" s="173"/>
      <c r="CT371" s="173"/>
      <c r="CU371" s="173"/>
      <c r="CV371" s="173"/>
      <c r="CW371" s="173"/>
      <c r="CX371" s="173"/>
      <c r="CY371" s="148"/>
      <c r="CZ371" s="148"/>
      <c r="DA371" s="148"/>
      <c r="DB371" s="148"/>
      <c r="DC371" s="148"/>
      <c r="DD371" s="148"/>
      <c r="DE371" s="148"/>
      <c r="DF371" s="148"/>
      <c r="DG371" s="148"/>
      <c r="DH371" s="148"/>
      <c r="DI371" s="148"/>
      <c r="DJ371" s="148"/>
      <c r="DK371" s="148"/>
      <c r="DL371" s="148"/>
      <c r="DM371" s="148"/>
      <c r="DN371" s="148"/>
      <c r="DO371" s="148"/>
      <c r="DP371" s="148"/>
      <c r="DQ371" s="148"/>
      <c r="DR371" s="148"/>
      <c r="DS371" s="148"/>
      <c r="DT371" s="148"/>
      <c r="DU371" s="148"/>
      <c r="DV371" s="148"/>
      <c r="DW371" s="148"/>
      <c r="DX371" s="148"/>
      <c r="DY371" s="148"/>
      <c r="DZ371" s="148"/>
      <c r="EA371" s="148"/>
      <c r="EB371" s="148"/>
      <c r="EC371" s="148"/>
      <c r="ED371" s="148"/>
      <c r="EE371" s="148"/>
      <c r="EF371" s="148"/>
      <c r="EG371" s="148"/>
      <c r="EH371" s="148"/>
      <c r="EI371" s="148"/>
      <c r="EJ371" s="148"/>
      <c r="EK371" s="148"/>
      <c r="EL371" s="148"/>
      <c r="EM371" s="148"/>
      <c r="EN371" s="148"/>
      <c r="EO371" s="148"/>
      <c r="EP371" s="148"/>
      <c r="EQ371" s="148"/>
      <c r="ER371" s="148"/>
      <c r="ES371" s="148"/>
      <c r="ET371" s="148"/>
      <c r="EU371" s="148"/>
      <c r="EV371" s="148"/>
      <c r="EW371" s="148"/>
      <c r="EX371" s="148"/>
      <c r="EY371" s="148"/>
      <c r="EZ371" s="148"/>
      <c r="FA371" s="148"/>
      <c r="FB371" s="148"/>
      <c r="FC371" s="148"/>
      <c r="FD371" s="148"/>
      <c r="FE371" s="148"/>
      <c r="FF371" s="148"/>
      <c r="FG371" s="148"/>
      <c r="FH371" s="148"/>
      <c r="FI371" s="148"/>
      <c r="FJ371" s="148"/>
      <c r="FK371" s="148"/>
      <c r="FL371" s="148"/>
      <c r="FM371" s="148"/>
      <c r="FN371" s="148"/>
      <c r="FO371" s="148"/>
      <c r="FP371" s="148"/>
      <c r="FQ371" s="148"/>
      <c r="FR371" s="148"/>
      <c r="FS371" s="148"/>
      <c r="FT371" s="148"/>
      <c r="FU371" s="148"/>
      <c r="FV371" s="148"/>
      <c r="FW371" s="148"/>
      <c r="FX371" s="148"/>
      <c r="FY371" s="148"/>
      <c r="FZ371" s="148"/>
      <c r="GA371" s="148"/>
      <c r="GB371" s="148"/>
      <c r="GC371" s="148"/>
      <c r="GD371" s="148"/>
      <c r="GE371" s="148"/>
      <c r="GF371" s="148"/>
      <c r="GG371" s="149"/>
    </row>
    <row r="372" spans="1:189" x14ac:dyDescent="0.35">
      <c r="A372" s="267"/>
      <c r="B372" s="221"/>
      <c r="C372" s="221"/>
      <c r="D372" s="222"/>
      <c r="E372" s="221"/>
      <c r="F372" s="221"/>
      <c r="G372" s="223"/>
      <c r="H372" s="224"/>
      <c r="I372" s="225"/>
      <c r="J372" s="225"/>
      <c r="K372" s="225"/>
      <c r="L372" s="226"/>
      <c r="M372" s="226"/>
      <c r="N372" s="226"/>
      <c r="O372" s="226"/>
      <c r="P372" s="226"/>
      <c r="Q372" s="227"/>
      <c r="R372" s="228"/>
      <c r="S372" s="228"/>
      <c r="T372" s="228"/>
      <c r="U372" s="191">
        <f t="shared" si="318"/>
        <v>0</v>
      </c>
      <c r="V372" s="230"/>
      <c r="W372" s="231"/>
      <c r="X372" s="46"/>
      <c r="Y372" s="167">
        <f t="shared" si="319"/>
        <v>0</v>
      </c>
      <c r="Z372" s="167">
        <f t="shared" si="320"/>
        <v>0</v>
      </c>
      <c r="AA372" s="167">
        <f t="shared" si="321"/>
        <v>0</v>
      </c>
      <c r="AB372" s="167">
        <f t="shared" si="322"/>
        <v>0</v>
      </c>
      <c r="AC372" s="167">
        <f t="shared" si="323"/>
        <v>0</v>
      </c>
      <c r="AD372" s="167">
        <f t="shared" si="324"/>
        <v>0</v>
      </c>
      <c r="AF372" s="47">
        <f t="shared" si="458"/>
        <v>0</v>
      </c>
      <c r="AG372" s="202" t="str">
        <f t="shared" si="459"/>
        <v xml:space="preserve"> </v>
      </c>
      <c r="AH372" s="172"/>
      <c r="AI372" s="173"/>
      <c r="AJ372" s="173"/>
      <c r="AK372" s="173"/>
      <c r="AL372" s="173"/>
      <c r="AM372" s="173"/>
      <c r="AN372" s="173"/>
      <c r="AO372" s="173"/>
      <c r="AP372" s="173"/>
      <c r="AQ372" s="173"/>
      <c r="AR372" s="173"/>
      <c r="AS372" s="173"/>
      <c r="AT372" s="173"/>
      <c r="AU372" s="173"/>
      <c r="AV372" s="173"/>
      <c r="AW372" s="173"/>
      <c r="AX372" s="173"/>
      <c r="AY372" s="173"/>
      <c r="AZ372" s="173"/>
      <c r="BA372" s="173"/>
      <c r="BB372" s="173"/>
      <c r="BC372" s="173"/>
      <c r="BD372" s="173"/>
      <c r="BE372" s="173"/>
      <c r="BF372" s="173"/>
      <c r="BG372" s="173"/>
      <c r="BH372" s="173"/>
      <c r="BI372" s="173"/>
      <c r="BJ372" s="173"/>
      <c r="BK372" s="173"/>
      <c r="BL372" s="173"/>
      <c r="BM372" s="173"/>
      <c r="BN372" s="173"/>
      <c r="BO372" s="173"/>
      <c r="BP372" s="173"/>
      <c r="BQ372" s="173"/>
      <c r="BR372" s="173"/>
      <c r="BS372" s="173"/>
      <c r="BT372" s="173"/>
      <c r="BU372" s="173"/>
      <c r="BV372" s="173"/>
      <c r="BW372" s="173"/>
      <c r="BX372" s="173"/>
      <c r="BY372" s="173"/>
      <c r="BZ372" s="173"/>
      <c r="CA372" s="173"/>
      <c r="CB372" s="173"/>
      <c r="CC372" s="173"/>
      <c r="CD372" s="173"/>
      <c r="CE372" s="173"/>
      <c r="CF372" s="173"/>
      <c r="CG372" s="173"/>
      <c r="CH372" s="173"/>
      <c r="CI372" s="173"/>
      <c r="CJ372" s="173"/>
      <c r="CK372" s="173"/>
      <c r="CL372" s="173"/>
      <c r="CM372" s="173"/>
      <c r="CN372" s="173"/>
      <c r="CO372" s="173"/>
      <c r="CP372" s="173"/>
      <c r="CQ372" s="173"/>
      <c r="CR372" s="173"/>
      <c r="CS372" s="173"/>
      <c r="CT372" s="173"/>
      <c r="CU372" s="173"/>
      <c r="CV372" s="173"/>
      <c r="CW372" s="173"/>
      <c r="CX372" s="173"/>
      <c r="CY372" s="148"/>
      <c r="CZ372" s="148"/>
      <c r="DA372" s="148"/>
      <c r="DB372" s="148"/>
      <c r="DC372" s="148"/>
      <c r="DD372" s="148"/>
      <c r="DE372" s="148"/>
      <c r="DF372" s="148"/>
      <c r="DG372" s="148"/>
      <c r="DH372" s="148"/>
      <c r="DI372" s="148"/>
      <c r="DJ372" s="148"/>
      <c r="DK372" s="148"/>
      <c r="DL372" s="148"/>
      <c r="DM372" s="148"/>
      <c r="DN372" s="148"/>
      <c r="DO372" s="148"/>
      <c r="DP372" s="148"/>
      <c r="DQ372" s="148"/>
      <c r="DR372" s="148"/>
      <c r="DS372" s="148"/>
      <c r="DT372" s="148"/>
      <c r="DU372" s="148"/>
      <c r="DV372" s="148"/>
      <c r="DW372" s="148"/>
      <c r="DX372" s="148"/>
      <c r="DY372" s="148"/>
      <c r="DZ372" s="148"/>
      <c r="EA372" s="148"/>
      <c r="EB372" s="148"/>
      <c r="EC372" s="148"/>
      <c r="ED372" s="148"/>
      <c r="EE372" s="148"/>
      <c r="EF372" s="148"/>
      <c r="EG372" s="148"/>
      <c r="EH372" s="148"/>
      <c r="EI372" s="148"/>
      <c r="EJ372" s="148"/>
      <c r="EK372" s="148"/>
      <c r="EL372" s="148"/>
      <c r="EM372" s="148"/>
      <c r="EN372" s="148"/>
      <c r="EO372" s="148"/>
      <c r="EP372" s="148"/>
      <c r="EQ372" s="148"/>
      <c r="ER372" s="148"/>
      <c r="ES372" s="151"/>
      <c r="ET372" s="151"/>
      <c r="EU372" s="151"/>
      <c r="EV372" s="151"/>
      <c r="EW372" s="151"/>
      <c r="EX372" s="151"/>
      <c r="EY372" s="151"/>
      <c r="EZ372" s="151"/>
      <c r="FA372" s="151"/>
      <c r="FB372" s="151"/>
      <c r="FC372" s="151"/>
      <c r="FD372" s="151"/>
      <c r="FE372" s="151"/>
      <c r="FF372" s="151"/>
      <c r="FG372" s="151"/>
      <c r="FH372" s="151"/>
      <c r="FI372" s="151"/>
      <c r="FJ372" s="151"/>
      <c r="FK372" s="151"/>
      <c r="FL372" s="151"/>
      <c r="FM372" s="151"/>
      <c r="FN372" s="151"/>
      <c r="FO372" s="151"/>
      <c r="FP372" s="151"/>
      <c r="FQ372" s="151"/>
      <c r="FR372" s="151"/>
      <c r="FS372" s="151"/>
      <c r="FT372" s="151"/>
      <c r="FU372" s="151"/>
      <c r="FV372" s="151"/>
      <c r="FW372" s="151"/>
      <c r="FX372" s="151"/>
      <c r="FY372" s="151"/>
      <c r="FZ372" s="151"/>
      <c r="GA372" s="151"/>
      <c r="GB372" s="151"/>
      <c r="GC372" s="151"/>
      <c r="GD372" s="151"/>
      <c r="GE372" s="151"/>
      <c r="GF372" s="151"/>
      <c r="GG372" s="152"/>
    </row>
    <row r="373" spans="1:189" x14ac:dyDescent="0.35">
      <c r="A373" s="267"/>
      <c r="B373" s="221"/>
      <c r="C373" s="221"/>
      <c r="D373" s="222"/>
      <c r="E373" s="221"/>
      <c r="F373" s="221"/>
      <c r="G373" s="223"/>
      <c r="H373" s="224"/>
      <c r="I373" s="225"/>
      <c r="J373" s="225"/>
      <c r="K373" s="225"/>
      <c r="L373" s="226"/>
      <c r="M373" s="226"/>
      <c r="N373" s="226"/>
      <c r="O373" s="226"/>
      <c r="P373" s="226"/>
      <c r="Q373" s="227"/>
      <c r="R373" s="228"/>
      <c r="S373" s="228"/>
      <c r="T373" s="228"/>
      <c r="U373" s="191">
        <f t="shared" si="318"/>
        <v>0</v>
      </c>
      <c r="V373" s="230"/>
      <c r="W373" s="231"/>
      <c r="X373" s="46"/>
      <c r="Y373" s="167">
        <f t="shared" si="319"/>
        <v>0</v>
      </c>
      <c r="Z373" s="167">
        <f t="shared" si="320"/>
        <v>0</v>
      </c>
      <c r="AA373" s="167">
        <f t="shared" si="321"/>
        <v>0</v>
      </c>
      <c r="AB373" s="167">
        <f t="shared" si="322"/>
        <v>0</v>
      </c>
      <c r="AC373" s="167">
        <f t="shared" si="323"/>
        <v>0</v>
      </c>
      <c r="AD373" s="167">
        <f t="shared" si="324"/>
        <v>0</v>
      </c>
      <c r="AF373" s="47">
        <f t="shared" si="458"/>
        <v>0</v>
      </c>
      <c r="AG373" s="202" t="str">
        <f t="shared" si="459"/>
        <v xml:space="preserve"> </v>
      </c>
      <c r="AH373" s="172"/>
      <c r="AI373" s="173"/>
      <c r="AJ373" s="173"/>
      <c r="AK373" s="173"/>
      <c r="AL373" s="173"/>
      <c r="AM373" s="173"/>
      <c r="AN373" s="173"/>
      <c r="AO373" s="173"/>
      <c r="AP373" s="173"/>
      <c r="AQ373" s="173"/>
      <c r="AR373" s="173"/>
      <c r="AS373" s="173"/>
      <c r="AT373" s="173"/>
      <c r="AU373" s="173"/>
      <c r="AV373" s="173"/>
      <c r="AW373" s="173"/>
      <c r="AX373" s="173"/>
      <c r="AY373" s="173"/>
      <c r="AZ373" s="173"/>
      <c r="BA373" s="173"/>
      <c r="BB373" s="173"/>
      <c r="BC373" s="173"/>
      <c r="BD373" s="173"/>
      <c r="BE373" s="173"/>
      <c r="BF373" s="173"/>
      <c r="BG373" s="173"/>
      <c r="BH373" s="173"/>
      <c r="BI373" s="173"/>
      <c r="BJ373" s="173"/>
      <c r="BK373" s="173"/>
      <c r="BL373" s="173"/>
      <c r="BM373" s="173"/>
      <c r="BN373" s="173"/>
      <c r="BO373" s="173"/>
      <c r="BP373" s="173"/>
      <c r="BQ373" s="173"/>
      <c r="BR373" s="173"/>
      <c r="BS373" s="173"/>
      <c r="BT373" s="173"/>
      <c r="BU373" s="173"/>
      <c r="BV373" s="173"/>
      <c r="BW373" s="173"/>
      <c r="BX373" s="173"/>
      <c r="BY373" s="173"/>
      <c r="BZ373" s="173"/>
      <c r="CA373" s="173"/>
      <c r="CB373" s="173"/>
      <c r="CC373" s="173"/>
      <c r="CD373" s="173"/>
      <c r="CE373" s="173"/>
      <c r="CF373" s="173"/>
      <c r="CG373" s="173"/>
      <c r="CH373" s="173"/>
      <c r="CI373" s="173"/>
      <c r="CJ373" s="173"/>
      <c r="CK373" s="173"/>
      <c r="CL373" s="173"/>
      <c r="CM373" s="173"/>
      <c r="CN373" s="173"/>
      <c r="CO373" s="173"/>
      <c r="CP373" s="173"/>
      <c r="CQ373" s="173"/>
      <c r="CR373" s="173"/>
      <c r="CS373" s="173"/>
      <c r="CT373" s="173"/>
      <c r="CU373" s="173"/>
      <c r="CV373" s="173"/>
      <c r="CW373" s="173"/>
      <c r="CX373" s="173"/>
      <c r="CY373" s="148"/>
      <c r="CZ373" s="148"/>
      <c r="DA373" s="148"/>
      <c r="DB373" s="148"/>
      <c r="DC373" s="148"/>
      <c r="DD373" s="148"/>
      <c r="DE373" s="148"/>
      <c r="DF373" s="148"/>
      <c r="DG373" s="148"/>
      <c r="DH373" s="148"/>
      <c r="DI373" s="148"/>
      <c r="DJ373" s="148"/>
      <c r="DK373" s="148"/>
      <c r="DL373" s="148"/>
      <c r="DM373" s="148"/>
      <c r="DN373" s="148"/>
      <c r="DO373" s="148"/>
      <c r="DP373" s="148"/>
      <c r="DQ373" s="148"/>
      <c r="DR373" s="148"/>
      <c r="DS373" s="148"/>
      <c r="DT373" s="148"/>
      <c r="DU373" s="148"/>
      <c r="DV373" s="148"/>
      <c r="DW373" s="148"/>
      <c r="DX373" s="148"/>
      <c r="DY373" s="148"/>
      <c r="DZ373" s="148"/>
      <c r="EA373" s="148"/>
      <c r="EB373" s="148"/>
      <c r="EC373" s="148"/>
      <c r="ED373" s="148"/>
      <c r="EE373" s="148"/>
      <c r="EF373" s="148"/>
      <c r="EG373" s="148"/>
      <c r="EH373" s="148"/>
      <c r="EI373" s="148"/>
      <c r="EJ373" s="148"/>
      <c r="EK373" s="148"/>
      <c r="EL373" s="148"/>
      <c r="EM373" s="148"/>
      <c r="EN373" s="148"/>
      <c r="EO373" s="148"/>
      <c r="EP373" s="148"/>
      <c r="EQ373" s="148"/>
      <c r="ER373" s="148"/>
      <c r="ES373" s="151"/>
      <c r="ET373" s="151"/>
      <c r="EU373" s="151"/>
      <c r="EV373" s="151"/>
      <c r="EW373" s="151"/>
      <c r="EX373" s="151"/>
      <c r="EY373" s="151"/>
      <c r="EZ373" s="151"/>
      <c r="FA373" s="151"/>
      <c r="FB373" s="151"/>
      <c r="FC373" s="151"/>
      <c r="FD373" s="151"/>
      <c r="FE373" s="151"/>
      <c r="FF373" s="151"/>
      <c r="FG373" s="151"/>
      <c r="FH373" s="151"/>
      <c r="FI373" s="151"/>
      <c r="FJ373" s="151"/>
      <c r="FK373" s="151"/>
      <c r="FL373" s="151"/>
      <c r="FM373" s="151"/>
      <c r="FN373" s="151"/>
      <c r="FO373" s="151"/>
      <c r="FP373" s="151"/>
      <c r="FQ373" s="151"/>
      <c r="FR373" s="151"/>
      <c r="FS373" s="151"/>
      <c r="FT373" s="151"/>
      <c r="FU373" s="151"/>
      <c r="FV373" s="151"/>
      <c r="FW373" s="151"/>
      <c r="FX373" s="151"/>
      <c r="FY373" s="151"/>
      <c r="FZ373" s="151"/>
      <c r="GA373" s="151"/>
      <c r="GB373" s="151"/>
      <c r="GC373" s="151"/>
      <c r="GD373" s="151"/>
      <c r="GE373" s="151"/>
      <c r="GF373" s="151"/>
      <c r="GG373" s="152"/>
    </row>
    <row r="374" spans="1:189" x14ac:dyDescent="0.35">
      <c r="A374" s="267"/>
      <c r="B374" s="221"/>
      <c r="C374" s="221"/>
      <c r="D374" s="222"/>
      <c r="E374" s="221"/>
      <c r="F374" s="221"/>
      <c r="G374" s="223"/>
      <c r="H374" s="224"/>
      <c r="I374" s="225"/>
      <c r="J374" s="225"/>
      <c r="K374" s="225"/>
      <c r="L374" s="226"/>
      <c r="M374" s="226"/>
      <c r="N374" s="226"/>
      <c r="O374" s="226"/>
      <c r="P374" s="226"/>
      <c r="Q374" s="227"/>
      <c r="R374" s="228"/>
      <c r="S374" s="228"/>
      <c r="T374" s="228"/>
      <c r="U374" s="191">
        <f t="shared" si="318"/>
        <v>0</v>
      </c>
      <c r="V374" s="230"/>
      <c r="W374" s="231"/>
      <c r="X374" s="46"/>
      <c r="Y374" s="167">
        <f t="shared" si="319"/>
        <v>0</v>
      </c>
      <c r="Z374" s="167">
        <f t="shared" si="320"/>
        <v>0</v>
      </c>
      <c r="AA374" s="167">
        <f t="shared" si="321"/>
        <v>0</v>
      </c>
      <c r="AB374" s="167">
        <f t="shared" si="322"/>
        <v>0</v>
      </c>
      <c r="AC374" s="167">
        <f t="shared" si="323"/>
        <v>0</v>
      </c>
      <c r="AD374" s="167">
        <f t="shared" si="324"/>
        <v>0</v>
      </c>
      <c r="AF374" s="47">
        <f t="shared" si="458"/>
        <v>0</v>
      </c>
      <c r="AG374" s="202" t="str">
        <f t="shared" si="459"/>
        <v xml:space="preserve"> </v>
      </c>
      <c r="AH374" s="172"/>
      <c r="AI374" s="173"/>
      <c r="AJ374" s="173"/>
      <c r="AK374" s="173"/>
      <c r="AL374" s="173"/>
      <c r="AM374" s="173"/>
      <c r="AN374" s="173"/>
      <c r="AO374" s="173"/>
      <c r="AP374" s="173"/>
      <c r="AQ374" s="173"/>
      <c r="AR374" s="173"/>
      <c r="AS374" s="173"/>
      <c r="AT374" s="173"/>
      <c r="AU374" s="173"/>
      <c r="AV374" s="173"/>
      <c r="AW374" s="173"/>
      <c r="AX374" s="173"/>
      <c r="AY374" s="173"/>
      <c r="AZ374" s="173"/>
      <c r="BA374" s="173"/>
      <c r="BB374" s="173"/>
      <c r="BC374" s="173"/>
      <c r="BD374" s="173"/>
      <c r="BE374" s="173"/>
      <c r="BF374" s="173"/>
      <c r="BG374" s="173"/>
      <c r="BH374" s="173"/>
      <c r="BI374" s="173"/>
      <c r="BJ374" s="173"/>
      <c r="BK374" s="173"/>
      <c r="BL374" s="173"/>
      <c r="BM374" s="173"/>
      <c r="BN374" s="173"/>
      <c r="BO374" s="173"/>
      <c r="BP374" s="173"/>
      <c r="BQ374" s="173"/>
      <c r="BR374" s="173"/>
      <c r="BS374" s="173"/>
      <c r="BT374" s="173"/>
      <c r="BU374" s="173"/>
      <c r="BV374" s="173"/>
      <c r="BW374" s="173"/>
      <c r="BX374" s="173"/>
      <c r="BY374" s="173"/>
      <c r="BZ374" s="173"/>
      <c r="CA374" s="173"/>
      <c r="CB374" s="173"/>
      <c r="CC374" s="173"/>
      <c r="CD374" s="173"/>
      <c r="CE374" s="173"/>
      <c r="CF374" s="173"/>
      <c r="CG374" s="173"/>
      <c r="CH374" s="173"/>
      <c r="CI374" s="173"/>
      <c r="CJ374" s="173"/>
      <c r="CK374" s="173"/>
      <c r="CL374" s="173"/>
      <c r="CM374" s="173"/>
      <c r="CN374" s="173"/>
      <c r="CO374" s="173"/>
      <c r="CP374" s="173"/>
      <c r="CQ374" s="173"/>
      <c r="CR374" s="173"/>
      <c r="CS374" s="173"/>
      <c r="CT374" s="173"/>
      <c r="CU374" s="173"/>
      <c r="CV374" s="173"/>
      <c r="CW374" s="173"/>
      <c r="CX374" s="173"/>
      <c r="CY374" s="148"/>
      <c r="CZ374" s="148"/>
      <c r="DA374" s="148"/>
      <c r="DB374" s="148"/>
      <c r="DC374" s="148"/>
      <c r="DD374" s="148"/>
      <c r="DE374" s="148"/>
      <c r="DF374" s="148"/>
      <c r="DG374" s="148"/>
      <c r="DH374" s="148"/>
      <c r="DI374" s="148"/>
      <c r="DJ374" s="148"/>
      <c r="DK374" s="148"/>
      <c r="DL374" s="148"/>
      <c r="DM374" s="148"/>
      <c r="DN374" s="148"/>
      <c r="DO374" s="148"/>
      <c r="DP374" s="148"/>
      <c r="DQ374" s="148"/>
      <c r="DR374" s="148"/>
      <c r="DS374" s="148"/>
      <c r="DT374" s="148"/>
      <c r="DU374" s="148"/>
      <c r="DV374" s="148"/>
      <c r="DW374" s="148"/>
      <c r="DX374" s="148"/>
      <c r="DY374" s="148"/>
      <c r="DZ374" s="148"/>
      <c r="EA374" s="148"/>
      <c r="EB374" s="148"/>
      <c r="EC374" s="148"/>
      <c r="ED374" s="148"/>
      <c r="EE374" s="148"/>
      <c r="EF374" s="148"/>
      <c r="EG374" s="148"/>
      <c r="EH374" s="148"/>
      <c r="EI374" s="148"/>
      <c r="EJ374" s="148"/>
      <c r="EK374" s="148"/>
      <c r="EL374" s="148"/>
      <c r="EM374" s="148"/>
      <c r="EN374" s="148"/>
      <c r="EO374" s="148"/>
      <c r="EP374" s="148"/>
      <c r="EQ374" s="148"/>
      <c r="ER374" s="148"/>
      <c r="ES374" s="151"/>
      <c r="ET374" s="151"/>
      <c r="EU374" s="151"/>
      <c r="EV374" s="151"/>
      <c r="EW374" s="151"/>
      <c r="EX374" s="151"/>
      <c r="EY374" s="151"/>
      <c r="EZ374" s="151"/>
      <c r="FA374" s="151"/>
      <c r="FB374" s="151"/>
      <c r="FC374" s="151"/>
      <c r="FD374" s="151"/>
      <c r="FE374" s="151"/>
      <c r="FF374" s="151"/>
      <c r="FG374" s="151"/>
      <c r="FH374" s="151"/>
      <c r="FI374" s="151"/>
      <c r="FJ374" s="151"/>
      <c r="FK374" s="151"/>
      <c r="FL374" s="151"/>
      <c r="FM374" s="151"/>
      <c r="FN374" s="151"/>
      <c r="FO374" s="151"/>
      <c r="FP374" s="151"/>
      <c r="FQ374" s="151"/>
      <c r="FR374" s="151"/>
      <c r="FS374" s="151"/>
      <c r="FT374" s="151"/>
      <c r="FU374" s="151"/>
      <c r="FV374" s="151"/>
      <c r="FW374" s="151"/>
      <c r="FX374" s="151"/>
      <c r="FY374" s="151"/>
      <c r="FZ374" s="151"/>
      <c r="GA374" s="151"/>
      <c r="GB374" s="151"/>
      <c r="GC374" s="151"/>
      <c r="GD374" s="151"/>
      <c r="GE374" s="151"/>
      <c r="GF374" s="151"/>
      <c r="GG374" s="152"/>
    </row>
    <row r="375" spans="1:189" x14ac:dyDescent="0.35">
      <c r="A375" s="267"/>
      <c r="B375" s="221"/>
      <c r="C375" s="221"/>
      <c r="D375" s="222"/>
      <c r="E375" s="221"/>
      <c r="F375" s="221"/>
      <c r="G375" s="223"/>
      <c r="H375" s="224"/>
      <c r="I375" s="225"/>
      <c r="J375" s="225"/>
      <c r="K375" s="225"/>
      <c r="L375" s="226"/>
      <c r="M375" s="226"/>
      <c r="N375" s="226"/>
      <c r="O375" s="226"/>
      <c r="P375" s="226"/>
      <c r="Q375" s="227"/>
      <c r="R375" s="228"/>
      <c r="S375" s="228"/>
      <c r="T375" s="228"/>
      <c r="U375" s="191">
        <f t="shared" si="318"/>
        <v>0</v>
      </c>
      <c r="V375" s="230"/>
      <c r="W375" s="231"/>
      <c r="X375" s="46"/>
      <c r="Y375" s="167">
        <f t="shared" si="319"/>
        <v>0</v>
      </c>
      <c r="Z375" s="167">
        <f t="shared" si="320"/>
        <v>0</v>
      </c>
      <c r="AA375" s="167">
        <f t="shared" si="321"/>
        <v>0</v>
      </c>
      <c r="AB375" s="167">
        <f t="shared" si="322"/>
        <v>0</v>
      </c>
      <c r="AC375" s="167">
        <f t="shared" si="323"/>
        <v>0</v>
      </c>
      <c r="AD375" s="167">
        <f t="shared" si="324"/>
        <v>0</v>
      </c>
      <c r="AF375" s="47">
        <f t="shared" si="458"/>
        <v>0</v>
      </c>
      <c r="AG375" s="202" t="str">
        <f t="shared" si="459"/>
        <v xml:space="preserve"> </v>
      </c>
      <c r="AH375" s="172"/>
      <c r="AI375" s="173"/>
      <c r="AJ375" s="173"/>
      <c r="AK375" s="173"/>
      <c r="AL375" s="173"/>
      <c r="AM375" s="173"/>
      <c r="AN375" s="173"/>
      <c r="AO375" s="173"/>
      <c r="AP375" s="173"/>
      <c r="AQ375" s="173"/>
      <c r="AR375" s="173"/>
      <c r="AS375" s="173"/>
      <c r="AT375" s="173"/>
      <c r="AU375" s="173"/>
      <c r="AV375" s="173"/>
      <c r="AW375" s="173"/>
      <c r="AX375" s="173"/>
      <c r="AY375" s="173"/>
      <c r="AZ375" s="173"/>
      <c r="BA375" s="173"/>
      <c r="BB375" s="173"/>
      <c r="BC375" s="173"/>
      <c r="BD375" s="173"/>
      <c r="BE375" s="173"/>
      <c r="BF375" s="173"/>
      <c r="BG375" s="173"/>
      <c r="BH375" s="173"/>
      <c r="BI375" s="173"/>
      <c r="BJ375" s="173"/>
      <c r="BK375" s="173"/>
      <c r="BL375" s="173"/>
      <c r="BM375" s="173"/>
      <c r="BN375" s="173"/>
      <c r="BO375" s="173"/>
      <c r="BP375" s="173"/>
      <c r="BQ375" s="173"/>
      <c r="BR375" s="173"/>
      <c r="BS375" s="173"/>
      <c r="BT375" s="173"/>
      <c r="BU375" s="173"/>
      <c r="BV375" s="173"/>
      <c r="BW375" s="173"/>
      <c r="BX375" s="173"/>
      <c r="BY375" s="173"/>
      <c r="BZ375" s="173"/>
      <c r="CA375" s="173"/>
      <c r="CB375" s="173"/>
      <c r="CC375" s="173"/>
      <c r="CD375" s="173"/>
      <c r="CE375" s="173"/>
      <c r="CF375" s="173"/>
      <c r="CG375" s="173"/>
      <c r="CH375" s="173"/>
      <c r="CI375" s="173"/>
      <c r="CJ375" s="173"/>
      <c r="CK375" s="173"/>
      <c r="CL375" s="173"/>
      <c r="CM375" s="173"/>
      <c r="CN375" s="173"/>
      <c r="CO375" s="173"/>
      <c r="CP375" s="173"/>
      <c r="CQ375" s="173"/>
      <c r="CR375" s="173"/>
      <c r="CS375" s="173"/>
      <c r="CT375" s="173"/>
      <c r="CU375" s="173"/>
      <c r="CV375" s="173"/>
      <c r="CW375" s="173"/>
      <c r="CX375" s="173"/>
      <c r="CY375" s="148"/>
      <c r="CZ375" s="148"/>
      <c r="DA375" s="148"/>
      <c r="DB375" s="148"/>
      <c r="DC375" s="148"/>
      <c r="DD375" s="148"/>
      <c r="DE375" s="148"/>
      <c r="DF375" s="148"/>
      <c r="DG375" s="148"/>
      <c r="DH375" s="148"/>
      <c r="DI375" s="148"/>
      <c r="DJ375" s="148"/>
      <c r="DK375" s="148"/>
      <c r="DL375" s="148"/>
      <c r="DM375" s="148"/>
      <c r="DN375" s="148"/>
      <c r="DO375" s="148"/>
      <c r="DP375" s="148"/>
      <c r="DQ375" s="148"/>
      <c r="DR375" s="148"/>
      <c r="DS375" s="148"/>
      <c r="DT375" s="148"/>
      <c r="DU375" s="148"/>
      <c r="DV375" s="148"/>
      <c r="DW375" s="148"/>
      <c r="DX375" s="148"/>
      <c r="DY375" s="148"/>
      <c r="DZ375" s="148"/>
      <c r="EA375" s="148"/>
      <c r="EB375" s="148"/>
      <c r="EC375" s="148"/>
      <c r="ED375" s="148"/>
      <c r="EE375" s="148"/>
      <c r="EF375" s="148"/>
      <c r="EG375" s="148"/>
      <c r="EH375" s="148"/>
      <c r="EI375" s="148"/>
      <c r="EJ375" s="148"/>
      <c r="EK375" s="148"/>
      <c r="EL375" s="148"/>
      <c r="EM375" s="148"/>
      <c r="EN375" s="148"/>
      <c r="EO375" s="148"/>
      <c r="EP375" s="148"/>
      <c r="EQ375" s="148"/>
      <c r="ER375" s="148"/>
      <c r="ES375" s="148"/>
      <c r="ET375" s="148"/>
      <c r="EU375" s="148"/>
      <c r="EV375" s="148"/>
      <c r="EW375" s="148"/>
      <c r="EX375" s="148"/>
      <c r="EY375" s="148"/>
      <c r="EZ375" s="148"/>
      <c r="FA375" s="148"/>
      <c r="FB375" s="148"/>
      <c r="FC375" s="148"/>
      <c r="FD375" s="148"/>
      <c r="FE375" s="148"/>
      <c r="FF375" s="148"/>
      <c r="FG375" s="148"/>
      <c r="FH375" s="148"/>
      <c r="FI375" s="148"/>
      <c r="FJ375" s="148"/>
      <c r="FK375" s="148"/>
      <c r="FL375" s="148"/>
      <c r="FM375" s="148"/>
      <c r="FN375" s="148"/>
      <c r="FO375" s="148"/>
      <c r="FP375" s="148"/>
      <c r="FQ375" s="148"/>
      <c r="FR375" s="148"/>
      <c r="FS375" s="148"/>
      <c r="FT375" s="148"/>
      <c r="FU375" s="148"/>
      <c r="FV375" s="148"/>
      <c r="FW375" s="148"/>
      <c r="FX375" s="148"/>
      <c r="FY375" s="148"/>
      <c r="FZ375" s="148"/>
      <c r="GA375" s="148"/>
      <c r="GB375" s="148"/>
      <c r="GC375" s="148"/>
      <c r="GD375" s="148"/>
      <c r="GE375" s="148"/>
      <c r="GF375" s="148"/>
      <c r="GG375" s="149"/>
    </row>
    <row r="376" spans="1:189" x14ac:dyDescent="0.35">
      <c r="A376" s="267"/>
      <c r="B376" s="221"/>
      <c r="C376" s="221"/>
      <c r="D376" s="222"/>
      <c r="E376" s="221"/>
      <c r="F376" s="221"/>
      <c r="G376" s="223"/>
      <c r="H376" s="224"/>
      <c r="I376" s="225"/>
      <c r="J376" s="225"/>
      <c r="K376" s="225"/>
      <c r="L376" s="226"/>
      <c r="M376" s="226"/>
      <c r="N376" s="226"/>
      <c r="O376" s="226"/>
      <c r="P376" s="226"/>
      <c r="Q376" s="227"/>
      <c r="R376" s="228"/>
      <c r="S376" s="228"/>
      <c r="T376" s="228"/>
      <c r="U376" s="191">
        <f t="shared" si="318"/>
        <v>0</v>
      </c>
      <c r="V376" s="230"/>
      <c r="W376" s="231"/>
      <c r="X376" s="46"/>
      <c r="Y376" s="167">
        <f t="shared" si="319"/>
        <v>0</v>
      </c>
      <c r="Z376" s="167">
        <f t="shared" si="320"/>
        <v>0</v>
      </c>
      <c r="AA376" s="167">
        <f t="shared" si="321"/>
        <v>0</v>
      </c>
      <c r="AB376" s="167">
        <f t="shared" si="322"/>
        <v>0</v>
      </c>
      <c r="AC376" s="167">
        <f t="shared" si="323"/>
        <v>0</v>
      </c>
      <c r="AD376" s="167">
        <f t="shared" si="324"/>
        <v>0</v>
      </c>
      <c r="AF376" s="47">
        <f t="shared" si="458"/>
        <v>0</v>
      </c>
      <c r="AG376" s="202" t="str">
        <f t="shared" si="459"/>
        <v xml:space="preserve"> </v>
      </c>
      <c r="AH376" s="172"/>
      <c r="AI376" s="173"/>
      <c r="AJ376" s="173"/>
      <c r="AK376" s="173"/>
      <c r="AL376" s="173"/>
      <c r="AM376" s="173"/>
      <c r="AN376" s="173"/>
      <c r="AO376" s="173"/>
      <c r="AP376" s="173"/>
      <c r="AQ376" s="173"/>
      <c r="AR376" s="173"/>
      <c r="AS376" s="173"/>
      <c r="AT376" s="173"/>
      <c r="AU376" s="173"/>
      <c r="AV376" s="173"/>
      <c r="AW376" s="173"/>
      <c r="AX376" s="173"/>
      <c r="AY376" s="173"/>
      <c r="AZ376" s="173"/>
      <c r="BA376" s="173"/>
      <c r="BB376" s="173"/>
      <c r="BC376" s="173"/>
      <c r="BD376" s="173"/>
      <c r="BE376" s="173"/>
      <c r="BF376" s="173"/>
      <c r="BG376" s="173"/>
      <c r="BH376" s="173"/>
      <c r="BI376" s="173"/>
      <c r="BJ376" s="173"/>
      <c r="BK376" s="173"/>
      <c r="BL376" s="173"/>
      <c r="BM376" s="173"/>
      <c r="BN376" s="173"/>
      <c r="BO376" s="173"/>
      <c r="BP376" s="173"/>
      <c r="BQ376" s="173"/>
      <c r="BR376" s="173"/>
      <c r="BS376" s="173"/>
      <c r="BT376" s="173"/>
      <c r="BU376" s="173"/>
      <c r="BV376" s="173"/>
      <c r="BW376" s="173"/>
      <c r="BX376" s="173"/>
      <c r="BY376" s="173"/>
      <c r="BZ376" s="173"/>
      <c r="CA376" s="173"/>
      <c r="CB376" s="173"/>
      <c r="CC376" s="173"/>
      <c r="CD376" s="173"/>
      <c r="CE376" s="173"/>
      <c r="CF376" s="173"/>
      <c r="CG376" s="173"/>
      <c r="CH376" s="173"/>
      <c r="CI376" s="173"/>
      <c r="CJ376" s="173"/>
      <c r="CK376" s="173"/>
      <c r="CL376" s="173"/>
      <c r="CM376" s="173"/>
      <c r="CN376" s="173"/>
      <c r="CO376" s="173"/>
      <c r="CP376" s="173"/>
      <c r="CQ376" s="173"/>
      <c r="CR376" s="173"/>
      <c r="CS376" s="173"/>
      <c r="CT376" s="173"/>
      <c r="CU376" s="173"/>
      <c r="CV376" s="173"/>
      <c r="CW376" s="173"/>
      <c r="CX376" s="173"/>
      <c r="CY376" s="148"/>
      <c r="CZ376" s="148"/>
      <c r="DA376" s="148"/>
      <c r="DB376" s="148"/>
      <c r="DC376" s="148"/>
      <c r="DD376" s="148"/>
      <c r="DE376" s="148"/>
      <c r="DF376" s="148"/>
      <c r="DG376" s="148"/>
      <c r="DH376" s="148"/>
      <c r="DI376" s="148"/>
      <c r="DJ376" s="148"/>
      <c r="DK376" s="148"/>
      <c r="DL376" s="148"/>
      <c r="DM376" s="148"/>
      <c r="DN376" s="148"/>
      <c r="DO376" s="148"/>
      <c r="DP376" s="148"/>
      <c r="DQ376" s="148"/>
      <c r="DR376" s="148"/>
      <c r="DS376" s="148"/>
      <c r="DT376" s="148"/>
      <c r="DU376" s="148"/>
      <c r="DV376" s="148"/>
      <c r="DW376" s="148"/>
      <c r="DX376" s="148"/>
      <c r="DY376" s="148"/>
      <c r="DZ376" s="148"/>
      <c r="EA376" s="148"/>
      <c r="EB376" s="148"/>
      <c r="EC376" s="148"/>
      <c r="ED376" s="148"/>
      <c r="EE376" s="148"/>
      <c r="EF376" s="148"/>
      <c r="EG376" s="148"/>
      <c r="EH376" s="148"/>
      <c r="EI376" s="148"/>
      <c r="EJ376" s="148"/>
      <c r="EK376" s="148"/>
      <c r="EL376" s="148"/>
      <c r="EM376" s="148"/>
      <c r="EN376" s="148"/>
      <c r="EO376" s="148"/>
      <c r="EP376" s="148"/>
      <c r="EQ376" s="148"/>
      <c r="ER376" s="148"/>
      <c r="ES376" s="151"/>
      <c r="ET376" s="151"/>
      <c r="EU376" s="151"/>
      <c r="EV376" s="151"/>
      <c r="EW376" s="151"/>
      <c r="EX376" s="151"/>
      <c r="EY376" s="151"/>
      <c r="EZ376" s="151"/>
      <c r="FA376" s="151"/>
      <c r="FB376" s="151"/>
      <c r="FC376" s="151"/>
      <c r="FD376" s="151"/>
      <c r="FE376" s="151"/>
      <c r="FF376" s="151"/>
      <c r="FG376" s="151"/>
      <c r="FH376" s="151"/>
      <c r="FI376" s="151"/>
      <c r="FJ376" s="151"/>
      <c r="FK376" s="151"/>
      <c r="FL376" s="151"/>
      <c r="FM376" s="151"/>
      <c r="FN376" s="151"/>
      <c r="FO376" s="151"/>
      <c r="FP376" s="151"/>
      <c r="FQ376" s="151"/>
      <c r="FR376" s="151"/>
      <c r="FS376" s="151"/>
      <c r="FT376" s="151"/>
      <c r="FU376" s="151"/>
      <c r="FV376" s="151"/>
      <c r="FW376" s="151"/>
      <c r="FX376" s="151"/>
      <c r="FY376" s="151"/>
      <c r="FZ376" s="151"/>
      <c r="GA376" s="151"/>
      <c r="GB376" s="151"/>
      <c r="GC376" s="151"/>
      <c r="GD376" s="151"/>
      <c r="GE376" s="151"/>
      <c r="GF376" s="151"/>
      <c r="GG376" s="152"/>
    </row>
    <row r="377" spans="1:189" x14ac:dyDescent="0.35">
      <c r="A377" s="267"/>
      <c r="B377" s="221"/>
      <c r="C377" s="221"/>
      <c r="D377" s="222"/>
      <c r="E377" s="221"/>
      <c r="F377" s="221"/>
      <c r="G377" s="223"/>
      <c r="H377" s="224"/>
      <c r="I377" s="225"/>
      <c r="J377" s="225"/>
      <c r="K377" s="225"/>
      <c r="L377" s="226"/>
      <c r="M377" s="226"/>
      <c r="N377" s="226"/>
      <c r="O377" s="226"/>
      <c r="P377" s="226"/>
      <c r="Q377" s="227"/>
      <c r="R377" s="228"/>
      <c r="S377" s="228"/>
      <c r="T377" s="228"/>
      <c r="U377" s="191">
        <f t="shared" ref="U377:U440" si="483">IF(Q377="",0,IF(T377="",0,+S377-T377))</f>
        <v>0</v>
      </c>
      <c r="V377" s="230"/>
      <c r="W377" s="231"/>
      <c r="X377" s="46"/>
      <c r="Y377" s="167">
        <f t="shared" ref="Y377:Y440" si="484">IF(G377=2,S377,0)</f>
        <v>0</v>
      </c>
      <c r="Z377" s="167">
        <f t="shared" ref="Z377:Z440" si="485">IF(Q377="",0,IF(G377=2,T377,0))</f>
        <v>0</v>
      </c>
      <c r="AA377" s="167">
        <f t="shared" ref="AA377:AA440" si="486">Y377-Z377</f>
        <v>0</v>
      </c>
      <c r="AB377" s="167">
        <f t="shared" ref="AB377:AB440" si="487">IF(G377=1,S377,0)</f>
        <v>0</v>
      </c>
      <c r="AC377" s="167">
        <f t="shared" ref="AC377:AC440" si="488">IF(Q377="",0,IF(G377=1,T377,0))</f>
        <v>0</v>
      </c>
      <c r="AD377" s="167">
        <f t="shared" ref="AD377:AD440" si="489">AB377-AC377</f>
        <v>0</v>
      </c>
      <c r="AF377" s="47">
        <f t="shared" si="458"/>
        <v>0</v>
      </c>
      <c r="AG377" s="202" t="str">
        <f t="shared" si="459"/>
        <v xml:space="preserve"> </v>
      </c>
      <c r="AH377" s="172"/>
      <c r="AI377" s="173"/>
      <c r="AJ377" s="173"/>
      <c r="AK377" s="173"/>
      <c r="AL377" s="173"/>
      <c r="AM377" s="173"/>
      <c r="AN377" s="173"/>
      <c r="AO377" s="173"/>
      <c r="AP377" s="173"/>
      <c r="AQ377" s="173"/>
      <c r="AR377" s="173"/>
      <c r="AS377" s="173"/>
      <c r="AT377" s="173"/>
      <c r="AU377" s="173"/>
      <c r="AV377" s="173"/>
      <c r="AW377" s="173"/>
      <c r="AX377" s="173"/>
      <c r="AY377" s="173"/>
      <c r="AZ377" s="173"/>
      <c r="BA377" s="173"/>
      <c r="BB377" s="173"/>
      <c r="BC377" s="173"/>
      <c r="BD377" s="173"/>
      <c r="BE377" s="173"/>
      <c r="BF377" s="173"/>
      <c r="BG377" s="173"/>
      <c r="BH377" s="173"/>
      <c r="BI377" s="173"/>
      <c r="BJ377" s="173"/>
      <c r="BK377" s="173"/>
      <c r="BL377" s="173"/>
      <c r="BM377" s="173"/>
      <c r="BN377" s="173"/>
      <c r="BO377" s="173"/>
      <c r="BP377" s="173"/>
      <c r="BQ377" s="173"/>
      <c r="BR377" s="173"/>
      <c r="BS377" s="173"/>
      <c r="BT377" s="173"/>
      <c r="BU377" s="173"/>
      <c r="BV377" s="173"/>
      <c r="BW377" s="173"/>
      <c r="BX377" s="173"/>
      <c r="BY377" s="173"/>
      <c r="BZ377" s="173"/>
      <c r="CA377" s="173"/>
      <c r="CB377" s="173"/>
      <c r="CC377" s="173"/>
      <c r="CD377" s="173"/>
      <c r="CE377" s="173"/>
      <c r="CF377" s="173"/>
      <c r="CG377" s="173"/>
      <c r="CH377" s="173"/>
      <c r="CI377" s="173"/>
      <c r="CJ377" s="173"/>
      <c r="CK377" s="173"/>
      <c r="CL377" s="173"/>
      <c r="CM377" s="173"/>
      <c r="CN377" s="173"/>
      <c r="CO377" s="173"/>
      <c r="CP377" s="173"/>
      <c r="CQ377" s="173"/>
      <c r="CR377" s="173"/>
      <c r="CS377" s="173"/>
      <c r="CT377" s="173"/>
      <c r="CU377" s="173"/>
      <c r="CV377" s="173"/>
      <c r="CW377" s="173"/>
      <c r="CX377" s="173"/>
      <c r="CY377" s="148"/>
      <c r="CZ377" s="148"/>
      <c r="DA377" s="148"/>
      <c r="DB377" s="148"/>
      <c r="DC377" s="148"/>
      <c r="DD377" s="148"/>
      <c r="DE377" s="148"/>
      <c r="DF377" s="148"/>
      <c r="DG377" s="148"/>
      <c r="DH377" s="148"/>
      <c r="DI377" s="148"/>
      <c r="DJ377" s="148"/>
      <c r="DK377" s="148"/>
      <c r="DL377" s="148"/>
      <c r="DM377" s="148"/>
      <c r="DN377" s="148"/>
      <c r="DO377" s="148"/>
      <c r="DP377" s="148"/>
      <c r="DQ377" s="148"/>
      <c r="DR377" s="148"/>
      <c r="DS377" s="148"/>
      <c r="DT377" s="148"/>
      <c r="DU377" s="148"/>
      <c r="DV377" s="148"/>
      <c r="DW377" s="148"/>
      <c r="DX377" s="148"/>
      <c r="DY377" s="148"/>
      <c r="DZ377" s="148"/>
      <c r="EA377" s="148"/>
      <c r="EB377" s="148"/>
      <c r="EC377" s="148"/>
      <c r="ED377" s="148"/>
      <c r="EE377" s="148"/>
      <c r="EF377" s="148"/>
      <c r="EG377" s="148"/>
      <c r="EH377" s="148"/>
      <c r="EI377" s="148"/>
      <c r="EJ377" s="148"/>
      <c r="EK377" s="148"/>
      <c r="EL377" s="148"/>
      <c r="EM377" s="148"/>
      <c r="EN377" s="148"/>
      <c r="EO377" s="148"/>
      <c r="EP377" s="148"/>
      <c r="EQ377" s="148"/>
      <c r="ER377" s="148"/>
      <c r="ES377" s="151"/>
      <c r="ET377" s="151"/>
      <c r="EU377" s="151"/>
      <c r="EV377" s="151"/>
      <c r="EW377" s="151"/>
      <c r="EX377" s="151"/>
      <c r="EY377" s="151"/>
      <c r="EZ377" s="151"/>
      <c r="FA377" s="151"/>
      <c r="FB377" s="151"/>
      <c r="FC377" s="151"/>
      <c r="FD377" s="151"/>
      <c r="FE377" s="151"/>
      <c r="FF377" s="151"/>
      <c r="FG377" s="151"/>
      <c r="FH377" s="151"/>
      <c r="FI377" s="151"/>
      <c r="FJ377" s="151"/>
      <c r="FK377" s="151"/>
      <c r="FL377" s="151"/>
      <c r="FM377" s="151"/>
      <c r="FN377" s="151"/>
      <c r="FO377" s="151"/>
      <c r="FP377" s="151"/>
      <c r="FQ377" s="151"/>
      <c r="FR377" s="151"/>
      <c r="FS377" s="151"/>
      <c r="FT377" s="151"/>
      <c r="FU377" s="151"/>
      <c r="FV377" s="151"/>
      <c r="FW377" s="151"/>
      <c r="FX377" s="151"/>
      <c r="FY377" s="151"/>
      <c r="FZ377" s="151"/>
      <c r="GA377" s="151"/>
      <c r="GB377" s="151"/>
      <c r="GC377" s="151"/>
      <c r="GD377" s="151"/>
      <c r="GE377" s="151"/>
      <c r="GF377" s="151"/>
      <c r="GG377" s="152"/>
    </row>
    <row r="378" spans="1:189" x14ac:dyDescent="0.35">
      <c r="A378" s="267"/>
      <c r="B378" s="221"/>
      <c r="C378" s="221"/>
      <c r="D378" s="222"/>
      <c r="E378" s="221"/>
      <c r="F378" s="221"/>
      <c r="G378" s="223"/>
      <c r="H378" s="224"/>
      <c r="I378" s="225"/>
      <c r="J378" s="225"/>
      <c r="K378" s="225"/>
      <c r="L378" s="226"/>
      <c r="M378" s="226"/>
      <c r="N378" s="226"/>
      <c r="O378" s="226"/>
      <c r="P378" s="226"/>
      <c r="Q378" s="227"/>
      <c r="R378" s="228"/>
      <c r="S378" s="228"/>
      <c r="T378" s="228"/>
      <c r="U378" s="191">
        <f t="shared" si="483"/>
        <v>0</v>
      </c>
      <c r="V378" s="230"/>
      <c r="W378" s="231"/>
      <c r="X378" s="46"/>
      <c r="Y378" s="167">
        <f t="shared" si="484"/>
        <v>0</v>
      </c>
      <c r="Z378" s="167">
        <f t="shared" si="485"/>
        <v>0</v>
      </c>
      <c r="AA378" s="167">
        <f t="shared" si="486"/>
        <v>0</v>
      </c>
      <c r="AB378" s="167">
        <f t="shared" si="487"/>
        <v>0</v>
      </c>
      <c r="AC378" s="167">
        <f t="shared" si="488"/>
        <v>0</v>
      </c>
      <c r="AD378" s="167">
        <f t="shared" si="489"/>
        <v>0</v>
      </c>
      <c r="AF378" s="47">
        <f t="shared" si="458"/>
        <v>0</v>
      </c>
      <c r="AG378" s="202" t="str">
        <f t="shared" si="459"/>
        <v xml:space="preserve"> </v>
      </c>
      <c r="AH378" s="172"/>
      <c r="AI378" s="173"/>
      <c r="AJ378" s="173"/>
      <c r="AK378" s="173"/>
      <c r="AL378" s="173"/>
      <c r="AM378" s="173"/>
      <c r="AN378" s="173"/>
      <c r="AO378" s="173"/>
      <c r="AP378" s="173"/>
      <c r="AQ378" s="173"/>
      <c r="AR378" s="173"/>
      <c r="AS378" s="173"/>
      <c r="AT378" s="173"/>
      <c r="AU378" s="173"/>
      <c r="AV378" s="173"/>
      <c r="AW378" s="173"/>
      <c r="AX378" s="173"/>
      <c r="AY378" s="173"/>
      <c r="AZ378" s="173"/>
      <c r="BA378" s="173"/>
      <c r="BB378" s="173"/>
      <c r="BC378" s="173"/>
      <c r="BD378" s="173"/>
      <c r="BE378" s="173"/>
      <c r="BF378" s="173"/>
      <c r="BG378" s="173"/>
      <c r="BH378" s="173"/>
      <c r="BI378" s="173"/>
      <c r="BJ378" s="173"/>
      <c r="BK378" s="173"/>
      <c r="BL378" s="173"/>
      <c r="BM378" s="173"/>
      <c r="BN378" s="173"/>
      <c r="BO378" s="173"/>
      <c r="BP378" s="173"/>
      <c r="BQ378" s="173"/>
      <c r="BR378" s="173"/>
      <c r="BS378" s="173"/>
      <c r="BT378" s="173"/>
      <c r="BU378" s="173"/>
      <c r="BV378" s="173"/>
      <c r="BW378" s="173"/>
      <c r="BX378" s="173"/>
      <c r="BY378" s="173"/>
      <c r="BZ378" s="173"/>
      <c r="CA378" s="173"/>
      <c r="CB378" s="173"/>
      <c r="CC378" s="173"/>
      <c r="CD378" s="173"/>
      <c r="CE378" s="173"/>
      <c r="CF378" s="173"/>
      <c r="CG378" s="173"/>
      <c r="CH378" s="173"/>
      <c r="CI378" s="173"/>
      <c r="CJ378" s="173"/>
      <c r="CK378" s="173"/>
      <c r="CL378" s="173"/>
      <c r="CM378" s="173"/>
      <c r="CN378" s="173"/>
      <c r="CO378" s="173"/>
      <c r="CP378" s="173"/>
      <c r="CQ378" s="173"/>
      <c r="CR378" s="173"/>
      <c r="CS378" s="173"/>
      <c r="CT378" s="173"/>
      <c r="CU378" s="173"/>
      <c r="CV378" s="173"/>
      <c r="CW378" s="173"/>
      <c r="CX378" s="173"/>
      <c r="CY378" s="148"/>
      <c r="CZ378" s="148"/>
      <c r="DA378" s="148"/>
      <c r="DB378" s="148"/>
      <c r="DC378" s="148"/>
      <c r="DD378" s="148"/>
      <c r="DE378" s="148"/>
      <c r="DF378" s="148"/>
      <c r="DG378" s="148"/>
      <c r="DH378" s="148"/>
      <c r="DI378" s="148"/>
      <c r="DJ378" s="148"/>
      <c r="DK378" s="148"/>
      <c r="DL378" s="148"/>
      <c r="DM378" s="148"/>
      <c r="DN378" s="148"/>
      <c r="DO378" s="148"/>
      <c r="DP378" s="148"/>
      <c r="DQ378" s="148"/>
      <c r="DR378" s="148"/>
      <c r="DS378" s="148"/>
      <c r="DT378" s="148"/>
      <c r="DU378" s="148"/>
      <c r="DV378" s="148"/>
      <c r="DW378" s="148"/>
      <c r="DX378" s="148"/>
      <c r="DY378" s="148"/>
      <c r="DZ378" s="148"/>
      <c r="EA378" s="148"/>
      <c r="EB378" s="148"/>
      <c r="EC378" s="148"/>
      <c r="ED378" s="148"/>
      <c r="EE378" s="148"/>
      <c r="EF378" s="148"/>
      <c r="EG378" s="148"/>
      <c r="EH378" s="148"/>
      <c r="EI378" s="148"/>
      <c r="EJ378" s="148"/>
      <c r="EK378" s="148"/>
      <c r="EL378" s="148"/>
      <c r="EM378" s="148"/>
      <c r="EN378" s="148"/>
      <c r="EO378" s="148"/>
      <c r="EP378" s="148"/>
      <c r="EQ378" s="148"/>
      <c r="ER378" s="148"/>
      <c r="ES378" s="151"/>
      <c r="ET378" s="151"/>
      <c r="EU378" s="151"/>
      <c r="EV378" s="151"/>
      <c r="EW378" s="151"/>
      <c r="EX378" s="151"/>
      <c r="EY378" s="151"/>
      <c r="EZ378" s="151"/>
      <c r="FA378" s="151"/>
      <c r="FB378" s="151"/>
      <c r="FC378" s="151"/>
      <c r="FD378" s="151"/>
      <c r="FE378" s="151"/>
      <c r="FF378" s="151"/>
      <c r="FG378" s="151"/>
      <c r="FH378" s="151"/>
      <c r="FI378" s="151"/>
      <c r="FJ378" s="151"/>
      <c r="FK378" s="151"/>
      <c r="FL378" s="151"/>
      <c r="FM378" s="151"/>
      <c r="FN378" s="151"/>
      <c r="FO378" s="151"/>
      <c r="FP378" s="151"/>
      <c r="FQ378" s="151"/>
      <c r="FR378" s="151"/>
      <c r="FS378" s="151"/>
      <c r="FT378" s="151"/>
      <c r="FU378" s="151"/>
      <c r="FV378" s="151"/>
      <c r="FW378" s="151"/>
      <c r="FX378" s="151"/>
      <c r="FY378" s="151"/>
      <c r="FZ378" s="151"/>
      <c r="GA378" s="151"/>
      <c r="GB378" s="151"/>
      <c r="GC378" s="151"/>
      <c r="GD378" s="151"/>
      <c r="GE378" s="151"/>
      <c r="GF378" s="151"/>
      <c r="GG378" s="152"/>
    </row>
    <row r="379" spans="1:189" x14ac:dyDescent="0.35">
      <c r="A379" s="267"/>
      <c r="B379" s="221"/>
      <c r="C379" s="221"/>
      <c r="D379" s="222"/>
      <c r="E379" s="221"/>
      <c r="F379" s="221"/>
      <c r="G379" s="223"/>
      <c r="H379" s="224"/>
      <c r="I379" s="225"/>
      <c r="J379" s="225"/>
      <c r="K379" s="225"/>
      <c r="L379" s="226"/>
      <c r="M379" s="226"/>
      <c r="N379" s="226"/>
      <c r="O379" s="226"/>
      <c r="P379" s="226"/>
      <c r="Q379" s="227"/>
      <c r="R379" s="228"/>
      <c r="S379" s="228"/>
      <c r="T379" s="228"/>
      <c r="U379" s="191">
        <f t="shared" si="483"/>
        <v>0</v>
      </c>
      <c r="V379" s="230"/>
      <c r="W379" s="231"/>
      <c r="X379" s="46"/>
      <c r="Y379" s="167">
        <f t="shared" si="484"/>
        <v>0</v>
      </c>
      <c r="Z379" s="167">
        <f t="shared" si="485"/>
        <v>0</v>
      </c>
      <c r="AA379" s="167">
        <f t="shared" si="486"/>
        <v>0</v>
      </c>
      <c r="AB379" s="167">
        <f t="shared" si="487"/>
        <v>0</v>
      </c>
      <c r="AC379" s="167">
        <f t="shared" si="488"/>
        <v>0</v>
      </c>
      <c r="AD379" s="167">
        <f t="shared" si="489"/>
        <v>0</v>
      </c>
      <c r="AF379" s="47">
        <f t="shared" si="458"/>
        <v>0</v>
      </c>
      <c r="AG379" s="202" t="str">
        <f t="shared" si="459"/>
        <v xml:space="preserve"> </v>
      </c>
      <c r="AH379" s="172"/>
      <c r="AI379" s="173"/>
      <c r="AJ379" s="173"/>
      <c r="AK379" s="173"/>
      <c r="AL379" s="173"/>
      <c r="AM379" s="173"/>
      <c r="AN379" s="173"/>
      <c r="AO379" s="173"/>
      <c r="AP379" s="173"/>
      <c r="AQ379" s="173"/>
      <c r="AR379" s="173"/>
      <c r="AS379" s="173"/>
      <c r="AT379" s="173"/>
      <c r="AU379" s="173"/>
      <c r="AV379" s="173"/>
      <c r="AW379" s="173"/>
      <c r="AX379" s="173"/>
      <c r="AY379" s="173"/>
      <c r="AZ379" s="173"/>
      <c r="BA379" s="173"/>
      <c r="BB379" s="173"/>
      <c r="BC379" s="173"/>
      <c r="BD379" s="173"/>
      <c r="BE379" s="173"/>
      <c r="BF379" s="173"/>
      <c r="BG379" s="173"/>
      <c r="BH379" s="173"/>
      <c r="BI379" s="173"/>
      <c r="BJ379" s="173"/>
      <c r="BK379" s="173"/>
      <c r="BL379" s="173"/>
      <c r="BM379" s="173"/>
      <c r="BN379" s="173"/>
      <c r="BO379" s="173"/>
      <c r="BP379" s="173"/>
      <c r="BQ379" s="173"/>
      <c r="BR379" s="173"/>
      <c r="BS379" s="173"/>
      <c r="BT379" s="173"/>
      <c r="BU379" s="173"/>
      <c r="BV379" s="173"/>
      <c r="BW379" s="173"/>
      <c r="BX379" s="173"/>
      <c r="BY379" s="173"/>
      <c r="BZ379" s="173"/>
      <c r="CA379" s="173"/>
      <c r="CB379" s="173"/>
      <c r="CC379" s="173"/>
      <c r="CD379" s="173"/>
      <c r="CE379" s="173"/>
      <c r="CF379" s="173"/>
      <c r="CG379" s="173"/>
      <c r="CH379" s="173"/>
      <c r="CI379" s="173"/>
      <c r="CJ379" s="173"/>
      <c r="CK379" s="173"/>
      <c r="CL379" s="173"/>
      <c r="CM379" s="173"/>
      <c r="CN379" s="173"/>
      <c r="CO379" s="173"/>
      <c r="CP379" s="173"/>
      <c r="CQ379" s="173"/>
      <c r="CR379" s="173"/>
      <c r="CS379" s="173"/>
      <c r="CT379" s="173"/>
      <c r="CU379" s="173"/>
      <c r="CV379" s="173"/>
      <c r="CW379" s="173"/>
      <c r="CX379" s="173"/>
      <c r="CY379" s="148"/>
      <c r="CZ379" s="148"/>
      <c r="DA379" s="148"/>
      <c r="DB379" s="148"/>
      <c r="DC379" s="148"/>
      <c r="DD379" s="148"/>
      <c r="DE379" s="148"/>
      <c r="DF379" s="148"/>
      <c r="DG379" s="148"/>
      <c r="DH379" s="148"/>
      <c r="DI379" s="148"/>
      <c r="DJ379" s="148"/>
      <c r="DK379" s="148"/>
      <c r="DL379" s="148"/>
      <c r="DM379" s="148"/>
      <c r="DN379" s="148"/>
      <c r="DO379" s="148"/>
      <c r="DP379" s="148"/>
      <c r="DQ379" s="148"/>
      <c r="DR379" s="148"/>
      <c r="DS379" s="148"/>
      <c r="DT379" s="148"/>
      <c r="DU379" s="148"/>
      <c r="DV379" s="148"/>
      <c r="DW379" s="148"/>
      <c r="DX379" s="148"/>
      <c r="DY379" s="148"/>
      <c r="DZ379" s="148"/>
      <c r="EA379" s="148"/>
      <c r="EB379" s="148"/>
      <c r="EC379" s="148"/>
      <c r="ED379" s="148"/>
      <c r="EE379" s="148"/>
      <c r="EF379" s="148"/>
      <c r="EG379" s="148"/>
      <c r="EH379" s="148"/>
      <c r="EI379" s="148"/>
      <c r="EJ379" s="148"/>
      <c r="EK379" s="148"/>
      <c r="EL379" s="148"/>
      <c r="EM379" s="148"/>
      <c r="EN379" s="148"/>
      <c r="EO379" s="148"/>
      <c r="EP379" s="148"/>
      <c r="EQ379" s="148"/>
      <c r="ER379" s="148"/>
      <c r="ES379" s="148"/>
      <c r="ET379" s="148"/>
      <c r="EU379" s="148"/>
      <c r="EV379" s="148"/>
      <c r="EW379" s="148"/>
      <c r="EX379" s="148"/>
      <c r="EY379" s="148"/>
      <c r="EZ379" s="148"/>
      <c r="FA379" s="148"/>
      <c r="FB379" s="148"/>
      <c r="FC379" s="148"/>
      <c r="FD379" s="148"/>
      <c r="FE379" s="148"/>
      <c r="FF379" s="148"/>
      <c r="FG379" s="148"/>
      <c r="FH379" s="148"/>
      <c r="FI379" s="148"/>
      <c r="FJ379" s="148"/>
      <c r="FK379" s="148"/>
      <c r="FL379" s="148"/>
      <c r="FM379" s="148"/>
      <c r="FN379" s="148"/>
      <c r="FO379" s="148"/>
      <c r="FP379" s="148"/>
      <c r="FQ379" s="148"/>
      <c r="FR379" s="148"/>
      <c r="FS379" s="148"/>
      <c r="FT379" s="148"/>
      <c r="FU379" s="148"/>
      <c r="FV379" s="148"/>
      <c r="FW379" s="148"/>
      <c r="FX379" s="148"/>
      <c r="FY379" s="148"/>
      <c r="FZ379" s="148"/>
      <c r="GA379" s="148"/>
      <c r="GB379" s="148"/>
      <c r="GC379" s="148"/>
      <c r="GD379" s="148"/>
      <c r="GE379" s="148"/>
      <c r="GF379" s="148"/>
      <c r="GG379" s="149"/>
    </row>
    <row r="380" spans="1:189" x14ac:dyDescent="0.35">
      <c r="A380" s="267"/>
      <c r="B380" s="221"/>
      <c r="C380" s="221"/>
      <c r="D380" s="222"/>
      <c r="E380" s="221"/>
      <c r="F380" s="221"/>
      <c r="G380" s="223"/>
      <c r="H380" s="224"/>
      <c r="I380" s="225"/>
      <c r="J380" s="225"/>
      <c r="K380" s="225"/>
      <c r="L380" s="226"/>
      <c r="M380" s="226"/>
      <c r="N380" s="226"/>
      <c r="O380" s="226"/>
      <c r="P380" s="226"/>
      <c r="Q380" s="227"/>
      <c r="R380" s="228"/>
      <c r="S380" s="228"/>
      <c r="T380" s="228"/>
      <c r="U380" s="191">
        <f t="shared" si="483"/>
        <v>0</v>
      </c>
      <c r="V380" s="230"/>
      <c r="W380" s="231"/>
      <c r="X380" s="46"/>
      <c r="Y380" s="167">
        <f t="shared" si="484"/>
        <v>0</v>
      </c>
      <c r="Z380" s="167">
        <f t="shared" si="485"/>
        <v>0</v>
      </c>
      <c r="AA380" s="167">
        <f t="shared" si="486"/>
        <v>0</v>
      </c>
      <c r="AB380" s="167">
        <f t="shared" si="487"/>
        <v>0</v>
      </c>
      <c r="AC380" s="167">
        <f t="shared" si="488"/>
        <v>0</v>
      </c>
      <c r="AD380" s="167">
        <f t="shared" si="489"/>
        <v>0</v>
      </c>
      <c r="AF380" s="47">
        <f t="shared" si="458"/>
        <v>0</v>
      </c>
      <c r="AG380" s="202" t="str">
        <f t="shared" si="459"/>
        <v xml:space="preserve"> </v>
      </c>
      <c r="AH380" s="172"/>
      <c r="AI380" s="173"/>
      <c r="AJ380" s="173"/>
      <c r="AK380" s="173"/>
      <c r="AL380" s="173"/>
      <c r="AM380" s="173"/>
      <c r="AN380" s="173"/>
      <c r="AO380" s="173"/>
      <c r="AP380" s="173"/>
      <c r="AQ380" s="173"/>
      <c r="AR380" s="173"/>
      <c r="AS380" s="173"/>
      <c r="AT380" s="173"/>
      <c r="AU380" s="173"/>
      <c r="AV380" s="173"/>
      <c r="AW380" s="173"/>
      <c r="AX380" s="173"/>
      <c r="AY380" s="173"/>
      <c r="AZ380" s="173"/>
      <c r="BA380" s="173"/>
      <c r="BB380" s="173"/>
      <c r="BC380" s="173"/>
      <c r="BD380" s="173"/>
      <c r="BE380" s="173"/>
      <c r="BF380" s="173"/>
      <c r="BG380" s="173"/>
      <c r="BH380" s="173"/>
      <c r="BI380" s="173"/>
      <c r="BJ380" s="173"/>
      <c r="BK380" s="173"/>
      <c r="BL380" s="173"/>
      <c r="BM380" s="173"/>
      <c r="BN380" s="173"/>
      <c r="BO380" s="173"/>
      <c r="BP380" s="173"/>
      <c r="BQ380" s="173"/>
      <c r="BR380" s="173"/>
      <c r="BS380" s="173"/>
      <c r="BT380" s="173"/>
      <c r="BU380" s="173"/>
      <c r="BV380" s="173"/>
      <c r="BW380" s="173"/>
      <c r="BX380" s="173"/>
      <c r="BY380" s="173"/>
      <c r="BZ380" s="173"/>
      <c r="CA380" s="173"/>
      <c r="CB380" s="173"/>
      <c r="CC380" s="173"/>
      <c r="CD380" s="173"/>
      <c r="CE380" s="173"/>
      <c r="CF380" s="173"/>
      <c r="CG380" s="173"/>
      <c r="CH380" s="173"/>
      <c r="CI380" s="173"/>
      <c r="CJ380" s="173"/>
      <c r="CK380" s="173"/>
      <c r="CL380" s="173"/>
      <c r="CM380" s="173"/>
      <c r="CN380" s="173"/>
      <c r="CO380" s="173"/>
      <c r="CP380" s="173"/>
      <c r="CQ380" s="173"/>
      <c r="CR380" s="173"/>
      <c r="CS380" s="173"/>
      <c r="CT380" s="173"/>
      <c r="CU380" s="173"/>
      <c r="CV380" s="173"/>
      <c r="CW380" s="173"/>
      <c r="CX380" s="173"/>
      <c r="CY380" s="148"/>
      <c r="CZ380" s="148"/>
      <c r="DA380" s="148"/>
      <c r="DB380" s="148"/>
      <c r="DC380" s="148"/>
      <c r="DD380" s="148"/>
      <c r="DE380" s="148"/>
      <c r="DF380" s="148"/>
      <c r="DG380" s="148"/>
      <c r="DH380" s="148"/>
      <c r="DI380" s="148"/>
      <c r="DJ380" s="148"/>
      <c r="DK380" s="148"/>
      <c r="DL380" s="148"/>
      <c r="DM380" s="148"/>
      <c r="DN380" s="148"/>
      <c r="DO380" s="148"/>
      <c r="DP380" s="148"/>
      <c r="DQ380" s="148"/>
      <c r="DR380" s="148"/>
      <c r="DS380" s="148"/>
      <c r="DT380" s="148"/>
      <c r="DU380" s="148"/>
      <c r="DV380" s="148"/>
      <c r="DW380" s="148"/>
      <c r="DX380" s="148"/>
      <c r="DY380" s="148"/>
      <c r="DZ380" s="148"/>
      <c r="EA380" s="148"/>
      <c r="EB380" s="148"/>
      <c r="EC380" s="148"/>
      <c r="ED380" s="148"/>
      <c r="EE380" s="148"/>
      <c r="EF380" s="148"/>
      <c r="EG380" s="148"/>
      <c r="EH380" s="148"/>
      <c r="EI380" s="148"/>
      <c r="EJ380" s="148"/>
      <c r="EK380" s="148"/>
      <c r="EL380" s="148"/>
      <c r="EM380" s="148"/>
      <c r="EN380" s="148"/>
      <c r="EO380" s="148"/>
      <c r="EP380" s="148"/>
      <c r="EQ380" s="148"/>
      <c r="ER380" s="148"/>
      <c r="ES380" s="151"/>
      <c r="ET380" s="151"/>
      <c r="EU380" s="151"/>
      <c r="EV380" s="151"/>
      <c r="EW380" s="151"/>
      <c r="EX380" s="151"/>
      <c r="EY380" s="151"/>
      <c r="EZ380" s="151"/>
      <c r="FA380" s="151"/>
      <c r="FB380" s="151"/>
      <c r="FC380" s="151"/>
      <c r="FD380" s="151"/>
      <c r="FE380" s="151"/>
      <c r="FF380" s="151"/>
      <c r="FG380" s="151"/>
      <c r="FH380" s="151"/>
      <c r="FI380" s="151"/>
      <c r="FJ380" s="151"/>
      <c r="FK380" s="151"/>
      <c r="FL380" s="151"/>
      <c r="FM380" s="151"/>
      <c r="FN380" s="151"/>
      <c r="FO380" s="151"/>
      <c r="FP380" s="151"/>
      <c r="FQ380" s="151"/>
      <c r="FR380" s="151"/>
      <c r="FS380" s="151"/>
      <c r="FT380" s="151"/>
      <c r="FU380" s="151"/>
      <c r="FV380" s="151"/>
      <c r="FW380" s="151"/>
      <c r="FX380" s="151"/>
      <c r="FY380" s="151"/>
      <c r="FZ380" s="151"/>
      <c r="GA380" s="151"/>
      <c r="GB380" s="151"/>
      <c r="GC380" s="151"/>
      <c r="GD380" s="151"/>
      <c r="GE380" s="151"/>
      <c r="GF380" s="151"/>
      <c r="GG380" s="152"/>
    </row>
    <row r="381" spans="1:189" x14ac:dyDescent="0.35">
      <c r="A381" s="267"/>
      <c r="B381" s="221"/>
      <c r="C381" s="221"/>
      <c r="D381" s="222"/>
      <c r="E381" s="221"/>
      <c r="F381" s="221"/>
      <c r="G381" s="223"/>
      <c r="H381" s="224"/>
      <c r="I381" s="225"/>
      <c r="J381" s="225"/>
      <c r="K381" s="225"/>
      <c r="L381" s="226"/>
      <c r="M381" s="226"/>
      <c r="N381" s="226"/>
      <c r="O381" s="226"/>
      <c r="P381" s="226"/>
      <c r="Q381" s="227"/>
      <c r="R381" s="228"/>
      <c r="S381" s="228"/>
      <c r="T381" s="228"/>
      <c r="U381" s="191">
        <f t="shared" si="483"/>
        <v>0</v>
      </c>
      <c r="V381" s="230"/>
      <c r="W381" s="231"/>
      <c r="X381" s="46"/>
      <c r="Y381" s="167">
        <f t="shared" si="484"/>
        <v>0</v>
      </c>
      <c r="Z381" s="167">
        <f t="shared" si="485"/>
        <v>0</v>
      </c>
      <c r="AA381" s="167">
        <f t="shared" si="486"/>
        <v>0</v>
      </c>
      <c r="AB381" s="167">
        <f t="shared" si="487"/>
        <v>0</v>
      </c>
      <c r="AC381" s="167">
        <f t="shared" si="488"/>
        <v>0</v>
      </c>
      <c r="AD381" s="167">
        <f t="shared" si="489"/>
        <v>0</v>
      </c>
      <c r="AF381" s="47">
        <f t="shared" si="458"/>
        <v>0</v>
      </c>
      <c r="AG381" s="202" t="str">
        <f t="shared" si="459"/>
        <v xml:space="preserve"> </v>
      </c>
      <c r="AH381" s="172"/>
      <c r="AI381" s="173"/>
      <c r="AJ381" s="173"/>
      <c r="AK381" s="173"/>
      <c r="AL381" s="173"/>
      <c r="AM381" s="173"/>
      <c r="AN381" s="173"/>
      <c r="AO381" s="173"/>
      <c r="AP381" s="173"/>
      <c r="AQ381" s="173"/>
      <c r="AR381" s="173"/>
      <c r="AS381" s="173"/>
      <c r="AT381" s="173"/>
      <c r="AU381" s="173"/>
      <c r="AV381" s="173"/>
      <c r="AW381" s="173"/>
      <c r="AX381" s="173"/>
      <c r="AY381" s="173"/>
      <c r="AZ381" s="173"/>
      <c r="BA381" s="173"/>
      <c r="BB381" s="173"/>
      <c r="BC381" s="173"/>
      <c r="BD381" s="173"/>
      <c r="BE381" s="173"/>
      <c r="BF381" s="173"/>
      <c r="BG381" s="173"/>
      <c r="BH381" s="173"/>
      <c r="BI381" s="173"/>
      <c r="BJ381" s="173"/>
      <c r="BK381" s="173"/>
      <c r="BL381" s="173"/>
      <c r="BM381" s="173"/>
      <c r="BN381" s="173"/>
      <c r="BO381" s="173"/>
      <c r="BP381" s="173"/>
      <c r="BQ381" s="173"/>
      <c r="BR381" s="173"/>
      <c r="BS381" s="173"/>
      <c r="BT381" s="173"/>
      <c r="BU381" s="173"/>
      <c r="BV381" s="173"/>
      <c r="BW381" s="173"/>
      <c r="BX381" s="173"/>
      <c r="BY381" s="173"/>
      <c r="BZ381" s="173"/>
      <c r="CA381" s="173"/>
      <c r="CB381" s="173"/>
      <c r="CC381" s="173"/>
      <c r="CD381" s="173"/>
      <c r="CE381" s="173"/>
      <c r="CF381" s="173"/>
      <c r="CG381" s="173"/>
      <c r="CH381" s="173"/>
      <c r="CI381" s="173"/>
      <c r="CJ381" s="173"/>
      <c r="CK381" s="173"/>
      <c r="CL381" s="173"/>
      <c r="CM381" s="173"/>
      <c r="CN381" s="173"/>
      <c r="CO381" s="173"/>
      <c r="CP381" s="173"/>
      <c r="CQ381" s="173"/>
      <c r="CR381" s="173"/>
      <c r="CS381" s="173"/>
      <c r="CT381" s="173"/>
      <c r="CU381" s="173"/>
      <c r="CV381" s="173"/>
      <c r="CW381" s="173"/>
      <c r="CX381" s="173"/>
      <c r="CY381" s="148"/>
      <c r="CZ381" s="148"/>
      <c r="DA381" s="148"/>
      <c r="DB381" s="148"/>
      <c r="DC381" s="148"/>
      <c r="DD381" s="148"/>
      <c r="DE381" s="148"/>
      <c r="DF381" s="148"/>
      <c r="DG381" s="148"/>
      <c r="DH381" s="148"/>
      <c r="DI381" s="148"/>
      <c r="DJ381" s="148"/>
      <c r="DK381" s="148"/>
      <c r="DL381" s="148"/>
      <c r="DM381" s="148"/>
      <c r="DN381" s="148"/>
      <c r="DO381" s="148"/>
      <c r="DP381" s="148"/>
      <c r="DQ381" s="148"/>
      <c r="DR381" s="148"/>
      <c r="DS381" s="148"/>
      <c r="DT381" s="148"/>
      <c r="DU381" s="148"/>
      <c r="DV381" s="148"/>
      <c r="DW381" s="148"/>
      <c r="DX381" s="148"/>
      <c r="DY381" s="148"/>
      <c r="DZ381" s="148"/>
      <c r="EA381" s="148"/>
      <c r="EB381" s="148"/>
      <c r="EC381" s="148"/>
      <c r="ED381" s="148"/>
      <c r="EE381" s="148"/>
      <c r="EF381" s="148"/>
      <c r="EG381" s="148"/>
      <c r="EH381" s="148"/>
      <c r="EI381" s="148"/>
      <c r="EJ381" s="148"/>
      <c r="EK381" s="148"/>
      <c r="EL381" s="148"/>
      <c r="EM381" s="148"/>
      <c r="EN381" s="148"/>
      <c r="EO381" s="148"/>
      <c r="EP381" s="148"/>
      <c r="EQ381" s="148"/>
      <c r="ER381" s="148"/>
      <c r="ES381" s="151"/>
      <c r="ET381" s="151"/>
      <c r="EU381" s="151"/>
      <c r="EV381" s="151"/>
      <c r="EW381" s="151"/>
      <c r="EX381" s="151"/>
      <c r="EY381" s="151"/>
      <c r="EZ381" s="151"/>
      <c r="FA381" s="151"/>
      <c r="FB381" s="151"/>
      <c r="FC381" s="151"/>
      <c r="FD381" s="151"/>
      <c r="FE381" s="151"/>
      <c r="FF381" s="151"/>
      <c r="FG381" s="151"/>
      <c r="FH381" s="151"/>
      <c r="FI381" s="151"/>
      <c r="FJ381" s="151"/>
      <c r="FK381" s="151"/>
      <c r="FL381" s="151"/>
      <c r="FM381" s="151"/>
      <c r="FN381" s="151"/>
      <c r="FO381" s="151"/>
      <c r="FP381" s="151"/>
      <c r="FQ381" s="151"/>
      <c r="FR381" s="151"/>
      <c r="FS381" s="151"/>
      <c r="FT381" s="151"/>
      <c r="FU381" s="151"/>
      <c r="FV381" s="151"/>
      <c r="FW381" s="151"/>
      <c r="FX381" s="151"/>
      <c r="FY381" s="151"/>
      <c r="FZ381" s="151"/>
      <c r="GA381" s="151"/>
      <c r="GB381" s="151"/>
      <c r="GC381" s="151"/>
      <c r="GD381" s="151"/>
      <c r="GE381" s="151"/>
      <c r="GF381" s="151"/>
      <c r="GG381" s="152"/>
    </row>
    <row r="382" spans="1:189" x14ac:dyDescent="0.35">
      <c r="A382" s="267"/>
      <c r="B382" s="221"/>
      <c r="C382" s="221"/>
      <c r="D382" s="222"/>
      <c r="E382" s="221"/>
      <c r="F382" s="221"/>
      <c r="G382" s="223"/>
      <c r="H382" s="224"/>
      <c r="I382" s="225"/>
      <c r="J382" s="225"/>
      <c r="K382" s="225"/>
      <c r="L382" s="226"/>
      <c r="M382" s="226"/>
      <c r="N382" s="226"/>
      <c r="O382" s="226"/>
      <c r="P382" s="226"/>
      <c r="Q382" s="227"/>
      <c r="R382" s="228"/>
      <c r="S382" s="228"/>
      <c r="T382" s="228"/>
      <c r="U382" s="191">
        <f t="shared" si="483"/>
        <v>0</v>
      </c>
      <c r="V382" s="230"/>
      <c r="W382" s="231"/>
      <c r="X382" s="46"/>
      <c r="Y382" s="167">
        <f t="shared" si="484"/>
        <v>0</v>
      </c>
      <c r="Z382" s="167">
        <f t="shared" si="485"/>
        <v>0</v>
      </c>
      <c r="AA382" s="167">
        <f t="shared" si="486"/>
        <v>0</v>
      </c>
      <c r="AB382" s="167">
        <f t="shared" si="487"/>
        <v>0</v>
      </c>
      <c r="AC382" s="167">
        <f t="shared" si="488"/>
        <v>0</v>
      </c>
      <c r="AD382" s="167">
        <f t="shared" si="489"/>
        <v>0</v>
      </c>
      <c r="AF382" s="47">
        <f t="shared" si="458"/>
        <v>0</v>
      </c>
      <c r="AG382" s="202" t="str">
        <f t="shared" si="459"/>
        <v xml:space="preserve"> </v>
      </c>
      <c r="AH382" s="172"/>
      <c r="AI382" s="173"/>
      <c r="AJ382" s="173"/>
      <c r="AK382" s="173"/>
      <c r="AL382" s="173"/>
      <c r="AM382" s="173"/>
      <c r="AN382" s="173"/>
      <c r="AO382" s="173"/>
      <c r="AP382" s="173"/>
      <c r="AQ382" s="173"/>
      <c r="AR382" s="173"/>
      <c r="AS382" s="173"/>
      <c r="AT382" s="173"/>
      <c r="AU382" s="173"/>
      <c r="AV382" s="173"/>
      <c r="AW382" s="173"/>
      <c r="AX382" s="173"/>
      <c r="AY382" s="173"/>
      <c r="AZ382" s="173"/>
      <c r="BA382" s="173"/>
      <c r="BB382" s="173"/>
      <c r="BC382" s="173"/>
      <c r="BD382" s="173"/>
      <c r="BE382" s="173"/>
      <c r="BF382" s="173"/>
      <c r="BG382" s="173"/>
      <c r="BH382" s="173"/>
      <c r="BI382" s="173"/>
      <c r="BJ382" s="173"/>
      <c r="BK382" s="173"/>
      <c r="BL382" s="173"/>
      <c r="BM382" s="173"/>
      <c r="BN382" s="173"/>
      <c r="BO382" s="173"/>
      <c r="BP382" s="173"/>
      <c r="BQ382" s="173"/>
      <c r="BR382" s="173"/>
      <c r="BS382" s="173"/>
      <c r="BT382" s="173"/>
      <c r="BU382" s="173"/>
      <c r="BV382" s="173"/>
      <c r="BW382" s="173"/>
      <c r="BX382" s="173"/>
      <c r="BY382" s="173"/>
      <c r="BZ382" s="173"/>
      <c r="CA382" s="173"/>
      <c r="CB382" s="173"/>
      <c r="CC382" s="173"/>
      <c r="CD382" s="173"/>
      <c r="CE382" s="173"/>
      <c r="CF382" s="173"/>
      <c r="CG382" s="173"/>
      <c r="CH382" s="173"/>
      <c r="CI382" s="173"/>
      <c r="CJ382" s="173"/>
      <c r="CK382" s="173"/>
      <c r="CL382" s="173"/>
      <c r="CM382" s="173"/>
      <c r="CN382" s="173"/>
      <c r="CO382" s="173"/>
      <c r="CP382" s="173"/>
      <c r="CQ382" s="173"/>
      <c r="CR382" s="173"/>
      <c r="CS382" s="173"/>
      <c r="CT382" s="173"/>
      <c r="CU382" s="173"/>
      <c r="CV382" s="173"/>
      <c r="CW382" s="173"/>
      <c r="CX382" s="173"/>
      <c r="CY382" s="148"/>
      <c r="CZ382" s="148"/>
      <c r="DA382" s="148"/>
      <c r="DB382" s="148"/>
      <c r="DC382" s="148"/>
      <c r="DD382" s="148"/>
      <c r="DE382" s="148"/>
      <c r="DF382" s="148"/>
      <c r="DG382" s="148"/>
      <c r="DH382" s="148"/>
      <c r="DI382" s="148"/>
      <c r="DJ382" s="148"/>
      <c r="DK382" s="148"/>
      <c r="DL382" s="148"/>
      <c r="DM382" s="148"/>
      <c r="DN382" s="148"/>
      <c r="DO382" s="148"/>
      <c r="DP382" s="148"/>
      <c r="DQ382" s="148"/>
      <c r="DR382" s="148"/>
      <c r="DS382" s="148"/>
      <c r="DT382" s="148"/>
      <c r="DU382" s="148"/>
      <c r="DV382" s="148"/>
      <c r="DW382" s="148"/>
      <c r="DX382" s="148"/>
      <c r="DY382" s="148"/>
      <c r="DZ382" s="148"/>
      <c r="EA382" s="148"/>
      <c r="EB382" s="148"/>
      <c r="EC382" s="148"/>
      <c r="ED382" s="148"/>
      <c r="EE382" s="148"/>
      <c r="EF382" s="148"/>
      <c r="EG382" s="148"/>
      <c r="EH382" s="148"/>
      <c r="EI382" s="148"/>
      <c r="EJ382" s="148"/>
      <c r="EK382" s="148"/>
      <c r="EL382" s="148"/>
      <c r="EM382" s="148"/>
      <c r="EN382" s="148"/>
      <c r="EO382" s="148"/>
      <c r="EP382" s="148"/>
      <c r="EQ382" s="148"/>
      <c r="ER382" s="148"/>
      <c r="ES382" s="151"/>
      <c r="ET382" s="151"/>
      <c r="EU382" s="151"/>
      <c r="EV382" s="151"/>
      <c r="EW382" s="151"/>
      <c r="EX382" s="151"/>
      <c r="EY382" s="151"/>
      <c r="EZ382" s="151"/>
      <c r="FA382" s="151"/>
      <c r="FB382" s="151"/>
      <c r="FC382" s="151"/>
      <c r="FD382" s="151"/>
      <c r="FE382" s="151"/>
      <c r="FF382" s="151"/>
      <c r="FG382" s="151"/>
      <c r="FH382" s="151"/>
      <c r="FI382" s="151"/>
      <c r="FJ382" s="151"/>
      <c r="FK382" s="151"/>
      <c r="FL382" s="151"/>
      <c r="FM382" s="151"/>
      <c r="FN382" s="151"/>
      <c r="FO382" s="151"/>
      <c r="FP382" s="151"/>
      <c r="FQ382" s="151"/>
      <c r="FR382" s="151"/>
      <c r="FS382" s="151"/>
      <c r="FT382" s="151"/>
      <c r="FU382" s="151"/>
      <c r="FV382" s="151"/>
      <c r="FW382" s="151"/>
      <c r="FX382" s="151"/>
      <c r="FY382" s="151"/>
      <c r="FZ382" s="151"/>
      <c r="GA382" s="151"/>
      <c r="GB382" s="151"/>
      <c r="GC382" s="151"/>
      <c r="GD382" s="151"/>
      <c r="GE382" s="151"/>
      <c r="GF382" s="151"/>
      <c r="GG382" s="152"/>
    </row>
    <row r="383" spans="1:189" x14ac:dyDescent="0.35">
      <c r="A383" s="267"/>
      <c r="B383" s="221"/>
      <c r="C383" s="221"/>
      <c r="D383" s="222"/>
      <c r="E383" s="221"/>
      <c r="F383" s="221"/>
      <c r="G383" s="223"/>
      <c r="H383" s="224"/>
      <c r="I383" s="225"/>
      <c r="J383" s="225"/>
      <c r="K383" s="225"/>
      <c r="L383" s="226"/>
      <c r="M383" s="226"/>
      <c r="N383" s="226"/>
      <c r="O383" s="226"/>
      <c r="P383" s="226"/>
      <c r="Q383" s="227"/>
      <c r="R383" s="228"/>
      <c r="S383" s="228"/>
      <c r="T383" s="228"/>
      <c r="U383" s="191">
        <f t="shared" si="483"/>
        <v>0</v>
      </c>
      <c r="V383" s="230"/>
      <c r="W383" s="231"/>
      <c r="X383" s="46"/>
      <c r="Y383" s="167">
        <f t="shared" si="484"/>
        <v>0</v>
      </c>
      <c r="Z383" s="167">
        <f t="shared" si="485"/>
        <v>0</v>
      </c>
      <c r="AA383" s="167">
        <f t="shared" si="486"/>
        <v>0</v>
      </c>
      <c r="AB383" s="167">
        <f t="shared" si="487"/>
        <v>0</v>
      </c>
      <c r="AC383" s="167">
        <f t="shared" si="488"/>
        <v>0</v>
      </c>
      <c r="AD383" s="167">
        <f t="shared" si="489"/>
        <v>0</v>
      </c>
      <c r="AF383" s="47">
        <f t="shared" si="458"/>
        <v>0</v>
      </c>
      <c r="AG383" s="202" t="str">
        <f t="shared" si="459"/>
        <v xml:space="preserve"> </v>
      </c>
      <c r="AH383" s="172"/>
      <c r="AI383" s="173"/>
      <c r="AJ383" s="173"/>
      <c r="AK383" s="173"/>
      <c r="AL383" s="173"/>
      <c r="AM383" s="173"/>
      <c r="AN383" s="173"/>
      <c r="AO383" s="173"/>
      <c r="AP383" s="173"/>
      <c r="AQ383" s="173"/>
      <c r="AR383" s="173"/>
      <c r="AS383" s="173"/>
      <c r="AT383" s="173"/>
      <c r="AU383" s="173"/>
      <c r="AV383" s="173"/>
      <c r="AW383" s="173"/>
      <c r="AX383" s="173"/>
      <c r="AY383" s="173"/>
      <c r="AZ383" s="173"/>
      <c r="BA383" s="173"/>
      <c r="BB383" s="173"/>
      <c r="BC383" s="173"/>
      <c r="BD383" s="173"/>
      <c r="BE383" s="173"/>
      <c r="BF383" s="173"/>
      <c r="BG383" s="173"/>
      <c r="BH383" s="173"/>
      <c r="BI383" s="173"/>
      <c r="BJ383" s="173"/>
      <c r="BK383" s="173"/>
      <c r="BL383" s="173"/>
      <c r="BM383" s="173"/>
      <c r="BN383" s="173"/>
      <c r="BO383" s="173"/>
      <c r="BP383" s="173"/>
      <c r="BQ383" s="173"/>
      <c r="BR383" s="173"/>
      <c r="BS383" s="173"/>
      <c r="BT383" s="173"/>
      <c r="BU383" s="173"/>
      <c r="BV383" s="173"/>
      <c r="BW383" s="173"/>
      <c r="BX383" s="173"/>
      <c r="BY383" s="173"/>
      <c r="BZ383" s="173"/>
      <c r="CA383" s="173"/>
      <c r="CB383" s="173"/>
      <c r="CC383" s="173"/>
      <c r="CD383" s="173"/>
      <c r="CE383" s="173"/>
      <c r="CF383" s="173"/>
      <c r="CG383" s="173"/>
      <c r="CH383" s="173"/>
      <c r="CI383" s="173"/>
      <c r="CJ383" s="173"/>
      <c r="CK383" s="173"/>
      <c r="CL383" s="173"/>
      <c r="CM383" s="173"/>
      <c r="CN383" s="173"/>
      <c r="CO383" s="173"/>
      <c r="CP383" s="173"/>
      <c r="CQ383" s="173"/>
      <c r="CR383" s="173"/>
      <c r="CS383" s="173"/>
      <c r="CT383" s="173"/>
      <c r="CU383" s="173"/>
      <c r="CV383" s="173"/>
      <c r="CW383" s="173"/>
      <c r="CX383" s="173"/>
      <c r="CY383" s="148"/>
      <c r="CZ383" s="148"/>
      <c r="DA383" s="148"/>
      <c r="DB383" s="148"/>
      <c r="DC383" s="148"/>
      <c r="DD383" s="148"/>
      <c r="DE383" s="148"/>
      <c r="DF383" s="148"/>
      <c r="DG383" s="148"/>
      <c r="DH383" s="148"/>
      <c r="DI383" s="148"/>
      <c r="DJ383" s="148"/>
      <c r="DK383" s="148"/>
      <c r="DL383" s="148"/>
      <c r="DM383" s="148"/>
      <c r="DN383" s="148"/>
      <c r="DO383" s="148"/>
      <c r="DP383" s="148"/>
      <c r="DQ383" s="148"/>
      <c r="DR383" s="148"/>
      <c r="DS383" s="148"/>
      <c r="DT383" s="148"/>
      <c r="DU383" s="148"/>
      <c r="DV383" s="148"/>
      <c r="DW383" s="148"/>
      <c r="DX383" s="148"/>
      <c r="DY383" s="148"/>
      <c r="DZ383" s="148"/>
      <c r="EA383" s="148"/>
      <c r="EB383" s="148"/>
      <c r="EC383" s="148"/>
      <c r="ED383" s="148"/>
      <c r="EE383" s="148"/>
      <c r="EF383" s="148"/>
      <c r="EG383" s="148"/>
      <c r="EH383" s="148"/>
      <c r="EI383" s="148"/>
      <c r="EJ383" s="148"/>
      <c r="EK383" s="148"/>
      <c r="EL383" s="148"/>
      <c r="EM383" s="148"/>
      <c r="EN383" s="148"/>
      <c r="EO383" s="148"/>
      <c r="EP383" s="148"/>
      <c r="EQ383" s="148"/>
      <c r="ER383" s="148"/>
      <c r="ES383" s="148"/>
      <c r="ET383" s="148"/>
      <c r="EU383" s="148"/>
      <c r="EV383" s="148"/>
      <c r="EW383" s="148"/>
      <c r="EX383" s="148"/>
      <c r="EY383" s="148"/>
      <c r="EZ383" s="148"/>
      <c r="FA383" s="148"/>
      <c r="FB383" s="148"/>
      <c r="FC383" s="148"/>
      <c r="FD383" s="148"/>
      <c r="FE383" s="148"/>
      <c r="FF383" s="148"/>
      <c r="FG383" s="148"/>
      <c r="FH383" s="148"/>
      <c r="FI383" s="148"/>
      <c r="FJ383" s="148"/>
      <c r="FK383" s="148"/>
      <c r="FL383" s="148"/>
      <c r="FM383" s="148"/>
      <c r="FN383" s="148"/>
      <c r="FO383" s="148"/>
      <c r="FP383" s="148"/>
      <c r="FQ383" s="148"/>
      <c r="FR383" s="148"/>
      <c r="FS383" s="148"/>
      <c r="FT383" s="148"/>
      <c r="FU383" s="148"/>
      <c r="FV383" s="148"/>
      <c r="FW383" s="148"/>
      <c r="FX383" s="148"/>
      <c r="FY383" s="148"/>
      <c r="FZ383" s="148"/>
      <c r="GA383" s="148"/>
      <c r="GB383" s="148"/>
      <c r="GC383" s="148"/>
      <c r="GD383" s="148"/>
      <c r="GE383" s="148"/>
      <c r="GF383" s="148"/>
      <c r="GG383" s="149"/>
    </row>
    <row r="384" spans="1:189" x14ac:dyDescent="0.35">
      <c r="A384" s="267"/>
      <c r="B384" s="221"/>
      <c r="C384" s="221"/>
      <c r="D384" s="222"/>
      <c r="E384" s="221"/>
      <c r="F384" s="221"/>
      <c r="G384" s="223"/>
      <c r="H384" s="224"/>
      <c r="I384" s="225"/>
      <c r="J384" s="225"/>
      <c r="K384" s="225"/>
      <c r="L384" s="226"/>
      <c r="M384" s="226"/>
      <c r="N384" s="226"/>
      <c r="O384" s="226"/>
      <c r="P384" s="226"/>
      <c r="Q384" s="227"/>
      <c r="R384" s="228"/>
      <c r="S384" s="228"/>
      <c r="T384" s="228"/>
      <c r="U384" s="191">
        <f t="shared" si="483"/>
        <v>0</v>
      </c>
      <c r="V384" s="230"/>
      <c r="W384" s="231"/>
      <c r="X384" s="46"/>
      <c r="Y384" s="167">
        <f t="shared" si="484"/>
        <v>0</v>
      </c>
      <c r="Z384" s="167">
        <f t="shared" si="485"/>
        <v>0</v>
      </c>
      <c r="AA384" s="167">
        <f t="shared" si="486"/>
        <v>0</v>
      </c>
      <c r="AB384" s="167">
        <f t="shared" si="487"/>
        <v>0</v>
      </c>
      <c r="AC384" s="167">
        <f t="shared" si="488"/>
        <v>0</v>
      </c>
      <c r="AD384" s="167">
        <f t="shared" si="489"/>
        <v>0</v>
      </c>
      <c r="AF384" s="47">
        <f t="shared" si="458"/>
        <v>0</v>
      </c>
      <c r="AG384" s="202" t="str">
        <f t="shared" si="459"/>
        <v xml:space="preserve"> </v>
      </c>
      <c r="AH384" s="172"/>
      <c r="AI384" s="173"/>
      <c r="AJ384" s="173"/>
      <c r="AK384" s="173"/>
      <c r="AL384" s="173"/>
      <c r="AM384" s="173"/>
      <c r="AN384" s="173"/>
      <c r="AO384" s="173"/>
      <c r="AP384" s="173"/>
      <c r="AQ384" s="173"/>
      <c r="AR384" s="173"/>
      <c r="AS384" s="173"/>
      <c r="AT384" s="173"/>
      <c r="AU384" s="173"/>
      <c r="AV384" s="173"/>
      <c r="AW384" s="173"/>
      <c r="AX384" s="173"/>
      <c r="AY384" s="173"/>
      <c r="AZ384" s="173"/>
      <c r="BA384" s="173"/>
      <c r="BB384" s="173"/>
      <c r="BC384" s="173"/>
      <c r="BD384" s="173"/>
      <c r="BE384" s="173"/>
      <c r="BF384" s="173"/>
      <c r="BG384" s="173"/>
      <c r="BH384" s="173"/>
      <c r="BI384" s="173"/>
      <c r="BJ384" s="173"/>
      <c r="BK384" s="173"/>
      <c r="BL384" s="173"/>
      <c r="BM384" s="173"/>
      <c r="BN384" s="173"/>
      <c r="BO384" s="173"/>
      <c r="BP384" s="173"/>
      <c r="BQ384" s="173"/>
      <c r="BR384" s="173"/>
      <c r="BS384" s="173"/>
      <c r="BT384" s="173"/>
      <c r="BU384" s="173"/>
      <c r="BV384" s="173"/>
      <c r="BW384" s="173"/>
      <c r="BX384" s="173"/>
      <c r="BY384" s="173"/>
      <c r="BZ384" s="173"/>
      <c r="CA384" s="173"/>
      <c r="CB384" s="173"/>
      <c r="CC384" s="173"/>
      <c r="CD384" s="173"/>
      <c r="CE384" s="173"/>
      <c r="CF384" s="173"/>
      <c r="CG384" s="173"/>
      <c r="CH384" s="173"/>
      <c r="CI384" s="173"/>
      <c r="CJ384" s="173"/>
      <c r="CK384" s="173"/>
      <c r="CL384" s="173"/>
      <c r="CM384" s="173"/>
      <c r="CN384" s="173"/>
      <c r="CO384" s="173"/>
      <c r="CP384" s="173"/>
      <c r="CQ384" s="173"/>
      <c r="CR384" s="173"/>
      <c r="CS384" s="173"/>
      <c r="CT384" s="173"/>
      <c r="CU384" s="173"/>
      <c r="CV384" s="173"/>
      <c r="CW384" s="173"/>
      <c r="CX384" s="173"/>
      <c r="CY384" s="148"/>
      <c r="CZ384" s="148"/>
      <c r="DA384" s="148"/>
      <c r="DB384" s="148"/>
      <c r="DC384" s="148"/>
      <c r="DD384" s="148"/>
      <c r="DE384" s="148"/>
      <c r="DF384" s="148"/>
      <c r="DG384" s="148"/>
      <c r="DH384" s="148"/>
      <c r="DI384" s="148"/>
      <c r="DJ384" s="148"/>
      <c r="DK384" s="148"/>
      <c r="DL384" s="148"/>
      <c r="DM384" s="148"/>
      <c r="DN384" s="148"/>
      <c r="DO384" s="148"/>
      <c r="DP384" s="148"/>
      <c r="DQ384" s="148"/>
      <c r="DR384" s="148"/>
      <c r="DS384" s="148"/>
      <c r="DT384" s="148"/>
      <c r="DU384" s="148"/>
      <c r="DV384" s="148"/>
      <c r="DW384" s="148"/>
      <c r="DX384" s="148"/>
      <c r="DY384" s="148"/>
      <c r="DZ384" s="148"/>
      <c r="EA384" s="148"/>
      <c r="EB384" s="148"/>
      <c r="EC384" s="148"/>
      <c r="ED384" s="148"/>
      <c r="EE384" s="148"/>
      <c r="EF384" s="148"/>
      <c r="EG384" s="148"/>
      <c r="EH384" s="148"/>
      <c r="EI384" s="148"/>
      <c r="EJ384" s="148"/>
      <c r="EK384" s="148"/>
      <c r="EL384" s="148"/>
      <c r="EM384" s="148"/>
      <c r="EN384" s="148"/>
      <c r="EO384" s="148"/>
      <c r="EP384" s="148"/>
      <c r="EQ384" s="148"/>
      <c r="ER384" s="148"/>
      <c r="ES384" s="151"/>
      <c r="ET384" s="151"/>
      <c r="EU384" s="151"/>
      <c r="EV384" s="151"/>
      <c r="EW384" s="151"/>
      <c r="EX384" s="151"/>
      <c r="EY384" s="151"/>
      <c r="EZ384" s="151"/>
      <c r="FA384" s="151"/>
      <c r="FB384" s="151"/>
      <c r="FC384" s="151"/>
      <c r="FD384" s="151"/>
      <c r="FE384" s="151"/>
      <c r="FF384" s="151"/>
      <c r="FG384" s="151"/>
      <c r="FH384" s="151"/>
      <c r="FI384" s="151"/>
      <c r="FJ384" s="151"/>
      <c r="FK384" s="151"/>
      <c r="FL384" s="151"/>
      <c r="FM384" s="151"/>
      <c r="FN384" s="151"/>
      <c r="FO384" s="151"/>
      <c r="FP384" s="151"/>
      <c r="FQ384" s="151"/>
      <c r="FR384" s="151"/>
      <c r="FS384" s="151"/>
      <c r="FT384" s="151"/>
      <c r="FU384" s="151"/>
      <c r="FV384" s="151"/>
      <c r="FW384" s="151"/>
      <c r="FX384" s="151"/>
      <c r="FY384" s="151"/>
      <c r="FZ384" s="151"/>
      <c r="GA384" s="151"/>
      <c r="GB384" s="151"/>
      <c r="GC384" s="151"/>
      <c r="GD384" s="151"/>
      <c r="GE384" s="151"/>
      <c r="GF384" s="151"/>
      <c r="GG384" s="152"/>
    </row>
    <row r="385" spans="1:189" x14ac:dyDescent="0.35">
      <c r="A385" s="267"/>
      <c r="B385" s="221"/>
      <c r="C385" s="221"/>
      <c r="D385" s="222"/>
      <c r="E385" s="221"/>
      <c r="F385" s="221"/>
      <c r="G385" s="223"/>
      <c r="H385" s="224"/>
      <c r="I385" s="225"/>
      <c r="J385" s="225"/>
      <c r="K385" s="225"/>
      <c r="L385" s="226"/>
      <c r="M385" s="226"/>
      <c r="N385" s="226"/>
      <c r="O385" s="226"/>
      <c r="P385" s="226"/>
      <c r="Q385" s="227"/>
      <c r="R385" s="228"/>
      <c r="S385" s="228"/>
      <c r="T385" s="228"/>
      <c r="U385" s="191">
        <f t="shared" si="483"/>
        <v>0</v>
      </c>
      <c r="V385" s="230"/>
      <c r="W385" s="231"/>
      <c r="X385" s="46"/>
      <c r="Y385" s="167">
        <f t="shared" si="484"/>
        <v>0</v>
      </c>
      <c r="Z385" s="167">
        <f t="shared" si="485"/>
        <v>0</v>
      </c>
      <c r="AA385" s="167">
        <f t="shared" si="486"/>
        <v>0</v>
      </c>
      <c r="AB385" s="167">
        <f t="shared" si="487"/>
        <v>0</v>
      </c>
      <c r="AC385" s="167">
        <f t="shared" si="488"/>
        <v>0</v>
      </c>
      <c r="AD385" s="167">
        <f t="shared" si="489"/>
        <v>0</v>
      </c>
      <c r="AF385" s="47">
        <f t="shared" ref="AF385:AF403" si="490">IF(S385&lt;&gt;"",1,0)</f>
        <v>0</v>
      </c>
      <c r="AG385" s="202" t="str">
        <f t="shared" ref="AG385:AG416" si="491">B385&amp;" "&amp;F385</f>
        <v xml:space="preserve"> </v>
      </c>
      <c r="AH385" s="172"/>
      <c r="AI385" s="173"/>
      <c r="AJ385" s="173"/>
      <c r="AK385" s="173"/>
      <c r="AL385" s="173"/>
      <c r="AM385" s="173"/>
      <c r="AN385" s="173"/>
      <c r="AO385" s="173"/>
      <c r="AP385" s="173"/>
      <c r="AQ385" s="173"/>
      <c r="AR385" s="173"/>
      <c r="AS385" s="173"/>
      <c r="AT385" s="173"/>
      <c r="AU385" s="173"/>
      <c r="AV385" s="173"/>
      <c r="AW385" s="173"/>
      <c r="AX385" s="173"/>
      <c r="AY385" s="173"/>
      <c r="AZ385" s="173"/>
      <c r="BA385" s="173"/>
      <c r="BB385" s="173"/>
      <c r="BC385" s="173"/>
      <c r="BD385" s="173"/>
      <c r="BE385" s="173"/>
      <c r="BF385" s="173"/>
      <c r="BG385" s="173"/>
      <c r="BH385" s="173"/>
      <c r="BI385" s="173"/>
      <c r="BJ385" s="173"/>
      <c r="BK385" s="173"/>
      <c r="BL385" s="173"/>
      <c r="BM385" s="173"/>
      <c r="BN385" s="173"/>
      <c r="BO385" s="173"/>
      <c r="BP385" s="173"/>
      <c r="BQ385" s="173"/>
      <c r="BR385" s="173"/>
      <c r="BS385" s="173"/>
      <c r="BT385" s="173"/>
      <c r="BU385" s="173"/>
      <c r="BV385" s="173"/>
      <c r="BW385" s="173"/>
      <c r="BX385" s="173"/>
      <c r="BY385" s="173"/>
      <c r="BZ385" s="173"/>
      <c r="CA385" s="173"/>
      <c r="CB385" s="173"/>
      <c r="CC385" s="173"/>
      <c r="CD385" s="173"/>
      <c r="CE385" s="173"/>
      <c r="CF385" s="173"/>
      <c r="CG385" s="173"/>
      <c r="CH385" s="173"/>
      <c r="CI385" s="173"/>
      <c r="CJ385" s="173"/>
      <c r="CK385" s="173"/>
      <c r="CL385" s="173"/>
      <c r="CM385" s="173"/>
      <c r="CN385" s="173"/>
      <c r="CO385" s="173"/>
      <c r="CP385" s="173"/>
      <c r="CQ385" s="173"/>
      <c r="CR385" s="173"/>
      <c r="CS385" s="173"/>
      <c r="CT385" s="173"/>
      <c r="CU385" s="173"/>
      <c r="CV385" s="173"/>
      <c r="CW385" s="173"/>
      <c r="CX385" s="173"/>
      <c r="CY385" s="148"/>
      <c r="CZ385" s="148"/>
      <c r="DA385" s="148"/>
      <c r="DB385" s="148"/>
      <c r="DC385" s="148"/>
      <c r="DD385" s="148"/>
      <c r="DE385" s="148"/>
      <c r="DF385" s="148"/>
      <c r="DG385" s="148"/>
      <c r="DH385" s="148"/>
      <c r="DI385" s="148"/>
      <c r="DJ385" s="148"/>
      <c r="DK385" s="148"/>
      <c r="DL385" s="148"/>
      <c r="DM385" s="148"/>
      <c r="DN385" s="148"/>
      <c r="DO385" s="148"/>
      <c r="DP385" s="148"/>
      <c r="DQ385" s="148"/>
      <c r="DR385" s="148"/>
      <c r="DS385" s="148"/>
      <c r="DT385" s="148"/>
      <c r="DU385" s="148"/>
      <c r="DV385" s="148"/>
      <c r="DW385" s="148"/>
      <c r="DX385" s="148"/>
      <c r="DY385" s="148"/>
      <c r="DZ385" s="148"/>
      <c r="EA385" s="148"/>
      <c r="EB385" s="148"/>
      <c r="EC385" s="148"/>
      <c r="ED385" s="148"/>
      <c r="EE385" s="148"/>
      <c r="EF385" s="148"/>
      <c r="EG385" s="148"/>
      <c r="EH385" s="148"/>
      <c r="EI385" s="148"/>
      <c r="EJ385" s="148"/>
      <c r="EK385" s="148"/>
      <c r="EL385" s="148"/>
      <c r="EM385" s="148"/>
      <c r="EN385" s="148"/>
      <c r="EO385" s="148"/>
      <c r="EP385" s="148"/>
      <c r="EQ385" s="148"/>
      <c r="ER385" s="148"/>
      <c r="ES385" s="151"/>
      <c r="ET385" s="151"/>
      <c r="EU385" s="151"/>
      <c r="EV385" s="151"/>
      <c r="EW385" s="151"/>
      <c r="EX385" s="151"/>
      <c r="EY385" s="151"/>
      <c r="EZ385" s="151"/>
      <c r="FA385" s="151"/>
      <c r="FB385" s="151"/>
      <c r="FC385" s="151"/>
      <c r="FD385" s="151"/>
      <c r="FE385" s="151"/>
      <c r="FF385" s="151"/>
      <c r="FG385" s="151"/>
      <c r="FH385" s="151"/>
      <c r="FI385" s="151"/>
      <c r="FJ385" s="151"/>
      <c r="FK385" s="151"/>
      <c r="FL385" s="151"/>
      <c r="FM385" s="151"/>
      <c r="FN385" s="151"/>
      <c r="FO385" s="151"/>
      <c r="FP385" s="151"/>
      <c r="FQ385" s="151"/>
      <c r="FR385" s="151"/>
      <c r="FS385" s="151"/>
      <c r="FT385" s="151"/>
      <c r="FU385" s="151"/>
      <c r="FV385" s="151"/>
      <c r="FW385" s="151"/>
      <c r="FX385" s="151"/>
      <c r="FY385" s="151"/>
      <c r="FZ385" s="151"/>
      <c r="GA385" s="151"/>
      <c r="GB385" s="151"/>
      <c r="GC385" s="151"/>
      <c r="GD385" s="151"/>
      <c r="GE385" s="151"/>
      <c r="GF385" s="151"/>
      <c r="GG385" s="152"/>
    </row>
    <row r="386" spans="1:189" x14ac:dyDescent="0.35">
      <c r="A386" s="267"/>
      <c r="B386" s="221"/>
      <c r="C386" s="221"/>
      <c r="D386" s="222"/>
      <c r="E386" s="221"/>
      <c r="F386" s="221"/>
      <c r="G386" s="223"/>
      <c r="H386" s="224"/>
      <c r="I386" s="225"/>
      <c r="J386" s="225"/>
      <c r="K386" s="225"/>
      <c r="L386" s="226"/>
      <c r="M386" s="226"/>
      <c r="N386" s="226"/>
      <c r="O386" s="226"/>
      <c r="P386" s="226"/>
      <c r="Q386" s="227"/>
      <c r="R386" s="228"/>
      <c r="S386" s="228"/>
      <c r="T386" s="228"/>
      <c r="U386" s="191">
        <f t="shared" si="483"/>
        <v>0</v>
      </c>
      <c r="V386" s="230"/>
      <c r="W386" s="231"/>
      <c r="X386" s="46"/>
      <c r="Y386" s="167">
        <f t="shared" si="484"/>
        <v>0</v>
      </c>
      <c r="Z386" s="167">
        <f t="shared" si="485"/>
        <v>0</v>
      </c>
      <c r="AA386" s="167">
        <f t="shared" si="486"/>
        <v>0</v>
      </c>
      <c r="AB386" s="167">
        <f t="shared" si="487"/>
        <v>0</v>
      </c>
      <c r="AC386" s="167">
        <f t="shared" si="488"/>
        <v>0</v>
      </c>
      <c r="AD386" s="167">
        <f t="shared" si="489"/>
        <v>0</v>
      </c>
      <c r="AF386" s="47">
        <f t="shared" si="490"/>
        <v>0</v>
      </c>
      <c r="AG386" s="202" t="str">
        <f t="shared" si="491"/>
        <v xml:space="preserve"> </v>
      </c>
      <c r="AH386" s="172"/>
      <c r="AI386" s="173"/>
      <c r="AJ386" s="173"/>
      <c r="AK386" s="173"/>
      <c r="AL386" s="173"/>
      <c r="AM386" s="173"/>
      <c r="AN386" s="173"/>
      <c r="AO386" s="173"/>
      <c r="AP386" s="173"/>
      <c r="AQ386" s="173"/>
      <c r="AR386" s="173"/>
      <c r="AS386" s="173"/>
      <c r="AT386" s="173"/>
      <c r="AU386" s="173"/>
      <c r="AV386" s="173"/>
      <c r="AW386" s="173"/>
      <c r="AX386" s="173"/>
      <c r="AY386" s="173"/>
      <c r="AZ386" s="173"/>
      <c r="BA386" s="173"/>
      <c r="BB386" s="173"/>
      <c r="BC386" s="173"/>
      <c r="BD386" s="173"/>
      <c r="BE386" s="173"/>
      <c r="BF386" s="173"/>
      <c r="BG386" s="173"/>
      <c r="BH386" s="173"/>
      <c r="BI386" s="173"/>
      <c r="BJ386" s="173"/>
      <c r="BK386" s="173"/>
      <c r="BL386" s="173"/>
      <c r="BM386" s="173"/>
      <c r="BN386" s="173"/>
      <c r="BO386" s="173"/>
      <c r="BP386" s="173"/>
      <c r="BQ386" s="173"/>
      <c r="BR386" s="173"/>
      <c r="BS386" s="173"/>
      <c r="BT386" s="173"/>
      <c r="BU386" s="173"/>
      <c r="BV386" s="173"/>
      <c r="BW386" s="173"/>
      <c r="BX386" s="173"/>
      <c r="BY386" s="173"/>
      <c r="BZ386" s="173"/>
      <c r="CA386" s="173"/>
      <c r="CB386" s="173"/>
      <c r="CC386" s="173"/>
      <c r="CD386" s="173"/>
      <c r="CE386" s="173"/>
      <c r="CF386" s="173"/>
      <c r="CG386" s="173"/>
      <c r="CH386" s="173"/>
      <c r="CI386" s="173"/>
      <c r="CJ386" s="173"/>
      <c r="CK386" s="173"/>
      <c r="CL386" s="173"/>
      <c r="CM386" s="173"/>
      <c r="CN386" s="173"/>
      <c r="CO386" s="173"/>
      <c r="CP386" s="173"/>
      <c r="CQ386" s="173"/>
      <c r="CR386" s="173"/>
      <c r="CS386" s="173"/>
      <c r="CT386" s="173"/>
      <c r="CU386" s="173"/>
      <c r="CV386" s="173"/>
      <c r="CW386" s="173"/>
      <c r="CX386" s="173"/>
      <c r="CY386" s="148"/>
      <c r="CZ386" s="148"/>
      <c r="DA386" s="148"/>
      <c r="DB386" s="148"/>
      <c r="DC386" s="148"/>
      <c r="DD386" s="148"/>
      <c r="DE386" s="148"/>
      <c r="DF386" s="148"/>
      <c r="DG386" s="148"/>
      <c r="DH386" s="148"/>
      <c r="DI386" s="148"/>
      <c r="DJ386" s="148"/>
      <c r="DK386" s="148"/>
      <c r="DL386" s="148"/>
      <c r="DM386" s="148"/>
      <c r="DN386" s="148"/>
      <c r="DO386" s="148"/>
      <c r="DP386" s="148"/>
      <c r="DQ386" s="148"/>
      <c r="DR386" s="148"/>
      <c r="DS386" s="148"/>
      <c r="DT386" s="148"/>
      <c r="DU386" s="148"/>
      <c r="DV386" s="148"/>
      <c r="DW386" s="148"/>
      <c r="DX386" s="148"/>
      <c r="DY386" s="148"/>
      <c r="DZ386" s="148"/>
      <c r="EA386" s="148"/>
      <c r="EB386" s="148"/>
      <c r="EC386" s="148"/>
      <c r="ED386" s="148"/>
      <c r="EE386" s="148"/>
      <c r="EF386" s="148"/>
      <c r="EG386" s="148"/>
      <c r="EH386" s="148"/>
      <c r="EI386" s="148"/>
      <c r="EJ386" s="148"/>
      <c r="EK386" s="148"/>
      <c r="EL386" s="148"/>
      <c r="EM386" s="148"/>
      <c r="EN386" s="148"/>
      <c r="EO386" s="148"/>
      <c r="EP386" s="148"/>
      <c r="EQ386" s="148"/>
      <c r="ER386" s="148"/>
      <c r="ES386" s="151"/>
      <c r="ET386" s="151"/>
      <c r="EU386" s="151"/>
      <c r="EV386" s="151"/>
      <c r="EW386" s="151"/>
      <c r="EX386" s="151"/>
      <c r="EY386" s="151"/>
      <c r="EZ386" s="151"/>
      <c r="FA386" s="151"/>
      <c r="FB386" s="151"/>
      <c r="FC386" s="151"/>
      <c r="FD386" s="151"/>
      <c r="FE386" s="151"/>
      <c r="FF386" s="151"/>
      <c r="FG386" s="151"/>
      <c r="FH386" s="151"/>
      <c r="FI386" s="151"/>
      <c r="FJ386" s="151"/>
      <c r="FK386" s="151"/>
      <c r="FL386" s="151"/>
      <c r="FM386" s="151"/>
      <c r="FN386" s="151"/>
      <c r="FO386" s="151"/>
      <c r="FP386" s="151"/>
      <c r="FQ386" s="151"/>
      <c r="FR386" s="151"/>
      <c r="FS386" s="151"/>
      <c r="FT386" s="151"/>
      <c r="FU386" s="151"/>
      <c r="FV386" s="151"/>
      <c r="FW386" s="151"/>
      <c r="FX386" s="151"/>
      <c r="FY386" s="151"/>
      <c r="FZ386" s="151"/>
      <c r="GA386" s="151"/>
      <c r="GB386" s="151"/>
      <c r="GC386" s="151"/>
      <c r="GD386" s="151"/>
      <c r="GE386" s="151"/>
      <c r="GF386" s="151"/>
      <c r="GG386" s="152"/>
    </row>
    <row r="387" spans="1:189" x14ac:dyDescent="0.35">
      <c r="A387" s="268"/>
      <c r="B387" s="221"/>
      <c r="C387" s="221"/>
      <c r="D387" s="222"/>
      <c r="E387" s="221"/>
      <c r="F387" s="221"/>
      <c r="G387" s="223"/>
      <c r="H387" s="224"/>
      <c r="I387" s="225"/>
      <c r="J387" s="225"/>
      <c r="K387" s="225"/>
      <c r="L387" s="226"/>
      <c r="M387" s="226"/>
      <c r="N387" s="226"/>
      <c r="O387" s="226"/>
      <c r="P387" s="226"/>
      <c r="Q387" s="227"/>
      <c r="R387" s="228"/>
      <c r="S387" s="228"/>
      <c r="T387" s="228"/>
      <c r="U387" s="191">
        <f t="shared" si="483"/>
        <v>0</v>
      </c>
      <c r="V387" s="230"/>
      <c r="W387" s="231"/>
      <c r="X387" s="46"/>
      <c r="Y387" s="167">
        <f t="shared" si="484"/>
        <v>0</v>
      </c>
      <c r="Z387" s="167">
        <f t="shared" si="485"/>
        <v>0</v>
      </c>
      <c r="AA387" s="167">
        <f t="shared" si="486"/>
        <v>0</v>
      </c>
      <c r="AB387" s="167">
        <f t="shared" si="487"/>
        <v>0</v>
      </c>
      <c r="AC387" s="167">
        <f t="shared" si="488"/>
        <v>0</v>
      </c>
      <c r="AD387" s="167">
        <f t="shared" si="489"/>
        <v>0</v>
      </c>
      <c r="AF387" s="47">
        <f t="shared" si="490"/>
        <v>0</v>
      </c>
      <c r="AG387" s="202" t="str">
        <f t="shared" si="491"/>
        <v xml:space="preserve"> </v>
      </c>
      <c r="AH387" s="172"/>
      <c r="AI387" s="173"/>
      <c r="AJ387" s="173"/>
      <c r="AK387" s="173"/>
      <c r="AL387" s="173"/>
      <c r="AM387" s="173"/>
      <c r="AN387" s="173"/>
      <c r="AO387" s="173"/>
      <c r="AP387" s="173"/>
      <c r="AQ387" s="173"/>
      <c r="AR387" s="173"/>
      <c r="AS387" s="173"/>
      <c r="AT387" s="173"/>
      <c r="AU387" s="173"/>
      <c r="AV387" s="173"/>
      <c r="AW387" s="173"/>
      <c r="AX387" s="173"/>
      <c r="AY387" s="173"/>
      <c r="AZ387" s="173"/>
      <c r="BA387" s="173"/>
      <c r="BB387" s="173"/>
      <c r="BC387" s="173"/>
      <c r="BD387" s="173"/>
      <c r="BE387" s="173"/>
      <c r="BF387" s="173"/>
      <c r="BG387" s="173"/>
      <c r="BH387" s="173"/>
      <c r="BI387" s="173"/>
      <c r="BJ387" s="173"/>
      <c r="BK387" s="173"/>
      <c r="BL387" s="173"/>
      <c r="BM387" s="173"/>
      <c r="BN387" s="173"/>
      <c r="BO387" s="173"/>
      <c r="BP387" s="173"/>
      <c r="BQ387" s="173"/>
      <c r="BR387" s="173"/>
      <c r="BS387" s="173"/>
      <c r="BT387" s="173"/>
      <c r="BU387" s="173"/>
      <c r="BV387" s="173"/>
      <c r="BW387" s="173"/>
      <c r="BX387" s="173"/>
      <c r="BY387" s="173"/>
      <c r="BZ387" s="173"/>
      <c r="CA387" s="173"/>
      <c r="CB387" s="173"/>
      <c r="CC387" s="173"/>
      <c r="CD387" s="173"/>
      <c r="CE387" s="173"/>
      <c r="CF387" s="173"/>
      <c r="CG387" s="173"/>
      <c r="CH387" s="173"/>
      <c r="CI387" s="173"/>
      <c r="CJ387" s="173"/>
      <c r="CK387" s="173"/>
      <c r="CL387" s="173"/>
      <c r="CM387" s="173"/>
      <c r="CN387" s="173"/>
      <c r="CO387" s="173"/>
      <c r="CP387" s="173"/>
      <c r="CQ387" s="173"/>
      <c r="CR387" s="173"/>
      <c r="CS387" s="173"/>
      <c r="CT387" s="173"/>
      <c r="CU387" s="173"/>
      <c r="CV387" s="173"/>
      <c r="CW387" s="173"/>
      <c r="CX387" s="173"/>
      <c r="CY387" s="148"/>
      <c r="CZ387" s="148"/>
      <c r="DA387" s="148"/>
      <c r="DB387" s="148"/>
      <c r="DC387" s="148"/>
      <c r="DD387" s="148"/>
      <c r="DE387" s="148"/>
      <c r="DF387" s="148"/>
      <c r="DG387" s="148"/>
      <c r="DH387" s="148"/>
      <c r="DI387" s="148"/>
      <c r="DJ387" s="148"/>
      <c r="DK387" s="148"/>
      <c r="DL387" s="148"/>
      <c r="DM387" s="148"/>
      <c r="DN387" s="148"/>
      <c r="DO387" s="148"/>
      <c r="DP387" s="148"/>
      <c r="DQ387" s="148"/>
      <c r="DR387" s="148"/>
      <c r="DS387" s="148"/>
      <c r="DT387" s="148"/>
      <c r="DU387" s="148"/>
      <c r="DV387" s="148"/>
      <c r="DW387" s="148"/>
      <c r="DX387" s="148"/>
      <c r="DY387" s="148"/>
      <c r="DZ387" s="148"/>
      <c r="EA387" s="148"/>
      <c r="EB387" s="148"/>
      <c r="EC387" s="148"/>
      <c r="ED387" s="148"/>
      <c r="EE387" s="148"/>
      <c r="EF387" s="148"/>
      <c r="EG387" s="148"/>
      <c r="EH387" s="148"/>
      <c r="EI387" s="148"/>
      <c r="EJ387" s="148"/>
      <c r="EK387" s="148"/>
      <c r="EL387" s="148"/>
      <c r="EM387" s="148"/>
      <c r="EN387" s="148"/>
      <c r="EO387" s="148"/>
      <c r="EP387" s="148"/>
      <c r="EQ387" s="148"/>
      <c r="ER387" s="148"/>
      <c r="ES387" s="148"/>
      <c r="ET387" s="148"/>
      <c r="EU387" s="148"/>
      <c r="EV387" s="148"/>
      <c r="EW387" s="148"/>
      <c r="EX387" s="148"/>
      <c r="EY387" s="148"/>
      <c r="EZ387" s="148"/>
      <c r="FA387" s="148"/>
      <c r="FB387" s="148"/>
      <c r="FC387" s="148"/>
      <c r="FD387" s="148"/>
      <c r="FE387" s="148"/>
      <c r="FF387" s="148"/>
      <c r="FG387" s="148"/>
      <c r="FH387" s="148"/>
      <c r="FI387" s="148"/>
      <c r="FJ387" s="148"/>
      <c r="FK387" s="148"/>
      <c r="FL387" s="148"/>
      <c r="FM387" s="148"/>
      <c r="FN387" s="148"/>
      <c r="FO387" s="148"/>
      <c r="FP387" s="148"/>
      <c r="FQ387" s="148"/>
      <c r="FR387" s="148"/>
      <c r="FS387" s="148"/>
      <c r="FT387" s="148"/>
      <c r="FU387" s="148"/>
      <c r="FV387" s="148"/>
      <c r="FW387" s="148"/>
      <c r="FX387" s="148"/>
      <c r="FY387" s="148"/>
      <c r="FZ387" s="148"/>
      <c r="GA387" s="148"/>
      <c r="GB387" s="148"/>
      <c r="GC387" s="148"/>
      <c r="GD387" s="148"/>
      <c r="GE387" s="148"/>
      <c r="GF387" s="148"/>
      <c r="GG387" s="149"/>
    </row>
    <row r="388" spans="1:189" x14ac:dyDescent="0.35">
      <c r="A388" s="268"/>
      <c r="B388" s="221"/>
      <c r="C388" s="221"/>
      <c r="D388" s="222"/>
      <c r="E388" s="221"/>
      <c r="F388" s="221"/>
      <c r="G388" s="223"/>
      <c r="H388" s="224"/>
      <c r="I388" s="225"/>
      <c r="J388" s="225"/>
      <c r="K388" s="225"/>
      <c r="L388" s="226"/>
      <c r="M388" s="226"/>
      <c r="N388" s="226"/>
      <c r="O388" s="226"/>
      <c r="P388" s="226"/>
      <c r="Q388" s="227"/>
      <c r="R388" s="228"/>
      <c r="S388" s="228"/>
      <c r="T388" s="228"/>
      <c r="U388" s="191">
        <f t="shared" si="483"/>
        <v>0</v>
      </c>
      <c r="V388" s="230"/>
      <c r="W388" s="231"/>
      <c r="X388" s="46"/>
      <c r="Y388" s="167">
        <f t="shared" si="484"/>
        <v>0</v>
      </c>
      <c r="Z388" s="167">
        <f t="shared" si="485"/>
        <v>0</v>
      </c>
      <c r="AA388" s="167">
        <f t="shared" si="486"/>
        <v>0</v>
      </c>
      <c r="AB388" s="167">
        <f t="shared" si="487"/>
        <v>0</v>
      </c>
      <c r="AC388" s="167">
        <f t="shared" si="488"/>
        <v>0</v>
      </c>
      <c r="AD388" s="167">
        <f t="shared" si="489"/>
        <v>0</v>
      </c>
      <c r="AF388" s="47">
        <f t="shared" si="490"/>
        <v>0</v>
      </c>
      <c r="AG388" s="202" t="str">
        <f t="shared" si="491"/>
        <v xml:space="preserve"> </v>
      </c>
      <c r="AH388" s="172"/>
      <c r="AI388" s="173"/>
      <c r="AJ388" s="173"/>
      <c r="AK388" s="173"/>
      <c r="AL388" s="173"/>
      <c r="AM388" s="173"/>
      <c r="AN388" s="173"/>
      <c r="AO388" s="173"/>
      <c r="AP388" s="173"/>
      <c r="AQ388" s="173"/>
      <c r="AR388" s="173"/>
      <c r="AS388" s="173"/>
      <c r="AT388" s="173"/>
      <c r="AU388" s="173"/>
      <c r="AV388" s="173"/>
      <c r="AW388" s="173"/>
      <c r="AX388" s="173"/>
      <c r="AY388" s="173"/>
      <c r="AZ388" s="173"/>
      <c r="BA388" s="173"/>
      <c r="BB388" s="173"/>
      <c r="BC388" s="173"/>
      <c r="BD388" s="173"/>
      <c r="BE388" s="173"/>
      <c r="BF388" s="173"/>
      <c r="BG388" s="173"/>
      <c r="BH388" s="173"/>
      <c r="BI388" s="173"/>
      <c r="BJ388" s="173"/>
      <c r="BK388" s="173"/>
      <c r="BL388" s="173"/>
      <c r="BM388" s="173"/>
      <c r="BN388" s="173"/>
      <c r="BO388" s="173"/>
      <c r="BP388" s="173"/>
      <c r="BQ388" s="173"/>
      <c r="BR388" s="173"/>
      <c r="BS388" s="173"/>
      <c r="BT388" s="173"/>
      <c r="BU388" s="173"/>
      <c r="BV388" s="173"/>
      <c r="BW388" s="173"/>
      <c r="BX388" s="173"/>
      <c r="BY388" s="173"/>
      <c r="BZ388" s="173"/>
      <c r="CA388" s="173"/>
      <c r="CB388" s="173"/>
      <c r="CC388" s="173"/>
      <c r="CD388" s="173"/>
      <c r="CE388" s="173"/>
      <c r="CF388" s="173"/>
      <c r="CG388" s="173"/>
      <c r="CH388" s="173"/>
      <c r="CI388" s="173"/>
      <c r="CJ388" s="173"/>
      <c r="CK388" s="173"/>
      <c r="CL388" s="173"/>
      <c r="CM388" s="173"/>
      <c r="CN388" s="173"/>
      <c r="CO388" s="173"/>
      <c r="CP388" s="173"/>
      <c r="CQ388" s="173"/>
      <c r="CR388" s="173"/>
      <c r="CS388" s="173"/>
      <c r="CT388" s="173"/>
      <c r="CU388" s="173"/>
      <c r="CV388" s="173"/>
      <c r="CW388" s="173"/>
      <c r="CX388" s="173"/>
      <c r="CY388" s="148"/>
      <c r="CZ388" s="148"/>
      <c r="DA388" s="148"/>
      <c r="DB388" s="148"/>
      <c r="DC388" s="148"/>
      <c r="DD388" s="148"/>
      <c r="DE388" s="148"/>
      <c r="DF388" s="148"/>
      <c r="DG388" s="148"/>
      <c r="DH388" s="148"/>
      <c r="DI388" s="148"/>
      <c r="DJ388" s="148"/>
      <c r="DK388" s="148"/>
      <c r="DL388" s="148"/>
      <c r="DM388" s="148"/>
      <c r="DN388" s="148"/>
      <c r="DO388" s="148"/>
      <c r="DP388" s="148"/>
      <c r="DQ388" s="148"/>
      <c r="DR388" s="148"/>
      <c r="DS388" s="148"/>
      <c r="DT388" s="148"/>
      <c r="DU388" s="148"/>
      <c r="DV388" s="148"/>
      <c r="DW388" s="148"/>
      <c r="DX388" s="148"/>
      <c r="DY388" s="148"/>
      <c r="DZ388" s="148"/>
      <c r="EA388" s="148"/>
      <c r="EB388" s="148"/>
      <c r="EC388" s="148"/>
      <c r="ED388" s="148"/>
      <c r="EE388" s="148"/>
      <c r="EF388" s="148"/>
      <c r="EG388" s="148"/>
      <c r="EH388" s="148"/>
      <c r="EI388" s="148"/>
      <c r="EJ388" s="148"/>
      <c r="EK388" s="148"/>
      <c r="EL388" s="148"/>
      <c r="EM388" s="148"/>
      <c r="EN388" s="148"/>
      <c r="EO388" s="148"/>
      <c r="EP388" s="148"/>
      <c r="EQ388" s="148"/>
      <c r="ER388" s="148"/>
      <c r="ES388" s="151"/>
      <c r="ET388" s="151"/>
      <c r="EU388" s="151"/>
      <c r="EV388" s="151"/>
      <c r="EW388" s="151"/>
      <c r="EX388" s="151"/>
      <c r="EY388" s="151"/>
      <c r="EZ388" s="151"/>
      <c r="FA388" s="151"/>
      <c r="FB388" s="151"/>
      <c r="FC388" s="151"/>
      <c r="FD388" s="151"/>
      <c r="FE388" s="151"/>
      <c r="FF388" s="151"/>
      <c r="FG388" s="151"/>
      <c r="FH388" s="151"/>
      <c r="FI388" s="151"/>
      <c r="FJ388" s="151"/>
      <c r="FK388" s="151"/>
      <c r="FL388" s="151"/>
      <c r="FM388" s="151"/>
      <c r="FN388" s="151"/>
      <c r="FO388" s="151"/>
      <c r="FP388" s="151"/>
      <c r="FQ388" s="151"/>
      <c r="FR388" s="151"/>
      <c r="FS388" s="151"/>
      <c r="FT388" s="151"/>
      <c r="FU388" s="151"/>
      <c r="FV388" s="151"/>
      <c r="FW388" s="151"/>
      <c r="FX388" s="151"/>
      <c r="FY388" s="151"/>
      <c r="FZ388" s="151"/>
      <c r="GA388" s="151"/>
      <c r="GB388" s="151"/>
      <c r="GC388" s="151"/>
      <c r="GD388" s="151"/>
      <c r="GE388" s="151"/>
      <c r="GF388" s="151"/>
      <c r="GG388" s="152"/>
    </row>
    <row r="389" spans="1:189" x14ac:dyDescent="0.35">
      <c r="A389" s="268"/>
      <c r="B389" s="221"/>
      <c r="C389" s="221"/>
      <c r="D389" s="222"/>
      <c r="E389" s="221"/>
      <c r="F389" s="221"/>
      <c r="G389" s="223"/>
      <c r="H389" s="224"/>
      <c r="I389" s="225"/>
      <c r="J389" s="225"/>
      <c r="K389" s="225"/>
      <c r="L389" s="226"/>
      <c r="M389" s="226"/>
      <c r="N389" s="226"/>
      <c r="O389" s="226"/>
      <c r="P389" s="226"/>
      <c r="Q389" s="227"/>
      <c r="R389" s="228"/>
      <c r="S389" s="228"/>
      <c r="T389" s="228"/>
      <c r="U389" s="191">
        <f t="shared" si="483"/>
        <v>0</v>
      </c>
      <c r="V389" s="230"/>
      <c r="W389" s="231"/>
      <c r="X389" s="46"/>
      <c r="Y389" s="167">
        <f t="shared" si="484"/>
        <v>0</v>
      </c>
      <c r="Z389" s="167">
        <f t="shared" si="485"/>
        <v>0</v>
      </c>
      <c r="AA389" s="167">
        <f t="shared" si="486"/>
        <v>0</v>
      </c>
      <c r="AB389" s="167">
        <f t="shared" si="487"/>
        <v>0</v>
      </c>
      <c r="AC389" s="167">
        <f t="shared" si="488"/>
        <v>0</v>
      </c>
      <c r="AD389" s="167">
        <f t="shared" si="489"/>
        <v>0</v>
      </c>
      <c r="AF389" s="47">
        <f t="shared" si="490"/>
        <v>0</v>
      </c>
      <c r="AG389" s="202" t="str">
        <f t="shared" si="491"/>
        <v xml:space="preserve"> </v>
      </c>
      <c r="AH389" s="172"/>
      <c r="AI389" s="173"/>
      <c r="AJ389" s="173"/>
      <c r="AK389" s="173"/>
      <c r="AL389" s="173"/>
      <c r="AM389" s="173"/>
      <c r="AN389" s="173"/>
      <c r="AO389" s="173"/>
      <c r="AP389" s="173"/>
      <c r="AQ389" s="173"/>
      <c r="AR389" s="173"/>
      <c r="AS389" s="173"/>
      <c r="AT389" s="173"/>
      <c r="AU389" s="173"/>
      <c r="AV389" s="173"/>
      <c r="AW389" s="173"/>
      <c r="AX389" s="173"/>
      <c r="AY389" s="173"/>
      <c r="AZ389" s="173"/>
      <c r="BA389" s="173"/>
      <c r="BB389" s="173"/>
      <c r="BC389" s="173"/>
      <c r="BD389" s="173"/>
      <c r="BE389" s="173"/>
      <c r="BF389" s="173"/>
      <c r="BG389" s="173"/>
      <c r="BH389" s="173"/>
      <c r="BI389" s="173"/>
      <c r="BJ389" s="173"/>
      <c r="BK389" s="173"/>
      <c r="BL389" s="173"/>
      <c r="BM389" s="173"/>
      <c r="BN389" s="173"/>
      <c r="BO389" s="173"/>
      <c r="BP389" s="173"/>
      <c r="BQ389" s="173"/>
      <c r="BR389" s="173"/>
      <c r="BS389" s="173"/>
      <c r="BT389" s="173"/>
      <c r="BU389" s="173"/>
      <c r="BV389" s="173"/>
      <c r="BW389" s="173"/>
      <c r="BX389" s="173"/>
      <c r="BY389" s="173"/>
      <c r="BZ389" s="173"/>
      <c r="CA389" s="173"/>
      <c r="CB389" s="173"/>
      <c r="CC389" s="173"/>
      <c r="CD389" s="173"/>
      <c r="CE389" s="173"/>
      <c r="CF389" s="173"/>
      <c r="CG389" s="173"/>
      <c r="CH389" s="173"/>
      <c r="CI389" s="173"/>
      <c r="CJ389" s="173"/>
      <c r="CK389" s="173"/>
      <c r="CL389" s="173"/>
      <c r="CM389" s="173"/>
      <c r="CN389" s="173"/>
      <c r="CO389" s="173"/>
      <c r="CP389" s="173"/>
      <c r="CQ389" s="173"/>
      <c r="CR389" s="173"/>
      <c r="CS389" s="173"/>
      <c r="CT389" s="173"/>
      <c r="CU389" s="173"/>
      <c r="CV389" s="173"/>
      <c r="CW389" s="173"/>
      <c r="CX389" s="173"/>
      <c r="CY389" s="148"/>
      <c r="CZ389" s="148"/>
      <c r="DA389" s="148"/>
      <c r="DB389" s="148"/>
      <c r="DC389" s="148"/>
      <c r="DD389" s="148"/>
      <c r="DE389" s="148"/>
      <c r="DF389" s="148"/>
      <c r="DG389" s="148"/>
      <c r="DH389" s="148"/>
      <c r="DI389" s="148"/>
      <c r="DJ389" s="148"/>
      <c r="DK389" s="148"/>
      <c r="DL389" s="148"/>
      <c r="DM389" s="148"/>
      <c r="DN389" s="148"/>
      <c r="DO389" s="148"/>
      <c r="DP389" s="148"/>
      <c r="DQ389" s="148"/>
      <c r="DR389" s="148"/>
      <c r="DS389" s="148"/>
      <c r="DT389" s="148"/>
      <c r="DU389" s="148"/>
      <c r="DV389" s="148"/>
      <c r="DW389" s="148"/>
      <c r="DX389" s="148"/>
      <c r="DY389" s="148"/>
      <c r="DZ389" s="148"/>
      <c r="EA389" s="148"/>
      <c r="EB389" s="148"/>
      <c r="EC389" s="148"/>
      <c r="ED389" s="148"/>
      <c r="EE389" s="148"/>
      <c r="EF389" s="148"/>
      <c r="EG389" s="148"/>
      <c r="EH389" s="148"/>
      <c r="EI389" s="148"/>
      <c r="EJ389" s="148"/>
      <c r="EK389" s="148"/>
      <c r="EL389" s="148"/>
      <c r="EM389" s="148"/>
      <c r="EN389" s="148"/>
      <c r="EO389" s="148"/>
      <c r="EP389" s="148"/>
      <c r="EQ389" s="148"/>
      <c r="ER389" s="148"/>
      <c r="ES389" s="151"/>
      <c r="ET389" s="151"/>
      <c r="EU389" s="151"/>
      <c r="EV389" s="151"/>
      <c r="EW389" s="151"/>
      <c r="EX389" s="151"/>
      <c r="EY389" s="151"/>
      <c r="EZ389" s="151"/>
      <c r="FA389" s="151"/>
      <c r="FB389" s="151"/>
      <c r="FC389" s="151"/>
      <c r="FD389" s="151"/>
      <c r="FE389" s="151"/>
      <c r="FF389" s="151"/>
      <c r="FG389" s="151"/>
      <c r="FH389" s="151"/>
      <c r="FI389" s="151"/>
      <c r="FJ389" s="151"/>
      <c r="FK389" s="151"/>
      <c r="FL389" s="151"/>
      <c r="FM389" s="151"/>
      <c r="FN389" s="151"/>
      <c r="FO389" s="151"/>
      <c r="FP389" s="151"/>
      <c r="FQ389" s="151"/>
      <c r="FR389" s="151"/>
      <c r="FS389" s="151"/>
      <c r="FT389" s="151"/>
      <c r="FU389" s="151"/>
      <c r="FV389" s="151"/>
      <c r="FW389" s="151"/>
      <c r="FX389" s="151"/>
      <c r="FY389" s="151"/>
      <c r="FZ389" s="151"/>
      <c r="GA389" s="151"/>
      <c r="GB389" s="151"/>
      <c r="GC389" s="151"/>
      <c r="GD389" s="151"/>
      <c r="GE389" s="151"/>
      <c r="GF389" s="151"/>
      <c r="GG389" s="152"/>
    </row>
    <row r="390" spans="1:189" x14ac:dyDescent="0.35">
      <c r="A390" s="268"/>
      <c r="B390" s="221"/>
      <c r="C390" s="221"/>
      <c r="D390" s="222"/>
      <c r="E390" s="221"/>
      <c r="F390" s="221"/>
      <c r="G390" s="223"/>
      <c r="H390" s="224"/>
      <c r="I390" s="225"/>
      <c r="J390" s="225"/>
      <c r="K390" s="225"/>
      <c r="L390" s="226"/>
      <c r="M390" s="226"/>
      <c r="N390" s="226"/>
      <c r="O390" s="226"/>
      <c r="P390" s="226"/>
      <c r="Q390" s="227"/>
      <c r="R390" s="228"/>
      <c r="S390" s="228"/>
      <c r="T390" s="228"/>
      <c r="U390" s="191">
        <f t="shared" si="483"/>
        <v>0</v>
      </c>
      <c r="V390" s="230"/>
      <c r="W390" s="231"/>
      <c r="X390" s="46"/>
      <c r="Y390" s="167">
        <f t="shared" si="484"/>
        <v>0</v>
      </c>
      <c r="Z390" s="167">
        <f t="shared" si="485"/>
        <v>0</v>
      </c>
      <c r="AA390" s="167">
        <f t="shared" si="486"/>
        <v>0</v>
      </c>
      <c r="AB390" s="167">
        <f t="shared" si="487"/>
        <v>0</v>
      </c>
      <c r="AC390" s="167">
        <f t="shared" si="488"/>
        <v>0</v>
      </c>
      <c r="AD390" s="167">
        <f t="shared" si="489"/>
        <v>0</v>
      </c>
      <c r="AF390" s="47">
        <f t="shared" si="490"/>
        <v>0</v>
      </c>
      <c r="AG390" s="202" t="str">
        <f t="shared" si="491"/>
        <v xml:space="preserve"> </v>
      </c>
      <c r="AH390" s="172"/>
      <c r="AI390" s="173"/>
      <c r="AJ390" s="173"/>
      <c r="AK390" s="173"/>
      <c r="AL390" s="173"/>
      <c r="AM390" s="173"/>
      <c r="AN390" s="173"/>
      <c r="AO390" s="173"/>
      <c r="AP390" s="173"/>
      <c r="AQ390" s="173"/>
      <c r="AR390" s="173"/>
      <c r="AS390" s="173"/>
      <c r="AT390" s="173"/>
      <c r="AU390" s="173"/>
      <c r="AV390" s="173"/>
      <c r="AW390" s="173"/>
      <c r="AX390" s="173"/>
      <c r="AY390" s="173"/>
      <c r="AZ390" s="173"/>
      <c r="BA390" s="173"/>
      <c r="BB390" s="173"/>
      <c r="BC390" s="173"/>
      <c r="BD390" s="173"/>
      <c r="BE390" s="173"/>
      <c r="BF390" s="173"/>
      <c r="BG390" s="173"/>
      <c r="BH390" s="173"/>
      <c r="BI390" s="173"/>
      <c r="BJ390" s="173"/>
      <c r="BK390" s="173"/>
      <c r="BL390" s="173"/>
      <c r="BM390" s="173"/>
      <c r="BN390" s="173"/>
      <c r="BO390" s="173"/>
      <c r="BP390" s="173"/>
      <c r="BQ390" s="173"/>
      <c r="BR390" s="173"/>
      <c r="BS390" s="173"/>
      <c r="BT390" s="173"/>
      <c r="BU390" s="173"/>
      <c r="BV390" s="173"/>
      <c r="BW390" s="173"/>
      <c r="BX390" s="173"/>
      <c r="BY390" s="173"/>
      <c r="BZ390" s="173"/>
      <c r="CA390" s="173"/>
      <c r="CB390" s="173"/>
      <c r="CC390" s="173"/>
      <c r="CD390" s="173"/>
      <c r="CE390" s="173"/>
      <c r="CF390" s="173"/>
      <c r="CG390" s="173"/>
      <c r="CH390" s="173"/>
      <c r="CI390" s="173"/>
      <c r="CJ390" s="173"/>
      <c r="CK390" s="173"/>
      <c r="CL390" s="173"/>
      <c r="CM390" s="173"/>
      <c r="CN390" s="173"/>
      <c r="CO390" s="173"/>
      <c r="CP390" s="173"/>
      <c r="CQ390" s="173"/>
      <c r="CR390" s="173"/>
      <c r="CS390" s="173"/>
      <c r="CT390" s="173"/>
      <c r="CU390" s="173"/>
      <c r="CV390" s="173"/>
      <c r="CW390" s="173"/>
      <c r="CX390" s="173"/>
      <c r="CY390" s="148"/>
      <c r="CZ390" s="148"/>
      <c r="DA390" s="148"/>
      <c r="DB390" s="148"/>
      <c r="DC390" s="148"/>
      <c r="DD390" s="148"/>
      <c r="DE390" s="148"/>
      <c r="DF390" s="148"/>
      <c r="DG390" s="148"/>
      <c r="DH390" s="148"/>
      <c r="DI390" s="148"/>
      <c r="DJ390" s="148"/>
      <c r="DK390" s="148"/>
      <c r="DL390" s="148"/>
      <c r="DM390" s="148"/>
      <c r="DN390" s="148"/>
      <c r="DO390" s="148"/>
      <c r="DP390" s="148"/>
      <c r="DQ390" s="148"/>
      <c r="DR390" s="148"/>
      <c r="DS390" s="148"/>
      <c r="DT390" s="148"/>
      <c r="DU390" s="148"/>
      <c r="DV390" s="148"/>
      <c r="DW390" s="148"/>
      <c r="DX390" s="148"/>
      <c r="DY390" s="148"/>
      <c r="DZ390" s="148"/>
      <c r="EA390" s="148"/>
      <c r="EB390" s="148"/>
      <c r="EC390" s="148"/>
      <c r="ED390" s="148"/>
      <c r="EE390" s="148"/>
      <c r="EF390" s="148"/>
      <c r="EG390" s="148"/>
      <c r="EH390" s="148"/>
      <c r="EI390" s="148"/>
      <c r="EJ390" s="148"/>
      <c r="EK390" s="148"/>
      <c r="EL390" s="148"/>
      <c r="EM390" s="148"/>
      <c r="EN390" s="148"/>
      <c r="EO390" s="148"/>
      <c r="EP390" s="148"/>
      <c r="EQ390" s="148"/>
      <c r="ER390" s="148"/>
      <c r="ES390" s="151"/>
      <c r="ET390" s="151"/>
      <c r="EU390" s="151"/>
      <c r="EV390" s="151"/>
      <c r="EW390" s="151"/>
      <c r="EX390" s="151"/>
      <c r="EY390" s="151"/>
      <c r="EZ390" s="151"/>
      <c r="FA390" s="151"/>
      <c r="FB390" s="151"/>
      <c r="FC390" s="151"/>
      <c r="FD390" s="151"/>
      <c r="FE390" s="151"/>
      <c r="FF390" s="151"/>
      <c r="FG390" s="151"/>
      <c r="FH390" s="151"/>
      <c r="FI390" s="151"/>
      <c r="FJ390" s="151"/>
      <c r="FK390" s="151"/>
      <c r="FL390" s="151"/>
      <c r="FM390" s="151"/>
      <c r="FN390" s="151"/>
      <c r="FO390" s="151"/>
      <c r="FP390" s="151"/>
      <c r="FQ390" s="151"/>
      <c r="FR390" s="151"/>
      <c r="FS390" s="151"/>
      <c r="FT390" s="151"/>
      <c r="FU390" s="151"/>
      <c r="FV390" s="151"/>
      <c r="FW390" s="151"/>
      <c r="FX390" s="151"/>
      <c r="FY390" s="151"/>
      <c r="FZ390" s="151"/>
      <c r="GA390" s="151"/>
      <c r="GB390" s="151"/>
      <c r="GC390" s="151"/>
      <c r="GD390" s="151"/>
      <c r="GE390" s="151"/>
      <c r="GF390" s="151"/>
      <c r="GG390" s="152"/>
    </row>
    <row r="391" spans="1:189" x14ac:dyDescent="0.35">
      <c r="A391" s="268"/>
      <c r="B391" s="221"/>
      <c r="C391" s="221"/>
      <c r="D391" s="222"/>
      <c r="E391" s="221"/>
      <c r="F391" s="221"/>
      <c r="G391" s="223"/>
      <c r="H391" s="224"/>
      <c r="I391" s="225"/>
      <c r="J391" s="225"/>
      <c r="K391" s="225"/>
      <c r="L391" s="226"/>
      <c r="M391" s="226"/>
      <c r="N391" s="226"/>
      <c r="O391" s="226"/>
      <c r="P391" s="226"/>
      <c r="Q391" s="227"/>
      <c r="R391" s="228"/>
      <c r="S391" s="228"/>
      <c r="T391" s="228"/>
      <c r="U391" s="191">
        <f t="shared" si="483"/>
        <v>0</v>
      </c>
      <c r="V391" s="230"/>
      <c r="W391" s="231"/>
      <c r="X391" s="46"/>
      <c r="Y391" s="167">
        <f t="shared" si="484"/>
        <v>0</v>
      </c>
      <c r="Z391" s="167">
        <f t="shared" si="485"/>
        <v>0</v>
      </c>
      <c r="AA391" s="167">
        <f t="shared" si="486"/>
        <v>0</v>
      </c>
      <c r="AB391" s="167">
        <f t="shared" si="487"/>
        <v>0</v>
      </c>
      <c r="AC391" s="167">
        <f t="shared" si="488"/>
        <v>0</v>
      </c>
      <c r="AD391" s="167">
        <f t="shared" si="489"/>
        <v>0</v>
      </c>
      <c r="AF391" s="47">
        <f t="shared" si="490"/>
        <v>0</v>
      </c>
      <c r="AG391" s="202" t="str">
        <f t="shared" si="491"/>
        <v xml:space="preserve"> </v>
      </c>
      <c r="AH391" s="172"/>
      <c r="AI391" s="173"/>
      <c r="AJ391" s="173"/>
      <c r="AK391" s="173"/>
      <c r="AL391" s="173"/>
      <c r="AM391" s="173"/>
      <c r="AN391" s="173"/>
      <c r="AO391" s="173"/>
      <c r="AP391" s="173"/>
      <c r="AQ391" s="173"/>
      <c r="AR391" s="173"/>
      <c r="AS391" s="173"/>
      <c r="AT391" s="173"/>
      <c r="AU391" s="173"/>
      <c r="AV391" s="173"/>
      <c r="AW391" s="173"/>
      <c r="AX391" s="173"/>
      <c r="AY391" s="173"/>
      <c r="AZ391" s="173"/>
      <c r="BA391" s="173"/>
      <c r="BB391" s="173"/>
      <c r="BC391" s="173"/>
      <c r="BD391" s="173"/>
      <c r="BE391" s="173"/>
      <c r="BF391" s="173"/>
      <c r="BG391" s="173"/>
      <c r="BH391" s="173"/>
      <c r="BI391" s="173"/>
      <c r="BJ391" s="173"/>
      <c r="BK391" s="173"/>
      <c r="BL391" s="173"/>
      <c r="BM391" s="173"/>
      <c r="BN391" s="173"/>
      <c r="BO391" s="173"/>
      <c r="BP391" s="173"/>
      <c r="BQ391" s="173"/>
      <c r="BR391" s="173"/>
      <c r="BS391" s="173"/>
      <c r="BT391" s="173"/>
      <c r="BU391" s="173"/>
      <c r="BV391" s="173"/>
      <c r="BW391" s="173"/>
      <c r="BX391" s="173"/>
      <c r="BY391" s="173"/>
      <c r="BZ391" s="173"/>
      <c r="CA391" s="173"/>
      <c r="CB391" s="173"/>
      <c r="CC391" s="173"/>
      <c r="CD391" s="173"/>
      <c r="CE391" s="173"/>
      <c r="CF391" s="173"/>
      <c r="CG391" s="173"/>
      <c r="CH391" s="173"/>
      <c r="CI391" s="173"/>
      <c r="CJ391" s="173"/>
      <c r="CK391" s="173"/>
      <c r="CL391" s="173"/>
      <c r="CM391" s="173"/>
      <c r="CN391" s="173"/>
      <c r="CO391" s="173"/>
      <c r="CP391" s="173"/>
      <c r="CQ391" s="173"/>
      <c r="CR391" s="173"/>
      <c r="CS391" s="173"/>
      <c r="CT391" s="173"/>
      <c r="CU391" s="173"/>
      <c r="CV391" s="173"/>
      <c r="CW391" s="173"/>
      <c r="CX391" s="173"/>
      <c r="CY391" s="148"/>
      <c r="CZ391" s="148"/>
      <c r="DA391" s="148"/>
      <c r="DB391" s="148"/>
      <c r="DC391" s="148"/>
      <c r="DD391" s="148"/>
      <c r="DE391" s="148"/>
      <c r="DF391" s="148"/>
      <c r="DG391" s="148"/>
      <c r="DH391" s="148"/>
      <c r="DI391" s="148"/>
      <c r="DJ391" s="148"/>
      <c r="DK391" s="148"/>
      <c r="DL391" s="148"/>
      <c r="DM391" s="148"/>
      <c r="DN391" s="148"/>
      <c r="DO391" s="148"/>
      <c r="DP391" s="148"/>
      <c r="DQ391" s="148"/>
      <c r="DR391" s="148"/>
      <c r="DS391" s="148"/>
      <c r="DT391" s="148"/>
      <c r="DU391" s="148"/>
      <c r="DV391" s="148"/>
      <c r="DW391" s="148"/>
      <c r="DX391" s="148"/>
      <c r="DY391" s="148"/>
      <c r="DZ391" s="148"/>
      <c r="EA391" s="148"/>
      <c r="EB391" s="148"/>
      <c r="EC391" s="148"/>
      <c r="ED391" s="148"/>
      <c r="EE391" s="148"/>
      <c r="EF391" s="148"/>
      <c r="EG391" s="148"/>
      <c r="EH391" s="148"/>
      <c r="EI391" s="148"/>
      <c r="EJ391" s="148"/>
      <c r="EK391" s="148"/>
      <c r="EL391" s="148"/>
      <c r="EM391" s="148"/>
      <c r="EN391" s="148"/>
      <c r="EO391" s="148"/>
      <c r="EP391" s="148"/>
      <c r="EQ391" s="148"/>
      <c r="ER391" s="148"/>
      <c r="ES391" s="148"/>
      <c r="ET391" s="148"/>
      <c r="EU391" s="148"/>
      <c r="EV391" s="148"/>
      <c r="EW391" s="148"/>
      <c r="EX391" s="148"/>
      <c r="EY391" s="148"/>
      <c r="EZ391" s="148"/>
      <c r="FA391" s="148"/>
      <c r="FB391" s="148"/>
      <c r="FC391" s="148"/>
      <c r="FD391" s="148"/>
      <c r="FE391" s="148"/>
      <c r="FF391" s="148"/>
      <c r="FG391" s="148"/>
      <c r="FH391" s="148"/>
      <c r="FI391" s="148"/>
      <c r="FJ391" s="148"/>
      <c r="FK391" s="148"/>
      <c r="FL391" s="148"/>
      <c r="FM391" s="148"/>
      <c r="FN391" s="148"/>
      <c r="FO391" s="148"/>
      <c r="FP391" s="148"/>
      <c r="FQ391" s="148"/>
      <c r="FR391" s="148"/>
      <c r="FS391" s="148"/>
      <c r="FT391" s="148"/>
      <c r="FU391" s="148"/>
      <c r="FV391" s="148"/>
      <c r="FW391" s="148"/>
      <c r="FX391" s="148"/>
      <c r="FY391" s="148"/>
      <c r="FZ391" s="148"/>
      <c r="GA391" s="148"/>
      <c r="GB391" s="148"/>
      <c r="GC391" s="148"/>
      <c r="GD391" s="148"/>
      <c r="GE391" s="148"/>
      <c r="GF391" s="148"/>
      <c r="GG391" s="149"/>
    </row>
    <row r="392" spans="1:189" x14ac:dyDescent="0.35">
      <c r="A392" s="268"/>
      <c r="B392" s="221"/>
      <c r="C392" s="221"/>
      <c r="D392" s="222"/>
      <c r="E392" s="221"/>
      <c r="F392" s="221"/>
      <c r="G392" s="223"/>
      <c r="H392" s="224"/>
      <c r="I392" s="225"/>
      <c r="J392" s="225"/>
      <c r="K392" s="225"/>
      <c r="L392" s="226"/>
      <c r="M392" s="226"/>
      <c r="N392" s="226"/>
      <c r="O392" s="226"/>
      <c r="P392" s="226"/>
      <c r="Q392" s="227"/>
      <c r="R392" s="228"/>
      <c r="S392" s="228"/>
      <c r="T392" s="228"/>
      <c r="U392" s="191">
        <f t="shared" si="483"/>
        <v>0</v>
      </c>
      <c r="V392" s="230"/>
      <c r="W392" s="231"/>
      <c r="X392" s="46"/>
      <c r="Y392" s="167">
        <f t="shared" si="484"/>
        <v>0</v>
      </c>
      <c r="Z392" s="167">
        <f t="shared" si="485"/>
        <v>0</v>
      </c>
      <c r="AA392" s="167">
        <f t="shared" si="486"/>
        <v>0</v>
      </c>
      <c r="AB392" s="167">
        <f t="shared" si="487"/>
        <v>0</v>
      </c>
      <c r="AC392" s="167">
        <f t="shared" si="488"/>
        <v>0</v>
      </c>
      <c r="AD392" s="167">
        <f t="shared" si="489"/>
        <v>0</v>
      </c>
      <c r="AF392" s="47">
        <f t="shared" si="490"/>
        <v>0</v>
      </c>
      <c r="AG392" s="202" t="str">
        <f t="shared" si="491"/>
        <v xml:space="preserve"> </v>
      </c>
      <c r="AH392" s="172"/>
      <c r="AI392" s="173"/>
      <c r="AJ392" s="173"/>
      <c r="AK392" s="173"/>
      <c r="AL392" s="173"/>
      <c r="AM392" s="173"/>
      <c r="AN392" s="173"/>
      <c r="AO392" s="173"/>
      <c r="AP392" s="173"/>
      <c r="AQ392" s="173"/>
      <c r="AR392" s="173"/>
      <c r="AS392" s="173"/>
      <c r="AT392" s="173"/>
      <c r="AU392" s="173"/>
      <c r="AV392" s="173"/>
      <c r="AW392" s="173"/>
      <c r="AX392" s="173"/>
      <c r="AY392" s="173"/>
      <c r="AZ392" s="173"/>
      <c r="BA392" s="173"/>
      <c r="BB392" s="173"/>
      <c r="BC392" s="173"/>
      <c r="BD392" s="173"/>
      <c r="BE392" s="173"/>
      <c r="BF392" s="173"/>
      <c r="BG392" s="173"/>
      <c r="BH392" s="173"/>
      <c r="BI392" s="173"/>
      <c r="BJ392" s="173"/>
      <c r="BK392" s="173"/>
      <c r="BL392" s="173"/>
      <c r="BM392" s="173"/>
      <c r="BN392" s="173"/>
      <c r="BO392" s="173"/>
      <c r="BP392" s="173"/>
      <c r="BQ392" s="173"/>
      <c r="BR392" s="173"/>
      <c r="BS392" s="173"/>
      <c r="BT392" s="173"/>
      <c r="BU392" s="173"/>
      <c r="BV392" s="173"/>
      <c r="BW392" s="173"/>
      <c r="BX392" s="173"/>
      <c r="BY392" s="173"/>
      <c r="BZ392" s="173"/>
      <c r="CA392" s="173"/>
      <c r="CB392" s="173"/>
      <c r="CC392" s="173"/>
      <c r="CD392" s="173"/>
      <c r="CE392" s="173"/>
      <c r="CF392" s="173"/>
      <c r="CG392" s="173"/>
      <c r="CH392" s="173"/>
      <c r="CI392" s="173"/>
      <c r="CJ392" s="173"/>
      <c r="CK392" s="173"/>
      <c r="CL392" s="173"/>
      <c r="CM392" s="173"/>
      <c r="CN392" s="173"/>
      <c r="CO392" s="173"/>
      <c r="CP392" s="173"/>
      <c r="CQ392" s="173"/>
      <c r="CR392" s="173"/>
      <c r="CS392" s="173"/>
      <c r="CT392" s="173"/>
      <c r="CU392" s="173"/>
      <c r="CV392" s="173"/>
      <c r="CW392" s="173"/>
      <c r="CX392" s="173"/>
      <c r="CY392" s="148"/>
      <c r="CZ392" s="148"/>
      <c r="DA392" s="148"/>
      <c r="DB392" s="148"/>
      <c r="DC392" s="148"/>
      <c r="DD392" s="148"/>
      <c r="DE392" s="148"/>
      <c r="DF392" s="148"/>
      <c r="DG392" s="148"/>
      <c r="DH392" s="148"/>
      <c r="DI392" s="148"/>
      <c r="DJ392" s="148"/>
      <c r="DK392" s="148"/>
      <c r="DL392" s="148"/>
      <c r="DM392" s="148"/>
      <c r="DN392" s="148"/>
      <c r="DO392" s="148"/>
      <c r="DP392" s="148"/>
      <c r="DQ392" s="148"/>
      <c r="DR392" s="148"/>
      <c r="DS392" s="148"/>
      <c r="DT392" s="148"/>
      <c r="DU392" s="148"/>
      <c r="DV392" s="148"/>
      <c r="DW392" s="148"/>
      <c r="DX392" s="148"/>
      <c r="DY392" s="148"/>
      <c r="DZ392" s="148"/>
      <c r="EA392" s="148"/>
      <c r="EB392" s="148"/>
      <c r="EC392" s="148"/>
      <c r="ED392" s="148"/>
      <c r="EE392" s="148"/>
      <c r="EF392" s="148"/>
      <c r="EG392" s="148"/>
      <c r="EH392" s="148"/>
      <c r="EI392" s="148"/>
      <c r="EJ392" s="148"/>
      <c r="EK392" s="148"/>
      <c r="EL392" s="148"/>
      <c r="EM392" s="148"/>
      <c r="EN392" s="148"/>
      <c r="EO392" s="148"/>
      <c r="EP392" s="148"/>
      <c r="EQ392" s="148"/>
      <c r="ER392" s="148"/>
      <c r="ES392" s="151"/>
      <c r="ET392" s="151"/>
      <c r="EU392" s="151"/>
      <c r="EV392" s="151"/>
      <c r="EW392" s="151"/>
      <c r="EX392" s="151"/>
      <c r="EY392" s="151"/>
      <c r="EZ392" s="151"/>
      <c r="FA392" s="151"/>
      <c r="FB392" s="151"/>
      <c r="FC392" s="151"/>
      <c r="FD392" s="151"/>
      <c r="FE392" s="151"/>
      <c r="FF392" s="151"/>
      <c r="FG392" s="151"/>
      <c r="FH392" s="151"/>
      <c r="FI392" s="151"/>
      <c r="FJ392" s="151"/>
      <c r="FK392" s="151"/>
      <c r="FL392" s="151"/>
      <c r="FM392" s="151"/>
      <c r="FN392" s="151"/>
      <c r="FO392" s="151"/>
      <c r="FP392" s="151"/>
      <c r="FQ392" s="151"/>
      <c r="FR392" s="151"/>
      <c r="FS392" s="151"/>
      <c r="FT392" s="151"/>
      <c r="FU392" s="151"/>
      <c r="FV392" s="151"/>
      <c r="FW392" s="151"/>
      <c r="FX392" s="151"/>
      <c r="FY392" s="151"/>
      <c r="FZ392" s="151"/>
      <c r="GA392" s="151"/>
      <c r="GB392" s="151"/>
      <c r="GC392" s="151"/>
      <c r="GD392" s="151"/>
      <c r="GE392" s="151"/>
      <c r="GF392" s="151"/>
      <c r="GG392" s="152"/>
    </row>
    <row r="393" spans="1:189" x14ac:dyDescent="0.35">
      <c r="A393" s="268"/>
      <c r="B393" s="221"/>
      <c r="C393" s="221"/>
      <c r="D393" s="222"/>
      <c r="E393" s="221"/>
      <c r="F393" s="221"/>
      <c r="G393" s="223"/>
      <c r="H393" s="224"/>
      <c r="I393" s="225"/>
      <c r="J393" s="225"/>
      <c r="K393" s="225"/>
      <c r="L393" s="226"/>
      <c r="M393" s="226"/>
      <c r="N393" s="226"/>
      <c r="O393" s="226"/>
      <c r="P393" s="226"/>
      <c r="Q393" s="227"/>
      <c r="R393" s="228"/>
      <c r="S393" s="228"/>
      <c r="T393" s="228"/>
      <c r="U393" s="191">
        <f t="shared" si="483"/>
        <v>0</v>
      </c>
      <c r="V393" s="230"/>
      <c r="W393" s="231"/>
      <c r="X393" s="46"/>
      <c r="Y393" s="167">
        <f t="shared" si="484"/>
        <v>0</v>
      </c>
      <c r="Z393" s="167">
        <f t="shared" si="485"/>
        <v>0</v>
      </c>
      <c r="AA393" s="167">
        <f t="shared" si="486"/>
        <v>0</v>
      </c>
      <c r="AB393" s="167">
        <f t="shared" si="487"/>
        <v>0</v>
      </c>
      <c r="AC393" s="167">
        <f t="shared" si="488"/>
        <v>0</v>
      </c>
      <c r="AD393" s="167">
        <f t="shared" si="489"/>
        <v>0</v>
      </c>
      <c r="AF393" s="47">
        <f t="shared" si="490"/>
        <v>0</v>
      </c>
      <c r="AG393" s="202" t="str">
        <f t="shared" si="491"/>
        <v xml:space="preserve"> </v>
      </c>
      <c r="AH393" s="172"/>
      <c r="AI393" s="173"/>
      <c r="AJ393" s="173"/>
      <c r="AK393" s="173"/>
      <c r="AL393" s="173"/>
      <c r="AM393" s="173"/>
      <c r="AN393" s="173"/>
      <c r="AO393" s="173"/>
      <c r="AP393" s="173"/>
      <c r="AQ393" s="173"/>
      <c r="AR393" s="173"/>
      <c r="AS393" s="173"/>
      <c r="AT393" s="173"/>
      <c r="AU393" s="173"/>
      <c r="AV393" s="173"/>
      <c r="AW393" s="173"/>
      <c r="AX393" s="173"/>
      <c r="AY393" s="173"/>
      <c r="AZ393" s="173"/>
      <c r="BA393" s="173"/>
      <c r="BB393" s="173"/>
      <c r="BC393" s="173"/>
      <c r="BD393" s="173"/>
      <c r="BE393" s="173"/>
      <c r="BF393" s="173"/>
      <c r="BG393" s="173"/>
      <c r="BH393" s="173"/>
      <c r="BI393" s="173"/>
      <c r="BJ393" s="173"/>
      <c r="BK393" s="173"/>
      <c r="BL393" s="173"/>
      <c r="BM393" s="173"/>
      <c r="BN393" s="173"/>
      <c r="BO393" s="173"/>
      <c r="BP393" s="173"/>
      <c r="BQ393" s="173"/>
      <c r="BR393" s="173"/>
      <c r="BS393" s="173"/>
      <c r="BT393" s="173"/>
      <c r="BU393" s="173"/>
      <c r="BV393" s="173"/>
      <c r="BW393" s="173"/>
      <c r="BX393" s="173"/>
      <c r="BY393" s="173"/>
      <c r="BZ393" s="173"/>
      <c r="CA393" s="173"/>
      <c r="CB393" s="173"/>
      <c r="CC393" s="173"/>
      <c r="CD393" s="173"/>
      <c r="CE393" s="173"/>
      <c r="CF393" s="173"/>
      <c r="CG393" s="173"/>
      <c r="CH393" s="173"/>
      <c r="CI393" s="173"/>
      <c r="CJ393" s="173"/>
      <c r="CK393" s="173"/>
      <c r="CL393" s="173"/>
      <c r="CM393" s="173"/>
      <c r="CN393" s="173"/>
      <c r="CO393" s="173"/>
      <c r="CP393" s="173"/>
      <c r="CQ393" s="173"/>
      <c r="CR393" s="173"/>
      <c r="CS393" s="173"/>
      <c r="CT393" s="173"/>
      <c r="CU393" s="173"/>
      <c r="CV393" s="173"/>
      <c r="CW393" s="173"/>
      <c r="CX393" s="173"/>
      <c r="CY393" s="148"/>
      <c r="CZ393" s="148"/>
      <c r="DA393" s="148"/>
      <c r="DB393" s="148"/>
      <c r="DC393" s="148"/>
      <c r="DD393" s="148"/>
      <c r="DE393" s="148"/>
      <c r="DF393" s="148"/>
      <c r="DG393" s="148"/>
      <c r="DH393" s="148"/>
      <c r="DI393" s="148"/>
      <c r="DJ393" s="148"/>
      <c r="DK393" s="148"/>
      <c r="DL393" s="148"/>
      <c r="DM393" s="148"/>
      <c r="DN393" s="148"/>
      <c r="DO393" s="148"/>
      <c r="DP393" s="148"/>
      <c r="DQ393" s="148"/>
      <c r="DR393" s="148"/>
      <c r="DS393" s="148"/>
      <c r="DT393" s="148"/>
      <c r="DU393" s="148"/>
      <c r="DV393" s="148"/>
      <c r="DW393" s="148"/>
      <c r="DX393" s="148"/>
      <c r="DY393" s="148"/>
      <c r="DZ393" s="148"/>
      <c r="EA393" s="148"/>
      <c r="EB393" s="148"/>
      <c r="EC393" s="148"/>
      <c r="ED393" s="148"/>
      <c r="EE393" s="148"/>
      <c r="EF393" s="148"/>
      <c r="EG393" s="148"/>
      <c r="EH393" s="148"/>
      <c r="EI393" s="148"/>
      <c r="EJ393" s="148"/>
      <c r="EK393" s="148"/>
      <c r="EL393" s="148"/>
      <c r="EM393" s="148"/>
      <c r="EN393" s="148"/>
      <c r="EO393" s="148"/>
      <c r="EP393" s="148"/>
      <c r="EQ393" s="148"/>
      <c r="ER393" s="148"/>
      <c r="ES393" s="151"/>
      <c r="ET393" s="151"/>
      <c r="EU393" s="151"/>
      <c r="EV393" s="151"/>
      <c r="EW393" s="151"/>
      <c r="EX393" s="151"/>
      <c r="EY393" s="151"/>
      <c r="EZ393" s="151"/>
      <c r="FA393" s="151"/>
      <c r="FB393" s="151"/>
      <c r="FC393" s="151"/>
      <c r="FD393" s="151"/>
      <c r="FE393" s="151"/>
      <c r="FF393" s="151"/>
      <c r="FG393" s="151"/>
      <c r="FH393" s="151"/>
      <c r="FI393" s="151"/>
      <c r="FJ393" s="151"/>
      <c r="FK393" s="151"/>
      <c r="FL393" s="151"/>
      <c r="FM393" s="151"/>
      <c r="FN393" s="151"/>
      <c r="FO393" s="151"/>
      <c r="FP393" s="151"/>
      <c r="FQ393" s="151"/>
      <c r="FR393" s="151"/>
      <c r="FS393" s="151"/>
      <c r="FT393" s="151"/>
      <c r="FU393" s="151"/>
      <c r="FV393" s="151"/>
      <c r="FW393" s="151"/>
      <c r="FX393" s="151"/>
      <c r="FY393" s="151"/>
      <c r="FZ393" s="151"/>
      <c r="GA393" s="151"/>
      <c r="GB393" s="151"/>
      <c r="GC393" s="151"/>
      <c r="GD393" s="151"/>
      <c r="GE393" s="151"/>
      <c r="GF393" s="151"/>
      <c r="GG393" s="152"/>
    </row>
    <row r="394" spans="1:189" x14ac:dyDescent="0.35">
      <c r="A394" s="268"/>
      <c r="B394" s="221"/>
      <c r="C394" s="221"/>
      <c r="D394" s="222"/>
      <c r="E394" s="221"/>
      <c r="F394" s="221"/>
      <c r="G394" s="223"/>
      <c r="H394" s="224"/>
      <c r="I394" s="225"/>
      <c r="J394" s="225"/>
      <c r="K394" s="225"/>
      <c r="L394" s="226"/>
      <c r="M394" s="226"/>
      <c r="N394" s="226"/>
      <c r="O394" s="226"/>
      <c r="P394" s="226"/>
      <c r="Q394" s="227"/>
      <c r="R394" s="228"/>
      <c r="S394" s="228"/>
      <c r="T394" s="228"/>
      <c r="U394" s="191">
        <f t="shared" si="483"/>
        <v>0</v>
      </c>
      <c r="V394" s="230"/>
      <c r="W394" s="231"/>
      <c r="X394" s="46"/>
      <c r="Y394" s="167">
        <f t="shared" si="484"/>
        <v>0</v>
      </c>
      <c r="Z394" s="167">
        <f t="shared" si="485"/>
        <v>0</v>
      </c>
      <c r="AA394" s="167">
        <f t="shared" si="486"/>
        <v>0</v>
      </c>
      <c r="AB394" s="167">
        <f t="shared" si="487"/>
        <v>0</v>
      </c>
      <c r="AC394" s="167">
        <f t="shared" si="488"/>
        <v>0</v>
      </c>
      <c r="AD394" s="167">
        <f t="shared" si="489"/>
        <v>0</v>
      </c>
      <c r="AF394" s="47">
        <f t="shared" si="490"/>
        <v>0</v>
      </c>
      <c r="AG394" s="202" t="str">
        <f t="shared" si="491"/>
        <v xml:space="preserve"> </v>
      </c>
      <c r="AH394" s="172"/>
      <c r="AI394" s="173"/>
      <c r="AJ394" s="173"/>
      <c r="AK394" s="173"/>
      <c r="AL394" s="173"/>
      <c r="AM394" s="173"/>
      <c r="AN394" s="173"/>
      <c r="AO394" s="173"/>
      <c r="AP394" s="173"/>
      <c r="AQ394" s="173"/>
      <c r="AR394" s="173"/>
      <c r="AS394" s="173"/>
      <c r="AT394" s="173"/>
      <c r="AU394" s="173"/>
      <c r="AV394" s="173"/>
      <c r="AW394" s="173"/>
      <c r="AX394" s="173"/>
      <c r="AY394" s="173"/>
      <c r="AZ394" s="173"/>
      <c r="BA394" s="173"/>
      <c r="BB394" s="173"/>
      <c r="BC394" s="173"/>
      <c r="BD394" s="173"/>
      <c r="BE394" s="173"/>
      <c r="BF394" s="173"/>
      <c r="BG394" s="173"/>
      <c r="BH394" s="173"/>
      <c r="BI394" s="173"/>
      <c r="BJ394" s="173"/>
      <c r="BK394" s="173"/>
      <c r="BL394" s="173"/>
      <c r="BM394" s="173"/>
      <c r="BN394" s="173"/>
      <c r="BO394" s="173"/>
      <c r="BP394" s="173"/>
      <c r="BQ394" s="173"/>
      <c r="BR394" s="173"/>
      <c r="BS394" s="173"/>
      <c r="BT394" s="173"/>
      <c r="BU394" s="173"/>
      <c r="BV394" s="173"/>
      <c r="BW394" s="173"/>
      <c r="BX394" s="173"/>
      <c r="BY394" s="173"/>
      <c r="BZ394" s="173"/>
      <c r="CA394" s="173"/>
      <c r="CB394" s="173"/>
      <c r="CC394" s="173"/>
      <c r="CD394" s="173"/>
      <c r="CE394" s="173"/>
      <c r="CF394" s="173"/>
      <c r="CG394" s="173"/>
      <c r="CH394" s="173"/>
      <c r="CI394" s="173"/>
      <c r="CJ394" s="173"/>
      <c r="CK394" s="173"/>
      <c r="CL394" s="173"/>
      <c r="CM394" s="173"/>
      <c r="CN394" s="173"/>
      <c r="CO394" s="173"/>
      <c r="CP394" s="173"/>
      <c r="CQ394" s="173"/>
      <c r="CR394" s="173"/>
      <c r="CS394" s="173"/>
      <c r="CT394" s="173"/>
      <c r="CU394" s="173"/>
      <c r="CV394" s="173"/>
      <c r="CW394" s="173"/>
      <c r="CX394" s="173"/>
      <c r="CY394" s="148"/>
      <c r="CZ394" s="148"/>
      <c r="DA394" s="148"/>
      <c r="DB394" s="148"/>
      <c r="DC394" s="148"/>
      <c r="DD394" s="148"/>
      <c r="DE394" s="148"/>
      <c r="DF394" s="148"/>
      <c r="DG394" s="148"/>
      <c r="DH394" s="148"/>
      <c r="DI394" s="148"/>
      <c r="DJ394" s="148"/>
      <c r="DK394" s="148"/>
      <c r="DL394" s="148"/>
      <c r="DM394" s="148"/>
      <c r="DN394" s="148"/>
      <c r="DO394" s="148"/>
      <c r="DP394" s="148"/>
      <c r="DQ394" s="148"/>
      <c r="DR394" s="148"/>
      <c r="DS394" s="148"/>
      <c r="DT394" s="148"/>
      <c r="DU394" s="148"/>
      <c r="DV394" s="148"/>
      <c r="DW394" s="148"/>
      <c r="DX394" s="148"/>
      <c r="DY394" s="148"/>
      <c r="DZ394" s="148"/>
      <c r="EA394" s="148"/>
      <c r="EB394" s="148"/>
      <c r="EC394" s="148"/>
      <c r="ED394" s="148"/>
      <c r="EE394" s="148"/>
      <c r="EF394" s="148"/>
      <c r="EG394" s="148"/>
      <c r="EH394" s="148"/>
      <c r="EI394" s="148"/>
      <c r="EJ394" s="148"/>
      <c r="EK394" s="148"/>
      <c r="EL394" s="148"/>
      <c r="EM394" s="148"/>
      <c r="EN394" s="148"/>
      <c r="EO394" s="148"/>
      <c r="EP394" s="148"/>
      <c r="EQ394" s="148"/>
      <c r="ER394" s="148"/>
      <c r="ES394" s="151"/>
      <c r="ET394" s="151"/>
      <c r="EU394" s="151"/>
      <c r="EV394" s="151"/>
      <c r="EW394" s="151"/>
      <c r="EX394" s="151"/>
      <c r="EY394" s="151"/>
      <c r="EZ394" s="151"/>
      <c r="FA394" s="151"/>
      <c r="FB394" s="151"/>
      <c r="FC394" s="151"/>
      <c r="FD394" s="151"/>
      <c r="FE394" s="151"/>
      <c r="FF394" s="151"/>
      <c r="FG394" s="151"/>
      <c r="FH394" s="151"/>
      <c r="FI394" s="151"/>
      <c r="FJ394" s="151"/>
      <c r="FK394" s="151"/>
      <c r="FL394" s="151"/>
      <c r="FM394" s="151"/>
      <c r="FN394" s="151"/>
      <c r="FO394" s="151"/>
      <c r="FP394" s="151"/>
      <c r="FQ394" s="151"/>
      <c r="FR394" s="151"/>
      <c r="FS394" s="151"/>
      <c r="FT394" s="151"/>
      <c r="FU394" s="151"/>
      <c r="FV394" s="151"/>
      <c r="FW394" s="151"/>
      <c r="FX394" s="151"/>
      <c r="FY394" s="151"/>
      <c r="FZ394" s="151"/>
      <c r="GA394" s="151"/>
      <c r="GB394" s="151"/>
      <c r="GC394" s="151"/>
      <c r="GD394" s="151"/>
      <c r="GE394" s="151"/>
      <c r="GF394" s="151"/>
      <c r="GG394" s="152"/>
    </row>
    <row r="395" spans="1:189" x14ac:dyDescent="0.35">
      <c r="A395" s="268"/>
      <c r="B395" s="221"/>
      <c r="C395" s="221"/>
      <c r="D395" s="222"/>
      <c r="E395" s="221"/>
      <c r="F395" s="221"/>
      <c r="G395" s="223"/>
      <c r="H395" s="224"/>
      <c r="I395" s="225"/>
      <c r="J395" s="225"/>
      <c r="K395" s="225"/>
      <c r="L395" s="226"/>
      <c r="M395" s="226"/>
      <c r="N395" s="226"/>
      <c r="O395" s="226"/>
      <c r="P395" s="226"/>
      <c r="Q395" s="227"/>
      <c r="R395" s="228"/>
      <c r="S395" s="228"/>
      <c r="T395" s="228"/>
      <c r="U395" s="191">
        <f t="shared" si="483"/>
        <v>0</v>
      </c>
      <c r="V395" s="230"/>
      <c r="W395" s="231"/>
      <c r="X395" s="46"/>
      <c r="Y395" s="167">
        <f t="shared" si="484"/>
        <v>0</v>
      </c>
      <c r="Z395" s="167">
        <f t="shared" si="485"/>
        <v>0</v>
      </c>
      <c r="AA395" s="167">
        <f t="shared" si="486"/>
        <v>0</v>
      </c>
      <c r="AB395" s="167">
        <f t="shared" si="487"/>
        <v>0</v>
      </c>
      <c r="AC395" s="167">
        <f t="shared" si="488"/>
        <v>0</v>
      </c>
      <c r="AD395" s="167">
        <f t="shared" si="489"/>
        <v>0</v>
      </c>
      <c r="AF395" s="47">
        <f t="shared" si="490"/>
        <v>0</v>
      </c>
      <c r="AG395" s="202" t="str">
        <f t="shared" si="491"/>
        <v xml:space="preserve"> </v>
      </c>
      <c r="AH395" s="172"/>
      <c r="AI395" s="173"/>
      <c r="AJ395" s="173"/>
      <c r="AK395" s="173"/>
      <c r="AL395" s="173"/>
      <c r="AM395" s="173"/>
      <c r="AN395" s="173"/>
      <c r="AO395" s="173"/>
      <c r="AP395" s="173"/>
      <c r="AQ395" s="173"/>
      <c r="AR395" s="173"/>
      <c r="AS395" s="173"/>
      <c r="AT395" s="173"/>
      <c r="AU395" s="173"/>
      <c r="AV395" s="173"/>
      <c r="AW395" s="173"/>
      <c r="AX395" s="173"/>
      <c r="AY395" s="173"/>
      <c r="AZ395" s="173"/>
      <c r="BA395" s="173"/>
      <c r="BB395" s="173"/>
      <c r="BC395" s="173"/>
      <c r="BD395" s="173"/>
      <c r="BE395" s="173"/>
      <c r="BF395" s="173"/>
      <c r="BG395" s="173"/>
      <c r="BH395" s="173"/>
      <c r="BI395" s="173"/>
      <c r="BJ395" s="173"/>
      <c r="BK395" s="173"/>
      <c r="BL395" s="173"/>
      <c r="BM395" s="173"/>
      <c r="BN395" s="173"/>
      <c r="BO395" s="173"/>
      <c r="BP395" s="173"/>
      <c r="BQ395" s="173"/>
      <c r="BR395" s="173"/>
      <c r="BS395" s="173"/>
      <c r="BT395" s="173"/>
      <c r="BU395" s="173"/>
      <c r="BV395" s="173"/>
      <c r="BW395" s="173"/>
      <c r="BX395" s="173"/>
      <c r="BY395" s="173"/>
      <c r="BZ395" s="173"/>
      <c r="CA395" s="173"/>
      <c r="CB395" s="173"/>
      <c r="CC395" s="173"/>
      <c r="CD395" s="173"/>
      <c r="CE395" s="173"/>
      <c r="CF395" s="173"/>
      <c r="CG395" s="173"/>
      <c r="CH395" s="173"/>
      <c r="CI395" s="173"/>
      <c r="CJ395" s="173"/>
      <c r="CK395" s="173"/>
      <c r="CL395" s="173"/>
      <c r="CM395" s="173"/>
      <c r="CN395" s="173"/>
      <c r="CO395" s="173"/>
      <c r="CP395" s="173"/>
      <c r="CQ395" s="173"/>
      <c r="CR395" s="173"/>
      <c r="CS395" s="173"/>
      <c r="CT395" s="173"/>
      <c r="CU395" s="173"/>
      <c r="CV395" s="173"/>
      <c r="CW395" s="173"/>
      <c r="CX395" s="173"/>
      <c r="CY395" s="148"/>
      <c r="CZ395" s="148"/>
      <c r="DA395" s="148"/>
      <c r="DB395" s="148"/>
      <c r="DC395" s="148"/>
      <c r="DD395" s="148"/>
      <c r="DE395" s="148"/>
      <c r="DF395" s="148"/>
      <c r="DG395" s="148"/>
      <c r="DH395" s="148"/>
      <c r="DI395" s="148"/>
      <c r="DJ395" s="148"/>
      <c r="DK395" s="148"/>
      <c r="DL395" s="148"/>
      <c r="DM395" s="148"/>
      <c r="DN395" s="148"/>
      <c r="DO395" s="148"/>
      <c r="DP395" s="148"/>
      <c r="DQ395" s="148"/>
      <c r="DR395" s="148"/>
      <c r="DS395" s="148"/>
      <c r="DT395" s="148"/>
      <c r="DU395" s="148"/>
      <c r="DV395" s="148"/>
      <c r="DW395" s="148"/>
      <c r="DX395" s="148"/>
      <c r="DY395" s="148"/>
      <c r="DZ395" s="148"/>
      <c r="EA395" s="148"/>
      <c r="EB395" s="148"/>
      <c r="EC395" s="148"/>
      <c r="ED395" s="148"/>
      <c r="EE395" s="148"/>
      <c r="EF395" s="148"/>
      <c r="EG395" s="148"/>
      <c r="EH395" s="148"/>
      <c r="EI395" s="148"/>
      <c r="EJ395" s="148"/>
      <c r="EK395" s="148"/>
      <c r="EL395" s="148"/>
      <c r="EM395" s="148"/>
      <c r="EN395" s="148"/>
      <c r="EO395" s="148"/>
      <c r="EP395" s="148"/>
      <c r="EQ395" s="148"/>
      <c r="ER395" s="148"/>
      <c r="ES395" s="148"/>
      <c r="ET395" s="148"/>
      <c r="EU395" s="148"/>
      <c r="EV395" s="148"/>
      <c r="EW395" s="148"/>
      <c r="EX395" s="148"/>
      <c r="EY395" s="148"/>
      <c r="EZ395" s="148"/>
      <c r="FA395" s="148"/>
      <c r="FB395" s="148"/>
      <c r="FC395" s="148"/>
      <c r="FD395" s="148"/>
      <c r="FE395" s="148"/>
      <c r="FF395" s="148"/>
      <c r="FG395" s="148"/>
      <c r="FH395" s="148"/>
      <c r="FI395" s="148"/>
      <c r="FJ395" s="148"/>
      <c r="FK395" s="148"/>
      <c r="FL395" s="148"/>
      <c r="FM395" s="148"/>
      <c r="FN395" s="148"/>
      <c r="FO395" s="148"/>
      <c r="FP395" s="148"/>
      <c r="FQ395" s="148"/>
      <c r="FR395" s="148"/>
      <c r="FS395" s="148"/>
      <c r="FT395" s="148"/>
      <c r="FU395" s="148"/>
      <c r="FV395" s="148"/>
      <c r="FW395" s="148"/>
      <c r="FX395" s="148"/>
      <c r="FY395" s="148"/>
      <c r="FZ395" s="148"/>
      <c r="GA395" s="148"/>
      <c r="GB395" s="148"/>
      <c r="GC395" s="148"/>
      <c r="GD395" s="148"/>
      <c r="GE395" s="148"/>
      <c r="GF395" s="148"/>
      <c r="GG395" s="149"/>
    </row>
    <row r="396" spans="1:189" x14ac:dyDescent="0.35">
      <c r="A396" s="268"/>
      <c r="B396" s="221"/>
      <c r="C396" s="221"/>
      <c r="D396" s="222"/>
      <c r="E396" s="221"/>
      <c r="F396" s="221"/>
      <c r="G396" s="223"/>
      <c r="H396" s="224"/>
      <c r="I396" s="225"/>
      <c r="J396" s="225"/>
      <c r="K396" s="225"/>
      <c r="L396" s="226"/>
      <c r="M396" s="226"/>
      <c r="N396" s="226"/>
      <c r="O396" s="226"/>
      <c r="P396" s="226"/>
      <c r="Q396" s="227"/>
      <c r="R396" s="228"/>
      <c r="S396" s="228"/>
      <c r="T396" s="228"/>
      <c r="U396" s="191">
        <f t="shared" si="483"/>
        <v>0</v>
      </c>
      <c r="V396" s="230"/>
      <c r="W396" s="231"/>
      <c r="X396" s="46"/>
      <c r="Y396" s="167">
        <f t="shared" si="484"/>
        <v>0</v>
      </c>
      <c r="Z396" s="167">
        <f t="shared" si="485"/>
        <v>0</v>
      </c>
      <c r="AA396" s="167">
        <f t="shared" si="486"/>
        <v>0</v>
      </c>
      <c r="AB396" s="167">
        <f t="shared" si="487"/>
        <v>0</v>
      </c>
      <c r="AC396" s="167">
        <f t="shared" si="488"/>
        <v>0</v>
      </c>
      <c r="AD396" s="167">
        <f t="shared" si="489"/>
        <v>0</v>
      </c>
      <c r="AF396" s="47">
        <f t="shared" si="490"/>
        <v>0</v>
      </c>
      <c r="AG396" s="202" t="str">
        <f t="shared" si="491"/>
        <v xml:space="preserve"> </v>
      </c>
      <c r="AH396" s="172"/>
      <c r="AI396" s="173"/>
      <c r="AJ396" s="173"/>
      <c r="AK396" s="173"/>
      <c r="AL396" s="173"/>
      <c r="AM396" s="173"/>
      <c r="AN396" s="173"/>
      <c r="AO396" s="173"/>
      <c r="AP396" s="173"/>
      <c r="AQ396" s="173"/>
      <c r="AR396" s="173"/>
      <c r="AS396" s="173"/>
      <c r="AT396" s="173"/>
      <c r="AU396" s="173"/>
      <c r="AV396" s="173"/>
      <c r="AW396" s="173"/>
      <c r="AX396" s="173"/>
      <c r="AY396" s="173"/>
      <c r="AZ396" s="173"/>
      <c r="BA396" s="173"/>
      <c r="BB396" s="173"/>
      <c r="BC396" s="173"/>
      <c r="BD396" s="173"/>
      <c r="BE396" s="173"/>
      <c r="BF396" s="173"/>
      <c r="BG396" s="173"/>
      <c r="BH396" s="173"/>
      <c r="BI396" s="173"/>
      <c r="BJ396" s="173"/>
      <c r="BK396" s="173"/>
      <c r="BL396" s="173"/>
      <c r="BM396" s="173"/>
      <c r="BN396" s="173"/>
      <c r="BO396" s="173"/>
      <c r="BP396" s="173"/>
      <c r="BQ396" s="173"/>
      <c r="BR396" s="173"/>
      <c r="BS396" s="173"/>
      <c r="BT396" s="173"/>
      <c r="BU396" s="173"/>
      <c r="BV396" s="173"/>
      <c r="BW396" s="173"/>
      <c r="BX396" s="173"/>
      <c r="BY396" s="173"/>
      <c r="BZ396" s="173"/>
      <c r="CA396" s="173"/>
      <c r="CB396" s="173"/>
      <c r="CC396" s="173"/>
      <c r="CD396" s="173"/>
      <c r="CE396" s="173"/>
      <c r="CF396" s="173"/>
      <c r="CG396" s="173"/>
      <c r="CH396" s="173"/>
      <c r="CI396" s="173"/>
      <c r="CJ396" s="173"/>
      <c r="CK396" s="173"/>
      <c r="CL396" s="173"/>
      <c r="CM396" s="173"/>
      <c r="CN396" s="173"/>
      <c r="CO396" s="173"/>
      <c r="CP396" s="173"/>
      <c r="CQ396" s="173"/>
      <c r="CR396" s="173"/>
      <c r="CS396" s="173"/>
      <c r="CT396" s="173"/>
      <c r="CU396" s="173"/>
      <c r="CV396" s="173"/>
      <c r="CW396" s="173"/>
      <c r="CX396" s="173"/>
      <c r="CY396" s="148"/>
      <c r="CZ396" s="148"/>
      <c r="DA396" s="148"/>
      <c r="DB396" s="148"/>
      <c r="DC396" s="148"/>
      <c r="DD396" s="148"/>
      <c r="DE396" s="148"/>
      <c r="DF396" s="148"/>
      <c r="DG396" s="148"/>
      <c r="DH396" s="148"/>
      <c r="DI396" s="148"/>
      <c r="DJ396" s="148"/>
      <c r="DK396" s="148"/>
      <c r="DL396" s="148"/>
      <c r="DM396" s="148"/>
      <c r="DN396" s="148"/>
      <c r="DO396" s="148"/>
      <c r="DP396" s="148"/>
      <c r="DQ396" s="148"/>
      <c r="DR396" s="148"/>
      <c r="DS396" s="148"/>
      <c r="DT396" s="148"/>
      <c r="DU396" s="148"/>
      <c r="DV396" s="148"/>
      <c r="DW396" s="148"/>
      <c r="DX396" s="148"/>
      <c r="DY396" s="148"/>
      <c r="DZ396" s="148"/>
      <c r="EA396" s="148"/>
      <c r="EB396" s="148"/>
      <c r="EC396" s="148"/>
      <c r="ED396" s="148"/>
      <c r="EE396" s="148"/>
      <c r="EF396" s="148"/>
      <c r="EG396" s="148"/>
      <c r="EH396" s="148"/>
      <c r="EI396" s="148"/>
      <c r="EJ396" s="148"/>
      <c r="EK396" s="148"/>
      <c r="EL396" s="148"/>
      <c r="EM396" s="148"/>
      <c r="EN396" s="148"/>
      <c r="EO396" s="148"/>
      <c r="EP396" s="148"/>
      <c r="EQ396" s="148"/>
      <c r="ER396" s="148"/>
      <c r="ES396" s="151"/>
      <c r="ET396" s="151"/>
      <c r="EU396" s="151"/>
      <c r="EV396" s="151"/>
      <c r="EW396" s="151"/>
      <c r="EX396" s="151"/>
      <c r="EY396" s="151"/>
      <c r="EZ396" s="151"/>
      <c r="FA396" s="151"/>
      <c r="FB396" s="151"/>
      <c r="FC396" s="151"/>
      <c r="FD396" s="151"/>
      <c r="FE396" s="151"/>
      <c r="FF396" s="151"/>
      <c r="FG396" s="151"/>
      <c r="FH396" s="151"/>
      <c r="FI396" s="151"/>
      <c r="FJ396" s="151"/>
      <c r="FK396" s="151"/>
      <c r="FL396" s="151"/>
      <c r="FM396" s="151"/>
      <c r="FN396" s="151"/>
      <c r="FO396" s="151"/>
      <c r="FP396" s="151"/>
      <c r="FQ396" s="151"/>
      <c r="FR396" s="151"/>
      <c r="FS396" s="151"/>
      <c r="FT396" s="151"/>
      <c r="FU396" s="151"/>
      <c r="FV396" s="151"/>
      <c r="FW396" s="151"/>
      <c r="FX396" s="151"/>
      <c r="FY396" s="151"/>
      <c r="FZ396" s="151"/>
      <c r="GA396" s="151"/>
      <c r="GB396" s="151"/>
      <c r="GC396" s="151"/>
      <c r="GD396" s="151"/>
      <c r="GE396" s="151"/>
      <c r="GF396" s="151"/>
      <c r="GG396" s="152"/>
    </row>
    <row r="397" spans="1:189" x14ac:dyDescent="0.35">
      <c r="A397" s="268"/>
      <c r="B397" s="221"/>
      <c r="C397" s="221"/>
      <c r="D397" s="222"/>
      <c r="E397" s="221"/>
      <c r="F397" s="221"/>
      <c r="G397" s="223"/>
      <c r="H397" s="224"/>
      <c r="I397" s="225"/>
      <c r="J397" s="225"/>
      <c r="K397" s="225"/>
      <c r="L397" s="226"/>
      <c r="M397" s="226"/>
      <c r="N397" s="226"/>
      <c r="O397" s="226"/>
      <c r="P397" s="226"/>
      <c r="Q397" s="227"/>
      <c r="R397" s="228"/>
      <c r="S397" s="228"/>
      <c r="T397" s="228"/>
      <c r="U397" s="191">
        <f t="shared" si="483"/>
        <v>0</v>
      </c>
      <c r="V397" s="230"/>
      <c r="W397" s="231"/>
      <c r="X397" s="46"/>
      <c r="Y397" s="167">
        <f t="shared" si="484"/>
        <v>0</v>
      </c>
      <c r="Z397" s="167">
        <f t="shared" si="485"/>
        <v>0</v>
      </c>
      <c r="AA397" s="167">
        <f t="shared" si="486"/>
        <v>0</v>
      </c>
      <c r="AB397" s="167">
        <f t="shared" si="487"/>
        <v>0</v>
      </c>
      <c r="AC397" s="167">
        <f t="shared" si="488"/>
        <v>0</v>
      </c>
      <c r="AD397" s="167">
        <f t="shared" si="489"/>
        <v>0</v>
      </c>
      <c r="AF397" s="47">
        <f t="shared" si="490"/>
        <v>0</v>
      </c>
      <c r="AG397" s="202" t="str">
        <f t="shared" si="491"/>
        <v xml:space="preserve"> </v>
      </c>
      <c r="AH397" s="172"/>
      <c r="AI397" s="173"/>
      <c r="AJ397" s="173"/>
      <c r="AK397" s="173"/>
      <c r="AL397" s="173"/>
      <c r="AM397" s="173"/>
      <c r="AN397" s="173"/>
      <c r="AO397" s="173"/>
      <c r="AP397" s="173"/>
      <c r="AQ397" s="173"/>
      <c r="AR397" s="173"/>
      <c r="AS397" s="173"/>
      <c r="AT397" s="173"/>
      <c r="AU397" s="173"/>
      <c r="AV397" s="173"/>
      <c r="AW397" s="173"/>
      <c r="AX397" s="173"/>
      <c r="AY397" s="173"/>
      <c r="AZ397" s="173"/>
      <c r="BA397" s="173"/>
      <c r="BB397" s="173"/>
      <c r="BC397" s="173"/>
      <c r="BD397" s="173"/>
      <c r="BE397" s="173"/>
      <c r="BF397" s="173"/>
      <c r="BG397" s="173"/>
      <c r="BH397" s="173"/>
      <c r="BI397" s="173"/>
      <c r="BJ397" s="173"/>
      <c r="BK397" s="173"/>
      <c r="BL397" s="173"/>
      <c r="BM397" s="173"/>
      <c r="BN397" s="173"/>
      <c r="BO397" s="173"/>
      <c r="BP397" s="173"/>
      <c r="BQ397" s="173"/>
      <c r="BR397" s="173"/>
      <c r="BS397" s="173"/>
      <c r="BT397" s="173"/>
      <c r="BU397" s="173"/>
      <c r="BV397" s="173"/>
      <c r="BW397" s="173"/>
      <c r="BX397" s="173"/>
      <c r="BY397" s="173"/>
      <c r="BZ397" s="173"/>
      <c r="CA397" s="173"/>
      <c r="CB397" s="173"/>
      <c r="CC397" s="173"/>
      <c r="CD397" s="173"/>
      <c r="CE397" s="173"/>
      <c r="CF397" s="173"/>
      <c r="CG397" s="173"/>
      <c r="CH397" s="173"/>
      <c r="CI397" s="173"/>
      <c r="CJ397" s="173"/>
      <c r="CK397" s="173"/>
      <c r="CL397" s="173"/>
      <c r="CM397" s="173"/>
      <c r="CN397" s="173"/>
      <c r="CO397" s="173"/>
      <c r="CP397" s="173"/>
      <c r="CQ397" s="173"/>
      <c r="CR397" s="173"/>
      <c r="CS397" s="173"/>
      <c r="CT397" s="173"/>
      <c r="CU397" s="173"/>
      <c r="CV397" s="173"/>
      <c r="CW397" s="173"/>
      <c r="CX397" s="173"/>
      <c r="CY397" s="148"/>
      <c r="CZ397" s="148"/>
      <c r="DA397" s="148"/>
      <c r="DB397" s="148"/>
      <c r="DC397" s="148"/>
      <c r="DD397" s="148"/>
      <c r="DE397" s="148"/>
      <c r="DF397" s="148"/>
      <c r="DG397" s="148"/>
      <c r="DH397" s="148"/>
      <c r="DI397" s="148"/>
      <c r="DJ397" s="148"/>
      <c r="DK397" s="148"/>
      <c r="DL397" s="148"/>
      <c r="DM397" s="148"/>
      <c r="DN397" s="148"/>
      <c r="DO397" s="148"/>
      <c r="DP397" s="148"/>
      <c r="DQ397" s="148"/>
      <c r="DR397" s="148"/>
      <c r="DS397" s="148"/>
      <c r="DT397" s="148"/>
      <c r="DU397" s="148"/>
      <c r="DV397" s="148"/>
      <c r="DW397" s="148"/>
      <c r="DX397" s="148"/>
      <c r="DY397" s="148"/>
      <c r="DZ397" s="148"/>
      <c r="EA397" s="148"/>
      <c r="EB397" s="148"/>
      <c r="EC397" s="148"/>
      <c r="ED397" s="148"/>
      <c r="EE397" s="148"/>
      <c r="EF397" s="148"/>
      <c r="EG397" s="148"/>
      <c r="EH397" s="148"/>
      <c r="EI397" s="148"/>
      <c r="EJ397" s="148"/>
      <c r="EK397" s="148"/>
      <c r="EL397" s="148"/>
      <c r="EM397" s="148"/>
      <c r="EN397" s="148"/>
      <c r="EO397" s="148"/>
      <c r="EP397" s="148"/>
      <c r="EQ397" s="148"/>
      <c r="ER397" s="148"/>
      <c r="ES397" s="151"/>
      <c r="ET397" s="151"/>
      <c r="EU397" s="151"/>
      <c r="EV397" s="151"/>
      <c r="EW397" s="151"/>
      <c r="EX397" s="151"/>
      <c r="EY397" s="151"/>
      <c r="EZ397" s="151"/>
      <c r="FA397" s="151"/>
      <c r="FB397" s="151"/>
      <c r="FC397" s="151"/>
      <c r="FD397" s="151"/>
      <c r="FE397" s="151"/>
      <c r="FF397" s="151"/>
      <c r="FG397" s="151"/>
      <c r="FH397" s="151"/>
      <c r="FI397" s="151"/>
      <c r="FJ397" s="151"/>
      <c r="FK397" s="151"/>
      <c r="FL397" s="151"/>
      <c r="FM397" s="151"/>
      <c r="FN397" s="151"/>
      <c r="FO397" s="151"/>
      <c r="FP397" s="151"/>
      <c r="FQ397" s="151"/>
      <c r="FR397" s="151"/>
      <c r="FS397" s="151"/>
      <c r="FT397" s="151"/>
      <c r="FU397" s="151"/>
      <c r="FV397" s="151"/>
      <c r="FW397" s="151"/>
      <c r="FX397" s="151"/>
      <c r="FY397" s="151"/>
      <c r="FZ397" s="151"/>
      <c r="GA397" s="151"/>
      <c r="GB397" s="151"/>
      <c r="GC397" s="151"/>
      <c r="GD397" s="151"/>
      <c r="GE397" s="151"/>
      <c r="GF397" s="151"/>
      <c r="GG397" s="152"/>
    </row>
    <row r="398" spans="1:189" x14ac:dyDescent="0.35">
      <c r="A398" s="268"/>
      <c r="B398" s="221"/>
      <c r="C398" s="221"/>
      <c r="D398" s="222"/>
      <c r="E398" s="221"/>
      <c r="F398" s="221"/>
      <c r="G398" s="223"/>
      <c r="H398" s="224"/>
      <c r="I398" s="225"/>
      <c r="J398" s="225"/>
      <c r="K398" s="225"/>
      <c r="L398" s="226"/>
      <c r="M398" s="226"/>
      <c r="N398" s="226"/>
      <c r="O398" s="226"/>
      <c r="P398" s="226"/>
      <c r="Q398" s="227"/>
      <c r="R398" s="228"/>
      <c r="S398" s="228"/>
      <c r="T398" s="228"/>
      <c r="U398" s="191">
        <f t="shared" si="483"/>
        <v>0</v>
      </c>
      <c r="V398" s="230"/>
      <c r="W398" s="231"/>
      <c r="X398" s="46"/>
      <c r="Y398" s="167">
        <f t="shared" si="484"/>
        <v>0</v>
      </c>
      <c r="Z398" s="167">
        <f t="shared" si="485"/>
        <v>0</v>
      </c>
      <c r="AA398" s="167">
        <f t="shared" si="486"/>
        <v>0</v>
      </c>
      <c r="AB398" s="167">
        <f t="shared" si="487"/>
        <v>0</v>
      </c>
      <c r="AC398" s="167">
        <f t="shared" si="488"/>
        <v>0</v>
      </c>
      <c r="AD398" s="167">
        <f t="shared" si="489"/>
        <v>0</v>
      </c>
      <c r="AF398" s="47">
        <f t="shared" si="490"/>
        <v>0</v>
      </c>
      <c r="AG398" s="202" t="str">
        <f t="shared" si="491"/>
        <v xml:space="preserve"> </v>
      </c>
      <c r="AH398" s="172"/>
      <c r="AI398" s="173"/>
      <c r="AJ398" s="173"/>
      <c r="AK398" s="173"/>
      <c r="AL398" s="173"/>
      <c r="AM398" s="173"/>
      <c r="AN398" s="173"/>
      <c r="AO398" s="173"/>
      <c r="AP398" s="173"/>
      <c r="AQ398" s="173"/>
      <c r="AR398" s="173"/>
      <c r="AS398" s="173"/>
      <c r="AT398" s="173"/>
      <c r="AU398" s="173"/>
      <c r="AV398" s="173"/>
      <c r="AW398" s="173"/>
      <c r="AX398" s="173"/>
      <c r="AY398" s="173"/>
      <c r="AZ398" s="173"/>
      <c r="BA398" s="173"/>
      <c r="BB398" s="173"/>
      <c r="BC398" s="173"/>
      <c r="BD398" s="173"/>
      <c r="BE398" s="173"/>
      <c r="BF398" s="173"/>
      <c r="BG398" s="173"/>
      <c r="BH398" s="173"/>
      <c r="BI398" s="173"/>
      <c r="BJ398" s="173"/>
      <c r="BK398" s="173"/>
      <c r="BL398" s="173"/>
      <c r="BM398" s="173"/>
      <c r="BN398" s="173"/>
      <c r="BO398" s="173"/>
      <c r="BP398" s="173"/>
      <c r="BQ398" s="173"/>
      <c r="BR398" s="173"/>
      <c r="BS398" s="173"/>
      <c r="BT398" s="173"/>
      <c r="BU398" s="173"/>
      <c r="BV398" s="173"/>
      <c r="BW398" s="173"/>
      <c r="BX398" s="173"/>
      <c r="BY398" s="173"/>
      <c r="BZ398" s="173"/>
      <c r="CA398" s="173"/>
      <c r="CB398" s="173"/>
      <c r="CC398" s="173"/>
      <c r="CD398" s="173"/>
      <c r="CE398" s="173"/>
      <c r="CF398" s="173"/>
      <c r="CG398" s="173"/>
      <c r="CH398" s="173"/>
      <c r="CI398" s="173"/>
      <c r="CJ398" s="173"/>
      <c r="CK398" s="173"/>
      <c r="CL398" s="173"/>
      <c r="CM398" s="173"/>
      <c r="CN398" s="173"/>
      <c r="CO398" s="173"/>
      <c r="CP398" s="173"/>
      <c r="CQ398" s="173"/>
      <c r="CR398" s="173"/>
      <c r="CS398" s="173"/>
      <c r="CT398" s="173"/>
      <c r="CU398" s="173"/>
      <c r="CV398" s="173"/>
      <c r="CW398" s="173"/>
      <c r="CX398" s="173"/>
      <c r="CY398" s="148"/>
      <c r="CZ398" s="148"/>
      <c r="DA398" s="148"/>
      <c r="DB398" s="148"/>
      <c r="DC398" s="148"/>
      <c r="DD398" s="148"/>
      <c r="DE398" s="148"/>
      <c r="DF398" s="148"/>
      <c r="DG398" s="148"/>
      <c r="DH398" s="148"/>
      <c r="DI398" s="148"/>
      <c r="DJ398" s="148"/>
      <c r="DK398" s="148"/>
      <c r="DL398" s="148"/>
      <c r="DM398" s="148"/>
      <c r="DN398" s="148"/>
      <c r="DO398" s="148"/>
      <c r="DP398" s="148"/>
      <c r="DQ398" s="148"/>
      <c r="DR398" s="148"/>
      <c r="DS398" s="148"/>
      <c r="DT398" s="148"/>
      <c r="DU398" s="148"/>
      <c r="DV398" s="148"/>
      <c r="DW398" s="148"/>
      <c r="DX398" s="148"/>
      <c r="DY398" s="148"/>
      <c r="DZ398" s="148"/>
      <c r="EA398" s="148"/>
      <c r="EB398" s="148"/>
      <c r="EC398" s="148"/>
      <c r="ED398" s="148"/>
      <c r="EE398" s="148"/>
      <c r="EF398" s="148"/>
      <c r="EG398" s="148"/>
      <c r="EH398" s="148"/>
      <c r="EI398" s="148"/>
      <c r="EJ398" s="148"/>
      <c r="EK398" s="148"/>
      <c r="EL398" s="148"/>
      <c r="EM398" s="148"/>
      <c r="EN398" s="148"/>
      <c r="EO398" s="148"/>
      <c r="EP398" s="148"/>
      <c r="EQ398" s="148"/>
      <c r="ER398" s="148"/>
      <c r="ES398" s="151"/>
      <c r="ET398" s="151"/>
      <c r="EU398" s="151"/>
      <c r="EV398" s="151"/>
      <c r="EW398" s="151"/>
      <c r="EX398" s="151"/>
      <c r="EY398" s="151"/>
      <c r="EZ398" s="151"/>
      <c r="FA398" s="151"/>
      <c r="FB398" s="151"/>
      <c r="FC398" s="151"/>
      <c r="FD398" s="151"/>
      <c r="FE398" s="151"/>
      <c r="FF398" s="151"/>
      <c r="FG398" s="151"/>
      <c r="FH398" s="151"/>
      <c r="FI398" s="151"/>
      <c r="FJ398" s="151"/>
      <c r="FK398" s="151"/>
      <c r="FL398" s="151"/>
      <c r="FM398" s="151"/>
      <c r="FN398" s="151"/>
      <c r="FO398" s="151"/>
      <c r="FP398" s="151"/>
      <c r="FQ398" s="151"/>
      <c r="FR398" s="151"/>
      <c r="FS398" s="151"/>
      <c r="FT398" s="151"/>
      <c r="FU398" s="151"/>
      <c r="FV398" s="151"/>
      <c r="FW398" s="151"/>
      <c r="FX398" s="151"/>
      <c r="FY398" s="151"/>
      <c r="FZ398" s="151"/>
      <c r="GA398" s="151"/>
      <c r="GB398" s="151"/>
      <c r="GC398" s="151"/>
      <c r="GD398" s="151"/>
      <c r="GE398" s="151"/>
      <c r="GF398" s="151"/>
      <c r="GG398" s="152"/>
    </row>
    <row r="399" spans="1:189" x14ac:dyDescent="0.35">
      <c r="A399" s="268"/>
      <c r="B399" s="221"/>
      <c r="C399" s="221"/>
      <c r="D399" s="222"/>
      <c r="E399" s="221"/>
      <c r="F399" s="221"/>
      <c r="G399" s="223"/>
      <c r="H399" s="224"/>
      <c r="I399" s="225"/>
      <c r="J399" s="225"/>
      <c r="K399" s="225"/>
      <c r="L399" s="226"/>
      <c r="M399" s="226"/>
      <c r="N399" s="226"/>
      <c r="O399" s="226"/>
      <c r="P399" s="226"/>
      <c r="Q399" s="227"/>
      <c r="R399" s="228"/>
      <c r="S399" s="228"/>
      <c r="T399" s="228"/>
      <c r="U399" s="191">
        <f t="shared" si="483"/>
        <v>0</v>
      </c>
      <c r="V399" s="230"/>
      <c r="W399" s="231"/>
      <c r="X399" s="46"/>
      <c r="Y399" s="167">
        <f t="shared" si="484"/>
        <v>0</v>
      </c>
      <c r="Z399" s="167">
        <f t="shared" si="485"/>
        <v>0</v>
      </c>
      <c r="AA399" s="167">
        <f t="shared" si="486"/>
        <v>0</v>
      </c>
      <c r="AB399" s="167">
        <f t="shared" si="487"/>
        <v>0</v>
      </c>
      <c r="AC399" s="167">
        <f t="shared" si="488"/>
        <v>0</v>
      </c>
      <c r="AD399" s="167">
        <f t="shared" si="489"/>
        <v>0</v>
      </c>
      <c r="AF399" s="47">
        <f t="shared" si="490"/>
        <v>0</v>
      </c>
      <c r="AG399" s="202" t="str">
        <f t="shared" si="491"/>
        <v xml:space="preserve"> </v>
      </c>
      <c r="AH399" s="172"/>
      <c r="AI399" s="173"/>
      <c r="AJ399" s="173"/>
      <c r="AK399" s="173"/>
      <c r="AL399" s="173"/>
      <c r="AM399" s="173"/>
      <c r="AN399" s="173"/>
      <c r="AO399" s="173"/>
      <c r="AP399" s="173"/>
      <c r="AQ399" s="173"/>
      <c r="AR399" s="173"/>
      <c r="AS399" s="173"/>
      <c r="AT399" s="173"/>
      <c r="AU399" s="173"/>
      <c r="AV399" s="173"/>
      <c r="AW399" s="173"/>
      <c r="AX399" s="173"/>
      <c r="AY399" s="173"/>
      <c r="AZ399" s="173"/>
      <c r="BA399" s="173"/>
      <c r="BB399" s="173"/>
      <c r="BC399" s="173"/>
      <c r="BD399" s="173"/>
      <c r="BE399" s="173"/>
      <c r="BF399" s="173"/>
      <c r="BG399" s="173"/>
      <c r="BH399" s="173"/>
      <c r="BI399" s="173"/>
      <c r="BJ399" s="173"/>
      <c r="BK399" s="173"/>
      <c r="BL399" s="173"/>
      <c r="BM399" s="173"/>
      <c r="BN399" s="173"/>
      <c r="BO399" s="173"/>
      <c r="BP399" s="173"/>
      <c r="BQ399" s="173"/>
      <c r="BR399" s="173"/>
      <c r="BS399" s="173"/>
      <c r="BT399" s="173"/>
      <c r="BU399" s="173"/>
      <c r="BV399" s="173"/>
      <c r="BW399" s="173"/>
      <c r="BX399" s="173"/>
      <c r="BY399" s="173"/>
      <c r="BZ399" s="173"/>
      <c r="CA399" s="173"/>
      <c r="CB399" s="173"/>
      <c r="CC399" s="173"/>
      <c r="CD399" s="173"/>
      <c r="CE399" s="173"/>
      <c r="CF399" s="173"/>
      <c r="CG399" s="173"/>
      <c r="CH399" s="173"/>
      <c r="CI399" s="173"/>
      <c r="CJ399" s="173"/>
      <c r="CK399" s="173"/>
      <c r="CL399" s="173"/>
      <c r="CM399" s="173"/>
      <c r="CN399" s="173"/>
      <c r="CO399" s="173"/>
      <c r="CP399" s="173"/>
      <c r="CQ399" s="173"/>
      <c r="CR399" s="173"/>
      <c r="CS399" s="173"/>
      <c r="CT399" s="173"/>
      <c r="CU399" s="173"/>
      <c r="CV399" s="173"/>
      <c r="CW399" s="173"/>
      <c r="CX399" s="173"/>
      <c r="CY399" s="148"/>
      <c r="CZ399" s="148"/>
      <c r="DA399" s="148"/>
      <c r="DB399" s="148"/>
      <c r="DC399" s="148"/>
      <c r="DD399" s="148"/>
      <c r="DE399" s="148"/>
      <c r="DF399" s="148"/>
      <c r="DG399" s="148"/>
      <c r="DH399" s="148"/>
      <c r="DI399" s="148"/>
      <c r="DJ399" s="148"/>
      <c r="DK399" s="148"/>
      <c r="DL399" s="148"/>
      <c r="DM399" s="148"/>
      <c r="DN399" s="148"/>
      <c r="DO399" s="148"/>
      <c r="DP399" s="148"/>
      <c r="DQ399" s="148"/>
      <c r="DR399" s="148"/>
      <c r="DS399" s="148"/>
      <c r="DT399" s="148"/>
      <c r="DU399" s="148"/>
      <c r="DV399" s="148"/>
      <c r="DW399" s="148"/>
      <c r="DX399" s="148"/>
      <c r="DY399" s="148"/>
      <c r="DZ399" s="148"/>
      <c r="EA399" s="148"/>
      <c r="EB399" s="148"/>
      <c r="EC399" s="148"/>
      <c r="ED399" s="148"/>
      <c r="EE399" s="148"/>
      <c r="EF399" s="148"/>
      <c r="EG399" s="148"/>
      <c r="EH399" s="148"/>
      <c r="EI399" s="148"/>
      <c r="EJ399" s="148"/>
      <c r="EK399" s="148"/>
      <c r="EL399" s="148"/>
      <c r="EM399" s="148"/>
      <c r="EN399" s="148"/>
      <c r="EO399" s="148"/>
      <c r="EP399" s="148"/>
      <c r="EQ399" s="148"/>
      <c r="ER399" s="148"/>
      <c r="ES399" s="148"/>
      <c r="ET399" s="148"/>
      <c r="EU399" s="148"/>
      <c r="EV399" s="148"/>
      <c r="EW399" s="148"/>
      <c r="EX399" s="148"/>
      <c r="EY399" s="148"/>
      <c r="EZ399" s="148"/>
      <c r="FA399" s="148"/>
      <c r="FB399" s="148"/>
      <c r="FC399" s="148"/>
      <c r="FD399" s="148"/>
      <c r="FE399" s="148"/>
      <c r="FF399" s="148"/>
      <c r="FG399" s="148"/>
      <c r="FH399" s="148"/>
      <c r="FI399" s="148"/>
      <c r="FJ399" s="148"/>
      <c r="FK399" s="148"/>
      <c r="FL399" s="148"/>
      <c r="FM399" s="148"/>
      <c r="FN399" s="148"/>
      <c r="FO399" s="148"/>
      <c r="FP399" s="148"/>
      <c r="FQ399" s="148"/>
      <c r="FR399" s="148"/>
      <c r="FS399" s="148"/>
      <c r="FT399" s="148"/>
      <c r="FU399" s="148"/>
      <c r="FV399" s="148"/>
      <c r="FW399" s="148"/>
      <c r="FX399" s="148"/>
      <c r="FY399" s="148"/>
      <c r="FZ399" s="148"/>
      <c r="GA399" s="148"/>
      <c r="GB399" s="148"/>
      <c r="GC399" s="148"/>
      <c r="GD399" s="148"/>
      <c r="GE399" s="148"/>
      <c r="GF399" s="148"/>
      <c r="GG399" s="149"/>
    </row>
    <row r="400" spans="1:189" x14ac:dyDescent="0.35">
      <c r="A400" s="268"/>
      <c r="B400" s="221"/>
      <c r="C400" s="221"/>
      <c r="D400" s="222"/>
      <c r="E400" s="221"/>
      <c r="F400" s="221"/>
      <c r="G400" s="223"/>
      <c r="H400" s="224"/>
      <c r="I400" s="225"/>
      <c r="J400" s="225"/>
      <c r="K400" s="225"/>
      <c r="L400" s="226"/>
      <c r="M400" s="226"/>
      <c r="N400" s="226"/>
      <c r="O400" s="226"/>
      <c r="P400" s="226"/>
      <c r="Q400" s="227"/>
      <c r="R400" s="228"/>
      <c r="S400" s="228"/>
      <c r="T400" s="228"/>
      <c r="U400" s="191">
        <f t="shared" si="483"/>
        <v>0</v>
      </c>
      <c r="V400" s="230"/>
      <c r="W400" s="231"/>
      <c r="X400" s="46"/>
      <c r="Y400" s="167">
        <f t="shared" si="484"/>
        <v>0</v>
      </c>
      <c r="Z400" s="167">
        <f t="shared" si="485"/>
        <v>0</v>
      </c>
      <c r="AA400" s="167">
        <f t="shared" si="486"/>
        <v>0</v>
      </c>
      <c r="AB400" s="167">
        <f t="shared" si="487"/>
        <v>0</v>
      </c>
      <c r="AC400" s="167">
        <f t="shared" si="488"/>
        <v>0</v>
      </c>
      <c r="AD400" s="167">
        <f t="shared" si="489"/>
        <v>0</v>
      </c>
      <c r="AF400" s="47">
        <f t="shared" si="490"/>
        <v>0</v>
      </c>
      <c r="AG400" s="202" t="str">
        <f t="shared" si="491"/>
        <v xml:space="preserve"> </v>
      </c>
      <c r="AH400" s="172"/>
      <c r="AI400" s="173"/>
      <c r="AJ400" s="173"/>
      <c r="AK400" s="173"/>
      <c r="AL400" s="173"/>
      <c r="AM400" s="173"/>
      <c r="AN400" s="173"/>
      <c r="AO400" s="173"/>
      <c r="AP400" s="173"/>
      <c r="AQ400" s="173"/>
      <c r="AR400" s="173"/>
      <c r="AS400" s="173"/>
      <c r="AT400" s="173"/>
      <c r="AU400" s="173"/>
      <c r="AV400" s="173"/>
      <c r="AW400" s="173"/>
      <c r="AX400" s="173"/>
      <c r="AY400" s="173"/>
      <c r="AZ400" s="173"/>
      <c r="BA400" s="173"/>
      <c r="BB400" s="173"/>
      <c r="BC400" s="173"/>
      <c r="BD400" s="173"/>
      <c r="BE400" s="173"/>
      <c r="BF400" s="173"/>
      <c r="BG400" s="173"/>
      <c r="BH400" s="173"/>
      <c r="BI400" s="173"/>
      <c r="BJ400" s="173"/>
      <c r="BK400" s="173"/>
      <c r="BL400" s="173"/>
      <c r="BM400" s="173"/>
      <c r="BN400" s="173"/>
      <c r="BO400" s="173"/>
      <c r="BP400" s="173"/>
      <c r="BQ400" s="173"/>
      <c r="BR400" s="173"/>
      <c r="BS400" s="173"/>
      <c r="BT400" s="173"/>
      <c r="BU400" s="173"/>
      <c r="BV400" s="173"/>
      <c r="BW400" s="173"/>
      <c r="BX400" s="173"/>
      <c r="BY400" s="173"/>
      <c r="BZ400" s="173"/>
      <c r="CA400" s="173"/>
      <c r="CB400" s="173"/>
      <c r="CC400" s="173"/>
      <c r="CD400" s="173"/>
      <c r="CE400" s="173"/>
      <c r="CF400" s="173"/>
      <c r="CG400" s="173"/>
      <c r="CH400" s="173"/>
      <c r="CI400" s="173"/>
      <c r="CJ400" s="173"/>
      <c r="CK400" s="173"/>
      <c r="CL400" s="173"/>
      <c r="CM400" s="173"/>
      <c r="CN400" s="173"/>
      <c r="CO400" s="173"/>
      <c r="CP400" s="173"/>
      <c r="CQ400" s="173"/>
      <c r="CR400" s="173"/>
      <c r="CS400" s="173"/>
      <c r="CT400" s="173"/>
      <c r="CU400" s="173"/>
      <c r="CV400" s="173"/>
      <c r="CW400" s="173"/>
      <c r="CX400" s="173"/>
      <c r="CY400" s="148"/>
      <c r="CZ400" s="148"/>
      <c r="DA400" s="148"/>
      <c r="DB400" s="148"/>
      <c r="DC400" s="148"/>
      <c r="DD400" s="148"/>
      <c r="DE400" s="148"/>
      <c r="DF400" s="148"/>
      <c r="DG400" s="148"/>
      <c r="DH400" s="148"/>
      <c r="DI400" s="148"/>
      <c r="DJ400" s="148"/>
      <c r="DK400" s="148"/>
      <c r="DL400" s="148"/>
      <c r="DM400" s="148"/>
      <c r="DN400" s="148"/>
      <c r="DO400" s="148"/>
      <c r="DP400" s="148"/>
      <c r="DQ400" s="148"/>
      <c r="DR400" s="148"/>
      <c r="DS400" s="148"/>
      <c r="DT400" s="148"/>
      <c r="DU400" s="148"/>
      <c r="DV400" s="148"/>
      <c r="DW400" s="148"/>
      <c r="DX400" s="148"/>
      <c r="DY400" s="148"/>
      <c r="DZ400" s="148"/>
      <c r="EA400" s="148"/>
      <c r="EB400" s="148"/>
      <c r="EC400" s="148"/>
      <c r="ED400" s="148"/>
      <c r="EE400" s="148"/>
      <c r="EF400" s="148"/>
      <c r="EG400" s="148"/>
      <c r="EH400" s="148"/>
      <c r="EI400" s="148"/>
      <c r="EJ400" s="148"/>
      <c r="EK400" s="148"/>
      <c r="EL400" s="148"/>
      <c r="EM400" s="148"/>
      <c r="EN400" s="148"/>
      <c r="EO400" s="148"/>
      <c r="EP400" s="148"/>
      <c r="EQ400" s="148"/>
      <c r="ER400" s="148"/>
      <c r="ES400" s="151"/>
      <c r="ET400" s="151"/>
      <c r="EU400" s="151"/>
      <c r="EV400" s="151"/>
      <c r="EW400" s="151"/>
      <c r="EX400" s="151"/>
      <c r="EY400" s="151"/>
      <c r="EZ400" s="151"/>
      <c r="FA400" s="151"/>
      <c r="FB400" s="151"/>
      <c r="FC400" s="151"/>
      <c r="FD400" s="151"/>
      <c r="FE400" s="151"/>
      <c r="FF400" s="151"/>
      <c r="FG400" s="151"/>
      <c r="FH400" s="151"/>
      <c r="FI400" s="151"/>
      <c r="FJ400" s="151"/>
      <c r="FK400" s="151"/>
      <c r="FL400" s="151"/>
      <c r="FM400" s="151"/>
      <c r="FN400" s="151"/>
      <c r="FO400" s="151"/>
      <c r="FP400" s="151"/>
      <c r="FQ400" s="151"/>
      <c r="FR400" s="151"/>
      <c r="FS400" s="151"/>
      <c r="FT400" s="151"/>
      <c r="FU400" s="151"/>
      <c r="FV400" s="151"/>
      <c r="FW400" s="151"/>
      <c r="FX400" s="151"/>
      <c r="FY400" s="151"/>
      <c r="FZ400" s="151"/>
      <c r="GA400" s="151"/>
      <c r="GB400" s="151"/>
      <c r="GC400" s="151"/>
      <c r="GD400" s="151"/>
      <c r="GE400" s="151"/>
      <c r="GF400" s="151"/>
      <c r="GG400" s="152"/>
    </row>
    <row r="401" spans="1:189" x14ac:dyDescent="0.35">
      <c r="A401" s="268"/>
      <c r="B401" s="221"/>
      <c r="C401" s="221"/>
      <c r="D401" s="222"/>
      <c r="E401" s="221"/>
      <c r="F401" s="221"/>
      <c r="G401" s="223"/>
      <c r="H401" s="224"/>
      <c r="I401" s="225"/>
      <c r="J401" s="225"/>
      <c r="K401" s="225"/>
      <c r="L401" s="226"/>
      <c r="M401" s="226"/>
      <c r="N401" s="226"/>
      <c r="O401" s="226"/>
      <c r="P401" s="226"/>
      <c r="Q401" s="227"/>
      <c r="R401" s="228"/>
      <c r="S401" s="228"/>
      <c r="T401" s="228"/>
      <c r="U401" s="191">
        <f t="shared" si="483"/>
        <v>0</v>
      </c>
      <c r="V401" s="230"/>
      <c r="W401" s="231"/>
      <c r="X401" s="46"/>
      <c r="Y401" s="167">
        <f t="shared" si="484"/>
        <v>0</v>
      </c>
      <c r="Z401" s="167">
        <f t="shared" si="485"/>
        <v>0</v>
      </c>
      <c r="AA401" s="167">
        <f t="shared" si="486"/>
        <v>0</v>
      </c>
      <c r="AB401" s="167">
        <f t="shared" si="487"/>
        <v>0</v>
      </c>
      <c r="AC401" s="167">
        <f t="shared" si="488"/>
        <v>0</v>
      </c>
      <c r="AD401" s="167">
        <f t="shared" si="489"/>
        <v>0</v>
      </c>
      <c r="AF401" s="47">
        <f t="shared" si="490"/>
        <v>0</v>
      </c>
      <c r="AG401" s="202" t="str">
        <f t="shared" si="491"/>
        <v xml:space="preserve"> </v>
      </c>
      <c r="AH401" s="172"/>
      <c r="AI401" s="173"/>
      <c r="AJ401" s="173"/>
      <c r="AK401" s="173"/>
      <c r="AL401" s="173"/>
      <c r="AM401" s="173"/>
      <c r="AN401" s="173"/>
      <c r="AO401" s="173"/>
      <c r="AP401" s="173"/>
      <c r="AQ401" s="173"/>
      <c r="AR401" s="173"/>
      <c r="AS401" s="173"/>
      <c r="AT401" s="173"/>
      <c r="AU401" s="173"/>
      <c r="AV401" s="173"/>
      <c r="AW401" s="173"/>
      <c r="AX401" s="173"/>
      <c r="AY401" s="173"/>
      <c r="AZ401" s="173"/>
      <c r="BA401" s="173"/>
      <c r="BB401" s="173"/>
      <c r="BC401" s="173"/>
      <c r="BD401" s="173"/>
      <c r="BE401" s="173"/>
      <c r="BF401" s="173"/>
      <c r="BG401" s="173"/>
      <c r="BH401" s="173"/>
      <c r="BI401" s="173"/>
      <c r="BJ401" s="173"/>
      <c r="BK401" s="173"/>
      <c r="BL401" s="173"/>
      <c r="BM401" s="173"/>
      <c r="BN401" s="173"/>
      <c r="BO401" s="173"/>
      <c r="BP401" s="173"/>
      <c r="BQ401" s="173"/>
      <c r="BR401" s="173"/>
      <c r="BS401" s="173"/>
      <c r="BT401" s="173"/>
      <c r="BU401" s="173"/>
      <c r="BV401" s="173"/>
      <c r="BW401" s="173"/>
      <c r="BX401" s="173"/>
      <c r="BY401" s="173"/>
      <c r="BZ401" s="173"/>
      <c r="CA401" s="173"/>
      <c r="CB401" s="173"/>
      <c r="CC401" s="173"/>
      <c r="CD401" s="173"/>
      <c r="CE401" s="173"/>
      <c r="CF401" s="173"/>
      <c r="CG401" s="173"/>
      <c r="CH401" s="173"/>
      <c r="CI401" s="173"/>
      <c r="CJ401" s="173"/>
      <c r="CK401" s="173"/>
      <c r="CL401" s="173"/>
      <c r="CM401" s="173"/>
      <c r="CN401" s="173"/>
      <c r="CO401" s="173"/>
      <c r="CP401" s="173"/>
      <c r="CQ401" s="173"/>
      <c r="CR401" s="173"/>
      <c r="CS401" s="173"/>
      <c r="CT401" s="173"/>
      <c r="CU401" s="173"/>
      <c r="CV401" s="173"/>
      <c r="CW401" s="173"/>
      <c r="CX401" s="173"/>
      <c r="CY401" s="148"/>
      <c r="CZ401" s="148"/>
      <c r="DA401" s="148"/>
      <c r="DB401" s="148"/>
      <c r="DC401" s="148"/>
      <c r="DD401" s="148"/>
      <c r="DE401" s="148"/>
      <c r="DF401" s="148"/>
      <c r="DG401" s="148"/>
      <c r="DH401" s="148"/>
      <c r="DI401" s="148"/>
      <c r="DJ401" s="148"/>
      <c r="DK401" s="148"/>
      <c r="DL401" s="148"/>
      <c r="DM401" s="148"/>
      <c r="DN401" s="148"/>
      <c r="DO401" s="148"/>
      <c r="DP401" s="148"/>
      <c r="DQ401" s="148"/>
      <c r="DR401" s="148"/>
      <c r="DS401" s="148"/>
      <c r="DT401" s="148"/>
      <c r="DU401" s="148"/>
      <c r="DV401" s="148"/>
      <c r="DW401" s="148"/>
      <c r="DX401" s="148"/>
      <c r="DY401" s="148"/>
      <c r="DZ401" s="148"/>
      <c r="EA401" s="148"/>
      <c r="EB401" s="148"/>
      <c r="EC401" s="148"/>
      <c r="ED401" s="148"/>
      <c r="EE401" s="148"/>
      <c r="EF401" s="148"/>
      <c r="EG401" s="148"/>
      <c r="EH401" s="148"/>
      <c r="EI401" s="148"/>
      <c r="EJ401" s="148"/>
      <c r="EK401" s="148"/>
      <c r="EL401" s="148"/>
      <c r="EM401" s="148"/>
      <c r="EN401" s="148"/>
      <c r="EO401" s="148"/>
      <c r="EP401" s="148"/>
      <c r="EQ401" s="148"/>
      <c r="ER401" s="148"/>
      <c r="ES401" s="151"/>
      <c r="ET401" s="151"/>
      <c r="EU401" s="151"/>
      <c r="EV401" s="151"/>
      <c r="EW401" s="151"/>
      <c r="EX401" s="151"/>
      <c r="EY401" s="151"/>
      <c r="EZ401" s="151"/>
      <c r="FA401" s="151"/>
      <c r="FB401" s="151"/>
      <c r="FC401" s="151"/>
      <c r="FD401" s="151"/>
      <c r="FE401" s="151"/>
      <c r="FF401" s="151"/>
      <c r="FG401" s="151"/>
      <c r="FH401" s="151"/>
      <c r="FI401" s="151"/>
      <c r="FJ401" s="151"/>
      <c r="FK401" s="151"/>
      <c r="FL401" s="151"/>
      <c r="FM401" s="151"/>
      <c r="FN401" s="151"/>
      <c r="FO401" s="151"/>
      <c r="FP401" s="151"/>
      <c r="FQ401" s="151"/>
      <c r="FR401" s="151"/>
      <c r="FS401" s="151"/>
      <c r="FT401" s="151"/>
      <c r="FU401" s="151"/>
      <c r="FV401" s="151"/>
      <c r="FW401" s="151"/>
      <c r="FX401" s="151"/>
      <c r="FY401" s="151"/>
      <c r="FZ401" s="151"/>
      <c r="GA401" s="151"/>
      <c r="GB401" s="151"/>
      <c r="GC401" s="151"/>
      <c r="GD401" s="151"/>
      <c r="GE401" s="151"/>
      <c r="GF401" s="151"/>
      <c r="GG401" s="152"/>
    </row>
    <row r="402" spans="1:189" x14ac:dyDescent="0.35">
      <c r="A402" s="268"/>
      <c r="B402" s="221"/>
      <c r="C402" s="221"/>
      <c r="D402" s="222"/>
      <c r="E402" s="221"/>
      <c r="F402" s="221"/>
      <c r="G402" s="223"/>
      <c r="H402" s="224"/>
      <c r="I402" s="225"/>
      <c r="J402" s="225"/>
      <c r="K402" s="225"/>
      <c r="L402" s="226"/>
      <c r="M402" s="226"/>
      <c r="N402" s="226"/>
      <c r="O402" s="226"/>
      <c r="P402" s="226"/>
      <c r="Q402" s="227"/>
      <c r="R402" s="228"/>
      <c r="S402" s="228"/>
      <c r="T402" s="228"/>
      <c r="U402" s="191">
        <f t="shared" si="483"/>
        <v>0</v>
      </c>
      <c r="V402" s="230"/>
      <c r="W402" s="231"/>
      <c r="X402" s="46"/>
      <c r="Y402" s="167">
        <f t="shared" si="484"/>
        <v>0</v>
      </c>
      <c r="Z402" s="167">
        <f t="shared" si="485"/>
        <v>0</v>
      </c>
      <c r="AA402" s="167">
        <f t="shared" si="486"/>
        <v>0</v>
      </c>
      <c r="AB402" s="167">
        <f t="shared" si="487"/>
        <v>0</v>
      </c>
      <c r="AC402" s="167">
        <f t="shared" si="488"/>
        <v>0</v>
      </c>
      <c r="AD402" s="167">
        <f t="shared" si="489"/>
        <v>0</v>
      </c>
      <c r="AF402" s="47">
        <f t="shared" si="490"/>
        <v>0</v>
      </c>
      <c r="AG402" s="202" t="str">
        <f t="shared" si="491"/>
        <v xml:space="preserve"> </v>
      </c>
      <c r="AH402" s="172"/>
      <c r="AI402" s="173"/>
      <c r="AJ402" s="173"/>
      <c r="AK402" s="173"/>
      <c r="AL402" s="173"/>
      <c r="AM402" s="173"/>
      <c r="AN402" s="173"/>
      <c r="AO402" s="173"/>
      <c r="AP402" s="173"/>
      <c r="AQ402" s="173"/>
      <c r="AR402" s="173"/>
      <c r="AS402" s="173"/>
      <c r="AT402" s="173"/>
      <c r="AU402" s="173"/>
      <c r="AV402" s="173"/>
      <c r="AW402" s="173"/>
      <c r="AX402" s="173"/>
      <c r="AY402" s="173"/>
      <c r="AZ402" s="173"/>
      <c r="BA402" s="173"/>
      <c r="BB402" s="173"/>
      <c r="BC402" s="173"/>
      <c r="BD402" s="173"/>
      <c r="BE402" s="173"/>
      <c r="BF402" s="173"/>
      <c r="BG402" s="173"/>
      <c r="BH402" s="173"/>
      <c r="BI402" s="173"/>
      <c r="BJ402" s="173"/>
      <c r="BK402" s="173"/>
      <c r="BL402" s="173"/>
      <c r="BM402" s="173"/>
      <c r="BN402" s="173"/>
      <c r="BO402" s="173"/>
      <c r="BP402" s="173"/>
      <c r="BQ402" s="173"/>
      <c r="BR402" s="173"/>
      <c r="BS402" s="173"/>
      <c r="BT402" s="173"/>
      <c r="BU402" s="173"/>
      <c r="BV402" s="173"/>
      <c r="BW402" s="173"/>
      <c r="BX402" s="173"/>
      <c r="BY402" s="173"/>
      <c r="BZ402" s="173"/>
      <c r="CA402" s="173"/>
      <c r="CB402" s="173"/>
      <c r="CC402" s="173"/>
      <c r="CD402" s="173"/>
      <c r="CE402" s="173"/>
      <c r="CF402" s="173"/>
      <c r="CG402" s="173"/>
      <c r="CH402" s="173"/>
      <c r="CI402" s="173"/>
      <c r="CJ402" s="173"/>
      <c r="CK402" s="173"/>
      <c r="CL402" s="173"/>
      <c r="CM402" s="173"/>
      <c r="CN402" s="173"/>
      <c r="CO402" s="173"/>
      <c r="CP402" s="173"/>
      <c r="CQ402" s="173"/>
      <c r="CR402" s="173"/>
      <c r="CS402" s="173"/>
      <c r="CT402" s="173"/>
      <c r="CU402" s="173"/>
      <c r="CV402" s="173"/>
      <c r="CW402" s="173"/>
      <c r="CX402" s="173"/>
      <c r="CY402" s="148"/>
      <c r="CZ402" s="148"/>
      <c r="DA402" s="148"/>
      <c r="DB402" s="148"/>
      <c r="DC402" s="148"/>
      <c r="DD402" s="148"/>
      <c r="DE402" s="148"/>
      <c r="DF402" s="148"/>
      <c r="DG402" s="148"/>
      <c r="DH402" s="148"/>
      <c r="DI402" s="148"/>
      <c r="DJ402" s="148"/>
      <c r="DK402" s="148"/>
      <c r="DL402" s="148"/>
      <c r="DM402" s="148"/>
      <c r="DN402" s="148"/>
      <c r="DO402" s="148"/>
      <c r="DP402" s="148"/>
      <c r="DQ402" s="148"/>
      <c r="DR402" s="148"/>
      <c r="DS402" s="148"/>
      <c r="DT402" s="148"/>
      <c r="DU402" s="148"/>
      <c r="DV402" s="148"/>
      <c r="DW402" s="148"/>
      <c r="DX402" s="148"/>
      <c r="DY402" s="148"/>
      <c r="DZ402" s="148"/>
      <c r="EA402" s="148"/>
      <c r="EB402" s="148"/>
      <c r="EC402" s="148"/>
      <c r="ED402" s="148"/>
      <c r="EE402" s="148"/>
      <c r="EF402" s="148"/>
      <c r="EG402" s="148"/>
      <c r="EH402" s="148"/>
      <c r="EI402" s="148"/>
      <c r="EJ402" s="148"/>
      <c r="EK402" s="148"/>
      <c r="EL402" s="148"/>
      <c r="EM402" s="148"/>
      <c r="EN402" s="148"/>
      <c r="EO402" s="148"/>
      <c r="EP402" s="148"/>
      <c r="EQ402" s="148"/>
      <c r="ER402" s="148"/>
      <c r="ES402" s="151"/>
      <c r="ET402" s="151"/>
      <c r="EU402" s="151"/>
      <c r="EV402" s="151"/>
      <c r="EW402" s="151"/>
      <c r="EX402" s="151"/>
      <c r="EY402" s="151"/>
      <c r="EZ402" s="151"/>
      <c r="FA402" s="151"/>
      <c r="FB402" s="151"/>
      <c r="FC402" s="151"/>
      <c r="FD402" s="151"/>
      <c r="FE402" s="151"/>
      <c r="FF402" s="151"/>
      <c r="FG402" s="151"/>
      <c r="FH402" s="151"/>
      <c r="FI402" s="151"/>
      <c r="FJ402" s="151"/>
      <c r="FK402" s="151"/>
      <c r="FL402" s="151"/>
      <c r="FM402" s="151"/>
      <c r="FN402" s="151"/>
      <c r="FO402" s="151"/>
      <c r="FP402" s="151"/>
      <c r="FQ402" s="151"/>
      <c r="FR402" s="151"/>
      <c r="FS402" s="151"/>
      <c r="FT402" s="151"/>
      <c r="FU402" s="151"/>
      <c r="FV402" s="151"/>
      <c r="FW402" s="151"/>
      <c r="FX402" s="151"/>
      <c r="FY402" s="151"/>
      <c r="FZ402" s="151"/>
      <c r="GA402" s="151"/>
      <c r="GB402" s="151"/>
      <c r="GC402" s="151"/>
      <c r="GD402" s="151"/>
      <c r="GE402" s="151"/>
      <c r="GF402" s="151"/>
      <c r="GG402" s="152"/>
    </row>
    <row r="403" spans="1:189" x14ac:dyDescent="0.35">
      <c r="A403" s="268"/>
      <c r="B403" s="221"/>
      <c r="C403" s="221"/>
      <c r="D403" s="222"/>
      <c r="E403" s="221"/>
      <c r="F403" s="221"/>
      <c r="G403" s="223"/>
      <c r="H403" s="224"/>
      <c r="I403" s="225"/>
      <c r="J403" s="225"/>
      <c r="K403" s="225"/>
      <c r="L403" s="226"/>
      <c r="M403" s="226"/>
      <c r="N403" s="226"/>
      <c r="O403" s="226"/>
      <c r="P403" s="226"/>
      <c r="Q403" s="227"/>
      <c r="R403" s="228"/>
      <c r="S403" s="228"/>
      <c r="T403" s="228"/>
      <c r="U403" s="191">
        <f t="shared" si="483"/>
        <v>0</v>
      </c>
      <c r="V403" s="230"/>
      <c r="W403" s="231"/>
      <c r="X403" s="46"/>
      <c r="Y403" s="167">
        <f t="shared" si="484"/>
        <v>0</v>
      </c>
      <c r="Z403" s="167">
        <f t="shared" si="485"/>
        <v>0</v>
      </c>
      <c r="AA403" s="167">
        <f t="shared" si="486"/>
        <v>0</v>
      </c>
      <c r="AB403" s="167">
        <f t="shared" si="487"/>
        <v>0</v>
      </c>
      <c r="AC403" s="167">
        <f t="shared" si="488"/>
        <v>0</v>
      </c>
      <c r="AD403" s="167">
        <f t="shared" si="489"/>
        <v>0</v>
      </c>
      <c r="AF403" s="47">
        <f t="shared" si="490"/>
        <v>0</v>
      </c>
      <c r="AG403" s="202" t="str">
        <f t="shared" si="491"/>
        <v xml:space="preserve"> </v>
      </c>
      <c r="AH403" s="172"/>
      <c r="AI403" s="173"/>
      <c r="AJ403" s="173"/>
      <c r="AK403" s="173"/>
      <c r="AL403" s="173"/>
      <c r="AM403" s="173"/>
      <c r="AN403" s="173"/>
      <c r="AO403" s="173"/>
      <c r="AP403" s="173"/>
      <c r="AQ403" s="173"/>
      <c r="AR403" s="173"/>
      <c r="AS403" s="173"/>
      <c r="AT403" s="173"/>
      <c r="AU403" s="173"/>
      <c r="AV403" s="173"/>
      <c r="AW403" s="173"/>
      <c r="AX403" s="173"/>
      <c r="AY403" s="173"/>
      <c r="AZ403" s="173"/>
      <c r="BA403" s="173"/>
      <c r="BB403" s="173"/>
      <c r="BC403" s="173"/>
      <c r="BD403" s="173"/>
      <c r="BE403" s="173"/>
      <c r="BF403" s="173"/>
      <c r="BG403" s="173"/>
      <c r="BH403" s="173"/>
      <c r="BI403" s="173"/>
      <c r="BJ403" s="173"/>
      <c r="BK403" s="173"/>
      <c r="BL403" s="173"/>
      <c r="BM403" s="173"/>
      <c r="BN403" s="173"/>
      <c r="BO403" s="173"/>
      <c r="BP403" s="173"/>
      <c r="BQ403" s="173"/>
      <c r="BR403" s="173"/>
      <c r="BS403" s="173"/>
      <c r="BT403" s="173"/>
      <c r="BU403" s="173"/>
      <c r="BV403" s="173"/>
      <c r="BW403" s="173"/>
      <c r="BX403" s="173"/>
      <c r="BY403" s="173"/>
      <c r="BZ403" s="173"/>
      <c r="CA403" s="173"/>
      <c r="CB403" s="173"/>
      <c r="CC403" s="173"/>
      <c r="CD403" s="173"/>
      <c r="CE403" s="173"/>
      <c r="CF403" s="173"/>
      <c r="CG403" s="173"/>
      <c r="CH403" s="173"/>
      <c r="CI403" s="173"/>
      <c r="CJ403" s="173"/>
      <c r="CK403" s="173"/>
      <c r="CL403" s="173"/>
      <c r="CM403" s="173"/>
      <c r="CN403" s="173"/>
      <c r="CO403" s="173"/>
      <c r="CP403" s="173"/>
      <c r="CQ403" s="173"/>
      <c r="CR403" s="173"/>
      <c r="CS403" s="173"/>
      <c r="CT403" s="173"/>
      <c r="CU403" s="173"/>
      <c r="CV403" s="173"/>
      <c r="CW403" s="173"/>
      <c r="CX403" s="173"/>
      <c r="CY403" s="148"/>
      <c r="CZ403" s="148"/>
      <c r="DA403" s="148"/>
      <c r="DB403" s="148"/>
      <c r="DC403" s="148"/>
      <c r="DD403" s="148"/>
      <c r="DE403" s="148"/>
      <c r="DF403" s="148"/>
      <c r="DG403" s="148"/>
      <c r="DH403" s="148"/>
      <c r="DI403" s="148"/>
      <c r="DJ403" s="148"/>
      <c r="DK403" s="148"/>
      <c r="DL403" s="148"/>
      <c r="DM403" s="148"/>
      <c r="DN403" s="148"/>
      <c r="DO403" s="148"/>
      <c r="DP403" s="148"/>
      <c r="DQ403" s="148"/>
      <c r="DR403" s="148"/>
      <c r="DS403" s="148"/>
      <c r="DT403" s="148"/>
      <c r="DU403" s="148"/>
      <c r="DV403" s="148"/>
      <c r="DW403" s="148"/>
      <c r="DX403" s="148"/>
      <c r="DY403" s="148"/>
      <c r="DZ403" s="148"/>
      <c r="EA403" s="148"/>
      <c r="EB403" s="148"/>
      <c r="EC403" s="148"/>
      <c r="ED403" s="148"/>
      <c r="EE403" s="148"/>
      <c r="EF403" s="148"/>
      <c r="EG403" s="148"/>
      <c r="EH403" s="148"/>
      <c r="EI403" s="148"/>
      <c r="EJ403" s="148"/>
      <c r="EK403" s="148"/>
      <c r="EL403" s="148"/>
      <c r="EM403" s="148"/>
      <c r="EN403" s="148"/>
      <c r="EO403" s="148"/>
      <c r="EP403" s="148"/>
      <c r="EQ403" s="148"/>
      <c r="ER403" s="148"/>
      <c r="ES403" s="148"/>
      <c r="ET403" s="148"/>
      <c r="EU403" s="148"/>
      <c r="EV403" s="148"/>
      <c r="EW403" s="148"/>
      <c r="EX403" s="148"/>
      <c r="EY403" s="148"/>
      <c r="EZ403" s="148"/>
      <c r="FA403" s="148"/>
      <c r="FB403" s="148"/>
      <c r="FC403" s="148"/>
      <c r="FD403" s="148"/>
      <c r="FE403" s="148"/>
      <c r="FF403" s="148"/>
      <c r="FG403" s="148"/>
      <c r="FH403" s="148"/>
      <c r="FI403" s="148"/>
      <c r="FJ403" s="148"/>
      <c r="FK403" s="148"/>
      <c r="FL403" s="148"/>
      <c r="FM403" s="148"/>
      <c r="FN403" s="148"/>
      <c r="FO403" s="148"/>
      <c r="FP403" s="148"/>
      <c r="FQ403" s="148"/>
      <c r="FR403" s="148"/>
      <c r="FS403" s="148"/>
      <c r="FT403" s="148"/>
      <c r="FU403" s="148"/>
      <c r="FV403" s="148"/>
      <c r="FW403" s="148"/>
      <c r="FX403" s="148"/>
      <c r="FY403" s="148"/>
      <c r="FZ403" s="148"/>
      <c r="GA403" s="148"/>
      <c r="GB403" s="148"/>
      <c r="GC403" s="148"/>
      <c r="GD403" s="148"/>
      <c r="GE403" s="148"/>
      <c r="GF403" s="148"/>
      <c r="GG403" s="149"/>
    </row>
    <row r="404" spans="1:189" x14ac:dyDescent="0.35">
      <c r="A404" s="268"/>
      <c r="B404" s="221"/>
      <c r="C404" s="221"/>
      <c r="D404" s="222"/>
      <c r="E404" s="221"/>
      <c r="F404" s="221"/>
      <c r="G404" s="223"/>
      <c r="H404" s="224"/>
      <c r="I404" s="225"/>
      <c r="J404" s="225"/>
      <c r="K404" s="225"/>
      <c r="L404" s="226"/>
      <c r="M404" s="226"/>
      <c r="N404" s="226"/>
      <c r="O404" s="226"/>
      <c r="P404" s="226"/>
      <c r="Q404" s="227"/>
      <c r="R404" s="228"/>
      <c r="S404" s="228"/>
      <c r="T404" s="228"/>
      <c r="U404" s="191">
        <f t="shared" si="483"/>
        <v>0</v>
      </c>
      <c r="V404" s="230"/>
      <c r="W404" s="231"/>
      <c r="X404" s="46"/>
      <c r="Y404" s="167">
        <f t="shared" si="484"/>
        <v>0</v>
      </c>
      <c r="Z404" s="167">
        <f t="shared" si="485"/>
        <v>0</v>
      </c>
      <c r="AA404" s="167">
        <f t="shared" si="486"/>
        <v>0</v>
      </c>
      <c r="AB404" s="167">
        <f t="shared" si="487"/>
        <v>0</v>
      </c>
      <c r="AC404" s="167">
        <f t="shared" si="488"/>
        <v>0</v>
      </c>
      <c r="AD404" s="167">
        <f t="shared" si="489"/>
        <v>0</v>
      </c>
      <c r="AF404" s="47">
        <f t="shared" ref="AF404:AF467" si="492">IF(S404&lt;&gt;"",1,0)</f>
        <v>0</v>
      </c>
      <c r="AG404" s="202" t="str">
        <f t="shared" si="491"/>
        <v xml:space="preserve"> </v>
      </c>
      <c r="AH404" s="172"/>
      <c r="AI404" s="173"/>
      <c r="AJ404" s="173"/>
      <c r="AK404" s="173"/>
      <c r="AL404" s="173"/>
      <c r="AM404" s="173"/>
      <c r="AN404" s="173"/>
      <c r="AO404" s="173"/>
      <c r="AP404" s="173"/>
      <c r="AQ404" s="173"/>
      <c r="AR404" s="173"/>
      <c r="AS404" s="173"/>
      <c r="AT404" s="173"/>
      <c r="AU404" s="173"/>
      <c r="AV404" s="173"/>
      <c r="AW404" s="173"/>
      <c r="AX404" s="173"/>
      <c r="AY404" s="173"/>
      <c r="AZ404" s="173"/>
      <c r="BA404" s="173"/>
      <c r="BB404" s="173"/>
      <c r="BC404" s="173"/>
      <c r="BD404" s="173"/>
      <c r="BE404" s="173"/>
      <c r="BF404" s="173"/>
      <c r="BG404" s="173"/>
      <c r="BH404" s="173"/>
      <c r="BI404" s="173"/>
      <c r="BJ404" s="173"/>
      <c r="BK404" s="173"/>
      <c r="BL404" s="173"/>
      <c r="BM404" s="173"/>
      <c r="BN404" s="173"/>
      <c r="BO404" s="173"/>
      <c r="BP404" s="173"/>
      <c r="BQ404" s="173"/>
      <c r="BR404" s="173"/>
      <c r="BS404" s="173"/>
      <c r="BT404" s="173"/>
      <c r="BU404" s="173"/>
      <c r="BV404" s="173"/>
      <c r="BW404" s="173"/>
      <c r="BX404" s="173"/>
      <c r="BY404" s="173"/>
      <c r="BZ404" s="173"/>
      <c r="CA404" s="173"/>
      <c r="CB404" s="173"/>
      <c r="CC404" s="173"/>
      <c r="CD404" s="173"/>
      <c r="CE404" s="173"/>
      <c r="CF404" s="173"/>
      <c r="CG404" s="173"/>
      <c r="CH404" s="173"/>
      <c r="CI404" s="173"/>
      <c r="CJ404" s="173"/>
      <c r="CK404" s="173"/>
      <c r="CL404" s="173"/>
      <c r="CM404" s="173"/>
      <c r="CN404" s="173"/>
      <c r="CO404" s="173"/>
      <c r="CP404" s="173"/>
      <c r="CQ404" s="173"/>
      <c r="CR404" s="173"/>
      <c r="CS404" s="173"/>
      <c r="CT404" s="173"/>
      <c r="CU404" s="173"/>
      <c r="CV404" s="173"/>
      <c r="CW404" s="173"/>
      <c r="CX404" s="173"/>
      <c r="CY404" s="148"/>
      <c r="CZ404" s="148"/>
      <c r="DA404" s="148"/>
      <c r="DB404" s="148"/>
      <c r="DC404" s="148"/>
      <c r="DD404" s="148"/>
      <c r="DE404" s="148"/>
      <c r="DF404" s="148"/>
      <c r="DG404" s="148"/>
      <c r="DH404" s="148"/>
      <c r="DI404" s="148"/>
      <c r="DJ404" s="148"/>
      <c r="DK404" s="148"/>
      <c r="DL404" s="148"/>
      <c r="DM404" s="148"/>
      <c r="DN404" s="148"/>
      <c r="DO404" s="148"/>
      <c r="DP404" s="148"/>
      <c r="DQ404" s="148"/>
      <c r="DR404" s="148"/>
      <c r="DS404" s="148"/>
      <c r="DT404" s="148"/>
      <c r="DU404" s="148"/>
      <c r="DV404" s="148"/>
      <c r="DW404" s="148"/>
      <c r="DX404" s="148"/>
      <c r="DY404" s="148"/>
      <c r="DZ404" s="148"/>
      <c r="EA404" s="148"/>
      <c r="EB404" s="148"/>
      <c r="EC404" s="148"/>
      <c r="ED404" s="148"/>
      <c r="EE404" s="148"/>
      <c r="EF404" s="148"/>
      <c r="EG404" s="148"/>
      <c r="EH404" s="148"/>
      <c r="EI404" s="148"/>
      <c r="EJ404" s="148"/>
      <c r="EK404" s="148"/>
      <c r="EL404" s="148"/>
      <c r="EM404" s="148"/>
      <c r="EN404" s="148"/>
      <c r="EO404" s="148"/>
      <c r="EP404" s="148"/>
      <c r="EQ404" s="148"/>
      <c r="ER404" s="148"/>
      <c r="ES404" s="151"/>
      <c r="ET404" s="151"/>
      <c r="EU404" s="151"/>
      <c r="EV404" s="151"/>
      <c r="EW404" s="151"/>
      <c r="EX404" s="151"/>
      <c r="EY404" s="151"/>
      <c r="EZ404" s="151"/>
      <c r="FA404" s="151"/>
      <c r="FB404" s="151"/>
      <c r="FC404" s="151"/>
      <c r="FD404" s="151"/>
      <c r="FE404" s="151"/>
      <c r="FF404" s="151"/>
      <c r="FG404" s="151"/>
      <c r="FH404" s="151"/>
      <c r="FI404" s="151"/>
      <c r="FJ404" s="151"/>
      <c r="FK404" s="151"/>
      <c r="FL404" s="151"/>
      <c r="FM404" s="151"/>
      <c r="FN404" s="151"/>
      <c r="FO404" s="151"/>
      <c r="FP404" s="151"/>
      <c r="FQ404" s="151"/>
      <c r="FR404" s="151"/>
      <c r="FS404" s="151"/>
      <c r="FT404" s="151"/>
      <c r="FU404" s="151"/>
      <c r="FV404" s="151"/>
      <c r="FW404" s="151"/>
      <c r="FX404" s="151"/>
      <c r="FY404" s="151"/>
      <c r="FZ404" s="151"/>
      <c r="GA404" s="151"/>
      <c r="GB404" s="151"/>
      <c r="GC404" s="151"/>
      <c r="GD404" s="151"/>
      <c r="GE404" s="151"/>
      <c r="GF404" s="151"/>
      <c r="GG404" s="152"/>
    </row>
    <row r="405" spans="1:189" x14ac:dyDescent="0.35">
      <c r="A405" s="268"/>
      <c r="B405" s="221"/>
      <c r="C405" s="221"/>
      <c r="D405" s="222"/>
      <c r="E405" s="221"/>
      <c r="F405" s="221"/>
      <c r="G405" s="223"/>
      <c r="H405" s="224"/>
      <c r="I405" s="225"/>
      <c r="J405" s="225"/>
      <c r="K405" s="225"/>
      <c r="L405" s="226"/>
      <c r="M405" s="226"/>
      <c r="N405" s="226"/>
      <c r="O405" s="226"/>
      <c r="P405" s="226"/>
      <c r="Q405" s="227"/>
      <c r="R405" s="228"/>
      <c r="S405" s="228"/>
      <c r="T405" s="228"/>
      <c r="U405" s="191">
        <f t="shared" si="483"/>
        <v>0</v>
      </c>
      <c r="V405" s="230"/>
      <c r="W405" s="231"/>
      <c r="X405" s="46"/>
      <c r="Y405" s="167">
        <f t="shared" si="484"/>
        <v>0</v>
      </c>
      <c r="Z405" s="167">
        <f t="shared" si="485"/>
        <v>0</v>
      </c>
      <c r="AA405" s="167">
        <f t="shared" si="486"/>
        <v>0</v>
      </c>
      <c r="AB405" s="167">
        <f t="shared" si="487"/>
        <v>0</v>
      </c>
      <c r="AC405" s="167">
        <f t="shared" si="488"/>
        <v>0</v>
      </c>
      <c r="AD405" s="167">
        <f t="shared" si="489"/>
        <v>0</v>
      </c>
      <c r="AF405" s="47">
        <f t="shared" si="492"/>
        <v>0</v>
      </c>
      <c r="AG405" s="202" t="str">
        <f t="shared" si="491"/>
        <v xml:space="preserve"> </v>
      </c>
      <c r="AH405" s="172"/>
      <c r="AI405" s="173"/>
      <c r="AJ405" s="173"/>
      <c r="AK405" s="173"/>
      <c r="AL405" s="173"/>
      <c r="AM405" s="173"/>
      <c r="AN405" s="173"/>
      <c r="AO405" s="173"/>
      <c r="AP405" s="173"/>
      <c r="AQ405" s="173"/>
      <c r="AR405" s="173"/>
      <c r="AS405" s="173"/>
      <c r="AT405" s="173"/>
      <c r="AU405" s="173"/>
      <c r="AV405" s="173"/>
      <c r="AW405" s="173"/>
      <c r="AX405" s="173"/>
      <c r="AY405" s="173"/>
      <c r="AZ405" s="173"/>
      <c r="BA405" s="173"/>
      <c r="BB405" s="173"/>
      <c r="BC405" s="173"/>
      <c r="BD405" s="173"/>
      <c r="BE405" s="173"/>
      <c r="BF405" s="173"/>
      <c r="BG405" s="173"/>
      <c r="BH405" s="173"/>
      <c r="BI405" s="173"/>
      <c r="BJ405" s="173"/>
      <c r="BK405" s="173"/>
      <c r="BL405" s="173"/>
      <c r="BM405" s="173"/>
      <c r="BN405" s="173"/>
      <c r="BO405" s="173"/>
      <c r="BP405" s="173"/>
      <c r="BQ405" s="173"/>
      <c r="BR405" s="173"/>
      <c r="BS405" s="173"/>
      <c r="BT405" s="173"/>
      <c r="BU405" s="173"/>
      <c r="BV405" s="173"/>
      <c r="BW405" s="173"/>
      <c r="BX405" s="173"/>
      <c r="BY405" s="173"/>
      <c r="BZ405" s="173"/>
      <c r="CA405" s="173"/>
      <c r="CB405" s="173"/>
      <c r="CC405" s="173"/>
      <c r="CD405" s="173"/>
      <c r="CE405" s="173"/>
      <c r="CF405" s="173"/>
      <c r="CG405" s="173"/>
      <c r="CH405" s="173"/>
      <c r="CI405" s="173"/>
      <c r="CJ405" s="173"/>
      <c r="CK405" s="173"/>
      <c r="CL405" s="173"/>
      <c r="CM405" s="173"/>
      <c r="CN405" s="173"/>
      <c r="CO405" s="173"/>
      <c r="CP405" s="173"/>
      <c r="CQ405" s="173"/>
      <c r="CR405" s="173"/>
      <c r="CS405" s="173"/>
      <c r="CT405" s="173"/>
      <c r="CU405" s="173"/>
      <c r="CV405" s="173"/>
      <c r="CW405" s="173"/>
      <c r="CX405" s="173"/>
      <c r="CY405" s="148"/>
      <c r="CZ405" s="148"/>
      <c r="DA405" s="148"/>
      <c r="DB405" s="148"/>
      <c r="DC405" s="148"/>
      <c r="DD405" s="148"/>
      <c r="DE405" s="148"/>
      <c r="DF405" s="148"/>
      <c r="DG405" s="148"/>
      <c r="DH405" s="148"/>
      <c r="DI405" s="148"/>
      <c r="DJ405" s="148"/>
      <c r="DK405" s="148"/>
      <c r="DL405" s="148"/>
      <c r="DM405" s="148"/>
      <c r="DN405" s="148"/>
      <c r="DO405" s="148"/>
      <c r="DP405" s="148"/>
      <c r="DQ405" s="148"/>
      <c r="DR405" s="148"/>
      <c r="DS405" s="148"/>
      <c r="DT405" s="148"/>
      <c r="DU405" s="148"/>
      <c r="DV405" s="148"/>
      <c r="DW405" s="148"/>
      <c r="DX405" s="148"/>
      <c r="DY405" s="148"/>
      <c r="DZ405" s="148"/>
      <c r="EA405" s="148"/>
      <c r="EB405" s="148"/>
      <c r="EC405" s="148"/>
      <c r="ED405" s="148"/>
      <c r="EE405" s="148"/>
      <c r="EF405" s="148"/>
      <c r="EG405" s="148"/>
      <c r="EH405" s="148"/>
      <c r="EI405" s="148"/>
      <c r="EJ405" s="148"/>
      <c r="EK405" s="148"/>
      <c r="EL405" s="148"/>
      <c r="EM405" s="148"/>
      <c r="EN405" s="148"/>
      <c r="EO405" s="148"/>
      <c r="EP405" s="148"/>
      <c r="EQ405" s="148"/>
      <c r="ER405" s="148"/>
      <c r="ES405" s="151"/>
      <c r="ET405" s="151"/>
      <c r="EU405" s="151"/>
      <c r="EV405" s="151"/>
      <c r="EW405" s="151"/>
      <c r="EX405" s="151"/>
      <c r="EY405" s="151"/>
      <c r="EZ405" s="151"/>
      <c r="FA405" s="151"/>
      <c r="FB405" s="151"/>
      <c r="FC405" s="151"/>
      <c r="FD405" s="151"/>
      <c r="FE405" s="151"/>
      <c r="FF405" s="151"/>
      <c r="FG405" s="151"/>
      <c r="FH405" s="151"/>
      <c r="FI405" s="151"/>
      <c r="FJ405" s="151"/>
      <c r="FK405" s="151"/>
      <c r="FL405" s="151"/>
      <c r="FM405" s="151"/>
      <c r="FN405" s="151"/>
      <c r="FO405" s="151"/>
      <c r="FP405" s="151"/>
      <c r="FQ405" s="151"/>
      <c r="FR405" s="151"/>
      <c r="FS405" s="151"/>
      <c r="FT405" s="151"/>
      <c r="FU405" s="151"/>
      <c r="FV405" s="151"/>
      <c r="FW405" s="151"/>
      <c r="FX405" s="151"/>
      <c r="FY405" s="151"/>
      <c r="FZ405" s="151"/>
      <c r="GA405" s="151"/>
      <c r="GB405" s="151"/>
      <c r="GC405" s="151"/>
      <c r="GD405" s="151"/>
      <c r="GE405" s="151"/>
      <c r="GF405" s="151"/>
      <c r="GG405" s="152"/>
    </row>
    <row r="406" spans="1:189" x14ac:dyDescent="0.35">
      <c r="A406" s="268"/>
      <c r="B406" s="221"/>
      <c r="C406" s="221"/>
      <c r="D406" s="222"/>
      <c r="E406" s="221"/>
      <c r="F406" s="221"/>
      <c r="G406" s="223"/>
      <c r="H406" s="224"/>
      <c r="I406" s="225"/>
      <c r="J406" s="225"/>
      <c r="K406" s="225"/>
      <c r="L406" s="226"/>
      <c r="M406" s="226"/>
      <c r="N406" s="226"/>
      <c r="O406" s="226"/>
      <c r="P406" s="226"/>
      <c r="Q406" s="227"/>
      <c r="R406" s="228"/>
      <c r="S406" s="228"/>
      <c r="T406" s="228"/>
      <c r="U406" s="191">
        <f t="shared" si="483"/>
        <v>0</v>
      </c>
      <c r="V406" s="230"/>
      <c r="W406" s="231"/>
      <c r="X406" s="46"/>
      <c r="Y406" s="167">
        <f t="shared" si="484"/>
        <v>0</v>
      </c>
      <c r="Z406" s="167">
        <f t="shared" si="485"/>
        <v>0</v>
      </c>
      <c r="AA406" s="167">
        <f t="shared" si="486"/>
        <v>0</v>
      </c>
      <c r="AB406" s="167">
        <f t="shared" si="487"/>
        <v>0</v>
      </c>
      <c r="AC406" s="167">
        <f t="shared" si="488"/>
        <v>0</v>
      </c>
      <c r="AD406" s="167">
        <f t="shared" si="489"/>
        <v>0</v>
      </c>
      <c r="AF406" s="47">
        <f t="shared" si="492"/>
        <v>0</v>
      </c>
      <c r="AG406" s="202" t="str">
        <f t="shared" si="491"/>
        <v xml:space="preserve"> </v>
      </c>
      <c r="AH406" s="172"/>
      <c r="AI406" s="173"/>
      <c r="AJ406" s="173"/>
      <c r="AK406" s="173"/>
      <c r="AL406" s="173"/>
      <c r="AM406" s="173"/>
      <c r="AN406" s="173"/>
      <c r="AO406" s="173"/>
      <c r="AP406" s="173"/>
      <c r="AQ406" s="173"/>
      <c r="AR406" s="173"/>
      <c r="AS406" s="173"/>
      <c r="AT406" s="173"/>
      <c r="AU406" s="173"/>
      <c r="AV406" s="173"/>
      <c r="AW406" s="173"/>
      <c r="AX406" s="173"/>
      <c r="AY406" s="173"/>
      <c r="AZ406" s="173"/>
      <c r="BA406" s="173"/>
      <c r="BB406" s="173"/>
      <c r="BC406" s="173"/>
      <c r="BD406" s="173"/>
      <c r="BE406" s="173"/>
      <c r="BF406" s="173"/>
      <c r="BG406" s="173"/>
      <c r="BH406" s="173"/>
      <c r="BI406" s="173"/>
      <c r="BJ406" s="173"/>
      <c r="BK406" s="173"/>
      <c r="BL406" s="173"/>
      <c r="BM406" s="173"/>
      <c r="BN406" s="173"/>
      <c r="BO406" s="173"/>
      <c r="BP406" s="173"/>
      <c r="BQ406" s="173"/>
      <c r="BR406" s="173"/>
      <c r="BS406" s="173"/>
      <c r="BT406" s="173"/>
      <c r="BU406" s="173"/>
      <c r="BV406" s="173"/>
      <c r="BW406" s="173"/>
      <c r="BX406" s="173"/>
      <c r="BY406" s="173"/>
      <c r="BZ406" s="173"/>
      <c r="CA406" s="173"/>
      <c r="CB406" s="173"/>
      <c r="CC406" s="173"/>
      <c r="CD406" s="173"/>
      <c r="CE406" s="173"/>
      <c r="CF406" s="173"/>
      <c r="CG406" s="173"/>
      <c r="CH406" s="173"/>
      <c r="CI406" s="173"/>
      <c r="CJ406" s="173"/>
      <c r="CK406" s="173"/>
      <c r="CL406" s="173"/>
      <c r="CM406" s="173"/>
      <c r="CN406" s="173"/>
      <c r="CO406" s="173"/>
      <c r="CP406" s="173"/>
      <c r="CQ406" s="173"/>
      <c r="CR406" s="173"/>
      <c r="CS406" s="173"/>
      <c r="CT406" s="173"/>
      <c r="CU406" s="173"/>
      <c r="CV406" s="173"/>
      <c r="CW406" s="173"/>
      <c r="CX406" s="173"/>
      <c r="CY406" s="148"/>
      <c r="CZ406" s="148"/>
      <c r="DA406" s="148"/>
      <c r="DB406" s="148"/>
      <c r="DC406" s="148"/>
      <c r="DD406" s="148"/>
      <c r="DE406" s="148"/>
      <c r="DF406" s="148"/>
      <c r="DG406" s="148"/>
      <c r="DH406" s="148"/>
      <c r="DI406" s="148"/>
      <c r="DJ406" s="148"/>
      <c r="DK406" s="148"/>
      <c r="DL406" s="148"/>
      <c r="DM406" s="148"/>
      <c r="DN406" s="148"/>
      <c r="DO406" s="148"/>
      <c r="DP406" s="148"/>
      <c r="DQ406" s="148"/>
      <c r="DR406" s="148"/>
      <c r="DS406" s="148"/>
      <c r="DT406" s="148"/>
      <c r="DU406" s="148"/>
      <c r="DV406" s="148"/>
      <c r="DW406" s="148"/>
      <c r="DX406" s="148"/>
      <c r="DY406" s="148"/>
      <c r="DZ406" s="148"/>
      <c r="EA406" s="148"/>
      <c r="EB406" s="148"/>
      <c r="EC406" s="148"/>
      <c r="ED406" s="148"/>
      <c r="EE406" s="148"/>
      <c r="EF406" s="148"/>
      <c r="EG406" s="148"/>
      <c r="EH406" s="148"/>
      <c r="EI406" s="148"/>
      <c r="EJ406" s="148"/>
      <c r="EK406" s="148"/>
      <c r="EL406" s="148"/>
      <c r="EM406" s="148"/>
      <c r="EN406" s="148"/>
      <c r="EO406" s="148"/>
      <c r="EP406" s="148"/>
      <c r="EQ406" s="148"/>
      <c r="ER406" s="148"/>
      <c r="ES406" s="151"/>
      <c r="ET406" s="151"/>
      <c r="EU406" s="151"/>
      <c r="EV406" s="151"/>
      <c r="EW406" s="151"/>
      <c r="EX406" s="151"/>
      <c r="EY406" s="151"/>
      <c r="EZ406" s="151"/>
      <c r="FA406" s="151"/>
      <c r="FB406" s="151"/>
      <c r="FC406" s="151"/>
      <c r="FD406" s="151"/>
      <c r="FE406" s="151"/>
      <c r="FF406" s="151"/>
      <c r="FG406" s="151"/>
      <c r="FH406" s="151"/>
      <c r="FI406" s="151"/>
      <c r="FJ406" s="151"/>
      <c r="FK406" s="151"/>
      <c r="FL406" s="151"/>
      <c r="FM406" s="151"/>
      <c r="FN406" s="151"/>
      <c r="FO406" s="151"/>
      <c r="FP406" s="151"/>
      <c r="FQ406" s="151"/>
      <c r="FR406" s="151"/>
      <c r="FS406" s="151"/>
      <c r="FT406" s="151"/>
      <c r="FU406" s="151"/>
      <c r="FV406" s="151"/>
      <c r="FW406" s="151"/>
      <c r="FX406" s="151"/>
      <c r="FY406" s="151"/>
      <c r="FZ406" s="151"/>
      <c r="GA406" s="151"/>
      <c r="GB406" s="151"/>
      <c r="GC406" s="151"/>
      <c r="GD406" s="151"/>
      <c r="GE406" s="151"/>
      <c r="GF406" s="151"/>
      <c r="GG406" s="152"/>
    </row>
    <row r="407" spans="1:189" x14ac:dyDescent="0.35">
      <c r="A407" s="268"/>
      <c r="B407" s="221"/>
      <c r="C407" s="221"/>
      <c r="D407" s="222"/>
      <c r="E407" s="221"/>
      <c r="F407" s="221"/>
      <c r="G407" s="223"/>
      <c r="H407" s="224"/>
      <c r="I407" s="225"/>
      <c r="J407" s="225"/>
      <c r="K407" s="225"/>
      <c r="L407" s="226"/>
      <c r="M407" s="226"/>
      <c r="N407" s="226"/>
      <c r="O407" s="226"/>
      <c r="P407" s="226"/>
      <c r="Q407" s="227"/>
      <c r="R407" s="228"/>
      <c r="S407" s="228"/>
      <c r="T407" s="228"/>
      <c r="U407" s="191">
        <f t="shared" si="483"/>
        <v>0</v>
      </c>
      <c r="V407" s="230"/>
      <c r="W407" s="231"/>
      <c r="X407" s="46"/>
      <c r="Y407" s="167">
        <f t="shared" si="484"/>
        <v>0</v>
      </c>
      <c r="Z407" s="167">
        <f t="shared" si="485"/>
        <v>0</v>
      </c>
      <c r="AA407" s="167">
        <f t="shared" si="486"/>
        <v>0</v>
      </c>
      <c r="AB407" s="167">
        <f t="shared" si="487"/>
        <v>0</v>
      </c>
      <c r="AC407" s="167">
        <f t="shared" si="488"/>
        <v>0</v>
      </c>
      <c r="AD407" s="167">
        <f t="shared" si="489"/>
        <v>0</v>
      </c>
      <c r="AF407" s="47">
        <f t="shared" si="492"/>
        <v>0</v>
      </c>
      <c r="AG407" s="202" t="str">
        <f t="shared" si="491"/>
        <v xml:space="preserve"> </v>
      </c>
      <c r="AH407" s="172"/>
      <c r="AI407" s="173"/>
      <c r="AJ407" s="173"/>
      <c r="AK407" s="173"/>
      <c r="AL407" s="173"/>
      <c r="AM407" s="173"/>
      <c r="AN407" s="173"/>
      <c r="AO407" s="173"/>
      <c r="AP407" s="173"/>
      <c r="AQ407" s="173"/>
      <c r="AR407" s="173"/>
      <c r="AS407" s="173"/>
      <c r="AT407" s="173"/>
      <c r="AU407" s="173"/>
      <c r="AV407" s="173"/>
      <c r="AW407" s="173"/>
      <c r="AX407" s="173"/>
      <c r="AY407" s="173"/>
      <c r="AZ407" s="173"/>
      <c r="BA407" s="173"/>
      <c r="BB407" s="173"/>
      <c r="BC407" s="173"/>
      <c r="BD407" s="173"/>
      <c r="BE407" s="173"/>
      <c r="BF407" s="173"/>
      <c r="BG407" s="173"/>
      <c r="BH407" s="173"/>
      <c r="BI407" s="173"/>
      <c r="BJ407" s="173"/>
      <c r="BK407" s="173"/>
      <c r="BL407" s="173"/>
      <c r="BM407" s="173"/>
      <c r="BN407" s="173"/>
      <c r="BO407" s="173"/>
      <c r="BP407" s="173"/>
      <c r="BQ407" s="173"/>
      <c r="BR407" s="173"/>
      <c r="BS407" s="173"/>
      <c r="BT407" s="173"/>
      <c r="BU407" s="173"/>
      <c r="BV407" s="173"/>
      <c r="BW407" s="173"/>
      <c r="BX407" s="173"/>
      <c r="BY407" s="173"/>
      <c r="BZ407" s="173"/>
      <c r="CA407" s="173"/>
      <c r="CB407" s="173"/>
      <c r="CC407" s="173"/>
      <c r="CD407" s="173"/>
      <c r="CE407" s="173"/>
      <c r="CF407" s="173"/>
      <c r="CG407" s="173"/>
      <c r="CH407" s="173"/>
      <c r="CI407" s="173"/>
      <c r="CJ407" s="173"/>
      <c r="CK407" s="173"/>
      <c r="CL407" s="173"/>
      <c r="CM407" s="173"/>
      <c r="CN407" s="173"/>
      <c r="CO407" s="173"/>
      <c r="CP407" s="173"/>
      <c r="CQ407" s="173"/>
      <c r="CR407" s="173"/>
      <c r="CS407" s="173"/>
      <c r="CT407" s="173"/>
      <c r="CU407" s="173"/>
      <c r="CV407" s="173"/>
      <c r="CW407" s="173"/>
      <c r="CX407" s="173"/>
      <c r="CY407" s="148"/>
      <c r="CZ407" s="148"/>
      <c r="DA407" s="148"/>
      <c r="DB407" s="148"/>
      <c r="DC407" s="148"/>
      <c r="DD407" s="148"/>
      <c r="DE407" s="148"/>
      <c r="DF407" s="148"/>
      <c r="DG407" s="148"/>
      <c r="DH407" s="148"/>
      <c r="DI407" s="148"/>
      <c r="DJ407" s="148"/>
      <c r="DK407" s="148"/>
      <c r="DL407" s="148"/>
      <c r="DM407" s="148"/>
      <c r="DN407" s="148"/>
      <c r="DO407" s="148"/>
      <c r="DP407" s="148"/>
      <c r="DQ407" s="148"/>
      <c r="DR407" s="148"/>
      <c r="DS407" s="148"/>
      <c r="DT407" s="148"/>
      <c r="DU407" s="148"/>
      <c r="DV407" s="148"/>
      <c r="DW407" s="148"/>
      <c r="DX407" s="148"/>
      <c r="DY407" s="148"/>
      <c r="DZ407" s="148"/>
      <c r="EA407" s="148"/>
      <c r="EB407" s="148"/>
      <c r="EC407" s="148"/>
      <c r="ED407" s="148"/>
      <c r="EE407" s="148"/>
      <c r="EF407" s="148"/>
      <c r="EG407" s="148"/>
      <c r="EH407" s="148"/>
      <c r="EI407" s="148"/>
      <c r="EJ407" s="148"/>
      <c r="EK407" s="148"/>
      <c r="EL407" s="148"/>
      <c r="EM407" s="148"/>
      <c r="EN407" s="148"/>
      <c r="EO407" s="148"/>
      <c r="EP407" s="148"/>
      <c r="EQ407" s="148"/>
      <c r="ER407" s="148"/>
      <c r="ES407" s="148"/>
      <c r="ET407" s="148"/>
      <c r="EU407" s="148"/>
      <c r="EV407" s="148"/>
      <c r="EW407" s="148"/>
      <c r="EX407" s="148"/>
      <c r="EY407" s="148"/>
      <c r="EZ407" s="148"/>
      <c r="FA407" s="148"/>
      <c r="FB407" s="148"/>
      <c r="FC407" s="148"/>
      <c r="FD407" s="148"/>
      <c r="FE407" s="148"/>
      <c r="FF407" s="148"/>
      <c r="FG407" s="148"/>
      <c r="FH407" s="148"/>
      <c r="FI407" s="148"/>
      <c r="FJ407" s="148"/>
      <c r="FK407" s="148"/>
      <c r="FL407" s="148"/>
      <c r="FM407" s="148"/>
      <c r="FN407" s="148"/>
      <c r="FO407" s="148"/>
      <c r="FP407" s="148"/>
      <c r="FQ407" s="148"/>
      <c r="FR407" s="148"/>
      <c r="FS407" s="148"/>
      <c r="FT407" s="148"/>
      <c r="FU407" s="148"/>
      <c r="FV407" s="148"/>
      <c r="FW407" s="148"/>
      <c r="FX407" s="148"/>
      <c r="FY407" s="148"/>
      <c r="FZ407" s="148"/>
      <c r="GA407" s="148"/>
      <c r="GB407" s="148"/>
      <c r="GC407" s="148"/>
      <c r="GD407" s="148"/>
      <c r="GE407" s="148"/>
      <c r="GF407" s="148"/>
      <c r="GG407" s="149"/>
    </row>
    <row r="408" spans="1:189" x14ac:dyDescent="0.35">
      <c r="A408" s="268"/>
      <c r="B408" s="221"/>
      <c r="C408" s="221"/>
      <c r="D408" s="222"/>
      <c r="E408" s="221"/>
      <c r="F408" s="221"/>
      <c r="G408" s="223"/>
      <c r="H408" s="224"/>
      <c r="I408" s="225"/>
      <c r="J408" s="225"/>
      <c r="K408" s="225"/>
      <c r="L408" s="226"/>
      <c r="M408" s="226"/>
      <c r="N408" s="226"/>
      <c r="O408" s="226"/>
      <c r="P408" s="226"/>
      <c r="Q408" s="227"/>
      <c r="R408" s="228"/>
      <c r="S408" s="228"/>
      <c r="T408" s="228"/>
      <c r="U408" s="191">
        <f t="shared" si="483"/>
        <v>0</v>
      </c>
      <c r="V408" s="230"/>
      <c r="W408" s="231"/>
      <c r="X408" s="46"/>
      <c r="Y408" s="167">
        <f t="shared" si="484"/>
        <v>0</v>
      </c>
      <c r="Z408" s="167">
        <f t="shared" si="485"/>
        <v>0</v>
      </c>
      <c r="AA408" s="167">
        <f t="shared" si="486"/>
        <v>0</v>
      </c>
      <c r="AB408" s="167">
        <f t="shared" si="487"/>
        <v>0</v>
      </c>
      <c r="AC408" s="167">
        <f t="shared" si="488"/>
        <v>0</v>
      </c>
      <c r="AD408" s="167">
        <f t="shared" si="489"/>
        <v>0</v>
      </c>
      <c r="AF408" s="47">
        <f t="shared" si="492"/>
        <v>0</v>
      </c>
      <c r="AG408" s="202" t="str">
        <f t="shared" si="491"/>
        <v xml:space="preserve"> </v>
      </c>
      <c r="AH408" s="172"/>
      <c r="AI408" s="173"/>
      <c r="AJ408" s="173"/>
      <c r="AK408" s="173"/>
      <c r="AL408" s="173"/>
      <c r="AM408" s="173"/>
      <c r="AN408" s="173"/>
      <c r="AO408" s="173"/>
      <c r="AP408" s="173"/>
      <c r="AQ408" s="173"/>
      <c r="AR408" s="173"/>
      <c r="AS408" s="173"/>
      <c r="AT408" s="173"/>
      <c r="AU408" s="173"/>
      <c r="AV408" s="173"/>
      <c r="AW408" s="173"/>
      <c r="AX408" s="173"/>
      <c r="AY408" s="173"/>
      <c r="AZ408" s="173"/>
      <c r="BA408" s="173"/>
      <c r="BB408" s="173"/>
      <c r="BC408" s="173"/>
      <c r="BD408" s="173"/>
      <c r="BE408" s="173"/>
      <c r="BF408" s="173"/>
      <c r="BG408" s="173"/>
      <c r="BH408" s="173"/>
      <c r="BI408" s="173"/>
      <c r="BJ408" s="173"/>
      <c r="BK408" s="173"/>
      <c r="BL408" s="173"/>
      <c r="BM408" s="173"/>
      <c r="BN408" s="173"/>
      <c r="BO408" s="173"/>
      <c r="BP408" s="173"/>
      <c r="BQ408" s="173"/>
      <c r="BR408" s="173"/>
      <c r="BS408" s="173"/>
      <c r="BT408" s="173"/>
      <c r="BU408" s="173"/>
      <c r="BV408" s="173"/>
      <c r="BW408" s="173"/>
      <c r="BX408" s="173"/>
      <c r="BY408" s="173"/>
      <c r="BZ408" s="173"/>
      <c r="CA408" s="173"/>
      <c r="CB408" s="173"/>
      <c r="CC408" s="173"/>
      <c r="CD408" s="173"/>
      <c r="CE408" s="173"/>
      <c r="CF408" s="173"/>
      <c r="CG408" s="173"/>
      <c r="CH408" s="173"/>
      <c r="CI408" s="173"/>
      <c r="CJ408" s="173"/>
      <c r="CK408" s="173"/>
      <c r="CL408" s="173"/>
      <c r="CM408" s="173"/>
      <c r="CN408" s="173"/>
      <c r="CO408" s="173"/>
      <c r="CP408" s="173"/>
      <c r="CQ408" s="173"/>
      <c r="CR408" s="173"/>
      <c r="CS408" s="173"/>
      <c r="CT408" s="173"/>
      <c r="CU408" s="173"/>
      <c r="CV408" s="173"/>
      <c r="CW408" s="173"/>
      <c r="CX408" s="173"/>
      <c r="CY408" s="148"/>
      <c r="CZ408" s="148"/>
      <c r="DA408" s="148"/>
      <c r="DB408" s="148"/>
      <c r="DC408" s="148"/>
      <c r="DD408" s="148"/>
      <c r="DE408" s="148"/>
      <c r="DF408" s="148"/>
      <c r="DG408" s="148"/>
      <c r="DH408" s="148"/>
      <c r="DI408" s="148"/>
      <c r="DJ408" s="148"/>
      <c r="DK408" s="148"/>
      <c r="DL408" s="148"/>
      <c r="DM408" s="148"/>
      <c r="DN408" s="148"/>
      <c r="DO408" s="148"/>
      <c r="DP408" s="148"/>
      <c r="DQ408" s="148"/>
      <c r="DR408" s="148"/>
      <c r="DS408" s="148"/>
      <c r="DT408" s="148"/>
      <c r="DU408" s="148"/>
      <c r="DV408" s="148"/>
      <c r="DW408" s="148"/>
      <c r="DX408" s="148"/>
      <c r="DY408" s="148"/>
      <c r="DZ408" s="148"/>
      <c r="EA408" s="148"/>
      <c r="EB408" s="148"/>
      <c r="EC408" s="148"/>
      <c r="ED408" s="148"/>
      <c r="EE408" s="148"/>
      <c r="EF408" s="148"/>
      <c r="EG408" s="148"/>
      <c r="EH408" s="148"/>
      <c r="EI408" s="148"/>
      <c r="EJ408" s="148"/>
      <c r="EK408" s="148"/>
      <c r="EL408" s="148"/>
      <c r="EM408" s="148"/>
      <c r="EN408" s="148"/>
      <c r="EO408" s="148"/>
      <c r="EP408" s="148"/>
      <c r="EQ408" s="148"/>
      <c r="ER408" s="148"/>
      <c r="ES408" s="151"/>
      <c r="ET408" s="151"/>
      <c r="EU408" s="151"/>
      <c r="EV408" s="151"/>
      <c r="EW408" s="151"/>
      <c r="EX408" s="151"/>
      <c r="EY408" s="151"/>
      <c r="EZ408" s="151"/>
      <c r="FA408" s="151"/>
      <c r="FB408" s="151"/>
      <c r="FC408" s="151"/>
      <c r="FD408" s="151"/>
      <c r="FE408" s="151"/>
      <c r="FF408" s="151"/>
      <c r="FG408" s="151"/>
      <c r="FH408" s="151"/>
      <c r="FI408" s="151"/>
      <c r="FJ408" s="151"/>
      <c r="FK408" s="151"/>
      <c r="FL408" s="151"/>
      <c r="FM408" s="151"/>
      <c r="FN408" s="151"/>
      <c r="FO408" s="151"/>
      <c r="FP408" s="151"/>
      <c r="FQ408" s="151"/>
      <c r="FR408" s="151"/>
      <c r="FS408" s="151"/>
      <c r="FT408" s="151"/>
      <c r="FU408" s="151"/>
      <c r="FV408" s="151"/>
      <c r="FW408" s="151"/>
      <c r="FX408" s="151"/>
      <c r="FY408" s="151"/>
      <c r="FZ408" s="151"/>
      <c r="GA408" s="151"/>
      <c r="GB408" s="151"/>
      <c r="GC408" s="151"/>
      <c r="GD408" s="151"/>
      <c r="GE408" s="151"/>
      <c r="GF408" s="151"/>
      <c r="GG408" s="152"/>
    </row>
    <row r="409" spans="1:189" x14ac:dyDescent="0.35">
      <c r="A409" s="268"/>
      <c r="B409" s="221"/>
      <c r="C409" s="221"/>
      <c r="D409" s="222"/>
      <c r="E409" s="221"/>
      <c r="F409" s="221"/>
      <c r="G409" s="223"/>
      <c r="H409" s="224"/>
      <c r="I409" s="225"/>
      <c r="J409" s="225"/>
      <c r="K409" s="225"/>
      <c r="L409" s="226"/>
      <c r="M409" s="226"/>
      <c r="N409" s="226"/>
      <c r="O409" s="226"/>
      <c r="P409" s="226"/>
      <c r="Q409" s="227"/>
      <c r="R409" s="228"/>
      <c r="S409" s="228"/>
      <c r="T409" s="228"/>
      <c r="U409" s="191">
        <f t="shared" si="483"/>
        <v>0</v>
      </c>
      <c r="V409" s="230"/>
      <c r="W409" s="231"/>
      <c r="X409" s="46"/>
      <c r="Y409" s="167">
        <f t="shared" si="484"/>
        <v>0</v>
      </c>
      <c r="Z409" s="167">
        <f t="shared" si="485"/>
        <v>0</v>
      </c>
      <c r="AA409" s="167">
        <f t="shared" si="486"/>
        <v>0</v>
      </c>
      <c r="AB409" s="167">
        <f t="shared" si="487"/>
        <v>0</v>
      </c>
      <c r="AC409" s="167">
        <f t="shared" si="488"/>
        <v>0</v>
      </c>
      <c r="AD409" s="167">
        <f t="shared" si="489"/>
        <v>0</v>
      </c>
      <c r="AF409" s="47">
        <f t="shared" si="492"/>
        <v>0</v>
      </c>
      <c r="AG409" s="202" t="str">
        <f t="shared" si="491"/>
        <v xml:space="preserve"> </v>
      </c>
      <c r="AH409" s="172"/>
      <c r="AI409" s="173"/>
      <c r="AJ409" s="173"/>
      <c r="AK409" s="173"/>
      <c r="AL409" s="173"/>
      <c r="AM409" s="173"/>
      <c r="AN409" s="173"/>
      <c r="AO409" s="173"/>
      <c r="AP409" s="173"/>
      <c r="AQ409" s="173"/>
      <c r="AR409" s="173"/>
      <c r="AS409" s="173"/>
      <c r="AT409" s="173"/>
      <c r="AU409" s="173"/>
      <c r="AV409" s="173"/>
      <c r="AW409" s="173"/>
      <c r="AX409" s="173"/>
      <c r="AY409" s="173"/>
      <c r="AZ409" s="173"/>
      <c r="BA409" s="173"/>
      <c r="BB409" s="173"/>
      <c r="BC409" s="173"/>
      <c r="BD409" s="173"/>
      <c r="BE409" s="173"/>
      <c r="BF409" s="173"/>
      <c r="BG409" s="173"/>
      <c r="BH409" s="173"/>
      <c r="BI409" s="173"/>
      <c r="BJ409" s="173"/>
      <c r="BK409" s="173"/>
      <c r="BL409" s="173"/>
      <c r="BM409" s="173"/>
      <c r="BN409" s="173"/>
      <c r="BO409" s="173"/>
      <c r="BP409" s="173"/>
      <c r="BQ409" s="173"/>
      <c r="BR409" s="173"/>
      <c r="BS409" s="173"/>
      <c r="BT409" s="173"/>
      <c r="BU409" s="173"/>
      <c r="BV409" s="173"/>
      <c r="BW409" s="173"/>
      <c r="BX409" s="173"/>
      <c r="BY409" s="173"/>
      <c r="BZ409" s="173"/>
      <c r="CA409" s="173"/>
      <c r="CB409" s="173"/>
      <c r="CC409" s="173"/>
      <c r="CD409" s="173"/>
      <c r="CE409" s="173"/>
      <c r="CF409" s="173"/>
      <c r="CG409" s="173"/>
      <c r="CH409" s="173"/>
      <c r="CI409" s="173"/>
      <c r="CJ409" s="173"/>
      <c r="CK409" s="173"/>
      <c r="CL409" s="173"/>
      <c r="CM409" s="173"/>
      <c r="CN409" s="173"/>
      <c r="CO409" s="173"/>
      <c r="CP409" s="173"/>
      <c r="CQ409" s="173"/>
      <c r="CR409" s="173"/>
      <c r="CS409" s="173"/>
      <c r="CT409" s="173"/>
      <c r="CU409" s="173"/>
      <c r="CV409" s="173"/>
      <c r="CW409" s="173"/>
      <c r="CX409" s="173"/>
      <c r="CY409" s="148"/>
      <c r="CZ409" s="148"/>
      <c r="DA409" s="148"/>
      <c r="DB409" s="148"/>
      <c r="DC409" s="148"/>
      <c r="DD409" s="148"/>
      <c r="DE409" s="148"/>
      <c r="DF409" s="148"/>
      <c r="DG409" s="148"/>
      <c r="DH409" s="148"/>
      <c r="DI409" s="148"/>
      <c r="DJ409" s="148"/>
      <c r="DK409" s="148"/>
      <c r="DL409" s="148"/>
      <c r="DM409" s="148"/>
      <c r="DN409" s="148"/>
      <c r="DO409" s="148"/>
      <c r="DP409" s="148"/>
      <c r="DQ409" s="148"/>
      <c r="DR409" s="148"/>
      <c r="DS409" s="148"/>
      <c r="DT409" s="148"/>
      <c r="DU409" s="148"/>
      <c r="DV409" s="148"/>
      <c r="DW409" s="148"/>
      <c r="DX409" s="148"/>
      <c r="DY409" s="148"/>
      <c r="DZ409" s="148"/>
      <c r="EA409" s="148"/>
      <c r="EB409" s="148"/>
      <c r="EC409" s="148"/>
      <c r="ED409" s="148"/>
      <c r="EE409" s="148"/>
      <c r="EF409" s="148"/>
      <c r="EG409" s="148"/>
      <c r="EH409" s="148"/>
      <c r="EI409" s="148"/>
      <c r="EJ409" s="148"/>
      <c r="EK409" s="148"/>
      <c r="EL409" s="148"/>
      <c r="EM409" s="148"/>
      <c r="EN409" s="148"/>
      <c r="EO409" s="148"/>
      <c r="EP409" s="148"/>
      <c r="EQ409" s="148"/>
      <c r="ER409" s="148"/>
      <c r="ES409" s="151"/>
      <c r="ET409" s="151"/>
      <c r="EU409" s="151"/>
      <c r="EV409" s="151"/>
      <c r="EW409" s="151"/>
      <c r="EX409" s="151"/>
      <c r="EY409" s="151"/>
      <c r="EZ409" s="151"/>
      <c r="FA409" s="151"/>
      <c r="FB409" s="151"/>
      <c r="FC409" s="151"/>
      <c r="FD409" s="151"/>
      <c r="FE409" s="151"/>
      <c r="FF409" s="151"/>
      <c r="FG409" s="151"/>
      <c r="FH409" s="151"/>
      <c r="FI409" s="151"/>
      <c r="FJ409" s="151"/>
      <c r="FK409" s="151"/>
      <c r="FL409" s="151"/>
      <c r="FM409" s="151"/>
      <c r="FN409" s="151"/>
      <c r="FO409" s="151"/>
      <c r="FP409" s="151"/>
      <c r="FQ409" s="151"/>
      <c r="FR409" s="151"/>
      <c r="FS409" s="151"/>
      <c r="FT409" s="151"/>
      <c r="FU409" s="151"/>
      <c r="FV409" s="151"/>
      <c r="FW409" s="151"/>
      <c r="FX409" s="151"/>
      <c r="FY409" s="151"/>
      <c r="FZ409" s="151"/>
      <c r="GA409" s="151"/>
      <c r="GB409" s="151"/>
      <c r="GC409" s="151"/>
      <c r="GD409" s="151"/>
      <c r="GE409" s="151"/>
      <c r="GF409" s="151"/>
      <c r="GG409" s="152"/>
    </row>
    <row r="410" spans="1:189" x14ac:dyDescent="0.35">
      <c r="A410" s="268"/>
      <c r="B410" s="221"/>
      <c r="C410" s="221"/>
      <c r="D410" s="222"/>
      <c r="E410" s="221"/>
      <c r="F410" s="221"/>
      <c r="G410" s="223"/>
      <c r="H410" s="224"/>
      <c r="I410" s="225"/>
      <c r="J410" s="225"/>
      <c r="K410" s="225"/>
      <c r="L410" s="226"/>
      <c r="M410" s="226"/>
      <c r="N410" s="226"/>
      <c r="O410" s="226"/>
      <c r="P410" s="226"/>
      <c r="Q410" s="227"/>
      <c r="R410" s="228"/>
      <c r="S410" s="228"/>
      <c r="T410" s="228"/>
      <c r="U410" s="191">
        <f t="shared" si="483"/>
        <v>0</v>
      </c>
      <c r="V410" s="230"/>
      <c r="W410" s="231"/>
      <c r="X410" s="46"/>
      <c r="Y410" s="167">
        <f t="shared" si="484"/>
        <v>0</v>
      </c>
      <c r="Z410" s="167">
        <f t="shared" si="485"/>
        <v>0</v>
      </c>
      <c r="AA410" s="167">
        <f t="shared" si="486"/>
        <v>0</v>
      </c>
      <c r="AB410" s="167">
        <f t="shared" si="487"/>
        <v>0</v>
      </c>
      <c r="AC410" s="167">
        <f t="shared" si="488"/>
        <v>0</v>
      </c>
      <c r="AD410" s="167">
        <f t="shared" si="489"/>
        <v>0</v>
      </c>
      <c r="AF410" s="47">
        <f t="shared" si="492"/>
        <v>0</v>
      </c>
      <c r="AG410" s="202" t="str">
        <f t="shared" si="491"/>
        <v xml:space="preserve"> </v>
      </c>
      <c r="AH410" s="172"/>
      <c r="AI410" s="173"/>
      <c r="AJ410" s="173"/>
      <c r="AK410" s="173"/>
      <c r="AL410" s="173"/>
      <c r="AM410" s="173"/>
      <c r="AN410" s="173"/>
      <c r="AO410" s="173"/>
      <c r="AP410" s="173"/>
      <c r="AQ410" s="173"/>
      <c r="AR410" s="173"/>
      <c r="AS410" s="173"/>
      <c r="AT410" s="173"/>
      <c r="AU410" s="173"/>
      <c r="AV410" s="173"/>
      <c r="AW410" s="173"/>
      <c r="AX410" s="173"/>
      <c r="AY410" s="173"/>
      <c r="AZ410" s="173"/>
      <c r="BA410" s="173"/>
      <c r="BB410" s="173"/>
      <c r="BC410" s="173"/>
      <c r="BD410" s="173"/>
      <c r="BE410" s="173"/>
      <c r="BF410" s="173"/>
      <c r="BG410" s="173"/>
      <c r="BH410" s="173"/>
      <c r="BI410" s="173"/>
      <c r="BJ410" s="173"/>
      <c r="BK410" s="173"/>
      <c r="BL410" s="173"/>
      <c r="BM410" s="173"/>
      <c r="BN410" s="173"/>
      <c r="BO410" s="173"/>
      <c r="BP410" s="173"/>
      <c r="BQ410" s="173"/>
      <c r="BR410" s="173"/>
      <c r="BS410" s="173"/>
      <c r="BT410" s="173"/>
      <c r="BU410" s="173"/>
      <c r="BV410" s="173"/>
      <c r="BW410" s="173"/>
      <c r="BX410" s="173"/>
      <c r="BY410" s="173"/>
      <c r="BZ410" s="173"/>
      <c r="CA410" s="173"/>
      <c r="CB410" s="173"/>
      <c r="CC410" s="173"/>
      <c r="CD410" s="173"/>
      <c r="CE410" s="173"/>
      <c r="CF410" s="173"/>
      <c r="CG410" s="173"/>
      <c r="CH410" s="173"/>
      <c r="CI410" s="173"/>
      <c r="CJ410" s="173"/>
      <c r="CK410" s="173"/>
      <c r="CL410" s="173"/>
      <c r="CM410" s="173"/>
      <c r="CN410" s="173"/>
      <c r="CO410" s="173"/>
      <c r="CP410" s="173"/>
      <c r="CQ410" s="173"/>
      <c r="CR410" s="173"/>
      <c r="CS410" s="173"/>
      <c r="CT410" s="173"/>
      <c r="CU410" s="173"/>
      <c r="CV410" s="173"/>
      <c r="CW410" s="173"/>
      <c r="CX410" s="173"/>
      <c r="CY410" s="148"/>
      <c r="CZ410" s="148"/>
      <c r="DA410" s="148"/>
      <c r="DB410" s="148"/>
      <c r="DC410" s="148"/>
      <c r="DD410" s="148"/>
      <c r="DE410" s="148"/>
      <c r="DF410" s="148"/>
      <c r="DG410" s="148"/>
      <c r="DH410" s="148"/>
      <c r="DI410" s="148"/>
      <c r="DJ410" s="148"/>
      <c r="DK410" s="148"/>
      <c r="DL410" s="148"/>
      <c r="DM410" s="148"/>
      <c r="DN410" s="148"/>
      <c r="DO410" s="148"/>
      <c r="DP410" s="148"/>
      <c r="DQ410" s="148"/>
      <c r="DR410" s="148"/>
      <c r="DS410" s="148"/>
      <c r="DT410" s="148"/>
      <c r="DU410" s="148"/>
      <c r="DV410" s="148"/>
      <c r="DW410" s="148"/>
      <c r="DX410" s="148"/>
      <c r="DY410" s="148"/>
      <c r="DZ410" s="148"/>
      <c r="EA410" s="148"/>
      <c r="EB410" s="148"/>
      <c r="EC410" s="148"/>
      <c r="ED410" s="148"/>
      <c r="EE410" s="148"/>
      <c r="EF410" s="148"/>
      <c r="EG410" s="148"/>
      <c r="EH410" s="148"/>
      <c r="EI410" s="148"/>
      <c r="EJ410" s="148"/>
      <c r="EK410" s="148"/>
      <c r="EL410" s="148"/>
      <c r="EM410" s="148"/>
      <c r="EN410" s="148"/>
      <c r="EO410" s="148"/>
      <c r="EP410" s="148"/>
      <c r="EQ410" s="148"/>
      <c r="ER410" s="148"/>
      <c r="ES410" s="151"/>
      <c r="ET410" s="151"/>
      <c r="EU410" s="151"/>
      <c r="EV410" s="151"/>
      <c r="EW410" s="151"/>
      <c r="EX410" s="151"/>
      <c r="EY410" s="151"/>
      <c r="EZ410" s="151"/>
      <c r="FA410" s="151"/>
      <c r="FB410" s="151"/>
      <c r="FC410" s="151"/>
      <c r="FD410" s="151"/>
      <c r="FE410" s="151"/>
      <c r="FF410" s="151"/>
      <c r="FG410" s="151"/>
      <c r="FH410" s="151"/>
      <c r="FI410" s="151"/>
      <c r="FJ410" s="151"/>
      <c r="FK410" s="151"/>
      <c r="FL410" s="151"/>
      <c r="FM410" s="151"/>
      <c r="FN410" s="151"/>
      <c r="FO410" s="151"/>
      <c r="FP410" s="151"/>
      <c r="FQ410" s="151"/>
      <c r="FR410" s="151"/>
      <c r="FS410" s="151"/>
      <c r="FT410" s="151"/>
      <c r="FU410" s="151"/>
      <c r="FV410" s="151"/>
      <c r="FW410" s="151"/>
      <c r="FX410" s="151"/>
      <c r="FY410" s="151"/>
      <c r="FZ410" s="151"/>
      <c r="GA410" s="151"/>
      <c r="GB410" s="151"/>
      <c r="GC410" s="151"/>
      <c r="GD410" s="151"/>
      <c r="GE410" s="151"/>
      <c r="GF410" s="151"/>
      <c r="GG410" s="152"/>
    </row>
    <row r="411" spans="1:189" x14ac:dyDescent="0.35">
      <c r="A411" s="268"/>
      <c r="B411" s="221"/>
      <c r="C411" s="221"/>
      <c r="D411" s="222"/>
      <c r="E411" s="221"/>
      <c r="F411" s="221"/>
      <c r="G411" s="223"/>
      <c r="H411" s="224"/>
      <c r="I411" s="225"/>
      <c r="J411" s="225"/>
      <c r="K411" s="225"/>
      <c r="L411" s="226"/>
      <c r="M411" s="226"/>
      <c r="N411" s="226"/>
      <c r="O411" s="226"/>
      <c r="P411" s="226"/>
      <c r="Q411" s="227"/>
      <c r="R411" s="228"/>
      <c r="S411" s="228"/>
      <c r="T411" s="228"/>
      <c r="U411" s="191">
        <f t="shared" si="483"/>
        <v>0</v>
      </c>
      <c r="V411" s="230"/>
      <c r="W411" s="231"/>
      <c r="X411" s="46"/>
      <c r="Y411" s="167">
        <f t="shared" si="484"/>
        <v>0</v>
      </c>
      <c r="Z411" s="167">
        <f t="shared" si="485"/>
        <v>0</v>
      </c>
      <c r="AA411" s="167">
        <f t="shared" si="486"/>
        <v>0</v>
      </c>
      <c r="AB411" s="167">
        <f t="shared" si="487"/>
        <v>0</v>
      </c>
      <c r="AC411" s="167">
        <f t="shared" si="488"/>
        <v>0</v>
      </c>
      <c r="AD411" s="167">
        <f t="shared" si="489"/>
        <v>0</v>
      </c>
      <c r="AF411" s="47">
        <f t="shared" si="492"/>
        <v>0</v>
      </c>
      <c r="AG411" s="202" t="str">
        <f t="shared" si="491"/>
        <v xml:space="preserve"> </v>
      </c>
      <c r="AH411" s="172"/>
      <c r="AI411" s="173"/>
      <c r="AJ411" s="173"/>
      <c r="AK411" s="173"/>
      <c r="AL411" s="173"/>
      <c r="AM411" s="173"/>
      <c r="AN411" s="173"/>
      <c r="AO411" s="173"/>
      <c r="AP411" s="173"/>
      <c r="AQ411" s="173"/>
      <c r="AR411" s="173"/>
      <c r="AS411" s="173"/>
      <c r="AT411" s="173"/>
      <c r="AU411" s="173"/>
      <c r="AV411" s="173"/>
      <c r="AW411" s="173"/>
      <c r="AX411" s="173"/>
      <c r="AY411" s="173"/>
      <c r="AZ411" s="173"/>
      <c r="BA411" s="173"/>
      <c r="BB411" s="173"/>
      <c r="BC411" s="173"/>
      <c r="BD411" s="173"/>
      <c r="BE411" s="173"/>
      <c r="BF411" s="173"/>
      <c r="BG411" s="173"/>
      <c r="BH411" s="173"/>
      <c r="BI411" s="173"/>
      <c r="BJ411" s="173"/>
      <c r="BK411" s="173"/>
      <c r="BL411" s="173"/>
      <c r="BM411" s="173"/>
      <c r="BN411" s="173"/>
      <c r="BO411" s="173"/>
      <c r="BP411" s="173"/>
      <c r="BQ411" s="173"/>
      <c r="BR411" s="173"/>
      <c r="BS411" s="173"/>
      <c r="BT411" s="173"/>
      <c r="BU411" s="173"/>
      <c r="BV411" s="173"/>
      <c r="BW411" s="173"/>
      <c r="BX411" s="173"/>
      <c r="BY411" s="173"/>
      <c r="BZ411" s="173"/>
      <c r="CA411" s="173"/>
      <c r="CB411" s="173"/>
      <c r="CC411" s="173"/>
      <c r="CD411" s="173"/>
      <c r="CE411" s="173"/>
      <c r="CF411" s="173"/>
      <c r="CG411" s="173"/>
      <c r="CH411" s="173"/>
      <c r="CI411" s="173"/>
      <c r="CJ411" s="173"/>
      <c r="CK411" s="173"/>
      <c r="CL411" s="173"/>
      <c r="CM411" s="173"/>
      <c r="CN411" s="173"/>
      <c r="CO411" s="173"/>
      <c r="CP411" s="173"/>
      <c r="CQ411" s="173"/>
      <c r="CR411" s="173"/>
      <c r="CS411" s="173"/>
      <c r="CT411" s="173"/>
      <c r="CU411" s="173"/>
      <c r="CV411" s="173"/>
      <c r="CW411" s="173"/>
      <c r="CX411" s="173"/>
      <c r="CY411" s="148"/>
      <c r="CZ411" s="148"/>
      <c r="DA411" s="148"/>
      <c r="DB411" s="148"/>
      <c r="DC411" s="148"/>
      <c r="DD411" s="148"/>
      <c r="DE411" s="148"/>
      <c r="DF411" s="148"/>
      <c r="DG411" s="148"/>
      <c r="DH411" s="148"/>
      <c r="DI411" s="148"/>
      <c r="DJ411" s="148"/>
      <c r="DK411" s="148"/>
      <c r="DL411" s="148"/>
      <c r="DM411" s="148"/>
      <c r="DN411" s="148"/>
      <c r="DO411" s="148"/>
      <c r="DP411" s="148"/>
      <c r="DQ411" s="148"/>
      <c r="DR411" s="148"/>
      <c r="DS411" s="148"/>
      <c r="DT411" s="148"/>
      <c r="DU411" s="148"/>
      <c r="DV411" s="148"/>
      <c r="DW411" s="148"/>
      <c r="DX411" s="148"/>
      <c r="DY411" s="148"/>
      <c r="DZ411" s="148"/>
      <c r="EA411" s="148"/>
      <c r="EB411" s="148"/>
      <c r="EC411" s="148"/>
      <c r="ED411" s="148"/>
      <c r="EE411" s="148"/>
      <c r="EF411" s="148"/>
      <c r="EG411" s="148"/>
      <c r="EH411" s="148"/>
      <c r="EI411" s="148"/>
      <c r="EJ411" s="148"/>
      <c r="EK411" s="148"/>
      <c r="EL411" s="148"/>
      <c r="EM411" s="148"/>
      <c r="EN411" s="148"/>
      <c r="EO411" s="148"/>
      <c r="EP411" s="148"/>
      <c r="EQ411" s="148"/>
      <c r="ER411" s="148"/>
      <c r="ES411" s="148"/>
      <c r="ET411" s="148"/>
      <c r="EU411" s="148"/>
      <c r="EV411" s="148"/>
      <c r="EW411" s="148"/>
      <c r="EX411" s="148"/>
      <c r="EY411" s="148"/>
      <c r="EZ411" s="148"/>
      <c r="FA411" s="148"/>
      <c r="FB411" s="148"/>
      <c r="FC411" s="148"/>
      <c r="FD411" s="148"/>
      <c r="FE411" s="148"/>
      <c r="FF411" s="148"/>
      <c r="FG411" s="148"/>
      <c r="FH411" s="148"/>
      <c r="FI411" s="148"/>
      <c r="FJ411" s="148"/>
      <c r="FK411" s="148"/>
      <c r="FL411" s="148"/>
      <c r="FM411" s="148"/>
      <c r="FN411" s="148"/>
      <c r="FO411" s="148"/>
      <c r="FP411" s="148"/>
      <c r="FQ411" s="148"/>
      <c r="FR411" s="148"/>
      <c r="FS411" s="148"/>
      <c r="FT411" s="148"/>
      <c r="FU411" s="148"/>
      <c r="FV411" s="148"/>
      <c r="FW411" s="148"/>
      <c r="FX411" s="148"/>
      <c r="FY411" s="148"/>
      <c r="FZ411" s="148"/>
      <c r="GA411" s="148"/>
      <c r="GB411" s="148"/>
      <c r="GC411" s="148"/>
      <c r="GD411" s="148"/>
      <c r="GE411" s="148"/>
      <c r="GF411" s="148"/>
      <c r="GG411" s="149"/>
    </row>
    <row r="412" spans="1:189" x14ac:dyDescent="0.35">
      <c r="A412" s="268"/>
      <c r="B412" s="221"/>
      <c r="C412" s="221"/>
      <c r="D412" s="222"/>
      <c r="E412" s="221"/>
      <c r="F412" s="221"/>
      <c r="G412" s="223"/>
      <c r="H412" s="224"/>
      <c r="I412" s="225"/>
      <c r="J412" s="225"/>
      <c r="K412" s="225"/>
      <c r="L412" s="226"/>
      <c r="M412" s="226"/>
      <c r="N412" s="226"/>
      <c r="O412" s="226"/>
      <c r="P412" s="226"/>
      <c r="Q412" s="227"/>
      <c r="R412" s="228"/>
      <c r="S412" s="228"/>
      <c r="T412" s="228"/>
      <c r="U412" s="191">
        <f t="shared" si="483"/>
        <v>0</v>
      </c>
      <c r="V412" s="230"/>
      <c r="W412" s="231"/>
      <c r="X412" s="46"/>
      <c r="Y412" s="167">
        <f t="shared" si="484"/>
        <v>0</v>
      </c>
      <c r="Z412" s="167">
        <f t="shared" si="485"/>
        <v>0</v>
      </c>
      <c r="AA412" s="167">
        <f t="shared" si="486"/>
        <v>0</v>
      </c>
      <c r="AB412" s="167">
        <f t="shared" si="487"/>
        <v>0</v>
      </c>
      <c r="AC412" s="167">
        <f t="shared" si="488"/>
        <v>0</v>
      </c>
      <c r="AD412" s="167">
        <f t="shared" si="489"/>
        <v>0</v>
      </c>
      <c r="AF412" s="47">
        <f t="shared" si="492"/>
        <v>0</v>
      </c>
      <c r="AG412" s="202" t="str">
        <f t="shared" si="491"/>
        <v xml:space="preserve"> </v>
      </c>
      <c r="AH412" s="172"/>
      <c r="AI412" s="173"/>
      <c r="AJ412" s="173"/>
      <c r="AK412" s="173"/>
      <c r="AL412" s="173"/>
      <c r="AM412" s="173"/>
      <c r="AN412" s="173"/>
      <c r="AO412" s="173"/>
      <c r="AP412" s="173"/>
      <c r="AQ412" s="173"/>
      <c r="AR412" s="173"/>
      <c r="AS412" s="173"/>
      <c r="AT412" s="173"/>
      <c r="AU412" s="173"/>
      <c r="AV412" s="173"/>
      <c r="AW412" s="173"/>
      <c r="AX412" s="173"/>
      <c r="AY412" s="173"/>
      <c r="AZ412" s="173"/>
      <c r="BA412" s="173"/>
      <c r="BB412" s="173"/>
      <c r="BC412" s="173"/>
      <c r="BD412" s="173"/>
      <c r="BE412" s="173"/>
      <c r="BF412" s="173"/>
      <c r="BG412" s="173"/>
      <c r="BH412" s="173"/>
      <c r="BI412" s="173"/>
      <c r="BJ412" s="173"/>
      <c r="BK412" s="173"/>
      <c r="BL412" s="173"/>
      <c r="BM412" s="173"/>
      <c r="BN412" s="173"/>
      <c r="BO412" s="173"/>
      <c r="BP412" s="173"/>
      <c r="BQ412" s="173"/>
      <c r="BR412" s="173"/>
      <c r="BS412" s="173"/>
      <c r="BT412" s="173"/>
      <c r="BU412" s="173"/>
      <c r="BV412" s="173"/>
      <c r="BW412" s="173"/>
      <c r="BX412" s="173"/>
      <c r="BY412" s="173"/>
      <c r="BZ412" s="173"/>
      <c r="CA412" s="173"/>
      <c r="CB412" s="173"/>
      <c r="CC412" s="173"/>
      <c r="CD412" s="173"/>
      <c r="CE412" s="173"/>
      <c r="CF412" s="173"/>
      <c r="CG412" s="173"/>
      <c r="CH412" s="173"/>
      <c r="CI412" s="173"/>
      <c r="CJ412" s="173"/>
      <c r="CK412" s="173"/>
      <c r="CL412" s="173"/>
      <c r="CM412" s="173"/>
      <c r="CN412" s="173"/>
      <c r="CO412" s="173"/>
      <c r="CP412" s="173"/>
      <c r="CQ412" s="173"/>
      <c r="CR412" s="173"/>
      <c r="CS412" s="173"/>
      <c r="CT412" s="173"/>
      <c r="CU412" s="173"/>
      <c r="CV412" s="173"/>
      <c r="CW412" s="173"/>
      <c r="CX412" s="173"/>
      <c r="CY412" s="148"/>
      <c r="CZ412" s="148"/>
      <c r="DA412" s="148"/>
      <c r="DB412" s="148"/>
      <c r="DC412" s="148"/>
      <c r="DD412" s="148"/>
      <c r="DE412" s="148"/>
      <c r="DF412" s="148"/>
      <c r="DG412" s="148"/>
      <c r="DH412" s="148"/>
      <c r="DI412" s="148"/>
      <c r="DJ412" s="148"/>
      <c r="DK412" s="148"/>
      <c r="DL412" s="148"/>
      <c r="DM412" s="148"/>
      <c r="DN412" s="148"/>
      <c r="DO412" s="148"/>
      <c r="DP412" s="148"/>
      <c r="DQ412" s="148"/>
      <c r="DR412" s="148"/>
      <c r="DS412" s="148"/>
      <c r="DT412" s="148"/>
      <c r="DU412" s="148"/>
      <c r="DV412" s="148"/>
      <c r="DW412" s="148"/>
      <c r="DX412" s="148"/>
      <c r="DY412" s="148"/>
      <c r="DZ412" s="148"/>
      <c r="EA412" s="148"/>
      <c r="EB412" s="148"/>
      <c r="EC412" s="148"/>
      <c r="ED412" s="148"/>
      <c r="EE412" s="148"/>
      <c r="EF412" s="148"/>
      <c r="EG412" s="148"/>
      <c r="EH412" s="148"/>
      <c r="EI412" s="148"/>
      <c r="EJ412" s="148"/>
      <c r="EK412" s="148"/>
      <c r="EL412" s="148"/>
      <c r="EM412" s="148"/>
      <c r="EN412" s="148"/>
      <c r="EO412" s="148"/>
      <c r="EP412" s="148"/>
      <c r="EQ412" s="148"/>
      <c r="ER412" s="148"/>
      <c r="ES412" s="151"/>
      <c r="ET412" s="151"/>
      <c r="EU412" s="151"/>
      <c r="EV412" s="151"/>
      <c r="EW412" s="151"/>
      <c r="EX412" s="151"/>
      <c r="EY412" s="151"/>
      <c r="EZ412" s="151"/>
      <c r="FA412" s="151"/>
      <c r="FB412" s="151"/>
      <c r="FC412" s="151"/>
      <c r="FD412" s="151"/>
      <c r="FE412" s="151"/>
      <c r="FF412" s="151"/>
      <c r="FG412" s="151"/>
      <c r="FH412" s="151"/>
      <c r="FI412" s="151"/>
      <c r="FJ412" s="151"/>
      <c r="FK412" s="151"/>
      <c r="FL412" s="151"/>
      <c r="FM412" s="151"/>
      <c r="FN412" s="151"/>
      <c r="FO412" s="151"/>
      <c r="FP412" s="151"/>
      <c r="FQ412" s="151"/>
      <c r="FR412" s="151"/>
      <c r="FS412" s="151"/>
      <c r="FT412" s="151"/>
      <c r="FU412" s="151"/>
      <c r="FV412" s="151"/>
      <c r="FW412" s="151"/>
      <c r="FX412" s="151"/>
      <c r="FY412" s="151"/>
      <c r="FZ412" s="151"/>
      <c r="GA412" s="151"/>
      <c r="GB412" s="151"/>
      <c r="GC412" s="151"/>
      <c r="GD412" s="151"/>
      <c r="GE412" s="151"/>
      <c r="GF412" s="151"/>
      <c r="GG412" s="152"/>
    </row>
    <row r="413" spans="1:189" x14ac:dyDescent="0.35">
      <c r="A413" s="268"/>
      <c r="B413" s="221"/>
      <c r="C413" s="221"/>
      <c r="D413" s="222"/>
      <c r="E413" s="221"/>
      <c r="F413" s="221"/>
      <c r="G413" s="223"/>
      <c r="H413" s="224"/>
      <c r="I413" s="225"/>
      <c r="J413" s="225"/>
      <c r="K413" s="225"/>
      <c r="L413" s="226"/>
      <c r="M413" s="226"/>
      <c r="N413" s="226"/>
      <c r="O413" s="226"/>
      <c r="P413" s="226"/>
      <c r="Q413" s="227"/>
      <c r="R413" s="228"/>
      <c r="S413" s="228"/>
      <c r="T413" s="228"/>
      <c r="U413" s="191">
        <f t="shared" si="483"/>
        <v>0</v>
      </c>
      <c r="V413" s="230"/>
      <c r="W413" s="231"/>
      <c r="X413" s="46"/>
      <c r="Y413" s="167">
        <f t="shared" si="484"/>
        <v>0</v>
      </c>
      <c r="Z413" s="167">
        <f t="shared" si="485"/>
        <v>0</v>
      </c>
      <c r="AA413" s="167">
        <f t="shared" si="486"/>
        <v>0</v>
      </c>
      <c r="AB413" s="167">
        <f t="shared" si="487"/>
        <v>0</v>
      </c>
      <c r="AC413" s="167">
        <f t="shared" si="488"/>
        <v>0</v>
      </c>
      <c r="AD413" s="167">
        <f t="shared" si="489"/>
        <v>0</v>
      </c>
      <c r="AF413" s="47">
        <f t="shared" si="492"/>
        <v>0</v>
      </c>
      <c r="AG413" s="202" t="str">
        <f t="shared" si="491"/>
        <v xml:space="preserve"> </v>
      </c>
      <c r="AH413" s="172"/>
      <c r="AI413" s="173"/>
      <c r="AJ413" s="173"/>
      <c r="AK413" s="173"/>
      <c r="AL413" s="173"/>
      <c r="AM413" s="173"/>
      <c r="AN413" s="173"/>
      <c r="AO413" s="173"/>
      <c r="AP413" s="173"/>
      <c r="AQ413" s="173"/>
      <c r="AR413" s="173"/>
      <c r="AS413" s="173"/>
      <c r="AT413" s="173"/>
      <c r="AU413" s="173"/>
      <c r="AV413" s="173"/>
      <c r="AW413" s="173"/>
      <c r="AX413" s="173"/>
      <c r="AY413" s="173"/>
      <c r="AZ413" s="173"/>
      <c r="BA413" s="173"/>
      <c r="BB413" s="173"/>
      <c r="BC413" s="173"/>
      <c r="BD413" s="173"/>
      <c r="BE413" s="173"/>
      <c r="BF413" s="173"/>
      <c r="BG413" s="173"/>
      <c r="BH413" s="173"/>
      <c r="BI413" s="173"/>
      <c r="BJ413" s="173"/>
      <c r="BK413" s="173"/>
      <c r="BL413" s="173"/>
      <c r="BM413" s="173"/>
      <c r="BN413" s="173"/>
      <c r="BO413" s="173"/>
      <c r="BP413" s="173"/>
      <c r="BQ413" s="173"/>
      <c r="BR413" s="173"/>
      <c r="BS413" s="173"/>
      <c r="BT413" s="173"/>
      <c r="BU413" s="173"/>
      <c r="BV413" s="173"/>
      <c r="BW413" s="173"/>
      <c r="BX413" s="173"/>
      <c r="BY413" s="173"/>
      <c r="BZ413" s="173"/>
      <c r="CA413" s="173"/>
      <c r="CB413" s="173"/>
      <c r="CC413" s="173"/>
      <c r="CD413" s="173"/>
      <c r="CE413" s="173"/>
      <c r="CF413" s="173"/>
      <c r="CG413" s="173"/>
      <c r="CH413" s="173"/>
      <c r="CI413" s="173"/>
      <c r="CJ413" s="173"/>
      <c r="CK413" s="173"/>
      <c r="CL413" s="173"/>
      <c r="CM413" s="173"/>
      <c r="CN413" s="173"/>
      <c r="CO413" s="173"/>
      <c r="CP413" s="173"/>
      <c r="CQ413" s="173"/>
      <c r="CR413" s="173"/>
      <c r="CS413" s="173"/>
      <c r="CT413" s="173"/>
      <c r="CU413" s="173"/>
      <c r="CV413" s="173"/>
      <c r="CW413" s="173"/>
      <c r="CX413" s="173"/>
      <c r="CY413" s="148"/>
      <c r="CZ413" s="148"/>
      <c r="DA413" s="148"/>
      <c r="DB413" s="148"/>
      <c r="DC413" s="148"/>
      <c r="DD413" s="148"/>
      <c r="DE413" s="148"/>
      <c r="DF413" s="148"/>
      <c r="DG413" s="148"/>
      <c r="DH413" s="148"/>
      <c r="DI413" s="148"/>
      <c r="DJ413" s="148"/>
      <c r="DK413" s="148"/>
      <c r="DL413" s="148"/>
      <c r="DM413" s="148"/>
      <c r="DN413" s="148"/>
      <c r="DO413" s="148"/>
      <c r="DP413" s="148"/>
      <c r="DQ413" s="148"/>
      <c r="DR413" s="148"/>
      <c r="DS413" s="148"/>
      <c r="DT413" s="148"/>
      <c r="DU413" s="148"/>
      <c r="DV413" s="148"/>
      <c r="DW413" s="148"/>
      <c r="DX413" s="148"/>
      <c r="DY413" s="148"/>
      <c r="DZ413" s="148"/>
      <c r="EA413" s="148"/>
      <c r="EB413" s="148"/>
      <c r="EC413" s="148"/>
      <c r="ED413" s="148"/>
      <c r="EE413" s="148"/>
      <c r="EF413" s="148"/>
      <c r="EG413" s="148"/>
      <c r="EH413" s="148"/>
      <c r="EI413" s="148"/>
      <c r="EJ413" s="148"/>
      <c r="EK413" s="148"/>
      <c r="EL413" s="148"/>
      <c r="EM413" s="148"/>
      <c r="EN413" s="148"/>
      <c r="EO413" s="148"/>
      <c r="EP413" s="148"/>
      <c r="EQ413" s="148"/>
      <c r="ER413" s="148"/>
      <c r="ES413" s="151"/>
      <c r="ET413" s="151"/>
      <c r="EU413" s="151"/>
      <c r="EV413" s="151"/>
      <c r="EW413" s="151"/>
      <c r="EX413" s="151"/>
      <c r="EY413" s="151"/>
      <c r="EZ413" s="151"/>
      <c r="FA413" s="151"/>
      <c r="FB413" s="151"/>
      <c r="FC413" s="151"/>
      <c r="FD413" s="151"/>
      <c r="FE413" s="151"/>
      <c r="FF413" s="151"/>
      <c r="FG413" s="151"/>
      <c r="FH413" s="151"/>
      <c r="FI413" s="151"/>
      <c r="FJ413" s="151"/>
      <c r="FK413" s="151"/>
      <c r="FL413" s="151"/>
      <c r="FM413" s="151"/>
      <c r="FN413" s="151"/>
      <c r="FO413" s="151"/>
      <c r="FP413" s="151"/>
      <c r="FQ413" s="151"/>
      <c r="FR413" s="151"/>
      <c r="FS413" s="151"/>
      <c r="FT413" s="151"/>
      <c r="FU413" s="151"/>
      <c r="FV413" s="151"/>
      <c r="FW413" s="151"/>
      <c r="FX413" s="151"/>
      <c r="FY413" s="151"/>
      <c r="FZ413" s="151"/>
      <c r="GA413" s="151"/>
      <c r="GB413" s="151"/>
      <c r="GC413" s="151"/>
      <c r="GD413" s="151"/>
      <c r="GE413" s="151"/>
      <c r="GF413" s="151"/>
      <c r="GG413" s="152"/>
    </row>
    <row r="414" spans="1:189" x14ac:dyDescent="0.35">
      <c r="A414" s="268"/>
      <c r="B414" s="221"/>
      <c r="C414" s="221"/>
      <c r="D414" s="222"/>
      <c r="E414" s="221"/>
      <c r="F414" s="221"/>
      <c r="G414" s="223"/>
      <c r="H414" s="224"/>
      <c r="I414" s="225"/>
      <c r="J414" s="225"/>
      <c r="K414" s="225"/>
      <c r="L414" s="226"/>
      <c r="M414" s="226"/>
      <c r="N414" s="226"/>
      <c r="O414" s="226"/>
      <c r="P414" s="226"/>
      <c r="Q414" s="227"/>
      <c r="R414" s="228"/>
      <c r="S414" s="228"/>
      <c r="T414" s="228"/>
      <c r="U414" s="191">
        <f t="shared" si="483"/>
        <v>0</v>
      </c>
      <c r="V414" s="230"/>
      <c r="W414" s="231"/>
      <c r="X414" s="46"/>
      <c r="Y414" s="167">
        <f t="shared" si="484"/>
        <v>0</v>
      </c>
      <c r="Z414" s="167">
        <f t="shared" si="485"/>
        <v>0</v>
      </c>
      <c r="AA414" s="167">
        <f t="shared" si="486"/>
        <v>0</v>
      </c>
      <c r="AB414" s="167">
        <f t="shared" si="487"/>
        <v>0</v>
      </c>
      <c r="AC414" s="167">
        <f t="shared" si="488"/>
        <v>0</v>
      </c>
      <c r="AD414" s="167">
        <f t="shared" si="489"/>
        <v>0</v>
      </c>
      <c r="AF414" s="47">
        <f t="shared" si="492"/>
        <v>0</v>
      </c>
      <c r="AG414" s="202" t="str">
        <f t="shared" si="491"/>
        <v xml:space="preserve"> </v>
      </c>
      <c r="AH414" s="172"/>
      <c r="AI414" s="173"/>
      <c r="AJ414" s="173"/>
      <c r="AK414" s="173"/>
      <c r="AL414" s="173"/>
      <c r="AM414" s="173"/>
      <c r="AN414" s="173"/>
      <c r="AO414" s="173"/>
      <c r="AP414" s="173"/>
      <c r="AQ414" s="173"/>
      <c r="AR414" s="173"/>
      <c r="AS414" s="173"/>
      <c r="AT414" s="173"/>
      <c r="AU414" s="173"/>
      <c r="AV414" s="173"/>
      <c r="AW414" s="173"/>
      <c r="AX414" s="173"/>
      <c r="AY414" s="173"/>
      <c r="AZ414" s="173"/>
      <c r="BA414" s="173"/>
      <c r="BB414" s="173"/>
      <c r="BC414" s="173"/>
      <c r="BD414" s="173"/>
      <c r="BE414" s="173"/>
      <c r="BF414" s="173"/>
      <c r="BG414" s="173"/>
      <c r="BH414" s="173"/>
      <c r="BI414" s="173"/>
      <c r="BJ414" s="173"/>
      <c r="BK414" s="173"/>
      <c r="BL414" s="173"/>
      <c r="BM414" s="173"/>
      <c r="BN414" s="173"/>
      <c r="BO414" s="173"/>
      <c r="BP414" s="173"/>
      <c r="BQ414" s="173"/>
      <c r="BR414" s="173"/>
      <c r="BS414" s="173"/>
      <c r="BT414" s="173"/>
      <c r="BU414" s="173"/>
      <c r="BV414" s="173"/>
      <c r="BW414" s="173"/>
      <c r="BX414" s="173"/>
      <c r="BY414" s="173"/>
      <c r="BZ414" s="173"/>
      <c r="CA414" s="173"/>
      <c r="CB414" s="173"/>
      <c r="CC414" s="173"/>
      <c r="CD414" s="173"/>
      <c r="CE414" s="173"/>
      <c r="CF414" s="173"/>
      <c r="CG414" s="173"/>
      <c r="CH414" s="173"/>
      <c r="CI414" s="173"/>
      <c r="CJ414" s="173"/>
      <c r="CK414" s="173"/>
      <c r="CL414" s="173"/>
      <c r="CM414" s="173"/>
      <c r="CN414" s="173"/>
      <c r="CO414" s="173"/>
      <c r="CP414" s="173"/>
      <c r="CQ414" s="173"/>
      <c r="CR414" s="173"/>
      <c r="CS414" s="173"/>
      <c r="CT414" s="173"/>
      <c r="CU414" s="173"/>
      <c r="CV414" s="173"/>
      <c r="CW414" s="173"/>
      <c r="CX414" s="173"/>
      <c r="CY414" s="148"/>
      <c r="CZ414" s="148"/>
      <c r="DA414" s="148"/>
      <c r="DB414" s="148"/>
      <c r="DC414" s="148"/>
      <c r="DD414" s="148"/>
      <c r="DE414" s="148"/>
      <c r="DF414" s="148"/>
      <c r="DG414" s="148"/>
      <c r="DH414" s="148"/>
      <c r="DI414" s="148"/>
      <c r="DJ414" s="148"/>
      <c r="DK414" s="148"/>
      <c r="DL414" s="148"/>
      <c r="DM414" s="148"/>
      <c r="DN414" s="148"/>
      <c r="DO414" s="148"/>
      <c r="DP414" s="148"/>
      <c r="DQ414" s="148"/>
      <c r="DR414" s="148"/>
      <c r="DS414" s="148"/>
      <c r="DT414" s="148"/>
      <c r="DU414" s="148"/>
      <c r="DV414" s="148"/>
      <c r="DW414" s="148"/>
      <c r="DX414" s="148"/>
      <c r="DY414" s="148"/>
      <c r="DZ414" s="148"/>
      <c r="EA414" s="148"/>
      <c r="EB414" s="148"/>
      <c r="EC414" s="148"/>
      <c r="ED414" s="148"/>
      <c r="EE414" s="148"/>
      <c r="EF414" s="148"/>
      <c r="EG414" s="148"/>
      <c r="EH414" s="148"/>
      <c r="EI414" s="148"/>
      <c r="EJ414" s="148"/>
      <c r="EK414" s="148"/>
      <c r="EL414" s="148"/>
      <c r="EM414" s="148"/>
      <c r="EN414" s="148"/>
      <c r="EO414" s="148"/>
      <c r="EP414" s="148"/>
      <c r="EQ414" s="148"/>
      <c r="ER414" s="148"/>
      <c r="ES414" s="151"/>
      <c r="ET414" s="151"/>
      <c r="EU414" s="151"/>
      <c r="EV414" s="151"/>
      <c r="EW414" s="151"/>
      <c r="EX414" s="151"/>
      <c r="EY414" s="151"/>
      <c r="EZ414" s="151"/>
      <c r="FA414" s="151"/>
      <c r="FB414" s="151"/>
      <c r="FC414" s="151"/>
      <c r="FD414" s="151"/>
      <c r="FE414" s="151"/>
      <c r="FF414" s="151"/>
      <c r="FG414" s="151"/>
      <c r="FH414" s="151"/>
      <c r="FI414" s="151"/>
      <c r="FJ414" s="151"/>
      <c r="FK414" s="151"/>
      <c r="FL414" s="151"/>
      <c r="FM414" s="151"/>
      <c r="FN414" s="151"/>
      <c r="FO414" s="151"/>
      <c r="FP414" s="151"/>
      <c r="FQ414" s="151"/>
      <c r="FR414" s="151"/>
      <c r="FS414" s="151"/>
      <c r="FT414" s="151"/>
      <c r="FU414" s="151"/>
      <c r="FV414" s="151"/>
      <c r="FW414" s="151"/>
      <c r="FX414" s="151"/>
      <c r="FY414" s="151"/>
      <c r="FZ414" s="151"/>
      <c r="GA414" s="151"/>
      <c r="GB414" s="151"/>
      <c r="GC414" s="151"/>
      <c r="GD414" s="151"/>
      <c r="GE414" s="151"/>
      <c r="GF414" s="151"/>
      <c r="GG414" s="152"/>
    </row>
    <row r="415" spans="1:189" x14ac:dyDescent="0.35">
      <c r="A415" s="268"/>
      <c r="B415" s="221"/>
      <c r="C415" s="221"/>
      <c r="D415" s="222"/>
      <c r="E415" s="221"/>
      <c r="F415" s="221"/>
      <c r="G415" s="223"/>
      <c r="H415" s="224"/>
      <c r="I415" s="225"/>
      <c r="J415" s="225"/>
      <c r="K415" s="225"/>
      <c r="L415" s="226"/>
      <c r="M415" s="226"/>
      <c r="N415" s="226"/>
      <c r="O415" s="226"/>
      <c r="P415" s="226"/>
      <c r="Q415" s="227"/>
      <c r="R415" s="228"/>
      <c r="S415" s="228"/>
      <c r="T415" s="228"/>
      <c r="U415" s="191">
        <f t="shared" si="483"/>
        <v>0</v>
      </c>
      <c r="V415" s="230"/>
      <c r="W415" s="231"/>
      <c r="X415" s="46"/>
      <c r="Y415" s="167">
        <f t="shared" si="484"/>
        <v>0</v>
      </c>
      <c r="Z415" s="167">
        <f t="shared" si="485"/>
        <v>0</v>
      </c>
      <c r="AA415" s="167">
        <f t="shared" si="486"/>
        <v>0</v>
      </c>
      <c r="AB415" s="167">
        <f t="shared" si="487"/>
        <v>0</v>
      </c>
      <c r="AC415" s="167">
        <f t="shared" si="488"/>
        <v>0</v>
      </c>
      <c r="AD415" s="167">
        <f t="shared" si="489"/>
        <v>0</v>
      </c>
      <c r="AF415" s="47">
        <f t="shared" si="492"/>
        <v>0</v>
      </c>
      <c r="AG415" s="202" t="str">
        <f t="shared" si="491"/>
        <v xml:space="preserve"> </v>
      </c>
      <c r="AH415" s="172"/>
      <c r="AI415" s="173"/>
      <c r="AJ415" s="173"/>
      <c r="AK415" s="173"/>
      <c r="AL415" s="173"/>
      <c r="AM415" s="173"/>
      <c r="AN415" s="173"/>
      <c r="AO415" s="173"/>
      <c r="AP415" s="173"/>
      <c r="AQ415" s="173"/>
      <c r="AR415" s="173"/>
      <c r="AS415" s="173"/>
      <c r="AT415" s="173"/>
      <c r="AU415" s="173"/>
      <c r="AV415" s="173"/>
      <c r="AW415" s="173"/>
      <c r="AX415" s="173"/>
      <c r="AY415" s="173"/>
      <c r="AZ415" s="173"/>
      <c r="BA415" s="173"/>
      <c r="BB415" s="173"/>
      <c r="BC415" s="173"/>
      <c r="BD415" s="173"/>
      <c r="BE415" s="173"/>
      <c r="BF415" s="173"/>
      <c r="BG415" s="173"/>
      <c r="BH415" s="173"/>
      <c r="BI415" s="173"/>
      <c r="BJ415" s="173"/>
      <c r="BK415" s="173"/>
      <c r="BL415" s="173"/>
      <c r="BM415" s="173"/>
      <c r="BN415" s="173"/>
      <c r="BO415" s="173"/>
      <c r="BP415" s="173"/>
      <c r="BQ415" s="173"/>
      <c r="BR415" s="173"/>
      <c r="BS415" s="173"/>
      <c r="BT415" s="173"/>
      <c r="BU415" s="173"/>
      <c r="BV415" s="173"/>
      <c r="BW415" s="173"/>
      <c r="BX415" s="173"/>
      <c r="BY415" s="173"/>
      <c r="BZ415" s="173"/>
      <c r="CA415" s="173"/>
      <c r="CB415" s="173"/>
      <c r="CC415" s="173"/>
      <c r="CD415" s="173"/>
      <c r="CE415" s="173"/>
      <c r="CF415" s="173"/>
      <c r="CG415" s="173"/>
      <c r="CH415" s="173"/>
      <c r="CI415" s="173"/>
      <c r="CJ415" s="173"/>
      <c r="CK415" s="173"/>
      <c r="CL415" s="173"/>
      <c r="CM415" s="173"/>
      <c r="CN415" s="173"/>
      <c r="CO415" s="173"/>
      <c r="CP415" s="173"/>
      <c r="CQ415" s="173"/>
      <c r="CR415" s="173"/>
      <c r="CS415" s="173"/>
      <c r="CT415" s="173"/>
      <c r="CU415" s="173"/>
      <c r="CV415" s="173"/>
      <c r="CW415" s="173"/>
      <c r="CX415" s="173"/>
      <c r="CY415" s="148"/>
      <c r="CZ415" s="148"/>
      <c r="DA415" s="148"/>
      <c r="DB415" s="148"/>
      <c r="DC415" s="148"/>
      <c r="DD415" s="148"/>
      <c r="DE415" s="148"/>
      <c r="DF415" s="148"/>
      <c r="DG415" s="148"/>
      <c r="DH415" s="148"/>
      <c r="DI415" s="148"/>
      <c r="DJ415" s="148"/>
      <c r="DK415" s="148"/>
      <c r="DL415" s="148"/>
      <c r="DM415" s="148"/>
      <c r="DN415" s="148"/>
      <c r="DO415" s="148"/>
      <c r="DP415" s="148"/>
      <c r="DQ415" s="148"/>
      <c r="DR415" s="148"/>
      <c r="DS415" s="148"/>
      <c r="DT415" s="148"/>
      <c r="DU415" s="148"/>
      <c r="DV415" s="148"/>
      <c r="DW415" s="148"/>
      <c r="DX415" s="148"/>
      <c r="DY415" s="148"/>
      <c r="DZ415" s="148"/>
      <c r="EA415" s="148"/>
      <c r="EB415" s="148"/>
      <c r="EC415" s="148"/>
      <c r="ED415" s="148"/>
      <c r="EE415" s="148"/>
      <c r="EF415" s="148"/>
      <c r="EG415" s="148"/>
      <c r="EH415" s="148"/>
      <c r="EI415" s="148"/>
      <c r="EJ415" s="148"/>
      <c r="EK415" s="148"/>
      <c r="EL415" s="148"/>
      <c r="EM415" s="148"/>
      <c r="EN415" s="148"/>
      <c r="EO415" s="148"/>
      <c r="EP415" s="148"/>
      <c r="EQ415" s="148"/>
      <c r="ER415" s="148"/>
      <c r="ES415" s="148"/>
      <c r="ET415" s="148"/>
      <c r="EU415" s="148"/>
      <c r="EV415" s="148"/>
      <c r="EW415" s="148"/>
      <c r="EX415" s="148"/>
      <c r="EY415" s="148"/>
      <c r="EZ415" s="148"/>
      <c r="FA415" s="148"/>
      <c r="FB415" s="148"/>
      <c r="FC415" s="148"/>
      <c r="FD415" s="148"/>
      <c r="FE415" s="148"/>
      <c r="FF415" s="148"/>
      <c r="FG415" s="148"/>
      <c r="FH415" s="148"/>
      <c r="FI415" s="148"/>
      <c r="FJ415" s="148"/>
      <c r="FK415" s="148"/>
      <c r="FL415" s="148"/>
      <c r="FM415" s="148"/>
      <c r="FN415" s="148"/>
      <c r="FO415" s="148"/>
      <c r="FP415" s="148"/>
      <c r="FQ415" s="148"/>
      <c r="FR415" s="148"/>
      <c r="FS415" s="148"/>
      <c r="FT415" s="148"/>
      <c r="FU415" s="148"/>
      <c r="FV415" s="148"/>
      <c r="FW415" s="148"/>
      <c r="FX415" s="148"/>
      <c r="FY415" s="148"/>
      <c r="FZ415" s="148"/>
      <c r="GA415" s="148"/>
      <c r="GB415" s="148"/>
      <c r="GC415" s="148"/>
      <c r="GD415" s="148"/>
      <c r="GE415" s="148"/>
      <c r="GF415" s="148"/>
      <c r="GG415" s="149"/>
    </row>
    <row r="416" spans="1:189" x14ac:dyDescent="0.35">
      <c r="A416" s="268"/>
      <c r="B416" s="221"/>
      <c r="C416" s="221"/>
      <c r="D416" s="222"/>
      <c r="E416" s="221"/>
      <c r="F416" s="221"/>
      <c r="G416" s="223"/>
      <c r="H416" s="224"/>
      <c r="I416" s="225"/>
      <c r="J416" s="225"/>
      <c r="K416" s="225"/>
      <c r="L416" s="226"/>
      <c r="M416" s="226"/>
      <c r="N416" s="226"/>
      <c r="O416" s="226"/>
      <c r="P416" s="226"/>
      <c r="Q416" s="227"/>
      <c r="R416" s="228"/>
      <c r="S416" s="228"/>
      <c r="T416" s="228"/>
      <c r="U416" s="191">
        <f t="shared" si="483"/>
        <v>0</v>
      </c>
      <c r="V416" s="230"/>
      <c r="W416" s="231"/>
      <c r="X416" s="46"/>
      <c r="Y416" s="167">
        <f t="shared" si="484"/>
        <v>0</v>
      </c>
      <c r="Z416" s="167">
        <f t="shared" si="485"/>
        <v>0</v>
      </c>
      <c r="AA416" s="167">
        <f t="shared" si="486"/>
        <v>0</v>
      </c>
      <c r="AB416" s="167">
        <f t="shared" si="487"/>
        <v>0</v>
      </c>
      <c r="AC416" s="167">
        <f t="shared" si="488"/>
        <v>0</v>
      </c>
      <c r="AD416" s="167">
        <f t="shared" si="489"/>
        <v>0</v>
      </c>
      <c r="AF416" s="47">
        <f t="shared" si="492"/>
        <v>0</v>
      </c>
      <c r="AG416" s="202" t="str">
        <f t="shared" si="491"/>
        <v xml:space="preserve"> </v>
      </c>
      <c r="AH416" s="172"/>
      <c r="AI416" s="173"/>
      <c r="AJ416" s="173"/>
      <c r="AK416" s="173"/>
      <c r="AL416" s="173"/>
      <c r="AM416" s="173"/>
      <c r="AN416" s="173"/>
      <c r="AO416" s="173"/>
      <c r="AP416" s="173"/>
      <c r="AQ416" s="173"/>
      <c r="AR416" s="173"/>
      <c r="AS416" s="173"/>
      <c r="AT416" s="173"/>
      <c r="AU416" s="173"/>
      <c r="AV416" s="173"/>
      <c r="AW416" s="173"/>
      <c r="AX416" s="173"/>
      <c r="AY416" s="173"/>
      <c r="AZ416" s="173"/>
      <c r="BA416" s="173"/>
      <c r="BB416" s="173"/>
      <c r="BC416" s="173"/>
      <c r="BD416" s="173"/>
      <c r="BE416" s="173"/>
      <c r="BF416" s="173"/>
      <c r="BG416" s="173"/>
      <c r="BH416" s="173"/>
      <c r="BI416" s="173"/>
      <c r="BJ416" s="173"/>
      <c r="BK416" s="173"/>
      <c r="BL416" s="173"/>
      <c r="BM416" s="173"/>
      <c r="BN416" s="173"/>
      <c r="BO416" s="173"/>
      <c r="BP416" s="173"/>
      <c r="BQ416" s="173"/>
      <c r="BR416" s="173"/>
      <c r="BS416" s="173"/>
      <c r="BT416" s="173"/>
      <c r="BU416" s="173"/>
      <c r="BV416" s="173"/>
      <c r="BW416" s="173"/>
      <c r="BX416" s="173"/>
      <c r="BY416" s="173"/>
      <c r="BZ416" s="173"/>
      <c r="CA416" s="173"/>
      <c r="CB416" s="173"/>
      <c r="CC416" s="173"/>
      <c r="CD416" s="173"/>
      <c r="CE416" s="173"/>
      <c r="CF416" s="173"/>
      <c r="CG416" s="173"/>
      <c r="CH416" s="173"/>
      <c r="CI416" s="173"/>
      <c r="CJ416" s="173"/>
      <c r="CK416" s="173"/>
      <c r="CL416" s="173"/>
      <c r="CM416" s="173"/>
      <c r="CN416" s="173"/>
      <c r="CO416" s="173"/>
      <c r="CP416" s="173"/>
      <c r="CQ416" s="173"/>
      <c r="CR416" s="173"/>
      <c r="CS416" s="173"/>
      <c r="CT416" s="173"/>
      <c r="CU416" s="173"/>
      <c r="CV416" s="173"/>
      <c r="CW416" s="173"/>
      <c r="CX416" s="173"/>
      <c r="CY416" s="148"/>
      <c r="CZ416" s="148"/>
      <c r="DA416" s="148"/>
      <c r="DB416" s="148"/>
      <c r="DC416" s="148"/>
      <c r="DD416" s="148"/>
      <c r="DE416" s="148"/>
      <c r="DF416" s="148"/>
      <c r="DG416" s="148"/>
      <c r="DH416" s="148"/>
      <c r="DI416" s="148"/>
      <c r="DJ416" s="148"/>
      <c r="DK416" s="148"/>
      <c r="DL416" s="148"/>
      <c r="DM416" s="148"/>
      <c r="DN416" s="148"/>
      <c r="DO416" s="148"/>
      <c r="DP416" s="148"/>
      <c r="DQ416" s="148"/>
      <c r="DR416" s="148"/>
      <c r="DS416" s="148"/>
      <c r="DT416" s="148"/>
      <c r="DU416" s="148"/>
      <c r="DV416" s="148"/>
      <c r="DW416" s="148"/>
      <c r="DX416" s="148"/>
      <c r="DY416" s="148"/>
      <c r="DZ416" s="148"/>
      <c r="EA416" s="148"/>
      <c r="EB416" s="148"/>
      <c r="EC416" s="148"/>
      <c r="ED416" s="148"/>
      <c r="EE416" s="148"/>
      <c r="EF416" s="148"/>
      <c r="EG416" s="148"/>
      <c r="EH416" s="148"/>
      <c r="EI416" s="148"/>
      <c r="EJ416" s="148"/>
      <c r="EK416" s="148"/>
      <c r="EL416" s="148"/>
      <c r="EM416" s="148"/>
      <c r="EN416" s="148"/>
      <c r="EO416" s="148"/>
      <c r="EP416" s="148"/>
      <c r="EQ416" s="148"/>
      <c r="ER416" s="148"/>
      <c r="ES416" s="151"/>
      <c r="ET416" s="151"/>
      <c r="EU416" s="151"/>
      <c r="EV416" s="151"/>
      <c r="EW416" s="151"/>
      <c r="EX416" s="151"/>
      <c r="EY416" s="151"/>
      <c r="EZ416" s="151"/>
      <c r="FA416" s="151"/>
      <c r="FB416" s="151"/>
      <c r="FC416" s="151"/>
      <c r="FD416" s="151"/>
      <c r="FE416" s="151"/>
      <c r="FF416" s="151"/>
      <c r="FG416" s="151"/>
      <c r="FH416" s="151"/>
      <c r="FI416" s="151"/>
      <c r="FJ416" s="151"/>
      <c r="FK416" s="151"/>
      <c r="FL416" s="151"/>
      <c r="FM416" s="151"/>
      <c r="FN416" s="151"/>
      <c r="FO416" s="151"/>
      <c r="FP416" s="151"/>
      <c r="FQ416" s="151"/>
      <c r="FR416" s="151"/>
      <c r="FS416" s="151"/>
      <c r="FT416" s="151"/>
      <c r="FU416" s="151"/>
      <c r="FV416" s="151"/>
      <c r="FW416" s="151"/>
      <c r="FX416" s="151"/>
      <c r="FY416" s="151"/>
      <c r="FZ416" s="151"/>
      <c r="GA416" s="151"/>
      <c r="GB416" s="151"/>
      <c r="GC416" s="151"/>
      <c r="GD416" s="151"/>
      <c r="GE416" s="151"/>
      <c r="GF416" s="151"/>
      <c r="GG416" s="152"/>
    </row>
    <row r="417" spans="1:189" x14ac:dyDescent="0.35">
      <c r="A417" s="268"/>
      <c r="B417" s="221"/>
      <c r="C417" s="221"/>
      <c r="D417" s="222"/>
      <c r="E417" s="221"/>
      <c r="F417" s="221"/>
      <c r="G417" s="223"/>
      <c r="H417" s="224"/>
      <c r="I417" s="225"/>
      <c r="J417" s="225"/>
      <c r="K417" s="225"/>
      <c r="L417" s="226"/>
      <c r="M417" s="226"/>
      <c r="N417" s="226"/>
      <c r="O417" s="226"/>
      <c r="P417" s="226"/>
      <c r="Q417" s="227"/>
      <c r="R417" s="228"/>
      <c r="S417" s="228"/>
      <c r="T417" s="228"/>
      <c r="U417" s="191">
        <f t="shared" si="483"/>
        <v>0</v>
      </c>
      <c r="V417" s="230"/>
      <c r="W417" s="231"/>
      <c r="X417" s="46"/>
      <c r="Y417" s="167">
        <f t="shared" si="484"/>
        <v>0</v>
      </c>
      <c r="Z417" s="167">
        <f t="shared" si="485"/>
        <v>0</v>
      </c>
      <c r="AA417" s="167">
        <f t="shared" si="486"/>
        <v>0</v>
      </c>
      <c r="AB417" s="167">
        <f t="shared" si="487"/>
        <v>0</v>
      </c>
      <c r="AC417" s="167">
        <f t="shared" si="488"/>
        <v>0</v>
      </c>
      <c r="AD417" s="167">
        <f t="shared" si="489"/>
        <v>0</v>
      </c>
      <c r="AF417" s="47">
        <f t="shared" si="492"/>
        <v>0</v>
      </c>
      <c r="AG417" s="202" t="str">
        <f t="shared" ref="AG417:AG480" si="493">B417&amp;" "&amp;F417</f>
        <v xml:space="preserve"> </v>
      </c>
      <c r="AH417" s="172"/>
      <c r="AI417" s="173"/>
      <c r="AJ417" s="173"/>
      <c r="AK417" s="173"/>
      <c r="AL417" s="173"/>
      <c r="AM417" s="173"/>
      <c r="AN417" s="173"/>
      <c r="AO417" s="173"/>
      <c r="AP417" s="173"/>
      <c r="AQ417" s="173"/>
      <c r="AR417" s="173"/>
      <c r="AS417" s="173"/>
      <c r="AT417" s="173"/>
      <c r="AU417" s="173"/>
      <c r="AV417" s="173"/>
      <c r="AW417" s="173"/>
      <c r="AX417" s="173"/>
      <c r="AY417" s="173"/>
      <c r="AZ417" s="173"/>
      <c r="BA417" s="173"/>
      <c r="BB417" s="173"/>
      <c r="BC417" s="173"/>
      <c r="BD417" s="173"/>
      <c r="BE417" s="173"/>
      <c r="BF417" s="173"/>
      <c r="BG417" s="173"/>
      <c r="BH417" s="173"/>
      <c r="BI417" s="173"/>
      <c r="BJ417" s="173"/>
      <c r="BK417" s="173"/>
      <c r="BL417" s="173"/>
      <c r="BM417" s="173"/>
      <c r="BN417" s="173"/>
      <c r="BO417" s="173"/>
      <c r="BP417" s="173"/>
      <c r="BQ417" s="173"/>
      <c r="BR417" s="173"/>
      <c r="BS417" s="173"/>
      <c r="BT417" s="173"/>
      <c r="BU417" s="173"/>
      <c r="BV417" s="173"/>
      <c r="BW417" s="173"/>
      <c r="BX417" s="173"/>
      <c r="BY417" s="173"/>
      <c r="BZ417" s="173"/>
      <c r="CA417" s="173"/>
      <c r="CB417" s="173"/>
      <c r="CC417" s="173"/>
      <c r="CD417" s="173"/>
      <c r="CE417" s="173"/>
      <c r="CF417" s="173"/>
      <c r="CG417" s="173"/>
      <c r="CH417" s="173"/>
      <c r="CI417" s="173"/>
      <c r="CJ417" s="173"/>
      <c r="CK417" s="173"/>
      <c r="CL417" s="173"/>
      <c r="CM417" s="173"/>
      <c r="CN417" s="173"/>
      <c r="CO417" s="173"/>
      <c r="CP417" s="173"/>
      <c r="CQ417" s="173"/>
      <c r="CR417" s="173"/>
      <c r="CS417" s="173"/>
      <c r="CT417" s="173"/>
      <c r="CU417" s="173"/>
      <c r="CV417" s="173"/>
      <c r="CW417" s="173"/>
      <c r="CX417" s="173"/>
      <c r="CY417" s="148"/>
      <c r="CZ417" s="148"/>
      <c r="DA417" s="148"/>
      <c r="DB417" s="148"/>
      <c r="DC417" s="148"/>
      <c r="DD417" s="148"/>
      <c r="DE417" s="148"/>
      <c r="DF417" s="148"/>
      <c r="DG417" s="148"/>
      <c r="DH417" s="148"/>
      <c r="DI417" s="148"/>
      <c r="DJ417" s="148"/>
      <c r="DK417" s="148"/>
      <c r="DL417" s="148"/>
      <c r="DM417" s="148"/>
      <c r="DN417" s="148"/>
      <c r="DO417" s="148"/>
      <c r="DP417" s="148"/>
      <c r="DQ417" s="148"/>
      <c r="DR417" s="148"/>
      <c r="DS417" s="148"/>
      <c r="DT417" s="148"/>
      <c r="DU417" s="148"/>
      <c r="DV417" s="148"/>
      <c r="DW417" s="148"/>
      <c r="DX417" s="148"/>
      <c r="DY417" s="148"/>
      <c r="DZ417" s="148"/>
      <c r="EA417" s="148"/>
      <c r="EB417" s="148"/>
      <c r="EC417" s="148"/>
      <c r="ED417" s="148"/>
      <c r="EE417" s="148"/>
      <c r="EF417" s="148"/>
      <c r="EG417" s="148"/>
      <c r="EH417" s="148"/>
      <c r="EI417" s="148"/>
      <c r="EJ417" s="148"/>
      <c r="EK417" s="148"/>
      <c r="EL417" s="148"/>
      <c r="EM417" s="148"/>
      <c r="EN417" s="148"/>
      <c r="EO417" s="148"/>
      <c r="EP417" s="148"/>
      <c r="EQ417" s="148"/>
      <c r="ER417" s="148"/>
      <c r="ES417" s="151"/>
      <c r="ET417" s="151"/>
      <c r="EU417" s="151"/>
      <c r="EV417" s="151"/>
      <c r="EW417" s="151"/>
      <c r="EX417" s="151"/>
      <c r="EY417" s="151"/>
      <c r="EZ417" s="151"/>
      <c r="FA417" s="151"/>
      <c r="FB417" s="151"/>
      <c r="FC417" s="151"/>
      <c r="FD417" s="151"/>
      <c r="FE417" s="151"/>
      <c r="FF417" s="151"/>
      <c r="FG417" s="151"/>
      <c r="FH417" s="151"/>
      <c r="FI417" s="151"/>
      <c r="FJ417" s="151"/>
      <c r="FK417" s="151"/>
      <c r="FL417" s="151"/>
      <c r="FM417" s="151"/>
      <c r="FN417" s="151"/>
      <c r="FO417" s="151"/>
      <c r="FP417" s="151"/>
      <c r="FQ417" s="151"/>
      <c r="FR417" s="151"/>
      <c r="FS417" s="151"/>
      <c r="FT417" s="151"/>
      <c r="FU417" s="151"/>
      <c r="FV417" s="151"/>
      <c r="FW417" s="151"/>
      <c r="FX417" s="151"/>
      <c r="FY417" s="151"/>
      <c r="FZ417" s="151"/>
      <c r="GA417" s="151"/>
      <c r="GB417" s="151"/>
      <c r="GC417" s="151"/>
      <c r="GD417" s="151"/>
      <c r="GE417" s="151"/>
      <c r="GF417" s="151"/>
      <c r="GG417" s="152"/>
    </row>
    <row r="418" spans="1:189" x14ac:dyDescent="0.35">
      <c r="A418" s="268"/>
      <c r="B418" s="221"/>
      <c r="C418" s="221"/>
      <c r="D418" s="222"/>
      <c r="E418" s="221"/>
      <c r="F418" s="221"/>
      <c r="G418" s="223"/>
      <c r="H418" s="224"/>
      <c r="I418" s="225"/>
      <c r="J418" s="225"/>
      <c r="K418" s="225"/>
      <c r="L418" s="226"/>
      <c r="M418" s="226"/>
      <c r="N418" s="226"/>
      <c r="O418" s="226"/>
      <c r="P418" s="226"/>
      <c r="Q418" s="227"/>
      <c r="R418" s="228"/>
      <c r="S418" s="228"/>
      <c r="T418" s="228"/>
      <c r="U418" s="191">
        <f t="shared" si="483"/>
        <v>0</v>
      </c>
      <c r="V418" s="86"/>
      <c r="W418" s="45"/>
      <c r="X418" s="46"/>
      <c r="Y418" s="167">
        <f t="shared" si="484"/>
        <v>0</v>
      </c>
      <c r="Z418" s="167">
        <f t="shared" si="485"/>
        <v>0</v>
      </c>
      <c r="AA418" s="167">
        <f t="shared" si="486"/>
        <v>0</v>
      </c>
      <c r="AB418" s="167">
        <f t="shared" si="487"/>
        <v>0</v>
      </c>
      <c r="AC418" s="167">
        <f t="shared" si="488"/>
        <v>0</v>
      </c>
      <c r="AD418" s="167">
        <f t="shared" si="489"/>
        <v>0</v>
      </c>
      <c r="AF418" s="47">
        <f t="shared" si="492"/>
        <v>0</v>
      </c>
      <c r="AG418" s="202" t="str">
        <f t="shared" si="493"/>
        <v xml:space="preserve"> </v>
      </c>
      <c r="AH418" s="172"/>
      <c r="AI418" s="173"/>
      <c r="AJ418" s="173"/>
      <c r="AK418" s="173"/>
      <c r="AL418" s="173"/>
      <c r="AM418" s="173"/>
      <c r="AN418" s="173"/>
      <c r="AO418" s="173"/>
      <c r="AP418" s="173"/>
      <c r="AQ418" s="173"/>
      <c r="AR418" s="173"/>
      <c r="AS418" s="173"/>
      <c r="AT418" s="173"/>
      <c r="AU418" s="173"/>
      <c r="AV418" s="173"/>
      <c r="AW418" s="173"/>
      <c r="AX418" s="173"/>
      <c r="AY418" s="173"/>
      <c r="AZ418" s="173"/>
      <c r="BA418" s="173"/>
      <c r="BB418" s="173"/>
      <c r="BC418" s="173"/>
      <c r="BD418" s="173"/>
      <c r="BE418" s="173"/>
      <c r="BF418" s="173"/>
      <c r="BG418" s="173"/>
      <c r="BH418" s="173"/>
      <c r="BI418" s="173"/>
      <c r="BJ418" s="173"/>
      <c r="BK418" s="173"/>
      <c r="BL418" s="173"/>
      <c r="BM418" s="173"/>
      <c r="BN418" s="173"/>
      <c r="BO418" s="173"/>
      <c r="BP418" s="173"/>
      <c r="BQ418" s="173"/>
      <c r="BR418" s="173"/>
      <c r="BS418" s="173"/>
      <c r="BT418" s="173"/>
      <c r="BU418" s="173"/>
      <c r="BV418" s="173"/>
      <c r="BW418" s="173"/>
      <c r="BX418" s="173"/>
      <c r="BY418" s="173"/>
      <c r="BZ418" s="173"/>
      <c r="CA418" s="173"/>
      <c r="CB418" s="173"/>
      <c r="CC418" s="173"/>
      <c r="CD418" s="173"/>
      <c r="CE418" s="173"/>
      <c r="CF418" s="173"/>
      <c r="CG418" s="173"/>
      <c r="CH418" s="173"/>
      <c r="CI418" s="173"/>
      <c r="CJ418" s="173"/>
      <c r="CK418" s="173"/>
      <c r="CL418" s="173"/>
      <c r="CM418" s="173"/>
      <c r="CN418" s="173"/>
      <c r="CO418" s="173"/>
      <c r="CP418" s="173"/>
      <c r="CQ418" s="173"/>
      <c r="CR418" s="173"/>
      <c r="CS418" s="173"/>
      <c r="CT418" s="173"/>
      <c r="CU418" s="173"/>
      <c r="CV418" s="173"/>
      <c r="CW418" s="173"/>
      <c r="CX418" s="173"/>
      <c r="CY418" s="148"/>
      <c r="CZ418" s="148"/>
      <c r="DA418" s="148"/>
      <c r="DB418" s="148"/>
      <c r="DC418" s="148"/>
      <c r="DD418" s="148"/>
      <c r="DE418" s="148"/>
      <c r="DF418" s="148"/>
      <c r="DG418" s="148"/>
      <c r="DH418" s="148"/>
      <c r="DI418" s="148"/>
      <c r="DJ418" s="148"/>
      <c r="DK418" s="148"/>
      <c r="DL418" s="148"/>
      <c r="DM418" s="148"/>
      <c r="DN418" s="148"/>
      <c r="DO418" s="148"/>
      <c r="DP418" s="148"/>
      <c r="DQ418" s="148"/>
      <c r="DR418" s="148"/>
      <c r="DS418" s="148"/>
      <c r="DT418" s="148"/>
      <c r="DU418" s="148"/>
      <c r="DV418" s="148"/>
      <c r="DW418" s="148"/>
      <c r="DX418" s="148"/>
      <c r="DY418" s="148"/>
      <c r="DZ418" s="148"/>
      <c r="EA418" s="148"/>
      <c r="EB418" s="148"/>
      <c r="EC418" s="148"/>
      <c r="ED418" s="148"/>
      <c r="EE418" s="148"/>
      <c r="EF418" s="148"/>
      <c r="EG418" s="148"/>
      <c r="EH418" s="148"/>
      <c r="EI418" s="148"/>
      <c r="EJ418" s="148"/>
      <c r="EK418" s="148"/>
      <c r="EL418" s="148"/>
      <c r="EM418" s="148"/>
      <c r="EN418" s="148"/>
      <c r="EO418" s="148"/>
      <c r="EP418" s="148"/>
      <c r="EQ418" s="148"/>
      <c r="ER418" s="148"/>
      <c r="ES418" s="151"/>
      <c r="ET418" s="151"/>
      <c r="EU418" s="151"/>
      <c r="EV418" s="151"/>
      <c r="EW418" s="151"/>
      <c r="EX418" s="151"/>
      <c r="EY418" s="151"/>
      <c r="EZ418" s="151"/>
      <c r="FA418" s="151"/>
      <c r="FB418" s="151"/>
      <c r="FC418" s="151"/>
      <c r="FD418" s="151"/>
      <c r="FE418" s="151"/>
      <c r="FF418" s="151"/>
      <c r="FG418" s="151"/>
      <c r="FH418" s="151"/>
      <c r="FI418" s="151"/>
      <c r="FJ418" s="151"/>
      <c r="FK418" s="151"/>
      <c r="FL418" s="151"/>
      <c r="FM418" s="151"/>
      <c r="FN418" s="151"/>
      <c r="FO418" s="151"/>
      <c r="FP418" s="151"/>
      <c r="FQ418" s="151"/>
      <c r="FR418" s="151"/>
      <c r="FS418" s="151"/>
      <c r="FT418" s="151"/>
      <c r="FU418" s="151"/>
      <c r="FV418" s="151"/>
      <c r="FW418" s="151"/>
      <c r="FX418" s="151"/>
      <c r="FY418" s="151"/>
      <c r="FZ418" s="151"/>
      <c r="GA418" s="151"/>
      <c r="GB418" s="151"/>
      <c r="GC418" s="151"/>
      <c r="GD418" s="151"/>
      <c r="GE418" s="151"/>
      <c r="GF418" s="151"/>
      <c r="GG418" s="152"/>
    </row>
    <row r="419" spans="1:189" x14ac:dyDescent="0.35">
      <c r="A419" s="268"/>
      <c r="B419" s="221"/>
      <c r="C419" s="221"/>
      <c r="D419" s="222"/>
      <c r="E419" s="221"/>
      <c r="F419" s="221"/>
      <c r="G419" s="223"/>
      <c r="H419" s="224"/>
      <c r="I419" s="225"/>
      <c r="J419" s="225"/>
      <c r="K419" s="225"/>
      <c r="L419" s="226"/>
      <c r="M419" s="226"/>
      <c r="N419" s="226"/>
      <c r="O419" s="226"/>
      <c r="P419" s="226"/>
      <c r="Q419" s="227"/>
      <c r="R419" s="228"/>
      <c r="S419" s="228"/>
      <c r="T419" s="228"/>
      <c r="U419" s="191">
        <f t="shared" si="483"/>
        <v>0</v>
      </c>
      <c r="V419" s="86"/>
      <c r="W419" s="45"/>
      <c r="X419" s="46"/>
      <c r="Y419" s="167">
        <f t="shared" si="484"/>
        <v>0</v>
      </c>
      <c r="Z419" s="167">
        <f t="shared" si="485"/>
        <v>0</v>
      </c>
      <c r="AA419" s="167">
        <f t="shared" si="486"/>
        <v>0</v>
      </c>
      <c r="AB419" s="167">
        <f t="shared" si="487"/>
        <v>0</v>
      </c>
      <c r="AC419" s="167">
        <f t="shared" si="488"/>
        <v>0</v>
      </c>
      <c r="AD419" s="167">
        <f t="shared" si="489"/>
        <v>0</v>
      </c>
      <c r="AF419" s="47">
        <f t="shared" si="492"/>
        <v>0</v>
      </c>
      <c r="AG419" s="202" t="str">
        <f t="shared" si="493"/>
        <v xml:space="preserve"> </v>
      </c>
      <c r="AH419" s="172"/>
      <c r="AI419" s="173"/>
      <c r="AJ419" s="173"/>
      <c r="AK419" s="173"/>
      <c r="AL419" s="173"/>
      <c r="AM419" s="173"/>
      <c r="AN419" s="173"/>
      <c r="AO419" s="173"/>
      <c r="AP419" s="173"/>
      <c r="AQ419" s="173"/>
      <c r="AR419" s="173"/>
      <c r="AS419" s="173"/>
      <c r="AT419" s="173"/>
      <c r="AU419" s="173"/>
      <c r="AV419" s="173"/>
      <c r="AW419" s="173"/>
      <c r="AX419" s="173"/>
      <c r="AY419" s="173"/>
      <c r="AZ419" s="173"/>
      <c r="BA419" s="173"/>
      <c r="BB419" s="173"/>
      <c r="BC419" s="173"/>
      <c r="BD419" s="173"/>
      <c r="BE419" s="173"/>
      <c r="BF419" s="173"/>
      <c r="BG419" s="173"/>
      <c r="BH419" s="173"/>
      <c r="BI419" s="173"/>
      <c r="BJ419" s="173"/>
      <c r="BK419" s="173"/>
      <c r="BL419" s="173"/>
      <c r="BM419" s="173"/>
      <c r="BN419" s="173"/>
      <c r="BO419" s="173"/>
      <c r="BP419" s="173"/>
      <c r="BQ419" s="173"/>
      <c r="BR419" s="173"/>
      <c r="BS419" s="173"/>
      <c r="BT419" s="173"/>
      <c r="BU419" s="173"/>
      <c r="BV419" s="173"/>
      <c r="BW419" s="173"/>
      <c r="BX419" s="173"/>
      <c r="BY419" s="173"/>
      <c r="BZ419" s="173"/>
      <c r="CA419" s="173"/>
      <c r="CB419" s="173"/>
      <c r="CC419" s="173"/>
      <c r="CD419" s="173"/>
      <c r="CE419" s="173"/>
      <c r="CF419" s="173"/>
      <c r="CG419" s="173"/>
      <c r="CH419" s="173"/>
      <c r="CI419" s="173"/>
      <c r="CJ419" s="173"/>
      <c r="CK419" s="173"/>
      <c r="CL419" s="173"/>
      <c r="CM419" s="173"/>
      <c r="CN419" s="173"/>
      <c r="CO419" s="173"/>
      <c r="CP419" s="173"/>
      <c r="CQ419" s="173"/>
      <c r="CR419" s="173"/>
      <c r="CS419" s="173"/>
      <c r="CT419" s="173"/>
      <c r="CU419" s="173"/>
      <c r="CV419" s="173"/>
      <c r="CW419" s="173"/>
      <c r="CX419" s="173"/>
      <c r="CY419" s="148"/>
      <c r="CZ419" s="148"/>
      <c r="DA419" s="148"/>
      <c r="DB419" s="148"/>
      <c r="DC419" s="148"/>
      <c r="DD419" s="148"/>
      <c r="DE419" s="148"/>
      <c r="DF419" s="148"/>
      <c r="DG419" s="148"/>
      <c r="DH419" s="148"/>
      <c r="DI419" s="148"/>
      <c r="DJ419" s="148"/>
      <c r="DK419" s="148"/>
      <c r="DL419" s="148"/>
      <c r="DM419" s="148"/>
      <c r="DN419" s="148"/>
      <c r="DO419" s="148"/>
      <c r="DP419" s="148"/>
      <c r="DQ419" s="148"/>
      <c r="DR419" s="148"/>
      <c r="DS419" s="148"/>
      <c r="DT419" s="148"/>
      <c r="DU419" s="148"/>
      <c r="DV419" s="148"/>
      <c r="DW419" s="148"/>
      <c r="DX419" s="148"/>
      <c r="DY419" s="148"/>
      <c r="DZ419" s="148"/>
      <c r="EA419" s="148"/>
      <c r="EB419" s="148"/>
      <c r="EC419" s="148"/>
      <c r="ED419" s="148"/>
      <c r="EE419" s="148"/>
      <c r="EF419" s="148"/>
      <c r="EG419" s="148"/>
      <c r="EH419" s="148"/>
      <c r="EI419" s="148"/>
      <c r="EJ419" s="148"/>
      <c r="EK419" s="148"/>
      <c r="EL419" s="148"/>
      <c r="EM419" s="148"/>
      <c r="EN419" s="148"/>
      <c r="EO419" s="148"/>
      <c r="EP419" s="148"/>
      <c r="EQ419" s="148"/>
      <c r="ER419" s="148"/>
      <c r="ES419" s="148"/>
      <c r="ET419" s="148"/>
      <c r="EU419" s="148"/>
      <c r="EV419" s="148"/>
      <c r="EW419" s="148"/>
      <c r="EX419" s="148"/>
      <c r="EY419" s="148"/>
      <c r="EZ419" s="148"/>
      <c r="FA419" s="148"/>
      <c r="FB419" s="148"/>
      <c r="FC419" s="148"/>
      <c r="FD419" s="148"/>
      <c r="FE419" s="148"/>
      <c r="FF419" s="148"/>
      <c r="FG419" s="148"/>
      <c r="FH419" s="148"/>
      <c r="FI419" s="148"/>
      <c r="FJ419" s="148"/>
      <c r="FK419" s="148"/>
      <c r="FL419" s="148"/>
      <c r="FM419" s="148"/>
      <c r="FN419" s="148"/>
      <c r="FO419" s="148"/>
      <c r="FP419" s="148"/>
      <c r="FQ419" s="148"/>
      <c r="FR419" s="148"/>
      <c r="FS419" s="148"/>
      <c r="FT419" s="148"/>
      <c r="FU419" s="148"/>
      <c r="FV419" s="148"/>
      <c r="FW419" s="148"/>
      <c r="FX419" s="148"/>
      <c r="FY419" s="148"/>
      <c r="FZ419" s="148"/>
      <c r="GA419" s="148"/>
      <c r="GB419" s="148"/>
      <c r="GC419" s="148"/>
      <c r="GD419" s="148"/>
      <c r="GE419" s="148"/>
      <c r="GF419" s="148"/>
      <c r="GG419" s="149"/>
    </row>
    <row r="420" spans="1:189" x14ac:dyDescent="0.35">
      <c r="A420" s="268"/>
      <c r="B420" s="221"/>
      <c r="C420" s="221"/>
      <c r="D420" s="222"/>
      <c r="E420" s="221"/>
      <c r="F420" s="221"/>
      <c r="G420" s="223"/>
      <c r="H420" s="224"/>
      <c r="I420" s="225"/>
      <c r="J420" s="225"/>
      <c r="K420" s="225"/>
      <c r="L420" s="226"/>
      <c r="M420" s="226"/>
      <c r="N420" s="226"/>
      <c r="O420" s="226"/>
      <c r="P420" s="226"/>
      <c r="Q420" s="227"/>
      <c r="R420" s="228"/>
      <c r="S420" s="228"/>
      <c r="T420" s="228"/>
      <c r="U420" s="191">
        <f t="shared" si="483"/>
        <v>0</v>
      </c>
      <c r="V420" s="86"/>
      <c r="W420" s="45"/>
      <c r="X420" s="46"/>
      <c r="Y420" s="167">
        <f t="shared" si="484"/>
        <v>0</v>
      </c>
      <c r="Z420" s="167">
        <f t="shared" si="485"/>
        <v>0</v>
      </c>
      <c r="AA420" s="167">
        <f t="shared" si="486"/>
        <v>0</v>
      </c>
      <c r="AB420" s="167">
        <f t="shared" si="487"/>
        <v>0</v>
      </c>
      <c r="AC420" s="167">
        <f t="shared" si="488"/>
        <v>0</v>
      </c>
      <c r="AD420" s="167">
        <f t="shared" si="489"/>
        <v>0</v>
      </c>
      <c r="AF420" s="47">
        <f t="shared" si="492"/>
        <v>0</v>
      </c>
      <c r="AG420" s="202" t="str">
        <f t="shared" si="493"/>
        <v xml:space="preserve"> </v>
      </c>
      <c r="AH420" s="172"/>
      <c r="AI420" s="173"/>
      <c r="AJ420" s="173"/>
      <c r="AK420" s="173"/>
      <c r="AL420" s="173"/>
      <c r="AM420" s="173"/>
      <c r="AN420" s="173"/>
      <c r="AO420" s="173"/>
      <c r="AP420" s="173"/>
      <c r="AQ420" s="173"/>
      <c r="AR420" s="173"/>
      <c r="AS420" s="173"/>
      <c r="AT420" s="173"/>
      <c r="AU420" s="173"/>
      <c r="AV420" s="173"/>
      <c r="AW420" s="173"/>
      <c r="AX420" s="173"/>
      <c r="AY420" s="173"/>
      <c r="AZ420" s="173"/>
      <c r="BA420" s="173"/>
      <c r="BB420" s="173"/>
      <c r="BC420" s="173"/>
      <c r="BD420" s="173"/>
      <c r="BE420" s="173"/>
      <c r="BF420" s="173"/>
      <c r="BG420" s="173"/>
      <c r="BH420" s="173"/>
      <c r="BI420" s="173"/>
      <c r="BJ420" s="173"/>
      <c r="BK420" s="173"/>
      <c r="BL420" s="173"/>
      <c r="BM420" s="173"/>
      <c r="BN420" s="173"/>
      <c r="BO420" s="173"/>
      <c r="BP420" s="173"/>
      <c r="BQ420" s="173"/>
      <c r="BR420" s="173"/>
      <c r="BS420" s="173"/>
      <c r="BT420" s="173"/>
      <c r="BU420" s="173"/>
      <c r="BV420" s="173"/>
      <c r="BW420" s="173"/>
      <c r="BX420" s="173"/>
      <c r="BY420" s="173"/>
      <c r="BZ420" s="173"/>
      <c r="CA420" s="173"/>
      <c r="CB420" s="173"/>
      <c r="CC420" s="173"/>
      <c r="CD420" s="173"/>
      <c r="CE420" s="173"/>
      <c r="CF420" s="173"/>
      <c r="CG420" s="173"/>
      <c r="CH420" s="173"/>
      <c r="CI420" s="173"/>
      <c r="CJ420" s="173"/>
      <c r="CK420" s="173"/>
      <c r="CL420" s="173"/>
      <c r="CM420" s="173"/>
      <c r="CN420" s="173"/>
      <c r="CO420" s="173"/>
      <c r="CP420" s="173"/>
      <c r="CQ420" s="173"/>
      <c r="CR420" s="173"/>
      <c r="CS420" s="173"/>
      <c r="CT420" s="173"/>
      <c r="CU420" s="173"/>
      <c r="CV420" s="173"/>
      <c r="CW420" s="173"/>
      <c r="CX420" s="173"/>
      <c r="CY420" s="148"/>
      <c r="CZ420" s="148"/>
      <c r="DA420" s="148"/>
      <c r="DB420" s="148"/>
      <c r="DC420" s="148"/>
      <c r="DD420" s="148"/>
      <c r="DE420" s="148"/>
      <c r="DF420" s="148"/>
      <c r="DG420" s="148"/>
      <c r="DH420" s="148"/>
      <c r="DI420" s="148"/>
      <c r="DJ420" s="148"/>
      <c r="DK420" s="148"/>
      <c r="DL420" s="148"/>
      <c r="DM420" s="148"/>
      <c r="DN420" s="148"/>
      <c r="DO420" s="148"/>
      <c r="DP420" s="148"/>
      <c r="DQ420" s="148"/>
      <c r="DR420" s="148"/>
      <c r="DS420" s="148"/>
      <c r="DT420" s="148"/>
      <c r="DU420" s="148"/>
      <c r="DV420" s="148"/>
      <c r="DW420" s="148"/>
      <c r="DX420" s="148"/>
      <c r="DY420" s="148"/>
      <c r="DZ420" s="148"/>
      <c r="EA420" s="148"/>
      <c r="EB420" s="148"/>
      <c r="EC420" s="148"/>
      <c r="ED420" s="148"/>
      <c r="EE420" s="148"/>
      <c r="EF420" s="148"/>
      <c r="EG420" s="148"/>
      <c r="EH420" s="148"/>
      <c r="EI420" s="148"/>
      <c r="EJ420" s="148"/>
      <c r="EK420" s="148"/>
      <c r="EL420" s="148"/>
      <c r="EM420" s="148"/>
      <c r="EN420" s="148"/>
      <c r="EO420" s="148"/>
      <c r="EP420" s="148"/>
      <c r="EQ420" s="148"/>
      <c r="ER420" s="148"/>
      <c r="ES420" s="151"/>
      <c r="ET420" s="151"/>
      <c r="EU420" s="151"/>
      <c r="EV420" s="151"/>
      <c r="EW420" s="151"/>
      <c r="EX420" s="151"/>
      <c r="EY420" s="151"/>
      <c r="EZ420" s="151"/>
      <c r="FA420" s="151"/>
      <c r="FB420" s="151"/>
      <c r="FC420" s="151"/>
      <c r="FD420" s="151"/>
      <c r="FE420" s="151"/>
      <c r="FF420" s="151"/>
      <c r="FG420" s="151"/>
      <c r="FH420" s="151"/>
      <c r="FI420" s="151"/>
      <c r="FJ420" s="151"/>
      <c r="FK420" s="151"/>
      <c r="FL420" s="151"/>
      <c r="FM420" s="151"/>
      <c r="FN420" s="151"/>
      <c r="FO420" s="151"/>
      <c r="FP420" s="151"/>
      <c r="FQ420" s="151"/>
      <c r="FR420" s="151"/>
      <c r="FS420" s="151"/>
      <c r="FT420" s="151"/>
      <c r="FU420" s="151"/>
      <c r="FV420" s="151"/>
      <c r="FW420" s="151"/>
      <c r="FX420" s="151"/>
      <c r="FY420" s="151"/>
      <c r="FZ420" s="151"/>
      <c r="GA420" s="151"/>
      <c r="GB420" s="151"/>
      <c r="GC420" s="151"/>
      <c r="GD420" s="151"/>
      <c r="GE420" s="151"/>
      <c r="GF420" s="151"/>
      <c r="GG420" s="152"/>
    </row>
    <row r="421" spans="1:189" x14ac:dyDescent="0.35">
      <c r="A421" s="268"/>
      <c r="B421" s="221"/>
      <c r="C421" s="221"/>
      <c r="D421" s="222"/>
      <c r="E421" s="221"/>
      <c r="F421" s="221"/>
      <c r="G421" s="223"/>
      <c r="H421" s="224"/>
      <c r="I421" s="225"/>
      <c r="J421" s="225"/>
      <c r="K421" s="225"/>
      <c r="L421" s="226"/>
      <c r="M421" s="226"/>
      <c r="N421" s="226"/>
      <c r="O421" s="226"/>
      <c r="P421" s="226"/>
      <c r="Q421" s="227"/>
      <c r="R421" s="228"/>
      <c r="S421" s="228"/>
      <c r="T421" s="228"/>
      <c r="U421" s="191">
        <f t="shared" si="483"/>
        <v>0</v>
      </c>
      <c r="V421" s="86"/>
      <c r="W421" s="45"/>
      <c r="X421" s="46"/>
      <c r="Y421" s="167">
        <f t="shared" si="484"/>
        <v>0</v>
      </c>
      <c r="Z421" s="167">
        <f t="shared" si="485"/>
        <v>0</v>
      </c>
      <c r="AA421" s="167">
        <f t="shared" si="486"/>
        <v>0</v>
      </c>
      <c r="AB421" s="167">
        <f t="shared" si="487"/>
        <v>0</v>
      </c>
      <c r="AC421" s="167">
        <f t="shared" si="488"/>
        <v>0</v>
      </c>
      <c r="AD421" s="167">
        <f t="shared" si="489"/>
        <v>0</v>
      </c>
      <c r="AF421" s="47">
        <f t="shared" si="492"/>
        <v>0</v>
      </c>
      <c r="AG421" s="202" t="str">
        <f t="shared" si="493"/>
        <v xml:space="preserve"> </v>
      </c>
      <c r="AH421" s="172"/>
      <c r="AI421" s="173"/>
      <c r="AJ421" s="173"/>
      <c r="AK421" s="173"/>
      <c r="AL421" s="173"/>
      <c r="AM421" s="173"/>
      <c r="AN421" s="173"/>
      <c r="AO421" s="173"/>
      <c r="AP421" s="173"/>
      <c r="AQ421" s="173"/>
      <c r="AR421" s="173"/>
      <c r="AS421" s="173"/>
      <c r="AT421" s="173"/>
      <c r="AU421" s="173"/>
      <c r="AV421" s="173"/>
      <c r="AW421" s="173"/>
      <c r="AX421" s="173"/>
      <c r="AY421" s="173"/>
      <c r="AZ421" s="173"/>
      <c r="BA421" s="173"/>
      <c r="BB421" s="173"/>
      <c r="BC421" s="173"/>
      <c r="BD421" s="173"/>
      <c r="BE421" s="173"/>
      <c r="BF421" s="173"/>
      <c r="BG421" s="173"/>
      <c r="BH421" s="173"/>
      <c r="BI421" s="173"/>
      <c r="BJ421" s="173"/>
      <c r="BK421" s="173"/>
      <c r="BL421" s="173"/>
      <c r="BM421" s="173"/>
      <c r="BN421" s="173"/>
      <c r="BO421" s="173"/>
      <c r="BP421" s="173"/>
      <c r="BQ421" s="173"/>
      <c r="BR421" s="173"/>
      <c r="BS421" s="173"/>
      <c r="BT421" s="173"/>
      <c r="BU421" s="173"/>
      <c r="BV421" s="173"/>
      <c r="BW421" s="173"/>
      <c r="BX421" s="173"/>
      <c r="BY421" s="173"/>
      <c r="BZ421" s="173"/>
      <c r="CA421" s="173"/>
      <c r="CB421" s="173"/>
      <c r="CC421" s="173"/>
      <c r="CD421" s="173"/>
      <c r="CE421" s="173"/>
      <c r="CF421" s="173"/>
      <c r="CG421" s="173"/>
      <c r="CH421" s="173"/>
      <c r="CI421" s="173"/>
      <c r="CJ421" s="173"/>
      <c r="CK421" s="173"/>
      <c r="CL421" s="173"/>
      <c r="CM421" s="173"/>
      <c r="CN421" s="173"/>
      <c r="CO421" s="173"/>
      <c r="CP421" s="173"/>
      <c r="CQ421" s="173"/>
      <c r="CR421" s="173"/>
      <c r="CS421" s="173"/>
      <c r="CT421" s="173"/>
      <c r="CU421" s="173"/>
      <c r="CV421" s="173"/>
      <c r="CW421" s="173"/>
      <c r="CX421" s="173"/>
      <c r="CY421" s="148"/>
      <c r="CZ421" s="148"/>
      <c r="DA421" s="148"/>
      <c r="DB421" s="148"/>
      <c r="DC421" s="148"/>
      <c r="DD421" s="148"/>
      <c r="DE421" s="148"/>
      <c r="DF421" s="148"/>
      <c r="DG421" s="148"/>
      <c r="DH421" s="148"/>
      <c r="DI421" s="148"/>
      <c r="DJ421" s="148"/>
      <c r="DK421" s="148"/>
      <c r="DL421" s="148"/>
      <c r="DM421" s="148"/>
      <c r="DN421" s="148"/>
      <c r="DO421" s="148"/>
      <c r="DP421" s="148"/>
      <c r="DQ421" s="148"/>
      <c r="DR421" s="148"/>
      <c r="DS421" s="148"/>
      <c r="DT421" s="148"/>
      <c r="DU421" s="148"/>
      <c r="DV421" s="148"/>
      <c r="DW421" s="148"/>
      <c r="DX421" s="148"/>
      <c r="DY421" s="148"/>
      <c r="DZ421" s="148"/>
      <c r="EA421" s="148"/>
      <c r="EB421" s="148"/>
      <c r="EC421" s="148"/>
      <c r="ED421" s="148"/>
      <c r="EE421" s="148"/>
      <c r="EF421" s="148"/>
      <c r="EG421" s="148"/>
      <c r="EH421" s="148"/>
      <c r="EI421" s="148"/>
      <c r="EJ421" s="148"/>
      <c r="EK421" s="148"/>
      <c r="EL421" s="148"/>
      <c r="EM421" s="148"/>
      <c r="EN421" s="148"/>
      <c r="EO421" s="148"/>
      <c r="EP421" s="148"/>
      <c r="EQ421" s="148"/>
      <c r="ER421" s="148"/>
      <c r="ES421" s="151"/>
      <c r="ET421" s="151"/>
      <c r="EU421" s="151"/>
      <c r="EV421" s="151"/>
      <c r="EW421" s="151"/>
      <c r="EX421" s="151"/>
      <c r="EY421" s="151"/>
      <c r="EZ421" s="151"/>
      <c r="FA421" s="151"/>
      <c r="FB421" s="151"/>
      <c r="FC421" s="151"/>
      <c r="FD421" s="151"/>
      <c r="FE421" s="151"/>
      <c r="FF421" s="151"/>
      <c r="FG421" s="151"/>
      <c r="FH421" s="151"/>
      <c r="FI421" s="151"/>
      <c r="FJ421" s="151"/>
      <c r="FK421" s="151"/>
      <c r="FL421" s="151"/>
      <c r="FM421" s="151"/>
      <c r="FN421" s="151"/>
      <c r="FO421" s="151"/>
      <c r="FP421" s="151"/>
      <c r="FQ421" s="151"/>
      <c r="FR421" s="151"/>
      <c r="FS421" s="151"/>
      <c r="FT421" s="151"/>
      <c r="FU421" s="151"/>
      <c r="FV421" s="151"/>
      <c r="FW421" s="151"/>
      <c r="FX421" s="151"/>
      <c r="FY421" s="151"/>
      <c r="FZ421" s="151"/>
      <c r="GA421" s="151"/>
      <c r="GB421" s="151"/>
      <c r="GC421" s="151"/>
      <c r="GD421" s="151"/>
      <c r="GE421" s="151"/>
      <c r="GF421" s="151"/>
      <c r="GG421" s="152"/>
    </row>
    <row r="422" spans="1:189" x14ac:dyDescent="0.35">
      <c r="A422" s="268"/>
      <c r="B422" s="221"/>
      <c r="C422" s="221"/>
      <c r="D422" s="222"/>
      <c r="E422" s="221"/>
      <c r="F422" s="221"/>
      <c r="G422" s="223"/>
      <c r="H422" s="224"/>
      <c r="I422" s="225"/>
      <c r="J422" s="225"/>
      <c r="K422" s="225"/>
      <c r="L422" s="226"/>
      <c r="M422" s="226"/>
      <c r="N422" s="226"/>
      <c r="O422" s="226"/>
      <c r="P422" s="226"/>
      <c r="Q422" s="227"/>
      <c r="R422" s="228"/>
      <c r="S422" s="228"/>
      <c r="T422" s="228"/>
      <c r="U422" s="191">
        <f t="shared" si="483"/>
        <v>0</v>
      </c>
      <c r="V422" s="86"/>
      <c r="W422" s="45"/>
      <c r="X422" s="46"/>
      <c r="Y422" s="167">
        <f t="shared" si="484"/>
        <v>0</v>
      </c>
      <c r="Z422" s="167">
        <f t="shared" si="485"/>
        <v>0</v>
      </c>
      <c r="AA422" s="167">
        <f t="shared" si="486"/>
        <v>0</v>
      </c>
      <c r="AB422" s="167">
        <f t="shared" si="487"/>
        <v>0</v>
      </c>
      <c r="AC422" s="167">
        <f t="shared" si="488"/>
        <v>0</v>
      </c>
      <c r="AD422" s="167">
        <f t="shared" si="489"/>
        <v>0</v>
      </c>
      <c r="AF422" s="47">
        <f t="shared" si="492"/>
        <v>0</v>
      </c>
      <c r="AG422" s="202" t="str">
        <f t="shared" si="493"/>
        <v xml:space="preserve"> </v>
      </c>
      <c r="AH422" s="172"/>
      <c r="AI422" s="173"/>
      <c r="AJ422" s="173"/>
      <c r="AK422" s="173"/>
      <c r="AL422" s="173"/>
      <c r="AM422" s="173"/>
      <c r="AN422" s="173"/>
      <c r="AO422" s="173"/>
      <c r="AP422" s="173"/>
      <c r="AQ422" s="173"/>
      <c r="AR422" s="173"/>
      <c r="AS422" s="173"/>
      <c r="AT422" s="173"/>
      <c r="AU422" s="173"/>
      <c r="AV422" s="173"/>
      <c r="AW422" s="173"/>
      <c r="AX422" s="173"/>
      <c r="AY422" s="173"/>
      <c r="AZ422" s="173"/>
      <c r="BA422" s="173"/>
      <c r="BB422" s="173"/>
      <c r="BC422" s="173"/>
      <c r="BD422" s="173"/>
      <c r="BE422" s="173"/>
      <c r="BF422" s="173"/>
      <c r="BG422" s="173"/>
      <c r="BH422" s="173"/>
      <c r="BI422" s="173"/>
      <c r="BJ422" s="173"/>
      <c r="BK422" s="173"/>
      <c r="BL422" s="173"/>
      <c r="BM422" s="173"/>
      <c r="BN422" s="173"/>
      <c r="BO422" s="173"/>
      <c r="BP422" s="173"/>
      <c r="BQ422" s="173"/>
      <c r="BR422" s="173"/>
      <c r="BS422" s="173"/>
      <c r="BT422" s="173"/>
      <c r="BU422" s="173"/>
      <c r="BV422" s="173"/>
      <c r="BW422" s="173"/>
      <c r="BX422" s="173"/>
      <c r="BY422" s="173"/>
      <c r="BZ422" s="173"/>
      <c r="CA422" s="173"/>
      <c r="CB422" s="173"/>
      <c r="CC422" s="173"/>
      <c r="CD422" s="173"/>
      <c r="CE422" s="173"/>
      <c r="CF422" s="173"/>
      <c r="CG422" s="173"/>
      <c r="CH422" s="173"/>
      <c r="CI422" s="173"/>
      <c r="CJ422" s="173"/>
      <c r="CK422" s="173"/>
      <c r="CL422" s="173"/>
      <c r="CM422" s="173"/>
      <c r="CN422" s="173"/>
      <c r="CO422" s="173"/>
      <c r="CP422" s="173"/>
      <c r="CQ422" s="173"/>
      <c r="CR422" s="173"/>
      <c r="CS422" s="173"/>
      <c r="CT422" s="173"/>
      <c r="CU422" s="173"/>
      <c r="CV422" s="173"/>
      <c r="CW422" s="173"/>
      <c r="CX422" s="173"/>
      <c r="CY422" s="148"/>
      <c r="CZ422" s="148"/>
      <c r="DA422" s="148"/>
      <c r="DB422" s="148"/>
      <c r="DC422" s="148"/>
      <c r="DD422" s="148"/>
      <c r="DE422" s="148"/>
      <c r="DF422" s="148"/>
      <c r="DG422" s="148"/>
      <c r="DH422" s="148"/>
      <c r="DI422" s="148"/>
      <c r="DJ422" s="148"/>
      <c r="DK422" s="148"/>
      <c r="DL422" s="148"/>
      <c r="DM422" s="148"/>
      <c r="DN422" s="148"/>
      <c r="DO422" s="148"/>
      <c r="DP422" s="148"/>
      <c r="DQ422" s="148"/>
      <c r="DR422" s="148"/>
      <c r="DS422" s="148"/>
      <c r="DT422" s="148"/>
      <c r="DU422" s="148"/>
      <c r="DV422" s="148"/>
      <c r="DW422" s="148"/>
      <c r="DX422" s="148"/>
      <c r="DY422" s="148"/>
      <c r="DZ422" s="148"/>
      <c r="EA422" s="148"/>
      <c r="EB422" s="148"/>
      <c r="EC422" s="148"/>
      <c r="ED422" s="148"/>
      <c r="EE422" s="148"/>
      <c r="EF422" s="148"/>
      <c r="EG422" s="148"/>
      <c r="EH422" s="148"/>
      <c r="EI422" s="148"/>
      <c r="EJ422" s="148"/>
      <c r="EK422" s="148"/>
      <c r="EL422" s="148"/>
      <c r="EM422" s="148"/>
      <c r="EN422" s="148"/>
      <c r="EO422" s="148"/>
      <c r="EP422" s="148"/>
      <c r="EQ422" s="148"/>
      <c r="ER422" s="148"/>
      <c r="ES422" s="151"/>
      <c r="ET422" s="151"/>
      <c r="EU422" s="151"/>
      <c r="EV422" s="151"/>
      <c r="EW422" s="151"/>
      <c r="EX422" s="151"/>
      <c r="EY422" s="151"/>
      <c r="EZ422" s="151"/>
      <c r="FA422" s="151"/>
      <c r="FB422" s="151"/>
      <c r="FC422" s="151"/>
      <c r="FD422" s="151"/>
      <c r="FE422" s="151"/>
      <c r="FF422" s="151"/>
      <c r="FG422" s="151"/>
      <c r="FH422" s="151"/>
      <c r="FI422" s="151"/>
      <c r="FJ422" s="151"/>
      <c r="FK422" s="151"/>
      <c r="FL422" s="151"/>
      <c r="FM422" s="151"/>
      <c r="FN422" s="151"/>
      <c r="FO422" s="151"/>
      <c r="FP422" s="151"/>
      <c r="FQ422" s="151"/>
      <c r="FR422" s="151"/>
      <c r="FS422" s="151"/>
      <c r="FT422" s="151"/>
      <c r="FU422" s="151"/>
      <c r="FV422" s="151"/>
      <c r="FW422" s="151"/>
      <c r="FX422" s="151"/>
      <c r="FY422" s="151"/>
      <c r="FZ422" s="151"/>
      <c r="GA422" s="151"/>
      <c r="GB422" s="151"/>
      <c r="GC422" s="151"/>
      <c r="GD422" s="151"/>
      <c r="GE422" s="151"/>
      <c r="GF422" s="151"/>
      <c r="GG422" s="152"/>
    </row>
    <row r="423" spans="1:189" x14ac:dyDescent="0.35">
      <c r="A423" s="268"/>
      <c r="B423" s="221"/>
      <c r="C423" s="221"/>
      <c r="D423" s="222"/>
      <c r="E423" s="221"/>
      <c r="F423" s="221"/>
      <c r="G423" s="223"/>
      <c r="H423" s="224"/>
      <c r="I423" s="225"/>
      <c r="J423" s="225"/>
      <c r="K423" s="225"/>
      <c r="L423" s="226"/>
      <c r="M423" s="226"/>
      <c r="N423" s="226"/>
      <c r="O423" s="226"/>
      <c r="P423" s="226"/>
      <c r="Q423" s="227"/>
      <c r="R423" s="228"/>
      <c r="S423" s="228"/>
      <c r="T423" s="228"/>
      <c r="U423" s="191">
        <f t="shared" si="483"/>
        <v>0</v>
      </c>
      <c r="V423" s="86"/>
      <c r="W423" s="45"/>
      <c r="X423" s="46"/>
      <c r="Y423" s="167">
        <f t="shared" si="484"/>
        <v>0</v>
      </c>
      <c r="Z423" s="167">
        <f t="shared" si="485"/>
        <v>0</v>
      </c>
      <c r="AA423" s="167">
        <f t="shared" si="486"/>
        <v>0</v>
      </c>
      <c r="AB423" s="167">
        <f t="shared" si="487"/>
        <v>0</v>
      </c>
      <c r="AC423" s="167">
        <f t="shared" si="488"/>
        <v>0</v>
      </c>
      <c r="AD423" s="167">
        <f t="shared" si="489"/>
        <v>0</v>
      </c>
      <c r="AF423" s="47">
        <f t="shared" si="492"/>
        <v>0</v>
      </c>
      <c r="AG423" s="202" t="str">
        <f t="shared" si="493"/>
        <v xml:space="preserve"> </v>
      </c>
      <c r="AH423" s="172"/>
      <c r="AI423" s="173"/>
      <c r="AJ423" s="173"/>
      <c r="AK423" s="173"/>
      <c r="AL423" s="173"/>
      <c r="AM423" s="173"/>
      <c r="AN423" s="173"/>
      <c r="AO423" s="173"/>
      <c r="AP423" s="173"/>
      <c r="AQ423" s="173"/>
      <c r="AR423" s="173"/>
      <c r="AS423" s="173"/>
      <c r="AT423" s="173"/>
      <c r="AU423" s="173"/>
      <c r="AV423" s="173"/>
      <c r="AW423" s="173"/>
      <c r="AX423" s="173"/>
      <c r="AY423" s="173"/>
      <c r="AZ423" s="173"/>
      <c r="BA423" s="173"/>
      <c r="BB423" s="173"/>
      <c r="BC423" s="173"/>
      <c r="BD423" s="173"/>
      <c r="BE423" s="173"/>
      <c r="BF423" s="173"/>
      <c r="BG423" s="173"/>
      <c r="BH423" s="173"/>
      <c r="BI423" s="173"/>
      <c r="BJ423" s="173"/>
      <c r="BK423" s="173"/>
      <c r="BL423" s="173"/>
      <c r="BM423" s="173"/>
      <c r="BN423" s="173"/>
      <c r="BO423" s="173"/>
      <c r="BP423" s="173"/>
      <c r="BQ423" s="173"/>
      <c r="BR423" s="173"/>
      <c r="BS423" s="173"/>
      <c r="BT423" s="173"/>
      <c r="BU423" s="173"/>
      <c r="BV423" s="173"/>
      <c r="BW423" s="173"/>
      <c r="BX423" s="173"/>
      <c r="BY423" s="173"/>
      <c r="BZ423" s="173"/>
      <c r="CA423" s="173"/>
      <c r="CB423" s="173"/>
      <c r="CC423" s="173"/>
      <c r="CD423" s="173"/>
      <c r="CE423" s="173"/>
      <c r="CF423" s="173"/>
      <c r="CG423" s="173"/>
      <c r="CH423" s="173"/>
      <c r="CI423" s="173"/>
      <c r="CJ423" s="173"/>
      <c r="CK423" s="173"/>
      <c r="CL423" s="173"/>
      <c r="CM423" s="173"/>
      <c r="CN423" s="173"/>
      <c r="CO423" s="173"/>
      <c r="CP423" s="173"/>
      <c r="CQ423" s="173"/>
      <c r="CR423" s="173"/>
      <c r="CS423" s="173"/>
      <c r="CT423" s="173"/>
      <c r="CU423" s="173"/>
      <c r="CV423" s="173"/>
      <c r="CW423" s="173"/>
      <c r="CX423" s="173"/>
      <c r="CY423" s="148"/>
      <c r="CZ423" s="148"/>
      <c r="DA423" s="148"/>
      <c r="DB423" s="148"/>
      <c r="DC423" s="148"/>
      <c r="DD423" s="148"/>
      <c r="DE423" s="148"/>
      <c r="DF423" s="148"/>
      <c r="DG423" s="148"/>
      <c r="DH423" s="148"/>
      <c r="DI423" s="148"/>
      <c r="DJ423" s="148"/>
      <c r="DK423" s="148"/>
      <c r="DL423" s="148"/>
      <c r="DM423" s="148"/>
      <c r="DN423" s="148"/>
      <c r="DO423" s="148"/>
      <c r="DP423" s="148"/>
      <c r="DQ423" s="148"/>
      <c r="DR423" s="148"/>
      <c r="DS423" s="148"/>
      <c r="DT423" s="148"/>
      <c r="DU423" s="148"/>
      <c r="DV423" s="148"/>
      <c r="DW423" s="148"/>
      <c r="DX423" s="148"/>
      <c r="DY423" s="148"/>
      <c r="DZ423" s="148"/>
      <c r="EA423" s="148"/>
      <c r="EB423" s="148"/>
      <c r="EC423" s="148"/>
      <c r="ED423" s="148"/>
      <c r="EE423" s="148"/>
      <c r="EF423" s="148"/>
      <c r="EG423" s="148"/>
      <c r="EH423" s="148"/>
      <c r="EI423" s="148"/>
      <c r="EJ423" s="148"/>
      <c r="EK423" s="148"/>
      <c r="EL423" s="148"/>
      <c r="EM423" s="148"/>
      <c r="EN423" s="148"/>
      <c r="EO423" s="148"/>
      <c r="EP423" s="148"/>
      <c r="EQ423" s="148"/>
      <c r="ER423" s="148"/>
      <c r="ES423" s="148"/>
      <c r="ET423" s="148"/>
      <c r="EU423" s="148"/>
      <c r="EV423" s="148"/>
      <c r="EW423" s="148"/>
      <c r="EX423" s="148"/>
      <c r="EY423" s="148"/>
      <c r="EZ423" s="148"/>
      <c r="FA423" s="148"/>
      <c r="FB423" s="148"/>
      <c r="FC423" s="148"/>
      <c r="FD423" s="148"/>
      <c r="FE423" s="148"/>
      <c r="FF423" s="148"/>
      <c r="FG423" s="148"/>
      <c r="FH423" s="148"/>
      <c r="FI423" s="148"/>
      <c r="FJ423" s="148"/>
      <c r="FK423" s="148"/>
      <c r="FL423" s="148"/>
      <c r="FM423" s="148"/>
      <c r="FN423" s="148"/>
      <c r="FO423" s="148"/>
      <c r="FP423" s="148"/>
      <c r="FQ423" s="148"/>
      <c r="FR423" s="148"/>
      <c r="FS423" s="148"/>
      <c r="FT423" s="148"/>
      <c r="FU423" s="148"/>
      <c r="FV423" s="148"/>
      <c r="FW423" s="148"/>
      <c r="FX423" s="148"/>
      <c r="FY423" s="148"/>
      <c r="FZ423" s="148"/>
      <c r="GA423" s="148"/>
      <c r="GB423" s="148"/>
      <c r="GC423" s="148"/>
      <c r="GD423" s="148"/>
      <c r="GE423" s="148"/>
      <c r="GF423" s="148"/>
      <c r="GG423" s="149"/>
    </row>
    <row r="424" spans="1:189" x14ac:dyDescent="0.35">
      <c r="A424" s="268"/>
      <c r="B424" s="221"/>
      <c r="C424" s="221"/>
      <c r="D424" s="222"/>
      <c r="E424" s="221"/>
      <c r="F424" s="221"/>
      <c r="G424" s="223"/>
      <c r="H424" s="224"/>
      <c r="I424" s="225"/>
      <c r="J424" s="225"/>
      <c r="K424" s="225"/>
      <c r="L424" s="226"/>
      <c r="M424" s="226"/>
      <c r="N424" s="226"/>
      <c r="O424" s="226"/>
      <c r="P424" s="226"/>
      <c r="Q424" s="227"/>
      <c r="R424" s="228"/>
      <c r="S424" s="228"/>
      <c r="T424" s="228"/>
      <c r="U424" s="191">
        <f t="shared" si="483"/>
        <v>0</v>
      </c>
      <c r="V424" s="86"/>
      <c r="W424" s="45"/>
      <c r="X424" s="46"/>
      <c r="Y424" s="167">
        <f t="shared" si="484"/>
        <v>0</v>
      </c>
      <c r="Z424" s="167">
        <f t="shared" si="485"/>
        <v>0</v>
      </c>
      <c r="AA424" s="167">
        <f t="shared" si="486"/>
        <v>0</v>
      </c>
      <c r="AB424" s="167">
        <f t="shared" si="487"/>
        <v>0</v>
      </c>
      <c r="AC424" s="167">
        <f t="shared" si="488"/>
        <v>0</v>
      </c>
      <c r="AD424" s="167">
        <f t="shared" si="489"/>
        <v>0</v>
      </c>
      <c r="AF424" s="47">
        <f t="shared" si="492"/>
        <v>0</v>
      </c>
      <c r="AG424" s="202" t="str">
        <f t="shared" si="493"/>
        <v xml:space="preserve"> </v>
      </c>
      <c r="AH424" s="172"/>
      <c r="AI424" s="173"/>
      <c r="AJ424" s="173"/>
      <c r="AK424" s="173"/>
      <c r="AL424" s="173"/>
      <c r="AM424" s="173"/>
      <c r="AN424" s="173"/>
      <c r="AO424" s="173"/>
      <c r="AP424" s="173"/>
      <c r="AQ424" s="173"/>
      <c r="AR424" s="173"/>
      <c r="AS424" s="173"/>
      <c r="AT424" s="173"/>
      <c r="AU424" s="173"/>
      <c r="AV424" s="173"/>
      <c r="AW424" s="173"/>
      <c r="AX424" s="173"/>
      <c r="AY424" s="173"/>
      <c r="AZ424" s="173"/>
      <c r="BA424" s="173"/>
      <c r="BB424" s="173"/>
      <c r="BC424" s="173"/>
      <c r="BD424" s="173"/>
      <c r="BE424" s="173"/>
      <c r="BF424" s="173"/>
      <c r="BG424" s="173"/>
      <c r="BH424" s="173"/>
      <c r="BI424" s="173"/>
      <c r="BJ424" s="173"/>
      <c r="BK424" s="173"/>
      <c r="BL424" s="173"/>
      <c r="BM424" s="173"/>
      <c r="BN424" s="173"/>
      <c r="BO424" s="173"/>
      <c r="BP424" s="173"/>
      <c r="BQ424" s="173"/>
      <c r="BR424" s="173"/>
      <c r="BS424" s="173"/>
      <c r="BT424" s="173"/>
      <c r="BU424" s="173"/>
      <c r="BV424" s="173"/>
      <c r="BW424" s="173"/>
      <c r="BX424" s="173"/>
      <c r="BY424" s="173"/>
      <c r="BZ424" s="173"/>
      <c r="CA424" s="173"/>
      <c r="CB424" s="173"/>
      <c r="CC424" s="173"/>
      <c r="CD424" s="173"/>
      <c r="CE424" s="173"/>
      <c r="CF424" s="173"/>
      <c r="CG424" s="173"/>
      <c r="CH424" s="173"/>
      <c r="CI424" s="173"/>
      <c r="CJ424" s="173"/>
      <c r="CK424" s="173"/>
      <c r="CL424" s="173"/>
      <c r="CM424" s="173"/>
      <c r="CN424" s="173"/>
      <c r="CO424" s="173"/>
      <c r="CP424" s="173"/>
      <c r="CQ424" s="173"/>
      <c r="CR424" s="173"/>
      <c r="CS424" s="173"/>
      <c r="CT424" s="173"/>
      <c r="CU424" s="173"/>
      <c r="CV424" s="173"/>
      <c r="CW424" s="173"/>
      <c r="CX424" s="173"/>
      <c r="CY424" s="148"/>
      <c r="CZ424" s="148"/>
      <c r="DA424" s="148"/>
      <c r="DB424" s="148"/>
      <c r="DC424" s="148"/>
      <c r="DD424" s="148"/>
      <c r="DE424" s="148"/>
      <c r="DF424" s="148"/>
      <c r="DG424" s="148"/>
      <c r="DH424" s="148"/>
      <c r="DI424" s="148"/>
      <c r="DJ424" s="148"/>
      <c r="DK424" s="148"/>
      <c r="DL424" s="148"/>
      <c r="DM424" s="148"/>
      <c r="DN424" s="148"/>
      <c r="DO424" s="148"/>
      <c r="DP424" s="148"/>
      <c r="DQ424" s="148"/>
      <c r="DR424" s="148"/>
      <c r="DS424" s="148"/>
      <c r="DT424" s="148"/>
      <c r="DU424" s="148"/>
      <c r="DV424" s="148"/>
      <c r="DW424" s="148"/>
      <c r="DX424" s="148"/>
      <c r="DY424" s="148"/>
      <c r="DZ424" s="148"/>
      <c r="EA424" s="148"/>
      <c r="EB424" s="148"/>
      <c r="EC424" s="148"/>
      <c r="ED424" s="148"/>
      <c r="EE424" s="148"/>
      <c r="EF424" s="148"/>
      <c r="EG424" s="148"/>
      <c r="EH424" s="148"/>
      <c r="EI424" s="148"/>
      <c r="EJ424" s="148"/>
      <c r="EK424" s="148"/>
      <c r="EL424" s="148"/>
      <c r="EM424" s="148"/>
      <c r="EN424" s="148"/>
      <c r="EO424" s="148"/>
      <c r="EP424" s="148"/>
      <c r="EQ424" s="148"/>
      <c r="ER424" s="148"/>
      <c r="ES424" s="151"/>
      <c r="ET424" s="151"/>
      <c r="EU424" s="151"/>
      <c r="EV424" s="151"/>
      <c r="EW424" s="151"/>
      <c r="EX424" s="151"/>
      <c r="EY424" s="151"/>
      <c r="EZ424" s="151"/>
      <c r="FA424" s="151"/>
      <c r="FB424" s="151"/>
      <c r="FC424" s="151"/>
      <c r="FD424" s="151"/>
      <c r="FE424" s="151"/>
      <c r="FF424" s="151"/>
      <c r="FG424" s="151"/>
      <c r="FH424" s="151"/>
      <c r="FI424" s="151"/>
      <c r="FJ424" s="151"/>
      <c r="FK424" s="151"/>
      <c r="FL424" s="151"/>
      <c r="FM424" s="151"/>
      <c r="FN424" s="151"/>
      <c r="FO424" s="151"/>
      <c r="FP424" s="151"/>
      <c r="FQ424" s="151"/>
      <c r="FR424" s="151"/>
      <c r="FS424" s="151"/>
      <c r="FT424" s="151"/>
      <c r="FU424" s="151"/>
      <c r="FV424" s="151"/>
      <c r="FW424" s="151"/>
      <c r="FX424" s="151"/>
      <c r="FY424" s="151"/>
      <c r="FZ424" s="151"/>
      <c r="GA424" s="151"/>
      <c r="GB424" s="151"/>
      <c r="GC424" s="151"/>
      <c r="GD424" s="151"/>
      <c r="GE424" s="151"/>
      <c r="GF424" s="151"/>
      <c r="GG424" s="152"/>
    </row>
    <row r="425" spans="1:189" x14ac:dyDescent="0.35">
      <c r="A425" s="268"/>
      <c r="B425" s="221"/>
      <c r="C425" s="221"/>
      <c r="D425" s="222"/>
      <c r="E425" s="221"/>
      <c r="F425" s="221"/>
      <c r="G425" s="223"/>
      <c r="H425" s="224"/>
      <c r="I425" s="225"/>
      <c r="J425" s="225"/>
      <c r="K425" s="225"/>
      <c r="L425" s="226"/>
      <c r="M425" s="226"/>
      <c r="N425" s="226"/>
      <c r="O425" s="226"/>
      <c r="P425" s="226"/>
      <c r="Q425" s="227"/>
      <c r="R425" s="228"/>
      <c r="S425" s="228"/>
      <c r="T425" s="228"/>
      <c r="U425" s="191">
        <f t="shared" si="483"/>
        <v>0</v>
      </c>
      <c r="V425" s="86"/>
      <c r="W425" s="45"/>
      <c r="X425" s="46"/>
      <c r="Y425" s="167">
        <f t="shared" si="484"/>
        <v>0</v>
      </c>
      <c r="Z425" s="167">
        <f t="shared" si="485"/>
        <v>0</v>
      </c>
      <c r="AA425" s="167">
        <f t="shared" si="486"/>
        <v>0</v>
      </c>
      <c r="AB425" s="167">
        <f t="shared" si="487"/>
        <v>0</v>
      </c>
      <c r="AC425" s="167">
        <f t="shared" si="488"/>
        <v>0</v>
      </c>
      <c r="AD425" s="167">
        <f t="shared" si="489"/>
        <v>0</v>
      </c>
      <c r="AF425" s="47">
        <f t="shared" si="492"/>
        <v>0</v>
      </c>
      <c r="AG425" s="202" t="str">
        <f t="shared" si="493"/>
        <v xml:space="preserve"> </v>
      </c>
      <c r="AH425" s="172"/>
      <c r="AI425" s="173"/>
      <c r="AJ425" s="173"/>
      <c r="AK425" s="173"/>
      <c r="AL425" s="173"/>
      <c r="AM425" s="173"/>
      <c r="AN425" s="173"/>
      <c r="AO425" s="173"/>
      <c r="AP425" s="173"/>
      <c r="AQ425" s="173"/>
      <c r="AR425" s="173"/>
      <c r="AS425" s="173"/>
      <c r="AT425" s="173"/>
      <c r="AU425" s="173"/>
      <c r="AV425" s="173"/>
      <c r="AW425" s="173"/>
      <c r="AX425" s="173"/>
      <c r="AY425" s="173"/>
      <c r="AZ425" s="173"/>
      <c r="BA425" s="173"/>
      <c r="BB425" s="173"/>
      <c r="BC425" s="173"/>
      <c r="BD425" s="173"/>
      <c r="BE425" s="173"/>
      <c r="BF425" s="173"/>
      <c r="BG425" s="173"/>
      <c r="BH425" s="173"/>
      <c r="BI425" s="173"/>
      <c r="BJ425" s="173"/>
      <c r="BK425" s="173"/>
      <c r="BL425" s="173"/>
      <c r="BM425" s="173"/>
      <c r="BN425" s="173"/>
      <c r="BO425" s="173"/>
      <c r="BP425" s="173"/>
      <c r="BQ425" s="173"/>
      <c r="BR425" s="173"/>
      <c r="BS425" s="173"/>
      <c r="BT425" s="173"/>
      <c r="BU425" s="173"/>
      <c r="BV425" s="173"/>
      <c r="BW425" s="173"/>
      <c r="BX425" s="173"/>
      <c r="BY425" s="173"/>
      <c r="BZ425" s="173"/>
      <c r="CA425" s="173"/>
      <c r="CB425" s="173"/>
      <c r="CC425" s="173"/>
      <c r="CD425" s="173"/>
      <c r="CE425" s="173"/>
      <c r="CF425" s="173"/>
      <c r="CG425" s="173"/>
      <c r="CH425" s="173"/>
      <c r="CI425" s="173"/>
      <c r="CJ425" s="173"/>
      <c r="CK425" s="173"/>
      <c r="CL425" s="173"/>
      <c r="CM425" s="173"/>
      <c r="CN425" s="173"/>
      <c r="CO425" s="173"/>
      <c r="CP425" s="173"/>
      <c r="CQ425" s="173"/>
      <c r="CR425" s="173"/>
      <c r="CS425" s="173"/>
      <c r="CT425" s="173"/>
      <c r="CU425" s="173"/>
      <c r="CV425" s="173"/>
      <c r="CW425" s="173"/>
      <c r="CX425" s="173"/>
      <c r="CY425" s="148"/>
      <c r="CZ425" s="148"/>
      <c r="DA425" s="148"/>
      <c r="DB425" s="148"/>
      <c r="DC425" s="148"/>
      <c r="DD425" s="148"/>
      <c r="DE425" s="148"/>
      <c r="DF425" s="148"/>
      <c r="DG425" s="148"/>
      <c r="DH425" s="148"/>
      <c r="DI425" s="148"/>
      <c r="DJ425" s="148"/>
      <c r="DK425" s="148"/>
      <c r="DL425" s="148"/>
      <c r="DM425" s="148"/>
      <c r="DN425" s="148"/>
      <c r="DO425" s="148"/>
      <c r="DP425" s="148"/>
      <c r="DQ425" s="148"/>
      <c r="DR425" s="148"/>
      <c r="DS425" s="148"/>
      <c r="DT425" s="148"/>
      <c r="DU425" s="148"/>
      <c r="DV425" s="148"/>
      <c r="DW425" s="148"/>
      <c r="DX425" s="148"/>
      <c r="DY425" s="148"/>
      <c r="DZ425" s="148"/>
      <c r="EA425" s="148"/>
      <c r="EB425" s="148"/>
      <c r="EC425" s="148"/>
      <c r="ED425" s="148"/>
      <c r="EE425" s="148"/>
      <c r="EF425" s="148"/>
      <c r="EG425" s="148"/>
      <c r="EH425" s="148"/>
      <c r="EI425" s="148"/>
      <c r="EJ425" s="148"/>
      <c r="EK425" s="148"/>
      <c r="EL425" s="148"/>
      <c r="EM425" s="148"/>
      <c r="EN425" s="148"/>
      <c r="EO425" s="148"/>
      <c r="EP425" s="148"/>
      <c r="EQ425" s="148"/>
      <c r="ER425" s="148"/>
      <c r="ES425" s="151"/>
      <c r="ET425" s="151"/>
      <c r="EU425" s="151"/>
      <c r="EV425" s="151"/>
      <c r="EW425" s="151"/>
      <c r="EX425" s="151"/>
      <c r="EY425" s="151"/>
      <c r="EZ425" s="151"/>
      <c r="FA425" s="151"/>
      <c r="FB425" s="151"/>
      <c r="FC425" s="151"/>
      <c r="FD425" s="151"/>
      <c r="FE425" s="151"/>
      <c r="FF425" s="151"/>
      <c r="FG425" s="151"/>
      <c r="FH425" s="151"/>
      <c r="FI425" s="151"/>
      <c r="FJ425" s="151"/>
      <c r="FK425" s="151"/>
      <c r="FL425" s="151"/>
      <c r="FM425" s="151"/>
      <c r="FN425" s="151"/>
      <c r="FO425" s="151"/>
      <c r="FP425" s="151"/>
      <c r="FQ425" s="151"/>
      <c r="FR425" s="151"/>
      <c r="FS425" s="151"/>
      <c r="FT425" s="151"/>
      <c r="FU425" s="151"/>
      <c r="FV425" s="151"/>
      <c r="FW425" s="151"/>
      <c r="FX425" s="151"/>
      <c r="FY425" s="151"/>
      <c r="FZ425" s="151"/>
      <c r="GA425" s="151"/>
      <c r="GB425" s="151"/>
      <c r="GC425" s="151"/>
      <c r="GD425" s="151"/>
      <c r="GE425" s="151"/>
      <c r="GF425" s="151"/>
      <c r="GG425" s="152"/>
    </row>
    <row r="426" spans="1:189" x14ac:dyDescent="0.35">
      <c r="A426" s="268"/>
      <c r="B426" s="221"/>
      <c r="C426" s="221"/>
      <c r="D426" s="222"/>
      <c r="E426" s="221"/>
      <c r="F426" s="221"/>
      <c r="G426" s="223"/>
      <c r="H426" s="224"/>
      <c r="I426" s="225"/>
      <c r="J426" s="225"/>
      <c r="K426" s="225"/>
      <c r="L426" s="226"/>
      <c r="M426" s="226"/>
      <c r="N426" s="226"/>
      <c r="O426" s="226"/>
      <c r="P426" s="226"/>
      <c r="Q426" s="227"/>
      <c r="R426" s="228"/>
      <c r="S426" s="228"/>
      <c r="T426" s="228"/>
      <c r="U426" s="191">
        <f t="shared" si="483"/>
        <v>0</v>
      </c>
      <c r="V426" s="86"/>
      <c r="W426" s="45"/>
      <c r="X426" s="46"/>
      <c r="Y426" s="167">
        <f t="shared" si="484"/>
        <v>0</v>
      </c>
      <c r="Z426" s="167">
        <f t="shared" si="485"/>
        <v>0</v>
      </c>
      <c r="AA426" s="167">
        <f t="shared" si="486"/>
        <v>0</v>
      </c>
      <c r="AB426" s="167">
        <f t="shared" si="487"/>
        <v>0</v>
      </c>
      <c r="AC426" s="167">
        <f t="shared" si="488"/>
        <v>0</v>
      </c>
      <c r="AD426" s="167">
        <f t="shared" si="489"/>
        <v>0</v>
      </c>
      <c r="AF426" s="47">
        <f t="shared" si="492"/>
        <v>0</v>
      </c>
      <c r="AG426" s="202" t="str">
        <f t="shared" si="493"/>
        <v xml:space="preserve"> </v>
      </c>
      <c r="AH426" s="172"/>
      <c r="AI426" s="173"/>
      <c r="AJ426" s="173"/>
      <c r="AK426" s="173"/>
      <c r="AL426" s="173"/>
      <c r="AM426" s="173"/>
      <c r="AN426" s="173"/>
      <c r="AO426" s="173"/>
      <c r="AP426" s="173"/>
      <c r="AQ426" s="173"/>
      <c r="AR426" s="173"/>
      <c r="AS426" s="173"/>
      <c r="AT426" s="173"/>
      <c r="AU426" s="173"/>
      <c r="AV426" s="173"/>
      <c r="AW426" s="173"/>
      <c r="AX426" s="173"/>
      <c r="AY426" s="173"/>
      <c r="AZ426" s="173"/>
      <c r="BA426" s="173"/>
      <c r="BB426" s="173"/>
      <c r="BC426" s="173"/>
      <c r="BD426" s="173"/>
      <c r="BE426" s="173"/>
      <c r="BF426" s="173"/>
      <c r="BG426" s="173"/>
      <c r="BH426" s="173"/>
      <c r="BI426" s="173"/>
      <c r="BJ426" s="173"/>
      <c r="BK426" s="173"/>
      <c r="BL426" s="173"/>
      <c r="BM426" s="173"/>
      <c r="BN426" s="173"/>
      <c r="BO426" s="173"/>
      <c r="BP426" s="173"/>
      <c r="BQ426" s="173"/>
      <c r="BR426" s="173"/>
      <c r="BS426" s="173"/>
      <c r="BT426" s="173"/>
      <c r="BU426" s="173"/>
      <c r="BV426" s="173"/>
      <c r="BW426" s="173"/>
      <c r="BX426" s="173"/>
      <c r="BY426" s="173"/>
      <c r="BZ426" s="173"/>
      <c r="CA426" s="173"/>
      <c r="CB426" s="173"/>
      <c r="CC426" s="173"/>
      <c r="CD426" s="173"/>
      <c r="CE426" s="173"/>
      <c r="CF426" s="173"/>
      <c r="CG426" s="173"/>
      <c r="CH426" s="173"/>
      <c r="CI426" s="173"/>
      <c r="CJ426" s="173"/>
      <c r="CK426" s="173"/>
      <c r="CL426" s="173"/>
      <c r="CM426" s="173"/>
      <c r="CN426" s="173"/>
      <c r="CO426" s="173"/>
      <c r="CP426" s="173"/>
      <c r="CQ426" s="173"/>
      <c r="CR426" s="173"/>
      <c r="CS426" s="173"/>
      <c r="CT426" s="173"/>
      <c r="CU426" s="173"/>
      <c r="CV426" s="173"/>
      <c r="CW426" s="173"/>
      <c r="CX426" s="173"/>
      <c r="CY426" s="148"/>
      <c r="CZ426" s="148"/>
      <c r="DA426" s="148"/>
      <c r="DB426" s="148"/>
      <c r="DC426" s="148"/>
      <c r="DD426" s="148"/>
      <c r="DE426" s="148"/>
      <c r="DF426" s="148"/>
      <c r="DG426" s="148"/>
      <c r="DH426" s="148"/>
      <c r="DI426" s="148"/>
      <c r="DJ426" s="148"/>
      <c r="DK426" s="148"/>
      <c r="DL426" s="148"/>
      <c r="DM426" s="148"/>
      <c r="DN426" s="148"/>
      <c r="DO426" s="148"/>
      <c r="DP426" s="148"/>
      <c r="DQ426" s="148"/>
      <c r="DR426" s="148"/>
      <c r="DS426" s="148"/>
      <c r="DT426" s="148"/>
      <c r="DU426" s="148"/>
      <c r="DV426" s="148"/>
      <c r="DW426" s="148"/>
      <c r="DX426" s="148"/>
      <c r="DY426" s="148"/>
      <c r="DZ426" s="148"/>
      <c r="EA426" s="148"/>
      <c r="EB426" s="148"/>
      <c r="EC426" s="148"/>
      <c r="ED426" s="148"/>
      <c r="EE426" s="148"/>
      <c r="EF426" s="148"/>
      <c r="EG426" s="148"/>
      <c r="EH426" s="148"/>
      <c r="EI426" s="148"/>
      <c r="EJ426" s="148"/>
      <c r="EK426" s="148"/>
      <c r="EL426" s="148"/>
      <c r="EM426" s="148"/>
      <c r="EN426" s="148"/>
      <c r="EO426" s="148"/>
      <c r="EP426" s="148"/>
      <c r="EQ426" s="148"/>
      <c r="ER426" s="148"/>
      <c r="ES426" s="151"/>
      <c r="ET426" s="151"/>
      <c r="EU426" s="151"/>
      <c r="EV426" s="151"/>
      <c r="EW426" s="151"/>
      <c r="EX426" s="151"/>
      <c r="EY426" s="151"/>
      <c r="EZ426" s="151"/>
      <c r="FA426" s="151"/>
      <c r="FB426" s="151"/>
      <c r="FC426" s="151"/>
      <c r="FD426" s="151"/>
      <c r="FE426" s="151"/>
      <c r="FF426" s="151"/>
      <c r="FG426" s="151"/>
      <c r="FH426" s="151"/>
      <c r="FI426" s="151"/>
      <c r="FJ426" s="151"/>
      <c r="FK426" s="151"/>
      <c r="FL426" s="151"/>
      <c r="FM426" s="151"/>
      <c r="FN426" s="151"/>
      <c r="FO426" s="151"/>
      <c r="FP426" s="151"/>
      <c r="FQ426" s="151"/>
      <c r="FR426" s="151"/>
      <c r="FS426" s="151"/>
      <c r="FT426" s="151"/>
      <c r="FU426" s="151"/>
      <c r="FV426" s="151"/>
      <c r="FW426" s="151"/>
      <c r="FX426" s="151"/>
      <c r="FY426" s="151"/>
      <c r="FZ426" s="151"/>
      <c r="GA426" s="151"/>
      <c r="GB426" s="151"/>
      <c r="GC426" s="151"/>
      <c r="GD426" s="151"/>
      <c r="GE426" s="151"/>
      <c r="GF426" s="151"/>
      <c r="GG426" s="152"/>
    </row>
    <row r="427" spans="1:189" x14ac:dyDescent="0.35">
      <c r="A427" s="268"/>
      <c r="B427" s="221"/>
      <c r="C427" s="221"/>
      <c r="D427" s="222"/>
      <c r="E427" s="221"/>
      <c r="F427" s="221"/>
      <c r="G427" s="223"/>
      <c r="H427" s="224"/>
      <c r="I427" s="225"/>
      <c r="J427" s="225"/>
      <c r="K427" s="225"/>
      <c r="L427" s="226"/>
      <c r="M427" s="226"/>
      <c r="N427" s="226"/>
      <c r="O427" s="226"/>
      <c r="P427" s="226"/>
      <c r="Q427" s="227"/>
      <c r="R427" s="228"/>
      <c r="S427" s="228"/>
      <c r="T427" s="228"/>
      <c r="U427" s="191">
        <f t="shared" si="483"/>
        <v>0</v>
      </c>
      <c r="V427" s="86"/>
      <c r="W427" s="45"/>
      <c r="X427" s="46"/>
      <c r="Y427" s="167">
        <f t="shared" si="484"/>
        <v>0</v>
      </c>
      <c r="Z427" s="167">
        <f t="shared" si="485"/>
        <v>0</v>
      </c>
      <c r="AA427" s="167">
        <f t="shared" si="486"/>
        <v>0</v>
      </c>
      <c r="AB427" s="167">
        <f t="shared" si="487"/>
        <v>0</v>
      </c>
      <c r="AC427" s="167">
        <f t="shared" si="488"/>
        <v>0</v>
      </c>
      <c r="AD427" s="167">
        <f t="shared" si="489"/>
        <v>0</v>
      </c>
      <c r="AF427" s="47">
        <f t="shared" si="492"/>
        <v>0</v>
      </c>
      <c r="AG427" s="202" t="str">
        <f t="shared" si="493"/>
        <v xml:space="preserve"> </v>
      </c>
      <c r="AH427" s="172"/>
      <c r="AI427" s="173"/>
      <c r="AJ427" s="173"/>
      <c r="AK427" s="173"/>
      <c r="AL427" s="173"/>
      <c r="AM427" s="173"/>
      <c r="AN427" s="173"/>
      <c r="AO427" s="173"/>
      <c r="AP427" s="173"/>
      <c r="AQ427" s="173"/>
      <c r="AR427" s="173"/>
      <c r="AS427" s="173"/>
      <c r="AT427" s="173"/>
      <c r="AU427" s="173"/>
      <c r="AV427" s="173"/>
      <c r="AW427" s="173"/>
      <c r="AX427" s="173"/>
      <c r="AY427" s="173"/>
      <c r="AZ427" s="173"/>
      <c r="BA427" s="173"/>
      <c r="BB427" s="173"/>
      <c r="BC427" s="173"/>
      <c r="BD427" s="173"/>
      <c r="BE427" s="173"/>
      <c r="BF427" s="173"/>
      <c r="BG427" s="173"/>
      <c r="BH427" s="173"/>
      <c r="BI427" s="173"/>
      <c r="BJ427" s="173"/>
      <c r="BK427" s="173"/>
      <c r="BL427" s="173"/>
      <c r="BM427" s="173"/>
      <c r="BN427" s="173"/>
      <c r="BO427" s="173"/>
      <c r="BP427" s="173"/>
      <c r="BQ427" s="173"/>
      <c r="BR427" s="173"/>
      <c r="BS427" s="173"/>
      <c r="BT427" s="173"/>
      <c r="BU427" s="173"/>
      <c r="BV427" s="173"/>
      <c r="BW427" s="173"/>
      <c r="BX427" s="173"/>
      <c r="BY427" s="173"/>
      <c r="BZ427" s="173"/>
      <c r="CA427" s="173"/>
      <c r="CB427" s="173"/>
      <c r="CC427" s="173"/>
      <c r="CD427" s="173"/>
      <c r="CE427" s="173"/>
      <c r="CF427" s="173"/>
      <c r="CG427" s="173"/>
      <c r="CH427" s="173"/>
      <c r="CI427" s="173"/>
      <c r="CJ427" s="173"/>
      <c r="CK427" s="173"/>
      <c r="CL427" s="173"/>
      <c r="CM427" s="173"/>
      <c r="CN427" s="173"/>
      <c r="CO427" s="173"/>
      <c r="CP427" s="173"/>
      <c r="CQ427" s="173"/>
      <c r="CR427" s="173"/>
      <c r="CS427" s="173"/>
      <c r="CT427" s="173"/>
      <c r="CU427" s="173"/>
      <c r="CV427" s="173"/>
      <c r="CW427" s="173"/>
      <c r="CX427" s="173"/>
      <c r="CY427" s="148"/>
      <c r="CZ427" s="148"/>
      <c r="DA427" s="148"/>
      <c r="DB427" s="148"/>
      <c r="DC427" s="148"/>
      <c r="DD427" s="148"/>
      <c r="DE427" s="148"/>
      <c r="DF427" s="148"/>
      <c r="DG427" s="148"/>
      <c r="DH427" s="148"/>
      <c r="DI427" s="148"/>
      <c r="DJ427" s="148"/>
      <c r="DK427" s="148"/>
      <c r="DL427" s="148"/>
      <c r="DM427" s="148"/>
      <c r="DN427" s="148"/>
      <c r="DO427" s="148"/>
      <c r="DP427" s="148"/>
      <c r="DQ427" s="148"/>
      <c r="DR427" s="148"/>
      <c r="DS427" s="148"/>
      <c r="DT427" s="148"/>
      <c r="DU427" s="148"/>
      <c r="DV427" s="148"/>
      <c r="DW427" s="148"/>
      <c r="DX427" s="148"/>
      <c r="DY427" s="148"/>
      <c r="DZ427" s="148"/>
      <c r="EA427" s="148"/>
      <c r="EB427" s="148"/>
      <c r="EC427" s="148"/>
      <c r="ED427" s="148"/>
      <c r="EE427" s="148"/>
      <c r="EF427" s="148"/>
      <c r="EG427" s="148"/>
      <c r="EH427" s="148"/>
      <c r="EI427" s="148"/>
      <c r="EJ427" s="148"/>
      <c r="EK427" s="148"/>
      <c r="EL427" s="148"/>
      <c r="EM427" s="148"/>
      <c r="EN427" s="148"/>
      <c r="EO427" s="148"/>
      <c r="EP427" s="148"/>
      <c r="EQ427" s="148"/>
      <c r="ER427" s="148"/>
      <c r="ES427" s="148"/>
      <c r="ET427" s="148"/>
      <c r="EU427" s="148"/>
      <c r="EV427" s="148"/>
      <c r="EW427" s="148"/>
      <c r="EX427" s="148"/>
      <c r="EY427" s="148"/>
      <c r="EZ427" s="148"/>
      <c r="FA427" s="148"/>
      <c r="FB427" s="148"/>
      <c r="FC427" s="148"/>
      <c r="FD427" s="148"/>
      <c r="FE427" s="148"/>
      <c r="FF427" s="148"/>
      <c r="FG427" s="148"/>
      <c r="FH427" s="148"/>
      <c r="FI427" s="148"/>
      <c r="FJ427" s="148"/>
      <c r="FK427" s="148"/>
      <c r="FL427" s="148"/>
      <c r="FM427" s="148"/>
      <c r="FN427" s="148"/>
      <c r="FO427" s="148"/>
      <c r="FP427" s="148"/>
      <c r="FQ427" s="148"/>
      <c r="FR427" s="148"/>
      <c r="FS427" s="148"/>
      <c r="FT427" s="148"/>
      <c r="FU427" s="148"/>
      <c r="FV427" s="148"/>
      <c r="FW427" s="148"/>
      <c r="FX427" s="148"/>
      <c r="FY427" s="148"/>
      <c r="FZ427" s="148"/>
      <c r="GA427" s="148"/>
      <c r="GB427" s="148"/>
      <c r="GC427" s="148"/>
      <c r="GD427" s="148"/>
      <c r="GE427" s="148"/>
      <c r="GF427" s="148"/>
      <c r="GG427" s="149"/>
    </row>
    <row r="428" spans="1:189" x14ac:dyDescent="0.35">
      <c r="A428" s="268"/>
      <c r="B428" s="221"/>
      <c r="C428" s="221"/>
      <c r="D428" s="222"/>
      <c r="E428" s="221"/>
      <c r="F428" s="221"/>
      <c r="G428" s="223"/>
      <c r="H428" s="224"/>
      <c r="I428" s="225"/>
      <c r="J428" s="225"/>
      <c r="K428" s="225"/>
      <c r="L428" s="226"/>
      <c r="M428" s="226"/>
      <c r="N428" s="226"/>
      <c r="O428" s="226"/>
      <c r="P428" s="226"/>
      <c r="Q428" s="227"/>
      <c r="R428" s="228"/>
      <c r="S428" s="228"/>
      <c r="T428" s="228"/>
      <c r="U428" s="191">
        <f t="shared" si="483"/>
        <v>0</v>
      </c>
      <c r="V428" s="86"/>
      <c r="W428" s="45"/>
      <c r="X428" s="46"/>
      <c r="Y428" s="167">
        <f t="shared" si="484"/>
        <v>0</v>
      </c>
      <c r="Z428" s="167">
        <f t="shared" si="485"/>
        <v>0</v>
      </c>
      <c r="AA428" s="167">
        <f t="shared" si="486"/>
        <v>0</v>
      </c>
      <c r="AB428" s="167">
        <f t="shared" si="487"/>
        <v>0</v>
      </c>
      <c r="AC428" s="167">
        <f t="shared" si="488"/>
        <v>0</v>
      </c>
      <c r="AD428" s="167">
        <f t="shared" si="489"/>
        <v>0</v>
      </c>
      <c r="AF428" s="47">
        <f t="shared" si="492"/>
        <v>0</v>
      </c>
      <c r="AG428" s="202" t="str">
        <f t="shared" si="493"/>
        <v xml:space="preserve"> </v>
      </c>
      <c r="AH428" s="172"/>
      <c r="AI428" s="173"/>
      <c r="AJ428" s="173"/>
      <c r="AK428" s="173"/>
      <c r="AL428" s="173"/>
      <c r="AM428" s="173"/>
      <c r="AN428" s="173"/>
      <c r="AO428" s="173"/>
      <c r="AP428" s="173"/>
      <c r="AQ428" s="173"/>
      <c r="AR428" s="173"/>
      <c r="AS428" s="173"/>
      <c r="AT428" s="173"/>
      <c r="AU428" s="173"/>
      <c r="AV428" s="173"/>
      <c r="AW428" s="173"/>
      <c r="AX428" s="173"/>
      <c r="AY428" s="173"/>
      <c r="AZ428" s="173"/>
      <c r="BA428" s="173"/>
      <c r="BB428" s="173"/>
      <c r="BC428" s="173"/>
      <c r="BD428" s="173"/>
      <c r="BE428" s="173"/>
      <c r="BF428" s="173"/>
      <c r="BG428" s="173"/>
      <c r="BH428" s="173"/>
      <c r="BI428" s="173"/>
      <c r="BJ428" s="173"/>
      <c r="BK428" s="173"/>
      <c r="BL428" s="173"/>
      <c r="BM428" s="173"/>
      <c r="BN428" s="173"/>
      <c r="BO428" s="173"/>
      <c r="BP428" s="173"/>
      <c r="BQ428" s="173"/>
      <c r="BR428" s="173"/>
      <c r="BS428" s="173"/>
      <c r="BT428" s="173"/>
      <c r="BU428" s="173"/>
      <c r="BV428" s="173"/>
      <c r="BW428" s="173"/>
      <c r="BX428" s="173"/>
      <c r="BY428" s="173"/>
      <c r="BZ428" s="173"/>
      <c r="CA428" s="173"/>
      <c r="CB428" s="173"/>
      <c r="CC428" s="173"/>
      <c r="CD428" s="173"/>
      <c r="CE428" s="173"/>
      <c r="CF428" s="173"/>
      <c r="CG428" s="173"/>
      <c r="CH428" s="173"/>
      <c r="CI428" s="173"/>
      <c r="CJ428" s="173"/>
      <c r="CK428" s="173"/>
      <c r="CL428" s="173"/>
      <c r="CM428" s="173"/>
      <c r="CN428" s="173"/>
      <c r="CO428" s="173"/>
      <c r="CP428" s="173"/>
      <c r="CQ428" s="173"/>
      <c r="CR428" s="173"/>
      <c r="CS428" s="173"/>
      <c r="CT428" s="173"/>
      <c r="CU428" s="173"/>
      <c r="CV428" s="173"/>
      <c r="CW428" s="173"/>
      <c r="CX428" s="173"/>
      <c r="CY428" s="151"/>
      <c r="CZ428" s="151"/>
      <c r="DA428" s="151"/>
      <c r="DB428" s="151"/>
      <c r="DC428" s="151"/>
      <c r="DD428" s="151"/>
      <c r="DE428" s="151"/>
      <c r="DF428" s="151"/>
      <c r="DG428" s="151"/>
      <c r="DH428" s="151"/>
      <c r="DI428" s="151"/>
      <c r="DJ428" s="151"/>
      <c r="DK428" s="151"/>
      <c r="DL428" s="151"/>
      <c r="DM428" s="151"/>
      <c r="DN428" s="151"/>
      <c r="DO428" s="151"/>
      <c r="DP428" s="151"/>
      <c r="DQ428" s="151"/>
      <c r="DR428" s="151"/>
      <c r="DS428" s="151"/>
      <c r="DT428" s="151"/>
      <c r="DU428" s="151"/>
      <c r="DV428" s="151"/>
      <c r="DW428" s="151"/>
      <c r="DX428" s="151"/>
      <c r="DY428" s="151"/>
      <c r="DZ428" s="151"/>
      <c r="EA428" s="151"/>
      <c r="EB428" s="151"/>
      <c r="EC428" s="151"/>
      <c r="ED428" s="151"/>
      <c r="EE428" s="151"/>
      <c r="EF428" s="151"/>
      <c r="EG428" s="151"/>
      <c r="EH428" s="151"/>
      <c r="EI428" s="151"/>
      <c r="EJ428" s="151"/>
      <c r="EK428" s="151"/>
      <c r="EL428" s="151"/>
      <c r="EM428" s="151"/>
      <c r="EN428" s="151"/>
      <c r="EO428" s="151"/>
      <c r="EP428" s="151"/>
      <c r="EQ428" s="151"/>
      <c r="ER428" s="151"/>
      <c r="ES428" s="151"/>
      <c r="ET428" s="151"/>
      <c r="EU428" s="151"/>
      <c r="EV428" s="151"/>
      <c r="EW428" s="151"/>
      <c r="EX428" s="151"/>
      <c r="EY428" s="151"/>
      <c r="EZ428" s="151"/>
      <c r="FA428" s="151"/>
      <c r="FB428" s="151"/>
      <c r="FC428" s="151"/>
      <c r="FD428" s="151"/>
      <c r="FE428" s="151"/>
      <c r="FF428" s="151"/>
      <c r="FG428" s="151"/>
      <c r="FH428" s="151"/>
      <c r="FI428" s="151"/>
      <c r="FJ428" s="151"/>
      <c r="FK428" s="151"/>
      <c r="FL428" s="151"/>
      <c r="FM428" s="151"/>
      <c r="FN428" s="151"/>
      <c r="FO428" s="151"/>
      <c r="FP428" s="151"/>
      <c r="FQ428" s="151"/>
      <c r="FR428" s="151"/>
      <c r="FS428" s="151"/>
      <c r="FT428" s="151"/>
      <c r="FU428" s="151"/>
      <c r="FV428" s="151"/>
      <c r="FW428" s="151"/>
      <c r="FX428" s="151"/>
      <c r="FY428" s="151"/>
      <c r="FZ428" s="151"/>
      <c r="GA428" s="151"/>
      <c r="GB428" s="151"/>
      <c r="GC428" s="151"/>
      <c r="GD428" s="151"/>
      <c r="GE428" s="151"/>
      <c r="GF428" s="151"/>
      <c r="GG428" s="152"/>
    </row>
    <row r="429" spans="1:189" x14ac:dyDescent="0.35">
      <c r="A429" s="268"/>
      <c r="B429" s="221"/>
      <c r="C429" s="221"/>
      <c r="D429" s="222"/>
      <c r="E429" s="221"/>
      <c r="F429" s="221"/>
      <c r="G429" s="223"/>
      <c r="H429" s="224"/>
      <c r="I429" s="225"/>
      <c r="J429" s="225"/>
      <c r="K429" s="225"/>
      <c r="L429" s="226"/>
      <c r="M429" s="226"/>
      <c r="N429" s="226"/>
      <c r="O429" s="226"/>
      <c r="P429" s="226"/>
      <c r="Q429" s="227"/>
      <c r="R429" s="228"/>
      <c r="S429" s="228"/>
      <c r="T429" s="228"/>
      <c r="U429" s="191">
        <f t="shared" si="483"/>
        <v>0</v>
      </c>
      <c r="V429" s="86"/>
      <c r="W429" s="45"/>
      <c r="X429" s="46"/>
      <c r="Y429" s="167">
        <f t="shared" si="484"/>
        <v>0</v>
      </c>
      <c r="Z429" s="167">
        <f t="shared" si="485"/>
        <v>0</v>
      </c>
      <c r="AA429" s="167">
        <f t="shared" si="486"/>
        <v>0</v>
      </c>
      <c r="AB429" s="167">
        <f t="shared" si="487"/>
        <v>0</v>
      </c>
      <c r="AC429" s="167">
        <f t="shared" si="488"/>
        <v>0</v>
      </c>
      <c r="AD429" s="167">
        <f t="shared" si="489"/>
        <v>0</v>
      </c>
      <c r="AF429" s="47">
        <f t="shared" si="492"/>
        <v>0</v>
      </c>
      <c r="AG429" s="202" t="str">
        <f t="shared" si="493"/>
        <v xml:space="preserve"> </v>
      </c>
      <c r="AH429" s="172"/>
      <c r="AI429" s="173"/>
      <c r="AJ429" s="173"/>
      <c r="AK429" s="173"/>
      <c r="AL429" s="173"/>
      <c r="AM429" s="173"/>
      <c r="AN429" s="173"/>
      <c r="AO429" s="173"/>
      <c r="AP429" s="173"/>
      <c r="AQ429" s="173"/>
      <c r="AR429" s="173"/>
      <c r="AS429" s="173"/>
      <c r="AT429" s="173"/>
      <c r="AU429" s="173"/>
      <c r="AV429" s="173"/>
      <c r="AW429" s="173"/>
      <c r="AX429" s="173"/>
      <c r="AY429" s="173"/>
      <c r="AZ429" s="173"/>
      <c r="BA429" s="173"/>
      <c r="BB429" s="173"/>
      <c r="BC429" s="173"/>
      <c r="BD429" s="173"/>
      <c r="BE429" s="173"/>
      <c r="BF429" s="173"/>
      <c r="BG429" s="173"/>
      <c r="BH429" s="173"/>
      <c r="BI429" s="173"/>
      <c r="BJ429" s="173"/>
      <c r="BK429" s="173"/>
      <c r="BL429" s="173"/>
      <c r="BM429" s="173"/>
      <c r="BN429" s="173"/>
      <c r="BO429" s="173"/>
      <c r="BP429" s="173"/>
      <c r="BQ429" s="173"/>
      <c r="BR429" s="173"/>
      <c r="BS429" s="173"/>
      <c r="BT429" s="173"/>
      <c r="BU429" s="173"/>
      <c r="BV429" s="173"/>
      <c r="BW429" s="173"/>
      <c r="BX429" s="173"/>
      <c r="BY429" s="173"/>
      <c r="BZ429" s="173"/>
      <c r="CA429" s="173"/>
      <c r="CB429" s="173"/>
      <c r="CC429" s="173"/>
      <c r="CD429" s="173"/>
      <c r="CE429" s="173"/>
      <c r="CF429" s="173"/>
      <c r="CG429" s="173"/>
      <c r="CH429" s="173"/>
      <c r="CI429" s="173"/>
      <c r="CJ429" s="173"/>
      <c r="CK429" s="173"/>
      <c r="CL429" s="173"/>
      <c r="CM429" s="173"/>
      <c r="CN429" s="173"/>
      <c r="CO429" s="173"/>
      <c r="CP429" s="173"/>
      <c r="CQ429" s="173"/>
      <c r="CR429" s="173"/>
      <c r="CS429" s="173"/>
      <c r="CT429" s="173"/>
      <c r="CU429" s="173"/>
      <c r="CV429" s="173"/>
      <c r="CW429" s="173"/>
      <c r="CX429" s="173"/>
      <c r="CY429" s="151"/>
      <c r="CZ429" s="151"/>
      <c r="DA429" s="151"/>
      <c r="DB429" s="151"/>
      <c r="DC429" s="151"/>
      <c r="DD429" s="151"/>
      <c r="DE429" s="151"/>
      <c r="DF429" s="151"/>
      <c r="DG429" s="151"/>
      <c r="DH429" s="151"/>
      <c r="DI429" s="151"/>
      <c r="DJ429" s="151"/>
      <c r="DK429" s="151"/>
      <c r="DL429" s="151"/>
      <c r="DM429" s="151"/>
      <c r="DN429" s="151"/>
      <c r="DO429" s="151"/>
      <c r="DP429" s="151"/>
      <c r="DQ429" s="151"/>
      <c r="DR429" s="151"/>
      <c r="DS429" s="151"/>
      <c r="DT429" s="151"/>
      <c r="DU429" s="151"/>
      <c r="DV429" s="151"/>
      <c r="DW429" s="151"/>
      <c r="DX429" s="151"/>
      <c r="DY429" s="151"/>
      <c r="DZ429" s="151"/>
      <c r="EA429" s="151"/>
      <c r="EB429" s="151"/>
      <c r="EC429" s="151"/>
      <c r="ED429" s="151"/>
      <c r="EE429" s="151"/>
      <c r="EF429" s="151"/>
      <c r="EG429" s="151"/>
      <c r="EH429" s="151"/>
      <c r="EI429" s="151"/>
      <c r="EJ429" s="151"/>
      <c r="EK429" s="151"/>
      <c r="EL429" s="151"/>
      <c r="EM429" s="151"/>
      <c r="EN429" s="151"/>
      <c r="EO429" s="151"/>
      <c r="EP429" s="151"/>
      <c r="EQ429" s="151"/>
      <c r="ER429" s="151"/>
      <c r="ES429" s="151"/>
      <c r="ET429" s="151"/>
      <c r="EU429" s="151"/>
      <c r="EV429" s="151"/>
      <c r="EW429" s="151"/>
      <c r="EX429" s="151"/>
      <c r="EY429" s="151"/>
      <c r="EZ429" s="151"/>
      <c r="FA429" s="151"/>
      <c r="FB429" s="151"/>
      <c r="FC429" s="151"/>
      <c r="FD429" s="151"/>
      <c r="FE429" s="151"/>
      <c r="FF429" s="151"/>
      <c r="FG429" s="151"/>
      <c r="FH429" s="151"/>
      <c r="FI429" s="151"/>
      <c r="FJ429" s="151"/>
      <c r="FK429" s="151"/>
      <c r="FL429" s="151"/>
      <c r="FM429" s="151"/>
      <c r="FN429" s="151"/>
      <c r="FO429" s="151"/>
      <c r="FP429" s="151"/>
      <c r="FQ429" s="151"/>
      <c r="FR429" s="151"/>
      <c r="FS429" s="151"/>
      <c r="FT429" s="151"/>
      <c r="FU429" s="151"/>
      <c r="FV429" s="151"/>
      <c r="FW429" s="151"/>
      <c r="FX429" s="151"/>
      <c r="FY429" s="151"/>
      <c r="FZ429" s="151"/>
      <c r="GA429" s="151"/>
      <c r="GB429" s="151"/>
      <c r="GC429" s="151"/>
      <c r="GD429" s="151"/>
      <c r="GE429" s="151"/>
      <c r="GF429" s="151"/>
      <c r="GG429" s="152"/>
    </row>
    <row r="430" spans="1:189" x14ac:dyDescent="0.35">
      <c r="A430" s="268"/>
      <c r="B430" s="221"/>
      <c r="C430" s="221"/>
      <c r="D430" s="222"/>
      <c r="E430" s="221"/>
      <c r="F430" s="221"/>
      <c r="G430" s="223"/>
      <c r="H430" s="224"/>
      <c r="I430" s="225"/>
      <c r="J430" s="225"/>
      <c r="K430" s="225"/>
      <c r="L430" s="226"/>
      <c r="M430" s="226"/>
      <c r="N430" s="226"/>
      <c r="O430" s="226"/>
      <c r="P430" s="226"/>
      <c r="Q430" s="227"/>
      <c r="R430" s="228"/>
      <c r="S430" s="228"/>
      <c r="T430" s="228"/>
      <c r="U430" s="191">
        <f t="shared" si="483"/>
        <v>0</v>
      </c>
      <c r="V430" s="86"/>
      <c r="W430" s="45"/>
      <c r="X430" s="46"/>
      <c r="Y430" s="167">
        <f t="shared" si="484"/>
        <v>0</v>
      </c>
      <c r="Z430" s="167">
        <f t="shared" si="485"/>
        <v>0</v>
      </c>
      <c r="AA430" s="167">
        <f t="shared" si="486"/>
        <v>0</v>
      </c>
      <c r="AB430" s="167">
        <f t="shared" si="487"/>
        <v>0</v>
      </c>
      <c r="AC430" s="167">
        <f t="shared" si="488"/>
        <v>0</v>
      </c>
      <c r="AD430" s="167">
        <f t="shared" si="489"/>
        <v>0</v>
      </c>
      <c r="AF430" s="47">
        <f t="shared" si="492"/>
        <v>0</v>
      </c>
      <c r="AG430" s="202" t="str">
        <f t="shared" si="493"/>
        <v xml:space="preserve"> </v>
      </c>
      <c r="AH430" s="172"/>
      <c r="AI430" s="173"/>
      <c r="AJ430" s="173"/>
      <c r="AK430" s="173"/>
      <c r="AL430" s="173"/>
      <c r="AM430" s="173"/>
      <c r="AN430" s="173"/>
      <c r="AO430" s="173"/>
      <c r="AP430" s="173"/>
      <c r="AQ430" s="173"/>
      <c r="AR430" s="173"/>
      <c r="AS430" s="173"/>
      <c r="AT430" s="173"/>
      <c r="AU430" s="173"/>
      <c r="AV430" s="173"/>
      <c r="AW430" s="173"/>
      <c r="AX430" s="173"/>
      <c r="AY430" s="173"/>
      <c r="AZ430" s="173"/>
      <c r="BA430" s="173"/>
      <c r="BB430" s="173"/>
      <c r="BC430" s="173"/>
      <c r="BD430" s="173"/>
      <c r="BE430" s="173"/>
      <c r="BF430" s="173"/>
      <c r="BG430" s="173"/>
      <c r="BH430" s="173"/>
      <c r="BI430" s="173"/>
      <c r="BJ430" s="173"/>
      <c r="BK430" s="173"/>
      <c r="BL430" s="173"/>
      <c r="BM430" s="173"/>
      <c r="BN430" s="173"/>
      <c r="BO430" s="173"/>
      <c r="BP430" s="173"/>
      <c r="BQ430" s="173"/>
      <c r="BR430" s="173"/>
      <c r="BS430" s="173"/>
      <c r="BT430" s="173"/>
      <c r="BU430" s="173"/>
      <c r="BV430" s="173"/>
      <c r="BW430" s="173"/>
      <c r="BX430" s="173"/>
      <c r="BY430" s="173"/>
      <c r="BZ430" s="173"/>
      <c r="CA430" s="173"/>
      <c r="CB430" s="173"/>
      <c r="CC430" s="173"/>
      <c r="CD430" s="173"/>
      <c r="CE430" s="173"/>
      <c r="CF430" s="173"/>
      <c r="CG430" s="173"/>
      <c r="CH430" s="173"/>
      <c r="CI430" s="173"/>
      <c r="CJ430" s="173"/>
      <c r="CK430" s="173"/>
      <c r="CL430" s="173"/>
      <c r="CM430" s="173"/>
      <c r="CN430" s="173"/>
      <c r="CO430" s="173"/>
      <c r="CP430" s="173"/>
      <c r="CQ430" s="173"/>
      <c r="CR430" s="173"/>
      <c r="CS430" s="173"/>
      <c r="CT430" s="173"/>
      <c r="CU430" s="173"/>
      <c r="CV430" s="173"/>
      <c r="CW430" s="173"/>
      <c r="CX430" s="173"/>
      <c r="CY430" s="151"/>
      <c r="CZ430" s="151"/>
      <c r="DA430" s="151"/>
      <c r="DB430" s="151"/>
      <c r="DC430" s="151"/>
      <c r="DD430" s="151"/>
      <c r="DE430" s="151"/>
      <c r="DF430" s="151"/>
      <c r="DG430" s="151"/>
      <c r="DH430" s="151"/>
      <c r="DI430" s="151"/>
      <c r="DJ430" s="151"/>
      <c r="DK430" s="151"/>
      <c r="DL430" s="151"/>
      <c r="DM430" s="151"/>
      <c r="DN430" s="151"/>
      <c r="DO430" s="151"/>
      <c r="DP430" s="151"/>
      <c r="DQ430" s="151"/>
      <c r="DR430" s="151"/>
      <c r="DS430" s="151"/>
      <c r="DT430" s="151"/>
      <c r="DU430" s="151"/>
      <c r="DV430" s="151"/>
      <c r="DW430" s="151"/>
      <c r="DX430" s="151"/>
      <c r="DY430" s="151"/>
      <c r="DZ430" s="151"/>
      <c r="EA430" s="151"/>
      <c r="EB430" s="151"/>
      <c r="EC430" s="151"/>
      <c r="ED430" s="151"/>
      <c r="EE430" s="151"/>
      <c r="EF430" s="151"/>
      <c r="EG430" s="151"/>
      <c r="EH430" s="151"/>
      <c r="EI430" s="151"/>
      <c r="EJ430" s="151"/>
      <c r="EK430" s="151"/>
      <c r="EL430" s="151"/>
      <c r="EM430" s="151"/>
      <c r="EN430" s="151"/>
      <c r="EO430" s="151"/>
      <c r="EP430" s="151"/>
      <c r="EQ430" s="151"/>
      <c r="ER430" s="151"/>
      <c r="ES430" s="151"/>
      <c r="ET430" s="151"/>
      <c r="EU430" s="151"/>
      <c r="EV430" s="151"/>
      <c r="EW430" s="151"/>
      <c r="EX430" s="151"/>
      <c r="EY430" s="151"/>
      <c r="EZ430" s="151"/>
      <c r="FA430" s="151"/>
      <c r="FB430" s="151"/>
      <c r="FC430" s="151"/>
      <c r="FD430" s="151"/>
      <c r="FE430" s="151"/>
      <c r="FF430" s="151"/>
      <c r="FG430" s="151"/>
      <c r="FH430" s="151"/>
      <c r="FI430" s="151"/>
      <c r="FJ430" s="151"/>
      <c r="FK430" s="151"/>
      <c r="FL430" s="151"/>
      <c r="FM430" s="151"/>
      <c r="FN430" s="151"/>
      <c r="FO430" s="151"/>
      <c r="FP430" s="151"/>
      <c r="FQ430" s="151"/>
      <c r="FR430" s="151"/>
      <c r="FS430" s="151"/>
      <c r="FT430" s="151"/>
      <c r="FU430" s="151"/>
      <c r="FV430" s="151"/>
      <c r="FW430" s="151"/>
      <c r="FX430" s="151"/>
      <c r="FY430" s="151"/>
      <c r="FZ430" s="151"/>
      <c r="GA430" s="151"/>
      <c r="GB430" s="151"/>
      <c r="GC430" s="151"/>
      <c r="GD430" s="151"/>
      <c r="GE430" s="151"/>
      <c r="GF430" s="151"/>
      <c r="GG430" s="152"/>
    </row>
    <row r="431" spans="1:189" x14ac:dyDescent="0.35">
      <c r="A431" s="268"/>
      <c r="B431" s="221"/>
      <c r="C431" s="221"/>
      <c r="D431" s="222"/>
      <c r="E431" s="221"/>
      <c r="F431" s="221"/>
      <c r="G431" s="223"/>
      <c r="H431" s="224"/>
      <c r="I431" s="225"/>
      <c r="J431" s="225"/>
      <c r="K431" s="225"/>
      <c r="L431" s="226"/>
      <c r="M431" s="226"/>
      <c r="N431" s="226"/>
      <c r="O431" s="226"/>
      <c r="P431" s="226"/>
      <c r="Q431" s="227"/>
      <c r="R431" s="228"/>
      <c r="S431" s="228"/>
      <c r="T431" s="228"/>
      <c r="U431" s="191">
        <f t="shared" si="483"/>
        <v>0</v>
      </c>
      <c r="V431" s="86"/>
      <c r="W431" s="45"/>
      <c r="X431" s="46"/>
      <c r="Y431" s="167">
        <f t="shared" si="484"/>
        <v>0</v>
      </c>
      <c r="Z431" s="167">
        <f t="shared" si="485"/>
        <v>0</v>
      </c>
      <c r="AA431" s="167">
        <f t="shared" si="486"/>
        <v>0</v>
      </c>
      <c r="AB431" s="167">
        <f t="shared" si="487"/>
        <v>0</v>
      </c>
      <c r="AC431" s="167">
        <f t="shared" si="488"/>
        <v>0</v>
      </c>
      <c r="AD431" s="167">
        <f t="shared" si="489"/>
        <v>0</v>
      </c>
      <c r="AF431" s="47">
        <f t="shared" si="492"/>
        <v>0</v>
      </c>
      <c r="AG431" s="202" t="str">
        <f t="shared" si="493"/>
        <v xml:space="preserve"> </v>
      </c>
      <c r="AH431" s="172"/>
      <c r="AI431" s="173"/>
      <c r="AJ431" s="173"/>
      <c r="AK431" s="173"/>
      <c r="AL431" s="173"/>
      <c r="AM431" s="173"/>
      <c r="AN431" s="173"/>
      <c r="AO431" s="173"/>
      <c r="AP431" s="173"/>
      <c r="AQ431" s="173"/>
      <c r="AR431" s="173"/>
      <c r="AS431" s="173"/>
      <c r="AT431" s="173"/>
      <c r="AU431" s="173"/>
      <c r="AV431" s="173"/>
      <c r="AW431" s="173"/>
      <c r="AX431" s="173"/>
      <c r="AY431" s="173"/>
      <c r="AZ431" s="173"/>
      <c r="BA431" s="173"/>
      <c r="BB431" s="173"/>
      <c r="BC431" s="173"/>
      <c r="BD431" s="173"/>
      <c r="BE431" s="173"/>
      <c r="BF431" s="173"/>
      <c r="BG431" s="173"/>
      <c r="BH431" s="173"/>
      <c r="BI431" s="173"/>
      <c r="BJ431" s="173"/>
      <c r="BK431" s="173"/>
      <c r="BL431" s="173"/>
      <c r="BM431" s="173"/>
      <c r="BN431" s="173"/>
      <c r="BO431" s="173"/>
      <c r="BP431" s="173"/>
      <c r="BQ431" s="173"/>
      <c r="BR431" s="173"/>
      <c r="BS431" s="173"/>
      <c r="BT431" s="173"/>
      <c r="BU431" s="173"/>
      <c r="BV431" s="173"/>
      <c r="BW431" s="173"/>
      <c r="BX431" s="173"/>
      <c r="BY431" s="173"/>
      <c r="BZ431" s="173"/>
      <c r="CA431" s="173"/>
      <c r="CB431" s="173"/>
      <c r="CC431" s="173"/>
      <c r="CD431" s="173"/>
      <c r="CE431" s="173"/>
      <c r="CF431" s="173"/>
      <c r="CG431" s="173"/>
      <c r="CH431" s="173"/>
      <c r="CI431" s="173"/>
      <c r="CJ431" s="173"/>
      <c r="CK431" s="173"/>
      <c r="CL431" s="173"/>
      <c r="CM431" s="173"/>
      <c r="CN431" s="173"/>
      <c r="CO431" s="173"/>
      <c r="CP431" s="173"/>
      <c r="CQ431" s="173"/>
      <c r="CR431" s="173"/>
      <c r="CS431" s="173"/>
      <c r="CT431" s="173"/>
      <c r="CU431" s="173"/>
      <c r="CV431" s="173"/>
      <c r="CW431" s="173"/>
      <c r="CX431" s="173"/>
      <c r="CY431" s="148"/>
      <c r="CZ431" s="148"/>
      <c r="DA431" s="148"/>
      <c r="DB431" s="148"/>
      <c r="DC431" s="148"/>
      <c r="DD431" s="148"/>
      <c r="DE431" s="148"/>
      <c r="DF431" s="148"/>
      <c r="DG431" s="148"/>
      <c r="DH431" s="148"/>
      <c r="DI431" s="148"/>
      <c r="DJ431" s="148"/>
      <c r="DK431" s="148"/>
      <c r="DL431" s="148"/>
      <c r="DM431" s="148"/>
      <c r="DN431" s="148"/>
      <c r="DO431" s="148"/>
      <c r="DP431" s="148"/>
      <c r="DQ431" s="148"/>
      <c r="DR431" s="148"/>
      <c r="DS431" s="148"/>
      <c r="DT431" s="148"/>
      <c r="DU431" s="148"/>
      <c r="DV431" s="148"/>
      <c r="DW431" s="148"/>
      <c r="DX431" s="148"/>
      <c r="DY431" s="148"/>
      <c r="DZ431" s="148"/>
      <c r="EA431" s="148"/>
      <c r="EB431" s="148"/>
      <c r="EC431" s="148"/>
      <c r="ED431" s="148"/>
      <c r="EE431" s="148"/>
      <c r="EF431" s="148"/>
      <c r="EG431" s="148"/>
      <c r="EH431" s="148"/>
      <c r="EI431" s="148"/>
      <c r="EJ431" s="148"/>
      <c r="EK431" s="148"/>
      <c r="EL431" s="148"/>
      <c r="EM431" s="148"/>
      <c r="EN431" s="148"/>
      <c r="EO431" s="148"/>
      <c r="EP431" s="148"/>
      <c r="EQ431" s="148"/>
      <c r="ER431" s="148"/>
      <c r="ES431" s="148"/>
      <c r="ET431" s="148"/>
      <c r="EU431" s="148"/>
      <c r="EV431" s="148"/>
      <c r="EW431" s="148"/>
      <c r="EX431" s="148"/>
      <c r="EY431" s="148"/>
      <c r="EZ431" s="148"/>
      <c r="FA431" s="148"/>
      <c r="FB431" s="148"/>
      <c r="FC431" s="148"/>
      <c r="FD431" s="148"/>
      <c r="FE431" s="148"/>
      <c r="FF431" s="148"/>
      <c r="FG431" s="148"/>
      <c r="FH431" s="148"/>
      <c r="FI431" s="148"/>
      <c r="FJ431" s="148"/>
      <c r="FK431" s="148"/>
      <c r="FL431" s="148"/>
      <c r="FM431" s="148"/>
      <c r="FN431" s="148"/>
      <c r="FO431" s="148"/>
      <c r="FP431" s="148"/>
      <c r="FQ431" s="148"/>
      <c r="FR431" s="148"/>
      <c r="FS431" s="148"/>
      <c r="FT431" s="148"/>
      <c r="FU431" s="148"/>
      <c r="FV431" s="148"/>
      <c r="FW431" s="148"/>
      <c r="FX431" s="148"/>
      <c r="FY431" s="148"/>
      <c r="FZ431" s="148"/>
      <c r="GA431" s="148"/>
      <c r="GB431" s="148"/>
      <c r="GC431" s="148"/>
      <c r="GD431" s="148"/>
      <c r="GE431" s="148"/>
      <c r="GF431" s="148"/>
      <c r="GG431" s="149"/>
    </row>
    <row r="432" spans="1:189" x14ac:dyDescent="0.35">
      <c r="A432" s="268"/>
      <c r="B432" s="221"/>
      <c r="C432" s="221"/>
      <c r="D432" s="222"/>
      <c r="E432" s="221"/>
      <c r="F432" s="221"/>
      <c r="G432" s="223"/>
      <c r="H432" s="224"/>
      <c r="I432" s="225"/>
      <c r="J432" s="225"/>
      <c r="K432" s="225"/>
      <c r="L432" s="226"/>
      <c r="M432" s="226"/>
      <c r="N432" s="226"/>
      <c r="O432" s="226"/>
      <c r="P432" s="226"/>
      <c r="Q432" s="227"/>
      <c r="R432" s="228"/>
      <c r="S432" s="228"/>
      <c r="T432" s="228"/>
      <c r="U432" s="191">
        <f t="shared" si="483"/>
        <v>0</v>
      </c>
      <c r="V432" s="86"/>
      <c r="W432" s="45"/>
      <c r="X432" s="46"/>
      <c r="Y432" s="167">
        <f t="shared" si="484"/>
        <v>0</v>
      </c>
      <c r="Z432" s="167">
        <f t="shared" si="485"/>
        <v>0</v>
      </c>
      <c r="AA432" s="167">
        <f t="shared" si="486"/>
        <v>0</v>
      </c>
      <c r="AB432" s="167">
        <f t="shared" si="487"/>
        <v>0</v>
      </c>
      <c r="AC432" s="167">
        <f t="shared" si="488"/>
        <v>0</v>
      </c>
      <c r="AD432" s="167">
        <f t="shared" si="489"/>
        <v>0</v>
      </c>
      <c r="AF432" s="47">
        <f t="shared" si="492"/>
        <v>0</v>
      </c>
      <c r="AG432" s="202" t="str">
        <f t="shared" si="493"/>
        <v xml:space="preserve"> </v>
      </c>
      <c r="AH432" s="172"/>
      <c r="AI432" s="173"/>
      <c r="AJ432" s="173"/>
      <c r="AK432" s="173"/>
      <c r="AL432" s="173"/>
      <c r="AM432" s="173"/>
      <c r="AN432" s="173"/>
      <c r="AO432" s="173"/>
      <c r="AP432" s="173"/>
      <c r="AQ432" s="173"/>
      <c r="AR432" s="173"/>
      <c r="AS432" s="173"/>
      <c r="AT432" s="173"/>
      <c r="AU432" s="173"/>
      <c r="AV432" s="173"/>
      <c r="AW432" s="173"/>
      <c r="AX432" s="173"/>
      <c r="AY432" s="173"/>
      <c r="AZ432" s="173"/>
      <c r="BA432" s="173"/>
      <c r="BB432" s="173"/>
      <c r="BC432" s="173"/>
      <c r="BD432" s="173"/>
      <c r="BE432" s="173"/>
      <c r="BF432" s="173"/>
      <c r="BG432" s="173"/>
      <c r="BH432" s="173"/>
      <c r="BI432" s="173"/>
      <c r="BJ432" s="173"/>
      <c r="BK432" s="173"/>
      <c r="BL432" s="173"/>
      <c r="BM432" s="173"/>
      <c r="BN432" s="173"/>
      <c r="BO432" s="173"/>
      <c r="BP432" s="173"/>
      <c r="BQ432" s="173"/>
      <c r="BR432" s="173"/>
      <c r="BS432" s="173"/>
      <c r="BT432" s="173"/>
      <c r="BU432" s="173"/>
      <c r="BV432" s="173"/>
      <c r="BW432" s="173"/>
      <c r="BX432" s="173"/>
      <c r="BY432" s="173"/>
      <c r="BZ432" s="173"/>
      <c r="CA432" s="173"/>
      <c r="CB432" s="173"/>
      <c r="CC432" s="173"/>
      <c r="CD432" s="173"/>
      <c r="CE432" s="173"/>
      <c r="CF432" s="173"/>
      <c r="CG432" s="173"/>
      <c r="CH432" s="173"/>
      <c r="CI432" s="173"/>
      <c r="CJ432" s="173"/>
      <c r="CK432" s="173"/>
      <c r="CL432" s="173"/>
      <c r="CM432" s="173"/>
      <c r="CN432" s="173"/>
      <c r="CO432" s="173"/>
      <c r="CP432" s="173"/>
      <c r="CQ432" s="173"/>
      <c r="CR432" s="173"/>
      <c r="CS432" s="173"/>
      <c r="CT432" s="173"/>
      <c r="CU432" s="173"/>
      <c r="CV432" s="173"/>
      <c r="CW432" s="173"/>
      <c r="CX432" s="173"/>
      <c r="CY432" s="151"/>
      <c r="CZ432" s="151"/>
      <c r="DA432" s="151"/>
      <c r="DB432" s="151"/>
      <c r="DC432" s="151"/>
      <c r="DD432" s="151"/>
      <c r="DE432" s="151"/>
      <c r="DF432" s="151"/>
      <c r="DG432" s="151"/>
      <c r="DH432" s="151"/>
      <c r="DI432" s="151"/>
      <c r="DJ432" s="151"/>
      <c r="DK432" s="151"/>
      <c r="DL432" s="151"/>
      <c r="DM432" s="151"/>
      <c r="DN432" s="151"/>
      <c r="DO432" s="151"/>
      <c r="DP432" s="151"/>
      <c r="DQ432" s="151"/>
      <c r="DR432" s="151"/>
      <c r="DS432" s="151"/>
      <c r="DT432" s="151"/>
      <c r="DU432" s="151"/>
      <c r="DV432" s="151"/>
      <c r="DW432" s="151"/>
      <c r="DX432" s="151"/>
      <c r="DY432" s="151"/>
      <c r="DZ432" s="151"/>
      <c r="EA432" s="151"/>
      <c r="EB432" s="151"/>
      <c r="EC432" s="151"/>
      <c r="ED432" s="151"/>
      <c r="EE432" s="151"/>
      <c r="EF432" s="151"/>
      <c r="EG432" s="151"/>
      <c r="EH432" s="151"/>
      <c r="EI432" s="151"/>
      <c r="EJ432" s="151"/>
      <c r="EK432" s="151"/>
      <c r="EL432" s="151"/>
      <c r="EM432" s="151"/>
      <c r="EN432" s="151"/>
      <c r="EO432" s="151"/>
      <c r="EP432" s="151"/>
      <c r="EQ432" s="151"/>
      <c r="ER432" s="151"/>
      <c r="ES432" s="151"/>
      <c r="ET432" s="151"/>
      <c r="EU432" s="151"/>
      <c r="EV432" s="151"/>
      <c r="EW432" s="151"/>
      <c r="EX432" s="151"/>
      <c r="EY432" s="151"/>
      <c r="EZ432" s="151"/>
      <c r="FA432" s="151"/>
      <c r="FB432" s="151"/>
      <c r="FC432" s="151"/>
      <c r="FD432" s="151"/>
      <c r="FE432" s="151"/>
      <c r="FF432" s="151"/>
      <c r="FG432" s="151"/>
      <c r="FH432" s="151"/>
      <c r="FI432" s="151"/>
      <c r="FJ432" s="151"/>
      <c r="FK432" s="151"/>
      <c r="FL432" s="151"/>
      <c r="FM432" s="151"/>
      <c r="FN432" s="151"/>
      <c r="FO432" s="151"/>
      <c r="FP432" s="151"/>
      <c r="FQ432" s="151"/>
      <c r="FR432" s="151"/>
      <c r="FS432" s="151"/>
      <c r="FT432" s="151"/>
      <c r="FU432" s="151"/>
      <c r="FV432" s="151"/>
      <c r="FW432" s="151"/>
      <c r="FX432" s="151"/>
      <c r="FY432" s="151"/>
      <c r="FZ432" s="151"/>
      <c r="GA432" s="151"/>
      <c r="GB432" s="151"/>
      <c r="GC432" s="151"/>
      <c r="GD432" s="151"/>
      <c r="GE432" s="151"/>
      <c r="GF432" s="151"/>
      <c r="GG432" s="152"/>
    </row>
    <row r="433" spans="1:189" x14ac:dyDescent="0.35">
      <c r="A433" s="268"/>
      <c r="B433" s="221"/>
      <c r="C433" s="221"/>
      <c r="D433" s="222"/>
      <c r="E433" s="221"/>
      <c r="F433" s="221"/>
      <c r="G433" s="223"/>
      <c r="H433" s="224"/>
      <c r="I433" s="225"/>
      <c r="J433" s="225"/>
      <c r="K433" s="225"/>
      <c r="L433" s="226"/>
      <c r="M433" s="226"/>
      <c r="N433" s="226"/>
      <c r="O433" s="226"/>
      <c r="P433" s="226"/>
      <c r="Q433" s="227"/>
      <c r="R433" s="228"/>
      <c r="S433" s="228"/>
      <c r="T433" s="228"/>
      <c r="U433" s="191">
        <f t="shared" si="483"/>
        <v>0</v>
      </c>
      <c r="V433" s="86"/>
      <c r="W433" s="45"/>
      <c r="X433" s="46"/>
      <c r="Y433" s="167">
        <f t="shared" si="484"/>
        <v>0</v>
      </c>
      <c r="Z433" s="167">
        <f t="shared" si="485"/>
        <v>0</v>
      </c>
      <c r="AA433" s="167">
        <f t="shared" si="486"/>
        <v>0</v>
      </c>
      <c r="AB433" s="167">
        <f t="shared" si="487"/>
        <v>0</v>
      </c>
      <c r="AC433" s="167">
        <f t="shared" si="488"/>
        <v>0</v>
      </c>
      <c r="AD433" s="167">
        <f t="shared" si="489"/>
        <v>0</v>
      </c>
      <c r="AF433" s="47">
        <f t="shared" si="492"/>
        <v>0</v>
      </c>
      <c r="AG433" s="202" t="str">
        <f t="shared" si="493"/>
        <v xml:space="preserve"> </v>
      </c>
      <c r="AH433" s="172"/>
      <c r="AI433" s="173"/>
      <c r="AJ433" s="173"/>
      <c r="AK433" s="173"/>
      <c r="AL433" s="173"/>
      <c r="AM433" s="173"/>
      <c r="AN433" s="173"/>
      <c r="AO433" s="173"/>
      <c r="AP433" s="173"/>
      <c r="AQ433" s="173"/>
      <c r="AR433" s="173"/>
      <c r="AS433" s="173"/>
      <c r="AT433" s="173"/>
      <c r="AU433" s="173"/>
      <c r="AV433" s="173"/>
      <c r="AW433" s="173"/>
      <c r="AX433" s="173"/>
      <c r="AY433" s="173"/>
      <c r="AZ433" s="173"/>
      <c r="BA433" s="173"/>
      <c r="BB433" s="173"/>
      <c r="BC433" s="173"/>
      <c r="BD433" s="173"/>
      <c r="BE433" s="173"/>
      <c r="BF433" s="173"/>
      <c r="BG433" s="173"/>
      <c r="BH433" s="173"/>
      <c r="BI433" s="173"/>
      <c r="BJ433" s="173"/>
      <c r="BK433" s="173"/>
      <c r="BL433" s="173"/>
      <c r="BM433" s="173"/>
      <c r="BN433" s="173"/>
      <c r="BO433" s="173"/>
      <c r="BP433" s="173"/>
      <c r="BQ433" s="173"/>
      <c r="BR433" s="173"/>
      <c r="BS433" s="173"/>
      <c r="BT433" s="173"/>
      <c r="BU433" s="173"/>
      <c r="BV433" s="173"/>
      <c r="BW433" s="173"/>
      <c r="BX433" s="173"/>
      <c r="BY433" s="173"/>
      <c r="BZ433" s="173"/>
      <c r="CA433" s="173"/>
      <c r="CB433" s="173"/>
      <c r="CC433" s="173"/>
      <c r="CD433" s="173"/>
      <c r="CE433" s="173"/>
      <c r="CF433" s="173"/>
      <c r="CG433" s="173"/>
      <c r="CH433" s="173"/>
      <c r="CI433" s="173"/>
      <c r="CJ433" s="173"/>
      <c r="CK433" s="173"/>
      <c r="CL433" s="173"/>
      <c r="CM433" s="173"/>
      <c r="CN433" s="173"/>
      <c r="CO433" s="173"/>
      <c r="CP433" s="173"/>
      <c r="CQ433" s="173"/>
      <c r="CR433" s="173"/>
      <c r="CS433" s="173"/>
      <c r="CT433" s="173"/>
      <c r="CU433" s="173"/>
      <c r="CV433" s="173"/>
      <c r="CW433" s="173"/>
      <c r="CX433" s="173"/>
      <c r="CY433" s="151"/>
      <c r="CZ433" s="151"/>
      <c r="DA433" s="151"/>
      <c r="DB433" s="151"/>
      <c r="DC433" s="151"/>
      <c r="DD433" s="151"/>
      <c r="DE433" s="151"/>
      <c r="DF433" s="151"/>
      <c r="DG433" s="151"/>
      <c r="DH433" s="151"/>
      <c r="DI433" s="151"/>
      <c r="DJ433" s="151"/>
      <c r="DK433" s="151"/>
      <c r="DL433" s="151"/>
      <c r="DM433" s="151"/>
      <c r="DN433" s="151"/>
      <c r="DO433" s="151"/>
      <c r="DP433" s="151"/>
      <c r="DQ433" s="151"/>
      <c r="DR433" s="151"/>
      <c r="DS433" s="151"/>
      <c r="DT433" s="151"/>
      <c r="DU433" s="151"/>
      <c r="DV433" s="151"/>
      <c r="DW433" s="151"/>
      <c r="DX433" s="151"/>
      <c r="DY433" s="151"/>
      <c r="DZ433" s="151"/>
      <c r="EA433" s="151"/>
      <c r="EB433" s="151"/>
      <c r="EC433" s="151"/>
      <c r="ED433" s="151"/>
      <c r="EE433" s="151"/>
      <c r="EF433" s="151"/>
      <c r="EG433" s="151"/>
      <c r="EH433" s="151"/>
      <c r="EI433" s="151"/>
      <c r="EJ433" s="151"/>
      <c r="EK433" s="151"/>
      <c r="EL433" s="151"/>
      <c r="EM433" s="151"/>
      <c r="EN433" s="151"/>
      <c r="EO433" s="151"/>
      <c r="EP433" s="151"/>
      <c r="EQ433" s="151"/>
      <c r="ER433" s="151"/>
      <c r="ES433" s="151"/>
      <c r="ET433" s="151"/>
      <c r="EU433" s="151"/>
      <c r="EV433" s="151"/>
      <c r="EW433" s="151"/>
      <c r="EX433" s="151"/>
      <c r="EY433" s="151"/>
      <c r="EZ433" s="151"/>
      <c r="FA433" s="151"/>
      <c r="FB433" s="151"/>
      <c r="FC433" s="151"/>
      <c r="FD433" s="151"/>
      <c r="FE433" s="151"/>
      <c r="FF433" s="151"/>
      <c r="FG433" s="151"/>
      <c r="FH433" s="151"/>
      <c r="FI433" s="151"/>
      <c r="FJ433" s="151"/>
      <c r="FK433" s="151"/>
      <c r="FL433" s="151"/>
      <c r="FM433" s="151"/>
      <c r="FN433" s="151"/>
      <c r="FO433" s="151"/>
      <c r="FP433" s="151"/>
      <c r="FQ433" s="151"/>
      <c r="FR433" s="151"/>
      <c r="FS433" s="151"/>
      <c r="FT433" s="151"/>
      <c r="FU433" s="151"/>
      <c r="FV433" s="151"/>
      <c r="FW433" s="151"/>
      <c r="FX433" s="151"/>
      <c r="FY433" s="151"/>
      <c r="FZ433" s="151"/>
      <c r="GA433" s="151"/>
      <c r="GB433" s="151"/>
      <c r="GC433" s="151"/>
      <c r="GD433" s="151"/>
      <c r="GE433" s="151"/>
      <c r="GF433" s="151"/>
      <c r="GG433" s="152"/>
    </row>
    <row r="434" spans="1:189" x14ac:dyDescent="0.35">
      <c r="A434" s="268"/>
      <c r="B434" s="221"/>
      <c r="C434" s="221"/>
      <c r="D434" s="222"/>
      <c r="E434" s="221"/>
      <c r="F434" s="221"/>
      <c r="G434" s="223"/>
      <c r="H434" s="224"/>
      <c r="I434" s="225"/>
      <c r="J434" s="225"/>
      <c r="K434" s="225"/>
      <c r="L434" s="226"/>
      <c r="M434" s="226"/>
      <c r="N434" s="226"/>
      <c r="O434" s="226"/>
      <c r="P434" s="226"/>
      <c r="Q434" s="227"/>
      <c r="R434" s="228"/>
      <c r="S434" s="228"/>
      <c r="T434" s="228"/>
      <c r="U434" s="191">
        <f t="shared" si="483"/>
        <v>0</v>
      </c>
      <c r="V434" s="86"/>
      <c r="W434" s="45"/>
      <c r="X434" s="46"/>
      <c r="Y434" s="167">
        <f t="shared" si="484"/>
        <v>0</v>
      </c>
      <c r="Z434" s="167">
        <f t="shared" si="485"/>
        <v>0</v>
      </c>
      <c r="AA434" s="167">
        <f t="shared" si="486"/>
        <v>0</v>
      </c>
      <c r="AB434" s="167">
        <f t="shared" si="487"/>
        <v>0</v>
      </c>
      <c r="AC434" s="167">
        <f t="shared" si="488"/>
        <v>0</v>
      </c>
      <c r="AD434" s="167">
        <f t="shared" si="489"/>
        <v>0</v>
      </c>
      <c r="AF434" s="47">
        <f t="shared" si="492"/>
        <v>0</v>
      </c>
      <c r="AG434" s="202" t="str">
        <f t="shared" si="493"/>
        <v xml:space="preserve"> </v>
      </c>
      <c r="AH434" s="172"/>
      <c r="AI434" s="173"/>
      <c r="AJ434" s="173"/>
      <c r="AK434" s="173"/>
      <c r="AL434" s="173"/>
      <c r="AM434" s="173"/>
      <c r="AN434" s="173"/>
      <c r="AO434" s="173"/>
      <c r="AP434" s="173"/>
      <c r="AQ434" s="173"/>
      <c r="AR434" s="173"/>
      <c r="AS434" s="173"/>
      <c r="AT434" s="173"/>
      <c r="AU434" s="173"/>
      <c r="AV434" s="173"/>
      <c r="AW434" s="173"/>
      <c r="AX434" s="173"/>
      <c r="AY434" s="173"/>
      <c r="AZ434" s="173"/>
      <c r="BA434" s="173"/>
      <c r="BB434" s="173"/>
      <c r="BC434" s="173"/>
      <c r="BD434" s="173"/>
      <c r="BE434" s="173"/>
      <c r="BF434" s="173"/>
      <c r="BG434" s="173"/>
      <c r="BH434" s="173"/>
      <c r="BI434" s="173"/>
      <c r="BJ434" s="173"/>
      <c r="BK434" s="173"/>
      <c r="BL434" s="173"/>
      <c r="BM434" s="173"/>
      <c r="BN434" s="173"/>
      <c r="BO434" s="173"/>
      <c r="BP434" s="173"/>
      <c r="BQ434" s="173"/>
      <c r="BR434" s="173"/>
      <c r="BS434" s="173"/>
      <c r="BT434" s="173"/>
      <c r="BU434" s="173"/>
      <c r="BV434" s="173"/>
      <c r="BW434" s="173"/>
      <c r="BX434" s="173"/>
      <c r="BY434" s="173"/>
      <c r="BZ434" s="173"/>
      <c r="CA434" s="173"/>
      <c r="CB434" s="173"/>
      <c r="CC434" s="173"/>
      <c r="CD434" s="173"/>
      <c r="CE434" s="173"/>
      <c r="CF434" s="173"/>
      <c r="CG434" s="173"/>
      <c r="CH434" s="173"/>
      <c r="CI434" s="173"/>
      <c r="CJ434" s="173"/>
      <c r="CK434" s="173"/>
      <c r="CL434" s="173"/>
      <c r="CM434" s="173"/>
      <c r="CN434" s="173"/>
      <c r="CO434" s="173"/>
      <c r="CP434" s="173"/>
      <c r="CQ434" s="173"/>
      <c r="CR434" s="173"/>
      <c r="CS434" s="173"/>
      <c r="CT434" s="173"/>
      <c r="CU434" s="173"/>
      <c r="CV434" s="173"/>
      <c r="CW434" s="173"/>
      <c r="CX434" s="173"/>
      <c r="CY434" s="151"/>
      <c r="CZ434" s="151"/>
      <c r="DA434" s="151"/>
      <c r="DB434" s="151"/>
      <c r="DC434" s="151"/>
      <c r="DD434" s="151"/>
      <c r="DE434" s="151"/>
      <c r="DF434" s="151"/>
      <c r="DG434" s="151"/>
      <c r="DH434" s="151"/>
      <c r="DI434" s="151"/>
      <c r="DJ434" s="151"/>
      <c r="DK434" s="151"/>
      <c r="DL434" s="151"/>
      <c r="DM434" s="151"/>
      <c r="DN434" s="151"/>
      <c r="DO434" s="151"/>
      <c r="DP434" s="151"/>
      <c r="DQ434" s="151"/>
      <c r="DR434" s="151"/>
      <c r="DS434" s="151"/>
      <c r="DT434" s="151"/>
      <c r="DU434" s="151"/>
      <c r="DV434" s="151"/>
      <c r="DW434" s="151"/>
      <c r="DX434" s="151"/>
      <c r="DY434" s="151"/>
      <c r="DZ434" s="151"/>
      <c r="EA434" s="151"/>
      <c r="EB434" s="151"/>
      <c r="EC434" s="151"/>
      <c r="ED434" s="151"/>
      <c r="EE434" s="151"/>
      <c r="EF434" s="151"/>
      <c r="EG434" s="151"/>
      <c r="EH434" s="151"/>
      <c r="EI434" s="151"/>
      <c r="EJ434" s="151"/>
      <c r="EK434" s="151"/>
      <c r="EL434" s="151"/>
      <c r="EM434" s="151"/>
      <c r="EN434" s="151"/>
      <c r="EO434" s="151"/>
      <c r="EP434" s="151"/>
      <c r="EQ434" s="151"/>
      <c r="ER434" s="151"/>
      <c r="ES434" s="151"/>
      <c r="ET434" s="151"/>
      <c r="EU434" s="151"/>
      <c r="EV434" s="151"/>
      <c r="EW434" s="151"/>
      <c r="EX434" s="151"/>
      <c r="EY434" s="151"/>
      <c r="EZ434" s="151"/>
      <c r="FA434" s="151"/>
      <c r="FB434" s="151"/>
      <c r="FC434" s="151"/>
      <c r="FD434" s="151"/>
      <c r="FE434" s="151"/>
      <c r="FF434" s="151"/>
      <c r="FG434" s="151"/>
      <c r="FH434" s="151"/>
      <c r="FI434" s="151"/>
      <c r="FJ434" s="151"/>
      <c r="FK434" s="151"/>
      <c r="FL434" s="151"/>
      <c r="FM434" s="151"/>
      <c r="FN434" s="151"/>
      <c r="FO434" s="151"/>
      <c r="FP434" s="151"/>
      <c r="FQ434" s="151"/>
      <c r="FR434" s="151"/>
      <c r="FS434" s="151"/>
      <c r="FT434" s="151"/>
      <c r="FU434" s="151"/>
      <c r="FV434" s="151"/>
      <c r="FW434" s="151"/>
      <c r="FX434" s="151"/>
      <c r="FY434" s="151"/>
      <c r="FZ434" s="151"/>
      <c r="GA434" s="151"/>
      <c r="GB434" s="151"/>
      <c r="GC434" s="151"/>
      <c r="GD434" s="151"/>
      <c r="GE434" s="151"/>
      <c r="GF434" s="151"/>
      <c r="GG434" s="152"/>
    </row>
    <row r="435" spans="1:189" x14ac:dyDescent="0.35">
      <c r="A435" s="268"/>
      <c r="B435" s="221"/>
      <c r="C435" s="221"/>
      <c r="D435" s="222"/>
      <c r="E435" s="221"/>
      <c r="F435" s="221"/>
      <c r="G435" s="223"/>
      <c r="H435" s="224"/>
      <c r="I435" s="225"/>
      <c r="J435" s="225"/>
      <c r="K435" s="225"/>
      <c r="L435" s="226"/>
      <c r="M435" s="226"/>
      <c r="N435" s="226"/>
      <c r="O435" s="226"/>
      <c r="P435" s="226"/>
      <c r="Q435" s="227"/>
      <c r="R435" s="228"/>
      <c r="S435" s="228"/>
      <c r="T435" s="228"/>
      <c r="U435" s="191">
        <f t="shared" si="483"/>
        <v>0</v>
      </c>
      <c r="V435" s="86"/>
      <c r="W435" s="45"/>
      <c r="X435" s="46"/>
      <c r="Y435" s="167">
        <f t="shared" si="484"/>
        <v>0</v>
      </c>
      <c r="Z435" s="167">
        <f t="shared" si="485"/>
        <v>0</v>
      </c>
      <c r="AA435" s="167">
        <f t="shared" si="486"/>
        <v>0</v>
      </c>
      <c r="AB435" s="167">
        <f t="shared" si="487"/>
        <v>0</v>
      </c>
      <c r="AC435" s="167">
        <f t="shared" si="488"/>
        <v>0</v>
      </c>
      <c r="AD435" s="167">
        <f t="shared" si="489"/>
        <v>0</v>
      </c>
      <c r="AF435" s="47">
        <f t="shared" si="492"/>
        <v>0</v>
      </c>
      <c r="AG435" s="202" t="str">
        <f t="shared" si="493"/>
        <v xml:space="preserve"> </v>
      </c>
      <c r="AH435" s="172"/>
      <c r="AI435" s="173"/>
      <c r="AJ435" s="173"/>
      <c r="AK435" s="173"/>
      <c r="AL435" s="173"/>
      <c r="AM435" s="173"/>
      <c r="AN435" s="173"/>
      <c r="AO435" s="173"/>
      <c r="AP435" s="173"/>
      <c r="AQ435" s="173"/>
      <c r="AR435" s="173"/>
      <c r="AS435" s="173"/>
      <c r="AT435" s="173"/>
      <c r="AU435" s="173"/>
      <c r="AV435" s="173"/>
      <c r="AW435" s="173"/>
      <c r="AX435" s="173"/>
      <c r="AY435" s="173"/>
      <c r="AZ435" s="173"/>
      <c r="BA435" s="173"/>
      <c r="BB435" s="173"/>
      <c r="BC435" s="173"/>
      <c r="BD435" s="173"/>
      <c r="BE435" s="173"/>
      <c r="BF435" s="173"/>
      <c r="BG435" s="173"/>
      <c r="BH435" s="173"/>
      <c r="BI435" s="173"/>
      <c r="BJ435" s="173"/>
      <c r="BK435" s="173"/>
      <c r="BL435" s="173"/>
      <c r="BM435" s="173"/>
      <c r="BN435" s="173"/>
      <c r="BO435" s="173"/>
      <c r="BP435" s="173"/>
      <c r="BQ435" s="173"/>
      <c r="BR435" s="173"/>
      <c r="BS435" s="173"/>
      <c r="BT435" s="173"/>
      <c r="BU435" s="173"/>
      <c r="BV435" s="173"/>
      <c r="BW435" s="173"/>
      <c r="BX435" s="173"/>
      <c r="BY435" s="173"/>
      <c r="BZ435" s="173"/>
      <c r="CA435" s="173"/>
      <c r="CB435" s="173"/>
      <c r="CC435" s="173"/>
      <c r="CD435" s="173"/>
      <c r="CE435" s="173"/>
      <c r="CF435" s="173"/>
      <c r="CG435" s="173"/>
      <c r="CH435" s="173"/>
      <c r="CI435" s="173"/>
      <c r="CJ435" s="173"/>
      <c r="CK435" s="173"/>
      <c r="CL435" s="173"/>
      <c r="CM435" s="173"/>
      <c r="CN435" s="173"/>
      <c r="CO435" s="173"/>
      <c r="CP435" s="173"/>
      <c r="CQ435" s="173"/>
      <c r="CR435" s="173"/>
      <c r="CS435" s="173"/>
      <c r="CT435" s="173"/>
      <c r="CU435" s="173"/>
      <c r="CV435" s="173"/>
      <c r="CW435" s="173"/>
      <c r="CX435" s="173"/>
      <c r="CY435" s="148"/>
      <c r="CZ435" s="148"/>
      <c r="DA435" s="148"/>
      <c r="DB435" s="148"/>
      <c r="DC435" s="148"/>
      <c r="DD435" s="148"/>
      <c r="DE435" s="148"/>
      <c r="DF435" s="148"/>
      <c r="DG435" s="148"/>
      <c r="DH435" s="148"/>
      <c r="DI435" s="148"/>
      <c r="DJ435" s="148"/>
      <c r="DK435" s="148"/>
      <c r="DL435" s="148"/>
      <c r="DM435" s="148"/>
      <c r="DN435" s="148"/>
      <c r="DO435" s="148"/>
      <c r="DP435" s="148"/>
      <c r="DQ435" s="148"/>
      <c r="DR435" s="148"/>
      <c r="DS435" s="148"/>
      <c r="DT435" s="148"/>
      <c r="DU435" s="148"/>
      <c r="DV435" s="148"/>
      <c r="DW435" s="148"/>
      <c r="DX435" s="148"/>
      <c r="DY435" s="148"/>
      <c r="DZ435" s="148"/>
      <c r="EA435" s="148"/>
      <c r="EB435" s="148"/>
      <c r="EC435" s="148"/>
      <c r="ED435" s="148"/>
      <c r="EE435" s="148"/>
      <c r="EF435" s="148"/>
      <c r="EG435" s="148"/>
      <c r="EH435" s="148"/>
      <c r="EI435" s="148"/>
      <c r="EJ435" s="148"/>
      <c r="EK435" s="148"/>
      <c r="EL435" s="148"/>
      <c r="EM435" s="148"/>
      <c r="EN435" s="148"/>
      <c r="EO435" s="148"/>
      <c r="EP435" s="148"/>
      <c r="EQ435" s="148"/>
      <c r="ER435" s="148"/>
      <c r="ES435" s="148"/>
      <c r="ET435" s="148"/>
      <c r="EU435" s="148"/>
      <c r="EV435" s="148"/>
      <c r="EW435" s="148"/>
      <c r="EX435" s="148"/>
      <c r="EY435" s="148"/>
      <c r="EZ435" s="148"/>
      <c r="FA435" s="148"/>
      <c r="FB435" s="148"/>
      <c r="FC435" s="148"/>
      <c r="FD435" s="148"/>
      <c r="FE435" s="148"/>
      <c r="FF435" s="148"/>
      <c r="FG435" s="148"/>
      <c r="FH435" s="148"/>
      <c r="FI435" s="148"/>
      <c r="FJ435" s="148"/>
      <c r="FK435" s="148"/>
      <c r="FL435" s="148"/>
      <c r="FM435" s="148"/>
      <c r="FN435" s="148"/>
      <c r="FO435" s="148"/>
      <c r="FP435" s="148"/>
      <c r="FQ435" s="148"/>
      <c r="FR435" s="148"/>
      <c r="FS435" s="148"/>
      <c r="FT435" s="148"/>
      <c r="FU435" s="148"/>
      <c r="FV435" s="148"/>
      <c r="FW435" s="148"/>
      <c r="FX435" s="148"/>
      <c r="FY435" s="148"/>
      <c r="FZ435" s="148"/>
      <c r="GA435" s="148"/>
      <c r="GB435" s="148"/>
      <c r="GC435" s="148"/>
      <c r="GD435" s="148"/>
      <c r="GE435" s="148"/>
      <c r="GF435" s="148"/>
      <c r="GG435" s="149"/>
    </row>
    <row r="436" spans="1:189" x14ac:dyDescent="0.35">
      <c r="A436" s="268"/>
      <c r="B436" s="221"/>
      <c r="C436" s="221"/>
      <c r="D436" s="222"/>
      <c r="E436" s="221"/>
      <c r="F436" s="221"/>
      <c r="G436" s="223"/>
      <c r="H436" s="224"/>
      <c r="I436" s="225"/>
      <c r="J436" s="225"/>
      <c r="K436" s="225"/>
      <c r="L436" s="226"/>
      <c r="M436" s="226"/>
      <c r="N436" s="226"/>
      <c r="O436" s="226"/>
      <c r="P436" s="226"/>
      <c r="Q436" s="227"/>
      <c r="R436" s="228"/>
      <c r="S436" s="228"/>
      <c r="T436" s="228"/>
      <c r="U436" s="191">
        <f t="shared" si="483"/>
        <v>0</v>
      </c>
      <c r="V436" s="86"/>
      <c r="W436" s="45"/>
      <c r="X436" s="46"/>
      <c r="Y436" s="167">
        <f t="shared" si="484"/>
        <v>0</v>
      </c>
      <c r="Z436" s="167">
        <f t="shared" si="485"/>
        <v>0</v>
      </c>
      <c r="AA436" s="167">
        <f t="shared" si="486"/>
        <v>0</v>
      </c>
      <c r="AB436" s="167">
        <f t="shared" si="487"/>
        <v>0</v>
      </c>
      <c r="AC436" s="167">
        <f t="shared" si="488"/>
        <v>0</v>
      </c>
      <c r="AD436" s="167">
        <f t="shared" si="489"/>
        <v>0</v>
      </c>
      <c r="AF436" s="47">
        <f t="shared" si="492"/>
        <v>0</v>
      </c>
      <c r="AG436" s="202" t="str">
        <f t="shared" si="493"/>
        <v xml:space="preserve"> </v>
      </c>
      <c r="AH436" s="172"/>
      <c r="AI436" s="173"/>
      <c r="AJ436" s="173"/>
      <c r="AK436" s="173"/>
      <c r="AL436" s="173"/>
      <c r="AM436" s="173"/>
      <c r="AN436" s="173"/>
      <c r="AO436" s="173"/>
      <c r="AP436" s="173"/>
      <c r="AQ436" s="173"/>
      <c r="AR436" s="173"/>
      <c r="AS436" s="173"/>
      <c r="AT436" s="173"/>
      <c r="AU436" s="173"/>
      <c r="AV436" s="173"/>
      <c r="AW436" s="173"/>
      <c r="AX436" s="173"/>
      <c r="AY436" s="173"/>
      <c r="AZ436" s="173"/>
      <c r="BA436" s="173"/>
      <c r="BB436" s="173"/>
      <c r="BC436" s="173"/>
      <c r="BD436" s="173"/>
      <c r="BE436" s="173"/>
      <c r="BF436" s="173"/>
      <c r="BG436" s="173"/>
      <c r="BH436" s="173"/>
      <c r="BI436" s="173"/>
      <c r="BJ436" s="173"/>
      <c r="BK436" s="173"/>
      <c r="BL436" s="173"/>
      <c r="BM436" s="173"/>
      <c r="BN436" s="173"/>
      <c r="BO436" s="173"/>
      <c r="BP436" s="173"/>
      <c r="BQ436" s="173"/>
      <c r="BR436" s="173"/>
      <c r="BS436" s="173"/>
      <c r="BT436" s="173"/>
      <c r="BU436" s="173"/>
      <c r="BV436" s="173"/>
      <c r="BW436" s="173"/>
      <c r="BX436" s="173"/>
      <c r="BY436" s="173"/>
      <c r="BZ436" s="173"/>
      <c r="CA436" s="173"/>
      <c r="CB436" s="173"/>
      <c r="CC436" s="173"/>
      <c r="CD436" s="173"/>
      <c r="CE436" s="173"/>
      <c r="CF436" s="173"/>
      <c r="CG436" s="173"/>
      <c r="CH436" s="173"/>
      <c r="CI436" s="173"/>
      <c r="CJ436" s="173"/>
      <c r="CK436" s="173"/>
      <c r="CL436" s="173"/>
      <c r="CM436" s="173"/>
      <c r="CN436" s="173"/>
      <c r="CO436" s="173"/>
      <c r="CP436" s="173"/>
      <c r="CQ436" s="173"/>
      <c r="CR436" s="173"/>
      <c r="CS436" s="173"/>
      <c r="CT436" s="173"/>
      <c r="CU436" s="173"/>
      <c r="CV436" s="173"/>
      <c r="CW436" s="173"/>
      <c r="CX436" s="173"/>
      <c r="CY436" s="151"/>
      <c r="CZ436" s="151"/>
      <c r="DA436" s="151"/>
      <c r="DB436" s="151"/>
      <c r="DC436" s="151"/>
      <c r="DD436" s="151"/>
      <c r="DE436" s="151"/>
      <c r="DF436" s="151"/>
      <c r="DG436" s="151"/>
      <c r="DH436" s="151"/>
      <c r="DI436" s="151"/>
      <c r="DJ436" s="151"/>
      <c r="DK436" s="151"/>
      <c r="DL436" s="151"/>
      <c r="DM436" s="151"/>
      <c r="DN436" s="151"/>
      <c r="DO436" s="151"/>
      <c r="DP436" s="151"/>
      <c r="DQ436" s="151"/>
      <c r="DR436" s="151"/>
      <c r="DS436" s="151"/>
      <c r="DT436" s="151"/>
      <c r="DU436" s="151"/>
      <c r="DV436" s="151"/>
      <c r="DW436" s="151"/>
      <c r="DX436" s="151"/>
      <c r="DY436" s="151"/>
      <c r="DZ436" s="151"/>
      <c r="EA436" s="151"/>
      <c r="EB436" s="151"/>
      <c r="EC436" s="151"/>
      <c r="ED436" s="151"/>
      <c r="EE436" s="151"/>
      <c r="EF436" s="151"/>
      <c r="EG436" s="151"/>
      <c r="EH436" s="151"/>
      <c r="EI436" s="151"/>
      <c r="EJ436" s="151"/>
      <c r="EK436" s="151"/>
      <c r="EL436" s="151"/>
      <c r="EM436" s="151"/>
      <c r="EN436" s="151"/>
      <c r="EO436" s="151"/>
      <c r="EP436" s="151"/>
      <c r="EQ436" s="151"/>
      <c r="ER436" s="151"/>
      <c r="ES436" s="151"/>
      <c r="ET436" s="151"/>
      <c r="EU436" s="151"/>
      <c r="EV436" s="151"/>
      <c r="EW436" s="151"/>
      <c r="EX436" s="151"/>
      <c r="EY436" s="151"/>
      <c r="EZ436" s="151"/>
      <c r="FA436" s="151"/>
      <c r="FB436" s="151"/>
      <c r="FC436" s="151"/>
      <c r="FD436" s="151"/>
      <c r="FE436" s="151"/>
      <c r="FF436" s="151"/>
      <c r="FG436" s="151"/>
      <c r="FH436" s="151"/>
      <c r="FI436" s="151"/>
      <c r="FJ436" s="151"/>
      <c r="FK436" s="151"/>
      <c r="FL436" s="151"/>
      <c r="FM436" s="151"/>
      <c r="FN436" s="151"/>
      <c r="FO436" s="151"/>
      <c r="FP436" s="151"/>
      <c r="FQ436" s="151"/>
      <c r="FR436" s="151"/>
      <c r="FS436" s="151"/>
      <c r="FT436" s="151"/>
      <c r="FU436" s="151"/>
      <c r="FV436" s="151"/>
      <c r="FW436" s="151"/>
      <c r="FX436" s="151"/>
      <c r="FY436" s="151"/>
      <c r="FZ436" s="151"/>
      <c r="GA436" s="151"/>
      <c r="GB436" s="151"/>
      <c r="GC436" s="151"/>
      <c r="GD436" s="151"/>
      <c r="GE436" s="151"/>
      <c r="GF436" s="151"/>
      <c r="GG436" s="152"/>
    </row>
    <row r="437" spans="1:189" x14ac:dyDescent="0.35">
      <c r="A437" s="268"/>
      <c r="B437" s="221"/>
      <c r="C437" s="221"/>
      <c r="D437" s="222"/>
      <c r="E437" s="221"/>
      <c r="F437" s="221"/>
      <c r="G437" s="223"/>
      <c r="H437" s="224"/>
      <c r="I437" s="225"/>
      <c r="J437" s="225"/>
      <c r="K437" s="225"/>
      <c r="L437" s="226"/>
      <c r="M437" s="226"/>
      <c r="N437" s="226"/>
      <c r="O437" s="226"/>
      <c r="P437" s="226"/>
      <c r="Q437" s="227"/>
      <c r="R437" s="228"/>
      <c r="S437" s="228"/>
      <c r="T437" s="228"/>
      <c r="U437" s="191">
        <f t="shared" si="483"/>
        <v>0</v>
      </c>
      <c r="V437" s="86"/>
      <c r="W437" s="45"/>
      <c r="X437" s="46"/>
      <c r="Y437" s="167">
        <f t="shared" si="484"/>
        <v>0</v>
      </c>
      <c r="Z437" s="167">
        <f t="shared" si="485"/>
        <v>0</v>
      </c>
      <c r="AA437" s="167">
        <f t="shared" si="486"/>
        <v>0</v>
      </c>
      <c r="AB437" s="167">
        <f t="shared" si="487"/>
        <v>0</v>
      </c>
      <c r="AC437" s="167">
        <f t="shared" si="488"/>
        <v>0</v>
      </c>
      <c r="AD437" s="167">
        <f t="shared" si="489"/>
        <v>0</v>
      </c>
      <c r="AF437" s="47">
        <f t="shared" si="492"/>
        <v>0</v>
      </c>
      <c r="AG437" s="202" t="str">
        <f t="shared" si="493"/>
        <v xml:space="preserve"> </v>
      </c>
      <c r="AH437" s="172"/>
      <c r="AI437" s="173"/>
      <c r="AJ437" s="173"/>
      <c r="AK437" s="173"/>
      <c r="AL437" s="173"/>
      <c r="AM437" s="173"/>
      <c r="AN437" s="173"/>
      <c r="AO437" s="173"/>
      <c r="AP437" s="173"/>
      <c r="AQ437" s="173"/>
      <c r="AR437" s="173"/>
      <c r="AS437" s="173"/>
      <c r="AT437" s="173"/>
      <c r="AU437" s="173"/>
      <c r="AV437" s="173"/>
      <c r="AW437" s="173"/>
      <c r="AX437" s="173"/>
      <c r="AY437" s="173"/>
      <c r="AZ437" s="173"/>
      <c r="BA437" s="173"/>
      <c r="BB437" s="173"/>
      <c r="BC437" s="173"/>
      <c r="BD437" s="173"/>
      <c r="BE437" s="173"/>
      <c r="BF437" s="173"/>
      <c r="BG437" s="173"/>
      <c r="BH437" s="173"/>
      <c r="BI437" s="173"/>
      <c r="BJ437" s="173"/>
      <c r="BK437" s="173"/>
      <c r="BL437" s="173"/>
      <c r="BM437" s="173"/>
      <c r="BN437" s="173"/>
      <c r="BO437" s="173"/>
      <c r="BP437" s="173"/>
      <c r="BQ437" s="173"/>
      <c r="BR437" s="173"/>
      <c r="BS437" s="173"/>
      <c r="BT437" s="173"/>
      <c r="BU437" s="173"/>
      <c r="BV437" s="173"/>
      <c r="BW437" s="173"/>
      <c r="BX437" s="173"/>
      <c r="BY437" s="173"/>
      <c r="BZ437" s="173"/>
      <c r="CA437" s="173"/>
      <c r="CB437" s="173"/>
      <c r="CC437" s="173"/>
      <c r="CD437" s="173"/>
      <c r="CE437" s="173"/>
      <c r="CF437" s="173"/>
      <c r="CG437" s="173"/>
      <c r="CH437" s="173"/>
      <c r="CI437" s="173"/>
      <c r="CJ437" s="173"/>
      <c r="CK437" s="173"/>
      <c r="CL437" s="173"/>
      <c r="CM437" s="173"/>
      <c r="CN437" s="173"/>
      <c r="CO437" s="173"/>
      <c r="CP437" s="173"/>
      <c r="CQ437" s="173"/>
      <c r="CR437" s="173"/>
      <c r="CS437" s="173"/>
      <c r="CT437" s="173"/>
      <c r="CU437" s="173"/>
      <c r="CV437" s="173"/>
      <c r="CW437" s="173"/>
      <c r="CX437" s="173"/>
      <c r="CY437" s="151"/>
      <c r="CZ437" s="151"/>
      <c r="DA437" s="151"/>
      <c r="DB437" s="151"/>
      <c r="DC437" s="151"/>
      <c r="DD437" s="151"/>
      <c r="DE437" s="151"/>
      <c r="DF437" s="151"/>
      <c r="DG437" s="151"/>
      <c r="DH437" s="151"/>
      <c r="DI437" s="151"/>
      <c r="DJ437" s="151"/>
      <c r="DK437" s="151"/>
      <c r="DL437" s="151"/>
      <c r="DM437" s="151"/>
      <c r="DN437" s="151"/>
      <c r="DO437" s="151"/>
      <c r="DP437" s="151"/>
      <c r="DQ437" s="151"/>
      <c r="DR437" s="151"/>
      <c r="DS437" s="151"/>
      <c r="DT437" s="151"/>
      <c r="DU437" s="151"/>
      <c r="DV437" s="151"/>
      <c r="DW437" s="151"/>
      <c r="DX437" s="151"/>
      <c r="DY437" s="151"/>
      <c r="DZ437" s="151"/>
      <c r="EA437" s="151"/>
      <c r="EB437" s="151"/>
      <c r="EC437" s="151"/>
      <c r="ED437" s="151"/>
      <c r="EE437" s="151"/>
      <c r="EF437" s="151"/>
      <c r="EG437" s="151"/>
      <c r="EH437" s="151"/>
      <c r="EI437" s="151"/>
      <c r="EJ437" s="151"/>
      <c r="EK437" s="151"/>
      <c r="EL437" s="151"/>
      <c r="EM437" s="151"/>
      <c r="EN437" s="151"/>
      <c r="EO437" s="151"/>
      <c r="EP437" s="151"/>
      <c r="EQ437" s="151"/>
      <c r="ER437" s="151"/>
      <c r="ES437" s="151"/>
      <c r="ET437" s="151"/>
      <c r="EU437" s="151"/>
      <c r="EV437" s="151"/>
      <c r="EW437" s="151"/>
      <c r="EX437" s="151"/>
      <c r="EY437" s="151"/>
      <c r="EZ437" s="151"/>
      <c r="FA437" s="151"/>
      <c r="FB437" s="151"/>
      <c r="FC437" s="151"/>
      <c r="FD437" s="151"/>
      <c r="FE437" s="151"/>
      <c r="FF437" s="151"/>
      <c r="FG437" s="151"/>
      <c r="FH437" s="151"/>
      <c r="FI437" s="151"/>
      <c r="FJ437" s="151"/>
      <c r="FK437" s="151"/>
      <c r="FL437" s="151"/>
      <c r="FM437" s="151"/>
      <c r="FN437" s="151"/>
      <c r="FO437" s="151"/>
      <c r="FP437" s="151"/>
      <c r="FQ437" s="151"/>
      <c r="FR437" s="151"/>
      <c r="FS437" s="151"/>
      <c r="FT437" s="151"/>
      <c r="FU437" s="151"/>
      <c r="FV437" s="151"/>
      <c r="FW437" s="151"/>
      <c r="FX437" s="151"/>
      <c r="FY437" s="151"/>
      <c r="FZ437" s="151"/>
      <c r="GA437" s="151"/>
      <c r="GB437" s="151"/>
      <c r="GC437" s="151"/>
      <c r="GD437" s="151"/>
      <c r="GE437" s="151"/>
      <c r="GF437" s="151"/>
      <c r="GG437" s="152"/>
    </row>
    <row r="438" spans="1:189" x14ac:dyDescent="0.35">
      <c r="A438" s="268"/>
      <c r="B438" s="221"/>
      <c r="C438" s="221"/>
      <c r="D438" s="222"/>
      <c r="E438" s="221"/>
      <c r="F438" s="221"/>
      <c r="G438" s="223"/>
      <c r="H438" s="224"/>
      <c r="I438" s="225"/>
      <c r="J438" s="225"/>
      <c r="K438" s="225"/>
      <c r="L438" s="226"/>
      <c r="M438" s="226"/>
      <c r="N438" s="226"/>
      <c r="O438" s="226"/>
      <c r="P438" s="226"/>
      <c r="Q438" s="227"/>
      <c r="R438" s="228"/>
      <c r="S438" s="228"/>
      <c r="T438" s="228"/>
      <c r="U438" s="191">
        <f t="shared" si="483"/>
        <v>0</v>
      </c>
      <c r="V438" s="86"/>
      <c r="W438" s="45"/>
      <c r="X438" s="46"/>
      <c r="Y438" s="167">
        <f t="shared" si="484"/>
        <v>0</v>
      </c>
      <c r="Z438" s="167">
        <f t="shared" si="485"/>
        <v>0</v>
      </c>
      <c r="AA438" s="167">
        <f t="shared" si="486"/>
        <v>0</v>
      </c>
      <c r="AB438" s="167">
        <f t="shared" si="487"/>
        <v>0</v>
      </c>
      <c r="AC438" s="167">
        <f t="shared" si="488"/>
        <v>0</v>
      </c>
      <c r="AD438" s="167">
        <f t="shared" si="489"/>
        <v>0</v>
      </c>
      <c r="AF438" s="47">
        <f t="shared" si="492"/>
        <v>0</v>
      </c>
      <c r="AG438" s="202" t="str">
        <f t="shared" si="493"/>
        <v xml:space="preserve"> </v>
      </c>
      <c r="AH438" s="172"/>
      <c r="AI438" s="173"/>
      <c r="AJ438" s="173"/>
      <c r="AK438" s="173"/>
      <c r="AL438" s="173"/>
      <c r="AM438" s="173"/>
      <c r="AN438" s="173"/>
      <c r="AO438" s="173"/>
      <c r="AP438" s="173"/>
      <c r="AQ438" s="173"/>
      <c r="AR438" s="173"/>
      <c r="AS438" s="173"/>
      <c r="AT438" s="173"/>
      <c r="AU438" s="173"/>
      <c r="AV438" s="173"/>
      <c r="AW438" s="173"/>
      <c r="AX438" s="173"/>
      <c r="AY438" s="173"/>
      <c r="AZ438" s="173"/>
      <c r="BA438" s="173"/>
      <c r="BB438" s="173"/>
      <c r="BC438" s="173"/>
      <c r="BD438" s="173"/>
      <c r="BE438" s="173"/>
      <c r="BF438" s="173"/>
      <c r="BG438" s="173"/>
      <c r="BH438" s="173"/>
      <c r="BI438" s="173"/>
      <c r="BJ438" s="173"/>
      <c r="BK438" s="173"/>
      <c r="BL438" s="173"/>
      <c r="BM438" s="173"/>
      <c r="BN438" s="173"/>
      <c r="BO438" s="173"/>
      <c r="BP438" s="173"/>
      <c r="BQ438" s="173"/>
      <c r="BR438" s="173"/>
      <c r="BS438" s="173"/>
      <c r="BT438" s="173"/>
      <c r="BU438" s="173"/>
      <c r="BV438" s="173"/>
      <c r="BW438" s="173"/>
      <c r="BX438" s="173"/>
      <c r="BY438" s="173"/>
      <c r="BZ438" s="173"/>
      <c r="CA438" s="173"/>
      <c r="CB438" s="173"/>
      <c r="CC438" s="173"/>
      <c r="CD438" s="173"/>
      <c r="CE438" s="173"/>
      <c r="CF438" s="173"/>
      <c r="CG438" s="173"/>
      <c r="CH438" s="173"/>
      <c r="CI438" s="173"/>
      <c r="CJ438" s="173"/>
      <c r="CK438" s="173"/>
      <c r="CL438" s="173"/>
      <c r="CM438" s="173"/>
      <c r="CN438" s="173"/>
      <c r="CO438" s="173"/>
      <c r="CP438" s="173"/>
      <c r="CQ438" s="173"/>
      <c r="CR438" s="173"/>
      <c r="CS438" s="173"/>
      <c r="CT438" s="173"/>
      <c r="CU438" s="173"/>
      <c r="CV438" s="173"/>
      <c r="CW438" s="173"/>
      <c r="CX438" s="173"/>
      <c r="CY438" s="151"/>
      <c r="CZ438" s="151"/>
      <c r="DA438" s="151"/>
      <c r="DB438" s="151"/>
      <c r="DC438" s="151"/>
      <c r="DD438" s="151"/>
      <c r="DE438" s="151"/>
      <c r="DF438" s="151"/>
      <c r="DG438" s="151"/>
      <c r="DH438" s="151"/>
      <c r="DI438" s="151"/>
      <c r="DJ438" s="151"/>
      <c r="DK438" s="151"/>
      <c r="DL438" s="151"/>
      <c r="DM438" s="151"/>
      <c r="DN438" s="151"/>
      <c r="DO438" s="151"/>
      <c r="DP438" s="151"/>
      <c r="DQ438" s="151"/>
      <c r="DR438" s="151"/>
      <c r="DS438" s="151"/>
      <c r="DT438" s="151"/>
      <c r="DU438" s="151"/>
      <c r="DV438" s="151"/>
      <c r="DW438" s="151"/>
      <c r="DX438" s="151"/>
      <c r="DY438" s="151"/>
      <c r="DZ438" s="151"/>
      <c r="EA438" s="151"/>
      <c r="EB438" s="151"/>
      <c r="EC438" s="151"/>
      <c r="ED438" s="151"/>
      <c r="EE438" s="151"/>
      <c r="EF438" s="151"/>
      <c r="EG438" s="151"/>
      <c r="EH438" s="151"/>
      <c r="EI438" s="151"/>
      <c r="EJ438" s="151"/>
      <c r="EK438" s="151"/>
      <c r="EL438" s="151"/>
      <c r="EM438" s="151"/>
      <c r="EN438" s="151"/>
      <c r="EO438" s="151"/>
      <c r="EP438" s="151"/>
      <c r="EQ438" s="151"/>
      <c r="ER438" s="151"/>
      <c r="ES438" s="151"/>
      <c r="ET438" s="151"/>
      <c r="EU438" s="151"/>
      <c r="EV438" s="151"/>
      <c r="EW438" s="151"/>
      <c r="EX438" s="151"/>
      <c r="EY438" s="151"/>
      <c r="EZ438" s="151"/>
      <c r="FA438" s="151"/>
      <c r="FB438" s="151"/>
      <c r="FC438" s="151"/>
      <c r="FD438" s="151"/>
      <c r="FE438" s="151"/>
      <c r="FF438" s="151"/>
      <c r="FG438" s="151"/>
      <c r="FH438" s="151"/>
      <c r="FI438" s="151"/>
      <c r="FJ438" s="151"/>
      <c r="FK438" s="151"/>
      <c r="FL438" s="151"/>
      <c r="FM438" s="151"/>
      <c r="FN438" s="151"/>
      <c r="FO438" s="151"/>
      <c r="FP438" s="151"/>
      <c r="FQ438" s="151"/>
      <c r="FR438" s="151"/>
      <c r="FS438" s="151"/>
      <c r="FT438" s="151"/>
      <c r="FU438" s="151"/>
      <c r="FV438" s="151"/>
      <c r="FW438" s="151"/>
      <c r="FX438" s="151"/>
      <c r="FY438" s="151"/>
      <c r="FZ438" s="151"/>
      <c r="GA438" s="151"/>
      <c r="GB438" s="151"/>
      <c r="GC438" s="151"/>
      <c r="GD438" s="151"/>
      <c r="GE438" s="151"/>
      <c r="GF438" s="151"/>
      <c r="GG438" s="152"/>
    </row>
    <row r="439" spans="1:189" x14ac:dyDescent="0.35">
      <c r="A439" s="268"/>
      <c r="B439" s="221"/>
      <c r="C439" s="221"/>
      <c r="D439" s="222"/>
      <c r="E439" s="221"/>
      <c r="F439" s="221"/>
      <c r="G439" s="223"/>
      <c r="H439" s="224"/>
      <c r="I439" s="225"/>
      <c r="J439" s="225"/>
      <c r="K439" s="225"/>
      <c r="L439" s="226"/>
      <c r="M439" s="226"/>
      <c r="N439" s="226"/>
      <c r="O439" s="226"/>
      <c r="P439" s="226"/>
      <c r="Q439" s="227"/>
      <c r="R439" s="228"/>
      <c r="S439" s="228"/>
      <c r="T439" s="228"/>
      <c r="U439" s="191">
        <f t="shared" si="483"/>
        <v>0</v>
      </c>
      <c r="V439" s="86"/>
      <c r="W439" s="45"/>
      <c r="X439" s="46"/>
      <c r="Y439" s="167">
        <f t="shared" si="484"/>
        <v>0</v>
      </c>
      <c r="Z439" s="167">
        <f t="shared" si="485"/>
        <v>0</v>
      </c>
      <c r="AA439" s="167">
        <f t="shared" si="486"/>
        <v>0</v>
      </c>
      <c r="AB439" s="167">
        <f t="shared" si="487"/>
        <v>0</v>
      </c>
      <c r="AC439" s="167">
        <f t="shared" si="488"/>
        <v>0</v>
      </c>
      <c r="AD439" s="167">
        <f t="shared" si="489"/>
        <v>0</v>
      </c>
      <c r="AF439" s="47">
        <f t="shared" si="492"/>
        <v>0</v>
      </c>
      <c r="AG439" s="202" t="str">
        <f t="shared" si="493"/>
        <v xml:space="preserve"> </v>
      </c>
      <c r="AH439" s="172"/>
      <c r="AI439" s="173"/>
      <c r="AJ439" s="173"/>
      <c r="AK439" s="173"/>
      <c r="AL439" s="173"/>
      <c r="AM439" s="173"/>
      <c r="AN439" s="173"/>
      <c r="AO439" s="173"/>
      <c r="AP439" s="173"/>
      <c r="AQ439" s="173"/>
      <c r="AR439" s="173"/>
      <c r="AS439" s="173"/>
      <c r="AT439" s="173"/>
      <c r="AU439" s="173"/>
      <c r="AV439" s="173"/>
      <c r="AW439" s="173"/>
      <c r="AX439" s="173"/>
      <c r="AY439" s="173"/>
      <c r="AZ439" s="173"/>
      <c r="BA439" s="173"/>
      <c r="BB439" s="173"/>
      <c r="BC439" s="173"/>
      <c r="BD439" s="173"/>
      <c r="BE439" s="173"/>
      <c r="BF439" s="173"/>
      <c r="BG439" s="173"/>
      <c r="BH439" s="173"/>
      <c r="BI439" s="173"/>
      <c r="BJ439" s="173"/>
      <c r="BK439" s="173"/>
      <c r="BL439" s="173"/>
      <c r="BM439" s="173"/>
      <c r="BN439" s="173"/>
      <c r="BO439" s="173"/>
      <c r="BP439" s="173"/>
      <c r="BQ439" s="173"/>
      <c r="BR439" s="173"/>
      <c r="BS439" s="173"/>
      <c r="BT439" s="173"/>
      <c r="BU439" s="173"/>
      <c r="BV439" s="173"/>
      <c r="BW439" s="173"/>
      <c r="BX439" s="173"/>
      <c r="BY439" s="173"/>
      <c r="BZ439" s="173"/>
      <c r="CA439" s="173"/>
      <c r="CB439" s="173"/>
      <c r="CC439" s="173"/>
      <c r="CD439" s="173"/>
      <c r="CE439" s="173"/>
      <c r="CF439" s="173"/>
      <c r="CG439" s="173"/>
      <c r="CH439" s="173"/>
      <c r="CI439" s="173"/>
      <c r="CJ439" s="173"/>
      <c r="CK439" s="173"/>
      <c r="CL439" s="173"/>
      <c r="CM439" s="173"/>
      <c r="CN439" s="173"/>
      <c r="CO439" s="173"/>
      <c r="CP439" s="173"/>
      <c r="CQ439" s="173"/>
      <c r="CR439" s="173"/>
      <c r="CS439" s="173"/>
      <c r="CT439" s="173"/>
      <c r="CU439" s="173"/>
      <c r="CV439" s="173"/>
      <c r="CW439" s="173"/>
      <c r="CX439" s="173"/>
      <c r="CY439" s="148"/>
      <c r="CZ439" s="148"/>
      <c r="DA439" s="148"/>
      <c r="DB439" s="148"/>
      <c r="DC439" s="148"/>
      <c r="DD439" s="148"/>
      <c r="DE439" s="148"/>
      <c r="DF439" s="148"/>
      <c r="DG439" s="148"/>
      <c r="DH439" s="148"/>
      <c r="DI439" s="148"/>
      <c r="DJ439" s="148"/>
      <c r="DK439" s="148"/>
      <c r="DL439" s="148"/>
      <c r="DM439" s="148"/>
      <c r="DN439" s="148"/>
      <c r="DO439" s="148"/>
      <c r="DP439" s="148"/>
      <c r="DQ439" s="148"/>
      <c r="DR439" s="148"/>
      <c r="DS439" s="148"/>
      <c r="DT439" s="148"/>
      <c r="DU439" s="148"/>
      <c r="DV439" s="148"/>
      <c r="DW439" s="148"/>
      <c r="DX439" s="148"/>
      <c r="DY439" s="148"/>
      <c r="DZ439" s="148"/>
      <c r="EA439" s="148"/>
      <c r="EB439" s="148"/>
      <c r="EC439" s="148"/>
      <c r="ED439" s="148"/>
      <c r="EE439" s="148"/>
      <c r="EF439" s="148"/>
      <c r="EG439" s="148"/>
      <c r="EH439" s="148"/>
      <c r="EI439" s="148"/>
      <c r="EJ439" s="148"/>
      <c r="EK439" s="148"/>
      <c r="EL439" s="148"/>
      <c r="EM439" s="148"/>
      <c r="EN439" s="148"/>
      <c r="EO439" s="148"/>
      <c r="EP439" s="148"/>
      <c r="EQ439" s="148"/>
      <c r="ER439" s="148"/>
      <c r="ES439" s="148"/>
      <c r="ET439" s="148"/>
      <c r="EU439" s="148"/>
      <c r="EV439" s="148"/>
      <c r="EW439" s="148"/>
      <c r="EX439" s="148"/>
      <c r="EY439" s="148"/>
      <c r="EZ439" s="148"/>
      <c r="FA439" s="148"/>
      <c r="FB439" s="148"/>
      <c r="FC439" s="148"/>
      <c r="FD439" s="148"/>
      <c r="FE439" s="148"/>
      <c r="FF439" s="148"/>
      <c r="FG439" s="148"/>
      <c r="FH439" s="148"/>
      <c r="FI439" s="148"/>
      <c r="FJ439" s="148"/>
      <c r="FK439" s="148"/>
      <c r="FL439" s="148"/>
      <c r="FM439" s="148"/>
      <c r="FN439" s="148"/>
      <c r="FO439" s="148"/>
      <c r="FP439" s="148"/>
      <c r="FQ439" s="148"/>
      <c r="FR439" s="148"/>
      <c r="FS439" s="148"/>
      <c r="FT439" s="148"/>
      <c r="FU439" s="148"/>
      <c r="FV439" s="148"/>
      <c r="FW439" s="148"/>
      <c r="FX439" s="148"/>
      <c r="FY439" s="148"/>
      <c r="FZ439" s="148"/>
      <c r="GA439" s="148"/>
      <c r="GB439" s="148"/>
      <c r="GC439" s="148"/>
      <c r="GD439" s="148"/>
      <c r="GE439" s="148"/>
      <c r="GF439" s="148"/>
      <c r="GG439" s="149"/>
    </row>
    <row r="440" spans="1:189" x14ac:dyDescent="0.35">
      <c r="A440" s="268"/>
      <c r="B440" s="221"/>
      <c r="C440" s="221"/>
      <c r="D440" s="222"/>
      <c r="E440" s="221"/>
      <c r="F440" s="221"/>
      <c r="G440" s="223"/>
      <c r="H440" s="224"/>
      <c r="I440" s="225"/>
      <c r="J440" s="225"/>
      <c r="K440" s="225"/>
      <c r="L440" s="226"/>
      <c r="M440" s="226"/>
      <c r="N440" s="226"/>
      <c r="O440" s="226"/>
      <c r="P440" s="226"/>
      <c r="Q440" s="227"/>
      <c r="R440" s="228"/>
      <c r="S440" s="228"/>
      <c r="T440" s="228"/>
      <c r="U440" s="191">
        <f t="shared" si="483"/>
        <v>0</v>
      </c>
      <c r="V440" s="86"/>
      <c r="W440" s="45"/>
      <c r="X440" s="46"/>
      <c r="Y440" s="167">
        <f t="shared" si="484"/>
        <v>0</v>
      </c>
      <c r="Z440" s="167">
        <f t="shared" si="485"/>
        <v>0</v>
      </c>
      <c r="AA440" s="167">
        <f t="shared" si="486"/>
        <v>0</v>
      </c>
      <c r="AB440" s="167">
        <f t="shared" si="487"/>
        <v>0</v>
      </c>
      <c r="AC440" s="167">
        <f t="shared" si="488"/>
        <v>0</v>
      </c>
      <c r="AD440" s="167">
        <f t="shared" si="489"/>
        <v>0</v>
      </c>
      <c r="AF440" s="47">
        <f t="shared" si="492"/>
        <v>0</v>
      </c>
      <c r="AG440" s="202" t="str">
        <f t="shared" si="493"/>
        <v xml:space="preserve"> </v>
      </c>
      <c r="AH440" s="172"/>
      <c r="AI440" s="173"/>
      <c r="AJ440" s="173"/>
      <c r="AK440" s="173"/>
      <c r="AL440" s="173"/>
      <c r="AM440" s="173"/>
      <c r="AN440" s="173"/>
      <c r="AO440" s="173"/>
      <c r="AP440" s="173"/>
      <c r="AQ440" s="173"/>
      <c r="AR440" s="173"/>
      <c r="AS440" s="173"/>
      <c r="AT440" s="173"/>
      <c r="AU440" s="173"/>
      <c r="AV440" s="173"/>
      <c r="AW440" s="173"/>
      <c r="AX440" s="173"/>
      <c r="AY440" s="173"/>
      <c r="AZ440" s="173"/>
      <c r="BA440" s="173"/>
      <c r="BB440" s="173"/>
      <c r="BC440" s="173"/>
      <c r="BD440" s="173"/>
      <c r="BE440" s="173"/>
      <c r="BF440" s="173"/>
      <c r="BG440" s="173"/>
      <c r="BH440" s="173"/>
      <c r="BI440" s="173"/>
      <c r="BJ440" s="173"/>
      <c r="BK440" s="173"/>
      <c r="BL440" s="173"/>
      <c r="BM440" s="173"/>
      <c r="BN440" s="173"/>
      <c r="BO440" s="173"/>
      <c r="BP440" s="173"/>
      <c r="BQ440" s="173"/>
      <c r="BR440" s="173"/>
      <c r="BS440" s="173"/>
      <c r="BT440" s="173"/>
      <c r="BU440" s="173"/>
      <c r="BV440" s="173"/>
      <c r="BW440" s="173"/>
      <c r="BX440" s="173"/>
      <c r="BY440" s="173"/>
      <c r="BZ440" s="173"/>
      <c r="CA440" s="173"/>
      <c r="CB440" s="173"/>
      <c r="CC440" s="173"/>
      <c r="CD440" s="173"/>
      <c r="CE440" s="173"/>
      <c r="CF440" s="173"/>
      <c r="CG440" s="173"/>
      <c r="CH440" s="173"/>
      <c r="CI440" s="173"/>
      <c r="CJ440" s="173"/>
      <c r="CK440" s="173"/>
      <c r="CL440" s="173"/>
      <c r="CM440" s="173"/>
      <c r="CN440" s="173"/>
      <c r="CO440" s="173"/>
      <c r="CP440" s="173"/>
      <c r="CQ440" s="173"/>
      <c r="CR440" s="173"/>
      <c r="CS440" s="173"/>
      <c r="CT440" s="173"/>
      <c r="CU440" s="173"/>
      <c r="CV440" s="173"/>
      <c r="CW440" s="173"/>
      <c r="CX440" s="173"/>
      <c r="CY440" s="151"/>
      <c r="CZ440" s="151"/>
      <c r="DA440" s="151"/>
      <c r="DB440" s="151"/>
      <c r="DC440" s="151"/>
      <c r="DD440" s="151"/>
      <c r="DE440" s="151"/>
      <c r="DF440" s="151"/>
      <c r="DG440" s="151"/>
      <c r="DH440" s="151"/>
      <c r="DI440" s="151"/>
      <c r="DJ440" s="151"/>
      <c r="DK440" s="151"/>
      <c r="DL440" s="151"/>
      <c r="DM440" s="151"/>
      <c r="DN440" s="151"/>
      <c r="DO440" s="151"/>
      <c r="DP440" s="151"/>
      <c r="DQ440" s="151"/>
      <c r="DR440" s="151"/>
      <c r="DS440" s="151"/>
      <c r="DT440" s="151"/>
      <c r="DU440" s="151"/>
      <c r="DV440" s="151"/>
      <c r="DW440" s="151"/>
      <c r="DX440" s="151"/>
      <c r="DY440" s="151"/>
      <c r="DZ440" s="151"/>
      <c r="EA440" s="151"/>
      <c r="EB440" s="151"/>
      <c r="EC440" s="151"/>
      <c r="ED440" s="151"/>
      <c r="EE440" s="151"/>
      <c r="EF440" s="151"/>
      <c r="EG440" s="151"/>
      <c r="EH440" s="151"/>
      <c r="EI440" s="151"/>
      <c r="EJ440" s="151"/>
      <c r="EK440" s="151"/>
      <c r="EL440" s="151"/>
      <c r="EM440" s="151"/>
      <c r="EN440" s="151"/>
      <c r="EO440" s="151"/>
      <c r="EP440" s="151"/>
      <c r="EQ440" s="151"/>
      <c r="ER440" s="151"/>
      <c r="ES440" s="151"/>
      <c r="ET440" s="151"/>
      <c r="EU440" s="151"/>
      <c r="EV440" s="151"/>
      <c r="EW440" s="151"/>
      <c r="EX440" s="151"/>
      <c r="EY440" s="151"/>
      <c r="EZ440" s="151"/>
      <c r="FA440" s="151"/>
      <c r="FB440" s="151"/>
      <c r="FC440" s="151"/>
      <c r="FD440" s="151"/>
      <c r="FE440" s="151"/>
      <c r="FF440" s="151"/>
      <c r="FG440" s="151"/>
      <c r="FH440" s="151"/>
      <c r="FI440" s="151"/>
      <c r="FJ440" s="151"/>
      <c r="FK440" s="151"/>
      <c r="FL440" s="151"/>
      <c r="FM440" s="151"/>
      <c r="FN440" s="151"/>
      <c r="FO440" s="151"/>
      <c r="FP440" s="151"/>
      <c r="FQ440" s="151"/>
      <c r="FR440" s="151"/>
      <c r="FS440" s="151"/>
      <c r="FT440" s="151"/>
      <c r="FU440" s="151"/>
      <c r="FV440" s="151"/>
      <c r="FW440" s="151"/>
      <c r="FX440" s="151"/>
      <c r="FY440" s="151"/>
      <c r="FZ440" s="151"/>
      <c r="GA440" s="151"/>
      <c r="GB440" s="151"/>
      <c r="GC440" s="151"/>
      <c r="GD440" s="151"/>
      <c r="GE440" s="151"/>
      <c r="GF440" s="151"/>
      <c r="GG440" s="152"/>
    </row>
    <row r="441" spans="1:189" x14ac:dyDescent="0.35">
      <c r="A441" s="268"/>
      <c r="B441" s="221"/>
      <c r="C441" s="221"/>
      <c r="D441" s="222"/>
      <c r="E441" s="221"/>
      <c r="F441" s="221"/>
      <c r="G441" s="223"/>
      <c r="H441" s="224"/>
      <c r="I441" s="225"/>
      <c r="J441" s="225"/>
      <c r="K441" s="225"/>
      <c r="L441" s="226"/>
      <c r="M441" s="226"/>
      <c r="N441" s="226"/>
      <c r="O441" s="226"/>
      <c r="P441" s="226"/>
      <c r="Q441" s="227"/>
      <c r="R441" s="228"/>
      <c r="S441" s="228"/>
      <c r="T441" s="228"/>
      <c r="U441" s="191">
        <f t="shared" ref="U441:U504" si="494">IF(Q441="",0,IF(T441="",0,+S441-T441))</f>
        <v>0</v>
      </c>
      <c r="V441" s="86"/>
      <c r="W441" s="45"/>
      <c r="X441" s="46"/>
      <c r="Y441" s="167">
        <f t="shared" ref="Y441:Y504" si="495">IF(G441=2,S441,0)</f>
        <v>0</v>
      </c>
      <c r="Z441" s="167">
        <f t="shared" ref="Z441:Z504" si="496">IF(Q441="",0,IF(G441=2,T441,0))</f>
        <v>0</v>
      </c>
      <c r="AA441" s="167">
        <f t="shared" ref="AA441:AA504" si="497">Y441-Z441</f>
        <v>0</v>
      </c>
      <c r="AB441" s="167">
        <f t="shared" ref="AB441:AB504" si="498">IF(G441=1,S441,0)</f>
        <v>0</v>
      </c>
      <c r="AC441" s="167">
        <f t="shared" ref="AC441:AC504" si="499">IF(Q441="",0,IF(G441=1,T441,0))</f>
        <v>0</v>
      </c>
      <c r="AD441" s="167">
        <f t="shared" ref="AD441:AD504" si="500">AB441-AC441</f>
        <v>0</v>
      </c>
      <c r="AF441" s="47">
        <f t="shared" si="492"/>
        <v>0</v>
      </c>
      <c r="AG441" s="202" t="str">
        <f t="shared" si="493"/>
        <v xml:space="preserve"> </v>
      </c>
      <c r="AH441" s="172"/>
      <c r="AI441" s="173"/>
      <c r="AJ441" s="173"/>
      <c r="AK441" s="173"/>
      <c r="AL441" s="173"/>
      <c r="AM441" s="173"/>
      <c r="AN441" s="173"/>
      <c r="AO441" s="173"/>
      <c r="AP441" s="173"/>
      <c r="AQ441" s="173"/>
      <c r="AR441" s="173"/>
      <c r="AS441" s="173"/>
      <c r="AT441" s="173"/>
      <c r="AU441" s="173"/>
      <c r="AV441" s="173"/>
      <c r="AW441" s="173"/>
      <c r="AX441" s="173"/>
      <c r="AY441" s="173"/>
      <c r="AZ441" s="173"/>
      <c r="BA441" s="173"/>
      <c r="BB441" s="173"/>
      <c r="BC441" s="173"/>
      <c r="BD441" s="173"/>
      <c r="BE441" s="173"/>
      <c r="BF441" s="173"/>
      <c r="BG441" s="173"/>
      <c r="BH441" s="173"/>
      <c r="BI441" s="173"/>
      <c r="BJ441" s="173"/>
      <c r="BK441" s="173"/>
      <c r="BL441" s="173"/>
      <c r="BM441" s="173"/>
      <c r="BN441" s="173"/>
      <c r="BO441" s="173"/>
      <c r="BP441" s="173"/>
      <c r="BQ441" s="173"/>
      <c r="BR441" s="173"/>
      <c r="BS441" s="173"/>
      <c r="BT441" s="173"/>
      <c r="BU441" s="173"/>
      <c r="BV441" s="173"/>
      <c r="BW441" s="173"/>
      <c r="BX441" s="173"/>
      <c r="BY441" s="173"/>
      <c r="BZ441" s="173"/>
      <c r="CA441" s="173"/>
      <c r="CB441" s="173"/>
      <c r="CC441" s="173"/>
      <c r="CD441" s="173"/>
      <c r="CE441" s="173"/>
      <c r="CF441" s="173"/>
      <c r="CG441" s="173"/>
      <c r="CH441" s="173"/>
      <c r="CI441" s="173"/>
      <c r="CJ441" s="173"/>
      <c r="CK441" s="173"/>
      <c r="CL441" s="173"/>
      <c r="CM441" s="173"/>
      <c r="CN441" s="173"/>
      <c r="CO441" s="173"/>
      <c r="CP441" s="173"/>
      <c r="CQ441" s="173"/>
      <c r="CR441" s="173"/>
      <c r="CS441" s="173"/>
      <c r="CT441" s="173"/>
      <c r="CU441" s="173"/>
      <c r="CV441" s="173"/>
      <c r="CW441" s="173"/>
      <c r="CX441" s="173"/>
      <c r="CY441" s="151"/>
      <c r="CZ441" s="151"/>
      <c r="DA441" s="151"/>
      <c r="DB441" s="151"/>
      <c r="DC441" s="151"/>
      <c r="DD441" s="151"/>
      <c r="DE441" s="151"/>
      <c r="DF441" s="151"/>
      <c r="DG441" s="151"/>
      <c r="DH441" s="151"/>
      <c r="DI441" s="151"/>
      <c r="DJ441" s="151"/>
      <c r="DK441" s="151"/>
      <c r="DL441" s="151"/>
      <c r="DM441" s="151"/>
      <c r="DN441" s="151"/>
      <c r="DO441" s="151"/>
      <c r="DP441" s="151"/>
      <c r="DQ441" s="151"/>
      <c r="DR441" s="151"/>
      <c r="DS441" s="151"/>
      <c r="DT441" s="151"/>
      <c r="DU441" s="151"/>
      <c r="DV441" s="151"/>
      <c r="DW441" s="151"/>
      <c r="DX441" s="151"/>
      <c r="DY441" s="151"/>
      <c r="DZ441" s="151"/>
      <c r="EA441" s="151"/>
      <c r="EB441" s="151"/>
      <c r="EC441" s="151"/>
      <c r="ED441" s="151"/>
      <c r="EE441" s="151"/>
      <c r="EF441" s="151"/>
      <c r="EG441" s="151"/>
      <c r="EH441" s="151"/>
      <c r="EI441" s="151"/>
      <c r="EJ441" s="151"/>
      <c r="EK441" s="151"/>
      <c r="EL441" s="151"/>
      <c r="EM441" s="151"/>
      <c r="EN441" s="151"/>
      <c r="EO441" s="151"/>
      <c r="EP441" s="151"/>
      <c r="EQ441" s="151"/>
      <c r="ER441" s="151"/>
      <c r="ES441" s="151"/>
      <c r="ET441" s="151"/>
      <c r="EU441" s="151"/>
      <c r="EV441" s="151"/>
      <c r="EW441" s="151"/>
      <c r="EX441" s="151"/>
      <c r="EY441" s="151"/>
      <c r="EZ441" s="151"/>
      <c r="FA441" s="151"/>
      <c r="FB441" s="151"/>
      <c r="FC441" s="151"/>
      <c r="FD441" s="151"/>
      <c r="FE441" s="151"/>
      <c r="FF441" s="151"/>
      <c r="FG441" s="151"/>
      <c r="FH441" s="151"/>
      <c r="FI441" s="151"/>
      <c r="FJ441" s="151"/>
      <c r="FK441" s="151"/>
      <c r="FL441" s="151"/>
      <c r="FM441" s="151"/>
      <c r="FN441" s="151"/>
      <c r="FO441" s="151"/>
      <c r="FP441" s="151"/>
      <c r="FQ441" s="151"/>
      <c r="FR441" s="151"/>
      <c r="FS441" s="151"/>
      <c r="FT441" s="151"/>
      <c r="FU441" s="151"/>
      <c r="FV441" s="151"/>
      <c r="FW441" s="151"/>
      <c r="FX441" s="151"/>
      <c r="FY441" s="151"/>
      <c r="FZ441" s="151"/>
      <c r="GA441" s="151"/>
      <c r="GB441" s="151"/>
      <c r="GC441" s="151"/>
      <c r="GD441" s="151"/>
      <c r="GE441" s="151"/>
      <c r="GF441" s="151"/>
      <c r="GG441" s="152"/>
    </row>
    <row r="442" spans="1:189" x14ac:dyDescent="0.35">
      <c r="A442" s="268"/>
      <c r="B442" s="221"/>
      <c r="C442" s="221"/>
      <c r="D442" s="222"/>
      <c r="E442" s="221"/>
      <c r="F442" s="221"/>
      <c r="G442" s="223"/>
      <c r="H442" s="224"/>
      <c r="I442" s="225"/>
      <c r="J442" s="225"/>
      <c r="K442" s="225"/>
      <c r="L442" s="226"/>
      <c r="M442" s="226"/>
      <c r="N442" s="226"/>
      <c r="O442" s="226"/>
      <c r="P442" s="226"/>
      <c r="Q442" s="227"/>
      <c r="R442" s="228"/>
      <c r="S442" s="228"/>
      <c r="T442" s="228"/>
      <c r="U442" s="191">
        <f t="shared" si="494"/>
        <v>0</v>
      </c>
      <c r="V442" s="86"/>
      <c r="W442" s="45"/>
      <c r="X442" s="46"/>
      <c r="Y442" s="167">
        <f t="shared" si="495"/>
        <v>0</v>
      </c>
      <c r="Z442" s="167">
        <f t="shared" si="496"/>
        <v>0</v>
      </c>
      <c r="AA442" s="167">
        <f t="shared" si="497"/>
        <v>0</v>
      </c>
      <c r="AB442" s="167">
        <f t="shared" si="498"/>
        <v>0</v>
      </c>
      <c r="AC442" s="167">
        <f t="shared" si="499"/>
        <v>0</v>
      </c>
      <c r="AD442" s="167">
        <f t="shared" si="500"/>
        <v>0</v>
      </c>
      <c r="AF442" s="47">
        <f t="shared" si="492"/>
        <v>0</v>
      </c>
      <c r="AG442" s="202" t="str">
        <f t="shared" si="493"/>
        <v xml:space="preserve"> </v>
      </c>
      <c r="AH442" s="172"/>
      <c r="AI442" s="173"/>
      <c r="AJ442" s="173"/>
      <c r="AK442" s="173"/>
      <c r="AL442" s="173"/>
      <c r="AM442" s="173"/>
      <c r="AN442" s="173"/>
      <c r="AO442" s="173"/>
      <c r="AP442" s="173"/>
      <c r="AQ442" s="173"/>
      <c r="AR442" s="173"/>
      <c r="AS442" s="173"/>
      <c r="AT442" s="173"/>
      <c r="AU442" s="173"/>
      <c r="AV442" s="173"/>
      <c r="AW442" s="173"/>
      <c r="AX442" s="173"/>
      <c r="AY442" s="173"/>
      <c r="AZ442" s="173"/>
      <c r="BA442" s="173"/>
      <c r="BB442" s="173"/>
      <c r="BC442" s="173"/>
      <c r="BD442" s="173"/>
      <c r="BE442" s="173"/>
      <c r="BF442" s="173"/>
      <c r="BG442" s="173"/>
      <c r="BH442" s="173"/>
      <c r="BI442" s="173"/>
      <c r="BJ442" s="173"/>
      <c r="BK442" s="173"/>
      <c r="BL442" s="173"/>
      <c r="BM442" s="173"/>
      <c r="BN442" s="173"/>
      <c r="BO442" s="173"/>
      <c r="BP442" s="173"/>
      <c r="BQ442" s="173"/>
      <c r="BR442" s="173"/>
      <c r="BS442" s="173"/>
      <c r="BT442" s="173"/>
      <c r="BU442" s="173"/>
      <c r="BV442" s="173"/>
      <c r="BW442" s="173"/>
      <c r="BX442" s="173"/>
      <c r="BY442" s="173"/>
      <c r="BZ442" s="173"/>
      <c r="CA442" s="173"/>
      <c r="CB442" s="173"/>
      <c r="CC442" s="173"/>
      <c r="CD442" s="173"/>
      <c r="CE442" s="173"/>
      <c r="CF442" s="173"/>
      <c r="CG442" s="173"/>
      <c r="CH442" s="173"/>
      <c r="CI442" s="173"/>
      <c r="CJ442" s="173"/>
      <c r="CK442" s="173"/>
      <c r="CL442" s="173"/>
      <c r="CM442" s="173"/>
      <c r="CN442" s="173"/>
      <c r="CO442" s="173"/>
      <c r="CP442" s="173"/>
      <c r="CQ442" s="173"/>
      <c r="CR442" s="173"/>
      <c r="CS442" s="173"/>
      <c r="CT442" s="173"/>
      <c r="CU442" s="173"/>
      <c r="CV442" s="173"/>
      <c r="CW442" s="173"/>
      <c r="CX442" s="173"/>
      <c r="CY442" s="151"/>
      <c r="CZ442" s="151"/>
      <c r="DA442" s="151"/>
      <c r="DB442" s="151"/>
      <c r="DC442" s="151"/>
      <c r="DD442" s="151"/>
      <c r="DE442" s="151"/>
      <c r="DF442" s="151"/>
      <c r="DG442" s="151"/>
      <c r="DH442" s="151"/>
      <c r="DI442" s="151"/>
      <c r="DJ442" s="151"/>
      <c r="DK442" s="151"/>
      <c r="DL442" s="151"/>
      <c r="DM442" s="151"/>
      <c r="DN442" s="151"/>
      <c r="DO442" s="151"/>
      <c r="DP442" s="151"/>
      <c r="DQ442" s="151"/>
      <c r="DR442" s="151"/>
      <c r="DS442" s="151"/>
      <c r="DT442" s="151"/>
      <c r="DU442" s="151"/>
      <c r="DV442" s="151"/>
      <c r="DW442" s="151"/>
      <c r="DX442" s="151"/>
      <c r="DY442" s="151"/>
      <c r="DZ442" s="151"/>
      <c r="EA442" s="151"/>
      <c r="EB442" s="151"/>
      <c r="EC442" s="151"/>
      <c r="ED442" s="151"/>
      <c r="EE442" s="151"/>
      <c r="EF442" s="151"/>
      <c r="EG442" s="151"/>
      <c r="EH442" s="151"/>
      <c r="EI442" s="151"/>
      <c r="EJ442" s="151"/>
      <c r="EK442" s="151"/>
      <c r="EL442" s="151"/>
      <c r="EM442" s="151"/>
      <c r="EN442" s="151"/>
      <c r="EO442" s="151"/>
      <c r="EP442" s="151"/>
      <c r="EQ442" s="151"/>
      <c r="ER442" s="151"/>
      <c r="ES442" s="151"/>
      <c r="ET442" s="151"/>
      <c r="EU442" s="151"/>
      <c r="EV442" s="151"/>
      <c r="EW442" s="151"/>
      <c r="EX442" s="151"/>
      <c r="EY442" s="151"/>
      <c r="EZ442" s="151"/>
      <c r="FA442" s="151"/>
      <c r="FB442" s="151"/>
      <c r="FC442" s="151"/>
      <c r="FD442" s="151"/>
      <c r="FE442" s="151"/>
      <c r="FF442" s="151"/>
      <c r="FG442" s="151"/>
      <c r="FH442" s="151"/>
      <c r="FI442" s="151"/>
      <c r="FJ442" s="151"/>
      <c r="FK442" s="151"/>
      <c r="FL442" s="151"/>
      <c r="FM442" s="151"/>
      <c r="FN442" s="151"/>
      <c r="FO442" s="151"/>
      <c r="FP442" s="151"/>
      <c r="FQ442" s="151"/>
      <c r="FR442" s="151"/>
      <c r="FS442" s="151"/>
      <c r="FT442" s="151"/>
      <c r="FU442" s="151"/>
      <c r="FV442" s="151"/>
      <c r="FW442" s="151"/>
      <c r="FX442" s="151"/>
      <c r="FY442" s="151"/>
      <c r="FZ442" s="151"/>
      <c r="GA442" s="151"/>
      <c r="GB442" s="151"/>
      <c r="GC442" s="151"/>
      <c r="GD442" s="151"/>
      <c r="GE442" s="151"/>
      <c r="GF442" s="151"/>
      <c r="GG442" s="152"/>
    </row>
    <row r="443" spans="1:189" x14ac:dyDescent="0.35">
      <c r="A443" s="268"/>
      <c r="B443" s="221"/>
      <c r="C443" s="221"/>
      <c r="D443" s="222"/>
      <c r="E443" s="221"/>
      <c r="F443" s="221"/>
      <c r="G443" s="223"/>
      <c r="H443" s="224"/>
      <c r="I443" s="225"/>
      <c r="J443" s="225"/>
      <c r="K443" s="225"/>
      <c r="L443" s="226"/>
      <c r="M443" s="226"/>
      <c r="N443" s="226"/>
      <c r="O443" s="226"/>
      <c r="P443" s="226"/>
      <c r="Q443" s="227"/>
      <c r="R443" s="228"/>
      <c r="S443" s="228"/>
      <c r="T443" s="228"/>
      <c r="U443" s="191">
        <f t="shared" si="494"/>
        <v>0</v>
      </c>
      <c r="V443" s="86"/>
      <c r="W443" s="45"/>
      <c r="X443" s="46"/>
      <c r="Y443" s="167">
        <f t="shared" si="495"/>
        <v>0</v>
      </c>
      <c r="Z443" s="167">
        <f t="shared" si="496"/>
        <v>0</v>
      </c>
      <c r="AA443" s="167">
        <f t="shared" si="497"/>
        <v>0</v>
      </c>
      <c r="AB443" s="167">
        <f t="shared" si="498"/>
        <v>0</v>
      </c>
      <c r="AC443" s="167">
        <f t="shared" si="499"/>
        <v>0</v>
      </c>
      <c r="AD443" s="167">
        <f t="shared" si="500"/>
        <v>0</v>
      </c>
      <c r="AF443" s="47">
        <f t="shared" si="492"/>
        <v>0</v>
      </c>
      <c r="AG443" s="202" t="str">
        <f t="shared" si="493"/>
        <v xml:space="preserve"> </v>
      </c>
      <c r="AH443" s="172"/>
      <c r="AI443" s="173"/>
      <c r="AJ443" s="173"/>
      <c r="AK443" s="173"/>
      <c r="AL443" s="173"/>
      <c r="AM443" s="173"/>
      <c r="AN443" s="173"/>
      <c r="AO443" s="173"/>
      <c r="AP443" s="173"/>
      <c r="AQ443" s="173"/>
      <c r="AR443" s="173"/>
      <c r="AS443" s="173"/>
      <c r="AT443" s="173"/>
      <c r="AU443" s="173"/>
      <c r="AV443" s="173"/>
      <c r="AW443" s="173"/>
      <c r="AX443" s="173"/>
      <c r="AY443" s="173"/>
      <c r="AZ443" s="173"/>
      <c r="BA443" s="173"/>
      <c r="BB443" s="173"/>
      <c r="BC443" s="173"/>
      <c r="BD443" s="173"/>
      <c r="BE443" s="173"/>
      <c r="BF443" s="173"/>
      <c r="BG443" s="173"/>
      <c r="BH443" s="173"/>
      <c r="BI443" s="173"/>
      <c r="BJ443" s="173"/>
      <c r="BK443" s="173"/>
      <c r="BL443" s="173"/>
      <c r="BM443" s="173"/>
      <c r="BN443" s="173"/>
      <c r="BO443" s="173"/>
      <c r="BP443" s="173"/>
      <c r="BQ443" s="173"/>
      <c r="BR443" s="173"/>
      <c r="BS443" s="173"/>
      <c r="BT443" s="173"/>
      <c r="BU443" s="173"/>
      <c r="BV443" s="173"/>
      <c r="BW443" s="173"/>
      <c r="BX443" s="173"/>
      <c r="BY443" s="173"/>
      <c r="BZ443" s="173"/>
      <c r="CA443" s="173"/>
      <c r="CB443" s="173"/>
      <c r="CC443" s="173"/>
      <c r="CD443" s="173"/>
      <c r="CE443" s="173"/>
      <c r="CF443" s="173"/>
      <c r="CG443" s="173"/>
      <c r="CH443" s="173"/>
      <c r="CI443" s="173"/>
      <c r="CJ443" s="173"/>
      <c r="CK443" s="173"/>
      <c r="CL443" s="173"/>
      <c r="CM443" s="173"/>
      <c r="CN443" s="173"/>
      <c r="CO443" s="173"/>
      <c r="CP443" s="173"/>
      <c r="CQ443" s="173"/>
      <c r="CR443" s="173"/>
      <c r="CS443" s="173"/>
      <c r="CT443" s="173"/>
      <c r="CU443" s="173"/>
      <c r="CV443" s="173"/>
      <c r="CW443" s="173"/>
      <c r="CX443" s="173"/>
      <c r="CY443" s="148"/>
      <c r="CZ443" s="148"/>
      <c r="DA443" s="148"/>
      <c r="DB443" s="148"/>
      <c r="DC443" s="148"/>
      <c r="DD443" s="148"/>
      <c r="DE443" s="148"/>
      <c r="DF443" s="148"/>
      <c r="DG443" s="148"/>
      <c r="DH443" s="148"/>
      <c r="DI443" s="148"/>
      <c r="DJ443" s="148"/>
      <c r="DK443" s="148"/>
      <c r="DL443" s="148"/>
      <c r="DM443" s="148"/>
      <c r="DN443" s="148"/>
      <c r="DO443" s="148"/>
      <c r="DP443" s="148"/>
      <c r="DQ443" s="148"/>
      <c r="DR443" s="148"/>
      <c r="DS443" s="148"/>
      <c r="DT443" s="148"/>
      <c r="DU443" s="148"/>
      <c r="DV443" s="148"/>
      <c r="DW443" s="148"/>
      <c r="DX443" s="148"/>
      <c r="DY443" s="148"/>
      <c r="DZ443" s="148"/>
      <c r="EA443" s="148"/>
      <c r="EB443" s="148"/>
      <c r="EC443" s="148"/>
      <c r="ED443" s="148"/>
      <c r="EE443" s="148"/>
      <c r="EF443" s="148"/>
      <c r="EG443" s="148"/>
      <c r="EH443" s="148"/>
      <c r="EI443" s="148"/>
      <c r="EJ443" s="148"/>
      <c r="EK443" s="148"/>
      <c r="EL443" s="148"/>
      <c r="EM443" s="148"/>
      <c r="EN443" s="148"/>
      <c r="EO443" s="148"/>
      <c r="EP443" s="148"/>
      <c r="EQ443" s="148"/>
      <c r="ER443" s="148"/>
      <c r="ES443" s="148"/>
      <c r="ET443" s="148"/>
      <c r="EU443" s="148"/>
      <c r="EV443" s="148"/>
      <c r="EW443" s="148"/>
      <c r="EX443" s="148"/>
      <c r="EY443" s="148"/>
      <c r="EZ443" s="148"/>
      <c r="FA443" s="148"/>
      <c r="FB443" s="148"/>
      <c r="FC443" s="148"/>
      <c r="FD443" s="148"/>
      <c r="FE443" s="148"/>
      <c r="FF443" s="148"/>
      <c r="FG443" s="148"/>
      <c r="FH443" s="148"/>
      <c r="FI443" s="148"/>
      <c r="FJ443" s="148"/>
      <c r="FK443" s="148"/>
      <c r="FL443" s="148"/>
      <c r="FM443" s="148"/>
      <c r="FN443" s="148"/>
      <c r="FO443" s="148"/>
      <c r="FP443" s="148"/>
      <c r="FQ443" s="148"/>
      <c r="FR443" s="148"/>
      <c r="FS443" s="148"/>
      <c r="FT443" s="148"/>
      <c r="FU443" s="148"/>
      <c r="FV443" s="148"/>
      <c r="FW443" s="148"/>
      <c r="FX443" s="148"/>
      <c r="FY443" s="148"/>
      <c r="FZ443" s="148"/>
      <c r="GA443" s="148"/>
      <c r="GB443" s="148"/>
      <c r="GC443" s="148"/>
      <c r="GD443" s="148"/>
      <c r="GE443" s="148"/>
      <c r="GF443" s="148"/>
      <c r="GG443" s="149"/>
    </row>
    <row r="444" spans="1:189" x14ac:dyDescent="0.35">
      <c r="A444" s="268"/>
      <c r="B444" s="221"/>
      <c r="C444" s="221"/>
      <c r="D444" s="222"/>
      <c r="E444" s="221"/>
      <c r="F444" s="221"/>
      <c r="G444" s="223"/>
      <c r="H444" s="224"/>
      <c r="I444" s="225"/>
      <c r="J444" s="225"/>
      <c r="K444" s="225"/>
      <c r="L444" s="226"/>
      <c r="M444" s="226"/>
      <c r="N444" s="226"/>
      <c r="O444" s="226"/>
      <c r="P444" s="226"/>
      <c r="Q444" s="227"/>
      <c r="R444" s="228"/>
      <c r="S444" s="228"/>
      <c r="T444" s="228"/>
      <c r="U444" s="191">
        <f t="shared" si="494"/>
        <v>0</v>
      </c>
      <c r="V444" s="86"/>
      <c r="W444" s="45"/>
      <c r="X444" s="46"/>
      <c r="Y444" s="167">
        <f t="shared" si="495"/>
        <v>0</v>
      </c>
      <c r="Z444" s="167">
        <f t="shared" si="496"/>
        <v>0</v>
      </c>
      <c r="AA444" s="167">
        <f t="shared" si="497"/>
        <v>0</v>
      </c>
      <c r="AB444" s="167">
        <f t="shared" si="498"/>
        <v>0</v>
      </c>
      <c r="AC444" s="167">
        <f t="shared" si="499"/>
        <v>0</v>
      </c>
      <c r="AD444" s="167">
        <f t="shared" si="500"/>
        <v>0</v>
      </c>
      <c r="AF444" s="47">
        <f t="shared" si="492"/>
        <v>0</v>
      </c>
      <c r="AG444" s="202" t="str">
        <f t="shared" si="493"/>
        <v xml:space="preserve"> </v>
      </c>
      <c r="AH444" s="172"/>
      <c r="AI444" s="173"/>
      <c r="AJ444" s="173"/>
      <c r="AK444" s="173"/>
      <c r="AL444" s="173"/>
      <c r="AM444" s="173"/>
      <c r="AN444" s="173"/>
      <c r="AO444" s="173"/>
      <c r="AP444" s="173"/>
      <c r="AQ444" s="173"/>
      <c r="AR444" s="173"/>
      <c r="AS444" s="173"/>
      <c r="AT444" s="173"/>
      <c r="AU444" s="173"/>
      <c r="AV444" s="173"/>
      <c r="AW444" s="173"/>
      <c r="AX444" s="173"/>
      <c r="AY444" s="173"/>
      <c r="AZ444" s="173"/>
      <c r="BA444" s="173"/>
      <c r="BB444" s="173"/>
      <c r="BC444" s="173"/>
      <c r="BD444" s="173"/>
      <c r="BE444" s="173"/>
      <c r="BF444" s="173"/>
      <c r="BG444" s="173"/>
      <c r="BH444" s="173"/>
      <c r="BI444" s="173"/>
      <c r="BJ444" s="173"/>
      <c r="BK444" s="173"/>
      <c r="BL444" s="173"/>
      <c r="BM444" s="173"/>
      <c r="BN444" s="173"/>
      <c r="BO444" s="173"/>
      <c r="BP444" s="173"/>
      <c r="BQ444" s="173"/>
      <c r="BR444" s="173"/>
      <c r="BS444" s="173"/>
      <c r="BT444" s="173"/>
      <c r="BU444" s="173"/>
      <c r="BV444" s="173"/>
      <c r="BW444" s="173"/>
      <c r="BX444" s="173"/>
      <c r="BY444" s="173"/>
      <c r="BZ444" s="173"/>
      <c r="CA444" s="173"/>
      <c r="CB444" s="173"/>
      <c r="CC444" s="173"/>
      <c r="CD444" s="173"/>
      <c r="CE444" s="173"/>
      <c r="CF444" s="173"/>
      <c r="CG444" s="173"/>
      <c r="CH444" s="173"/>
      <c r="CI444" s="173"/>
      <c r="CJ444" s="173"/>
      <c r="CK444" s="173"/>
      <c r="CL444" s="173"/>
      <c r="CM444" s="173"/>
      <c r="CN444" s="173"/>
      <c r="CO444" s="173"/>
      <c r="CP444" s="173"/>
      <c r="CQ444" s="173"/>
      <c r="CR444" s="173"/>
      <c r="CS444" s="173"/>
      <c r="CT444" s="173"/>
      <c r="CU444" s="173"/>
      <c r="CV444" s="173"/>
      <c r="CW444" s="173"/>
      <c r="CX444" s="173"/>
      <c r="CY444" s="151"/>
      <c r="CZ444" s="151"/>
      <c r="DA444" s="151"/>
      <c r="DB444" s="151"/>
      <c r="DC444" s="151"/>
      <c r="DD444" s="151"/>
      <c r="DE444" s="151"/>
      <c r="DF444" s="151"/>
      <c r="DG444" s="151"/>
      <c r="DH444" s="151"/>
      <c r="DI444" s="151"/>
      <c r="DJ444" s="151"/>
      <c r="DK444" s="151"/>
      <c r="DL444" s="151"/>
      <c r="DM444" s="151"/>
      <c r="DN444" s="151"/>
      <c r="DO444" s="151"/>
      <c r="DP444" s="151"/>
      <c r="DQ444" s="151"/>
      <c r="DR444" s="151"/>
      <c r="DS444" s="151"/>
      <c r="DT444" s="151"/>
      <c r="DU444" s="151"/>
      <c r="DV444" s="151"/>
      <c r="DW444" s="151"/>
      <c r="DX444" s="151"/>
      <c r="DY444" s="151"/>
      <c r="DZ444" s="151"/>
      <c r="EA444" s="151"/>
      <c r="EB444" s="151"/>
      <c r="EC444" s="151"/>
      <c r="ED444" s="151"/>
      <c r="EE444" s="151"/>
      <c r="EF444" s="151"/>
      <c r="EG444" s="151"/>
      <c r="EH444" s="151"/>
      <c r="EI444" s="151"/>
      <c r="EJ444" s="151"/>
      <c r="EK444" s="151"/>
      <c r="EL444" s="151"/>
      <c r="EM444" s="151"/>
      <c r="EN444" s="151"/>
      <c r="EO444" s="151"/>
      <c r="EP444" s="151"/>
      <c r="EQ444" s="151"/>
      <c r="ER444" s="151"/>
      <c r="ES444" s="151"/>
      <c r="ET444" s="151"/>
      <c r="EU444" s="151"/>
      <c r="EV444" s="151"/>
      <c r="EW444" s="151"/>
      <c r="EX444" s="151"/>
      <c r="EY444" s="151"/>
      <c r="EZ444" s="151"/>
      <c r="FA444" s="151"/>
      <c r="FB444" s="151"/>
      <c r="FC444" s="151"/>
      <c r="FD444" s="151"/>
      <c r="FE444" s="151"/>
      <c r="FF444" s="151"/>
      <c r="FG444" s="151"/>
      <c r="FH444" s="151"/>
      <c r="FI444" s="151"/>
      <c r="FJ444" s="151"/>
      <c r="FK444" s="151"/>
      <c r="FL444" s="151"/>
      <c r="FM444" s="151"/>
      <c r="FN444" s="151"/>
      <c r="FO444" s="151"/>
      <c r="FP444" s="151"/>
      <c r="FQ444" s="151"/>
      <c r="FR444" s="151"/>
      <c r="FS444" s="151"/>
      <c r="FT444" s="151"/>
      <c r="FU444" s="151"/>
      <c r="FV444" s="151"/>
      <c r="FW444" s="151"/>
      <c r="FX444" s="151"/>
      <c r="FY444" s="151"/>
      <c r="FZ444" s="151"/>
      <c r="GA444" s="151"/>
      <c r="GB444" s="151"/>
      <c r="GC444" s="151"/>
      <c r="GD444" s="151"/>
      <c r="GE444" s="151"/>
      <c r="GF444" s="151"/>
      <c r="GG444" s="152"/>
    </row>
    <row r="445" spans="1:189" x14ac:dyDescent="0.35">
      <c r="A445" s="268"/>
      <c r="B445" s="221"/>
      <c r="C445" s="221"/>
      <c r="D445" s="222"/>
      <c r="E445" s="221"/>
      <c r="F445" s="221"/>
      <c r="G445" s="223"/>
      <c r="H445" s="224"/>
      <c r="I445" s="225"/>
      <c r="J445" s="225"/>
      <c r="K445" s="225"/>
      <c r="L445" s="226"/>
      <c r="M445" s="226"/>
      <c r="N445" s="226"/>
      <c r="O445" s="226"/>
      <c r="P445" s="226"/>
      <c r="Q445" s="227"/>
      <c r="R445" s="228"/>
      <c r="S445" s="228"/>
      <c r="T445" s="228"/>
      <c r="U445" s="191">
        <f t="shared" si="494"/>
        <v>0</v>
      </c>
      <c r="V445" s="86"/>
      <c r="W445" s="45"/>
      <c r="X445" s="46"/>
      <c r="Y445" s="167">
        <f t="shared" si="495"/>
        <v>0</v>
      </c>
      <c r="Z445" s="167">
        <f t="shared" si="496"/>
        <v>0</v>
      </c>
      <c r="AA445" s="167">
        <f t="shared" si="497"/>
        <v>0</v>
      </c>
      <c r="AB445" s="167">
        <f t="shared" si="498"/>
        <v>0</v>
      </c>
      <c r="AC445" s="167">
        <f t="shared" si="499"/>
        <v>0</v>
      </c>
      <c r="AD445" s="167">
        <f t="shared" si="500"/>
        <v>0</v>
      </c>
      <c r="AF445" s="47">
        <f t="shared" si="492"/>
        <v>0</v>
      </c>
      <c r="AG445" s="202" t="str">
        <f t="shared" si="493"/>
        <v xml:space="preserve"> </v>
      </c>
      <c r="AH445" s="172"/>
      <c r="AI445" s="173"/>
      <c r="AJ445" s="173"/>
      <c r="AK445" s="173"/>
      <c r="AL445" s="173"/>
      <c r="AM445" s="173"/>
      <c r="AN445" s="173"/>
      <c r="AO445" s="173"/>
      <c r="AP445" s="173"/>
      <c r="AQ445" s="173"/>
      <c r="AR445" s="173"/>
      <c r="AS445" s="173"/>
      <c r="AT445" s="173"/>
      <c r="AU445" s="173"/>
      <c r="AV445" s="173"/>
      <c r="AW445" s="173"/>
      <c r="AX445" s="173"/>
      <c r="AY445" s="173"/>
      <c r="AZ445" s="173"/>
      <c r="BA445" s="173"/>
      <c r="BB445" s="173"/>
      <c r="BC445" s="173"/>
      <c r="BD445" s="173"/>
      <c r="BE445" s="173"/>
      <c r="BF445" s="173"/>
      <c r="BG445" s="173"/>
      <c r="BH445" s="173"/>
      <c r="BI445" s="173"/>
      <c r="BJ445" s="173"/>
      <c r="BK445" s="173"/>
      <c r="BL445" s="173"/>
      <c r="BM445" s="173"/>
      <c r="BN445" s="173"/>
      <c r="BO445" s="173"/>
      <c r="BP445" s="173"/>
      <c r="BQ445" s="173"/>
      <c r="BR445" s="173"/>
      <c r="BS445" s="173"/>
      <c r="BT445" s="173"/>
      <c r="BU445" s="173"/>
      <c r="BV445" s="173"/>
      <c r="BW445" s="173"/>
      <c r="BX445" s="173"/>
      <c r="BY445" s="173"/>
      <c r="BZ445" s="173"/>
      <c r="CA445" s="173"/>
      <c r="CB445" s="173"/>
      <c r="CC445" s="173"/>
      <c r="CD445" s="173"/>
      <c r="CE445" s="173"/>
      <c r="CF445" s="173"/>
      <c r="CG445" s="173"/>
      <c r="CH445" s="173"/>
      <c r="CI445" s="173"/>
      <c r="CJ445" s="173"/>
      <c r="CK445" s="173"/>
      <c r="CL445" s="173"/>
      <c r="CM445" s="173"/>
      <c r="CN445" s="173"/>
      <c r="CO445" s="173"/>
      <c r="CP445" s="173"/>
      <c r="CQ445" s="173"/>
      <c r="CR445" s="173"/>
      <c r="CS445" s="173"/>
      <c r="CT445" s="173"/>
      <c r="CU445" s="173"/>
      <c r="CV445" s="173"/>
      <c r="CW445" s="173"/>
      <c r="CX445" s="173"/>
      <c r="CY445" s="151"/>
      <c r="CZ445" s="151"/>
      <c r="DA445" s="151"/>
      <c r="DB445" s="151"/>
      <c r="DC445" s="151"/>
      <c r="DD445" s="151"/>
      <c r="DE445" s="151"/>
      <c r="DF445" s="151"/>
      <c r="DG445" s="151"/>
      <c r="DH445" s="151"/>
      <c r="DI445" s="151"/>
      <c r="DJ445" s="151"/>
      <c r="DK445" s="151"/>
      <c r="DL445" s="151"/>
      <c r="DM445" s="151"/>
      <c r="DN445" s="151"/>
      <c r="DO445" s="151"/>
      <c r="DP445" s="151"/>
      <c r="DQ445" s="151"/>
      <c r="DR445" s="151"/>
      <c r="DS445" s="151"/>
      <c r="DT445" s="151"/>
      <c r="DU445" s="151"/>
      <c r="DV445" s="151"/>
      <c r="DW445" s="151"/>
      <c r="DX445" s="151"/>
      <c r="DY445" s="151"/>
      <c r="DZ445" s="151"/>
      <c r="EA445" s="151"/>
      <c r="EB445" s="151"/>
      <c r="EC445" s="151"/>
      <c r="ED445" s="151"/>
      <c r="EE445" s="151"/>
      <c r="EF445" s="151"/>
      <c r="EG445" s="151"/>
      <c r="EH445" s="151"/>
      <c r="EI445" s="151"/>
      <c r="EJ445" s="151"/>
      <c r="EK445" s="151"/>
      <c r="EL445" s="151"/>
      <c r="EM445" s="151"/>
      <c r="EN445" s="151"/>
      <c r="EO445" s="151"/>
      <c r="EP445" s="151"/>
      <c r="EQ445" s="151"/>
      <c r="ER445" s="151"/>
      <c r="ES445" s="151"/>
      <c r="ET445" s="151"/>
      <c r="EU445" s="151"/>
      <c r="EV445" s="151"/>
      <c r="EW445" s="151"/>
      <c r="EX445" s="151"/>
      <c r="EY445" s="151"/>
      <c r="EZ445" s="151"/>
      <c r="FA445" s="151"/>
      <c r="FB445" s="151"/>
      <c r="FC445" s="151"/>
      <c r="FD445" s="151"/>
      <c r="FE445" s="151"/>
      <c r="FF445" s="151"/>
      <c r="FG445" s="151"/>
      <c r="FH445" s="151"/>
      <c r="FI445" s="151"/>
      <c r="FJ445" s="151"/>
      <c r="FK445" s="151"/>
      <c r="FL445" s="151"/>
      <c r="FM445" s="151"/>
      <c r="FN445" s="151"/>
      <c r="FO445" s="151"/>
      <c r="FP445" s="151"/>
      <c r="FQ445" s="151"/>
      <c r="FR445" s="151"/>
      <c r="FS445" s="151"/>
      <c r="FT445" s="151"/>
      <c r="FU445" s="151"/>
      <c r="FV445" s="151"/>
      <c r="FW445" s="151"/>
      <c r="FX445" s="151"/>
      <c r="FY445" s="151"/>
      <c r="FZ445" s="151"/>
      <c r="GA445" s="151"/>
      <c r="GB445" s="151"/>
      <c r="GC445" s="151"/>
      <c r="GD445" s="151"/>
      <c r="GE445" s="151"/>
      <c r="GF445" s="151"/>
      <c r="GG445" s="152"/>
    </row>
    <row r="446" spans="1:189" x14ac:dyDescent="0.35">
      <c r="A446" s="268"/>
      <c r="B446" s="221"/>
      <c r="C446" s="221"/>
      <c r="D446" s="222"/>
      <c r="E446" s="221"/>
      <c r="F446" s="221"/>
      <c r="G446" s="223"/>
      <c r="H446" s="224"/>
      <c r="I446" s="225"/>
      <c r="J446" s="225"/>
      <c r="K446" s="225"/>
      <c r="L446" s="226"/>
      <c r="M446" s="226"/>
      <c r="N446" s="226"/>
      <c r="O446" s="226"/>
      <c r="P446" s="226"/>
      <c r="Q446" s="227"/>
      <c r="R446" s="228"/>
      <c r="S446" s="228"/>
      <c r="T446" s="228"/>
      <c r="U446" s="191">
        <f t="shared" si="494"/>
        <v>0</v>
      </c>
      <c r="V446" s="86"/>
      <c r="W446" s="45"/>
      <c r="X446" s="46"/>
      <c r="Y446" s="167">
        <f t="shared" si="495"/>
        <v>0</v>
      </c>
      <c r="Z446" s="167">
        <f t="shared" si="496"/>
        <v>0</v>
      </c>
      <c r="AA446" s="167">
        <f t="shared" si="497"/>
        <v>0</v>
      </c>
      <c r="AB446" s="167">
        <f t="shared" si="498"/>
        <v>0</v>
      </c>
      <c r="AC446" s="167">
        <f t="shared" si="499"/>
        <v>0</v>
      </c>
      <c r="AD446" s="167">
        <f t="shared" si="500"/>
        <v>0</v>
      </c>
      <c r="AF446" s="47">
        <f t="shared" si="492"/>
        <v>0</v>
      </c>
      <c r="AG446" s="202" t="str">
        <f t="shared" si="493"/>
        <v xml:space="preserve"> </v>
      </c>
      <c r="AH446" s="172"/>
      <c r="AI446" s="173"/>
      <c r="AJ446" s="173"/>
      <c r="AK446" s="173"/>
      <c r="AL446" s="173"/>
      <c r="AM446" s="173"/>
      <c r="AN446" s="173"/>
      <c r="AO446" s="173"/>
      <c r="AP446" s="173"/>
      <c r="AQ446" s="173"/>
      <c r="AR446" s="173"/>
      <c r="AS446" s="173"/>
      <c r="AT446" s="173"/>
      <c r="AU446" s="173"/>
      <c r="AV446" s="173"/>
      <c r="AW446" s="173"/>
      <c r="AX446" s="173"/>
      <c r="AY446" s="173"/>
      <c r="AZ446" s="173"/>
      <c r="BA446" s="173"/>
      <c r="BB446" s="173"/>
      <c r="BC446" s="173"/>
      <c r="BD446" s="173"/>
      <c r="BE446" s="173"/>
      <c r="BF446" s="173"/>
      <c r="BG446" s="173"/>
      <c r="BH446" s="173"/>
      <c r="BI446" s="173"/>
      <c r="BJ446" s="173"/>
      <c r="BK446" s="173"/>
      <c r="BL446" s="173"/>
      <c r="BM446" s="173"/>
      <c r="BN446" s="173"/>
      <c r="BO446" s="173"/>
      <c r="BP446" s="173"/>
      <c r="BQ446" s="173"/>
      <c r="BR446" s="173"/>
      <c r="BS446" s="173"/>
      <c r="BT446" s="173"/>
      <c r="BU446" s="173"/>
      <c r="BV446" s="173"/>
      <c r="BW446" s="173"/>
      <c r="BX446" s="173"/>
      <c r="BY446" s="173"/>
      <c r="BZ446" s="173"/>
      <c r="CA446" s="173"/>
      <c r="CB446" s="173"/>
      <c r="CC446" s="173"/>
      <c r="CD446" s="173"/>
      <c r="CE446" s="173"/>
      <c r="CF446" s="173"/>
      <c r="CG446" s="173"/>
      <c r="CH446" s="173"/>
      <c r="CI446" s="173"/>
      <c r="CJ446" s="173"/>
      <c r="CK446" s="173"/>
      <c r="CL446" s="173"/>
      <c r="CM446" s="173"/>
      <c r="CN446" s="173"/>
      <c r="CO446" s="173"/>
      <c r="CP446" s="173"/>
      <c r="CQ446" s="173"/>
      <c r="CR446" s="173"/>
      <c r="CS446" s="173"/>
      <c r="CT446" s="173"/>
      <c r="CU446" s="173"/>
      <c r="CV446" s="173"/>
      <c r="CW446" s="173"/>
      <c r="CX446" s="173"/>
      <c r="CY446" s="151"/>
      <c r="CZ446" s="151"/>
      <c r="DA446" s="151"/>
      <c r="DB446" s="151"/>
      <c r="DC446" s="151"/>
      <c r="DD446" s="151"/>
      <c r="DE446" s="151"/>
      <c r="DF446" s="151"/>
      <c r="DG446" s="151"/>
      <c r="DH446" s="151"/>
      <c r="DI446" s="151"/>
      <c r="DJ446" s="151"/>
      <c r="DK446" s="151"/>
      <c r="DL446" s="151"/>
      <c r="DM446" s="151"/>
      <c r="DN446" s="151"/>
      <c r="DO446" s="151"/>
      <c r="DP446" s="151"/>
      <c r="DQ446" s="151"/>
      <c r="DR446" s="151"/>
      <c r="DS446" s="151"/>
      <c r="DT446" s="151"/>
      <c r="DU446" s="151"/>
      <c r="DV446" s="151"/>
      <c r="DW446" s="151"/>
      <c r="DX446" s="151"/>
      <c r="DY446" s="151"/>
      <c r="DZ446" s="151"/>
      <c r="EA446" s="151"/>
      <c r="EB446" s="151"/>
      <c r="EC446" s="151"/>
      <c r="ED446" s="151"/>
      <c r="EE446" s="151"/>
      <c r="EF446" s="151"/>
      <c r="EG446" s="151"/>
      <c r="EH446" s="151"/>
      <c r="EI446" s="151"/>
      <c r="EJ446" s="151"/>
      <c r="EK446" s="151"/>
      <c r="EL446" s="151"/>
      <c r="EM446" s="151"/>
      <c r="EN446" s="151"/>
      <c r="EO446" s="151"/>
      <c r="EP446" s="151"/>
      <c r="EQ446" s="151"/>
      <c r="ER446" s="151"/>
      <c r="ES446" s="151"/>
      <c r="ET446" s="151"/>
      <c r="EU446" s="151"/>
      <c r="EV446" s="151"/>
      <c r="EW446" s="151"/>
      <c r="EX446" s="151"/>
      <c r="EY446" s="151"/>
      <c r="EZ446" s="151"/>
      <c r="FA446" s="151"/>
      <c r="FB446" s="151"/>
      <c r="FC446" s="151"/>
      <c r="FD446" s="151"/>
      <c r="FE446" s="151"/>
      <c r="FF446" s="151"/>
      <c r="FG446" s="151"/>
      <c r="FH446" s="151"/>
      <c r="FI446" s="151"/>
      <c r="FJ446" s="151"/>
      <c r="FK446" s="151"/>
      <c r="FL446" s="151"/>
      <c r="FM446" s="151"/>
      <c r="FN446" s="151"/>
      <c r="FO446" s="151"/>
      <c r="FP446" s="151"/>
      <c r="FQ446" s="151"/>
      <c r="FR446" s="151"/>
      <c r="FS446" s="151"/>
      <c r="FT446" s="151"/>
      <c r="FU446" s="151"/>
      <c r="FV446" s="151"/>
      <c r="FW446" s="151"/>
      <c r="FX446" s="151"/>
      <c r="FY446" s="151"/>
      <c r="FZ446" s="151"/>
      <c r="GA446" s="151"/>
      <c r="GB446" s="151"/>
      <c r="GC446" s="151"/>
      <c r="GD446" s="151"/>
      <c r="GE446" s="151"/>
      <c r="GF446" s="151"/>
      <c r="GG446" s="152"/>
    </row>
    <row r="447" spans="1:189" x14ac:dyDescent="0.35">
      <c r="A447" s="268"/>
      <c r="B447" s="221"/>
      <c r="C447" s="221"/>
      <c r="D447" s="222"/>
      <c r="E447" s="221"/>
      <c r="F447" s="221"/>
      <c r="G447" s="223"/>
      <c r="H447" s="224"/>
      <c r="I447" s="225"/>
      <c r="J447" s="225"/>
      <c r="K447" s="225"/>
      <c r="L447" s="226"/>
      <c r="M447" s="226"/>
      <c r="N447" s="226"/>
      <c r="O447" s="226"/>
      <c r="P447" s="226"/>
      <c r="Q447" s="227"/>
      <c r="R447" s="228"/>
      <c r="S447" s="228"/>
      <c r="T447" s="228"/>
      <c r="U447" s="191">
        <f t="shared" si="494"/>
        <v>0</v>
      </c>
      <c r="V447" s="86"/>
      <c r="W447" s="45"/>
      <c r="X447" s="46"/>
      <c r="Y447" s="167">
        <f t="shared" si="495"/>
        <v>0</v>
      </c>
      <c r="Z447" s="167">
        <f t="shared" si="496"/>
        <v>0</v>
      </c>
      <c r="AA447" s="167">
        <f t="shared" si="497"/>
        <v>0</v>
      </c>
      <c r="AB447" s="167">
        <f t="shared" si="498"/>
        <v>0</v>
      </c>
      <c r="AC447" s="167">
        <f t="shared" si="499"/>
        <v>0</v>
      </c>
      <c r="AD447" s="167">
        <f t="shared" si="500"/>
        <v>0</v>
      </c>
      <c r="AF447" s="47">
        <f t="shared" si="492"/>
        <v>0</v>
      </c>
      <c r="AG447" s="202" t="str">
        <f t="shared" si="493"/>
        <v xml:space="preserve"> </v>
      </c>
      <c r="AH447" s="172"/>
      <c r="AI447" s="173"/>
      <c r="AJ447" s="173"/>
      <c r="AK447" s="173"/>
      <c r="AL447" s="173"/>
      <c r="AM447" s="173"/>
      <c r="AN447" s="173"/>
      <c r="AO447" s="173"/>
      <c r="AP447" s="173"/>
      <c r="AQ447" s="173"/>
      <c r="AR447" s="173"/>
      <c r="AS447" s="173"/>
      <c r="AT447" s="173"/>
      <c r="AU447" s="173"/>
      <c r="AV447" s="173"/>
      <c r="AW447" s="173"/>
      <c r="AX447" s="173"/>
      <c r="AY447" s="173"/>
      <c r="AZ447" s="173"/>
      <c r="BA447" s="173"/>
      <c r="BB447" s="173"/>
      <c r="BC447" s="173"/>
      <c r="BD447" s="173"/>
      <c r="BE447" s="173"/>
      <c r="BF447" s="173"/>
      <c r="BG447" s="173"/>
      <c r="BH447" s="173"/>
      <c r="BI447" s="173"/>
      <c r="BJ447" s="173"/>
      <c r="BK447" s="173"/>
      <c r="BL447" s="173"/>
      <c r="BM447" s="173"/>
      <c r="BN447" s="173"/>
      <c r="BO447" s="173"/>
      <c r="BP447" s="173"/>
      <c r="BQ447" s="173"/>
      <c r="BR447" s="173"/>
      <c r="BS447" s="173"/>
      <c r="BT447" s="173"/>
      <c r="BU447" s="173"/>
      <c r="BV447" s="173"/>
      <c r="BW447" s="173"/>
      <c r="BX447" s="173"/>
      <c r="BY447" s="173"/>
      <c r="BZ447" s="173"/>
      <c r="CA447" s="173"/>
      <c r="CB447" s="173"/>
      <c r="CC447" s="173"/>
      <c r="CD447" s="173"/>
      <c r="CE447" s="173"/>
      <c r="CF447" s="173"/>
      <c r="CG447" s="173"/>
      <c r="CH447" s="173"/>
      <c r="CI447" s="173"/>
      <c r="CJ447" s="173"/>
      <c r="CK447" s="173"/>
      <c r="CL447" s="173"/>
      <c r="CM447" s="173"/>
      <c r="CN447" s="173"/>
      <c r="CO447" s="173"/>
      <c r="CP447" s="173"/>
      <c r="CQ447" s="173"/>
      <c r="CR447" s="173"/>
      <c r="CS447" s="173"/>
      <c r="CT447" s="173"/>
      <c r="CU447" s="173"/>
      <c r="CV447" s="173"/>
      <c r="CW447" s="173"/>
      <c r="CX447" s="173"/>
      <c r="CY447" s="148"/>
      <c r="CZ447" s="148"/>
      <c r="DA447" s="148"/>
      <c r="DB447" s="148"/>
      <c r="DC447" s="148"/>
      <c r="DD447" s="148"/>
      <c r="DE447" s="148"/>
      <c r="DF447" s="148"/>
      <c r="DG447" s="148"/>
      <c r="DH447" s="148"/>
      <c r="DI447" s="148"/>
      <c r="DJ447" s="148"/>
      <c r="DK447" s="148"/>
      <c r="DL447" s="148"/>
      <c r="DM447" s="148"/>
      <c r="DN447" s="148"/>
      <c r="DO447" s="148"/>
      <c r="DP447" s="148"/>
      <c r="DQ447" s="148"/>
      <c r="DR447" s="148"/>
      <c r="DS447" s="148"/>
      <c r="DT447" s="148"/>
      <c r="DU447" s="148"/>
      <c r="DV447" s="148"/>
      <c r="DW447" s="148"/>
      <c r="DX447" s="148"/>
      <c r="DY447" s="148"/>
      <c r="DZ447" s="148"/>
      <c r="EA447" s="148"/>
      <c r="EB447" s="148"/>
      <c r="EC447" s="148"/>
      <c r="ED447" s="148"/>
      <c r="EE447" s="148"/>
      <c r="EF447" s="148"/>
      <c r="EG447" s="148"/>
      <c r="EH447" s="148"/>
      <c r="EI447" s="148"/>
      <c r="EJ447" s="148"/>
      <c r="EK447" s="148"/>
      <c r="EL447" s="148"/>
      <c r="EM447" s="148"/>
      <c r="EN447" s="148"/>
      <c r="EO447" s="148"/>
      <c r="EP447" s="148"/>
      <c r="EQ447" s="148"/>
      <c r="ER447" s="148"/>
      <c r="ES447" s="148"/>
      <c r="ET447" s="148"/>
      <c r="EU447" s="148"/>
      <c r="EV447" s="148"/>
      <c r="EW447" s="148"/>
      <c r="EX447" s="148"/>
      <c r="EY447" s="148"/>
      <c r="EZ447" s="148"/>
      <c r="FA447" s="148"/>
      <c r="FB447" s="148"/>
      <c r="FC447" s="148"/>
      <c r="FD447" s="148"/>
      <c r="FE447" s="148"/>
      <c r="FF447" s="148"/>
      <c r="FG447" s="148"/>
      <c r="FH447" s="148"/>
      <c r="FI447" s="148"/>
      <c r="FJ447" s="148"/>
      <c r="FK447" s="148"/>
      <c r="FL447" s="148"/>
      <c r="FM447" s="148"/>
      <c r="FN447" s="148"/>
      <c r="FO447" s="148"/>
      <c r="FP447" s="148"/>
      <c r="FQ447" s="148"/>
      <c r="FR447" s="148"/>
      <c r="FS447" s="148"/>
      <c r="FT447" s="148"/>
      <c r="FU447" s="148"/>
      <c r="FV447" s="148"/>
      <c r="FW447" s="148"/>
      <c r="FX447" s="148"/>
      <c r="FY447" s="148"/>
      <c r="FZ447" s="148"/>
      <c r="GA447" s="148"/>
      <c r="GB447" s="148"/>
      <c r="GC447" s="148"/>
      <c r="GD447" s="148"/>
      <c r="GE447" s="148"/>
      <c r="GF447" s="148"/>
      <c r="GG447" s="149"/>
    </row>
    <row r="448" spans="1:189" x14ac:dyDescent="0.35">
      <c r="A448" s="268"/>
      <c r="B448" s="221"/>
      <c r="C448" s="221"/>
      <c r="D448" s="222"/>
      <c r="E448" s="221"/>
      <c r="F448" s="221"/>
      <c r="G448" s="223"/>
      <c r="H448" s="224"/>
      <c r="I448" s="225"/>
      <c r="J448" s="225"/>
      <c r="K448" s="225"/>
      <c r="L448" s="226"/>
      <c r="M448" s="226"/>
      <c r="N448" s="226"/>
      <c r="O448" s="226"/>
      <c r="P448" s="226"/>
      <c r="Q448" s="227"/>
      <c r="R448" s="228"/>
      <c r="S448" s="228"/>
      <c r="T448" s="228"/>
      <c r="U448" s="191">
        <f t="shared" si="494"/>
        <v>0</v>
      </c>
      <c r="V448" s="86"/>
      <c r="W448" s="45"/>
      <c r="X448" s="46"/>
      <c r="Y448" s="167">
        <f t="shared" si="495"/>
        <v>0</v>
      </c>
      <c r="Z448" s="167">
        <f t="shared" si="496"/>
        <v>0</v>
      </c>
      <c r="AA448" s="167">
        <f t="shared" si="497"/>
        <v>0</v>
      </c>
      <c r="AB448" s="167">
        <f t="shared" si="498"/>
        <v>0</v>
      </c>
      <c r="AC448" s="167">
        <f t="shared" si="499"/>
        <v>0</v>
      </c>
      <c r="AD448" s="167">
        <f t="shared" si="500"/>
        <v>0</v>
      </c>
      <c r="AF448" s="47">
        <f t="shared" si="492"/>
        <v>0</v>
      </c>
      <c r="AG448" s="202" t="str">
        <f t="shared" si="493"/>
        <v xml:space="preserve"> </v>
      </c>
      <c r="AH448" s="172"/>
      <c r="AI448" s="173"/>
      <c r="AJ448" s="173"/>
      <c r="AK448" s="173"/>
      <c r="AL448" s="173"/>
      <c r="AM448" s="173"/>
      <c r="AN448" s="173"/>
      <c r="AO448" s="173"/>
      <c r="AP448" s="173"/>
      <c r="AQ448" s="173"/>
      <c r="AR448" s="173"/>
      <c r="AS448" s="173"/>
      <c r="AT448" s="173"/>
      <c r="AU448" s="173"/>
      <c r="AV448" s="173"/>
      <c r="AW448" s="173"/>
      <c r="AX448" s="173"/>
      <c r="AY448" s="173"/>
      <c r="AZ448" s="173"/>
      <c r="BA448" s="173"/>
      <c r="BB448" s="173"/>
      <c r="BC448" s="173"/>
      <c r="BD448" s="173"/>
      <c r="BE448" s="173"/>
      <c r="BF448" s="173"/>
      <c r="BG448" s="173"/>
      <c r="BH448" s="173"/>
      <c r="BI448" s="173"/>
      <c r="BJ448" s="173"/>
      <c r="BK448" s="173"/>
      <c r="BL448" s="173"/>
      <c r="BM448" s="173"/>
      <c r="BN448" s="173"/>
      <c r="BO448" s="173"/>
      <c r="BP448" s="173"/>
      <c r="BQ448" s="173"/>
      <c r="BR448" s="173"/>
      <c r="BS448" s="173"/>
      <c r="BT448" s="173"/>
      <c r="BU448" s="173"/>
      <c r="BV448" s="173"/>
      <c r="BW448" s="173"/>
      <c r="BX448" s="173"/>
      <c r="BY448" s="173"/>
      <c r="BZ448" s="173"/>
      <c r="CA448" s="173"/>
      <c r="CB448" s="173"/>
      <c r="CC448" s="173"/>
      <c r="CD448" s="173"/>
      <c r="CE448" s="173"/>
      <c r="CF448" s="173"/>
      <c r="CG448" s="173"/>
      <c r="CH448" s="173"/>
      <c r="CI448" s="173"/>
      <c r="CJ448" s="173"/>
      <c r="CK448" s="173"/>
      <c r="CL448" s="173"/>
      <c r="CM448" s="173"/>
      <c r="CN448" s="173"/>
      <c r="CO448" s="173"/>
      <c r="CP448" s="173"/>
      <c r="CQ448" s="173"/>
      <c r="CR448" s="173"/>
      <c r="CS448" s="173"/>
      <c r="CT448" s="173"/>
      <c r="CU448" s="173"/>
      <c r="CV448" s="173"/>
      <c r="CW448" s="173"/>
      <c r="CX448" s="173"/>
      <c r="CY448" s="151"/>
      <c r="CZ448" s="151"/>
      <c r="DA448" s="151"/>
      <c r="DB448" s="151"/>
      <c r="DC448" s="151"/>
      <c r="DD448" s="151"/>
      <c r="DE448" s="151"/>
      <c r="DF448" s="151"/>
      <c r="DG448" s="151"/>
      <c r="DH448" s="151"/>
      <c r="DI448" s="151"/>
      <c r="DJ448" s="151"/>
      <c r="DK448" s="151"/>
      <c r="DL448" s="151"/>
      <c r="DM448" s="151"/>
      <c r="DN448" s="151"/>
      <c r="DO448" s="151"/>
      <c r="DP448" s="151"/>
      <c r="DQ448" s="151"/>
      <c r="DR448" s="151"/>
      <c r="DS448" s="151"/>
      <c r="DT448" s="151"/>
      <c r="DU448" s="151"/>
      <c r="DV448" s="151"/>
      <c r="DW448" s="151"/>
      <c r="DX448" s="151"/>
      <c r="DY448" s="151"/>
      <c r="DZ448" s="151"/>
      <c r="EA448" s="151"/>
      <c r="EB448" s="151"/>
      <c r="EC448" s="151"/>
      <c r="ED448" s="151"/>
      <c r="EE448" s="151"/>
      <c r="EF448" s="151"/>
      <c r="EG448" s="151"/>
      <c r="EH448" s="151"/>
      <c r="EI448" s="151"/>
      <c r="EJ448" s="151"/>
      <c r="EK448" s="151"/>
      <c r="EL448" s="151"/>
      <c r="EM448" s="151"/>
      <c r="EN448" s="151"/>
      <c r="EO448" s="151"/>
      <c r="EP448" s="151"/>
      <c r="EQ448" s="151"/>
      <c r="ER448" s="151"/>
      <c r="ES448" s="151"/>
      <c r="ET448" s="151"/>
      <c r="EU448" s="151"/>
      <c r="EV448" s="151"/>
      <c r="EW448" s="151"/>
      <c r="EX448" s="151"/>
      <c r="EY448" s="151"/>
      <c r="EZ448" s="151"/>
      <c r="FA448" s="151"/>
      <c r="FB448" s="151"/>
      <c r="FC448" s="151"/>
      <c r="FD448" s="151"/>
      <c r="FE448" s="151"/>
      <c r="FF448" s="151"/>
      <c r="FG448" s="151"/>
      <c r="FH448" s="151"/>
      <c r="FI448" s="151"/>
      <c r="FJ448" s="151"/>
      <c r="FK448" s="151"/>
      <c r="FL448" s="151"/>
      <c r="FM448" s="151"/>
      <c r="FN448" s="151"/>
      <c r="FO448" s="151"/>
      <c r="FP448" s="151"/>
      <c r="FQ448" s="151"/>
      <c r="FR448" s="151"/>
      <c r="FS448" s="151"/>
      <c r="FT448" s="151"/>
      <c r="FU448" s="151"/>
      <c r="FV448" s="151"/>
      <c r="FW448" s="151"/>
      <c r="FX448" s="151"/>
      <c r="FY448" s="151"/>
      <c r="FZ448" s="151"/>
      <c r="GA448" s="151"/>
      <c r="GB448" s="151"/>
      <c r="GC448" s="151"/>
      <c r="GD448" s="151"/>
      <c r="GE448" s="151"/>
      <c r="GF448" s="151"/>
      <c r="GG448" s="152"/>
    </row>
    <row r="449" spans="1:189" x14ac:dyDescent="0.35">
      <c r="A449" s="268"/>
      <c r="B449" s="221"/>
      <c r="C449" s="221"/>
      <c r="D449" s="222"/>
      <c r="E449" s="221"/>
      <c r="F449" s="221"/>
      <c r="G449" s="223"/>
      <c r="H449" s="224"/>
      <c r="I449" s="225"/>
      <c r="J449" s="225"/>
      <c r="K449" s="225"/>
      <c r="L449" s="226"/>
      <c r="M449" s="226"/>
      <c r="N449" s="226"/>
      <c r="O449" s="226"/>
      <c r="P449" s="226"/>
      <c r="Q449" s="227"/>
      <c r="R449" s="228"/>
      <c r="S449" s="228"/>
      <c r="T449" s="228"/>
      <c r="U449" s="191">
        <f t="shared" si="494"/>
        <v>0</v>
      </c>
      <c r="V449" s="86"/>
      <c r="W449" s="45"/>
      <c r="X449" s="46"/>
      <c r="Y449" s="167">
        <f t="shared" si="495"/>
        <v>0</v>
      </c>
      <c r="Z449" s="167">
        <f t="shared" si="496"/>
        <v>0</v>
      </c>
      <c r="AA449" s="167">
        <f t="shared" si="497"/>
        <v>0</v>
      </c>
      <c r="AB449" s="167">
        <f t="shared" si="498"/>
        <v>0</v>
      </c>
      <c r="AC449" s="167">
        <f t="shared" si="499"/>
        <v>0</v>
      </c>
      <c r="AD449" s="167">
        <f t="shared" si="500"/>
        <v>0</v>
      </c>
      <c r="AF449" s="47">
        <f t="shared" si="492"/>
        <v>0</v>
      </c>
      <c r="AG449" s="202" t="str">
        <f t="shared" si="493"/>
        <v xml:space="preserve"> </v>
      </c>
      <c r="AH449" s="172"/>
      <c r="AI449" s="173"/>
      <c r="AJ449" s="173"/>
      <c r="AK449" s="173"/>
      <c r="AL449" s="173"/>
      <c r="AM449" s="173"/>
      <c r="AN449" s="173"/>
      <c r="AO449" s="173"/>
      <c r="AP449" s="173"/>
      <c r="AQ449" s="173"/>
      <c r="AR449" s="173"/>
      <c r="AS449" s="173"/>
      <c r="AT449" s="173"/>
      <c r="AU449" s="173"/>
      <c r="AV449" s="173"/>
      <c r="AW449" s="173"/>
      <c r="AX449" s="173"/>
      <c r="AY449" s="173"/>
      <c r="AZ449" s="173"/>
      <c r="BA449" s="173"/>
      <c r="BB449" s="173"/>
      <c r="BC449" s="173"/>
      <c r="BD449" s="173"/>
      <c r="BE449" s="173"/>
      <c r="BF449" s="173"/>
      <c r="BG449" s="173"/>
      <c r="BH449" s="173"/>
      <c r="BI449" s="173"/>
      <c r="BJ449" s="173"/>
      <c r="BK449" s="173"/>
      <c r="BL449" s="173"/>
      <c r="BM449" s="173"/>
      <c r="BN449" s="173"/>
      <c r="BO449" s="173"/>
      <c r="BP449" s="173"/>
      <c r="BQ449" s="173"/>
      <c r="BR449" s="173"/>
      <c r="BS449" s="173"/>
      <c r="BT449" s="173"/>
      <c r="BU449" s="173"/>
      <c r="BV449" s="173"/>
      <c r="BW449" s="173"/>
      <c r="BX449" s="173"/>
      <c r="BY449" s="173"/>
      <c r="BZ449" s="173"/>
      <c r="CA449" s="173"/>
      <c r="CB449" s="173"/>
      <c r="CC449" s="173"/>
      <c r="CD449" s="173"/>
      <c r="CE449" s="173"/>
      <c r="CF449" s="173"/>
      <c r="CG449" s="173"/>
      <c r="CH449" s="173"/>
      <c r="CI449" s="173"/>
      <c r="CJ449" s="173"/>
      <c r="CK449" s="173"/>
      <c r="CL449" s="173"/>
      <c r="CM449" s="173"/>
      <c r="CN449" s="173"/>
      <c r="CO449" s="173"/>
      <c r="CP449" s="173"/>
      <c r="CQ449" s="173"/>
      <c r="CR449" s="173"/>
      <c r="CS449" s="173"/>
      <c r="CT449" s="173"/>
      <c r="CU449" s="173"/>
      <c r="CV449" s="173"/>
      <c r="CW449" s="173"/>
      <c r="CX449" s="173"/>
      <c r="CY449" s="151"/>
      <c r="CZ449" s="151"/>
      <c r="DA449" s="151"/>
      <c r="DB449" s="151"/>
      <c r="DC449" s="151"/>
      <c r="DD449" s="151"/>
      <c r="DE449" s="151"/>
      <c r="DF449" s="151"/>
      <c r="DG449" s="151"/>
      <c r="DH449" s="151"/>
      <c r="DI449" s="151"/>
      <c r="DJ449" s="151"/>
      <c r="DK449" s="151"/>
      <c r="DL449" s="151"/>
      <c r="DM449" s="151"/>
      <c r="DN449" s="151"/>
      <c r="DO449" s="151"/>
      <c r="DP449" s="151"/>
      <c r="DQ449" s="151"/>
      <c r="DR449" s="151"/>
      <c r="DS449" s="151"/>
      <c r="DT449" s="151"/>
      <c r="DU449" s="151"/>
      <c r="DV449" s="151"/>
      <c r="DW449" s="151"/>
      <c r="DX449" s="151"/>
      <c r="DY449" s="151"/>
      <c r="DZ449" s="151"/>
      <c r="EA449" s="151"/>
      <c r="EB449" s="151"/>
      <c r="EC449" s="151"/>
      <c r="ED449" s="151"/>
      <c r="EE449" s="151"/>
      <c r="EF449" s="151"/>
      <c r="EG449" s="151"/>
      <c r="EH449" s="151"/>
      <c r="EI449" s="151"/>
      <c r="EJ449" s="151"/>
      <c r="EK449" s="151"/>
      <c r="EL449" s="151"/>
      <c r="EM449" s="151"/>
      <c r="EN449" s="151"/>
      <c r="EO449" s="151"/>
      <c r="EP449" s="151"/>
      <c r="EQ449" s="151"/>
      <c r="ER449" s="151"/>
      <c r="ES449" s="151"/>
      <c r="ET449" s="151"/>
      <c r="EU449" s="151"/>
      <c r="EV449" s="151"/>
      <c r="EW449" s="151"/>
      <c r="EX449" s="151"/>
      <c r="EY449" s="151"/>
      <c r="EZ449" s="151"/>
      <c r="FA449" s="151"/>
      <c r="FB449" s="151"/>
      <c r="FC449" s="151"/>
      <c r="FD449" s="151"/>
      <c r="FE449" s="151"/>
      <c r="FF449" s="151"/>
      <c r="FG449" s="151"/>
      <c r="FH449" s="151"/>
      <c r="FI449" s="151"/>
      <c r="FJ449" s="151"/>
      <c r="FK449" s="151"/>
      <c r="FL449" s="151"/>
      <c r="FM449" s="151"/>
      <c r="FN449" s="151"/>
      <c r="FO449" s="151"/>
      <c r="FP449" s="151"/>
      <c r="FQ449" s="151"/>
      <c r="FR449" s="151"/>
      <c r="FS449" s="151"/>
      <c r="FT449" s="151"/>
      <c r="FU449" s="151"/>
      <c r="FV449" s="151"/>
      <c r="FW449" s="151"/>
      <c r="FX449" s="151"/>
      <c r="FY449" s="151"/>
      <c r="FZ449" s="151"/>
      <c r="GA449" s="151"/>
      <c r="GB449" s="151"/>
      <c r="GC449" s="151"/>
      <c r="GD449" s="151"/>
      <c r="GE449" s="151"/>
      <c r="GF449" s="151"/>
      <c r="GG449" s="152"/>
    </row>
    <row r="450" spans="1:189" x14ac:dyDescent="0.35">
      <c r="A450" s="268"/>
      <c r="B450" s="221"/>
      <c r="C450" s="221"/>
      <c r="D450" s="222"/>
      <c r="E450" s="221"/>
      <c r="F450" s="221"/>
      <c r="G450" s="223"/>
      <c r="H450" s="224"/>
      <c r="I450" s="225"/>
      <c r="J450" s="225"/>
      <c r="K450" s="225"/>
      <c r="L450" s="226"/>
      <c r="M450" s="226"/>
      <c r="N450" s="226"/>
      <c r="O450" s="226"/>
      <c r="P450" s="226"/>
      <c r="Q450" s="227"/>
      <c r="R450" s="228"/>
      <c r="S450" s="228"/>
      <c r="T450" s="228"/>
      <c r="U450" s="191">
        <f t="shared" si="494"/>
        <v>0</v>
      </c>
      <c r="V450" s="86"/>
      <c r="W450" s="45"/>
      <c r="X450" s="46"/>
      <c r="Y450" s="167">
        <f t="shared" si="495"/>
        <v>0</v>
      </c>
      <c r="Z450" s="167">
        <f t="shared" si="496"/>
        <v>0</v>
      </c>
      <c r="AA450" s="167">
        <f t="shared" si="497"/>
        <v>0</v>
      </c>
      <c r="AB450" s="167">
        <f t="shared" si="498"/>
        <v>0</v>
      </c>
      <c r="AC450" s="167">
        <f t="shared" si="499"/>
        <v>0</v>
      </c>
      <c r="AD450" s="167">
        <f t="shared" si="500"/>
        <v>0</v>
      </c>
      <c r="AF450" s="47">
        <f t="shared" si="492"/>
        <v>0</v>
      </c>
      <c r="AG450" s="202" t="str">
        <f t="shared" si="493"/>
        <v xml:space="preserve"> </v>
      </c>
      <c r="AH450" s="172"/>
      <c r="AI450" s="173"/>
      <c r="AJ450" s="173"/>
      <c r="AK450" s="173"/>
      <c r="AL450" s="173"/>
      <c r="AM450" s="173"/>
      <c r="AN450" s="173"/>
      <c r="AO450" s="173"/>
      <c r="AP450" s="173"/>
      <c r="AQ450" s="173"/>
      <c r="AR450" s="173"/>
      <c r="AS450" s="173"/>
      <c r="AT450" s="173"/>
      <c r="AU450" s="173"/>
      <c r="AV450" s="173"/>
      <c r="AW450" s="173"/>
      <c r="AX450" s="173"/>
      <c r="AY450" s="173"/>
      <c r="AZ450" s="173"/>
      <c r="BA450" s="173"/>
      <c r="BB450" s="173"/>
      <c r="BC450" s="173"/>
      <c r="BD450" s="173"/>
      <c r="BE450" s="173"/>
      <c r="BF450" s="173"/>
      <c r="BG450" s="173"/>
      <c r="BH450" s="173"/>
      <c r="BI450" s="173"/>
      <c r="BJ450" s="173"/>
      <c r="BK450" s="173"/>
      <c r="BL450" s="173"/>
      <c r="BM450" s="173"/>
      <c r="BN450" s="173"/>
      <c r="BO450" s="173"/>
      <c r="BP450" s="173"/>
      <c r="BQ450" s="173"/>
      <c r="BR450" s="173"/>
      <c r="BS450" s="173"/>
      <c r="BT450" s="173"/>
      <c r="BU450" s="173"/>
      <c r="BV450" s="173"/>
      <c r="BW450" s="173"/>
      <c r="BX450" s="173"/>
      <c r="BY450" s="173"/>
      <c r="BZ450" s="173"/>
      <c r="CA450" s="173"/>
      <c r="CB450" s="173"/>
      <c r="CC450" s="173"/>
      <c r="CD450" s="173"/>
      <c r="CE450" s="173"/>
      <c r="CF450" s="173"/>
      <c r="CG450" s="173"/>
      <c r="CH450" s="173"/>
      <c r="CI450" s="173"/>
      <c r="CJ450" s="173"/>
      <c r="CK450" s="173"/>
      <c r="CL450" s="173"/>
      <c r="CM450" s="173"/>
      <c r="CN450" s="173"/>
      <c r="CO450" s="173"/>
      <c r="CP450" s="173"/>
      <c r="CQ450" s="173"/>
      <c r="CR450" s="173"/>
      <c r="CS450" s="173"/>
      <c r="CT450" s="173"/>
      <c r="CU450" s="173"/>
      <c r="CV450" s="173"/>
      <c r="CW450" s="173"/>
      <c r="CX450" s="173"/>
      <c r="CY450" s="151"/>
      <c r="CZ450" s="151"/>
      <c r="DA450" s="151"/>
      <c r="DB450" s="151"/>
      <c r="DC450" s="151"/>
      <c r="DD450" s="151"/>
      <c r="DE450" s="151"/>
      <c r="DF450" s="151"/>
      <c r="DG450" s="151"/>
      <c r="DH450" s="151"/>
      <c r="DI450" s="151"/>
      <c r="DJ450" s="151"/>
      <c r="DK450" s="151"/>
      <c r="DL450" s="151"/>
      <c r="DM450" s="151"/>
      <c r="DN450" s="151"/>
      <c r="DO450" s="151"/>
      <c r="DP450" s="151"/>
      <c r="DQ450" s="151"/>
      <c r="DR450" s="151"/>
      <c r="DS450" s="151"/>
      <c r="DT450" s="151"/>
      <c r="DU450" s="151"/>
      <c r="DV450" s="151"/>
      <c r="DW450" s="151"/>
      <c r="DX450" s="151"/>
      <c r="DY450" s="151"/>
      <c r="DZ450" s="151"/>
      <c r="EA450" s="151"/>
      <c r="EB450" s="151"/>
      <c r="EC450" s="151"/>
      <c r="ED450" s="151"/>
      <c r="EE450" s="151"/>
      <c r="EF450" s="151"/>
      <c r="EG450" s="151"/>
      <c r="EH450" s="151"/>
      <c r="EI450" s="151"/>
      <c r="EJ450" s="151"/>
      <c r="EK450" s="151"/>
      <c r="EL450" s="151"/>
      <c r="EM450" s="151"/>
      <c r="EN450" s="151"/>
      <c r="EO450" s="151"/>
      <c r="EP450" s="151"/>
      <c r="EQ450" s="151"/>
      <c r="ER450" s="151"/>
      <c r="ES450" s="151"/>
      <c r="ET450" s="151"/>
      <c r="EU450" s="151"/>
      <c r="EV450" s="151"/>
      <c r="EW450" s="151"/>
      <c r="EX450" s="151"/>
      <c r="EY450" s="151"/>
      <c r="EZ450" s="151"/>
      <c r="FA450" s="151"/>
      <c r="FB450" s="151"/>
      <c r="FC450" s="151"/>
      <c r="FD450" s="151"/>
      <c r="FE450" s="151"/>
      <c r="FF450" s="151"/>
      <c r="FG450" s="151"/>
      <c r="FH450" s="151"/>
      <c r="FI450" s="151"/>
      <c r="FJ450" s="151"/>
      <c r="FK450" s="151"/>
      <c r="FL450" s="151"/>
      <c r="FM450" s="151"/>
      <c r="FN450" s="151"/>
      <c r="FO450" s="151"/>
      <c r="FP450" s="151"/>
      <c r="FQ450" s="151"/>
      <c r="FR450" s="151"/>
      <c r="FS450" s="151"/>
      <c r="FT450" s="151"/>
      <c r="FU450" s="151"/>
      <c r="FV450" s="151"/>
      <c r="FW450" s="151"/>
      <c r="FX450" s="151"/>
      <c r="FY450" s="151"/>
      <c r="FZ450" s="151"/>
      <c r="GA450" s="151"/>
      <c r="GB450" s="151"/>
      <c r="GC450" s="151"/>
      <c r="GD450" s="151"/>
      <c r="GE450" s="151"/>
      <c r="GF450" s="151"/>
      <c r="GG450" s="152"/>
    </row>
    <row r="451" spans="1:189" x14ac:dyDescent="0.35">
      <c r="A451" s="268"/>
      <c r="B451" s="221"/>
      <c r="C451" s="221"/>
      <c r="D451" s="222"/>
      <c r="E451" s="221"/>
      <c r="F451" s="221"/>
      <c r="G451" s="223"/>
      <c r="H451" s="224"/>
      <c r="I451" s="225"/>
      <c r="J451" s="225"/>
      <c r="K451" s="225"/>
      <c r="L451" s="226"/>
      <c r="M451" s="226"/>
      <c r="N451" s="226"/>
      <c r="O451" s="226"/>
      <c r="P451" s="226"/>
      <c r="Q451" s="227"/>
      <c r="R451" s="228"/>
      <c r="S451" s="228"/>
      <c r="T451" s="228"/>
      <c r="U451" s="191">
        <f t="shared" si="494"/>
        <v>0</v>
      </c>
      <c r="V451" s="86"/>
      <c r="W451" s="45"/>
      <c r="X451" s="46"/>
      <c r="Y451" s="167">
        <f t="shared" si="495"/>
        <v>0</v>
      </c>
      <c r="Z451" s="167">
        <f t="shared" si="496"/>
        <v>0</v>
      </c>
      <c r="AA451" s="167">
        <f t="shared" si="497"/>
        <v>0</v>
      </c>
      <c r="AB451" s="167">
        <f t="shared" si="498"/>
        <v>0</v>
      </c>
      <c r="AC451" s="167">
        <f t="shared" si="499"/>
        <v>0</v>
      </c>
      <c r="AD451" s="167">
        <f t="shared" si="500"/>
        <v>0</v>
      </c>
      <c r="AF451" s="47">
        <f t="shared" si="492"/>
        <v>0</v>
      </c>
      <c r="AG451" s="202" t="str">
        <f t="shared" si="493"/>
        <v xml:space="preserve"> </v>
      </c>
      <c r="AH451" s="172"/>
      <c r="AI451" s="173"/>
      <c r="AJ451" s="173"/>
      <c r="AK451" s="173"/>
      <c r="AL451" s="173"/>
      <c r="AM451" s="173"/>
      <c r="AN451" s="173"/>
      <c r="AO451" s="173"/>
      <c r="AP451" s="173"/>
      <c r="AQ451" s="173"/>
      <c r="AR451" s="173"/>
      <c r="AS451" s="173"/>
      <c r="AT451" s="173"/>
      <c r="AU451" s="173"/>
      <c r="AV451" s="173"/>
      <c r="AW451" s="173"/>
      <c r="AX451" s="173"/>
      <c r="AY451" s="173"/>
      <c r="AZ451" s="173"/>
      <c r="BA451" s="173"/>
      <c r="BB451" s="173"/>
      <c r="BC451" s="173"/>
      <c r="BD451" s="173"/>
      <c r="BE451" s="173"/>
      <c r="BF451" s="173"/>
      <c r="BG451" s="173"/>
      <c r="BH451" s="173"/>
      <c r="BI451" s="173"/>
      <c r="BJ451" s="173"/>
      <c r="BK451" s="173"/>
      <c r="BL451" s="173"/>
      <c r="BM451" s="173"/>
      <c r="BN451" s="173"/>
      <c r="BO451" s="173"/>
      <c r="BP451" s="173"/>
      <c r="BQ451" s="173"/>
      <c r="BR451" s="173"/>
      <c r="BS451" s="173"/>
      <c r="BT451" s="173"/>
      <c r="BU451" s="173"/>
      <c r="BV451" s="173"/>
      <c r="BW451" s="173"/>
      <c r="BX451" s="173"/>
      <c r="BY451" s="173"/>
      <c r="BZ451" s="173"/>
      <c r="CA451" s="173"/>
      <c r="CB451" s="173"/>
      <c r="CC451" s="173"/>
      <c r="CD451" s="173"/>
      <c r="CE451" s="173"/>
      <c r="CF451" s="173"/>
      <c r="CG451" s="173"/>
      <c r="CH451" s="173"/>
      <c r="CI451" s="173"/>
      <c r="CJ451" s="173"/>
      <c r="CK451" s="173"/>
      <c r="CL451" s="173"/>
      <c r="CM451" s="173"/>
      <c r="CN451" s="173"/>
      <c r="CO451" s="173"/>
      <c r="CP451" s="173"/>
      <c r="CQ451" s="173"/>
      <c r="CR451" s="173"/>
      <c r="CS451" s="173"/>
      <c r="CT451" s="173"/>
      <c r="CU451" s="173"/>
      <c r="CV451" s="173"/>
      <c r="CW451" s="173"/>
      <c r="CX451" s="173"/>
      <c r="CY451" s="148"/>
      <c r="CZ451" s="148"/>
      <c r="DA451" s="148"/>
      <c r="DB451" s="148"/>
      <c r="DC451" s="148"/>
      <c r="DD451" s="148"/>
      <c r="DE451" s="148"/>
      <c r="DF451" s="148"/>
      <c r="DG451" s="148"/>
      <c r="DH451" s="148"/>
      <c r="DI451" s="148"/>
      <c r="DJ451" s="148"/>
      <c r="DK451" s="148"/>
      <c r="DL451" s="148"/>
      <c r="DM451" s="148"/>
      <c r="DN451" s="148"/>
      <c r="DO451" s="148"/>
      <c r="DP451" s="148"/>
      <c r="DQ451" s="148"/>
      <c r="DR451" s="148"/>
      <c r="DS451" s="148"/>
      <c r="DT451" s="148"/>
      <c r="DU451" s="148"/>
      <c r="DV451" s="148"/>
      <c r="DW451" s="148"/>
      <c r="DX451" s="148"/>
      <c r="DY451" s="148"/>
      <c r="DZ451" s="148"/>
      <c r="EA451" s="148"/>
      <c r="EB451" s="148"/>
      <c r="EC451" s="148"/>
      <c r="ED451" s="148"/>
      <c r="EE451" s="148"/>
      <c r="EF451" s="148"/>
      <c r="EG451" s="148"/>
      <c r="EH451" s="148"/>
      <c r="EI451" s="148"/>
      <c r="EJ451" s="148"/>
      <c r="EK451" s="148"/>
      <c r="EL451" s="148"/>
      <c r="EM451" s="148"/>
      <c r="EN451" s="148"/>
      <c r="EO451" s="148"/>
      <c r="EP451" s="148"/>
      <c r="EQ451" s="148"/>
      <c r="ER451" s="148"/>
      <c r="ES451" s="148"/>
      <c r="ET451" s="148"/>
      <c r="EU451" s="148"/>
      <c r="EV451" s="148"/>
      <c r="EW451" s="148"/>
      <c r="EX451" s="148"/>
      <c r="EY451" s="148"/>
      <c r="EZ451" s="148"/>
      <c r="FA451" s="148"/>
      <c r="FB451" s="148"/>
      <c r="FC451" s="148"/>
      <c r="FD451" s="148"/>
      <c r="FE451" s="148"/>
      <c r="FF451" s="148"/>
      <c r="FG451" s="148"/>
      <c r="FH451" s="148"/>
      <c r="FI451" s="148"/>
      <c r="FJ451" s="148"/>
      <c r="FK451" s="148"/>
      <c r="FL451" s="148"/>
      <c r="FM451" s="148"/>
      <c r="FN451" s="148"/>
      <c r="FO451" s="148"/>
      <c r="FP451" s="148"/>
      <c r="FQ451" s="148"/>
      <c r="FR451" s="148"/>
      <c r="FS451" s="148"/>
      <c r="FT451" s="148"/>
      <c r="FU451" s="148"/>
      <c r="FV451" s="148"/>
      <c r="FW451" s="148"/>
      <c r="FX451" s="148"/>
      <c r="FY451" s="148"/>
      <c r="FZ451" s="148"/>
      <c r="GA451" s="148"/>
      <c r="GB451" s="148"/>
      <c r="GC451" s="148"/>
      <c r="GD451" s="148"/>
      <c r="GE451" s="148"/>
      <c r="GF451" s="148"/>
      <c r="GG451" s="149"/>
    </row>
    <row r="452" spans="1:189" x14ac:dyDescent="0.35">
      <c r="A452" s="268"/>
      <c r="B452" s="221"/>
      <c r="C452" s="221"/>
      <c r="D452" s="222"/>
      <c r="E452" s="221"/>
      <c r="F452" s="221"/>
      <c r="G452" s="223"/>
      <c r="H452" s="224"/>
      <c r="I452" s="225"/>
      <c r="J452" s="225"/>
      <c r="K452" s="225"/>
      <c r="L452" s="226"/>
      <c r="M452" s="226"/>
      <c r="N452" s="226"/>
      <c r="O452" s="226"/>
      <c r="P452" s="226"/>
      <c r="Q452" s="227"/>
      <c r="R452" s="228"/>
      <c r="S452" s="228"/>
      <c r="T452" s="228"/>
      <c r="U452" s="191">
        <f t="shared" si="494"/>
        <v>0</v>
      </c>
      <c r="V452" s="86"/>
      <c r="W452" s="45"/>
      <c r="X452" s="46"/>
      <c r="Y452" s="167">
        <f t="shared" si="495"/>
        <v>0</v>
      </c>
      <c r="Z452" s="167">
        <f t="shared" si="496"/>
        <v>0</v>
      </c>
      <c r="AA452" s="167">
        <f t="shared" si="497"/>
        <v>0</v>
      </c>
      <c r="AB452" s="167">
        <f t="shared" si="498"/>
        <v>0</v>
      </c>
      <c r="AC452" s="167">
        <f t="shared" si="499"/>
        <v>0</v>
      </c>
      <c r="AD452" s="167">
        <f t="shared" si="500"/>
        <v>0</v>
      </c>
      <c r="AF452" s="47">
        <f t="shared" si="492"/>
        <v>0</v>
      </c>
      <c r="AG452" s="202" t="str">
        <f t="shared" si="493"/>
        <v xml:space="preserve"> </v>
      </c>
      <c r="AH452" s="172"/>
      <c r="AI452" s="173"/>
      <c r="AJ452" s="173"/>
      <c r="AK452" s="173"/>
      <c r="AL452" s="173"/>
      <c r="AM452" s="173"/>
      <c r="AN452" s="173"/>
      <c r="AO452" s="173"/>
      <c r="AP452" s="173"/>
      <c r="AQ452" s="173"/>
      <c r="AR452" s="173"/>
      <c r="AS452" s="173"/>
      <c r="AT452" s="173"/>
      <c r="AU452" s="173"/>
      <c r="AV452" s="173"/>
      <c r="AW452" s="173"/>
      <c r="AX452" s="173"/>
      <c r="AY452" s="173"/>
      <c r="AZ452" s="173"/>
      <c r="BA452" s="173"/>
      <c r="BB452" s="173"/>
      <c r="BC452" s="173"/>
      <c r="BD452" s="173"/>
      <c r="BE452" s="173"/>
      <c r="BF452" s="173"/>
      <c r="BG452" s="173"/>
      <c r="BH452" s="173"/>
      <c r="BI452" s="173"/>
      <c r="BJ452" s="173"/>
      <c r="BK452" s="173"/>
      <c r="BL452" s="173"/>
      <c r="BM452" s="173"/>
      <c r="BN452" s="173"/>
      <c r="BO452" s="173"/>
      <c r="BP452" s="173"/>
      <c r="BQ452" s="173"/>
      <c r="BR452" s="173"/>
      <c r="BS452" s="173"/>
      <c r="BT452" s="173"/>
      <c r="BU452" s="173"/>
      <c r="BV452" s="173"/>
      <c r="BW452" s="173"/>
      <c r="BX452" s="173"/>
      <c r="BY452" s="173"/>
      <c r="BZ452" s="173"/>
      <c r="CA452" s="173"/>
      <c r="CB452" s="173"/>
      <c r="CC452" s="173"/>
      <c r="CD452" s="173"/>
      <c r="CE452" s="173"/>
      <c r="CF452" s="173"/>
      <c r="CG452" s="173"/>
      <c r="CH452" s="173"/>
      <c r="CI452" s="173"/>
      <c r="CJ452" s="173"/>
      <c r="CK452" s="173"/>
      <c r="CL452" s="173"/>
      <c r="CM452" s="173"/>
      <c r="CN452" s="173"/>
      <c r="CO452" s="173"/>
      <c r="CP452" s="173"/>
      <c r="CQ452" s="173"/>
      <c r="CR452" s="173"/>
      <c r="CS452" s="173"/>
      <c r="CT452" s="173"/>
      <c r="CU452" s="173"/>
      <c r="CV452" s="173"/>
      <c r="CW452" s="173"/>
      <c r="CX452" s="173"/>
      <c r="CY452" s="151"/>
      <c r="CZ452" s="151"/>
      <c r="DA452" s="151"/>
      <c r="DB452" s="151"/>
      <c r="DC452" s="151"/>
      <c r="DD452" s="151"/>
      <c r="DE452" s="151"/>
      <c r="DF452" s="151"/>
      <c r="DG452" s="151"/>
      <c r="DH452" s="151"/>
      <c r="DI452" s="151"/>
      <c r="DJ452" s="151"/>
      <c r="DK452" s="151"/>
      <c r="DL452" s="151"/>
      <c r="DM452" s="151"/>
      <c r="DN452" s="151"/>
      <c r="DO452" s="151"/>
      <c r="DP452" s="151"/>
      <c r="DQ452" s="151"/>
      <c r="DR452" s="151"/>
      <c r="DS452" s="151"/>
      <c r="DT452" s="151"/>
      <c r="DU452" s="151"/>
      <c r="DV452" s="151"/>
      <c r="DW452" s="151"/>
      <c r="DX452" s="151"/>
      <c r="DY452" s="151"/>
      <c r="DZ452" s="151"/>
      <c r="EA452" s="151"/>
      <c r="EB452" s="151"/>
      <c r="EC452" s="151"/>
      <c r="ED452" s="151"/>
      <c r="EE452" s="151"/>
      <c r="EF452" s="151"/>
      <c r="EG452" s="151"/>
      <c r="EH452" s="151"/>
      <c r="EI452" s="151"/>
      <c r="EJ452" s="151"/>
      <c r="EK452" s="151"/>
      <c r="EL452" s="151"/>
      <c r="EM452" s="151"/>
      <c r="EN452" s="151"/>
      <c r="EO452" s="151"/>
      <c r="EP452" s="151"/>
      <c r="EQ452" s="151"/>
      <c r="ER452" s="151"/>
      <c r="ES452" s="151"/>
      <c r="ET452" s="151"/>
      <c r="EU452" s="151"/>
      <c r="EV452" s="151"/>
      <c r="EW452" s="151"/>
      <c r="EX452" s="151"/>
      <c r="EY452" s="151"/>
      <c r="EZ452" s="151"/>
      <c r="FA452" s="151"/>
      <c r="FB452" s="151"/>
      <c r="FC452" s="151"/>
      <c r="FD452" s="151"/>
      <c r="FE452" s="151"/>
      <c r="FF452" s="151"/>
      <c r="FG452" s="151"/>
      <c r="FH452" s="151"/>
      <c r="FI452" s="151"/>
      <c r="FJ452" s="151"/>
      <c r="FK452" s="151"/>
      <c r="FL452" s="151"/>
      <c r="FM452" s="151"/>
      <c r="FN452" s="151"/>
      <c r="FO452" s="151"/>
      <c r="FP452" s="151"/>
      <c r="FQ452" s="151"/>
      <c r="FR452" s="151"/>
      <c r="FS452" s="151"/>
      <c r="FT452" s="151"/>
      <c r="FU452" s="151"/>
      <c r="FV452" s="151"/>
      <c r="FW452" s="151"/>
      <c r="FX452" s="151"/>
      <c r="FY452" s="151"/>
      <c r="FZ452" s="151"/>
      <c r="GA452" s="151"/>
      <c r="GB452" s="151"/>
      <c r="GC452" s="151"/>
      <c r="GD452" s="151"/>
      <c r="GE452" s="151"/>
      <c r="GF452" s="151"/>
      <c r="GG452" s="152"/>
    </row>
    <row r="453" spans="1:189" x14ac:dyDescent="0.35">
      <c r="A453" s="268"/>
      <c r="B453" s="221"/>
      <c r="C453" s="221"/>
      <c r="D453" s="222"/>
      <c r="E453" s="221"/>
      <c r="F453" s="221"/>
      <c r="G453" s="223"/>
      <c r="H453" s="224"/>
      <c r="I453" s="225"/>
      <c r="J453" s="225"/>
      <c r="K453" s="225"/>
      <c r="L453" s="226"/>
      <c r="M453" s="226"/>
      <c r="N453" s="226"/>
      <c r="O453" s="226"/>
      <c r="P453" s="226"/>
      <c r="Q453" s="227"/>
      <c r="R453" s="228"/>
      <c r="S453" s="228"/>
      <c r="T453" s="228"/>
      <c r="U453" s="191">
        <f t="shared" si="494"/>
        <v>0</v>
      </c>
      <c r="V453" s="86"/>
      <c r="W453" s="45"/>
      <c r="X453" s="46"/>
      <c r="Y453" s="167">
        <f t="shared" si="495"/>
        <v>0</v>
      </c>
      <c r="Z453" s="167">
        <f t="shared" si="496"/>
        <v>0</v>
      </c>
      <c r="AA453" s="167">
        <f t="shared" si="497"/>
        <v>0</v>
      </c>
      <c r="AB453" s="167">
        <f t="shared" si="498"/>
        <v>0</v>
      </c>
      <c r="AC453" s="167">
        <f t="shared" si="499"/>
        <v>0</v>
      </c>
      <c r="AD453" s="167">
        <f t="shared" si="500"/>
        <v>0</v>
      </c>
      <c r="AF453" s="47">
        <f t="shared" si="492"/>
        <v>0</v>
      </c>
      <c r="AG453" s="202" t="str">
        <f t="shared" si="493"/>
        <v xml:space="preserve"> </v>
      </c>
      <c r="AH453" s="150"/>
      <c r="AI453" s="151"/>
      <c r="AJ453" s="151"/>
      <c r="AK453" s="151"/>
      <c r="AL453" s="151"/>
      <c r="AM453" s="151"/>
      <c r="AN453" s="151"/>
      <c r="AO453" s="151"/>
      <c r="AP453" s="151"/>
      <c r="AQ453" s="151"/>
      <c r="AR453" s="151"/>
      <c r="AS453" s="151"/>
      <c r="AT453" s="151"/>
      <c r="AU453" s="151"/>
      <c r="AV453" s="151"/>
      <c r="AW453" s="151"/>
      <c r="AX453" s="151"/>
      <c r="AY453" s="151"/>
      <c r="AZ453" s="151"/>
      <c r="BA453" s="151"/>
      <c r="BB453" s="151"/>
      <c r="BC453" s="151"/>
      <c r="BD453" s="151"/>
      <c r="BE453" s="151"/>
      <c r="BF453" s="151"/>
      <c r="BG453" s="151"/>
      <c r="BH453" s="151"/>
      <c r="BI453" s="151"/>
      <c r="BJ453" s="151"/>
      <c r="BK453" s="151"/>
      <c r="BL453" s="151"/>
      <c r="BM453" s="151"/>
      <c r="BN453" s="151"/>
      <c r="BO453" s="151"/>
      <c r="BP453" s="151"/>
      <c r="BQ453" s="151"/>
      <c r="BR453" s="151"/>
      <c r="BS453" s="151"/>
      <c r="BT453" s="151"/>
      <c r="BU453" s="151"/>
      <c r="BV453" s="151"/>
      <c r="BW453" s="151"/>
      <c r="BX453" s="151"/>
      <c r="BY453" s="151"/>
      <c r="BZ453" s="151"/>
      <c r="CA453" s="151"/>
      <c r="CB453" s="151"/>
      <c r="CC453" s="151"/>
      <c r="CD453" s="151"/>
      <c r="CE453" s="151"/>
      <c r="CF453" s="151"/>
      <c r="CG453" s="151"/>
      <c r="CH453" s="151"/>
      <c r="CI453" s="151"/>
      <c r="CJ453" s="151"/>
      <c r="CK453" s="151"/>
      <c r="CL453" s="151"/>
      <c r="CM453" s="151"/>
      <c r="CN453" s="151"/>
      <c r="CO453" s="151"/>
      <c r="CP453" s="151"/>
      <c r="CQ453" s="151"/>
      <c r="CR453" s="151"/>
      <c r="CS453" s="151"/>
      <c r="CT453" s="151"/>
      <c r="CU453" s="151"/>
      <c r="CV453" s="151"/>
      <c r="CW453" s="151"/>
      <c r="CX453" s="151"/>
      <c r="CY453" s="151"/>
      <c r="CZ453" s="151"/>
      <c r="DA453" s="151"/>
      <c r="DB453" s="151"/>
      <c r="DC453" s="151"/>
      <c r="DD453" s="151"/>
      <c r="DE453" s="151"/>
      <c r="DF453" s="151"/>
      <c r="DG453" s="151"/>
      <c r="DH453" s="151"/>
      <c r="DI453" s="151"/>
      <c r="DJ453" s="151"/>
      <c r="DK453" s="151"/>
      <c r="DL453" s="151"/>
      <c r="DM453" s="151"/>
      <c r="DN453" s="151"/>
      <c r="DO453" s="151"/>
      <c r="DP453" s="151"/>
      <c r="DQ453" s="151"/>
      <c r="DR453" s="151"/>
      <c r="DS453" s="151"/>
      <c r="DT453" s="151"/>
      <c r="DU453" s="151"/>
      <c r="DV453" s="151"/>
      <c r="DW453" s="151"/>
      <c r="DX453" s="151"/>
      <c r="DY453" s="151"/>
      <c r="DZ453" s="151"/>
      <c r="EA453" s="151"/>
      <c r="EB453" s="151"/>
      <c r="EC453" s="151"/>
      <c r="ED453" s="151"/>
      <c r="EE453" s="151"/>
      <c r="EF453" s="151"/>
      <c r="EG453" s="151"/>
      <c r="EH453" s="151"/>
      <c r="EI453" s="151"/>
      <c r="EJ453" s="151"/>
      <c r="EK453" s="151"/>
      <c r="EL453" s="151"/>
      <c r="EM453" s="151"/>
      <c r="EN453" s="151"/>
      <c r="EO453" s="151"/>
      <c r="EP453" s="151"/>
      <c r="EQ453" s="151"/>
      <c r="ER453" s="151"/>
      <c r="ES453" s="151"/>
      <c r="ET453" s="151"/>
      <c r="EU453" s="151"/>
      <c r="EV453" s="151"/>
      <c r="EW453" s="151"/>
      <c r="EX453" s="151"/>
      <c r="EY453" s="151"/>
      <c r="EZ453" s="151"/>
      <c r="FA453" s="151"/>
      <c r="FB453" s="151"/>
      <c r="FC453" s="151"/>
      <c r="FD453" s="151"/>
      <c r="FE453" s="151"/>
      <c r="FF453" s="151"/>
      <c r="FG453" s="151"/>
      <c r="FH453" s="151"/>
      <c r="FI453" s="151"/>
      <c r="FJ453" s="151"/>
      <c r="FK453" s="151"/>
      <c r="FL453" s="151"/>
      <c r="FM453" s="151"/>
      <c r="FN453" s="151"/>
      <c r="FO453" s="151"/>
      <c r="FP453" s="151"/>
      <c r="FQ453" s="151"/>
      <c r="FR453" s="151"/>
      <c r="FS453" s="151"/>
      <c r="FT453" s="151"/>
      <c r="FU453" s="151"/>
      <c r="FV453" s="151"/>
      <c r="FW453" s="151"/>
      <c r="FX453" s="151"/>
      <c r="FY453" s="151"/>
      <c r="FZ453" s="151"/>
      <c r="GA453" s="151"/>
      <c r="GB453" s="151"/>
      <c r="GC453" s="151"/>
      <c r="GD453" s="151"/>
      <c r="GE453" s="151"/>
      <c r="GF453" s="151"/>
      <c r="GG453" s="152"/>
    </row>
    <row r="454" spans="1:189" x14ac:dyDescent="0.35">
      <c r="A454" s="268"/>
      <c r="B454" s="221"/>
      <c r="C454" s="221"/>
      <c r="D454" s="222"/>
      <c r="E454" s="221"/>
      <c r="F454" s="221"/>
      <c r="G454" s="223"/>
      <c r="H454" s="224"/>
      <c r="I454" s="225"/>
      <c r="J454" s="225"/>
      <c r="K454" s="225"/>
      <c r="L454" s="226"/>
      <c r="M454" s="226"/>
      <c r="N454" s="226"/>
      <c r="O454" s="226"/>
      <c r="P454" s="226"/>
      <c r="Q454" s="227"/>
      <c r="R454" s="228"/>
      <c r="S454" s="228"/>
      <c r="T454" s="228"/>
      <c r="U454" s="191">
        <f t="shared" si="494"/>
        <v>0</v>
      </c>
      <c r="V454" s="86"/>
      <c r="W454" s="45"/>
      <c r="X454" s="46"/>
      <c r="Y454" s="167">
        <f t="shared" si="495"/>
        <v>0</v>
      </c>
      <c r="Z454" s="167">
        <f t="shared" si="496"/>
        <v>0</v>
      </c>
      <c r="AA454" s="167">
        <f t="shared" si="497"/>
        <v>0</v>
      </c>
      <c r="AB454" s="167">
        <f t="shared" si="498"/>
        <v>0</v>
      </c>
      <c r="AC454" s="167">
        <f t="shared" si="499"/>
        <v>0</v>
      </c>
      <c r="AD454" s="167">
        <f t="shared" si="500"/>
        <v>0</v>
      </c>
      <c r="AF454" s="47">
        <f t="shared" si="492"/>
        <v>0</v>
      </c>
      <c r="AG454" s="202" t="str">
        <f t="shared" si="493"/>
        <v xml:space="preserve"> </v>
      </c>
      <c r="AH454" s="150"/>
      <c r="AI454" s="151"/>
      <c r="AJ454" s="151"/>
      <c r="AK454" s="151"/>
      <c r="AL454" s="151"/>
      <c r="AM454" s="151"/>
      <c r="AN454" s="151"/>
      <c r="AO454" s="151"/>
      <c r="AP454" s="151"/>
      <c r="AQ454" s="151"/>
      <c r="AR454" s="151"/>
      <c r="AS454" s="151"/>
      <c r="AT454" s="151"/>
      <c r="AU454" s="151"/>
      <c r="AV454" s="151"/>
      <c r="AW454" s="151"/>
      <c r="AX454" s="151"/>
      <c r="AY454" s="151"/>
      <c r="AZ454" s="151"/>
      <c r="BA454" s="151"/>
      <c r="BB454" s="151"/>
      <c r="BC454" s="151"/>
      <c r="BD454" s="151"/>
      <c r="BE454" s="151"/>
      <c r="BF454" s="151"/>
      <c r="BG454" s="151"/>
      <c r="BH454" s="151"/>
      <c r="BI454" s="151"/>
      <c r="BJ454" s="151"/>
      <c r="BK454" s="151"/>
      <c r="BL454" s="151"/>
      <c r="BM454" s="151"/>
      <c r="BN454" s="151"/>
      <c r="BO454" s="151"/>
      <c r="BP454" s="151"/>
      <c r="BQ454" s="151"/>
      <c r="BR454" s="151"/>
      <c r="BS454" s="151"/>
      <c r="BT454" s="151"/>
      <c r="BU454" s="151"/>
      <c r="BV454" s="151"/>
      <c r="BW454" s="151"/>
      <c r="BX454" s="151"/>
      <c r="BY454" s="151"/>
      <c r="BZ454" s="151"/>
      <c r="CA454" s="151"/>
      <c r="CB454" s="151"/>
      <c r="CC454" s="151"/>
      <c r="CD454" s="151"/>
      <c r="CE454" s="151"/>
      <c r="CF454" s="151"/>
      <c r="CG454" s="151"/>
      <c r="CH454" s="151"/>
      <c r="CI454" s="151"/>
      <c r="CJ454" s="151"/>
      <c r="CK454" s="151"/>
      <c r="CL454" s="151"/>
      <c r="CM454" s="151"/>
      <c r="CN454" s="151"/>
      <c r="CO454" s="151"/>
      <c r="CP454" s="151"/>
      <c r="CQ454" s="151"/>
      <c r="CR454" s="151"/>
      <c r="CS454" s="151"/>
      <c r="CT454" s="151"/>
      <c r="CU454" s="151"/>
      <c r="CV454" s="151"/>
      <c r="CW454" s="151"/>
      <c r="CX454" s="151"/>
      <c r="CY454" s="151"/>
      <c r="CZ454" s="151"/>
      <c r="DA454" s="151"/>
      <c r="DB454" s="151"/>
      <c r="DC454" s="151"/>
      <c r="DD454" s="151"/>
      <c r="DE454" s="151"/>
      <c r="DF454" s="151"/>
      <c r="DG454" s="151"/>
      <c r="DH454" s="151"/>
      <c r="DI454" s="151"/>
      <c r="DJ454" s="151"/>
      <c r="DK454" s="151"/>
      <c r="DL454" s="151"/>
      <c r="DM454" s="151"/>
      <c r="DN454" s="151"/>
      <c r="DO454" s="151"/>
      <c r="DP454" s="151"/>
      <c r="DQ454" s="151"/>
      <c r="DR454" s="151"/>
      <c r="DS454" s="151"/>
      <c r="DT454" s="151"/>
      <c r="DU454" s="151"/>
      <c r="DV454" s="151"/>
      <c r="DW454" s="151"/>
      <c r="DX454" s="151"/>
      <c r="DY454" s="151"/>
      <c r="DZ454" s="151"/>
      <c r="EA454" s="151"/>
      <c r="EB454" s="151"/>
      <c r="EC454" s="151"/>
      <c r="ED454" s="151"/>
      <c r="EE454" s="151"/>
      <c r="EF454" s="151"/>
      <c r="EG454" s="151"/>
      <c r="EH454" s="151"/>
      <c r="EI454" s="151"/>
      <c r="EJ454" s="151"/>
      <c r="EK454" s="151"/>
      <c r="EL454" s="151"/>
      <c r="EM454" s="151"/>
      <c r="EN454" s="151"/>
      <c r="EO454" s="151"/>
      <c r="EP454" s="151"/>
      <c r="EQ454" s="151"/>
      <c r="ER454" s="151"/>
      <c r="ES454" s="151"/>
      <c r="ET454" s="151"/>
      <c r="EU454" s="151"/>
      <c r="EV454" s="151"/>
      <c r="EW454" s="151"/>
      <c r="EX454" s="151"/>
      <c r="EY454" s="151"/>
      <c r="EZ454" s="151"/>
      <c r="FA454" s="151"/>
      <c r="FB454" s="151"/>
      <c r="FC454" s="151"/>
      <c r="FD454" s="151"/>
      <c r="FE454" s="151"/>
      <c r="FF454" s="151"/>
      <c r="FG454" s="151"/>
      <c r="FH454" s="151"/>
      <c r="FI454" s="151"/>
      <c r="FJ454" s="151"/>
      <c r="FK454" s="151"/>
      <c r="FL454" s="151"/>
      <c r="FM454" s="151"/>
      <c r="FN454" s="151"/>
      <c r="FO454" s="151"/>
      <c r="FP454" s="151"/>
      <c r="FQ454" s="151"/>
      <c r="FR454" s="151"/>
      <c r="FS454" s="151"/>
      <c r="FT454" s="151"/>
      <c r="FU454" s="151"/>
      <c r="FV454" s="151"/>
      <c r="FW454" s="151"/>
      <c r="FX454" s="151"/>
      <c r="FY454" s="151"/>
      <c r="FZ454" s="151"/>
      <c r="GA454" s="151"/>
      <c r="GB454" s="151"/>
      <c r="GC454" s="151"/>
      <c r="GD454" s="151"/>
      <c r="GE454" s="151"/>
      <c r="GF454" s="151"/>
      <c r="GG454" s="152"/>
    </row>
    <row r="455" spans="1:189" x14ac:dyDescent="0.35">
      <c r="A455" s="268"/>
      <c r="B455" s="221"/>
      <c r="C455" s="221"/>
      <c r="D455" s="222"/>
      <c r="E455" s="221"/>
      <c r="F455" s="221"/>
      <c r="G455" s="223"/>
      <c r="H455" s="224"/>
      <c r="I455" s="225"/>
      <c r="J455" s="225"/>
      <c r="K455" s="225"/>
      <c r="L455" s="226"/>
      <c r="M455" s="226"/>
      <c r="N455" s="226"/>
      <c r="O455" s="226"/>
      <c r="P455" s="226"/>
      <c r="Q455" s="227"/>
      <c r="R455" s="228"/>
      <c r="S455" s="228"/>
      <c r="T455" s="228"/>
      <c r="U455" s="191">
        <f t="shared" si="494"/>
        <v>0</v>
      </c>
      <c r="V455" s="86"/>
      <c r="W455" s="45"/>
      <c r="X455" s="46"/>
      <c r="Y455" s="167">
        <f t="shared" si="495"/>
        <v>0</v>
      </c>
      <c r="Z455" s="167">
        <f t="shared" si="496"/>
        <v>0</v>
      </c>
      <c r="AA455" s="167">
        <f t="shared" si="497"/>
        <v>0</v>
      </c>
      <c r="AB455" s="167">
        <f t="shared" si="498"/>
        <v>0</v>
      </c>
      <c r="AC455" s="167">
        <f t="shared" si="499"/>
        <v>0</v>
      </c>
      <c r="AD455" s="167">
        <f t="shared" si="500"/>
        <v>0</v>
      </c>
      <c r="AF455" s="47">
        <f t="shared" si="492"/>
        <v>0</v>
      </c>
      <c r="AG455" s="202" t="str">
        <f t="shared" si="493"/>
        <v xml:space="preserve"> </v>
      </c>
      <c r="AH455" s="147"/>
      <c r="AI455" s="148"/>
      <c r="AJ455" s="148"/>
      <c r="AK455" s="148"/>
      <c r="AL455" s="148"/>
      <c r="AM455" s="148"/>
      <c r="AN455" s="148"/>
      <c r="AO455" s="148"/>
      <c r="AP455" s="148"/>
      <c r="AQ455" s="148"/>
      <c r="AR455" s="148"/>
      <c r="AS455" s="148"/>
      <c r="AT455" s="148"/>
      <c r="AU455" s="148"/>
      <c r="AV455" s="148"/>
      <c r="AW455" s="148"/>
      <c r="AX455" s="148"/>
      <c r="AY455" s="148"/>
      <c r="AZ455" s="148"/>
      <c r="BA455" s="148"/>
      <c r="BB455" s="148"/>
      <c r="BC455" s="148"/>
      <c r="BD455" s="148"/>
      <c r="BE455" s="148"/>
      <c r="BF455" s="148"/>
      <c r="BG455" s="148"/>
      <c r="BH455" s="148"/>
      <c r="BI455" s="148"/>
      <c r="BJ455" s="148"/>
      <c r="BK455" s="148"/>
      <c r="BL455" s="148"/>
      <c r="BM455" s="148"/>
      <c r="BN455" s="148"/>
      <c r="BO455" s="148"/>
      <c r="BP455" s="148"/>
      <c r="BQ455" s="148"/>
      <c r="BR455" s="148"/>
      <c r="BS455" s="148"/>
      <c r="BT455" s="148"/>
      <c r="BU455" s="148"/>
      <c r="BV455" s="148"/>
      <c r="BW455" s="148"/>
      <c r="BX455" s="148"/>
      <c r="BY455" s="148"/>
      <c r="BZ455" s="148"/>
      <c r="CA455" s="148"/>
      <c r="CB455" s="148"/>
      <c r="CC455" s="148"/>
      <c r="CD455" s="148"/>
      <c r="CE455" s="148"/>
      <c r="CF455" s="148"/>
      <c r="CG455" s="148"/>
      <c r="CH455" s="148"/>
      <c r="CI455" s="148"/>
      <c r="CJ455" s="148"/>
      <c r="CK455" s="148"/>
      <c r="CL455" s="148"/>
      <c r="CM455" s="148"/>
      <c r="CN455" s="148"/>
      <c r="CO455" s="148"/>
      <c r="CP455" s="148"/>
      <c r="CQ455" s="148"/>
      <c r="CR455" s="148"/>
      <c r="CS455" s="148"/>
      <c r="CT455" s="148"/>
      <c r="CU455" s="148"/>
      <c r="CV455" s="148"/>
      <c r="CW455" s="148"/>
      <c r="CX455" s="148"/>
      <c r="CY455" s="148"/>
      <c r="CZ455" s="148"/>
      <c r="DA455" s="148"/>
      <c r="DB455" s="148"/>
      <c r="DC455" s="148"/>
      <c r="DD455" s="148"/>
      <c r="DE455" s="148"/>
      <c r="DF455" s="148"/>
      <c r="DG455" s="148"/>
      <c r="DH455" s="148"/>
      <c r="DI455" s="148"/>
      <c r="DJ455" s="148"/>
      <c r="DK455" s="148"/>
      <c r="DL455" s="148"/>
      <c r="DM455" s="148"/>
      <c r="DN455" s="148"/>
      <c r="DO455" s="148"/>
      <c r="DP455" s="148"/>
      <c r="DQ455" s="148"/>
      <c r="DR455" s="148"/>
      <c r="DS455" s="148"/>
      <c r="DT455" s="148"/>
      <c r="DU455" s="148"/>
      <c r="DV455" s="148"/>
      <c r="DW455" s="148"/>
      <c r="DX455" s="148"/>
      <c r="DY455" s="148"/>
      <c r="DZ455" s="148"/>
      <c r="EA455" s="148"/>
      <c r="EB455" s="148"/>
      <c r="EC455" s="148"/>
      <c r="ED455" s="148"/>
      <c r="EE455" s="148"/>
      <c r="EF455" s="148"/>
      <c r="EG455" s="148"/>
      <c r="EH455" s="148"/>
      <c r="EI455" s="148"/>
      <c r="EJ455" s="148"/>
      <c r="EK455" s="148"/>
      <c r="EL455" s="148"/>
      <c r="EM455" s="148"/>
      <c r="EN455" s="148"/>
      <c r="EO455" s="148"/>
      <c r="EP455" s="148"/>
      <c r="EQ455" s="148"/>
      <c r="ER455" s="148"/>
      <c r="ES455" s="148"/>
      <c r="ET455" s="148"/>
      <c r="EU455" s="148"/>
      <c r="EV455" s="148"/>
      <c r="EW455" s="148"/>
      <c r="EX455" s="148"/>
      <c r="EY455" s="148"/>
      <c r="EZ455" s="148"/>
      <c r="FA455" s="148"/>
      <c r="FB455" s="148"/>
      <c r="FC455" s="148"/>
      <c r="FD455" s="148"/>
      <c r="FE455" s="148"/>
      <c r="FF455" s="148"/>
      <c r="FG455" s="148"/>
      <c r="FH455" s="148"/>
      <c r="FI455" s="148"/>
      <c r="FJ455" s="148"/>
      <c r="FK455" s="148"/>
      <c r="FL455" s="148"/>
      <c r="FM455" s="148"/>
      <c r="FN455" s="148"/>
      <c r="FO455" s="148"/>
      <c r="FP455" s="148"/>
      <c r="FQ455" s="148"/>
      <c r="FR455" s="148"/>
      <c r="FS455" s="148"/>
      <c r="FT455" s="148"/>
      <c r="FU455" s="148"/>
      <c r="FV455" s="148"/>
      <c r="FW455" s="148"/>
      <c r="FX455" s="148"/>
      <c r="FY455" s="148"/>
      <c r="FZ455" s="148"/>
      <c r="GA455" s="148"/>
      <c r="GB455" s="148"/>
      <c r="GC455" s="148"/>
      <c r="GD455" s="148"/>
      <c r="GE455" s="148"/>
      <c r="GF455" s="148"/>
      <c r="GG455" s="149"/>
    </row>
    <row r="456" spans="1:189" x14ac:dyDescent="0.35">
      <c r="A456" s="268"/>
      <c r="B456" s="221"/>
      <c r="C456" s="221"/>
      <c r="D456" s="222"/>
      <c r="E456" s="221"/>
      <c r="F456" s="221"/>
      <c r="G456" s="223"/>
      <c r="H456" s="224"/>
      <c r="I456" s="225"/>
      <c r="J456" s="225"/>
      <c r="K456" s="225"/>
      <c r="L456" s="226"/>
      <c r="M456" s="226"/>
      <c r="N456" s="226"/>
      <c r="O456" s="226"/>
      <c r="P456" s="226"/>
      <c r="Q456" s="227"/>
      <c r="R456" s="228"/>
      <c r="S456" s="228"/>
      <c r="T456" s="228"/>
      <c r="U456" s="191">
        <f t="shared" si="494"/>
        <v>0</v>
      </c>
      <c r="V456" s="86"/>
      <c r="W456" s="45"/>
      <c r="X456" s="46"/>
      <c r="Y456" s="167">
        <f t="shared" si="495"/>
        <v>0</v>
      </c>
      <c r="Z456" s="167">
        <f t="shared" si="496"/>
        <v>0</v>
      </c>
      <c r="AA456" s="167">
        <f t="shared" si="497"/>
        <v>0</v>
      </c>
      <c r="AB456" s="167">
        <f t="shared" si="498"/>
        <v>0</v>
      </c>
      <c r="AC456" s="167">
        <f t="shared" si="499"/>
        <v>0</v>
      </c>
      <c r="AD456" s="167">
        <f t="shared" si="500"/>
        <v>0</v>
      </c>
      <c r="AF456" s="47">
        <f t="shared" si="492"/>
        <v>0</v>
      </c>
      <c r="AG456" s="202" t="str">
        <f t="shared" si="493"/>
        <v xml:space="preserve"> </v>
      </c>
      <c r="AH456" s="150"/>
      <c r="AI456" s="151"/>
      <c r="AJ456" s="151"/>
      <c r="AK456" s="151"/>
      <c r="AL456" s="151"/>
      <c r="AM456" s="151"/>
      <c r="AN456" s="151"/>
      <c r="AO456" s="151"/>
      <c r="AP456" s="151"/>
      <c r="AQ456" s="151"/>
      <c r="AR456" s="151"/>
      <c r="AS456" s="151"/>
      <c r="AT456" s="151"/>
      <c r="AU456" s="151"/>
      <c r="AV456" s="151"/>
      <c r="AW456" s="151"/>
      <c r="AX456" s="151"/>
      <c r="AY456" s="151"/>
      <c r="AZ456" s="151"/>
      <c r="BA456" s="151"/>
      <c r="BB456" s="151"/>
      <c r="BC456" s="151"/>
      <c r="BD456" s="151"/>
      <c r="BE456" s="151"/>
      <c r="BF456" s="151"/>
      <c r="BG456" s="151"/>
      <c r="BH456" s="151"/>
      <c r="BI456" s="151"/>
      <c r="BJ456" s="151"/>
      <c r="BK456" s="151"/>
      <c r="BL456" s="151"/>
      <c r="BM456" s="151"/>
      <c r="BN456" s="151"/>
      <c r="BO456" s="151"/>
      <c r="BP456" s="151"/>
      <c r="BQ456" s="151"/>
      <c r="BR456" s="151"/>
      <c r="BS456" s="151"/>
      <c r="BT456" s="151"/>
      <c r="BU456" s="151"/>
      <c r="BV456" s="151"/>
      <c r="BW456" s="151"/>
      <c r="BX456" s="151"/>
      <c r="BY456" s="151"/>
      <c r="BZ456" s="151"/>
      <c r="CA456" s="151"/>
      <c r="CB456" s="151"/>
      <c r="CC456" s="151"/>
      <c r="CD456" s="151"/>
      <c r="CE456" s="151"/>
      <c r="CF456" s="151"/>
      <c r="CG456" s="151"/>
      <c r="CH456" s="151"/>
      <c r="CI456" s="151"/>
      <c r="CJ456" s="151"/>
      <c r="CK456" s="151"/>
      <c r="CL456" s="151"/>
      <c r="CM456" s="151"/>
      <c r="CN456" s="151"/>
      <c r="CO456" s="151"/>
      <c r="CP456" s="151"/>
      <c r="CQ456" s="151"/>
      <c r="CR456" s="151"/>
      <c r="CS456" s="151"/>
      <c r="CT456" s="151"/>
      <c r="CU456" s="151"/>
      <c r="CV456" s="151"/>
      <c r="CW456" s="151"/>
      <c r="CX456" s="151"/>
      <c r="CY456" s="151"/>
      <c r="CZ456" s="151"/>
      <c r="DA456" s="151"/>
      <c r="DB456" s="151"/>
      <c r="DC456" s="151"/>
      <c r="DD456" s="151"/>
      <c r="DE456" s="151"/>
      <c r="DF456" s="151"/>
      <c r="DG456" s="151"/>
      <c r="DH456" s="151"/>
      <c r="DI456" s="151"/>
      <c r="DJ456" s="151"/>
      <c r="DK456" s="151"/>
      <c r="DL456" s="151"/>
      <c r="DM456" s="151"/>
      <c r="DN456" s="151"/>
      <c r="DO456" s="151"/>
      <c r="DP456" s="151"/>
      <c r="DQ456" s="151"/>
      <c r="DR456" s="151"/>
      <c r="DS456" s="151"/>
      <c r="DT456" s="151"/>
      <c r="DU456" s="151"/>
      <c r="DV456" s="151"/>
      <c r="DW456" s="151"/>
      <c r="DX456" s="151"/>
      <c r="DY456" s="151"/>
      <c r="DZ456" s="151"/>
      <c r="EA456" s="151"/>
      <c r="EB456" s="151"/>
      <c r="EC456" s="151"/>
      <c r="ED456" s="151"/>
      <c r="EE456" s="151"/>
      <c r="EF456" s="151"/>
      <c r="EG456" s="151"/>
      <c r="EH456" s="151"/>
      <c r="EI456" s="151"/>
      <c r="EJ456" s="151"/>
      <c r="EK456" s="151"/>
      <c r="EL456" s="151"/>
      <c r="EM456" s="151"/>
      <c r="EN456" s="151"/>
      <c r="EO456" s="151"/>
      <c r="EP456" s="151"/>
      <c r="EQ456" s="151"/>
      <c r="ER456" s="151"/>
      <c r="ES456" s="151"/>
      <c r="ET456" s="151"/>
      <c r="EU456" s="151"/>
      <c r="EV456" s="151"/>
      <c r="EW456" s="151"/>
      <c r="EX456" s="151"/>
      <c r="EY456" s="151"/>
      <c r="EZ456" s="151"/>
      <c r="FA456" s="151"/>
      <c r="FB456" s="151"/>
      <c r="FC456" s="151"/>
      <c r="FD456" s="151"/>
      <c r="FE456" s="151"/>
      <c r="FF456" s="151"/>
      <c r="FG456" s="151"/>
      <c r="FH456" s="151"/>
      <c r="FI456" s="151"/>
      <c r="FJ456" s="151"/>
      <c r="FK456" s="151"/>
      <c r="FL456" s="151"/>
      <c r="FM456" s="151"/>
      <c r="FN456" s="151"/>
      <c r="FO456" s="151"/>
      <c r="FP456" s="151"/>
      <c r="FQ456" s="151"/>
      <c r="FR456" s="151"/>
      <c r="FS456" s="151"/>
      <c r="FT456" s="151"/>
      <c r="FU456" s="151"/>
      <c r="FV456" s="151"/>
      <c r="FW456" s="151"/>
      <c r="FX456" s="151"/>
      <c r="FY456" s="151"/>
      <c r="FZ456" s="151"/>
      <c r="GA456" s="151"/>
      <c r="GB456" s="151"/>
      <c r="GC456" s="151"/>
      <c r="GD456" s="151"/>
      <c r="GE456" s="151"/>
      <c r="GF456" s="151"/>
      <c r="GG456" s="152"/>
    </row>
    <row r="457" spans="1:189" x14ac:dyDescent="0.35">
      <c r="A457" s="268"/>
      <c r="B457" s="221"/>
      <c r="C457" s="221"/>
      <c r="D457" s="222"/>
      <c r="E457" s="221"/>
      <c r="F457" s="221"/>
      <c r="G457" s="223"/>
      <c r="H457" s="224"/>
      <c r="I457" s="225"/>
      <c r="J457" s="225"/>
      <c r="K457" s="225"/>
      <c r="L457" s="226"/>
      <c r="M457" s="226"/>
      <c r="N457" s="226"/>
      <c r="O457" s="226"/>
      <c r="P457" s="226"/>
      <c r="Q457" s="227"/>
      <c r="R457" s="228"/>
      <c r="S457" s="228"/>
      <c r="T457" s="228"/>
      <c r="U457" s="191">
        <f t="shared" si="494"/>
        <v>0</v>
      </c>
      <c r="V457" s="86"/>
      <c r="W457" s="45"/>
      <c r="X457" s="46"/>
      <c r="Y457" s="167">
        <f t="shared" si="495"/>
        <v>0</v>
      </c>
      <c r="Z457" s="167">
        <f t="shared" si="496"/>
        <v>0</v>
      </c>
      <c r="AA457" s="167">
        <f t="shared" si="497"/>
        <v>0</v>
      </c>
      <c r="AB457" s="167">
        <f t="shared" si="498"/>
        <v>0</v>
      </c>
      <c r="AC457" s="167">
        <f t="shared" si="499"/>
        <v>0</v>
      </c>
      <c r="AD457" s="167">
        <f t="shared" si="500"/>
        <v>0</v>
      </c>
      <c r="AF457" s="47">
        <f t="shared" si="492"/>
        <v>0</v>
      </c>
      <c r="AG457" s="202" t="str">
        <f t="shared" si="493"/>
        <v xml:space="preserve"> </v>
      </c>
      <c r="AH457" s="150"/>
      <c r="AI457" s="151"/>
      <c r="AJ457" s="151"/>
      <c r="AK457" s="151"/>
      <c r="AL457" s="151"/>
      <c r="AM457" s="151"/>
      <c r="AN457" s="151"/>
      <c r="AO457" s="151"/>
      <c r="AP457" s="151"/>
      <c r="AQ457" s="151"/>
      <c r="AR457" s="151"/>
      <c r="AS457" s="151"/>
      <c r="AT457" s="151"/>
      <c r="AU457" s="151"/>
      <c r="AV457" s="151"/>
      <c r="AW457" s="151"/>
      <c r="AX457" s="151"/>
      <c r="AY457" s="151"/>
      <c r="AZ457" s="151"/>
      <c r="BA457" s="151"/>
      <c r="BB457" s="151"/>
      <c r="BC457" s="151"/>
      <c r="BD457" s="151"/>
      <c r="BE457" s="151"/>
      <c r="BF457" s="151"/>
      <c r="BG457" s="151"/>
      <c r="BH457" s="151"/>
      <c r="BI457" s="151"/>
      <c r="BJ457" s="151"/>
      <c r="BK457" s="151"/>
      <c r="BL457" s="151"/>
      <c r="BM457" s="151"/>
      <c r="BN457" s="151"/>
      <c r="BO457" s="151"/>
      <c r="BP457" s="151"/>
      <c r="BQ457" s="151"/>
      <c r="BR457" s="151"/>
      <c r="BS457" s="151"/>
      <c r="BT457" s="151"/>
      <c r="BU457" s="151"/>
      <c r="BV457" s="151"/>
      <c r="BW457" s="151"/>
      <c r="BX457" s="151"/>
      <c r="BY457" s="151"/>
      <c r="BZ457" s="151"/>
      <c r="CA457" s="151"/>
      <c r="CB457" s="151"/>
      <c r="CC457" s="151"/>
      <c r="CD457" s="151"/>
      <c r="CE457" s="151"/>
      <c r="CF457" s="151"/>
      <c r="CG457" s="151"/>
      <c r="CH457" s="151"/>
      <c r="CI457" s="151"/>
      <c r="CJ457" s="151"/>
      <c r="CK457" s="151"/>
      <c r="CL457" s="151"/>
      <c r="CM457" s="151"/>
      <c r="CN457" s="151"/>
      <c r="CO457" s="151"/>
      <c r="CP457" s="151"/>
      <c r="CQ457" s="151"/>
      <c r="CR457" s="151"/>
      <c r="CS457" s="151"/>
      <c r="CT457" s="151"/>
      <c r="CU457" s="151"/>
      <c r="CV457" s="151"/>
      <c r="CW457" s="151"/>
      <c r="CX457" s="151"/>
      <c r="CY457" s="151"/>
      <c r="CZ457" s="151"/>
      <c r="DA457" s="151"/>
      <c r="DB457" s="151"/>
      <c r="DC457" s="151"/>
      <c r="DD457" s="151"/>
      <c r="DE457" s="151"/>
      <c r="DF457" s="151"/>
      <c r="DG457" s="151"/>
      <c r="DH457" s="151"/>
      <c r="DI457" s="151"/>
      <c r="DJ457" s="151"/>
      <c r="DK457" s="151"/>
      <c r="DL457" s="151"/>
      <c r="DM457" s="151"/>
      <c r="DN457" s="151"/>
      <c r="DO457" s="151"/>
      <c r="DP457" s="151"/>
      <c r="DQ457" s="151"/>
      <c r="DR457" s="151"/>
      <c r="DS457" s="151"/>
      <c r="DT457" s="151"/>
      <c r="DU457" s="151"/>
      <c r="DV457" s="151"/>
      <c r="DW457" s="151"/>
      <c r="DX457" s="151"/>
      <c r="DY457" s="151"/>
      <c r="DZ457" s="151"/>
      <c r="EA457" s="151"/>
      <c r="EB457" s="151"/>
      <c r="EC457" s="151"/>
      <c r="ED457" s="151"/>
      <c r="EE457" s="151"/>
      <c r="EF457" s="151"/>
      <c r="EG457" s="151"/>
      <c r="EH457" s="151"/>
      <c r="EI457" s="151"/>
      <c r="EJ457" s="151"/>
      <c r="EK457" s="151"/>
      <c r="EL457" s="151"/>
      <c r="EM457" s="151"/>
      <c r="EN457" s="151"/>
      <c r="EO457" s="151"/>
      <c r="EP457" s="151"/>
      <c r="EQ457" s="151"/>
      <c r="ER457" s="151"/>
      <c r="ES457" s="151"/>
      <c r="ET457" s="151"/>
      <c r="EU457" s="151"/>
      <c r="EV457" s="151"/>
      <c r="EW457" s="151"/>
      <c r="EX457" s="151"/>
      <c r="EY457" s="151"/>
      <c r="EZ457" s="151"/>
      <c r="FA457" s="151"/>
      <c r="FB457" s="151"/>
      <c r="FC457" s="151"/>
      <c r="FD457" s="151"/>
      <c r="FE457" s="151"/>
      <c r="FF457" s="151"/>
      <c r="FG457" s="151"/>
      <c r="FH457" s="151"/>
      <c r="FI457" s="151"/>
      <c r="FJ457" s="151"/>
      <c r="FK457" s="151"/>
      <c r="FL457" s="151"/>
      <c r="FM457" s="151"/>
      <c r="FN457" s="151"/>
      <c r="FO457" s="151"/>
      <c r="FP457" s="151"/>
      <c r="FQ457" s="151"/>
      <c r="FR457" s="151"/>
      <c r="FS457" s="151"/>
      <c r="FT457" s="151"/>
      <c r="FU457" s="151"/>
      <c r="FV457" s="151"/>
      <c r="FW457" s="151"/>
      <c r="FX457" s="151"/>
      <c r="FY457" s="151"/>
      <c r="FZ457" s="151"/>
      <c r="GA457" s="151"/>
      <c r="GB457" s="151"/>
      <c r="GC457" s="151"/>
      <c r="GD457" s="151"/>
      <c r="GE457" s="151"/>
      <c r="GF457" s="151"/>
      <c r="GG457" s="152"/>
    </row>
    <row r="458" spans="1:189" x14ac:dyDescent="0.35">
      <c r="A458" s="268"/>
      <c r="B458" s="221"/>
      <c r="C458" s="221"/>
      <c r="D458" s="222"/>
      <c r="E458" s="221"/>
      <c r="F458" s="221"/>
      <c r="G458" s="223"/>
      <c r="H458" s="224"/>
      <c r="I458" s="225"/>
      <c r="J458" s="225"/>
      <c r="K458" s="225"/>
      <c r="L458" s="226"/>
      <c r="M458" s="226"/>
      <c r="N458" s="226"/>
      <c r="O458" s="226"/>
      <c r="P458" s="226"/>
      <c r="Q458" s="227"/>
      <c r="R458" s="228"/>
      <c r="S458" s="228"/>
      <c r="T458" s="228"/>
      <c r="U458" s="191">
        <f t="shared" si="494"/>
        <v>0</v>
      </c>
      <c r="V458" s="86"/>
      <c r="W458" s="45"/>
      <c r="X458" s="46"/>
      <c r="Y458" s="167">
        <f t="shared" si="495"/>
        <v>0</v>
      </c>
      <c r="Z458" s="167">
        <f t="shared" si="496"/>
        <v>0</v>
      </c>
      <c r="AA458" s="167">
        <f t="shared" si="497"/>
        <v>0</v>
      </c>
      <c r="AB458" s="167">
        <f t="shared" si="498"/>
        <v>0</v>
      </c>
      <c r="AC458" s="167">
        <f t="shared" si="499"/>
        <v>0</v>
      </c>
      <c r="AD458" s="167">
        <f t="shared" si="500"/>
        <v>0</v>
      </c>
      <c r="AF458" s="47">
        <f t="shared" si="492"/>
        <v>0</v>
      </c>
      <c r="AG458" s="202" t="str">
        <f t="shared" si="493"/>
        <v xml:space="preserve"> </v>
      </c>
      <c r="AH458" s="150"/>
      <c r="AI458" s="151"/>
      <c r="AJ458" s="151"/>
      <c r="AK458" s="151"/>
      <c r="AL458" s="151"/>
      <c r="AM458" s="151"/>
      <c r="AN458" s="151"/>
      <c r="AO458" s="151"/>
      <c r="AP458" s="151"/>
      <c r="AQ458" s="151"/>
      <c r="AR458" s="151"/>
      <c r="AS458" s="151"/>
      <c r="AT458" s="151"/>
      <c r="AU458" s="151"/>
      <c r="AV458" s="151"/>
      <c r="AW458" s="151"/>
      <c r="AX458" s="151"/>
      <c r="AY458" s="151"/>
      <c r="AZ458" s="151"/>
      <c r="BA458" s="151"/>
      <c r="BB458" s="151"/>
      <c r="BC458" s="151"/>
      <c r="BD458" s="151"/>
      <c r="BE458" s="151"/>
      <c r="BF458" s="151"/>
      <c r="BG458" s="151"/>
      <c r="BH458" s="151"/>
      <c r="BI458" s="151"/>
      <c r="BJ458" s="151"/>
      <c r="BK458" s="151"/>
      <c r="BL458" s="151"/>
      <c r="BM458" s="151"/>
      <c r="BN458" s="151"/>
      <c r="BO458" s="151"/>
      <c r="BP458" s="151"/>
      <c r="BQ458" s="151"/>
      <c r="BR458" s="151"/>
      <c r="BS458" s="151"/>
      <c r="BT458" s="151"/>
      <c r="BU458" s="151"/>
      <c r="BV458" s="151"/>
      <c r="BW458" s="151"/>
      <c r="BX458" s="151"/>
      <c r="BY458" s="151"/>
      <c r="BZ458" s="151"/>
      <c r="CA458" s="151"/>
      <c r="CB458" s="151"/>
      <c r="CC458" s="151"/>
      <c r="CD458" s="151"/>
      <c r="CE458" s="151"/>
      <c r="CF458" s="151"/>
      <c r="CG458" s="151"/>
      <c r="CH458" s="151"/>
      <c r="CI458" s="151"/>
      <c r="CJ458" s="151"/>
      <c r="CK458" s="151"/>
      <c r="CL458" s="151"/>
      <c r="CM458" s="151"/>
      <c r="CN458" s="151"/>
      <c r="CO458" s="151"/>
      <c r="CP458" s="151"/>
      <c r="CQ458" s="151"/>
      <c r="CR458" s="151"/>
      <c r="CS458" s="151"/>
      <c r="CT458" s="151"/>
      <c r="CU458" s="151"/>
      <c r="CV458" s="151"/>
      <c r="CW458" s="151"/>
      <c r="CX458" s="151"/>
      <c r="CY458" s="151"/>
      <c r="CZ458" s="151"/>
      <c r="DA458" s="151"/>
      <c r="DB458" s="151"/>
      <c r="DC458" s="151"/>
      <c r="DD458" s="151"/>
      <c r="DE458" s="151"/>
      <c r="DF458" s="151"/>
      <c r="DG458" s="151"/>
      <c r="DH458" s="151"/>
      <c r="DI458" s="151"/>
      <c r="DJ458" s="151"/>
      <c r="DK458" s="151"/>
      <c r="DL458" s="151"/>
      <c r="DM458" s="151"/>
      <c r="DN458" s="151"/>
      <c r="DO458" s="151"/>
      <c r="DP458" s="151"/>
      <c r="DQ458" s="151"/>
      <c r="DR458" s="151"/>
      <c r="DS458" s="151"/>
      <c r="DT458" s="151"/>
      <c r="DU458" s="151"/>
      <c r="DV458" s="151"/>
      <c r="DW458" s="151"/>
      <c r="DX458" s="151"/>
      <c r="DY458" s="151"/>
      <c r="DZ458" s="151"/>
      <c r="EA458" s="151"/>
      <c r="EB458" s="151"/>
      <c r="EC458" s="151"/>
      <c r="ED458" s="151"/>
      <c r="EE458" s="151"/>
      <c r="EF458" s="151"/>
      <c r="EG458" s="151"/>
      <c r="EH458" s="151"/>
      <c r="EI458" s="151"/>
      <c r="EJ458" s="151"/>
      <c r="EK458" s="151"/>
      <c r="EL458" s="151"/>
      <c r="EM458" s="151"/>
      <c r="EN458" s="151"/>
      <c r="EO458" s="151"/>
      <c r="EP458" s="151"/>
      <c r="EQ458" s="151"/>
      <c r="ER458" s="151"/>
      <c r="ES458" s="151"/>
      <c r="ET458" s="151"/>
      <c r="EU458" s="151"/>
      <c r="EV458" s="151"/>
      <c r="EW458" s="151"/>
      <c r="EX458" s="151"/>
      <c r="EY458" s="151"/>
      <c r="EZ458" s="151"/>
      <c r="FA458" s="151"/>
      <c r="FB458" s="151"/>
      <c r="FC458" s="151"/>
      <c r="FD458" s="151"/>
      <c r="FE458" s="151"/>
      <c r="FF458" s="151"/>
      <c r="FG458" s="151"/>
      <c r="FH458" s="151"/>
      <c r="FI458" s="151"/>
      <c r="FJ458" s="151"/>
      <c r="FK458" s="151"/>
      <c r="FL458" s="151"/>
      <c r="FM458" s="151"/>
      <c r="FN458" s="151"/>
      <c r="FO458" s="151"/>
      <c r="FP458" s="151"/>
      <c r="FQ458" s="151"/>
      <c r="FR458" s="151"/>
      <c r="FS458" s="151"/>
      <c r="FT458" s="151"/>
      <c r="FU458" s="151"/>
      <c r="FV458" s="151"/>
      <c r="FW458" s="151"/>
      <c r="FX458" s="151"/>
      <c r="FY458" s="151"/>
      <c r="FZ458" s="151"/>
      <c r="GA458" s="151"/>
      <c r="GB458" s="151"/>
      <c r="GC458" s="151"/>
      <c r="GD458" s="151"/>
      <c r="GE458" s="151"/>
      <c r="GF458" s="151"/>
      <c r="GG458" s="152"/>
    </row>
    <row r="459" spans="1:189" x14ac:dyDescent="0.35">
      <c r="A459" s="268"/>
      <c r="B459" s="221"/>
      <c r="C459" s="221"/>
      <c r="D459" s="222"/>
      <c r="E459" s="221"/>
      <c r="F459" s="221"/>
      <c r="G459" s="223"/>
      <c r="H459" s="224"/>
      <c r="I459" s="225"/>
      <c r="J459" s="225"/>
      <c r="K459" s="225"/>
      <c r="L459" s="226"/>
      <c r="M459" s="226"/>
      <c r="N459" s="226"/>
      <c r="O459" s="226"/>
      <c r="P459" s="226"/>
      <c r="Q459" s="227"/>
      <c r="R459" s="228"/>
      <c r="S459" s="228"/>
      <c r="T459" s="228"/>
      <c r="U459" s="191">
        <f t="shared" si="494"/>
        <v>0</v>
      </c>
      <c r="V459" s="86"/>
      <c r="W459" s="45"/>
      <c r="X459" s="46"/>
      <c r="Y459" s="167">
        <f t="shared" si="495"/>
        <v>0</v>
      </c>
      <c r="Z459" s="167">
        <f t="shared" si="496"/>
        <v>0</v>
      </c>
      <c r="AA459" s="167">
        <f t="shared" si="497"/>
        <v>0</v>
      </c>
      <c r="AB459" s="167">
        <f t="shared" si="498"/>
        <v>0</v>
      </c>
      <c r="AC459" s="167">
        <f t="shared" si="499"/>
        <v>0</v>
      </c>
      <c r="AD459" s="167">
        <f t="shared" si="500"/>
        <v>0</v>
      </c>
      <c r="AF459" s="47">
        <f t="shared" si="492"/>
        <v>0</v>
      </c>
      <c r="AG459" s="202" t="str">
        <f t="shared" si="493"/>
        <v xml:space="preserve"> </v>
      </c>
      <c r="AH459" s="147"/>
      <c r="AI459" s="148"/>
      <c r="AJ459" s="148"/>
      <c r="AK459" s="148"/>
      <c r="AL459" s="148"/>
      <c r="AM459" s="148"/>
      <c r="AN459" s="148"/>
      <c r="AO459" s="148"/>
      <c r="AP459" s="148"/>
      <c r="AQ459" s="148"/>
      <c r="AR459" s="148"/>
      <c r="AS459" s="148"/>
      <c r="AT459" s="148"/>
      <c r="AU459" s="148"/>
      <c r="AV459" s="148"/>
      <c r="AW459" s="148"/>
      <c r="AX459" s="148"/>
      <c r="AY459" s="148"/>
      <c r="AZ459" s="148"/>
      <c r="BA459" s="148"/>
      <c r="BB459" s="148"/>
      <c r="BC459" s="148"/>
      <c r="BD459" s="148"/>
      <c r="BE459" s="148"/>
      <c r="BF459" s="148"/>
      <c r="BG459" s="148"/>
      <c r="BH459" s="148"/>
      <c r="BI459" s="148"/>
      <c r="BJ459" s="148"/>
      <c r="BK459" s="148"/>
      <c r="BL459" s="148"/>
      <c r="BM459" s="148"/>
      <c r="BN459" s="148"/>
      <c r="BO459" s="148"/>
      <c r="BP459" s="148"/>
      <c r="BQ459" s="148"/>
      <c r="BR459" s="148"/>
      <c r="BS459" s="148"/>
      <c r="BT459" s="148"/>
      <c r="BU459" s="148"/>
      <c r="BV459" s="148"/>
      <c r="BW459" s="148"/>
      <c r="BX459" s="148"/>
      <c r="BY459" s="148"/>
      <c r="BZ459" s="148"/>
      <c r="CA459" s="148"/>
      <c r="CB459" s="148"/>
      <c r="CC459" s="148"/>
      <c r="CD459" s="148"/>
      <c r="CE459" s="148"/>
      <c r="CF459" s="148"/>
      <c r="CG459" s="148"/>
      <c r="CH459" s="148"/>
      <c r="CI459" s="148"/>
      <c r="CJ459" s="148"/>
      <c r="CK459" s="148"/>
      <c r="CL459" s="148"/>
      <c r="CM459" s="148"/>
      <c r="CN459" s="148"/>
      <c r="CO459" s="148"/>
      <c r="CP459" s="148"/>
      <c r="CQ459" s="148"/>
      <c r="CR459" s="148"/>
      <c r="CS459" s="148"/>
      <c r="CT459" s="148"/>
      <c r="CU459" s="148"/>
      <c r="CV459" s="148"/>
      <c r="CW459" s="148"/>
      <c r="CX459" s="148"/>
      <c r="CY459" s="148"/>
      <c r="CZ459" s="148"/>
      <c r="DA459" s="148"/>
      <c r="DB459" s="148"/>
      <c r="DC459" s="148"/>
      <c r="DD459" s="148"/>
      <c r="DE459" s="148"/>
      <c r="DF459" s="148"/>
      <c r="DG459" s="148"/>
      <c r="DH459" s="148"/>
      <c r="DI459" s="148"/>
      <c r="DJ459" s="148"/>
      <c r="DK459" s="148"/>
      <c r="DL459" s="148"/>
      <c r="DM459" s="148"/>
      <c r="DN459" s="148"/>
      <c r="DO459" s="148"/>
      <c r="DP459" s="148"/>
      <c r="DQ459" s="148"/>
      <c r="DR459" s="148"/>
      <c r="DS459" s="148"/>
      <c r="DT459" s="148"/>
      <c r="DU459" s="148"/>
      <c r="DV459" s="148"/>
      <c r="DW459" s="148"/>
      <c r="DX459" s="148"/>
      <c r="DY459" s="148"/>
      <c r="DZ459" s="148"/>
      <c r="EA459" s="148"/>
      <c r="EB459" s="148"/>
      <c r="EC459" s="148"/>
      <c r="ED459" s="148"/>
      <c r="EE459" s="148"/>
      <c r="EF459" s="148"/>
      <c r="EG459" s="148"/>
      <c r="EH459" s="148"/>
      <c r="EI459" s="148"/>
      <c r="EJ459" s="148"/>
      <c r="EK459" s="148"/>
      <c r="EL459" s="148"/>
      <c r="EM459" s="148"/>
      <c r="EN459" s="148"/>
      <c r="EO459" s="148"/>
      <c r="EP459" s="148"/>
      <c r="EQ459" s="148"/>
      <c r="ER459" s="148"/>
      <c r="ES459" s="148"/>
      <c r="ET459" s="148"/>
      <c r="EU459" s="148"/>
      <c r="EV459" s="148"/>
      <c r="EW459" s="148"/>
      <c r="EX459" s="148"/>
      <c r="EY459" s="148"/>
      <c r="EZ459" s="148"/>
      <c r="FA459" s="148"/>
      <c r="FB459" s="148"/>
      <c r="FC459" s="148"/>
      <c r="FD459" s="148"/>
      <c r="FE459" s="148"/>
      <c r="FF459" s="148"/>
      <c r="FG459" s="148"/>
      <c r="FH459" s="148"/>
      <c r="FI459" s="148"/>
      <c r="FJ459" s="148"/>
      <c r="FK459" s="148"/>
      <c r="FL459" s="148"/>
      <c r="FM459" s="148"/>
      <c r="FN459" s="148"/>
      <c r="FO459" s="148"/>
      <c r="FP459" s="148"/>
      <c r="FQ459" s="148"/>
      <c r="FR459" s="148"/>
      <c r="FS459" s="148"/>
      <c r="FT459" s="148"/>
      <c r="FU459" s="148"/>
      <c r="FV459" s="148"/>
      <c r="FW459" s="148"/>
      <c r="FX459" s="148"/>
      <c r="FY459" s="148"/>
      <c r="FZ459" s="148"/>
      <c r="GA459" s="148"/>
      <c r="GB459" s="148"/>
      <c r="GC459" s="148"/>
      <c r="GD459" s="148"/>
      <c r="GE459" s="148"/>
      <c r="GF459" s="148"/>
      <c r="GG459" s="149"/>
    </row>
    <row r="460" spans="1:189" x14ac:dyDescent="0.35">
      <c r="A460" s="268"/>
      <c r="B460" s="221"/>
      <c r="C460" s="221"/>
      <c r="D460" s="222"/>
      <c r="E460" s="221"/>
      <c r="F460" s="221"/>
      <c r="G460" s="223"/>
      <c r="H460" s="224"/>
      <c r="I460" s="225"/>
      <c r="J460" s="225"/>
      <c r="K460" s="225"/>
      <c r="L460" s="226"/>
      <c r="M460" s="226"/>
      <c r="N460" s="226"/>
      <c r="O460" s="226"/>
      <c r="P460" s="226"/>
      <c r="Q460" s="227"/>
      <c r="R460" s="228"/>
      <c r="S460" s="228"/>
      <c r="T460" s="228"/>
      <c r="U460" s="191">
        <f t="shared" si="494"/>
        <v>0</v>
      </c>
      <c r="V460" s="86"/>
      <c r="W460" s="45"/>
      <c r="X460" s="46"/>
      <c r="Y460" s="167">
        <f t="shared" si="495"/>
        <v>0</v>
      </c>
      <c r="Z460" s="167">
        <f t="shared" si="496"/>
        <v>0</v>
      </c>
      <c r="AA460" s="167">
        <f t="shared" si="497"/>
        <v>0</v>
      </c>
      <c r="AB460" s="167">
        <f t="shared" si="498"/>
        <v>0</v>
      </c>
      <c r="AC460" s="167">
        <f t="shared" si="499"/>
        <v>0</v>
      </c>
      <c r="AD460" s="167">
        <f t="shared" si="500"/>
        <v>0</v>
      </c>
      <c r="AF460" s="47">
        <f t="shared" si="492"/>
        <v>0</v>
      </c>
      <c r="AG460" s="202" t="str">
        <f t="shared" si="493"/>
        <v xml:space="preserve"> </v>
      </c>
      <c r="AH460" s="150"/>
      <c r="AI460" s="151"/>
      <c r="AJ460" s="151"/>
      <c r="AK460" s="151"/>
      <c r="AL460" s="151"/>
      <c r="AM460" s="151"/>
      <c r="AN460" s="151"/>
      <c r="AO460" s="151"/>
      <c r="AP460" s="151"/>
      <c r="AQ460" s="151"/>
      <c r="AR460" s="151"/>
      <c r="AS460" s="151"/>
      <c r="AT460" s="151"/>
      <c r="AU460" s="151"/>
      <c r="AV460" s="151"/>
      <c r="AW460" s="151"/>
      <c r="AX460" s="151"/>
      <c r="AY460" s="151"/>
      <c r="AZ460" s="151"/>
      <c r="BA460" s="151"/>
      <c r="BB460" s="151"/>
      <c r="BC460" s="151"/>
      <c r="BD460" s="151"/>
      <c r="BE460" s="151"/>
      <c r="BF460" s="151"/>
      <c r="BG460" s="151"/>
      <c r="BH460" s="151"/>
      <c r="BI460" s="151"/>
      <c r="BJ460" s="151"/>
      <c r="BK460" s="151"/>
      <c r="BL460" s="151"/>
      <c r="BM460" s="151"/>
      <c r="BN460" s="151"/>
      <c r="BO460" s="151"/>
      <c r="BP460" s="151"/>
      <c r="BQ460" s="151"/>
      <c r="BR460" s="151"/>
      <c r="BS460" s="151"/>
      <c r="BT460" s="151"/>
      <c r="BU460" s="151"/>
      <c r="BV460" s="151"/>
      <c r="BW460" s="151"/>
      <c r="BX460" s="151"/>
      <c r="BY460" s="151"/>
      <c r="BZ460" s="151"/>
      <c r="CA460" s="151"/>
      <c r="CB460" s="151"/>
      <c r="CC460" s="151"/>
      <c r="CD460" s="151"/>
      <c r="CE460" s="151"/>
      <c r="CF460" s="151"/>
      <c r="CG460" s="151"/>
      <c r="CH460" s="151"/>
      <c r="CI460" s="151"/>
      <c r="CJ460" s="151"/>
      <c r="CK460" s="151"/>
      <c r="CL460" s="151"/>
      <c r="CM460" s="151"/>
      <c r="CN460" s="151"/>
      <c r="CO460" s="151"/>
      <c r="CP460" s="151"/>
      <c r="CQ460" s="151"/>
      <c r="CR460" s="151"/>
      <c r="CS460" s="151"/>
      <c r="CT460" s="151"/>
      <c r="CU460" s="151"/>
      <c r="CV460" s="151"/>
      <c r="CW460" s="151"/>
      <c r="CX460" s="151"/>
      <c r="CY460" s="151"/>
      <c r="CZ460" s="151"/>
      <c r="DA460" s="151"/>
      <c r="DB460" s="151"/>
      <c r="DC460" s="151"/>
      <c r="DD460" s="151"/>
      <c r="DE460" s="151"/>
      <c r="DF460" s="151"/>
      <c r="DG460" s="151"/>
      <c r="DH460" s="151"/>
      <c r="DI460" s="151"/>
      <c r="DJ460" s="151"/>
      <c r="DK460" s="151"/>
      <c r="DL460" s="151"/>
      <c r="DM460" s="151"/>
      <c r="DN460" s="151"/>
      <c r="DO460" s="151"/>
      <c r="DP460" s="151"/>
      <c r="DQ460" s="151"/>
      <c r="DR460" s="151"/>
      <c r="DS460" s="151"/>
      <c r="DT460" s="151"/>
      <c r="DU460" s="151"/>
      <c r="DV460" s="151"/>
      <c r="DW460" s="151"/>
      <c r="DX460" s="151"/>
      <c r="DY460" s="151"/>
      <c r="DZ460" s="151"/>
      <c r="EA460" s="151"/>
      <c r="EB460" s="151"/>
      <c r="EC460" s="151"/>
      <c r="ED460" s="151"/>
      <c r="EE460" s="151"/>
      <c r="EF460" s="151"/>
      <c r="EG460" s="151"/>
      <c r="EH460" s="151"/>
      <c r="EI460" s="151"/>
      <c r="EJ460" s="151"/>
      <c r="EK460" s="151"/>
      <c r="EL460" s="151"/>
      <c r="EM460" s="151"/>
      <c r="EN460" s="151"/>
      <c r="EO460" s="151"/>
      <c r="EP460" s="151"/>
      <c r="EQ460" s="151"/>
      <c r="ER460" s="151"/>
      <c r="ES460" s="151"/>
      <c r="ET460" s="151"/>
      <c r="EU460" s="151"/>
      <c r="EV460" s="151"/>
      <c r="EW460" s="151"/>
      <c r="EX460" s="151"/>
      <c r="EY460" s="151"/>
      <c r="EZ460" s="151"/>
      <c r="FA460" s="151"/>
      <c r="FB460" s="151"/>
      <c r="FC460" s="151"/>
      <c r="FD460" s="151"/>
      <c r="FE460" s="151"/>
      <c r="FF460" s="151"/>
      <c r="FG460" s="151"/>
      <c r="FH460" s="151"/>
      <c r="FI460" s="151"/>
      <c r="FJ460" s="151"/>
      <c r="FK460" s="151"/>
      <c r="FL460" s="151"/>
      <c r="FM460" s="151"/>
      <c r="FN460" s="151"/>
      <c r="FO460" s="151"/>
      <c r="FP460" s="151"/>
      <c r="FQ460" s="151"/>
      <c r="FR460" s="151"/>
      <c r="FS460" s="151"/>
      <c r="FT460" s="151"/>
      <c r="FU460" s="151"/>
      <c r="FV460" s="151"/>
      <c r="FW460" s="151"/>
      <c r="FX460" s="151"/>
      <c r="FY460" s="151"/>
      <c r="FZ460" s="151"/>
      <c r="GA460" s="151"/>
      <c r="GB460" s="151"/>
      <c r="GC460" s="151"/>
      <c r="GD460" s="151"/>
      <c r="GE460" s="151"/>
      <c r="GF460" s="151"/>
      <c r="GG460" s="152"/>
    </row>
    <row r="461" spans="1:189" x14ac:dyDescent="0.35">
      <c r="A461" s="268"/>
      <c r="B461" s="221"/>
      <c r="C461" s="221"/>
      <c r="D461" s="222"/>
      <c r="E461" s="221"/>
      <c r="F461" s="221"/>
      <c r="G461" s="223"/>
      <c r="H461" s="224"/>
      <c r="I461" s="225"/>
      <c r="J461" s="225"/>
      <c r="K461" s="225"/>
      <c r="L461" s="226"/>
      <c r="M461" s="226"/>
      <c r="N461" s="226"/>
      <c r="O461" s="226"/>
      <c r="P461" s="226"/>
      <c r="Q461" s="227"/>
      <c r="R461" s="228"/>
      <c r="S461" s="228"/>
      <c r="T461" s="228"/>
      <c r="U461" s="191">
        <f t="shared" si="494"/>
        <v>0</v>
      </c>
      <c r="V461" s="86"/>
      <c r="W461" s="45"/>
      <c r="X461" s="46"/>
      <c r="Y461" s="167">
        <f t="shared" si="495"/>
        <v>0</v>
      </c>
      <c r="Z461" s="167">
        <f t="shared" si="496"/>
        <v>0</v>
      </c>
      <c r="AA461" s="167">
        <f t="shared" si="497"/>
        <v>0</v>
      </c>
      <c r="AB461" s="167">
        <f t="shared" si="498"/>
        <v>0</v>
      </c>
      <c r="AC461" s="167">
        <f t="shared" si="499"/>
        <v>0</v>
      </c>
      <c r="AD461" s="167">
        <f t="shared" si="500"/>
        <v>0</v>
      </c>
      <c r="AF461" s="47">
        <f t="shared" si="492"/>
        <v>0</v>
      </c>
      <c r="AG461" s="202" t="str">
        <f t="shared" si="493"/>
        <v xml:space="preserve"> </v>
      </c>
      <c r="AH461" s="150"/>
      <c r="AI461" s="151"/>
      <c r="AJ461" s="151"/>
      <c r="AK461" s="151"/>
      <c r="AL461" s="151"/>
      <c r="AM461" s="151"/>
      <c r="AN461" s="151"/>
      <c r="AO461" s="151"/>
      <c r="AP461" s="151"/>
      <c r="AQ461" s="151"/>
      <c r="AR461" s="151"/>
      <c r="AS461" s="151"/>
      <c r="AT461" s="151"/>
      <c r="AU461" s="151"/>
      <c r="AV461" s="151"/>
      <c r="AW461" s="151"/>
      <c r="AX461" s="151"/>
      <c r="AY461" s="151"/>
      <c r="AZ461" s="151"/>
      <c r="BA461" s="151"/>
      <c r="BB461" s="151"/>
      <c r="BC461" s="151"/>
      <c r="BD461" s="151"/>
      <c r="BE461" s="151"/>
      <c r="BF461" s="151"/>
      <c r="BG461" s="151"/>
      <c r="BH461" s="151"/>
      <c r="BI461" s="151"/>
      <c r="BJ461" s="151"/>
      <c r="BK461" s="151"/>
      <c r="BL461" s="151"/>
      <c r="BM461" s="151"/>
      <c r="BN461" s="151"/>
      <c r="BO461" s="151"/>
      <c r="BP461" s="151"/>
      <c r="BQ461" s="151"/>
      <c r="BR461" s="151"/>
      <c r="BS461" s="151"/>
      <c r="BT461" s="151"/>
      <c r="BU461" s="151"/>
      <c r="BV461" s="151"/>
      <c r="BW461" s="151"/>
      <c r="BX461" s="151"/>
      <c r="BY461" s="151"/>
      <c r="BZ461" s="151"/>
      <c r="CA461" s="151"/>
      <c r="CB461" s="151"/>
      <c r="CC461" s="151"/>
      <c r="CD461" s="151"/>
      <c r="CE461" s="151"/>
      <c r="CF461" s="151"/>
      <c r="CG461" s="151"/>
      <c r="CH461" s="151"/>
      <c r="CI461" s="151"/>
      <c r="CJ461" s="151"/>
      <c r="CK461" s="151"/>
      <c r="CL461" s="151"/>
      <c r="CM461" s="151"/>
      <c r="CN461" s="151"/>
      <c r="CO461" s="151"/>
      <c r="CP461" s="151"/>
      <c r="CQ461" s="151"/>
      <c r="CR461" s="151"/>
      <c r="CS461" s="151"/>
      <c r="CT461" s="151"/>
      <c r="CU461" s="151"/>
      <c r="CV461" s="151"/>
      <c r="CW461" s="151"/>
      <c r="CX461" s="151"/>
      <c r="CY461" s="151"/>
      <c r="CZ461" s="151"/>
      <c r="DA461" s="151"/>
      <c r="DB461" s="151"/>
      <c r="DC461" s="151"/>
      <c r="DD461" s="151"/>
      <c r="DE461" s="151"/>
      <c r="DF461" s="151"/>
      <c r="DG461" s="151"/>
      <c r="DH461" s="151"/>
      <c r="DI461" s="151"/>
      <c r="DJ461" s="151"/>
      <c r="DK461" s="151"/>
      <c r="DL461" s="151"/>
      <c r="DM461" s="151"/>
      <c r="DN461" s="151"/>
      <c r="DO461" s="151"/>
      <c r="DP461" s="151"/>
      <c r="DQ461" s="151"/>
      <c r="DR461" s="151"/>
      <c r="DS461" s="151"/>
      <c r="DT461" s="151"/>
      <c r="DU461" s="151"/>
      <c r="DV461" s="151"/>
      <c r="DW461" s="151"/>
      <c r="DX461" s="151"/>
      <c r="DY461" s="151"/>
      <c r="DZ461" s="151"/>
      <c r="EA461" s="151"/>
      <c r="EB461" s="151"/>
      <c r="EC461" s="151"/>
      <c r="ED461" s="151"/>
      <c r="EE461" s="151"/>
      <c r="EF461" s="151"/>
      <c r="EG461" s="151"/>
      <c r="EH461" s="151"/>
      <c r="EI461" s="151"/>
      <c r="EJ461" s="151"/>
      <c r="EK461" s="151"/>
      <c r="EL461" s="151"/>
      <c r="EM461" s="151"/>
      <c r="EN461" s="151"/>
      <c r="EO461" s="151"/>
      <c r="EP461" s="151"/>
      <c r="EQ461" s="151"/>
      <c r="ER461" s="151"/>
      <c r="ES461" s="151"/>
      <c r="ET461" s="151"/>
      <c r="EU461" s="151"/>
      <c r="EV461" s="151"/>
      <c r="EW461" s="151"/>
      <c r="EX461" s="151"/>
      <c r="EY461" s="151"/>
      <c r="EZ461" s="151"/>
      <c r="FA461" s="151"/>
      <c r="FB461" s="151"/>
      <c r="FC461" s="151"/>
      <c r="FD461" s="151"/>
      <c r="FE461" s="151"/>
      <c r="FF461" s="151"/>
      <c r="FG461" s="151"/>
      <c r="FH461" s="151"/>
      <c r="FI461" s="151"/>
      <c r="FJ461" s="151"/>
      <c r="FK461" s="151"/>
      <c r="FL461" s="151"/>
      <c r="FM461" s="151"/>
      <c r="FN461" s="151"/>
      <c r="FO461" s="151"/>
      <c r="FP461" s="151"/>
      <c r="FQ461" s="151"/>
      <c r="FR461" s="151"/>
      <c r="FS461" s="151"/>
      <c r="FT461" s="151"/>
      <c r="FU461" s="151"/>
      <c r="FV461" s="151"/>
      <c r="FW461" s="151"/>
      <c r="FX461" s="151"/>
      <c r="FY461" s="151"/>
      <c r="FZ461" s="151"/>
      <c r="GA461" s="151"/>
      <c r="GB461" s="151"/>
      <c r="GC461" s="151"/>
      <c r="GD461" s="151"/>
      <c r="GE461" s="151"/>
      <c r="GF461" s="151"/>
      <c r="GG461" s="152"/>
    </row>
    <row r="462" spans="1:189" x14ac:dyDescent="0.35">
      <c r="A462" s="268"/>
      <c r="B462" s="221"/>
      <c r="C462" s="221"/>
      <c r="D462" s="222"/>
      <c r="E462" s="221"/>
      <c r="F462" s="221"/>
      <c r="G462" s="223"/>
      <c r="H462" s="224"/>
      <c r="I462" s="225"/>
      <c r="J462" s="225"/>
      <c r="K462" s="225"/>
      <c r="L462" s="226"/>
      <c r="M462" s="226"/>
      <c r="N462" s="226"/>
      <c r="O462" s="226"/>
      <c r="P462" s="226"/>
      <c r="Q462" s="227"/>
      <c r="R462" s="228"/>
      <c r="S462" s="228"/>
      <c r="T462" s="228"/>
      <c r="U462" s="191">
        <f t="shared" si="494"/>
        <v>0</v>
      </c>
      <c r="V462" s="86"/>
      <c r="W462" s="45"/>
      <c r="X462" s="46"/>
      <c r="Y462" s="167">
        <f t="shared" si="495"/>
        <v>0</v>
      </c>
      <c r="Z462" s="167">
        <f t="shared" si="496"/>
        <v>0</v>
      </c>
      <c r="AA462" s="167">
        <f t="shared" si="497"/>
        <v>0</v>
      </c>
      <c r="AB462" s="167">
        <f t="shared" si="498"/>
        <v>0</v>
      </c>
      <c r="AC462" s="167">
        <f t="shared" si="499"/>
        <v>0</v>
      </c>
      <c r="AD462" s="167">
        <f t="shared" si="500"/>
        <v>0</v>
      </c>
      <c r="AF462" s="47">
        <f t="shared" si="492"/>
        <v>0</v>
      </c>
      <c r="AG462" s="202" t="str">
        <f t="shared" si="493"/>
        <v xml:space="preserve"> </v>
      </c>
      <c r="AH462" s="150"/>
      <c r="AI462" s="151"/>
      <c r="AJ462" s="151"/>
      <c r="AK462" s="151"/>
      <c r="AL462" s="151"/>
      <c r="AM462" s="151"/>
      <c r="AN462" s="151"/>
      <c r="AO462" s="151"/>
      <c r="AP462" s="151"/>
      <c r="AQ462" s="151"/>
      <c r="AR462" s="151"/>
      <c r="AS462" s="151"/>
      <c r="AT462" s="151"/>
      <c r="AU462" s="151"/>
      <c r="AV462" s="151"/>
      <c r="AW462" s="151"/>
      <c r="AX462" s="151"/>
      <c r="AY462" s="151"/>
      <c r="AZ462" s="151"/>
      <c r="BA462" s="151"/>
      <c r="BB462" s="151"/>
      <c r="BC462" s="151"/>
      <c r="BD462" s="151"/>
      <c r="BE462" s="151"/>
      <c r="BF462" s="151"/>
      <c r="BG462" s="151"/>
      <c r="BH462" s="151"/>
      <c r="BI462" s="151"/>
      <c r="BJ462" s="151"/>
      <c r="BK462" s="151"/>
      <c r="BL462" s="151"/>
      <c r="BM462" s="151"/>
      <c r="BN462" s="151"/>
      <c r="BO462" s="151"/>
      <c r="BP462" s="151"/>
      <c r="BQ462" s="151"/>
      <c r="BR462" s="151"/>
      <c r="BS462" s="151"/>
      <c r="BT462" s="151"/>
      <c r="BU462" s="151"/>
      <c r="BV462" s="151"/>
      <c r="BW462" s="151"/>
      <c r="BX462" s="151"/>
      <c r="BY462" s="151"/>
      <c r="BZ462" s="151"/>
      <c r="CA462" s="151"/>
      <c r="CB462" s="151"/>
      <c r="CC462" s="151"/>
      <c r="CD462" s="151"/>
      <c r="CE462" s="151"/>
      <c r="CF462" s="151"/>
      <c r="CG462" s="151"/>
      <c r="CH462" s="151"/>
      <c r="CI462" s="151"/>
      <c r="CJ462" s="151"/>
      <c r="CK462" s="151"/>
      <c r="CL462" s="151"/>
      <c r="CM462" s="151"/>
      <c r="CN462" s="151"/>
      <c r="CO462" s="151"/>
      <c r="CP462" s="151"/>
      <c r="CQ462" s="151"/>
      <c r="CR462" s="151"/>
      <c r="CS462" s="151"/>
      <c r="CT462" s="151"/>
      <c r="CU462" s="151"/>
      <c r="CV462" s="151"/>
      <c r="CW462" s="151"/>
      <c r="CX462" s="151"/>
      <c r="CY462" s="151"/>
      <c r="CZ462" s="151"/>
      <c r="DA462" s="151"/>
      <c r="DB462" s="151"/>
      <c r="DC462" s="151"/>
      <c r="DD462" s="151"/>
      <c r="DE462" s="151"/>
      <c r="DF462" s="151"/>
      <c r="DG462" s="151"/>
      <c r="DH462" s="151"/>
      <c r="DI462" s="151"/>
      <c r="DJ462" s="151"/>
      <c r="DK462" s="151"/>
      <c r="DL462" s="151"/>
      <c r="DM462" s="151"/>
      <c r="DN462" s="151"/>
      <c r="DO462" s="151"/>
      <c r="DP462" s="151"/>
      <c r="DQ462" s="151"/>
      <c r="DR462" s="151"/>
      <c r="DS462" s="151"/>
      <c r="DT462" s="151"/>
      <c r="DU462" s="151"/>
      <c r="DV462" s="151"/>
      <c r="DW462" s="151"/>
      <c r="DX462" s="151"/>
      <c r="DY462" s="151"/>
      <c r="DZ462" s="151"/>
      <c r="EA462" s="151"/>
      <c r="EB462" s="151"/>
      <c r="EC462" s="151"/>
      <c r="ED462" s="151"/>
      <c r="EE462" s="151"/>
      <c r="EF462" s="151"/>
      <c r="EG462" s="151"/>
      <c r="EH462" s="151"/>
      <c r="EI462" s="151"/>
      <c r="EJ462" s="151"/>
      <c r="EK462" s="151"/>
      <c r="EL462" s="151"/>
      <c r="EM462" s="151"/>
      <c r="EN462" s="151"/>
      <c r="EO462" s="151"/>
      <c r="EP462" s="151"/>
      <c r="EQ462" s="151"/>
      <c r="ER462" s="151"/>
      <c r="ES462" s="151"/>
      <c r="ET462" s="151"/>
      <c r="EU462" s="151"/>
      <c r="EV462" s="151"/>
      <c r="EW462" s="151"/>
      <c r="EX462" s="151"/>
      <c r="EY462" s="151"/>
      <c r="EZ462" s="151"/>
      <c r="FA462" s="151"/>
      <c r="FB462" s="151"/>
      <c r="FC462" s="151"/>
      <c r="FD462" s="151"/>
      <c r="FE462" s="151"/>
      <c r="FF462" s="151"/>
      <c r="FG462" s="151"/>
      <c r="FH462" s="151"/>
      <c r="FI462" s="151"/>
      <c r="FJ462" s="151"/>
      <c r="FK462" s="151"/>
      <c r="FL462" s="151"/>
      <c r="FM462" s="151"/>
      <c r="FN462" s="151"/>
      <c r="FO462" s="151"/>
      <c r="FP462" s="151"/>
      <c r="FQ462" s="151"/>
      <c r="FR462" s="151"/>
      <c r="FS462" s="151"/>
      <c r="FT462" s="151"/>
      <c r="FU462" s="151"/>
      <c r="FV462" s="151"/>
      <c r="FW462" s="151"/>
      <c r="FX462" s="151"/>
      <c r="FY462" s="151"/>
      <c r="FZ462" s="151"/>
      <c r="GA462" s="151"/>
      <c r="GB462" s="151"/>
      <c r="GC462" s="151"/>
      <c r="GD462" s="151"/>
      <c r="GE462" s="151"/>
      <c r="GF462" s="151"/>
      <c r="GG462" s="152"/>
    </row>
    <row r="463" spans="1:189" x14ac:dyDescent="0.35">
      <c r="A463" s="268"/>
      <c r="B463" s="221"/>
      <c r="C463" s="221"/>
      <c r="D463" s="222"/>
      <c r="E463" s="221"/>
      <c r="F463" s="221"/>
      <c r="G463" s="223"/>
      <c r="H463" s="224"/>
      <c r="I463" s="225"/>
      <c r="J463" s="225"/>
      <c r="K463" s="225"/>
      <c r="L463" s="226"/>
      <c r="M463" s="226"/>
      <c r="N463" s="226"/>
      <c r="O463" s="226"/>
      <c r="P463" s="226"/>
      <c r="Q463" s="227"/>
      <c r="R463" s="228"/>
      <c r="S463" s="228"/>
      <c r="T463" s="228"/>
      <c r="U463" s="191">
        <f t="shared" si="494"/>
        <v>0</v>
      </c>
      <c r="V463" s="86"/>
      <c r="W463" s="45"/>
      <c r="X463" s="46"/>
      <c r="Y463" s="167">
        <f t="shared" si="495"/>
        <v>0</v>
      </c>
      <c r="Z463" s="167">
        <f t="shared" si="496"/>
        <v>0</v>
      </c>
      <c r="AA463" s="167">
        <f t="shared" si="497"/>
        <v>0</v>
      </c>
      <c r="AB463" s="167">
        <f t="shared" si="498"/>
        <v>0</v>
      </c>
      <c r="AC463" s="167">
        <f t="shared" si="499"/>
        <v>0</v>
      </c>
      <c r="AD463" s="167">
        <f t="shared" si="500"/>
        <v>0</v>
      </c>
      <c r="AF463" s="47">
        <f t="shared" si="492"/>
        <v>0</v>
      </c>
      <c r="AG463" s="202" t="str">
        <f t="shared" si="493"/>
        <v xml:space="preserve"> </v>
      </c>
      <c r="AH463" s="147"/>
      <c r="AI463" s="148"/>
      <c r="AJ463" s="148"/>
      <c r="AK463" s="148"/>
      <c r="AL463" s="148"/>
      <c r="AM463" s="148"/>
      <c r="AN463" s="148"/>
      <c r="AO463" s="148"/>
      <c r="AP463" s="148"/>
      <c r="AQ463" s="148"/>
      <c r="AR463" s="148"/>
      <c r="AS463" s="148"/>
      <c r="AT463" s="148"/>
      <c r="AU463" s="148"/>
      <c r="AV463" s="148"/>
      <c r="AW463" s="148"/>
      <c r="AX463" s="148"/>
      <c r="AY463" s="148"/>
      <c r="AZ463" s="148"/>
      <c r="BA463" s="148"/>
      <c r="BB463" s="148"/>
      <c r="BC463" s="148"/>
      <c r="BD463" s="148"/>
      <c r="BE463" s="148"/>
      <c r="BF463" s="148"/>
      <c r="BG463" s="148"/>
      <c r="BH463" s="148"/>
      <c r="BI463" s="148"/>
      <c r="BJ463" s="148"/>
      <c r="BK463" s="148"/>
      <c r="BL463" s="148"/>
      <c r="BM463" s="148"/>
      <c r="BN463" s="148"/>
      <c r="BO463" s="148"/>
      <c r="BP463" s="148"/>
      <c r="BQ463" s="148"/>
      <c r="BR463" s="148"/>
      <c r="BS463" s="148"/>
      <c r="BT463" s="148"/>
      <c r="BU463" s="148"/>
      <c r="BV463" s="148"/>
      <c r="BW463" s="148"/>
      <c r="BX463" s="148"/>
      <c r="BY463" s="148"/>
      <c r="BZ463" s="148"/>
      <c r="CA463" s="148"/>
      <c r="CB463" s="148"/>
      <c r="CC463" s="148"/>
      <c r="CD463" s="148"/>
      <c r="CE463" s="148"/>
      <c r="CF463" s="148"/>
      <c r="CG463" s="148"/>
      <c r="CH463" s="148"/>
      <c r="CI463" s="148"/>
      <c r="CJ463" s="148"/>
      <c r="CK463" s="148"/>
      <c r="CL463" s="148"/>
      <c r="CM463" s="148"/>
      <c r="CN463" s="148"/>
      <c r="CO463" s="148"/>
      <c r="CP463" s="148"/>
      <c r="CQ463" s="148"/>
      <c r="CR463" s="148"/>
      <c r="CS463" s="148"/>
      <c r="CT463" s="148"/>
      <c r="CU463" s="148"/>
      <c r="CV463" s="148"/>
      <c r="CW463" s="148"/>
      <c r="CX463" s="148"/>
      <c r="CY463" s="148"/>
      <c r="CZ463" s="148"/>
      <c r="DA463" s="148"/>
      <c r="DB463" s="148"/>
      <c r="DC463" s="148"/>
      <c r="DD463" s="148"/>
      <c r="DE463" s="148"/>
      <c r="DF463" s="148"/>
      <c r="DG463" s="148"/>
      <c r="DH463" s="148"/>
      <c r="DI463" s="148"/>
      <c r="DJ463" s="148"/>
      <c r="DK463" s="148"/>
      <c r="DL463" s="148"/>
      <c r="DM463" s="148"/>
      <c r="DN463" s="148"/>
      <c r="DO463" s="148"/>
      <c r="DP463" s="148"/>
      <c r="DQ463" s="148"/>
      <c r="DR463" s="148"/>
      <c r="DS463" s="148"/>
      <c r="DT463" s="148"/>
      <c r="DU463" s="148"/>
      <c r="DV463" s="148"/>
      <c r="DW463" s="148"/>
      <c r="DX463" s="148"/>
      <c r="DY463" s="148"/>
      <c r="DZ463" s="148"/>
      <c r="EA463" s="148"/>
      <c r="EB463" s="148"/>
      <c r="EC463" s="148"/>
      <c r="ED463" s="148"/>
      <c r="EE463" s="148"/>
      <c r="EF463" s="148"/>
      <c r="EG463" s="148"/>
      <c r="EH463" s="148"/>
      <c r="EI463" s="148"/>
      <c r="EJ463" s="148"/>
      <c r="EK463" s="148"/>
      <c r="EL463" s="148"/>
      <c r="EM463" s="148"/>
      <c r="EN463" s="148"/>
      <c r="EO463" s="148"/>
      <c r="EP463" s="148"/>
      <c r="EQ463" s="148"/>
      <c r="ER463" s="148"/>
      <c r="ES463" s="148"/>
      <c r="ET463" s="148"/>
      <c r="EU463" s="148"/>
      <c r="EV463" s="148"/>
      <c r="EW463" s="148"/>
      <c r="EX463" s="148"/>
      <c r="EY463" s="148"/>
      <c r="EZ463" s="148"/>
      <c r="FA463" s="148"/>
      <c r="FB463" s="148"/>
      <c r="FC463" s="148"/>
      <c r="FD463" s="148"/>
      <c r="FE463" s="148"/>
      <c r="FF463" s="148"/>
      <c r="FG463" s="148"/>
      <c r="FH463" s="148"/>
      <c r="FI463" s="148"/>
      <c r="FJ463" s="148"/>
      <c r="FK463" s="148"/>
      <c r="FL463" s="148"/>
      <c r="FM463" s="148"/>
      <c r="FN463" s="148"/>
      <c r="FO463" s="148"/>
      <c r="FP463" s="148"/>
      <c r="FQ463" s="148"/>
      <c r="FR463" s="148"/>
      <c r="FS463" s="148"/>
      <c r="FT463" s="148"/>
      <c r="FU463" s="148"/>
      <c r="FV463" s="148"/>
      <c r="FW463" s="148"/>
      <c r="FX463" s="148"/>
      <c r="FY463" s="148"/>
      <c r="FZ463" s="148"/>
      <c r="GA463" s="148"/>
      <c r="GB463" s="148"/>
      <c r="GC463" s="148"/>
      <c r="GD463" s="148"/>
      <c r="GE463" s="148"/>
      <c r="GF463" s="148"/>
      <c r="GG463" s="149"/>
    </row>
    <row r="464" spans="1:189" x14ac:dyDescent="0.35">
      <c r="A464" s="268"/>
      <c r="B464" s="221"/>
      <c r="C464" s="221"/>
      <c r="D464" s="222"/>
      <c r="E464" s="221"/>
      <c r="F464" s="221"/>
      <c r="G464" s="223"/>
      <c r="H464" s="224"/>
      <c r="I464" s="225"/>
      <c r="J464" s="225"/>
      <c r="K464" s="225"/>
      <c r="L464" s="226"/>
      <c r="M464" s="226"/>
      <c r="N464" s="226"/>
      <c r="O464" s="226"/>
      <c r="P464" s="226"/>
      <c r="Q464" s="227"/>
      <c r="R464" s="228"/>
      <c r="S464" s="228"/>
      <c r="T464" s="228"/>
      <c r="U464" s="191">
        <f t="shared" si="494"/>
        <v>0</v>
      </c>
      <c r="V464" s="86"/>
      <c r="W464" s="45"/>
      <c r="X464" s="46"/>
      <c r="Y464" s="167">
        <f t="shared" si="495"/>
        <v>0</v>
      </c>
      <c r="Z464" s="167">
        <f t="shared" si="496"/>
        <v>0</v>
      </c>
      <c r="AA464" s="167">
        <f t="shared" si="497"/>
        <v>0</v>
      </c>
      <c r="AB464" s="167">
        <f t="shared" si="498"/>
        <v>0</v>
      </c>
      <c r="AC464" s="167">
        <f t="shared" si="499"/>
        <v>0</v>
      </c>
      <c r="AD464" s="167">
        <f t="shared" si="500"/>
        <v>0</v>
      </c>
      <c r="AF464" s="47">
        <f t="shared" si="492"/>
        <v>0</v>
      </c>
      <c r="AG464" s="202" t="str">
        <f t="shared" si="493"/>
        <v xml:space="preserve"> </v>
      </c>
      <c r="AH464" s="150"/>
      <c r="AI464" s="151"/>
      <c r="AJ464" s="151"/>
      <c r="AK464" s="151"/>
      <c r="AL464" s="151"/>
      <c r="AM464" s="151"/>
      <c r="AN464" s="151"/>
      <c r="AO464" s="151"/>
      <c r="AP464" s="151"/>
      <c r="AQ464" s="151"/>
      <c r="AR464" s="151"/>
      <c r="AS464" s="151"/>
      <c r="AT464" s="151"/>
      <c r="AU464" s="151"/>
      <c r="AV464" s="151"/>
      <c r="AW464" s="151"/>
      <c r="AX464" s="151"/>
      <c r="AY464" s="151"/>
      <c r="AZ464" s="151"/>
      <c r="BA464" s="151"/>
      <c r="BB464" s="151"/>
      <c r="BC464" s="151"/>
      <c r="BD464" s="151"/>
      <c r="BE464" s="151"/>
      <c r="BF464" s="151"/>
      <c r="BG464" s="151"/>
      <c r="BH464" s="151"/>
      <c r="BI464" s="151"/>
      <c r="BJ464" s="151"/>
      <c r="BK464" s="151"/>
      <c r="BL464" s="151"/>
      <c r="BM464" s="151"/>
      <c r="BN464" s="151"/>
      <c r="BO464" s="151"/>
      <c r="BP464" s="151"/>
      <c r="BQ464" s="151"/>
      <c r="BR464" s="151"/>
      <c r="BS464" s="151"/>
      <c r="BT464" s="151"/>
      <c r="BU464" s="151"/>
      <c r="BV464" s="151"/>
      <c r="BW464" s="151"/>
      <c r="BX464" s="151"/>
      <c r="BY464" s="151"/>
      <c r="BZ464" s="151"/>
      <c r="CA464" s="151"/>
      <c r="CB464" s="151"/>
      <c r="CC464" s="151"/>
      <c r="CD464" s="151"/>
      <c r="CE464" s="151"/>
      <c r="CF464" s="151"/>
      <c r="CG464" s="151"/>
      <c r="CH464" s="151"/>
      <c r="CI464" s="151"/>
      <c r="CJ464" s="151"/>
      <c r="CK464" s="151"/>
      <c r="CL464" s="151"/>
      <c r="CM464" s="151"/>
      <c r="CN464" s="151"/>
      <c r="CO464" s="151"/>
      <c r="CP464" s="151"/>
      <c r="CQ464" s="151"/>
      <c r="CR464" s="151"/>
      <c r="CS464" s="151"/>
      <c r="CT464" s="151"/>
      <c r="CU464" s="151"/>
      <c r="CV464" s="151"/>
      <c r="CW464" s="151"/>
      <c r="CX464" s="151"/>
      <c r="CY464" s="151"/>
      <c r="CZ464" s="151"/>
      <c r="DA464" s="151"/>
      <c r="DB464" s="151"/>
      <c r="DC464" s="151"/>
      <c r="DD464" s="151"/>
      <c r="DE464" s="151"/>
      <c r="DF464" s="151"/>
      <c r="DG464" s="151"/>
      <c r="DH464" s="151"/>
      <c r="DI464" s="151"/>
      <c r="DJ464" s="151"/>
      <c r="DK464" s="151"/>
      <c r="DL464" s="151"/>
      <c r="DM464" s="151"/>
      <c r="DN464" s="151"/>
      <c r="DO464" s="151"/>
      <c r="DP464" s="151"/>
      <c r="DQ464" s="151"/>
      <c r="DR464" s="151"/>
      <c r="DS464" s="151"/>
      <c r="DT464" s="151"/>
      <c r="DU464" s="151"/>
      <c r="DV464" s="151"/>
      <c r="DW464" s="151"/>
      <c r="DX464" s="151"/>
      <c r="DY464" s="151"/>
      <c r="DZ464" s="151"/>
      <c r="EA464" s="151"/>
      <c r="EB464" s="151"/>
      <c r="EC464" s="151"/>
      <c r="ED464" s="151"/>
      <c r="EE464" s="151"/>
      <c r="EF464" s="151"/>
      <c r="EG464" s="151"/>
      <c r="EH464" s="151"/>
      <c r="EI464" s="151"/>
      <c r="EJ464" s="151"/>
      <c r="EK464" s="151"/>
      <c r="EL464" s="151"/>
      <c r="EM464" s="151"/>
      <c r="EN464" s="151"/>
      <c r="EO464" s="151"/>
      <c r="EP464" s="151"/>
      <c r="EQ464" s="151"/>
      <c r="ER464" s="151"/>
      <c r="ES464" s="151"/>
      <c r="ET464" s="151"/>
      <c r="EU464" s="151"/>
      <c r="EV464" s="151"/>
      <c r="EW464" s="151"/>
      <c r="EX464" s="151"/>
      <c r="EY464" s="151"/>
      <c r="EZ464" s="151"/>
      <c r="FA464" s="151"/>
      <c r="FB464" s="151"/>
      <c r="FC464" s="151"/>
      <c r="FD464" s="151"/>
      <c r="FE464" s="151"/>
      <c r="FF464" s="151"/>
      <c r="FG464" s="151"/>
      <c r="FH464" s="151"/>
      <c r="FI464" s="151"/>
      <c r="FJ464" s="151"/>
      <c r="FK464" s="151"/>
      <c r="FL464" s="151"/>
      <c r="FM464" s="151"/>
      <c r="FN464" s="151"/>
      <c r="FO464" s="151"/>
      <c r="FP464" s="151"/>
      <c r="FQ464" s="151"/>
      <c r="FR464" s="151"/>
      <c r="FS464" s="151"/>
      <c r="FT464" s="151"/>
      <c r="FU464" s="151"/>
      <c r="FV464" s="151"/>
      <c r="FW464" s="151"/>
      <c r="FX464" s="151"/>
      <c r="FY464" s="151"/>
      <c r="FZ464" s="151"/>
      <c r="GA464" s="151"/>
      <c r="GB464" s="151"/>
      <c r="GC464" s="151"/>
      <c r="GD464" s="151"/>
      <c r="GE464" s="151"/>
      <c r="GF464" s="151"/>
      <c r="GG464" s="152"/>
    </row>
    <row r="465" spans="1:189" x14ac:dyDescent="0.35">
      <c r="A465" s="268"/>
      <c r="B465" s="221"/>
      <c r="C465" s="221"/>
      <c r="D465" s="222"/>
      <c r="E465" s="221"/>
      <c r="F465" s="221"/>
      <c r="G465" s="223"/>
      <c r="H465" s="224"/>
      <c r="I465" s="225"/>
      <c r="J465" s="225"/>
      <c r="K465" s="225"/>
      <c r="L465" s="226"/>
      <c r="M465" s="226"/>
      <c r="N465" s="226"/>
      <c r="O465" s="226"/>
      <c r="P465" s="226"/>
      <c r="Q465" s="227"/>
      <c r="R465" s="228"/>
      <c r="S465" s="228"/>
      <c r="T465" s="228"/>
      <c r="U465" s="191">
        <f t="shared" si="494"/>
        <v>0</v>
      </c>
      <c r="V465" s="86"/>
      <c r="W465" s="45"/>
      <c r="X465" s="46"/>
      <c r="Y465" s="167">
        <f t="shared" si="495"/>
        <v>0</v>
      </c>
      <c r="Z465" s="167">
        <f t="shared" si="496"/>
        <v>0</v>
      </c>
      <c r="AA465" s="167">
        <f t="shared" si="497"/>
        <v>0</v>
      </c>
      <c r="AB465" s="167">
        <f t="shared" si="498"/>
        <v>0</v>
      </c>
      <c r="AC465" s="167">
        <f t="shared" si="499"/>
        <v>0</v>
      </c>
      <c r="AD465" s="167">
        <f t="shared" si="500"/>
        <v>0</v>
      </c>
      <c r="AF465" s="47">
        <f t="shared" si="492"/>
        <v>0</v>
      </c>
      <c r="AG465" s="202" t="str">
        <f t="shared" si="493"/>
        <v xml:space="preserve"> </v>
      </c>
      <c r="AH465" s="150"/>
      <c r="AI465" s="151"/>
      <c r="AJ465" s="151"/>
      <c r="AK465" s="151"/>
      <c r="AL465" s="151"/>
      <c r="AM465" s="151"/>
      <c r="AN465" s="151"/>
      <c r="AO465" s="151"/>
      <c r="AP465" s="151"/>
      <c r="AQ465" s="151"/>
      <c r="AR465" s="151"/>
      <c r="AS465" s="151"/>
      <c r="AT465" s="151"/>
      <c r="AU465" s="151"/>
      <c r="AV465" s="151"/>
      <c r="AW465" s="151"/>
      <c r="AX465" s="151"/>
      <c r="AY465" s="151"/>
      <c r="AZ465" s="151"/>
      <c r="BA465" s="151"/>
      <c r="BB465" s="151"/>
      <c r="BC465" s="151"/>
      <c r="BD465" s="151"/>
      <c r="BE465" s="151"/>
      <c r="BF465" s="151"/>
      <c r="BG465" s="151"/>
      <c r="BH465" s="151"/>
      <c r="BI465" s="151"/>
      <c r="BJ465" s="151"/>
      <c r="BK465" s="151"/>
      <c r="BL465" s="151"/>
      <c r="BM465" s="151"/>
      <c r="BN465" s="151"/>
      <c r="BO465" s="151"/>
      <c r="BP465" s="151"/>
      <c r="BQ465" s="151"/>
      <c r="BR465" s="151"/>
      <c r="BS465" s="151"/>
      <c r="BT465" s="151"/>
      <c r="BU465" s="151"/>
      <c r="BV465" s="151"/>
      <c r="BW465" s="151"/>
      <c r="BX465" s="151"/>
      <c r="BY465" s="151"/>
      <c r="BZ465" s="151"/>
      <c r="CA465" s="151"/>
      <c r="CB465" s="151"/>
      <c r="CC465" s="151"/>
      <c r="CD465" s="151"/>
      <c r="CE465" s="151"/>
      <c r="CF465" s="151"/>
      <c r="CG465" s="151"/>
      <c r="CH465" s="151"/>
      <c r="CI465" s="151"/>
      <c r="CJ465" s="151"/>
      <c r="CK465" s="151"/>
      <c r="CL465" s="151"/>
      <c r="CM465" s="151"/>
      <c r="CN465" s="151"/>
      <c r="CO465" s="151"/>
      <c r="CP465" s="151"/>
      <c r="CQ465" s="151"/>
      <c r="CR465" s="151"/>
      <c r="CS465" s="151"/>
      <c r="CT465" s="151"/>
      <c r="CU465" s="151"/>
      <c r="CV465" s="151"/>
      <c r="CW465" s="151"/>
      <c r="CX465" s="151"/>
      <c r="CY465" s="151"/>
      <c r="CZ465" s="151"/>
      <c r="DA465" s="151"/>
      <c r="DB465" s="151"/>
      <c r="DC465" s="151"/>
      <c r="DD465" s="151"/>
      <c r="DE465" s="151"/>
      <c r="DF465" s="151"/>
      <c r="DG465" s="151"/>
      <c r="DH465" s="151"/>
      <c r="DI465" s="151"/>
      <c r="DJ465" s="151"/>
      <c r="DK465" s="151"/>
      <c r="DL465" s="151"/>
      <c r="DM465" s="151"/>
      <c r="DN465" s="151"/>
      <c r="DO465" s="151"/>
      <c r="DP465" s="151"/>
      <c r="DQ465" s="151"/>
      <c r="DR465" s="151"/>
      <c r="DS465" s="151"/>
      <c r="DT465" s="151"/>
      <c r="DU465" s="151"/>
      <c r="DV465" s="151"/>
      <c r="DW465" s="151"/>
      <c r="DX465" s="151"/>
      <c r="DY465" s="151"/>
      <c r="DZ465" s="151"/>
      <c r="EA465" s="151"/>
      <c r="EB465" s="151"/>
      <c r="EC465" s="151"/>
      <c r="ED465" s="151"/>
      <c r="EE465" s="151"/>
      <c r="EF465" s="151"/>
      <c r="EG465" s="151"/>
      <c r="EH465" s="151"/>
      <c r="EI465" s="151"/>
      <c r="EJ465" s="151"/>
      <c r="EK465" s="151"/>
      <c r="EL465" s="151"/>
      <c r="EM465" s="151"/>
      <c r="EN465" s="151"/>
      <c r="EO465" s="151"/>
      <c r="EP465" s="151"/>
      <c r="EQ465" s="151"/>
      <c r="ER465" s="151"/>
      <c r="ES465" s="151"/>
      <c r="ET465" s="151"/>
      <c r="EU465" s="151"/>
      <c r="EV465" s="151"/>
      <c r="EW465" s="151"/>
      <c r="EX465" s="151"/>
      <c r="EY465" s="151"/>
      <c r="EZ465" s="151"/>
      <c r="FA465" s="151"/>
      <c r="FB465" s="151"/>
      <c r="FC465" s="151"/>
      <c r="FD465" s="151"/>
      <c r="FE465" s="151"/>
      <c r="FF465" s="151"/>
      <c r="FG465" s="151"/>
      <c r="FH465" s="151"/>
      <c r="FI465" s="151"/>
      <c r="FJ465" s="151"/>
      <c r="FK465" s="151"/>
      <c r="FL465" s="151"/>
      <c r="FM465" s="151"/>
      <c r="FN465" s="151"/>
      <c r="FO465" s="151"/>
      <c r="FP465" s="151"/>
      <c r="FQ465" s="151"/>
      <c r="FR465" s="151"/>
      <c r="FS465" s="151"/>
      <c r="FT465" s="151"/>
      <c r="FU465" s="151"/>
      <c r="FV465" s="151"/>
      <c r="FW465" s="151"/>
      <c r="FX465" s="151"/>
      <c r="FY465" s="151"/>
      <c r="FZ465" s="151"/>
      <c r="GA465" s="151"/>
      <c r="GB465" s="151"/>
      <c r="GC465" s="151"/>
      <c r="GD465" s="151"/>
      <c r="GE465" s="151"/>
      <c r="GF465" s="151"/>
      <c r="GG465" s="152"/>
    </row>
    <row r="466" spans="1:189" x14ac:dyDescent="0.35">
      <c r="A466" s="268"/>
      <c r="B466" s="221"/>
      <c r="C466" s="221"/>
      <c r="D466" s="222"/>
      <c r="E466" s="221"/>
      <c r="F466" s="221"/>
      <c r="G466" s="223"/>
      <c r="H466" s="224"/>
      <c r="I466" s="225"/>
      <c r="J466" s="225"/>
      <c r="K466" s="225"/>
      <c r="L466" s="226"/>
      <c r="M466" s="226"/>
      <c r="N466" s="226"/>
      <c r="O466" s="226"/>
      <c r="P466" s="226"/>
      <c r="Q466" s="227"/>
      <c r="R466" s="228"/>
      <c r="S466" s="228"/>
      <c r="T466" s="228"/>
      <c r="U466" s="191">
        <f t="shared" si="494"/>
        <v>0</v>
      </c>
      <c r="V466" s="86"/>
      <c r="W466" s="45"/>
      <c r="X466" s="46"/>
      <c r="Y466" s="167">
        <f t="shared" si="495"/>
        <v>0</v>
      </c>
      <c r="Z466" s="167">
        <f t="shared" si="496"/>
        <v>0</v>
      </c>
      <c r="AA466" s="167">
        <f t="shared" si="497"/>
        <v>0</v>
      </c>
      <c r="AB466" s="167">
        <f t="shared" si="498"/>
        <v>0</v>
      </c>
      <c r="AC466" s="167">
        <f t="shared" si="499"/>
        <v>0</v>
      </c>
      <c r="AD466" s="167">
        <f t="shared" si="500"/>
        <v>0</v>
      </c>
      <c r="AF466" s="47">
        <f t="shared" si="492"/>
        <v>0</v>
      </c>
      <c r="AG466" s="202" t="str">
        <f t="shared" si="493"/>
        <v xml:space="preserve"> </v>
      </c>
      <c r="AH466" s="150"/>
      <c r="AI466" s="151"/>
      <c r="AJ466" s="151"/>
      <c r="AK466" s="151"/>
      <c r="AL466" s="151"/>
      <c r="AM466" s="151"/>
      <c r="AN466" s="151"/>
      <c r="AO466" s="151"/>
      <c r="AP466" s="151"/>
      <c r="AQ466" s="151"/>
      <c r="AR466" s="151"/>
      <c r="AS466" s="151"/>
      <c r="AT466" s="151"/>
      <c r="AU466" s="151"/>
      <c r="AV466" s="151"/>
      <c r="AW466" s="151"/>
      <c r="AX466" s="151"/>
      <c r="AY466" s="151"/>
      <c r="AZ466" s="151"/>
      <c r="BA466" s="151"/>
      <c r="BB466" s="151"/>
      <c r="BC466" s="151"/>
      <c r="BD466" s="151"/>
      <c r="BE466" s="151"/>
      <c r="BF466" s="151"/>
      <c r="BG466" s="151"/>
      <c r="BH466" s="151"/>
      <c r="BI466" s="151"/>
      <c r="BJ466" s="151"/>
      <c r="BK466" s="151"/>
      <c r="BL466" s="151"/>
      <c r="BM466" s="151"/>
      <c r="BN466" s="151"/>
      <c r="BO466" s="151"/>
      <c r="BP466" s="151"/>
      <c r="BQ466" s="151"/>
      <c r="BR466" s="151"/>
      <c r="BS466" s="151"/>
      <c r="BT466" s="151"/>
      <c r="BU466" s="151"/>
      <c r="BV466" s="151"/>
      <c r="BW466" s="151"/>
      <c r="BX466" s="151"/>
      <c r="BY466" s="151"/>
      <c r="BZ466" s="151"/>
      <c r="CA466" s="151"/>
      <c r="CB466" s="151"/>
      <c r="CC466" s="151"/>
      <c r="CD466" s="151"/>
      <c r="CE466" s="151"/>
      <c r="CF466" s="151"/>
      <c r="CG466" s="151"/>
      <c r="CH466" s="151"/>
      <c r="CI466" s="151"/>
      <c r="CJ466" s="151"/>
      <c r="CK466" s="151"/>
      <c r="CL466" s="151"/>
      <c r="CM466" s="151"/>
      <c r="CN466" s="151"/>
      <c r="CO466" s="151"/>
      <c r="CP466" s="151"/>
      <c r="CQ466" s="151"/>
      <c r="CR466" s="151"/>
      <c r="CS466" s="151"/>
      <c r="CT466" s="151"/>
      <c r="CU466" s="151"/>
      <c r="CV466" s="151"/>
      <c r="CW466" s="151"/>
      <c r="CX466" s="151"/>
      <c r="CY466" s="151"/>
      <c r="CZ466" s="151"/>
      <c r="DA466" s="151"/>
      <c r="DB466" s="151"/>
      <c r="DC466" s="151"/>
      <c r="DD466" s="151"/>
      <c r="DE466" s="151"/>
      <c r="DF466" s="151"/>
      <c r="DG466" s="151"/>
      <c r="DH466" s="151"/>
      <c r="DI466" s="151"/>
      <c r="DJ466" s="151"/>
      <c r="DK466" s="151"/>
      <c r="DL466" s="151"/>
      <c r="DM466" s="151"/>
      <c r="DN466" s="151"/>
      <c r="DO466" s="151"/>
      <c r="DP466" s="151"/>
      <c r="DQ466" s="151"/>
      <c r="DR466" s="151"/>
      <c r="DS466" s="151"/>
      <c r="DT466" s="151"/>
      <c r="DU466" s="151"/>
      <c r="DV466" s="151"/>
      <c r="DW466" s="151"/>
      <c r="DX466" s="151"/>
      <c r="DY466" s="151"/>
      <c r="DZ466" s="151"/>
      <c r="EA466" s="151"/>
      <c r="EB466" s="151"/>
      <c r="EC466" s="151"/>
      <c r="ED466" s="151"/>
      <c r="EE466" s="151"/>
      <c r="EF466" s="151"/>
      <c r="EG466" s="151"/>
      <c r="EH466" s="151"/>
      <c r="EI466" s="151"/>
      <c r="EJ466" s="151"/>
      <c r="EK466" s="151"/>
      <c r="EL466" s="151"/>
      <c r="EM466" s="151"/>
      <c r="EN466" s="151"/>
      <c r="EO466" s="151"/>
      <c r="EP466" s="151"/>
      <c r="EQ466" s="151"/>
      <c r="ER466" s="151"/>
      <c r="ES466" s="151"/>
      <c r="ET466" s="151"/>
      <c r="EU466" s="151"/>
      <c r="EV466" s="151"/>
      <c r="EW466" s="151"/>
      <c r="EX466" s="151"/>
      <c r="EY466" s="151"/>
      <c r="EZ466" s="151"/>
      <c r="FA466" s="151"/>
      <c r="FB466" s="151"/>
      <c r="FC466" s="151"/>
      <c r="FD466" s="151"/>
      <c r="FE466" s="151"/>
      <c r="FF466" s="151"/>
      <c r="FG466" s="151"/>
      <c r="FH466" s="151"/>
      <c r="FI466" s="151"/>
      <c r="FJ466" s="151"/>
      <c r="FK466" s="151"/>
      <c r="FL466" s="151"/>
      <c r="FM466" s="151"/>
      <c r="FN466" s="151"/>
      <c r="FO466" s="151"/>
      <c r="FP466" s="151"/>
      <c r="FQ466" s="151"/>
      <c r="FR466" s="151"/>
      <c r="FS466" s="151"/>
      <c r="FT466" s="151"/>
      <c r="FU466" s="151"/>
      <c r="FV466" s="151"/>
      <c r="FW466" s="151"/>
      <c r="FX466" s="151"/>
      <c r="FY466" s="151"/>
      <c r="FZ466" s="151"/>
      <c r="GA466" s="151"/>
      <c r="GB466" s="151"/>
      <c r="GC466" s="151"/>
      <c r="GD466" s="151"/>
      <c r="GE466" s="151"/>
      <c r="GF466" s="151"/>
      <c r="GG466" s="152"/>
    </row>
    <row r="467" spans="1:189" x14ac:dyDescent="0.35">
      <c r="A467" s="268"/>
      <c r="B467" s="221"/>
      <c r="C467" s="221"/>
      <c r="D467" s="222"/>
      <c r="E467" s="221"/>
      <c r="F467" s="221"/>
      <c r="G467" s="223"/>
      <c r="H467" s="224"/>
      <c r="I467" s="225"/>
      <c r="J467" s="225"/>
      <c r="K467" s="225"/>
      <c r="L467" s="226"/>
      <c r="M467" s="226"/>
      <c r="N467" s="226"/>
      <c r="O467" s="226"/>
      <c r="P467" s="226"/>
      <c r="Q467" s="227"/>
      <c r="R467" s="228"/>
      <c r="S467" s="228"/>
      <c r="T467" s="228"/>
      <c r="U467" s="191">
        <f t="shared" si="494"/>
        <v>0</v>
      </c>
      <c r="V467" s="86"/>
      <c r="W467" s="45"/>
      <c r="X467" s="46"/>
      <c r="Y467" s="167">
        <f t="shared" si="495"/>
        <v>0</v>
      </c>
      <c r="Z467" s="167">
        <f t="shared" si="496"/>
        <v>0</v>
      </c>
      <c r="AA467" s="167">
        <f t="shared" si="497"/>
        <v>0</v>
      </c>
      <c r="AB467" s="167">
        <f t="shared" si="498"/>
        <v>0</v>
      </c>
      <c r="AC467" s="167">
        <f t="shared" si="499"/>
        <v>0</v>
      </c>
      <c r="AD467" s="167">
        <f t="shared" si="500"/>
        <v>0</v>
      </c>
      <c r="AF467" s="47">
        <f t="shared" si="492"/>
        <v>0</v>
      </c>
      <c r="AG467" s="202" t="str">
        <f t="shared" si="493"/>
        <v xml:space="preserve"> </v>
      </c>
      <c r="AH467" s="147"/>
      <c r="AI467" s="148"/>
      <c r="AJ467" s="148"/>
      <c r="AK467" s="148"/>
      <c r="AL467" s="148"/>
      <c r="AM467" s="148"/>
      <c r="AN467" s="148"/>
      <c r="AO467" s="148"/>
      <c r="AP467" s="148"/>
      <c r="AQ467" s="148"/>
      <c r="AR467" s="148"/>
      <c r="AS467" s="148"/>
      <c r="AT467" s="148"/>
      <c r="AU467" s="148"/>
      <c r="AV467" s="148"/>
      <c r="AW467" s="148"/>
      <c r="AX467" s="148"/>
      <c r="AY467" s="148"/>
      <c r="AZ467" s="148"/>
      <c r="BA467" s="148"/>
      <c r="BB467" s="148"/>
      <c r="BC467" s="148"/>
      <c r="BD467" s="148"/>
      <c r="BE467" s="148"/>
      <c r="BF467" s="148"/>
      <c r="BG467" s="148"/>
      <c r="BH467" s="148"/>
      <c r="BI467" s="148"/>
      <c r="BJ467" s="148"/>
      <c r="BK467" s="148"/>
      <c r="BL467" s="148"/>
      <c r="BM467" s="148"/>
      <c r="BN467" s="148"/>
      <c r="BO467" s="148"/>
      <c r="BP467" s="148"/>
      <c r="BQ467" s="148"/>
      <c r="BR467" s="148"/>
      <c r="BS467" s="148"/>
      <c r="BT467" s="148"/>
      <c r="BU467" s="148"/>
      <c r="BV467" s="148"/>
      <c r="BW467" s="148"/>
      <c r="BX467" s="148"/>
      <c r="BY467" s="148"/>
      <c r="BZ467" s="148"/>
      <c r="CA467" s="148"/>
      <c r="CB467" s="148"/>
      <c r="CC467" s="148"/>
      <c r="CD467" s="148"/>
      <c r="CE467" s="148"/>
      <c r="CF467" s="148"/>
      <c r="CG467" s="148"/>
      <c r="CH467" s="148"/>
      <c r="CI467" s="148"/>
      <c r="CJ467" s="148"/>
      <c r="CK467" s="148"/>
      <c r="CL467" s="148"/>
      <c r="CM467" s="148"/>
      <c r="CN467" s="148"/>
      <c r="CO467" s="148"/>
      <c r="CP467" s="148"/>
      <c r="CQ467" s="148"/>
      <c r="CR467" s="148"/>
      <c r="CS467" s="148"/>
      <c r="CT467" s="148"/>
      <c r="CU467" s="148"/>
      <c r="CV467" s="148"/>
      <c r="CW467" s="148"/>
      <c r="CX467" s="148"/>
      <c r="CY467" s="148"/>
      <c r="CZ467" s="148"/>
      <c r="DA467" s="148"/>
      <c r="DB467" s="148"/>
      <c r="DC467" s="148"/>
      <c r="DD467" s="148"/>
      <c r="DE467" s="148"/>
      <c r="DF467" s="148"/>
      <c r="DG467" s="148"/>
      <c r="DH467" s="148"/>
      <c r="DI467" s="148"/>
      <c r="DJ467" s="148"/>
      <c r="DK467" s="148"/>
      <c r="DL467" s="148"/>
      <c r="DM467" s="148"/>
      <c r="DN467" s="148"/>
      <c r="DO467" s="148"/>
      <c r="DP467" s="148"/>
      <c r="DQ467" s="148"/>
      <c r="DR467" s="148"/>
      <c r="DS467" s="148"/>
      <c r="DT467" s="148"/>
      <c r="DU467" s="148"/>
      <c r="DV467" s="148"/>
      <c r="DW467" s="148"/>
      <c r="DX467" s="148"/>
      <c r="DY467" s="148"/>
      <c r="DZ467" s="148"/>
      <c r="EA467" s="148"/>
      <c r="EB467" s="148"/>
      <c r="EC467" s="148"/>
      <c r="ED467" s="148"/>
      <c r="EE467" s="148"/>
      <c r="EF467" s="148"/>
      <c r="EG467" s="148"/>
      <c r="EH467" s="148"/>
      <c r="EI467" s="148"/>
      <c r="EJ467" s="148"/>
      <c r="EK467" s="148"/>
      <c r="EL467" s="148"/>
      <c r="EM467" s="148"/>
      <c r="EN467" s="148"/>
      <c r="EO467" s="148"/>
      <c r="EP467" s="148"/>
      <c r="EQ467" s="148"/>
      <c r="ER467" s="148"/>
      <c r="ES467" s="148"/>
      <c r="ET467" s="148"/>
      <c r="EU467" s="148"/>
      <c r="EV467" s="148"/>
      <c r="EW467" s="148"/>
      <c r="EX467" s="148"/>
      <c r="EY467" s="148"/>
      <c r="EZ467" s="148"/>
      <c r="FA467" s="148"/>
      <c r="FB467" s="148"/>
      <c r="FC467" s="148"/>
      <c r="FD467" s="148"/>
      <c r="FE467" s="148"/>
      <c r="FF467" s="148"/>
      <c r="FG467" s="148"/>
      <c r="FH467" s="148"/>
      <c r="FI467" s="148"/>
      <c r="FJ467" s="148"/>
      <c r="FK467" s="148"/>
      <c r="FL467" s="148"/>
      <c r="FM467" s="148"/>
      <c r="FN467" s="148"/>
      <c r="FO467" s="148"/>
      <c r="FP467" s="148"/>
      <c r="FQ467" s="148"/>
      <c r="FR467" s="148"/>
      <c r="FS467" s="148"/>
      <c r="FT467" s="148"/>
      <c r="FU467" s="148"/>
      <c r="FV467" s="148"/>
      <c r="FW467" s="148"/>
      <c r="FX467" s="148"/>
      <c r="FY467" s="148"/>
      <c r="FZ467" s="148"/>
      <c r="GA467" s="148"/>
      <c r="GB467" s="148"/>
      <c r="GC467" s="148"/>
      <c r="GD467" s="148"/>
      <c r="GE467" s="148"/>
      <c r="GF467" s="148"/>
      <c r="GG467" s="149"/>
    </row>
    <row r="468" spans="1:189" x14ac:dyDescent="0.35">
      <c r="A468" s="268"/>
      <c r="B468" s="221"/>
      <c r="C468" s="221"/>
      <c r="D468" s="222"/>
      <c r="E468" s="221"/>
      <c r="F468" s="221"/>
      <c r="G468" s="223"/>
      <c r="H468" s="224"/>
      <c r="I468" s="225"/>
      <c r="J468" s="225"/>
      <c r="K468" s="225"/>
      <c r="L468" s="226"/>
      <c r="M468" s="226"/>
      <c r="N468" s="226"/>
      <c r="O468" s="226"/>
      <c r="P468" s="226"/>
      <c r="Q468" s="227"/>
      <c r="R468" s="228"/>
      <c r="S468" s="228"/>
      <c r="T468" s="228"/>
      <c r="U468" s="191">
        <f t="shared" si="494"/>
        <v>0</v>
      </c>
      <c r="V468" s="86"/>
      <c r="W468" s="45"/>
      <c r="X468" s="46"/>
      <c r="Y468" s="167">
        <f t="shared" si="495"/>
        <v>0</v>
      </c>
      <c r="Z468" s="167">
        <f t="shared" si="496"/>
        <v>0</v>
      </c>
      <c r="AA468" s="167">
        <f t="shared" si="497"/>
        <v>0</v>
      </c>
      <c r="AB468" s="167">
        <f t="shared" si="498"/>
        <v>0</v>
      </c>
      <c r="AC468" s="167">
        <f t="shared" si="499"/>
        <v>0</v>
      </c>
      <c r="AD468" s="167">
        <f t="shared" si="500"/>
        <v>0</v>
      </c>
      <c r="AF468" s="47">
        <f t="shared" ref="AF468:AF531" si="501">IF(S468&lt;&gt;"",1,0)</f>
        <v>0</v>
      </c>
      <c r="AG468" s="202" t="str">
        <f t="shared" si="493"/>
        <v xml:space="preserve"> </v>
      </c>
      <c r="AH468" s="150"/>
      <c r="AI468" s="151"/>
      <c r="AJ468" s="151"/>
      <c r="AK468" s="151"/>
      <c r="AL468" s="151"/>
      <c r="AM468" s="151"/>
      <c r="AN468" s="151"/>
      <c r="AO468" s="151"/>
      <c r="AP468" s="151"/>
      <c r="AQ468" s="151"/>
      <c r="AR468" s="151"/>
      <c r="AS468" s="151"/>
      <c r="AT468" s="151"/>
      <c r="AU468" s="151"/>
      <c r="AV468" s="151"/>
      <c r="AW468" s="151"/>
      <c r="AX468" s="151"/>
      <c r="AY468" s="151"/>
      <c r="AZ468" s="151"/>
      <c r="BA468" s="151"/>
      <c r="BB468" s="151"/>
      <c r="BC468" s="151"/>
      <c r="BD468" s="151"/>
      <c r="BE468" s="151"/>
      <c r="BF468" s="151"/>
      <c r="BG468" s="151"/>
      <c r="BH468" s="151"/>
      <c r="BI468" s="151"/>
      <c r="BJ468" s="151"/>
      <c r="BK468" s="151"/>
      <c r="BL468" s="151"/>
      <c r="BM468" s="151"/>
      <c r="BN468" s="151"/>
      <c r="BO468" s="151"/>
      <c r="BP468" s="151"/>
      <c r="BQ468" s="151"/>
      <c r="BR468" s="151"/>
      <c r="BS468" s="151"/>
      <c r="BT468" s="151"/>
      <c r="BU468" s="151"/>
      <c r="BV468" s="151"/>
      <c r="BW468" s="151"/>
      <c r="BX468" s="151"/>
      <c r="BY468" s="151"/>
      <c r="BZ468" s="151"/>
      <c r="CA468" s="151"/>
      <c r="CB468" s="151"/>
      <c r="CC468" s="151"/>
      <c r="CD468" s="151"/>
      <c r="CE468" s="151"/>
      <c r="CF468" s="151"/>
      <c r="CG468" s="151"/>
      <c r="CH468" s="151"/>
      <c r="CI468" s="151"/>
      <c r="CJ468" s="151"/>
      <c r="CK468" s="151"/>
      <c r="CL468" s="151"/>
      <c r="CM468" s="151"/>
      <c r="CN468" s="151"/>
      <c r="CO468" s="151"/>
      <c r="CP468" s="151"/>
      <c r="CQ468" s="151"/>
      <c r="CR468" s="151"/>
      <c r="CS468" s="151"/>
      <c r="CT468" s="151"/>
      <c r="CU468" s="151"/>
      <c r="CV468" s="151"/>
      <c r="CW468" s="151"/>
      <c r="CX468" s="151"/>
      <c r="CY468" s="151"/>
      <c r="CZ468" s="151"/>
      <c r="DA468" s="151"/>
      <c r="DB468" s="151"/>
      <c r="DC468" s="151"/>
      <c r="DD468" s="151"/>
      <c r="DE468" s="151"/>
      <c r="DF468" s="151"/>
      <c r="DG468" s="151"/>
      <c r="DH468" s="151"/>
      <c r="DI468" s="151"/>
      <c r="DJ468" s="151"/>
      <c r="DK468" s="151"/>
      <c r="DL468" s="151"/>
      <c r="DM468" s="151"/>
      <c r="DN468" s="151"/>
      <c r="DO468" s="151"/>
      <c r="DP468" s="151"/>
      <c r="DQ468" s="151"/>
      <c r="DR468" s="151"/>
      <c r="DS468" s="151"/>
      <c r="DT468" s="151"/>
      <c r="DU468" s="151"/>
      <c r="DV468" s="151"/>
      <c r="DW468" s="151"/>
      <c r="DX468" s="151"/>
      <c r="DY468" s="151"/>
      <c r="DZ468" s="151"/>
      <c r="EA468" s="151"/>
      <c r="EB468" s="151"/>
      <c r="EC468" s="151"/>
      <c r="ED468" s="151"/>
      <c r="EE468" s="151"/>
      <c r="EF468" s="151"/>
      <c r="EG468" s="151"/>
      <c r="EH468" s="151"/>
      <c r="EI468" s="151"/>
      <c r="EJ468" s="151"/>
      <c r="EK468" s="151"/>
      <c r="EL468" s="151"/>
      <c r="EM468" s="151"/>
      <c r="EN468" s="151"/>
      <c r="EO468" s="151"/>
      <c r="EP468" s="151"/>
      <c r="EQ468" s="151"/>
      <c r="ER468" s="151"/>
      <c r="ES468" s="151"/>
      <c r="ET468" s="151"/>
      <c r="EU468" s="151"/>
      <c r="EV468" s="151"/>
      <c r="EW468" s="151"/>
      <c r="EX468" s="151"/>
      <c r="EY468" s="151"/>
      <c r="EZ468" s="151"/>
      <c r="FA468" s="151"/>
      <c r="FB468" s="151"/>
      <c r="FC468" s="151"/>
      <c r="FD468" s="151"/>
      <c r="FE468" s="151"/>
      <c r="FF468" s="151"/>
      <c r="FG468" s="151"/>
      <c r="FH468" s="151"/>
      <c r="FI468" s="151"/>
      <c r="FJ468" s="151"/>
      <c r="FK468" s="151"/>
      <c r="FL468" s="151"/>
      <c r="FM468" s="151"/>
      <c r="FN468" s="151"/>
      <c r="FO468" s="151"/>
      <c r="FP468" s="151"/>
      <c r="FQ468" s="151"/>
      <c r="FR468" s="151"/>
      <c r="FS468" s="151"/>
      <c r="FT468" s="151"/>
      <c r="FU468" s="151"/>
      <c r="FV468" s="151"/>
      <c r="FW468" s="151"/>
      <c r="FX468" s="151"/>
      <c r="FY468" s="151"/>
      <c r="FZ468" s="151"/>
      <c r="GA468" s="151"/>
      <c r="GB468" s="151"/>
      <c r="GC468" s="151"/>
      <c r="GD468" s="151"/>
      <c r="GE468" s="151"/>
      <c r="GF468" s="151"/>
      <c r="GG468" s="152"/>
    </row>
    <row r="469" spans="1:189" x14ac:dyDescent="0.35">
      <c r="A469" s="268"/>
      <c r="B469" s="221"/>
      <c r="C469" s="221"/>
      <c r="D469" s="222"/>
      <c r="E469" s="221"/>
      <c r="F469" s="221"/>
      <c r="G469" s="223"/>
      <c r="H469" s="224"/>
      <c r="I469" s="225"/>
      <c r="J469" s="225"/>
      <c r="K469" s="225"/>
      <c r="L469" s="226"/>
      <c r="M469" s="226"/>
      <c r="N469" s="226"/>
      <c r="O469" s="226"/>
      <c r="P469" s="226"/>
      <c r="Q469" s="227"/>
      <c r="R469" s="228"/>
      <c r="S469" s="228"/>
      <c r="T469" s="228"/>
      <c r="U469" s="191">
        <f t="shared" si="494"/>
        <v>0</v>
      </c>
      <c r="V469" s="86"/>
      <c r="W469" s="45"/>
      <c r="X469" s="46"/>
      <c r="Y469" s="167">
        <f t="shared" si="495"/>
        <v>0</v>
      </c>
      <c r="Z469" s="167">
        <f t="shared" si="496"/>
        <v>0</v>
      </c>
      <c r="AA469" s="167">
        <f t="shared" si="497"/>
        <v>0</v>
      </c>
      <c r="AB469" s="167">
        <f t="shared" si="498"/>
        <v>0</v>
      </c>
      <c r="AC469" s="167">
        <f t="shared" si="499"/>
        <v>0</v>
      </c>
      <c r="AD469" s="167">
        <f t="shared" si="500"/>
        <v>0</v>
      </c>
      <c r="AF469" s="47">
        <f t="shared" si="501"/>
        <v>0</v>
      </c>
      <c r="AG469" s="202" t="str">
        <f t="shared" si="493"/>
        <v xml:space="preserve"> </v>
      </c>
      <c r="AH469" s="150"/>
      <c r="AI469" s="151"/>
      <c r="AJ469" s="151"/>
      <c r="AK469" s="151"/>
      <c r="AL469" s="151"/>
      <c r="AM469" s="151"/>
      <c r="AN469" s="151"/>
      <c r="AO469" s="151"/>
      <c r="AP469" s="151"/>
      <c r="AQ469" s="151"/>
      <c r="AR469" s="151"/>
      <c r="AS469" s="151"/>
      <c r="AT469" s="151"/>
      <c r="AU469" s="151"/>
      <c r="AV469" s="151"/>
      <c r="AW469" s="151"/>
      <c r="AX469" s="151"/>
      <c r="AY469" s="151"/>
      <c r="AZ469" s="151"/>
      <c r="BA469" s="151"/>
      <c r="BB469" s="151"/>
      <c r="BC469" s="151"/>
      <c r="BD469" s="151"/>
      <c r="BE469" s="151"/>
      <c r="BF469" s="151"/>
      <c r="BG469" s="151"/>
      <c r="BH469" s="151"/>
      <c r="BI469" s="151"/>
      <c r="BJ469" s="151"/>
      <c r="BK469" s="151"/>
      <c r="BL469" s="151"/>
      <c r="BM469" s="151"/>
      <c r="BN469" s="151"/>
      <c r="BO469" s="151"/>
      <c r="BP469" s="151"/>
      <c r="BQ469" s="151"/>
      <c r="BR469" s="151"/>
      <c r="BS469" s="151"/>
      <c r="BT469" s="151"/>
      <c r="BU469" s="151"/>
      <c r="BV469" s="151"/>
      <c r="BW469" s="151"/>
      <c r="BX469" s="151"/>
      <c r="BY469" s="151"/>
      <c r="BZ469" s="151"/>
      <c r="CA469" s="151"/>
      <c r="CB469" s="151"/>
      <c r="CC469" s="151"/>
      <c r="CD469" s="151"/>
      <c r="CE469" s="151"/>
      <c r="CF469" s="151"/>
      <c r="CG469" s="151"/>
      <c r="CH469" s="151"/>
      <c r="CI469" s="151"/>
      <c r="CJ469" s="151"/>
      <c r="CK469" s="151"/>
      <c r="CL469" s="151"/>
      <c r="CM469" s="151"/>
      <c r="CN469" s="151"/>
      <c r="CO469" s="151"/>
      <c r="CP469" s="151"/>
      <c r="CQ469" s="151"/>
      <c r="CR469" s="151"/>
      <c r="CS469" s="151"/>
      <c r="CT469" s="151"/>
      <c r="CU469" s="151"/>
      <c r="CV469" s="151"/>
      <c r="CW469" s="151"/>
      <c r="CX469" s="151"/>
      <c r="CY469" s="151"/>
      <c r="CZ469" s="151"/>
      <c r="DA469" s="151"/>
      <c r="DB469" s="151"/>
      <c r="DC469" s="151"/>
      <c r="DD469" s="151"/>
      <c r="DE469" s="151"/>
      <c r="DF469" s="151"/>
      <c r="DG469" s="151"/>
      <c r="DH469" s="151"/>
      <c r="DI469" s="151"/>
      <c r="DJ469" s="151"/>
      <c r="DK469" s="151"/>
      <c r="DL469" s="151"/>
      <c r="DM469" s="151"/>
      <c r="DN469" s="151"/>
      <c r="DO469" s="151"/>
      <c r="DP469" s="151"/>
      <c r="DQ469" s="151"/>
      <c r="DR469" s="151"/>
      <c r="DS469" s="151"/>
      <c r="DT469" s="151"/>
      <c r="DU469" s="151"/>
      <c r="DV469" s="151"/>
      <c r="DW469" s="151"/>
      <c r="DX469" s="151"/>
      <c r="DY469" s="151"/>
      <c r="DZ469" s="151"/>
      <c r="EA469" s="151"/>
      <c r="EB469" s="151"/>
      <c r="EC469" s="151"/>
      <c r="ED469" s="151"/>
      <c r="EE469" s="151"/>
      <c r="EF469" s="151"/>
      <c r="EG469" s="151"/>
      <c r="EH469" s="151"/>
      <c r="EI469" s="151"/>
      <c r="EJ469" s="151"/>
      <c r="EK469" s="151"/>
      <c r="EL469" s="151"/>
      <c r="EM469" s="151"/>
      <c r="EN469" s="151"/>
      <c r="EO469" s="151"/>
      <c r="EP469" s="151"/>
      <c r="EQ469" s="151"/>
      <c r="ER469" s="151"/>
      <c r="ES469" s="151"/>
      <c r="ET469" s="151"/>
      <c r="EU469" s="151"/>
      <c r="EV469" s="151"/>
      <c r="EW469" s="151"/>
      <c r="EX469" s="151"/>
      <c r="EY469" s="151"/>
      <c r="EZ469" s="151"/>
      <c r="FA469" s="151"/>
      <c r="FB469" s="151"/>
      <c r="FC469" s="151"/>
      <c r="FD469" s="151"/>
      <c r="FE469" s="151"/>
      <c r="FF469" s="151"/>
      <c r="FG469" s="151"/>
      <c r="FH469" s="151"/>
      <c r="FI469" s="151"/>
      <c r="FJ469" s="151"/>
      <c r="FK469" s="151"/>
      <c r="FL469" s="151"/>
      <c r="FM469" s="151"/>
      <c r="FN469" s="151"/>
      <c r="FO469" s="151"/>
      <c r="FP469" s="151"/>
      <c r="FQ469" s="151"/>
      <c r="FR469" s="151"/>
      <c r="FS469" s="151"/>
      <c r="FT469" s="151"/>
      <c r="FU469" s="151"/>
      <c r="FV469" s="151"/>
      <c r="FW469" s="151"/>
      <c r="FX469" s="151"/>
      <c r="FY469" s="151"/>
      <c r="FZ469" s="151"/>
      <c r="GA469" s="151"/>
      <c r="GB469" s="151"/>
      <c r="GC469" s="151"/>
      <c r="GD469" s="151"/>
      <c r="GE469" s="151"/>
      <c r="GF469" s="151"/>
      <c r="GG469" s="152"/>
    </row>
    <row r="470" spans="1:189" x14ac:dyDescent="0.35">
      <c r="A470" s="268"/>
      <c r="B470" s="221"/>
      <c r="C470" s="221"/>
      <c r="D470" s="222"/>
      <c r="E470" s="221"/>
      <c r="F470" s="221"/>
      <c r="G470" s="223"/>
      <c r="H470" s="224"/>
      <c r="I470" s="225"/>
      <c r="J470" s="225"/>
      <c r="K470" s="225"/>
      <c r="L470" s="226"/>
      <c r="M470" s="226"/>
      <c r="N470" s="226"/>
      <c r="O470" s="226"/>
      <c r="P470" s="226"/>
      <c r="Q470" s="227"/>
      <c r="R470" s="228"/>
      <c r="S470" s="228"/>
      <c r="T470" s="228"/>
      <c r="U470" s="191">
        <f t="shared" si="494"/>
        <v>0</v>
      </c>
      <c r="V470" s="86"/>
      <c r="W470" s="45"/>
      <c r="X470" s="46"/>
      <c r="Y470" s="167">
        <f t="shared" si="495"/>
        <v>0</v>
      </c>
      <c r="Z470" s="167">
        <f t="shared" si="496"/>
        <v>0</v>
      </c>
      <c r="AA470" s="167">
        <f t="shared" si="497"/>
        <v>0</v>
      </c>
      <c r="AB470" s="167">
        <f t="shared" si="498"/>
        <v>0</v>
      </c>
      <c r="AC470" s="167">
        <f t="shared" si="499"/>
        <v>0</v>
      </c>
      <c r="AD470" s="167">
        <f t="shared" si="500"/>
        <v>0</v>
      </c>
      <c r="AF470" s="47">
        <f t="shared" si="501"/>
        <v>0</v>
      </c>
      <c r="AG470" s="202" t="str">
        <f t="shared" si="493"/>
        <v xml:space="preserve"> </v>
      </c>
      <c r="AH470" s="150"/>
      <c r="AI470" s="151"/>
      <c r="AJ470" s="151"/>
      <c r="AK470" s="151"/>
      <c r="AL470" s="151"/>
      <c r="AM470" s="151"/>
      <c r="AN470" s="151"/>
      <c r="AO470" s="151"/>
      <c r="AP470" s="151"/>
      <c r="AQ470" s="151"/>
      <c r="AR470" s="151"/>
      <c r="AS470" s="151"/>
      <c r="AT470" s="151"/>
      <c r="AU470" s="151"/>
      <c r="AV470" s="151"/>
      <c r="AW470" s="151"/>
      <c r="AX470" s="151"/>
      <c r="AY470" s="151"/>
      <c r="AZ470" s="151"/>
      <c r="BA470" s="151"/>
      <c r="BB470" s="151"/>
      <c r="BC470" s="151"/>
      <c r="BD470" s="151"/>
      <c r="BE470" s="151"/>
      <c r="BF470" s="151"/>
      <c r="BG470" s="151"/>
      <c r="BH470" s="151"/>
      <c r="BI470" s="151"/>
      <c r="BJ470" s="151"/>
      <c r="BK470" s="151"/>
      <c r="BL470" s="151"/>
      <c r="BM470" s="151"/>
      <c r="BN470" s="151"/>
      <c r="BO470" s="151"/>
      <c r="BP470" s="151"/>
      <c r="BQ470" s="151"/>
      <c r="BR470" s="151"/>
      <c r="BS470" s="151"/>
      <c r="BT470" s="151"/>
      <c r="BU470" s="151"/>
      <c r="BV470" s="151"/>
      <c r="BW470" s="151"/>
      <c r="BX470" s="151"/>
      <c r="BY470" s="151"/>
      <c r="BZ470" s="151"/>
      <c r="CA470" s="151"/>
      <c r="CB470" s="151"/>
      <c r="CC470" s="151"/>
      <c r="CD470" s="151"/>
      <c r="CE470" s="151"/>
      <c r="CF470" s="151"/>
      <c r="CG470" s="151"/>
      <c r="CH470" s="151"/>
      <c r="CI470" s="151"/>
      <c r="CJ470" s="151"/>
      <c r="CK470" s="151"/>
      <c r="CL470" s="151"/>
      <c r="CM470" s="151"/>
      <c r="CN470" s="151"/>
      <c r="CO470" s="151"/>
      <c r="CP470" s="151"/>
      <c r="CQ470" s="151"/>
      <c r="CR470" s="151"/>
      <c r="CS470" s="151"/>
      <c r="CT470" s="151"/>
      <c r="CU470" s="151"/>
      <c r="CV470" s="151"/>
      <c r="CW470" s="151"/>
      <c r="CX470" s="151"/>
      <c r="CY470" s="151"/>
      <c r="CZ470" s="151"/>
      <c r="DA470" s="151"/>
      <c r="DB470" s="151"/>
      <c r="DC470" s="151"/>
      <c r="DD470" s="151"/>
      <c r="DE470" s="151"/>
      <c r="DF470" s="151"/>
      <c r="DG470" s="151"/>
      <c r="DH470" s="151"/>
      <c r="DI470" s="151"/>
      <c r="DJ470" s="151"/>
      <c r="DK470" s="151"/>
      <c r="DL470" s="151"/>
      <c r="DM470" s="151"/>
      <c r="DN470" s="151"/>
      <c r="DO470" s="151"/>
      <c r="DP470" s="151"/>
      <c r="DQ470" s="151"/>
      <c r="DR470" s="151"/>
      <c r="DS470" s="151"/>
      <c r="DT470" s="151"/>
      <c r="DU470" s="151"/>
      <c r="DV470" s="151"/>
      <c r="DW470" s="151"/>
      <c r="DX470" s="151"/>
      <c r="DY470" s="151"/>
      <c r="DZ470" s="151"/>
      <c r="EA470" s="151"/>
      <c r="EB470" s="151"/>
      <c r="EC470" s="151"/>
      <c r="ED470" s="151"/>
      <c r="EE470" s="151"/>
      <c r="EF470" s="151"/>
      <c r="EG470" s="151"/>
      <c r="EH470" s="151"/>
      <c r="EI470" s="151"/>
      <c r="EJ470" s="151"/>
      <c r="EK470" s="151"/>
      <c r="EL470" s="151"/>
      <c r="EM470" s="151"/>
      <c r="EN470" s="151"/>
      <c r="EO470" s="151"/>
      <c r="EP470" s="151"/>
      <c r="EQ470" s="151"/>
      <c r="ER470" s="151"/>
      <c r="ES470" s="151"/>
      <c r="ET470" s="151"/>
      <c r="EU470" s="151"/>
      <c r="EV470" s="151"/>
      <c r="EW470" s="151"/>
      <c r="EX470" s="151"/>
      <c r="EY470" s="151"/>
      <c r="EZ470" s="151"/>
      <c r="FA470" s="151"/>
      <c r="FB470" s="151"/>
      <c r="FC470" s="151"/>
      <c r="FD470" s="151"/>
      <c r="FE470" s="151"/>
      <c r="FF470" s="151"/>
      <c r="FG470" s="151"/>
      <c r="FH470" s="151"/>
      <c r="FI470" s="151"/>
      <c r="FJ470" s="151"/>
      <c r="FK470" s="151"/>
      <c r="FL470" s="151"/>
      <c r="FM470" s="151"/>
      <c r="FN470" s="151"/>
      <c r="FO470" s="151"/>
      <c r="FP470" s="151"/>
      <c r="FQ470" s="151"/>
      <c r="FR470" s="151"/>
      <c r="FS470" s="151"/>
      <c r="FT470" s="151"/>
      <c r="FU470" s="151"/>
      <c r="FV470" s="151"/>
      <c r="FW470" s="151"/>
      <c r="FX470" s="151"/>
      <c r="FY470" s="151"/>
      <c r="FZ470" s="151"/>
      <c r="GA470" s="151"/>
      <c r="GB470" s="151"/>
      <c r="GC470" s="151"/>
      <c r="GD470" s="151"/>
      <c r="GE470" s="151"/>
      <c r="GF470" s="151"/>
      <c r="GG470" s="152"/>
    </row>
    <row r="471" spans="1:189" x14ac:dyDescent="0.35">
      <c r="A471" s="268"/>
      <c r="B471" s="221"/>
      <c r="C471" s="221"/>
      <c r="D471" s="222"/>
      <c r="E471" s="221"/>
      <c r="F471" s="221"/>
      <c r="G471" s="223"/>
      <c r="H471" s="224"/>
      <c r="I471" s="225"/>
      <c r="J471" s="225"/>
      <c r="K471" s="225"/>
      <c r="L471" s="226"/>
      <c r="M471" s="226"/>
      <c r="N471" s="226"/>
      <c r="O471" s="226"/>
      <c r="P471" s="226"/>
      <c r="Q471" s="227"/>
      <c r="R471" s="228"/>
      <c r="S471" s="228"/>
      <c r="T471" s="228"/>
      <c r="U471" s="191">
        <f t="shared" si="494"/>
        <v>0</v>
      </c>
      <c r="V471" s="86"/>
      <c r="W471" s="45"/>
      <c r="X471" s="46"/>
      <c r="Y471" s="167">
        <f t="shared" si="495"/>
        <v>0</v>
      </c>
      <c r="Z471" s="167">
        <f t="shared" si="496"/>
        <v>0</v>
      </c>
      <c r="AA471" s="167">
        <f t="shared" si="497"/>
        <v>0</v>
      </c>
      <c r="AB471" s="167">
        <f t="shared" si="498"/>
        <v>0</v>
      </c>
      <c r="AC471" s="167">
        <f t="shared" si="499"/>
        <v>0</v>
      </c>
      <c r="AD471" s="167">
        <f t="shared" si="500"/>
        <v>0</v>
      </c>
      <c r="AF471" s="47">
        <f t="shared" si="501"/>
        <v>0</v>
      </c>
      <c r="AG471" s="202" t="str">
        <f t="shared" si="493"/>
        <v xml:space="preserve"> </v>
      </c>
      <c r="AH471" s="147"/>
      <c r="AI471" s="148"/>
      <c r="AJ471" s="148"/>
      <c r="AK471" s="148"/>
      <c r="AL471" s="148"/>
      <c r="AM471" s="148"/>
      <c r="AN471" s="148"/>
      <c r="AO471" s="148"/>
      <c r="AP471" s="148"/>
      <c r="AQ471" s="148"/>
      <c r="AR471" s="148"/>
      <c r="AS471" s="148"/>
      <c r="AT471" s="148"/>
      <c r="AU471" s="148"/>
      <c r="AV471" s="148"/>
      <c r="AW471" s="148"/>
      <c r="AX471" s="148"/>
      <c r="AY471" s="148"/>
      <c r="AZ471" s="148"/>
      <c r="BA471" s="148"/>
      <c r="BB471" s="148"/>
      <c r="BC471" s="148"/>
      <c r="BD471" s="148"/>
      <c r="BE471" s="148"/>
      <c r="BF471" s="148"/>
      <c r="BG471" s="148"/>
      <c r="BH471" s="148"/>
      <c r="BI471" s="148"/>
      <c r="BJ471" s="148"/>
      <c r="BK471" s="148"/>
      <c r="BL471" s="148"/>
      <c r="BM471" s="148"/>
      <c r="BN471" s="148"/>
      <c r="BO471" s="148"/>
      <c r="BP471" s="148"/>
      <c r="BQ471" s="148"/>
      <c r="BR471" s="148"/>
      <c r="BS471" s="148"/>
      <c r="BT471" s="148"/>
      <c r="BU471" s="148"/>
      <c r="BV471" s="148"/>
      <c r="BW471" s="148"/>
      <c r="BX471" s="148"/>
      <c r="BY471" s="148"/>
      <c r="BZ471" s="148"/>
      <c r="CA471" s="148"/>
      <c r="CB471" s="148"/>
      <c r="CC471" s="148"/>
      <c r="CD471" s="148"/>
      <c r="CE471" s="148"/>
      <c r="CF471" s="148"/>
      <c r="CG471" s="148"/>
      <c r="CH471" s="148"/>
      <c r="CI471" s="148"/>
      <c r="CJ471" s="148"/>
      <c r="CK471" s="148"/>
      <c r="CL471" s="148"/>
      <c r="CM471" s="148"/>
      <c r="CN471" s="148"/>
      <c r="CO471" s="148"/>
      <c r="CP471" s="148"/>
      <c r="CQ471" s="148"/>
      <c r="CR471" s="148"/>
      <c r="CS471" s="148"/>
      <c r="CT471" s="148"/>
      <c r="CU471" s="148"/>
      <c r="CV471" s="148"/>
      <c r="CW471" s="148"/>
      <c r="CX471" s="148"/>
      <c r="CY471" s="148"/>
      <c r="CZ471" s="148"/>
      <c r="DA471" s="148"/>
      <c r="DB471" s="148"/>
      <c r="DC471" s="148"/>
      <c r="DD471" s="148"/>
      <c r="DE471" s="148"/>
      <c r="DF471" s="148"/>
      <c r="DG471" s="148"/>
      <c r="DH471" s="148"/>
      <c r="DI471" s="148"/>
      <c r="DJ471" s="148"/>
      <c r="DK471" s="148"/>
      <c r="DL471" s="148"/>
      <c r="DM471" s="148"/>
      <c r="DN471" s="148"/>
      <c r="DO471" s="148"/>
      <c r="DP471" s="148"/>
      <c r="DQ471" s="148"/>
      <c r="DR471" s="148"/>
      <c r="DS471" s="148"/>
      <c r="DT471" s="148"/>
      <c r="DU471" s="148"/>
      <c r="DV471" s="148"/>
      <c r="DW471" s="148"/>
      <c r="DX471" s="148"/>
      <c r="DY471" s="148"/>
      <c r="DZ471" s="148"/>
      <c r="EA471" s="148"/>
      <c r="EB471" s="148"/>
      <c r="EC471" s="148"/>
      <c r="ED471" s="148"/>
      <c r="EE471" s="148"/>
      <c r="EF471" s="148"/>
      <c r="EG471" s="148"/>
      <c r="EH471" s="148"/>
      <c r="EI471" s="148"/>
      <c r="EJ471" s="148"/>
      <c r="EK471" s="148"/>
      <c r="EL471" s="148"/>
      <c r="EM471" s="148"/>
      <c r="EN471" s="148"/>
      <c r="EO471" s="148"/>
      <c r="EP471" s="148"/>
      <c r="EQ471" s="148"/>
      <c r="ER471" s="148"/>
      <c r="ES471" s="148"/>
      <c r="ET471" s="148"/>
      <c r="EU471" s="148"/>
      <c r="EV471" s="148"/>
      <c r="EW471" s="148"/>
      <c r="EX471" s="148"/>
      <c r="EY471" s="148"/>
      <c r="EZ471" s="148"/>
      <c r="FA471" s="148"/>
      <c r="FB471" s="148"/>
      <c r="FC471" s="148"/>
      <c r="FD471" s="148"/>
      <c r="FE471" s="148"/>
      <c r="FF471" s="148"/>
      <c r="FG471" s="148"/>
      <c r="FH471" s="148"/>
      <c r="FI471" s="148"/>
      <c r="FJ471" s="148"/>
      <c r="FK471" s="148"/>
      <c r="FL471" s="148"/>
      <c r="FM471" s="148"/>
      <c r="FN471" s="148"/>
      <c r="FO471" s="148"/>
      <c r="FP471" s="148"/>
      <c r="FQ471" s="148"/>
      <c r="FR471" s="148"/>
      <c r="FS471" s="148"/>
      <c r="FT471" s="148"/>
      <c r="FU471" s="148"/>
      <c r="FV471" s="148"/>
      <c r="FW471" s="148"/>
      <c r="FX471" s="148"/>
      <c r="FY471" s="148"/>
      <c r="FZ471" s="148"/>
      <c r="GA471" s="148"/>
      <c r="GB471" s="148"/>
      <c r="GC471" s="148"/>
      <c r="GD471" s="148"/>
      <c r="GE471" s="148"/>
      <c r="GF471" s="148"/>
      <c r="GG471" s="149"/>
    </row>
    <row r="472" spans="1:189" x14ac:dyDescent="0.35">
      <c r="A472" s="268"/>
      <c r="B472" s="221"/>
      <c r="C472" s="221"/>
      <c r="D472" s="222"/>
      <c r="E472" s="221"/>
      <c r="F472" s="221"/>
      <c r="G472" s="223"/>
      <c r="H472" s="224"/>
      <c r="I472" s="225"/>
      <c r="J472" s="225"/>
      <c r="K472" s="225"/>
      <c r="L472" s="226"/>
      <c r="M472" s="226"/>
      <c r="N472" s="226"/>
      <c r="O472" s="226"/>
      <c r="P472" s="226"/>
      <c r="Q472" s="227"/>
      <c r="R472" s="228"/>
      <c r="S472" s="228"/>
      <c r="T472" s="228"/>
      <c r="U472" s="191">
        <f t="shared" si="494"/>
        <v>0</v>
      </c>
      <c r="V472" s="86"/>
      <c r="W472" s="45"/>
      <c r="X472" s="46"/>
      <c r="Y472" s="167">
        <f t="shared" si="495"/>
        <v>0</v>
      </c>
      <c r="Z472" s="167">
        <f t="shared" si="496"/>
        <v>0</v>
      </c>
      <c r="AA472" s="167">
        <f t="shared" si="497"/>
        <v>0</v>
      </c>
      <c r="AB472" s="167">
        <f t="shared" si="498"/>
        <v>0</v>
      </c>
      <c r="AC472" s="167">
        <f t="shared" si="499"/>
        <v>0</v>
      </c>
      <c r="AD472" s="167">
        <f t="shared" si="500"/>
        <v>0</v>
      </c>
      <c r="AF472" s="47">
        <f t="shared" si="501"/>
        <v>0</v>
      </c>
      <c r="AG472" s="202" t="str">
        <f t="shared" si="493"/>
        <v xml:space="preserve"> </v>
      </c>
      <c r="AH472" s="153"/>
      <c r="AI472" s="154"/>
      <c r="AJ472" s="154"/>
      <c r="AK472" s="154"/>
      <c r="AL472" s="154"/>
      <c r="AM472" s="154"/>
      <c r="AN472" s="154"/>
      <c r="AO472" s="154"/>
      <c r="AP472" s="154"/>
      <c r="AQ472" s="154"/>
      <c r="AR472" s="154"/>
      <c r="AS472" s="154"/>
      <c r="AT472" s="154"/>
      <c r="AU472" s="154"/>
      <c r="AV472" s="154"/>
      <c r="AW472" s="154"/>
      <c r="AX472" s="154"/>
      <c r="AY472" s="154"/>
      <c r="AZ472" s="154"/>
      <c r="BA472" s="154"/>
      <c r="BB472" s="154"/>
      <c r="BC472" s="154"/>
      <c r="BD472" s="154"/>
      <c r="BE472" s="154"/>
      <c r="BF472" s="154"/>
      <c r="BG472" s="154"/>
      <c r="BH472" s="154"/>
      <c r="BI472" s="154"/>
      <c r="BJ472" s="154"/>
      <c r="BK472" s="154"/>
      <c r="BL472" s="154"/>
      <c r="BM472" s="154"/>
      <c r="BN472" s="154"/>
      <c r="BO472" s="154"/>
      <c r="BP472" s="154"/>
      <c r="BQ472" s="154"/>
      <c r="BR472" s="154"/>
      <c r="BS472" s="154"/>
      <c r="BT472" s="154"/>
      <c r="BU472" s="154"/>
      <c r="BV472" s="154"/>
      <c r="BW472" s="154"/>
      <c r="BX472" s="154"/>
      <c r="BY472" s="154"/>
      <c r="BZ472" s="154"/>
      <c r="CA472" s="154"/>
      <c r="CB472" s="154"/>
      <c r="CC472" s="154"/>
      <c r="CD472" s="154"/>
      <c r="CE472" s="154"/>
      <c r="CF472" s="154"/>
      <c r="CG472" s="154"/>
      <c r="CH472" s="154"/>
      <c r="CI472" s="154"/>
      <c r="CJ472" s="154"/>
      <c r="CK472" s="154"/>
      <c r="CL472" s="154"/>
      <c r="CM472" s="154"/>
      <c r="CN472" s="154"/>
      <c r="CO472" s="154"/>
      <c r="CP472" s="154"/>
      <c r="CQ472" s="154"/>
      <c r="CR472" s="154"/>
      <c r="CS472" s="154"/>
      <c r="CT472" s="154"/>
      <c r="CU472" s="154"/>
      <c r="CV472" s="154"/>
      <c r="CW472" s="154"/>
      <c r="CX472" s="154"/>
      <c r="CY472" s="154"/>
      <c r="CZ472" s="154"/>
      <c r="DA472" s="154"/>
      <c r="DB472" s="154"/>
      <c r="DC472" s="154"/>
      <c r="DD472" s="154"/>
      <c r="DE472" s="154"/>
      <c r="DF472" s="154"/>
      <c r="DG472" s="154"/>
      <c r="DH472" s="154"/>
      <c r="DI472" s="154"/>
      <c r="DJ472" s="154"/>
      <c r="DK472" s="154"/>
      <c r="DL472" s="154"/>
      <c r="DM472" s="154"/>
      <c r="DN472" s="154"/>
      <c r="DO472" s="154"/>
      <c r="DP472" s="154"/>
      <c r="DQ472" s="154"/>
      <c r="DR472" s="154"/>
      <c r="DS472" s="154"/>
      <c r="DT472" s="154"/>
      <c r="DU472" s="154"/>
      <c r="DV472" s="154"/>
      <c r="DW472" s="154"/>
      <c r="DX472" s="154"/>
      <c r="DY472" s="154"/>
      <c r="DZ472" s="154"/>
      <c r="EA472" s="154"/>
      <c r="EB472" s="154"/>
      <c r="EC472" s="154"/>
      <c r="ED472" s="154"/>
      <c r="EE472" s="154"/>
      <c r="EF472" s="154"/>
      <c r="EG472" s="154"/>
      <c r="EH472" s="154"/>
      <c r="EI472" s="154"/>
      <c r="EJ472" s="154"/>
      <c r="EK472" s="154"/>
      <c r="EL472" s="154"/>
      <c r="EM472" s="154"/>
      <c r="EN472" s="154"/>
      <c r="EO472" s="154"/>
      <c r="EP472" s="154"/>
      <c r="EQ472" s="154"/>
      <c r="ER472" s="154"/>
      <c r="ES472" s="154"/>
      <c r="ET472" s="154"/>
      <c r="EU472" s="154"/>
      <c r="EV472" s="154"/>
      <c r="EW472" s="154"/>
      <c r="EX472" s="154"/>
      <c r="EY472" s="154"/>
      <c r="EZ472" s="154"/>
      <c r="FA472" s="154"/>
      <c r="FB472" s="154"/>
      <c r="FC472" s="154"/>
      <c r="FD472" s="154"/>
      <c r="FE472" s="154"/>
      <c r="FF472" s="154"/>
      <c r="FG472" s="154"/>
      <c r="FH472" s="154"/>
      <c r="FI472" s="154"/>
      <c r="FJ472" s="154"/>
      <c r="FK472" s="154"/>
      <c r="FL472" s="154"/>
      <c r="FM472" s="154"/>
      <c r="FN472" s="154"/>
      <c r="FO472" s="154"/>
      <c r="FP472" s="154"/>
      <c r="FQ472" s="154"/>
      <c r="FR472" s="154"/>
      <c r="FS472" s="154"/>
      <c r="FT472" s="154"/>
      <c r="FU472" s="154"/>
      <c r="FV472" s="154"/>
      <c r="FW472" s="154"/>
      <c r="FX472" s="154"/>
      <c r="FY472" s="154"/>
      <c r="FZ472" s="154"/>
      <c r="GA472" s="154"/>
      <c r="GB472" s="154"/>
      <c r="GC472" s="154"/>
      <c r="GD472" s="154"/>
      <c r="GE472" s="154"/>
      <c r="GF472" s="154"/>
      <c r="GG472" s="156"/>
    </row>
    <row r="473" spans="1:189" x14ac:dyDescent="0.35">
      <c r="A473" s="268"/>
      <c r="B473" s="221"/>
      <c r="C473" s="221"/>
      <c r="D473" s="222"/>
      <c r="E473" s="221"/>
      <c r="F473" s="221"/>
      <c r="G473" s="223"/>
      <c r="H473" s="224"/>
      <c r="I473" s="225"/>
      <c r="J473" s="225"/>
      <c r="K473" s="225"/>
      <c r="L473" s="226"/>
      <c r="M473" s="226"/>
      <c r="N473" s="226"/>
      <c r="O473" s="226"/>
      <c r="P473" s="226"/>
      <c r="Q473" s="227"/>
      <c r="R473" s="228"/>
      <c r="S473" s="228"/>
      <c r="T473" s="228"/>
      <c r="U473" s="191">
        <f t="shared" si="494"/>
        <v>0</v>
      </c>
      <c r="V473" s="86"/>
      <c r="W473" s="45"/>
      <c r="X473" s="46"/>
      <c r="Y473" s="167">
        <f t="shared" si="495"/>
        <v>0</v>
      </c>
      <c r="Z473" s="167">
        <f t="shared" si="496"/>
        <v>0</v>
      </c>
      <c r="AA473" s="167">
        <f t="shared" si="497"/>
        <v>0</v>
      </c>
      <c r="AB473" s="167">
        <f t="shared" si="498"/>
        <v>0</v>
      </c>
      <c r="AC473" s="167">
        <f t="shared" si="499"/>
        <v>0</v>
      </c>
      <c r="AD473" s="167">
        <f t="shared" si="500"/>
        <v>0</v>
      </c>
      <c r="AF473" s="47">
        <f t="shared" si="501"/>
        <v>0</v>
      </c>
      <c r="AG473" s="202" t="str">
        <f t="shared" si="493"/>
        <v xml:space="preserve"> </v>
      </c>
      <c r="AH473" s="153"/>
      <c r="AI473" s="154"/>
      <c r="AJ473" s="154"/>
      <c r="AK473" s="154"/>
      <c r="AL473" s="154"/>
      <c r="AM473" s="154"/>
      <c r="AN473" s="154"/>
      <c r="AO473" s="154"/>
      <c r="AP473" s="154"/>
      <c r="AQ473" s="154"/>
      <c r="AR473" s="154"/>
      <c r="AS473" s="154"/>
      <c r="AT473" s="154"/>
      <c r="AU473" s="154"/>
      <c r="AV473" s="154"/>
      <c r="AW473" s="154"/>
      <c r="AX473" s="154"/>
      <c r="AY473" s="154"/>
      <c r="AZ473" s="154"/>
      <c r="BA473" s="154"/>
      <c r="BB473" s="154"/>
      <c r="BC473" s="154"/>
      <c r="BD473" s="154"/>
      <c r="BE473" s="154"/>
      <c r="BF473" s="154"/>
      <c r="BG473" s="154"/>
      <c r="BH473" s="154"/>
      <c r="BI473" s="154"/>
      <c r="BJ473" s="154"/>
      <c r="BK473" s="154"/>
      <c r="BL473" s="154"/>
      <c r="BM473" s="154"/>
      <c r="BN473" s="154"/>
      <c r="BO473" s="154"/>
      <c r="BP473" s="154"/>
      <c r="BQ473" s="154"/>
      <c r="BR473" s="154"/>
      <c r="BS473" s="154"/>
      <c r="BT473" s="154"/>
      <c r="BU473" s="154"/>
      <c r="BV473" s="154"/>
      <c r="BW473" s="154"/>
      <c r="BX473" s="154"/>
      <c r="BY473" s="154"/>
      <c r="BZ473" s="154"/>
      <c r="CA473" s="154"/>
      <c r="CB473" s="154"/>
      <c r="CC473" s="154"/>
      <c r="CD473" s="154"/>
      <c r="CE473" s="154"/>
      <c r="CF473" s="154"/>
      <c r="CG473" s="154"/>
      <c r="CH473" s="154"/>
      <c r="CI473" s="154"/>
      <c r="CJ473" s="154"/>
      <c r="CK473" s="154"/>
      <c r="CL473" s="154"/>
      <c r="CM473" s="154"/>
      <c r="CN473" s="154"/>
      <c r="CO473" s="154"/>
      <c r="CP473" s="154"/>
      <c r="CQ473" s="154"/>
      <c r="CR473" s="154"/>
      <c r="CS473" s="154"/>
      <c r="CT473" s="154"/>
      <c r="CU473" s="154"/>
      <c r="CV473" s="154"/>
      <c r="CW473" s="154"/>
      <c r="CX473" s="154"/>
      <c r="CY473" s="154"/>
      <c r="CZ473" s="154"/>
      <c r="DA473" s="154"/>
      <c r="DB473" s="154"/>
      <c r="DC473" s="154"/>
      <c r="DD473" s="154"/>
      <c r="DE473" s="154"/>
      <c r="DF473" s="154"/>
      <c r="DG473" s="154"/>
      <c r="DH473" s="154"/>
      <c r="DI473" s="154"/>
      <c r="DJ473" s="154"/>
      <c r="DK473" s="154"/>
      <c r="DL473" s="154"/>
      <c r="DM473" s="154"/>
      <c r="DN473" s="154"/>
      <c r="DO473" s="154"/>
      <c r="DP473" s="154"/>
      <c r="DQ473" s="154"/>
      <c r="DR473" s="154"/>
      <c r="DS473" s="154"/>
      <c r="DT473" s="154"/>
      <c r="DU473" s="154"/>
      <c r="DV473" s="154"/>
      <c r="DW473" s="154"/>
      <c r="DX473" s="154"/>
      <c r="DY473" s="154"/>
      <c r="DZ473" s="154"/>
      <c r="EA473" s="154"/>
      <c r="EB473" s="154"/>
      <c r="EC473" s="154"/>
      <c r="ED473" s="154"/>
      <c r="EE473" s="154"/>
      <c r="EF473" s="154"/>
      <c r="EG473" s="154"/>
      <c r="EH473" s="154"/>
      <c r="EI473" s="154"/>
      <c r="EJ473" s="154"/>
      <c r="EK473" s="154"/>
      <c r="EL473" s="154"/>
      <c r="EM473" s="154"/>
      <c r="EN473" s="154"/>
      <c r="EO473" s="154"/>
      <c r="EP473" s="154"/>
      <c r="EQ473" s="154"/>
      <c r="ER473" s="154"/>
      <c r="ES473" s="154"/>
      <c r="ET473" s="154"/>
      <c r="EU473" s="154"/>
      <c r="EV473" s="154"/>
      <c r="EW473" s="154"/>
      <c r="EX473" s="154"/>
      <c r="EY473" s="154"/>
      <c r="EZ473" s="154"/>
      <c r="FA473" s="154"/>
      <c r="FB473" s="154"/>
      <c r="FC473" s="154"/>
      <c r="FD473" s="154"/>
      <c r="FE473" s="154"/>
      <c r="FF473" s="154"/>
      <c r="FG473" s="154"/>
      <c r="FH473" s="154"/>
      <c r="FI473" s="154"/>
      <c r="FJ473" s="154"/>
      <c r="FK473" s="154"/>
      <c r="FL473" s="154"/>
      <c r="FM473" s="154"/>
      <c r="FN473" s="154"/>
      <c r="FO473" s="154"/>
      <c r="FP473" s="154"/>
      <c r="FQ473" s="154"/>
      <c r="FR473" s="154"/>
      <c r="FS473" s="154"/>
      <c r="FT473" s="154"/>
      <c r="FU473" s="154"/>
      <c r="FV473" s="154"/>
      <c r="FW473" s="154"/>
      <c r="FX473" s="154"/>
      <c r="FY473" s="154"/>
      <c r="FZ473" s="154"/>
      <c r="GA473" s="154"/>
      <c r="GB473" s="154"/>
      <c r="GC473" s="154"/>
      <c r="GD473" s="154"/>
      <c r="GE473" s="154"/>
      <c r="GF473" s="154"/>
      <c r="GG473" s="156"/>
    </row>
    <row r="474" spans="1:189" x14ac:dyDescent="0.35">
      <c r="A474" s="268"/>
      <c r="B474" s="221"/>
      <c r="C474" s="221"/>
      <c r="D474" s="222"/>
      <c r="E474" s="221"/>
      <c r="F474" s="221"/>
      <c r="G474" s="223"/>
      <c r="H474" s="224"/>
      <c r="I474" s="225"/>
      <c r="J474" s="225"/>
      <c r="K474" s="225"/>
      <c r="L474" s="226"/>
      <c r="M474" s="226"/>
      <c r="N474" s="226"/>
      <c r="O474" s="226"/>
      <c r="P474" s="226"/>
      <c r="Q474" s="227"/>
      <c r="R474" s="228"/>
      <c r="S474" s="228"/>
      <c r="T474" s="228"/>
      <c r="U474" s="191">
        <f t="shared" si="494"/>
        <v>0</v>
      </c>
      <c r="V474" s="86"/>
      <c r="W474" s="45"/>
      <c r="X474" s="46"/>
      <c r="Y474" s="167">
        <f t="shared" si="495"/>
        <v>0</v>
      </c>
      <c r="Z474" s="167">
        <f t="shared" si="496"/>
        <v>0</v>
      </c>
      <c r="AA474" s="167">
        <f t="shared" si="497"/>
        <v>0</v>
      </c>
      <c r="AB474" s="167">
        <f t="shared" si="498"/>
        <v>0</v>
      </c>
      <c r="AC474" s="167">
        <f t="shared" si="499"/>
        <v>0</v>
      </c>
      <c r="AD474" s="167">
        <f t="shared" si="500"/>
        <v>0</v>
      </c>
      <c r="AF474" s="47">
        <f t="shared" si="501"/>
        <v>0</v>
      </c>
      <c r="AG474" s="202" t="str">
        <f t="shared" si="493"/>
        <v xml:space="preserve"> </v>
      </c>
      <c r="AH474" s="153"/>
      <c r="AI474" s="154"/>
      <c r="AJ474" s="154"/>
      <c r="AK474" s="154"/>
      <c r="AL474" s="154"/>
      <c r="AM474" s="154"/>
      <c r="AN474" s="154"/>
      <c r="AO474" s="154"/>
      <c r="AP474" s="154"/>
      <c r="AQ474" s="154"/>
      <c r="AR474" s="154"/>
      <c r="AS474" s="154"/>
      <c r="AT474" s="154"/>
      <c r="AU474" s="154"/>
      <c r="AV474" s="154"/>
      <c r="AW474" s="154"/>
      <c r="AX474" s="154"/>
      <c r="AY474" s="154"/>
      <c r="AZ474" s="154"/>
      <c r="BA474" s="154"/>
      <c r="BB474" s="154"/>
      <c r="BC474" s="154"/>
      <c r="BD474" s="154"/>
      <c r="BE474" s="154"/>
      <c r="BF474" s="154"/>
      <c r="BG474" s="154"/>
      <c r="BH474" s="154"/>
      <c r="BI474" s="154"/>
      <c r="BJ474" s="154"/>
      <c r="BK474" s="154"/>
      <c r="BL474" s="154"/>
      <c r="BM474" s="154"/>
      <c r="BN474" s="154"/>
      <c r="BO474" s="154"/>
      <c r="BP474" s="154"/>
      <c r="BQ474" s="154"/>
      <c r="BR474" s="154"/>
      <c r="BS474" s="154"/>
      <c r="BT474" s="154"/>
      <c r="BU474" s="154"/>
      <c r="BV474" s="154"/>
      <c r="BW474" s="154"/>
      <c r="BX474" s="154"/>
      <c r="BY474" s="154"/>
      <c r="BZ474" s="154"/>
      <c r="CA474" s="154"/>
      <c r="CB474" s="154"/>
      <c r="CC474" s="154"/>
      <c r="CD474" s="154"/>
      <c r="CE474" s="154"/>
      <c r="CF474" s="154"/>
      <c r="CG474" s="154"/>
      <c r="CH474" s="154"/>
      <c r="CI474" s="154"/>
      <c r="CJ474" s="154"/>
      <c r="CK474" s="154"/>
      <c r="CL474" s="154"/>
      <c r="CM474" s="154"/>
      <c r="CN474" s="154"/>
      <c r="CO474" s="154"/>
      <c r="CP474" s="154"/>
      <c r="CQ474" s="154"/>
      <c r="CR474" s="154"/>
      <c r="CS474" s="154"/>
      <c r="CT474" s="154"/>
      <c r="CU474" s="154"/>
      <c r="CV474" s="154"/>
      <c r="CW474" s="154"/>
      <c r="CX474" s="154"/>
      <c r="CY474" s="154"/>
      <c r="CZ474" s="154"/>
      <c r="DA474" s="154"/>
      <c r="DB474" s="154"/>
      <c r="DC474" s="154"/>
      <c r="DD474" s="154"/>
      <c r="DE474" s="154"/>
      <c r="DF474" s="154"/>
      <c r="DG474" s="154"/>
      <c r="DH474" s="154"/>
      <c r="DI474" s="154"/>
      <c r="DJ474" s="154"/>
      <c r="DK474" s="154"/>
      <c r="DL474" s="154"/>
      <c r="DM474" s="154"/>
      <c r="DN474" s="154"/>
      <c r="DO474" s="154"/>
      <c r="DP474" s="154"/>
      <c r="DQ474" s="154"/>
      <c r="DR474" s="154"/>
      <c r="DS474" s="154"/>
      <c r="DT474" s="154"/>
      <c r="DU474" s="154"/>
      <c r="DV474" s="154"/>
      <c r="DW474" s="154"/>
      <c r="DX474" s="154"/>
      <c r="DY474" s="154"/>
      <c r="DZ474" s="154"/>
      <c r="EA474" s="154"/>
      <c r="EB474" s="154"/>
      <c r="EC474" s="154"/>
      <c r="ED474" s="154"/>
      <c r="EE474" s="154"/>
      <c r="EF474" s="154"/>
      <c r="EG474" s="154"/>
      <c r="EH474" s="154"/>
      <c r="EI474" s="154"/>
      <c r="EJ474" s="154"/>
      <c r="EK474" s="154"/>
      <c r="EL474" s="154"/>
      <c r="EM474" s="154"/>
      <c r="EN474" s="154"/>
      <c r="EO474" s="154"/>
      <c r="EP474" s="154"/>
      <c r="EQ474" s="154"/>
      <c r="ER474" s="154"/>
      <c r="ES474" s="154"/>
      <c r="ET474" s="154"/>
      <c r="EU474" s="154"/>
      <c r="EV474" s="154"/>
      <c r="EW474" s="154"/>
      <c r="EX474" s="154"/>
      <c r="EY474" s="154"/>
      <c r="EZ474" s="154"/>
      <c r="FA474" s="154"/>
      <c r="FB474" s="154"/>
      <c r="FC474" s="154"/>
      <c r="FD474" s="154"/>
      <c r="FE474" s="154"/>
      <c r="FF474" s="154"/>
      <c r="FG474" s="154"/>
      <c r="FH474" s="154"/>
      <c r="FI474" s="154"/>
      <c r="FJ474" s="154"/>
      <c r="FK474" s="154"/>
      <c r="FL474" s="154"/>
      <c r="FM474" s="154"/>
      <c r="FN474" s="154"/>
      <c r="FO474" s="154"/>
      <c r="FP474" s="154"/>
      <c r="FQ474" s="154"/>
      <c r="FR474" s="154"/>
      <c r="FS474" s="154"/>
      <c r="FT474" s="154"/>
      <c r="FU474" s="154"/>
      <c r="FV474" s="154"/>
      <c r="FW474" s="154"/>
      <c r="FX474" s="154"/>
      <c r="FY474" s="154"/>
      <c r="FZ474" s="154"/>
      <c r="GA474" s="154"/>
      <c r="GB474" s="154"/>
      <c r="GC474" s="154"/>
      <c r="GD474" s="154"/>
      <c r="GE474" s="154"/>
      <c r="GF474" s="154"/>
      <c r="GG474" s="156"/>
    </row>
    <row r="475" spans="1:189" x14ac:dyDescent="0.35">
      <c r="A475" s="268"/>
      <c r="B475" s="221"/>
      <c r="C475" s="221"/>
      <c r="D475" s="222"/>
      <c r="E475" s="221"/>
      <c r="F475" s="221"/>
      <c r="G475" s="223"/>
      <c r="H475" s="224"/>
      <c r="I475" s="225"/>
      <c r="J475" s="225"/>
      <c r="K475" s="225"/>
      <c r="L475" s="226"/>
      <c r="M475" s="226"/>
      <c r="N475" s="226"/>
      <c r="O475" s="226"/>
      <c r="P475" s="226"/>
      <c r="Q475" s="227"/>
      <c r="R475" s="228"/>
      <c r="S475" s="228"/>
      <c r="T475" s="228"/>
      <c r="U475" s="191">
        <f t="shared" si="494"/>
        <v>0</v>
      </c>
      <c r="V475" s="86"/>
      <c r="W475" s="45"/>
      <c r="X475" s="46"/>
      <c r="Y475" s="167">
        <f t="shared" si="495"/>
        <v>0</v>
      </c>
      <c r="Z475" s="167">
        <f t="shared" si="496"/>
        <v>0</v>
      </c>
      <c r="AA475" s="167">
        <f t="shared" si="497"/>
        <v>0</v>
      </c>
      <c r="AB475" s="167">
        <f t="shared" si="498"/>
        <v>0</v>
      </c>
      <c r="AC475" s="167">
        <f t="shared" si="499"/>
        <v>0</v>
      </c>
      <c r="AD475" s="167">
        <f t="shared" si="500"/>
        <v>0</v>
      </c>
      <c r="AF475" s="47">
        <f t="shared" si="501"/>
        <v>0</v>
      </c>
      <c r="AG475" s="202" t="str">
        <f t="shared" si="493"/>
        <v xml:space="preserve"> </v>
      </c>
      <c r="AH475" s="147"/>
      <c r="AI475" s="148"/>
      <c r="AJ475" s="148"/>
      <c r="AK475" s="148"/>
      <c r="AL475" s="148"/>
      <c r="AM475" s="148"/>
      <c r="AN475" s="148"/>
      <c r="AO475" s="148"/>
      <c r="AP475" s="148"/>
      <c r="AQ475" s="148"/>
      <c r="AR475" s="148"/>
      <c r="AS475" s="148"/>
      <c r="AT475" s="148"/>
      <c r="AU475" s="148"/>
      <c r="AV475" s="148"/>
      <c r="AW475" s="148"/>
      <c r="AX475" s="148"/>
      <c r="AY475" s="148"/>
      <c r="AZ475" s="148"/>
      <c r="BA475" s="148"/>
      <c r="BB475" s="148"/>
      <c r="BC475" s="148"/>
      <c r="BD475" s="148"/>
      <c r="BE475" s="148"/>
      <c r="BF475" s="148"/>
      <c r="BG475" s="148"/>
      <c r="BH475" s="148"/>
      <c r="BI475" s="148"/>
      <c r="BJ475" s="148"/>
      <c r="BK475" s="148"/>
      <c r="BL475" s="148"/>
      <c r="BM475" s="148"/>
      <c r="BN475" s="148"/>
      <c r="BO475" s="148"/>
      <c r="BP475" s="148"/>
      <c r="BQ475" s="148"/>
      <c r="BR475" s="148"/>
      <c r="BS475" s="148"/>
      <c r="BT475" s="148"/>
      <c r="BU475" s="148"/>
      <c r="BV475" s="148"/>
      <c r="BW475" s="148"/>
      <c r="BX475" s="148"/>
      <c r="BY475" s="148"/>
      <c r="BZ475" s="148"/>
      <c r="CA475" s="148"/>
      <c r="CB475" s="148"/>
      <c r="CC475" s="148"/>
      <c r="CD475" s="148"/>
      <c r="CE475" s="148"/>
      <c r="CF475" s="148"/>
      <c r="CG475" s="148"/>
      <c r="CH475" s="148"/>
      <c r="CI475" s="148"/>
      <c r="CJ475" s="148"/>
      <c r="CK475" s="148"/>
      <c r="CL475" s="148"/>
      <c r="CM475" s="148"/>
      <c r="CN475" s="148"/>
      <c r="CO475" s="148"/>
      <c r="CP475" s="148"/>
      <c r="CQ475" s="148"/>
      <c r="CR475" s="148"/>
      <c r="CS475" s="148"/>
      <c r="CT475" s="148"/>
      <c r="CU475" s="148"/>
      <c r="CV475" s="148"/>
      <c r="CW475" s="148"/>
      <c r="CX475" s="148"/>
      <c r="CY475" s="148"/>
      <c r="CZ475" s="148"/>
      <c r="DA475" s="148"/>
      <c r="DB475" s="148"/>
      <c r="DC475" s="148"/>
      <c r="DD475" s="148"/>
      <c r="DE475" s="148"/>
      <c r="DF475" s="148"/>
      <c r="DG475" s="148"/>
      <c r="DH475" s="148"/>
      <c r="DI475" s="148"/>
      <c r="DJ475" s="148"/>
      <c r="DK475" s="148"/>
      <c r="DL475" s="148"/>
      <c r="DM475" s="148"/>
      <c r="DN475" s="148"/>
      <c r="DO475" s="148"/>
      <c r="DP475" s="148"/>
      <c r="DQ475" s="148"/>
      <c r="DR475" s="148"/>
      <c r="DS475" s="148"/>
      <c r="DT475" s="148"/>
      <c r="DU475" s="148"/>
      <c r="DV475" s="148"/>
      <c r="DW475" s="148"/>
      <c r="DX475" s="148"/>
      <c r="DY475" s="148"/>
      <c r="DZ475" s="148"/>
      <c r="EA475" s="148"/>
      <c r="EB475" s="148"/>
      <c r="EC475" s="148"/>
      <c r="ED475" s="148"/>
      <c r="EE475" s="148"/>
      <c r="EF475" s="148"/>
      <c r="EG475" s="148"/>
      <c r="EH475" s="148"/>
      <c r="EI475" s="148"/>
      <c r="EJ475" s="148"/>
      <c r="EK475" s="148"/>
      <c r="EL475" s="148"/>
      <c r="EM475" s="148"/>
      <c r="EN475" s="148"/>
      <c r="EO475" s="148"/>
      <c r="EP475" s="148"/>
      <c r="EQ475" s="148"/>
      <c r="ER475" s="148"/>
      <c r="ES475" s="148"/>
      <c r="ET475" s="148"/>
      <c r="EU475" s="148"/>
      <c r="EV475" s="148"/>
      <c r="EW475" s="148"/>
      <c r="EX475" s="148"/>
      <c r="EY475" s="148"/>
      <c r="EZ475" s="148"/>
      <c r="FA475" s="148"/>
      <c r="FB475" s="148"/>
      <c r="FC475" s="148"/>
      <c r="FD475" s="148"/>
      <c r="FE475" s="148"/>
      <c r="FF475" s="148"/>
      <c r="FG475" s="148"/>
      <c r="FH475" s="148"/>
      <c r="FI475" s="148"/>
      <c r="FJ475" s="148"/>
      <c r="FK475" s="148"/>
      <c r="FL475" s="148"/>
      <c r="FM475" s="148"/>
      <c r="FN475" s="148"/>
      <c r="FO475" s="148"/>
      <c r="FP475" s="148"/>
      <c r="FQ475" s="148"/>
      <c r="FR475" s="148"/>
      <c r="FS475" s="148"/>
      <c r="FT475" s="148"/>
      <c r="FU475" s="148"/>
      <c r="FV475" s="148"/>
      <c r="FW475" s="148"/>
      <c r="FX475" s="148"/>
      <c r="FY475" s="148"/>
      <c r="FZ475" s="148"/>
      <c r="GA475" s="148"/>
      <c r="GB475" s="148"/>
      <c r="GC475" s="148"/>
      <c r="GD475" s="148"/>
      <c r="GE475" s="148"/>
      <c r="GF475" s="148"/>
      <c r="GG475" s="149"/>
    </row>
    <row r="476" spans="1:189" x14ac:dyDescent="0.35">
      <c r="A476" s="268"/>
      <c r="B476" s="221"/>
      <c r="C476" s="221"/>
      <c r="D476" s="222"/>
      <c r="E476" s="221"/>
      <c r="F476" s="221"/>
      <c r="G476" s="223"/>
      <c r="H476" s="224"/>
      <c r="I476" s="225"/>
      <c r="J476" s="225"/>
      <c r="K476" s="225"/>
      <c r="L476" s="226"/>
      <c r="M476" s="226"/>
      <c r="N476" s="226"/>
      <c r="O476" s="226"/>
      <c r="P476" s="226"/>
      <c r="Q476" s="227"/>
      <c r="R476" s="228"/>
      <c r="S476" s="228"/>
      <c r="T476" s="228"/>
      <c r="U476" s="191">
        <f t="shared" si="494"/>
        <v>0</v>
      </c>
      <c r="V476" s="86"/>
      <c r="W476" s="45"/>
      <c r="X476" s="46"/>
      <c r="Y476" s="167">
        <f t="shared" si="495"/>
        <v>0</v>
      </c>
      <c r="Z476" s="167">
        <f t="shared" si="496"/>
        <v>0</v>
      </c>
      <c r="AA476" s="167">
        <f t="shared" si="497"/>
        <v>0</v>
      </c>
      <c r="AB476" s="167">
        <f t="shared" si="498"/>
        <v>0</v>
      </c>
      <c r="AC476" s="167">
        <f t="shared" si="499"/>
        <v>0</v>
      </c>
      <c r="AD476" s="167">
        <f t="shared" si="500"/>
        <v>0</v>
      </c>
      <c r="AF476" s="47">
        <f t="shared" si="501"/>
        <v>0</v>
      </c>
      <c r="AG476" s="202" t="str">
        <f t="shared" si="493"/>
        <v xml:space="preserve"> </v>
      </c>
      <c r="AH476" s="150"/>
      <c r="AI476" s="151"/>
      <c r="AJ476" s="151"/>
      <c r="AK476" s="151"/>
      <c r="AL476" s="151"/>
      <c r="AM476" s="151"/>
      <c r="AN476" s="151"/>
      <c r="AO476" s="151"/>
      <c r="AP476" s="151"/>
      <c r="AQ476" s="151"/>
      <c r="AR476" s="151"/>
      <c r="AS476" s="151"/>
      <c r="AT476" s="151"/>
      <c r="AU476" s="151"/>
      <c r="AV476" s="151"/>
      <c r="AW476" s="151"/>
      <c r="AX476" s="151"/>
      <c r="AY476" s="151"/>
      <c r="AZ476" s="151"/>
      <c r="BA476" s="151"/>
      <c r="BB476" s="151"/>
      <c r="BC476" s="151"/>
      <c r="BD476" s="151"/>
      <c r="BE476" s="151"/>
      <c r="BF476" s="151"/>
      <c r="BG476" s="151"/>
      <c r="BH476" s="151"/>
      <c r="BI476" s="151"/>
      <c r="BJ476" s="151"/>
      <c r="BK476" s="151"/>
      <c r="BL476" s="151"/>
      <c r="BM476" s="151"/>
      <c r="BN476" s="151"/>
      <c r="BO476" s="151"/>
      <c r="BP476" s="151"/>
      <c r="BQ476" s="151"/>
      <c r="BR476" s="151"/>
      <c r="BS476" s="151"/>
      <c r="BT476" s="151"/>
      <c r="BU476" s="151"/>
      <c r="BV476" s="151"/>
      <c r="BW476" s="151"/>
      <c r="BX476" s="151"/>
      <c r="BY476" s="151"/>
      <c r="BZ476" s="151"/>
      <c r="CA476" s="151"/>
      <c r="CB476" s="151"/>
      <c r="CC476" s="151"/>
      <c r="CD476" s="151"/>
      <c r="CE476" s="151"/>
      <c r="CF476" s="151"/>
      <c r="CG476" s="151"/>
      <c r="CH476" s="151"/>
      <c r="CI476" s="151"/>
      <c r="CJ476" s="151"/>
      <c r="CK476" s="151"/>
      <c r="CL476" s="151"/>
      <c r="CM476" s="151"/>
      <c r="CN476" s="151"/>
      <c r="CO476" s="151"/>
      <c r="CP476" s="151"/>
      <c r="CQ476" s="151"/>
      <c r="CR476" s="151"/>
      <c r="CS476" s="151"/>
      <c r="CT476" s="151"/>
      <c r="CU476" s="151"/>
      <c r="CV476" s="151"/>
      <c r="CW476" s="151"/>
      <c r="CX476" s="151"/>
      <c r="CY476" s="151"/>
      <c r="CZ476" s="151"/>
      <c r="DA476" s="151"/>
      <c r="DB476" s="151"/>
      <c r="DC476" s="151"/>
      <c r="DD476" s="151"/>
      <c r="DE476" s="151"/>
      <c r="DF476" s="151"/>
      <c r="DG476" s="151"/>
      <c r="DH476" s="151"/>
      <c r="DI476" s="151"/>
      <c r="DJ476" s="151"/>
      <c r="DK476" s="151"/>
      <c r="DL476" s="151"/>
      <c r="DM476" s="151"/>
      <c r="DN476" s="151"/>
      <c r="DO476" s="151"/>
      <c r="DP476" s="151"/>
      <c r="DQ476" s="151"/>
      <c r="DR476" s="151"/>
      <c r="DS476" s="151"/>
      <c r="DT476" s="151"/>
      <c r="DU476" s="151"/>
      <c r="DV476" s="151"/>
      <c r="DW476" s="151"/>
      <c r="DX476" s="151"/>
      <c r="DY476" s="151"/>
      <c r="DZ476" s="151"/>
      <c r="EA476" s="151"/>
      <c r="EB476" s="151"/>
      <c r="EC476" s="151"/>
      <c r="ED476" s="151"/>
      <c r="EE476" s="151"/>
      <c r="EF476" s="151"/>
      <c r="EG476" s="151"/>
      <c r="EH476" s="151"/>
      <c r="EI476" s="151"/>
      <c r="EJ476" s="151"/>
      <c r="EK476" s="151"/>
      <c r="EL476" s="151"/>
      <c r="EM476" s="151"/>
      <c r="EN476" s="151"/>
      <c r="EO476" s="151"/>
      <c r="EP476" s="151"/>
      <c r="EQ476" s="151"/>
      <c r="ER476" s="151"/>
      <c r="ES476" s="151"/>
      <c r="ET476" s="151"/>
      <c r="EU476" s="151"/>
      <c r="EV476" s="151"/>
      <c r="EW476" s="151"/>
      <c r="EX476" s="151"/>
      <c r="EY476" s="151"/>
      <c r="EZ476" s="151"/>
      <c r="FA476" s="151"/>
      <c r="FB476" s="151"/>
      <c r="FC476" s="151"/>
      <c r="FD476" s="151"/>
      <c r="FE476" s="151"/>
      <c r="FF476" s="151"/>
      <c r="FG476" s="151"/>
      <c r="FH476" s="151"/>
      <c r="FI476" s="151"/>
      <c r="FJ476" s="151"/>
      <c r="FK476" s="151"/>
      <c r="FL476" s="151"/>
      <c r="FM476" s="151"/>
      <c r="FN476" s="151"/>
      <c r="FO476" s="151"/>
      <c r="FP476" s="151"/>
      <c r="FQ476" s="151"/>
      <c r="FR476" s="151"/>
      <c r="FS476" s="151"/>
      <c r="FT476" s="151"/>
      <c r="FU476" s="151"/>
      <c r="FV476" s="151"/>
      <c r="FW476" s="151"/>
      <c r="FX476" s="151"/>
      <c r="FY476" s="151"/>
      <c r="FZ476" s="151"/>
      <c r="GA476" s="151"/>
      <c r="GB476" s="151"/>
      <c r="GC476" s="151"/>
      <c r="GD476" s="151"/>
      <c r="GE476" s="151"/>
      <c r="GF476" s="151"/>
      <c r="GG476" s="152"/>
    </row>
    <row r="477" spans="1:189" x14ac:dyDescent="0.35">
      <c r="A477" s="268"/>
      <c r="B477" s="221"/>
      <c r="C477" s="221"/>
      <c r="D477" s="222"/>
      <c r="E477" s="221"/>
      <c r="F477" s="221"/>
      <c r="G477" s="223"/>
      <c r="H477" s="224"/>
      <c r="I477" s="225"/>
      <c r="J477" s="225"/>
      <c r="K477" s="225"/>
      <c r="L477" s="226"/>
      <c r="M477" s="226"/>
      <c r="N477" s="226"/>
      <c r="O477" s="226"/>
      <c r="P477" s="226"/>
      <c r="Q477" s="227"/>
      <c r="R477" s="228"/>
      <c r="S477" s="228"/>
      <c r="T477" s="228"/>
      <c r="U477" s="191">
        <f t="shared" si="494"/>
        <v>0</v>
      </c>
      <c r="V477" s="86"/>
      <c r="W477" s="45"/>
      <c r="X477" s="46"/>
      <c r="Y477" s="167">
        <f t="shared" si="495"/>
        <v>0</v>
      </c>
      <c r="Z477" s="167">
        <f t="shared" si="496"/>
        <v>0</v>
      </c>
      <c r="AA477" s="167">
        <f t="shared" si="497"/>
        <v>0</v>
      </c>
      <c r="AB477" s="167">
        <f t="shared" si="498"/>
        <v>0</v>
      </c>
      <c r="AC477" s="167">
        <f t="shared" si="499"/>
        <v>0</v>
      </c>
      <c r="AD477" s="167">
        <f t="shared" si="500"/>
        <v>0</v>
      </c>
      <c r="AF477" s="47">
        <f t="shared" si="501"/>
        <v>0</v>
      </c>
      <c r="AG477" s="202" t="str">
        <f t="shared" si="493"/>
        <v xml:space="preserve"> </v>
      </c>
      <c r="AH477" s="150"/>
      <c r="AI477" s="151"/>
      <c r="AJ477" s="151"/>
      <c r="AK477" s="151"/>
      <c r="AL477" s="151"/>
      <c r="AM477" s="151"/>
      <c r="AN477" s="151"/>
      <c r="AO477" s="151"/>
      <c r="AP477" s="151"/>
      <c r="AQ477" s="151"/>
      <c r="AR477" s="151"/>
      <c r="AS477" s="151"/>
      <c r="AT477" s="151"/>
      <c r="AU477" s="151"/>
      <c r="AV477" s="151"/>
      <c r="AW477" s="151"/>
      <c r="AX477" s="151"/>
      <c r="AY477" s="151"/>
      <c r="AZ477" s="151"/>
      <c r="BA477" s="151"/>
      <c r="BB477" s="151"/>
      <c r="BC477" s="151"/>
      <c r="BD477" s="151"/>
      <c r="BE477" s="151"/>
      <c r="BF477" s="151"/>
      <c r="BG477" s="151"/>
      <c r="BH477" s="151"/>
      <c r="BI477" s="151"/>
      <c r="BJ477" s="151"/>
      <c r="BK477" s="151"/>
      <c r="BL477" s="151"/>
      <c r="BM477" s="151"/>
      <c r="BN477" s="151"/>
      <c r="BO477" s="151"/>
      <c r="BP477" s="151"/>
      <c r="BQ477" s="151"/>
      <c r="BR477" s="151"/>
      <c r="BS477" s="151"/>
      <c r="BT477" s="151"/>
      <c r="BU477" s="151"/>
      <c r="BV477" s="151"/>
      <c r="BW477" s="151"/>
      <c r="BX477" s="151"/>
      <c r="BY477" s="151"/>
      <c r="BZ477" s="151"/>
      <c r="CA477" s="151"/>
      <c r="CB477" s="151"/>
      <c r="CC477" s="151"/>
      <c r="CD477" s="151"/>
      <c r="CE477" s="151"/>
      <c r="CF477" s="151"/>
      <c r="CG477" s="151"/>
      <c r="CH477" s="151"/>
      <c r="CI477" s="151"/>
      <c r="CJ477" s="151"/>
      <c r="CK477" s="151"/>
      <c r="CL477" s="151"/>
      <c r="CM477" s="151"/>
      <c r="CN477" s="151"/>
      <c r="CO477" s="151"/>
      <c r="CP477" s="151"/>
      <c r="CQ477" s="151"/>
      <c r="CR477" s="151"/>
      <c r="CS477" s="151"/>
      <c r="CT477" s="151"/>
      <c r="CU477" s="151"/>
      <c r="CV477" s="151"/>
      <c r="CW477" s="151"/>
      <c r="CX477" s="151"/>
      <c r="CY477" s="151"/>
      <c r="CZ477" s="151"/>
      <c r="DA477" s="151"/>
      <c r="DB477" s="151"/>
      <c r="DC477" s="151"/>
      <c r="DD477" s="151"/>
      <c r="DE477" s="151"/>
      <c r="DF477" s="151"/>
      <c r="DG477" s="151"/>
      <c r="DH477" s="151"/>
      <c r="DI477" s="151"/>
      <c r="DJ477" s="151"/>
      <c r="DK477" s="151"/>
      <c r="DL477" s="151"/>
      <c r="DM477" s="151"/>
      <c r="DN477" s="151"/>
      <c r="DO477" s="151"/>
      <c r="DP477" s="151"/>
      <c r="DQ477" s="151"/>
      <c r="DR477" s="151"/>
      <c r="DS477" s="151"/>
      <c r="DT477" s="151"/>
      <c r="DU477" s="151"/>
      <c r="DV477" s="151"/>
      <c r="DW477" s="151"/>
      <c r="DX477" s="151"/>
      <c r="DY477" s="151"/>
      <c r="DZ477" s="151"/>
      <c r="EA477" s="151"/>
      <c r="EB477" s="151"/>
      <c r="EC477" s="151"/>
      <c r="ED477" s="151"/>
      <c r="EE477" s="151"/>
      <c r="EF477" s="151"/>
      <c r="EG477" s="151"/>
      <c r="EH477" s="151"/>
      <c r="EI477" s="151"/>
      <c r="EJ477" s="151"/>
      <c r="EK477" s="151"/>
      <c r="EL477" s="151"/>
      <c r="EM477" s="151"/>
      <c r="EN477" s="151"/>
      <c r="EO477" s="151"/>
      <c r="EP477" s="151"/>
      <c r="EQ477" s="151"/>
      <c r="ER477" s="151"/>
      <c r="ES477" s="151"/>
      <c r="ET477" s="151"/>
      <c r="EU477" s="151"/>
      <c r="EV477" s="151"/>
      <c r="EW477" s="151"/>
      <c r="EX477" s="151"/>
      <c r="EY477" s="151"/>
      <c r="EZ477" s="151"/>
      <c r="FA477" s="151"/>
      <c r="FB477" s="151"/>
      <c r="FC477" s="151"/>
      <c r="FD477" s="151"/>
      <c r="FE477" s="151"/>
      <c r="FF477" s="151"/>
      <c r="FG477" s="151"/>
      <c r="FH477" s="151"/>
      <c r="FI477" s="151"/>
      <c r="FJ477" s="151"/>
      <c r="FK477" s="151"/>
      <c r="FL477" s="151"/>
      <c r="FM477" s="151"/>
      <c r="FN477" s="151"/>
      <c r="FO477" s="151"/>
      <c r="FP477" s="151"/>
      <c r="FQ477" s="151"/>
      <c r="FR477" s="151"/>
      <c r="FS477" s="151"/>
      <c r="FT477" s="151"/>
      <c r="FU477" s="151"/>
      <c r="FV477" s="151"/>
      <c r="FW477" s="151"/>
      <c r="FX477" s="151"/>
      <c r="FY477" s="151"/>
      <c r="FZ477" s="151"/>
      <c r="GA477" s="151"/>
      <c r="GB477" s="151"/>
      <c r="GC477" s="151"/>
      <c r="GD477" s="151"/>
      <c r="GE477" s="151"/>
      <c r="GF477" s="151"/>
      <c r="GG477" s="152"/>
    </row>
    <row r="478" spans="1:189" x14ac:dyDescent="0.35">
      <c r="A478" s="268"/>
      <c r="B478" s="221"/>
      <c r="C478" s="221"/>
      <c r="D478" s="222"/>
      <c r="E478" s="221"/>
      <c r="F478" s="221"/>
      <c r="G478" s="223"/>
      <c r="H478" s="224"/>
      <c r="I478" s="225"/>
      <c r="J478" s="225"/>
      <c r="K478" s="225"/>
      <c r="L478" s="226"/>
      <c r="M478" s="226"/>
      <c r="N478" s="226"/>
      <c r="O478" s="226"/>
      <c r="P478" s="226"/>
      <c r="Q478" s="227"/>
      <c r="R478" s="228"/>
      <c r="S478" s="228"/>
      <c r="T478" s="228"/>
      <c r="U478" s="191">
        <f t="shared" si="494"/>
        <v>0</v>
      </c>
      <c r="V478" s="86"/>
      <c r="W478" s="45"/>
      <c r="X478" s="46"/>
      <c r="Y478" s="167">
        <f t="shared" si="495"/>
        <v>0</v>
      </c>
      <c r="Z478" s="167">
        <f t="shared" si="496"/>
        <v>0</v>
      </c>
      <c r="AA478" s="167">
        <f t="shared" si="497"/>
        <v>0</v>
      </c>
      <c r="AB478" s="167">
        <f t="shared" si="498"/>
        <v>0</v>
      </c>
      <c r="AC478" s="167">
        <f t="shared" si="499"/>
        <v>0</v>
      </c>
      <c r="AD478" s="167">
        <f t="shared" si="500"/>
        <v>0</v>
      </c>
      <c r="AF478" s="47">
        <f t="shared" si="501"/>
        <v>0</v>
      </c>
      <c r="AG478" s="202" t="str">
        <f t="shared" si="493"/>
        <v xml:space="preserve"> </v>
      </c>
      <c r="AH478" s="150"/>
      <c r="AI478" s="151"/>
      <c r="AJ478" s="151"/>
      <c r="AK478" s="151"/>
      <c r="AL478" s="151"/>
      <c r="AM478" s="151"/>
      <c r="AN478" s="151"/>
      <c r="AO478" s="151"/>
      <c r="AP478" s="151"/>
      <c r="AQ478" s="151"/>
      <c r="AR478" s="151"/>
      <c r="AS478" s="151"/>
      <c r="AT478" s="151"/>
      <c r="AU478" s="151"/>
      <c r="AV478" s="151"/>
      <c r="AW478" s="151"/>
      <c r="AX478" s="151"/>
      <c r="AY478" s="151"/>
      <c r="AZ478" s="151"/>
      <c r="BA478" s="151"/>
      <c r="BB478" s="151"/>
      <c r="BC478" s="151"/>
      <c r="BD478" s="151"/>
      <c r="BE478" s="151"/>
      <c r="BF478" s="151"/>
      <c r="BG478" s="151"/>
      <c r="BH478" s="151"/>
      <c r="BI478" s="151"/>
      <c r="BJ478" s="151"/>
      <c r="BK478" s="151"/>
      <c r="BL478" s="151"/>
      <c r="BM478" s="151"/>
      <c r="BN478" s="151"/>
      <c r="BO478" s="151"/>
      <c r="BP478" s="151"/>
      <c r="BQ478" s="151"/>
      <c r="BR478" s="151"/>
      <c r="BS478" s="151"/>
      <c r="BT478" s="151"/>
      <c r="BU478" s="151"/>
      <c r="BV478" s="151"/>
      <c r="BW478" s="151"/>
      <c r="BX478" s="151"/>
      <c r="BY478" s="151"/>
      <c r="BZ478" s="151"/>
      <c r="CA478" s="151"/>
      <c r="CB478" s="151"/>
      <c r="CC478" s="151"/>
      <c r="CD478" s="151"/>
      <c r="CE478" s="151"/>
      <c r="CF478" s="151"/>
      <c r="CG478" s="151"/>
      <c r="CH478" s="151"/>
      <c r="CI478" s="151"/>
      <c r="CJ478" s="151"/>
      <c r="CK478" s="151"/>
      <c r="CL478" s="151"/>
      <c r="CM478" s="151"/>
      <c r="CN478" s="151"/>
      <c r="CO478" s="151"/>
      <c r="CP478" s="151"/>
      <c r="CQ478" s="151"/>
      <c r="CR478" s="151"/>
      <c r="CS478" s="151"/>
      <c r="CT478" s="151"/>
      <c r="CU478" s="151"/>
      <c r="CV478" s="151"/>
      <c r="CW478" s="151"/>
      <c r="CX478" s="151"/>
      <c r="CY478" s="151"/>
      <c r="CZ478" s="151"/>
      <c r="DA478" s="151"/>
      <c r="DB478" s="151"/>
      <c r="DC478" s="151"/>
      <c r="DD478" s="151"/>
      <c r="DE478" s="151"/>
      <c r="DF478" s="151"/>
      <c r="DG478" s="151"/>
      <c r="DH478" s="151"/>
      <c r="DI478" s="151"/>
      <c r="DJ478" s="151"/>
      <c r="DK478" s="151"/>
      <c r="DL478" s="151"/>
      <c r="DM478" s="151"/>
      <c r="DN478" s="151"/>
      <c r="DO478" s="151"/>
      <c r="DP478" s="151"/>
      <c r="DQ478" s="151"/>
      <c r="DR478" s="151"/>
      <c r="DS478" s="151"/>
      <c r="DT478" s="151"/>
      <c r="DU478" s="151"/>
      <c r="DV478" s="151"/>
      <c r="DW478" s="151"/>
      <c r="DX478" s="151"/>
      <c r="DY478" s="151"/>
      <c r="DZ478" s="151"/>
      <c r="EA478" s="151"/>
      <c r="EB478" s="151"/>
      <c r="EC478" s="151"/>
      <c r="ED478" s="151"/>
      <c r="EE478" s="151"/>
      <c r="EF478" s="151"/>
      <c r="EG478" s="151"/>
      <c r="EH478" s="151"/>
      <c r="EI478" s="151"/>
      <c r="EJ478" s="151"/>
      <c r="EK478" s="151"/>
      <c r="EL478" s="151"/>
      <c r="EM478" s="151"/>
      <c r="EN478" s="151"/>
      <c r="EO478" s="151"/>
      <c r="EP478" s="151"/>
      <c r="EQ478" s="151"/>
      <c r="ER478" s="151"/>
      <c r="ES478" s="151"/>
      <c r="ET478" s="151"/>
      <c r="EU478" s="151"/>
      <c r="EV478" s="151"/>
      <c r="EW478" s="151"/>
      <c r="EX478" s="151"/>
      <c r="EY478" s="151"/>
      <c r="EZ478" s="151"/>
      <c r="FA478" s="151"/>
      <c r="FB478" s="151"/>
      <c r="FC478" s="151"/>
      <c r="FD478" s="151"/>
      <c r="FE478" s="151"/>
      <c r="FF478" s="151"/>
      <c r="FG478" s="151"/>
      <c r="FH478" s="151"/>
      <c r="FI478" s="151"/>
      <c r="FJ478" s="151"/>
      <c r="FK478" s="151"/>
      <c r="FL478" s="151"/>
      <c r="FM478" s="151"/>
      <c r="FN478" s="151"/>
      <c r="FO478" s="151"/>
      <c r="FP478" s="151"/>
      <c r="FQ478" s="151"/>
      <c r="FR478" s="151"/>
      <c r="FS478" s="151"/>
      <c r="FT478" s="151"/>
      <c r="FU478" s="151"/>
      <c r="FV478" s="151"/>
      <c r="FW478" s="151"/>
      <c r="FX478" s="151"/>
      <c r="FY478" s="151"/>
      <c r="FZ478" s="151"/>
      <c r="GA478" s="151"/>
      <c r="GB478" s="151"/>
      <c r="GC478" s="151"/>
      <c r="GD478" s="151"/>
      <c r="GE478" s="151"/>
      <c r="GF478" s="151"/>
      <c r="GG478" s="152"/>
    </row>
    <row r="479" spans="1:189" x14ac:dyDescent="0.35">
      <c r="A479" s="268"/>
      <c r="B479" s="221"/>
      <c r="C479" s="221"/>
      <c r="D479" s="222"/>
      <c r="E479" s="221"/>
      <c r="F479" s="221"/>
      <c r="G479" s="223"/>
      <c r="H479" s="224"/>
      <c r="I479" s="225"/>
      <c r="J479" s="225"/>
      <c r="K479" s="225"/>
      <c r="L479" s="226"/>
      <c r="M479" s="226"/>
      <c r="N479" s="226"/>
      <c r="O479" s="226"/>
      <c r="P479" s="226"/>
      <c r="Q479" s="227"/>
      <c r="R479" s="228"/>
      <c r="S479" s="228"/>
      <c r="T479" s="228"/>
      <c r="U479" s="191">
        <f t="shared" si="494"/>
        <v>0</v>
      </c>
      <c r="V479" s="86"/>
      <c r="W479" s="45"/>
      <c r="X479" s="46"/>
      <c r="Y479" s="167">
        <f t="shared" si="495"/>
        <v>0</v>
      </c>
      <c r="Z479" s="167">
        <f t="shared" si="496"/>
        <v>0</v>
      </c>
      <c r="AA479" s="167">
        <f t="shared" si="497"/>
        <v>0</v>
      </c>
      <c r="AB479" s="167">
        <f t="shared" si="498"/>
        <v>0</v>
      </c>
      <c r="AC479" s="167">
        <f t="shared" si="499"/>
        <v>0</v>
      </c>
      <c r="AD479" s="167">
        <f t="shared" si="500"/>
        <v>0</v>
      </c>
      <c r="AF479" s="47">
        <f t="shared" si="501"/>
        <v>0</v>
      </c>
      <c r="AG479" s="202" t="str">
        <f t="shared" si="493"/>
        <v xml:space="preserve"> </v>
      </c>
      <c r="AH479" s="147"/>
      <c r="AI479" s="148"/>
      <c r="AJ479" s="148"/>
      <c r="AK479" s="148"/>
      <c r="AL479" s="148"/>
      <c r="AM479" s="148"/>
      <c r="AN479" s="148"/>
      <c r="AO479" s="148"/>
      <c r="AP479" s="148"/>
      <c r="AQ479" s="148"/>
      <c r="AR479" s="148"/>
      <c r="AS479" s="148"/>
      <c r="AT479" s="148"/>
      <c r="AU479" s="148"/>
      <c r="AV479" s="148"/>
      <c r="AW479" s="148"/>
      <c r="AX479" s="148"/>
      <c r="AY479" s="148"/>
      <c r="AZ479" s="148"/>
      <c r="BA479" s="148"/>
      <c r="BB479" s="148"/>
      <c r="BC479" s="148"/>
      <c r="BD479" s="148"/>
      <c r="BE479" s="148"/>
      <c r="BF479" s="148"/>
      <c r="BG479" s="148"/>
      <c r="BH479" s="148"/>
      <c r="BI479" s="148"/>
      <c r="BJ479" s="148"/>
      <c r="BK479" s="148"/>
      <c r="BL479" s="148"/>
      <c r="BM479" s="148"/>
      <c r="BN479" s="148"/>
      <c r="BO479" s="148"/>
      <c r="BP479" s="148"/>
      <c r="BQ479" s="148"/>
      <c r="BR479" s="148"/>
      <c r="BS479" s="148"/>
      <c r="BT479" s="148"/>
      <c r="BU479" s="148"/>
      <c r="BV479" s="148"/>
      <c r="BW479" s="148"/>
      <c r="BX479" s="148"/>
      <c r="BY479" s="148"/>
      <c r="BZ479" s="148"/>
      <c r="CA479" s="148"/>
      <c r="CB479" s="148"/>
      <c r="CC479" s="148"/>
      <c r="CD479" s="148"/>
      <c r="CE479" s="148"/>
      <c r="CF479" s="148"/>
      <c r="CG479" s="148"/>
      <c r="CH479" s="148"/>
      <c r="CI479" s="148"/>
      <c r="CJ479" s="148"/>
      <c r="CK479" s="148"/>
      <c r="CL479" s="148"/>
      <c r="CM479" s="148"/>
      <c r="CN479" s="148"/>
      <c r="CO479" s="148"/>
      <c r="CP479" s="148"/>
      <c r="CQ479" s="148"/>
      <c r="CR479" s="148"/>
      <c r="CS479" s="148"/>
      <c r="CT479" s="148"/>
      <c r="CU479" s="148"/>
      <c r="CV479" s="148"/>
      <c r="CW479" s="148"/>
      <c r="CX479" s="148"/>
      <c r="CY479" s="148"/>
      <c r="CZ479" s="148"/>
      <c r="DA479" s="148"/>
      <c r="DB479" s="148"/>
      <c r="DC479" s="148"/>
      <c r="DD479" s="148"/>
      <c r="DE479" s="148"/>
      <c r="DF479" s="148"/>
      <c r="DG479" s="148"/>
      <c r="DH479" s="148"/>
      <c r="DI479" s="148"/>
      <c r="DJ479" s="148"/>
      <c r="DK479" s="148"/>
      <c r="DL479" s="148"/>
      <c r="DM479" s="148"/>
      <c r="DN479" s="148"/>
      <c r="DO479" s="148"/>
      <c r="DP479" s="148"/>
      <c r="DQ479" s="148"/>
      <c r="DR479" s="148"/>
      <c r="DS479" s="148"/>
      <c r="DT479" s="148"/>
      <c r="DU479" s="148"/>
      <c r="DV479" s="148"/>
      <c r="DW479" s="148"/>
      <c r="DX479" s="148"/>
      <c r="DY479" s="148"/>
      <c r="DZ479" s="148"/>
      <c r="EA479" s="148"/>
      <c r="EB479" s="148"/>
      <c r="EC479" s="148"/>
      <c r="ED479" s="148"/>
      <c r="EE479" s="148"/>
      <c r="EF479" s="148"/>
      <c r="EG479" s="148"/>
      <c r="EH479" s="148"/>
      <c r="EI479" s="148"/>
      <c r="EJ479" s="148"/>
      <c r="EK479" s="148"/>
      <c r="EL479" s="148"/>
      <c r="EM479" s="148"/>
      <c r="EN479" s="148"/>
      <c r="EO479" s="148"/>
      <c r="EP479" s="148"/>
      <c r="EQ479" s="148"/>
      <c r="ER479" s="148"/>
      <c r="ES479" s="148"/>
      <c r="ET479" s="148"/>
      <c r="EU479" s="148"/>
      <c r="EV479" s="148"/>
      <c r="EW479" s="148"/>
      <c r="EX479" s="148"/>
      <c r="EY479" s="148"/>
      <c r="EZ479" s="148"/>
      <c r="FA479" s="148"/>
      <c r="FB479" s="148"/>
      <c r="FC479" s="148"/>
      <c r="FD479" s="148"/>
      <c r="FE479" s="148"/>
      <c r="FF479" s="148"/>
      <c r="FG479" s="148"/>
      <c r="FH479" s="148"/>
      <c r="FI479" s="148"/>
      <c r="FJ479" s="148"/>
      <c r="FK479" s="148"/>
      <c r="FL479" s="148"/>
      <c r="FM479" s="148"/>
      <c r="FN479" s="148"/>
      <c r="FO479" s="148"/>
      <c r="FP479" s="148"/>
      <c r="FQ479" s="148"/>
      <c r="FR479" s="148"/>
      <c r="FS479" s="148"/>
      <c r="FT479" s="148"/>
      <c r="FU479" s="148"/>
      <c r="FV479" s="148"/>
      <c r="FW479" s="148"/>
      <c r="FX479" s="148"/>
      <c r="FY479" s="148"/>
      <c r="FZ479" s="148"/>
      <c r="GA479" s="148"/>
      <c r="GB479" s="148"/>
      <c r="GC479" s="148"/>
      <c r="GD479" s="148"/>
      <c r="GE479" s="148"/>
      <c r="GF479" s="148"/>
      <c r="GG479" s="149"/>
    </row>
    <row r="480" spans="1:189" x14ac:dyDescent="0.35">
      <c r="A480" s="268"/>
      <c r="B480" s="221"/>
      <c r="C480" s="221"/>
      <c r="D480" s="222"/>
      <c r="E480" s="221"/>
      <c r="F480" s="221"/>
      <c r="G480" s="223"/>
      <c r="H480" s="224"/>
      <c r="I480" s="225"/>
      <c r="J480" s="225"/>
      <c r="K480" s="225"/>
      <c r="L480" s="226"/>
      <c r="M480" s="226"/>
      <c r="N480" s="226"/>
      <c r="O480" s="226"/>
      <c r="P480" s="226"/>
      <c r="Q480" s="227"/>
      <c r="R480" s="228"/>
      <c r="S480" s="228"/>
      <c r="T480" s="228"/>
      <c r="U480" s="191">
        <f t="shared" si="494"/>
        <v>0</v>
      </c>
      <c r="V480" s="86"/>
      <c r="W480" s="45"/>
      <c r="X480" s="46"/>
      <c r="Y480" s="167">
        <f t="shared" si="495"/>
        <v>0</v>
      </c>
      <c r="Z480" s="167">
        <f t="shared" si="496"/>
        <v>0</v>
      </c>
      <c r="AA480" s="167">
        <f t="shared" si="497"/>
        <v>0</v>
      </c>
      <c r="AB480" s="167">
        <f t="shared" si="498"/>
        <v>0</v>
      </c>
      <c r="AC480" s="167">
        <f t="shared" si="499"/>
        <v>0</v>
      </c>
      <c r="AD480" s="167">
        <f t="shared" si="500"/>
        <v>0</v>
      </c>
      <c r="AF480" s="47">
        <f t="shared" si="501"/>
        <v>0</v>
      </c>
      <c r="AG480" s="202" t="str">
        <f t="shared" si="493"/>
        <v xml:space="preserve"> </v>
      </c>
      <c r="AH480" s="150"/>
      <c r="AI480" s="151"/>
      <c r="AJ480" s="151"/>
      <c r="AK480" s="151"/>
      <c r="AL480" s="151"/>
      <c r="AM480" s="151"/>
      <c r="AN480" s="151"/>
      <c r="AO480" s="151"/>
      <c r="AP480" s="151"/>
      <c r="AQ480" s="151"/>
      <c r="AR480" s="151"/>
      <c r="AS480" s="151"/>
      <c r="AT480" s="151"/>
      <c r="AU480" s="151"/>
      <c r="AV480" s="151"/>
      <c r="AW480" s="151"/>
      <c r="AX480" s="151"/>
      <c r="AY480" s="151"/>
      <c r="AZ480" s="151"/>
      <c r="BA480" s="151"/>
      <c r="BB480" s="151"/>
      <c r="BC480" s="151"/>
      <c r="BD480" s="151"/>
      <c r="BE480" s="151"/>
      <c r="BF480" s="151"/>
      <c r="BG480" s="151"/>
      <c r="BH480" s="151"/>
      <c r="BI480" s="151"/>
      <c r="BJ480" s="151"/>
      <c r="BK480" s="151"/>
      <c r="BL480" s="151"/>
      <c r="BM480" s="151"/>
      <c r="BN480" s="151"/>
      <c r="BO480" s="151"/>
      <c r="BP480" s="151"/>
      <c r="BQ480" s="151"/>
      <c r="BR480" s="151"/>
      <c r="BS480" s="151"/>
      <c r="BT480" s="151"/>
      <c r="BU480" s="151"/>
      <c r="BV480" s="151"/>
      <c r="BW480" s="151"/>
      <c r="BX480" s="151"/>
      <c r="BY480" s="151"/>
      <c r="BZ480" s="151"/>
      <c r="CA480" s="151"/>
      <c r="CB480" s="151"/>
      <c r="CC480" s="151"/>
      <c r="CD480" s="151"/>
      <c r="CE480" s="151"/>
      <c r="CF480" s="151"/>
      <c r="CG480" s="151"/>
      <c r="CH480" s="151"/>
      <c r="CI480" s="151"/>
      <c r="CJ480" s="151"/>
      <c r="CK480" s="151"/>
      <c r="CL480" s="151"/>
      <c r="CM480" s="151"/>
      <c r="CN480" s="151"/>
      <c r="CO480" s="151"/>
      <c r="CP480" s="151"/>
      <c r="CQ480" s="151"/>
      <c r="CR480" s="151"/>
      <c r="CS480" s="151"/>
      <c r="CT480" s="151"/>
      <c r="CU480" s="151"/>
      <c r="CV480" s="151"/>
      <c r="CW480" s="151"/>
      <c r="CX480" s="151"/>
      <c r="CY480" s="151"/>
      <c r="CZ480" s="151"/>
      <c r="DA480" s="151"/>
      <c r="DB480" s="151"/>
      <c r="DC480" s="151"/>
      <c r="DD480" s="151"/>
      <c r="DE480" s="151"/>
      <c r="DF480" s="151"/>
      <c r="DG480" s="151"/>
      <c r="DH480" s="151"/>
      <c r="DI480" s="151"/>
      <c r="DJ480" s="151"/>
      <c r="DK480" s="151"/>
      <c r="DL480" s="151"/>
      <c r="DM480" s="151"/>
      <c r="DN480" s="151"/>
      <c r="DO480" s="151"/>
      <c r="DP480" s="151"/>
      <c r="DQ480" s="151"/>
      <c r="DR480" s="151"/>
      <c r="DS480" s="151"/>
      <c r="DT480" s="151"/>
      <c r="DU480" s="151"/>
      <c r="DV480" s="151"/>
      <c r="DW480" s="151"/>
      <c r="DX480" s="151"/>
      <c r="DY480" s="151"/>
      <c r="DZ480" s="151"/>
      <c r="EA480" s="151"/>
      <c r="EB480" s="151"/>
      <c r="EC480" s="151"/>
      <c r="ED480" s="151"/>
      <c r="EE480" s="151"/>
      <c r="EF480" s="151"/>
      <c r="EG480" s="151"/>
      <c r="EH480" s="151"/>
      <c r="EI480" s="151"/>
      <c r="EJ480" s="151"/>
      <c r="EK480" s="151"/>
      <c r="EL480" s="151"/>
      <c r="EM480" s="151"/>
      <c r="EN480" s="151"/>
      <c r="EO480" s="151"/>
      <c r="EP480" s="151"/>
      <c r="EQ480" s="151"/>
      <c r="ER480" s="151"/>
      <c r="ES480" s="151"/>
      <c r="ET480" s="151"/>
      <c r="EU480" s="151"/>
      <c r="EV480" s="151"/>
      <c r="EW480" s="151"/>
      <c r="EX480" s="151"/>
      <c r="EY480" s="151"/>
      <c r="EZ480" s="151"/>
      <c r="FA480" s="151"/>
      <c r="FB480" s="151"/>
      <c r="FC480" s="151"/>
      <c r="FD480" s="151"/>
      <c r="FE480" s="151"/>
      <c r="FF480" s="151"/>
      <c r="FG480" s="151"/>
      <c r="FH480" s="151"/>
      <c r="FI480" s="151"/>
      <c r="FJ480" s="151"/>
      <c r="FK480" s="151"/>
      <c r="FL480" s="151"/>
      <c r="FM480" s="151"/>
      <c r="FN480" s="151"/>
      <c r="FO480" s="151"/>
      <c r="FP480" s="151"/>
      <c r="FQ480" s="151"/>
      <c r="FR480" s="151"/>
      <c r="FS480" s="151"/>
      <c r="FT480" s="151"/>
      <c r="FU480" s="151"/>
      <c r="FV480" s="151"/>
      <c r="FW480" s="151"/>
      <c r="FX480" s="151"/>
      <c r="FY480" s="151"/>
      <c r="FZ480" s="151"/>
      <c r="GA480" s="151"/>
      <c r="GB480" s="151"/>
      <c r="GC480" s="151"/>
      <c r="GD480" s="151"/>
      <c r="GE480" s="151"/>
      <c r="GF480" s="151"/>
      <c r="GG480" s="152"/>
    </row>
    <row r="481" spans="1:189" x14ac:dyDescent="0.35">
      <c r="A481" s="268"/>
      <c r="B481" s="221"/>
      <c r="C481" s="221"/>
      <c r="D481" s="222"/>
      <c r="E481" s="221"/>
      <c r="F481" s="221"/>
      <c r="G481" s="223"/>
      <c r="H481" s="224"/>
      <c r="I481" s="225"/>
      <c r="J481" s="225"/>
      <c r="K481" s="225"/>
      <c r="L481" s="226"/>
      <c r="M481" s="226"/>
      <c r="N481" s="226"/>
      <c r="O481" s="226"/>
      <c r="P481" s="226"/>
      <c r="Q481" s="227"/>
      <c r="R481" s="228"/>
      <c r="S481" s="228"/>
      <c r="T481" s="228"/>
      <c r="U481" s="191">
        <f t="shared" si="494"/>
        <v>0</v>
      </c>
      <c r="V481" s="86"/>
      <c r="W481" s="45"/>
      <c r="X481" s="46"/>
      <c r="Y481" s="167">
        <f t="shared" si="495"/>
        <v>0</v>
      </c>
      <c r="Z481" s="167">
        <f t="shared" si="496"/>
        <v>0</v>
      </c>
      <c r="AA481" s="167">
        <f t="shared" si="497"/>
        <v>0</v>
      </c>
      <c r="AB481" s="167">
        <f t="shared" si="498"/>
        <v>0</v>
      </c>
      <c r="AC481" s="167">
        <f t="shared" si="499"/>
        <v>0</v>
      </c>
      <c r="AD481" s="167">
        <f t="shared" si="500"/>
        <v>0</v>
      </c>
      <c r="AF481" s="47">
        <f t="shared" si="501"/>
        <v>0</v>
      </c>
      <c r="AG481" s="202" t="str">
        <f t="shared" ref="AG481:AG544" si="502">B481&amp;" "&amp;F481</f>
        <v xml:space="preserve"> </v>
      </c>
      <c r="AH481" s="150"/>
      <c r="AI481" s="151"/>
      <c r="AJ481" s="151"/>
      <c r="AK481" s="151"/>
      <c r="AL481" s="151"/>
      <c r="AM481" s="151"/>
      <c r="AN481" s="151"/>
      <c r="AO481" s="151"/>
      <c r="AP481" s="151"/>
      <c r="AQ481" s="151"/>
      <c r="AR481" s="151"/>
      <c r="AS481" s="151"/>
      <c r="AT481" s="151"/>
      <c r="AU481" s="151"/>
      <c r="AV481" s="151"/>
      <c r="AW481" s="151"/>
      <c r="AX481" s="151"/>
      <c r="AY481" s="151"/>
      <c r="AZ481" s="151"/>
      <c r="BA481" s="151"/>
      <c r="BB481" s="151"/>
      <c r="BC481" s="151"/>
      <c r="BD481" s="151"/>
      <c r="BE481" s="151"/>
      <c r="BF481" s="151"/>
      <c r="BG481" s="151"/>
      <c r="BH481" s="151"/>
      <c r="BI481" s="151"/>
      <c r="BJ481" s="151"/>
      <c r="BK481" s="151"/>
      <c r="BL481" s="151"/>
      <c r="BM481" s="151"/>
      <c r="BN481" s="151"/>
      <c r="BO481" s="151"/>
      <c r="BP481" s="151"/>
      <c r="BQ481" s="151"/>
      <c r="BR481" s="151"/>
      <c r="BS481" s="151"/>
      <c r="BT481" s="151"/>
      <c r="BU481" s="151"/>
      <c r="BV481" s="151"/>
      <c r="BW481" s="151"/>
      <c r="BX481" s="151"/>
      <c r="BY481" s="151"/>
      <c r="BZ481" s="151"/>
      <c r="CA481" s="151"/>
      <c r="CB481" s="151"/>
      <c r="CC481" s="151"/>
      <c r="CD481" s="151"/>
      <c r="CE481" s="151"/>
      <c r="CF481" s="151"/>
      <c r="CG481" s="151"/>
      <c r="CH481" s="151"/>
      <c r="CI481" s="151"/>
      <c r="CJ481" s="151"/>
      <c r="CK481" s="151"/>
      <c r="CL481" s="151"/>
      <c r="CM481" s="151"/>
      <c r="CN481" s="151"/>
      <c r="CO481" s="151"/>
      <c r="CP481" s="151"/>
      <c r="CQ481" s="151"/>
      <c r="CR481" s="151"/>
      <c r="CS481" s="151"/>
      <c r="CT481" s="151"/>
      <c r="CU481" s="151"/>
      <c r="CV481" s="151"/>
      <c r="CW481" s="151"/>
      <c r="CX481" s="151"/>
      <c r="CY481" s="151"/>
      <c r="CZ481" s="151"/>
      <c r="DA481" s="151"/>
      <c r="DB481" s="151"/>
      <c r="DC481" s="151"/>
      <c r="DD481" s="151"/>
      <c r="DE481" s="151"/>
      <c r="DF481" s="151"/>
      <c r="DG481" s="151"/>
      <c r="DH481" s="151"/>
      <c r="DI481" s="151"/>
      <c r="DJ481" s="151"/>
      <c r="DK481" s="151"/>
      <c r="DL481" s="151"/>
      <c r="DM481" s="151"/>
      <c r="DN481" s="151"/>
      <c r="DO481" s="151"/>
      <c r="DP481" s="151"/>
      <c r="DQ481" s="151"/>
      <c r="DR481" s="151"/>
      <c r="DS481" s="151"/>
      <c r="DT481" s="151"/>
      <c r="DU481" s="151"/>
      <c r="DV481" s="151"/>
      <c r="DW481" s="151"/>
      <c r="DX481" s="151"/>
      <c r="DY481" s="151"/>
      <c r="DZ481" s="151"/>
      <c r="EA481" s="151"/>
      <c r="EB481" s="151"/>
      <c r="EC481" s="151"/>
      <c r="ED481" s="151"/>
      <c r="EE481" s="151"/>
      <c r="EF481" s="151"/>
      <c r="EG481" s="151"/>
      <c r="EH481" s="151"/>
      <c r="EI481" s="151"/>
      <c r="EJ481" s="151"/>
      <c r="EK481" s="151"/>
      <c r="EL481" s="151"/>
      <c r="EM481" s="151"/>
      <c r="EN481" s="151"/>
      <c r="EO481" s="151"/>
      <c r="EP481" s="151"/>
      <c r="EQ481" s="151"/>
      <c r="ER481" s="151"/>
      <c r="ES481" s="151"/>
      <c r="ET481" s="151"/>
      <c r="EU481" s="151"/>
      <c r="EV481" s="151"/>
      <c r="EW481" s="151"/>
      <c r="EX481" s="151"/>
      <c r="EY481" s="151"/>
      <c r="EZ481" s="151"/>
      <c r="FA481" s="151"/>
      <c r="FB481" s="151"/>
      <c r="FC481" s="151"/>
      <c r="FD481" s="151"/>
      <c r="FE481" s="151"/>
      <c r="FF481" s="151"/>
      <c r="FG481" s="151"/>
      <c r="FH481" s="151"/>
      <c r="FI481" s="151"/>
      <c r="FJ481" s="151"/>
      <c r="FK481" s="151"/>
      <c r="FL481" s="151"/>
      <c r="FM481" s="151"/>
      <c r="FN481" s="151"/>
      <c r="FO481" s="151"/>
      <c r="FP481" s="151"/>
      <c r="FQ481" s="151"/>
      <c r="FR481" s="151"/>
      <c r="FS481" s="151"/>
      <c r="FT481" s="151"/>
      <c r="FU481" s="151"/>
      <c r="FV481" s="151"/>
      <c r="FW481" s="151"/>
      <c r="FX481" s="151"/>
      <c r="FY481" s="151"/>
      <c r="FZ481" s="151"/>
      <c r="GA481" s="151"/>
      <c r="GB481" s="151"/>
      <c r="GC481" s="151"/>
      <c r="GD481" s="151"/>
      <c r="GE481" s="151"/>
      <c r="GF481" s="151"/>
      <c r="GG481" s="152"/>
    </row>
    <row r="482" spans="1:189" x14ac:dyDescent="0.35">
      <c r="A482" s="268"/>
      <c r="B482" s="221"/>
      <c r="C482" s="221"/>
      <c r="D482" s="222"/>
      <c r="E482" s="221"/>
      <c r="F482" s="221"/>
      <c r="G482" s="223"/>
      <c r="H482" s="224"/>
      <c r="I482" s="225"/>
      <c r="J482" s="225"/>
      <c r="K482" s="225"/>
      <c r="L482" s="226"/>
      <c r="M482" s="226"/>
      <c r="N482" s="226"/>
      <c r="O482" s="226"/>
      <c r="P482" s="226"/>
      <c r="Q482" s="227"/>
      <c r="R482" s="228"/>
      <c r="S482" s="228"/>
      <c r="T482" s="228"/>
      <c r="U482" s="191">
        <f t="shared" si="494"/>
        <v>0</v>
      </c>
      <c r="V482" s="86"/>
      <c r="W482" s="45"/>
      <c r="X482" s="46"/>
      <c r="Y482" s="167">
        <f t="shared" si="495"/>
        <v>0</v>
      </c>
      <c r="Z482" s="167">
        <f t="shared" si="496"/>
        <v>0</v>
      </c>
      <c r="AA482" s="167">
        <f t="shared" si="497"/>
        <v>0</v>
      </c>
      <c r="AB482" s="167">
        <f t="shared" si="498"/>
        <v>0</v>
      </c>
      <c r="AC482" s="167">
        <f t="shared" si="499"/>
        <v>0</v>
      </c>
      <c r="AD482" s="167">
        <f t="shared" si="500"/>
        <v>0</v>
      </c>
      <c r="AF482" s="47">
        <f t="shared" si="501"/>
        <v>0</v>
      </c>
      <c r="AG482" s="202" t="str">
        <f t="shared" si="502"/>
        <v xml:space="preserve"> </v>
      </c>
      <c r="AH482" s="150"/>
      <c r="AI482" s="151"/>
      <c r="AJ482" s="151"/>
      <c r="AK482" s="151"/>
      <c r="AL482" s="151"/>
      <c r="AM482" s="151"/>
      <c r="AN482" s="151"/>
      <c r="AO482" s="151"/>
      <c r="AP482" s="151"/>
      <c r="AQ482" s="151"/>
      <c r="AR482" s="151"/>
      <c r="AS482" s="151"/>
      <c r="AT482" s="151"/>
      <c r="AU482" s="151"/>
      <c r="AV482" s="151"/>
      <c r="AW482" s="151"/>
      <c r="AX482" s="151"/>
      <c r="AY482" s="151"/>
      <c r="AZ482" s="151"/>
      <c r="BA482" s="151"/>
      <c r="BB482" s="151"/>
      <c r="BC482" s="151"/>
      <c r="BD482" s="151"/>
      <c r="BE482" s="151"/>
      <c r="BF482" s="151"/>
      <c r="BG482" s="151"/>
      <c r="BH482" s="151"/>
      <c r="BI482" s="151"/>
      <c r="BJ482" s="151"/>
      <c r="BK482" s="151"/>
      <c r="BL482" s="151"/>
      <c r="BM482" s="151"/>
      <c r="BN482" s="151"/>
      <c r="BO482" s="151"/>
      <c r="BP482" s="151"/>
      <c r="BQ482" s="151"/>
      <c r="BR482" s="151"/>
      <c r="BS482" s="151"/>
      <c r="BT482" s="151"/>
      <c r="BU482" s="151"/>
      <c r="BV482" s="151"/>
      <c r="BW482" s="151"/>
      <c r="BX482" s="151"/>
      <c r="BY482" s="151"/>
      <c r="BZ482" s="151"/>
      <c r="CA482" s="151"/>
      <c r="CB482" s="151"/>
      <c r="CC482" s="151"/>
      <c r="CD482" s="151"/>
      <c r="CE482" s="151"/>
      <c r="CF482" s="151"/>
      <c r="CG482" s="151"/>
      <c r="CH482" s="151"/>
      <c r="CI482" s="151"/>
      <c r="CJ482" s="151"/>
      <c r="CK482" s="151"/>
      <c r="CL482" s="151"/>
      <c r="CM482" s="151"/>
      <c r="CN482" s="151"/>
      <c r="CO482" s="151"/>
      <c r="CP482" s="151"/>
      <c r="CQ482" s="151"/>
      <c r="CR482" s="151"/>
      <c r="CS482" s="151"/>
      <c r="CT482" s="151"/>
      <c r="CU482" s="151"/>
      <c r="CV482" s="151"/>
      <c r="CW482" s="151"/>
      <c r="CX482" s="151"/>
      <c r="CY482" s="151"/>
      <c r="CZ482" s="151"/>
      <c r="DA482" s="151"/>
      <c r="DB482" s="151"/>
      <c r="DC482" s="151"/>
      <c r="DD482" s="151"/>
      <c r="DE482" s="151"/>
      <c r="DF482" s="151"/>
      <c r="DG482" s="151"/>
      <c r="DH482" s="151"/>
      <c r="DI482" s="151"/>
      <c r="DJ482" s="151"/>
      <c r="DK482" s="151"/>
      <c r="DL482" s="151"/>
      <c r="DM482" s="151"/>
      <c r="DN482" s="151"/>
      <c r="DO482" s="151"/>
      <c r="DP482" s="151"/>
      <c r="DQ482" s="151"/>
      <c r="DR482" s="151"/>
      <c r="DS482" s="151"/>
      <c r="DT482" s="151"/>
      <c r="DU482" s="151"/>
      <c r="DV482" s="151"/>
      <c r="DW482" s="151"/>
      <c r="DX482" s="151"/>
      <c r="DY482" s="151"/>
      <c r="DZ482" s="151"/>
      <c r="EA482" s="151"/>
      <c r="EB482" s="151"/>
      <c r="EC482" s="151"/>
      <c r="ED482" s="151"/>
      <c r="EE482" s="151"/>
      <c r="EF482" s="151"/>
      <c r="EG482" s="151"/>
      <c r="EH482" s="151"/>
      <c r="EI482" s="151"/>
      <c r="EJ482" s="151"/>
      <c r="EK482" s="151"/>
      <c r="EL482" s="151"/>
      <c r="EM482" s="151"/>
      <c r="EN482" s="151"/>
      <c r="EO482" s="151"/>
      <c r="EP482" s="151"/>
      <c r="EQ482" s="151"/>
      <c r="ER482" s="151"/>
      <c r="ES482" s="151"/>
      <c r="ET482" s="151"/>
      <c r="EU482" s="151"/>
      <c r="EV482" s="151"/>
      <c r="EW482" s="151"/>
      <c r="EX482" s="151"/>
      <c r="EY482" s="151"/>
      <c r="EZ482" s="151"/>
      <c r="FA482" s="151"/>
      <c r="FB482" s="151"/>
      <c r="FC482" s="151"/>
      <c r="FD482" s="151"/>
      <c r="FE482" s="151"/>
      <c r="FF482" s="151"/>
      <c r="FG482" s="151"/>
      <c r="FH482" s="151"/>
      <c r="FI482" s="151"/>
      <c r="FJ482" s="151"/>
      <c r="FK482" s="151"/>
      <c r="FL482" s="151"/>
      <c r="FM482" s="151"/>
      <c r="FN482" s="151"/>
      <c r="FO482" s="151"/>
      <c r="FP482" s="151"/>
      <c r="FQ482" s="151"/>
      <c r="FR482" s="151"/>
      <c r="FS482" s="151"/>
      <c r="FT482" s="151"/>
      <c r="FU482" s="151"/>
      <c r="FV482" s="151"/>
      <c r="FW482" s="151"/>
      <c r="FX482" s="151"/>
      <c r="FY482" s="151"/>
      <c r="FZ482" s="151"/>
      <c r="GA482" s="151"/>
      <c r="GB482" s="151"/>
      <c r="GC482" s="151"/>
      <c r="GD482" s="151"/>
      <c r="GE482" s="151"/>
      <c r="GF482" s="151"/>
      <c r="GG482" s="152"/>
    </row>
    <row r="483" spans="1:189" x14ac:dyDescent="0.35">
      <c r="A483" s="268"/>
      <c r="B483" s="221"/>
      <c r="C483" s="221"/>
      <c r="D483" s="222"/>
      <c r="E483" s="221"/>
      <c r="F483" s="221"/>
      <c r="G483" s="223"/>
      <c r="H483" s="224"/>
      <c r="I483" s="225"/>
      <c r="J483" s="225"/>
      <c r="K483" s="225"/>
      <c r="L483" s="226"/>
      <c r="M483" s="226"/>
      <c r="N483" s="226"/>
      <c r="O483" s="226"/>
      <c r="P483" s="226"/>
      <c r="Q483" s="227"/>
      <c r="R483" s="228"/>
      <c r="S483" s="228"/>
      <c r="T483" s="228"/>
      <c r="U483" s="191">
        <f t="shared" si="494"/>
        <v>0</v>
      </c>
      <c r="V483" s="86"/>
      <c r="W483" s="45"/>
      <c r="X483" s="46"/>
      <c r="Y483" s="167">
        <f t="shared" si="495"/>
        <v>0</v>
      </c>
      <c r="Z483" s="167">
        <f t="shared" si="496"/>
        <v>0</v>
      </c>
      <c r="AA483" s="167">
        <f t="shared" si="497"/>
        <v>0</v>
      </c>
      <c r="AB483" s="167">
        <f t="shared" si="498"/>
        <v>0</v>
      </c>
      <c r="AC483" s="167">
        <f t="shared" si="499"/>
        <v>0</v>
      </c>
      <c r="AD483" s="167">
        <f t="shared" si="500"/>
        <v>0</v>
      </c>
      <c r="AF483" s="47">
        <f t="shared" si="501"/>
        <v>0</v>
      </c>
      <c r="AG483" s="202" t="str">
        <f t="shared" si="502"/>
        <v xml:space="preserve"> </v>
      </c>
      <c r="AH483" s="147"/>
      <c r="AI483" s="148"/>
      <c r="AJ483" s="148"/>
      <c r="AK483" s="148"/>
      <c r="AL483" s="148"/>
      <c r="AM483" s="148"/>
      <c r="AN483" s="148"/>
      <c r="AO483" s="148"/>
      <c r="AP483" s="148"/>
      <c r="AQ483" s="148"/>
      <c r="AR483" s="148"/>
      <c r="AS483" s="148"/>
      <c r="AT483" s="148"/>
      <c r="AU483" s="148"/>
      <c r="AV483" s="148"/>
      <c r="AW483" s="148"/>
      <c r="AX483" s="148"/>
      <c r="AY483" s="148"/>
      <c r="AZ483" s="148"/>
      <c r="BA483" s="148"/>
      <c r="BB483" s="148"/>
      <c r="BC483" s="148"/>
      <c r="BD483" s="148"/>
      <c r="BE483" s="148"/>
      <c r="BF483" s="148"/>
      <c r="BG483" s="148"/>
      <c r="BH483" s="148"/>
      <c r="BI483" s="148"/>
      <c r="BJ483" s="148"/>
      <c r="BK483" s="148"/>
      <c r="BL483" s="148"/>
      <c r="BM483" s="148"/>
      <c r="BN483" s="148"/>
      <c r="BO483" s="148"/>
      <c r="BP483" s="148"/>
      <c r="BQ483" s="148"/>
      <c r="BR483" s="148"/>
      <c r="BS483" s="148"/>
      <c r="BT483" s="148"/>
      <c r="BU483" s="148"/>
      <c r="BV483" s="148"/>
      <c r="BW483" s="148"/>
      <c r="BX483" s="148"/>
      <c r="BY483" s="148"/>
      <c r="BZ483" s="148"/>
      <c r="CA483" s="148"/>
      <c r="CB483" s="148"/>
      <c r="CC483" s="148"/>
      <c r="CD483" s="148"/>
      <c r="CE483" s="148"/>
      <c r="CF483" s="148"/>
      <c r="CG483" s="148"/>
      <c r="CH483" s="148"/>
      <c r="CI483" s="148"/>
      <c r="CJ483" s="148"/>
      <c r="CK483" s="148"/>
      <c r="CL483" s="148"/>
      <c r="CM483" s="148"/>
      <c r="CN483" s="148"/>
      <c r="CO483" s="148"/>
      <c r="CP483" s="148"/>
      <c r="CQ483" s="148"/>
      <c r="CR483" s="148"/>
      <c r="CS483" s="148"/>
      <c r="CT483" s="148"/>
      <c r="CU483" s="148"/>
      <c r="CV483" s="148"/>
      <c r="CW483" s="148"/>
      <c r="CX483" s="148"/>
      <c r="CY483" s="148"/>
      <c r="CZ483" s="148"/>
      <c r="DA483" s="148"/>
      <c r="DB483" s="148"/>
      <c r="DC483" s="148"/>
      <c r="DD483" s="148"/>
      <c r="DE483" s="148"/>
      <c r="DF483" s="148"/>
      <c r="DG483" s="148"/>
      <c r="DH483" s="148"/>
      <c r="DI483" s="148"/>
      <c r="DJ483" s="148"/>
      <c r="DK483" s="148"/>
      <c r="DL483" s="148"/>
      <c r="DM483" s="148"/>
      <c r="DN483" s="148"/>
      <c r="DO483" s="148"/>
      <c r="DP483" s="148"/>
      <c r="DQ483" s="148"/>
      <c r="DR483" s="148"/>
      <c r="DS483" s="148"/>
      <c r="DT483" s="148"/>
      <c r="DU483" s="148"/>
      <c r="DV483" s="148"/>
      <c r="DW483" s="148"/>
      <c r="DX483" s="148"/>
      <c r="DY483" s="148"/>
      <c r="DZ483" s="148"/>
      <c r="EA483" s="148"/>
      <c r="EB483" s="148"/>
      <c r="EC483" s="148"/>
      <c r="ED483" s="148"/>
      <c r="EE483" s="148"/>
      <c r="EF483" s="148"/>
      <c r="EG483" s="148"/>
      <c r="EH483" s="148"/>
      <c r="EI483" s="148"/>
      <c r="EJ483" s="148"/>
      <c r="EK483" s="148"/>
      <c r="EL483" s="148"/>
      <c r="EM483" s="148"/>
      <c r="EN483" s="148"/>
      <c r="EO483" s="148"/>
      <c r="EP483" s="148"/>
      <c r="EQ483" s="148"/>
      <c r="ER483" s="148"/>
      <c r="ES483" s="148"/>
      <c r="ET483" s="148"/>
      <c r="EU483" s="148"/>
      <c r="EV483" s="148"/>
      <c r="EW483" s="148"/>
      <c r="EX483" s="148"/>
      <c r="EY483" s="148"/>
      <c r="EZ483" s="148"/>
      <c r="FA483" s="148"/>
      <c r="FB483" s="148"/>
      <c r="FC483" s="148"/>
      <c r="FD483" s="148"/>
      <c r="FE483" s="148"/>
      <c r="FF483" s="148"/>
      <c r="FG483" s="148"/>
      <c r="FH483" s="148"/>
      <c r="FI483" s="148"/>
      <c r="FJ483" s="148"/>
      <c r="FK483" s="148"/>
      <c r="FL483" s="148"/>
      <c r="FM483" s="148"/>
      <c r="FN483" s="148"/>
      <c r="FO483" s="148"/>
      <c r="FP483" s="148"/>
      <c r="FQ483" s="148"/>
      <c r="FR483" s="148"/>
      <c r="FS483" s="148"/>
      <c r="FT483" s="148"/>
      <c r="FU483" s="148"/>
      <c r="FV483" s="148"/>
      <c r="FW483" s="148"/>
      <c r="FX483" s="148"/>
      <c r="FY483" s="148"/>
      <c r="FZ483" s="148"/>
      <c r="GA483" s="148"/>
      <c r="GB483" s="148"/>
      <c r="GC483" s="148"/>
      <c r="GD483" s="148"/>
      <c r="GE483" s="148"/>
      <c r="GF483" s="148"/>
      <c r="GG483" s="149"/>
    </row>
    <row r="484" spans="1:189" x14ac:dyDescent="0.35">
      <c r="A484" s="268"/>
      <c r="B484" s="221"/>
      <c r="C484" s="221"/>
      <c r="D484" s="222"/>
      <c r="E484" s="221"/>
      <c r="F484" s="221"/>
      <c r="G484" s="223"/>
      <c r="H484" s="224"/>
      <c r="I484" s="225"/>
      <c r="J484" s="225"/>
      <c r="K484" s="225"/>
      <c r="L484" s="226"/>
      <c r="M484" s="226"/>
      <c r="N484" s="226"/>
      <c r="O484" s="226"/>
      <c r="P484" s="226"/>
      <c r="Q484" s="227"/>
      <c r="R484" s="228"/>
      <c r="S484" s="228"/>
      <c r="T484" s="228"/>
      <c r="U484" s="191">
        <f t="shared" si="494"/>
        <v>0</v>
      </c>
      <c r="V484" s="86"/>
      <c r="W484" s="45"/>
      <c r="X484" s="46"/>
      <c r="Y484" s="167">
        <f t="shared" si="495"/>
        <v>0</v>
      </c>
      <c r="Z484" s="167">
        <f t="shared" si="496"/>
        <v>0</v>
      </c>
      <c r="AA484" s="167">
        <f t="shared" si="497"/>
        <v>0</v>
      </c>
      <c r="AB484" s="167">
        <f t="shared" si="498"/>
        <v>0</v>
      </c>
      <c r="AC484" s="167">
        <f t="shared" si="499"/>
        <v>0</v>
      </c>
      <c r="AD484" s="167">
        <f t="shared" si="500"/>
        <v>0</v>
      </c>
      <c r="AF484" s="47">
        <f t="shared" si="501"/>
        <v>0</v>
      </c>
      <c r="AG484" s="202" t="str">
        <f t="shared" si="502"/>
        <v xml:space="preserve"> </v>
      </c>
      <c r="AH484" s="150"/>
      <c r="AI484" s="151"/>
      <c r="AJ484" s="151"/>
      <c r="AK484" s="151"/>
      <c r="AL484" s="151"/>
      <c r="AM484" s="151"/>
      <c r="AN484" s="151"/>
      <c r="AO484" s="151"/>
      <c r="AP484" s="151"/>
      <c r="AQ484" s="151"/>
      <c r="AR484" s="151"/>
      <c r="AS484" s="151"/>
      <c r="AT484" s="151"/>
      <c r="AU484" s="151"/>
      <c r="AV484" s="151"/>
      <c r="AW484" s="151"/>
      <c r="AX484" s="151"/>
      <c r="AY484" s="151"/>
      <c r="AZ484" s="151"/>
      <c r="BA484" s="151"/>
      <c r="BB484" s="151"/>
      <c r="BC484" s="151"/>
      <c r="BD484" s="151"/>
      <c r="BE484" s="151"/>
      <c r="BF484" s="151"/>
      <c r="BG484" s="151"/>
      <c r="BH484" s="151"/>
      <c r="BI484" s="151"/>
      <c r="BJ484" s="151"/>
      <c r="BK484" s="151"/>
      <c r="BL484" s="151"/>
      <c r="BM484" s="151"/>
      <c r="BN484" s="151"/>
      <c r="BO484" s="151"/>
      <c r="BP484" s="151"/>
      <c r="BQ484" s="151"/>
      <c r="BR484" s="151"/>
      <c r="BS484" s="151"/>
      <c r="BT484" s="151"/>
      <c r="BU484" s="151"/>
      <c r="BV484" s="151"/>
      <c r="BW484" s="151"/>
      <c r="BX484" s="151"/>
      <c r="BY484" s="151"/>
      <c r="BZ484" s="151"/>
      <c r="CA484" s="151"/>
      <c r="CB484" s="151"/>
      <c r="CC484" s="151"/>
      <c r="CD484" s="151"/>
      <c r="CE484" s="151"/>
      <c r="CF484" s="151"/>
      <c r="CG484" s="151"/>
      <c r="CH484" s="151"/>
      <c r="CI484" s="151"/>
      <c r="CJ484" s="151"/>
      <c r="CK484" s="151"/>
      <c r="CL484" s="151"/>
      <c r="CM484" s="151"/>
      <c r="CN484" s="151"/>
      <c r="CO484" s="151"/>
      <c r="CP484" s="151"/>
      <c r="CQ484" s="151"/>
      <c r="CR484" s="151"/>
      <c r="CS484" s="151"/>
      <c r="CT484" s="151"/>
      <c r="CU484" s="151"/>
      <c r="CV484" s="151"/>
      <c r="CW484" s="151"/>
      <c r="CX484" s="151"/>
      <c r="CY484" s="151"/>
      <c r="CZ484" s="151"/>
      <c r="DA484" s="151"/>
      <c r="DB484" s="151"/>
      <c r="DC484" s="151"/>
      <c r="DD484" s="151"/>
      <c r="DE484" s="151"/>
      <c r="DF484" s="151"/>
      <c r="DG484" s="151"/>
      <c r="DH484" s="151"/>
      <c r="DI484" s="151"/>
      <c r="DJ484" s="151"/>
      <c r="DK484" s="151"/>
      <c r="DL484" s="151"/>
      <c r="DM484" s="151"/>
      <c r="DN484" s="151"/>
      <c r="DO484" s="151"/>
      <c r="DP484" s="151"/>
      <c r="DQ484" s="151"/>
      <c r="DR484" s="151"/>
      <c r="DS484" s="151"/>
      <c r="DT484" s="151"/>
      <c r="DU484" s="151"/>
      <c r="DV484" s="151"/>
      <c r="DW484" s="151"/>
      <c r="DX484" s="151"/>
      <c r="DY484" s="151"/>
      <c r="DZ484" s="151"/>
      <c r="EA484" s="151"/>
      <c r="EB484" s="151"/>
      <c r="EC484" s="151"/>
      <c r="ED484" s="151"/>
      <c r="EE484" s="151"/>
      <c r="EF484" s="151"/>
      <c r="EG484" s="151"/>
      <c r="EH484" s="151"/>
      <c r="EI484" s="151"/>
      <c r="EJ484" s="151"/>
      <c r="EK484" s="151"/>
      <c r="EL484" s="151"/>
      <c r="EM484" s="151"/>
      <c r="EN484" s="151"/>
      <c r="EO484" s="151"/>
      <c r="EP484" s="151"/>
      <c r="EQ484" s="151"/>
      <c r="ER484" s="151"/>
      <c r="ES484" s="151"/>
      <c r="ET484" s="151"/>
      <c r="EU484" s="151"/>
      <c r="EV484" s="151"/>
      <c r="EW484" s="151"/>
      <c r="EX484" s="151"/>
      <c r="EY484" s="151"/>
      <c r="EZ484" s="151"/>
      <c r="FA484" s="151"/>
      <c r="FB484" s="151"/>
      <c r="FC484" s="151"/>
      <c r="FD484" s="151"/>
      <c r="FE484" s="151"/>
      <c r="FF484" s="151"/>
      <c r="FG484" s="151"/>
      <c r="FH484" s="151"/>
      <c r="FI484" s="151"/>
      <c r="FJ484" s="151"/>
      <c r="FK484" s="151"/>
      <c r="FL484" s="151"/>
      <c r="FM484" s="151"/>
      <c r="FN484" s="151"/>
      <c r="FO484" s="151"/>
      <c r="FP484" s="151"/>
      <c r="FQ484" s="151"/>
      <c r="FR484" s="151"/>
      <c r="FS484" s="151"/>
      <c r="FT484" s="151"/>
      <c r="FU484" s="151"/>
      <c r="FV484" s="151"/>
      <c r="FW484" s="151"/>
      <c r="FX484" s="151"/>
      <c r="FY484" s="151"/>
      <c r="FZ484" s="151"/>
      <c r="GA484" s="151"/>
      <c r="GB484" s="151"/>
      <c r="GC484" s="151"/>
      <c r="GD484" s="151"/>
      <c r="GE484" s="151"/>
      <c r="GF484" s="151"/>
      <c r="GG484" s="152"/>
    </row>
    <row r="485" spans="1:189" x14ac:dyDescent="0.35">
      <c r="A485" s="268"/>
      <c r="B485" s="221"/>
      <c r="C485" s="221"/>
      <c r="D485" s="222"/>
      <c r="E485" s="221"/>
      <c r="F485" s="221"/>
      <c r="G485" s="223"/>
      <c r="H485" s="224"/>
      <c r="I485" s="225"/>
      <c r="J485" s="225"/>
      <c r="K485" s="225"/>
      <c r="L485" s="226"/>
      <c r="M485" s="226"/>
      <c r="N485" s="226"/>
      <c r="O485" s="226"/>
      <c r="P485" s="226"/>
      <c r="Q485" s="227"/>
      <c r="R485" s="228"/>
      <c r="S485" s="228"/>
      <c r="T485" s="228"/>
      <c r="U485" s="191">
        <f t="shared" si="494"/>
        <v>0</v>
      </c>
      <c r="V485" s="86"/>
      <c r="W485" s="45"/>
      <c r="X485" s="46"/>
      <c r="Y485" s="167">
        <f t="shared" si="495"/>
        <v>0</v>
      </c>
      <c r="Z485" s="167">
        <f t="shared" si="496"/>
        <v>0</v>
      </c>
      <c r="AA485" s="167">
        <f t="shared" si="497"/>
        <v>0</v>
      </c>
      <c r="AB485" s="167">
        <f t="shared" si="498"/>
        <v>0</v>
      </c>
      <c r="AC485" s="167">
        <f t="shared" si="499"/>
        <v>0</v>
      </c>
      <c r="AD485" s="167">
        <f t="shared" si="500"/>
        <v>0</v>
      </c>
      <c r="AF485" s="47">
        <f t="shared" si="501"/>
        <v>0</v>
      </c>
      <c r="AG485" s="202" t="str">
        <f t="shared" si="502"/>
        <v xml:space="preserve"> </v>
      </c>
      <c r="AH485" s="150"/>
      <c r="AI485" s="151"/>
      <c r="AJ485" s="151"/>
      <c r="AK485" s="151"/>
      <c r="AL485" s="151"/>
      <c r="AM485" s="151"/>
      <c r="AN485" s="151"/>
      <c r="AO485" s="151"/>
      <c r="AP485" s="151"/>
      <c r="AQ485" s="151"/>
      <c r="AR485" s="151"/>
      <c r="AS485" s="151"/>
      <c r="AT485" s="151"/>
      <c r="AU485" s="151"/>
      <c r="AV485" s="151"/>
      <c r="AW485" s="151"/>
      <c r="AX485" s="151"/>
      <c r="AY485" s="151"/>
      <c r="AZ485" s="151"/>
      <c r="BA485" s="151"/>
      <c r="BB485" s="151"/>
      <c r="BC485" s="151"/>
      <c r="BD485" s="151"/>
      <c r="BE485" s="151"/>
      <c r="BF485" s="151"/>
      <c r="BG485" s="151"/>
      <c r="BH485" s="151"/>
      <c r="BI485" s="151"/>
      <c r="BJ485" s="151"/>
      <c r="BK485" s="151"/>
      <c r="BL485" s="151"/>
      <c r="BM485" s="151"/>
      <c r="BN485" s="151"/>
      <c r="BO485" s="151"/>
      <c r="BP485" s="151"/>
      <c r="BQ485" s="151"/>
      <c r="BR485" s="151"/>
      <c r="BS485" s="151"/>
      <c r="BT485" s="151"/>
      <c r="BU485" s="151"/>
      <c r="BV485" s="151"/>
      <c r="BW485" s="151"/>
      <c r="BX485" s="151"/>
      <c r="BY485" s="151"/>
      <c r="BZ485" s="151"/>
      <c r="CA485" s="151"/>
      <c r="CB485" s="151"/>
      <c r="CC485" s="151"/>
      <c r="CD485" s="151"/>
      <c r="CE485" s="151"/>
      <c r="CF485" s="151"/>
      <c r="CG485" s="151"/>
      <c r="CH485" s="151"/>
      <c r="CI485" s="151"/>
      <c r="CJ485" s="151"/>
      <c r="CK485" s="151"/>
      <c r="CL485" s="151"/>
      <c r="CM485" s="151"/>
      <c r="CN485" s="151"/>
      <c r="CO485" s="151"/>
      <c r="CP485" s="151"/>
      <c r="CQ485" s="151"/>
      <c r="CR485" s="151"/>
      <c r="CS485" s="151"/>
      <c r="CT485" s="151"/>
      <c r="CU485" s="151"/>
      <c r="CV485" s="151"/>
      <c r="CW485" s="151"/>
      <c r="CX485" s="151"/>
      <c r="CY485" s="151"/>
      <c r="CZ485" s="151"/>
      <c r="DA485" s="151"/>
      <c r="DB485" s="151"/>
      <c r="DC485" s="151"/>
      <c r="DD485" s="151"/>
      <c r="DE485" s="151"/>
      <c r="DF485" s="151"/>
      <c r="DG485" s="151"/>
      <c r="DH485" s="151"/>
      <c r="DI485" s="151"/>
      <c r="DJ485" s="151"/>
      <c r="DK485" s="151"/>
      <c r="DL485" s="151"/>
      <c r="DM485" s="151"/>
      <c r="DN485" s="151"/>
      <c r="DO485" s="151"/>
      <c r="DP485" s="151"/>
      <c r="DQ485" s="151"/>
      <c r="DR485" s="151"/>
      <c r="DS485" s="151"/>
      <c r="DT485" s="151"/>
      <c r="DU485" s="151"/>
      <c r="DV485" s="151"/>
      <c r="DW485" s="151"/>
      <c r="DX485" s="151"/>
      <c r="DY485" s="151"/>
      <c r="DZ485" s="151"/>
      <c r="EA485" s="151"/>
      <c r="EB485" s="151"/>
      <c r="EC485" s="151"/>
      <c r="ED485" s="151"/>
      <c r="EE485" s="151"/>
      <c r="EF485" s="151"/>
      <c r="EG485" s="151"/>
      <c r="EH485" s="151"/>
      <c r="EI485" s="151"/>
      <c r="EJ485" s="151"/>
      <c r="EK485" s="151"/>
      <c r="EL485" s="151"/>
      <c r="EM485" s="151"/>
      <c r="EN485" s="151"/>
      <c r="EO485" s="151"/>
      <c r="EP485" s="151"/>
      <c r="EQ485" s="151"/>
      <c r="ER485" s="151"/>
      <c r="ES485" s="151"/>
      <c r="ET485" s="151"/>
      <c r="EU485" s="151"/>
      <c r="EV485" s="151"/>
      <c r="EW485" s="151"/>
      <c r="EX485" s="151"/>
      <c r="EY485" s="151"/>
      <c r="EZ485" s="151"/>
      <c r="FA485" s="151"/>
      <c r="FB485" s="151"/>
      <c r="FC485" s="151"/>
      <c r="FD485" s="151"/>
      <c r="FE485" s="151"/>
      <c r="FF485" s="151"/>
      <c r="FG485" s="151"/>
      <c r="FH485" s="151"/>
      <c r="FI485" s="151"/>
      <c r="FJ485" s="151"/>
      <c r="FK485" s="151"/>
      <c r="FL485" s="151"/>
      <c r="FM485" s="151"/>
      <c r="FN485" s="151"/>
      <c r="FO485" s="151"/>
      <c r="FP485" s="151"/>
      <c r="FQ485" s="151"/>
      <c r="FR485" s="151"/>
      <c r="FS485" s="151"/>
      <c r="FT485" s="151"/>
      <c r="FU485" s="151"/>
      <c r="FV485" s="151"/>
      <c r="FW485" s="151"/>
      <c r="FX485" s="151"/>
      <c r="FY485" s="151"/>
      <c r="FZ485" s="151"/>
      <c r="GA485" s="151"/>
      <c r="GB485" s="151"/>
      <c r="GC485" s="151"/>
      <c r="GD485" s="151"/>
      <c r="GE485" s="151"/>
      <c r="GF485" s="151"/>
      <c r="GG485" s="152"/>
    </row>
    <row r="486" spans="1:189" x14ac:dyDescent="0.35">
      <c r="A486" s="268"/>
      <c r="B486" s="221"/>
      <c r="C486" s="221"/>
      <c r="D486" s="222"/>
      <c r="E486" s="221"/>
      <c r="F486" s="221"/>
      <c r="G486" s="223"/>
      <c r="H486" s="224"/>
      <c r="I486" s="225"/>
      <c r="J486" s="225"/>
      <c r="K486" s="225"/>
      <c r="L486" s="226"/>
      <c r="M486" s="226"/>
      <c r="N486" s="226"/>
      <c r="O486" s="226"/>
      <c r="P486" s="226"/>
      <c r="Q486" s="227"/>
      <c r="R486" s="228"/>
      <c r="S486" s="228"/>
      <c r="T486" s="228"/>
      <c r="U486" s="191">
        <f t="shared" si="494"/>
        <v>0</v>
      </c>
      <c r="V486" s="86"/>
      <c r="W486" s="45"/>
      <c r="X486" s="46"/>
      <c r="Y486" s="167">
        <f t="shared" si="495"/>
        <v>0</v>
      </c>
      <c r="Z486" s="167">
        <f t="shared" si="496"/>
        <v>0</v>
      </c>
      <c r="AA486" s="167">
        <f t="shared" si="497"/>
        <v>0</v>
      </c>
      <c r="AB486" s="167">
        <f t="shared" si="498"/>
        <v>0</v>
      </c>
      <c r="AC486" s="167">
        <f t="shared" si="499"/>
        <v>0</v>
      </c>
      <c r="AD486" s="167">
        <f t="shared" si="500"/>
        <v>0</v>
      </c>
      <c r="AF486" s="47">
        <f t="shared" si="501"/>
        <v>0</v>
      </c>
      <c r="AG486" s="202" t="str">
        <f t="shared" si="502"/>
        <v xml:space="preserve"> </v>
      </c>
      <c r="AH486" s="150"/>
      <c r="AI486" s="151"/>
      <c r="AJ486" s="151"/>
      <c r="AK486" s="151"/>
      <c r="AL486" s="151"/>
      <c r="AM486" s="151"/>
      <c r="AN486" s="151"/>
      <c r="AO486" s="151"/>
      <c r="AP486" s="151"/>
      <c r="AQ486" s="151"/>
      <c r="AR486" s="151"/>
      <c r="AS486" s="151"/>
      <c r="AT486" s="151"/>
      <c r="AU486" s="151"/>
      <c r="AV486" s="151"/>
      <c r="AW486" s="151"/>
      <c r="AX486" s="151"/>
      <c r="AY486" s="151"/>
      <c r="AZ486" s="151"/>
      <c r="BA486" s="151"/>
      <c r="BB486" s="151"/>
      <c r="BC486" s="151"/>
      <c r="BD486" s="151"/>
      <c r="BE486" s="151"/>
      <c r="BF486" s="151"/>
      <c r="BG486" s="151"/>
      <c r="BH486" s="151"/>
      <c r="BI486" s="151"/>
      <c r="BJ486" s="151"/>
      <c r="BK486" s="151"/>
      <c r="BL486" s="151"/>
      <c r="BM486" s="151"/>
      <c r="BN486" s="151"/>
      <c r="BO486" s="151"/>
      <c r="BP486" s="151"/>
      <c r="BQ486" s="151"/>
      <c r="BR486" s="151"/>
      <c r="BS486" s="151"/>
      <c r="BT486" s="151"/>
      <c r="BU486" s="151"/>
      <c r="BV486" s="151"/>
      <c r="BW486" s="151"/>
      <c r="BX486" s="151"/>
      <c r="BY486" s="151"/>
      <c r="BZ486" s="151"/>
      <c r="CA486" s="151"/>
      <c r="CB486" s="151"/>
      <c r="CC486" s="151"/>
      <c r="CD486" s="151"/>
      <c r="CE486" s="151"/>
      <c r="CF486" s="151"/>
      <c r="CG486" s="151"/>
      <c r="CH486" s="151"/>
      <c r="CI486" s="151"/>
      <c r="CJ486" s="151"/>
      <c r="CK486" s="151"/>
      <c r="CL486" s="151"/>
      <c r="CM486" s="151"/>
      <c r="CN486" s="151"/>
      <c r="CO486" s="151"/>
      <c r="CP486" s="151"/>
      <c r="CQ486" s="151"/>
      <c r="CR486" s="151"/>
      <c r="CS486" s="151"/>
      <c r="CT486" s="151"/>
      <c r="CU486" s="151"/>
      <c r="CV486" s="151"/>
      <c r="CW486" s="151"/>
      <c r="CX486" s="151"/>
      <c r="CY486" s="151"/>
      <c r="CZ486" s="151"/>
      <c r="DA486" s="151"/>
      <c r="DB486" s="151"/>
      <c r="DC486" s="151"/>
      <c r="DD486" s="151"/>
      <c r="DE486" s="151"/>
      <c r="DF486" s="151"/>
      <c r="DG486" s="151"/>
      <c r="DH486" s="151"/>
      <c r="DI486" s="151"/>
      <c r="DJ486" s="151"/>
      <c r="DK486" s="151"/>
      <c r="DL486" s="151"/>
      <c r="DM486" s="151"/>
      <c r="DN486" s="151"/>
      <c r="DO486" s="151"/>
      <c r="DP486" s="151"/>
      <c r="DQ486" s="151"/>
      <c r="DR486" s="151"/>
      <c r="DS486" s="151"/>
      <c r="DT486" s="151"/>
      <c r="DU486" s="151"/>
      <c r="DV486" s="151"/>
      <c r="DW486" s="151"/>
      <c r="DX486" s="151"/>
      <c r="DY486" s="151"/>
      <c r="DZ486" s="151"/>
      <c r="EA486" s="151"/>
      <c r="EB486" s="151"/>
      <c r="EC486" s="151"/>
      <c r="ED486" s="151"/>
      <c r="EE486" s="151"/>
      <c r="EF486" s="151"/>
      <c r="EG486" s="151"/>
      <c r="EH486" s="151"/>
      <c r="EI486" s="151"/>
      <c r="EJ486" s="151"/>
      <c r="EK486" s="151"/>
      <c r="EL486" s="151"/>
      <c r="EM486" s="151"/>
      <c r="EN486" s="151"/>
      <c r="EO486" s="151"/>
      <c r="EP486" s="151"/>
      <c r="EQ486" s="151"/>
      <c r="ER486" s="151"/>
      <c r="ES486" s="151"/>
      <c r="ET486" s="151"/>
      <c r="EU486" s="151"/>
      <c r="EV486" s="151"/>
      <c r="EW486" s="151"/>
      <c r="EX486" s="151"/>
      <c r="EY486" s="151"/>
      <c r="EZ486" s="151"/>
      <c r="FA486" s="151"/>
      <c r="FB486" s="151"/>
      <c r="FC486" s="151"/>
      <c r="FD486" s="151"/>
      <c r="FE486" s="151"/>
      <c r="FF486" s="151"/>
      <c r="FG486" s="151"/>
      <c r="FH486" s="151"/>
      <c r="FI486" s="151"/>
      <c r="FJ486" s="151"/>
      <c r="FK486" s="151"/>
      <c r="FL486" s="151"/>
      <c r="FM486" s="151"/>
      <c r="FN486" s="151"/>
      <c r="FO486" s="151"/>
      <c r="FP486" s="151"/>
      <c r="FQ486" s="151"/>
      <c r="FR486" s="151"/>
      <c r="FS486" s="151"/>
      <c r="FT486" s="151"/>
      <c r="FU486" s="151"/>
      <c r="FV486" s="151"/>
      <c r="FW486" s="151"/>
      <c r="FX486" s="151"/>
      <c r="FY486" s="151"/>
      <c r="FZ486" s="151"/>
      <c r="GA486" s="151"/>
      <c r="GB486" s="151"/>
      <c r="GC486" s="151"/>
      <c r="GD486" s="151"/>
      <c r="GE486" s="151"/>
      <c r="GF486" s="151"/>
      <c r="GG486" s="152"/>
    </row>
    <row r="487" spans="1:189" x14ac:dyDescent="0.35">
      <c r="A487" s="268"/>
      <c r="B487" s="221"/>
      <c r="C487" s="221"/>
      <c r="D487" s="222"/>
      <c r="E487" s="221"/>
      <c r="F487" s="221"/>
      <c r="G487" s="223"/>
      <c r="H487" s="224"/>
      <c r="I487" s="225"/>
      <c r="J487" s="225"/>
      <c r="K487" s="225"/>
      <c r="L487" s="226"/>
      <c r="M487" s="226"/>
      <c r="N487" s="226"/>
      <c r="O487" s="226"/>
      <c r="P487" s="226"/>
      <c r="Q487" s="227"/>
      <c r="R487" s="228"/>
      <c r="S487" s="228"/>
      <c r="T487" s="228"/>
      <c r="U487" s="191">
        <f t="shared" si="494"/>
        <v>0</v>
      </c>
      <c r="V487" s="86"/>
      <c r="W487" s="45"/>
      <c r="X487" s="46"/>
      <c r="Y487" s="167">
        <f t="shared" si="495"/>
        <v>0</v>
      </c>
      <c r="Z487" s="167">
        <f t="shared" si="496"/>
        <v>0</v>
      </c>
      <c r="AA487" s="167">
        <f t="shared" si="497"/>
        <v>0</v>
      </c>
      <c r="AB487" s="167">
        <f t="shared" si="498"/>
        <v>0</v>
      </c>
      <c r="AC487" s="167">
        <f t="shared" si="499"/>
        <v>0</v>
      </c>
      <c r="AD487" s="167">
        <f t="shared" si="500"/>
        <v>0</v>
      </c>
      <c r="AF487" s="47">
        <f t="shared" si="501"/>
        <v>0</v>
      </c>
      <c r="AG487" s="202" t="str">
        <f t="shared" si="502"/>
        <v xml:space="preserve"> </v>
      </c>
      <c r="AH487" s="147"/>
      <c r="AI487" s="148"/>
      <c r="AJ487" s="148"/>
      <c r="AK487" s="148"/>
      <c r="AL487" s="148"/>
      <c r="AM487" s="148"/>
      <c r="AN487" s="148"/>
      <c r="AO487" s="148"/>
      <c r="AP487" s="148"/>
      <c r="AQ487" s="148"/>
      <c r="AR487" s="148"/>
      <c r="AS487" s="148"/>
      <c r="AT487" s="148"/>
      <c r="AU487" s="148"/>
      <c r="AV487" s="148"/>
      <c r="AW487" s="148"/>
      <c r="AX487" s="148"/>
      <c r="AY487" s="148"/>
      <c r="AZ487" s="148"/>
      <c r="BA487" s="148"/>
      <c r="BB487" s="148"/>
      <c r="BC487" s="148"/>
      <c r="BD487" s="148"/>
      <c r="BE487" s="148"/>
      <c r="BF487" s="148"/>
      <c r="BG487" s="148"/>
      <c r="BH487" s="148"/>
      <c r="BI487" s="148"/>
      <c r="BJ487" s="148"/>
      <c r="BK487" s="148"/>
      <c r="BL487" s="148"/>
      <c r="BM487" s="148"/>
      <c r="BN487" s="148"/>
      <c r="BO487" s="148"/>
      <c r="BP487" s="148"/>
      <c r="BQ487" s="148"/>
      <c r="BR487" s="148"/>
      <c r="BS487" s="148"/>
      <c r="BT487" s="148"/>
      <c r="BU487" s="148"/>
      <c r="BV487" s="148"/>
      <c r="BW487" s="148"/>
      <c r="BX487" s="148"/>
      <c r="BY487" s="148"/>
      <c r="BZ487" s="148"/>
      <c r="CA487" s="148"/>
      <c r="CB487" s="148"/>
      <c r="CC487" s="148"/>
      <c r="CD487" s="148"/>
      <c r="CE487" s="148"/>
      <c r="CF487" s="148"/>
      <c r="CG487" s="148"/>
      <c r="CH487" s="148"/>
      <c r="CI487" s="148"/>
      <c r="CJ487" s="148"/>
      <c r="CK487" s="148"/>
      <c r="CL487" s="148"/>
      <c r="CM487" s="148"/>
      <c r="CN487" s="148"/>
      <c r="CO487" s="148"/>
      <c r="CP487" s="148"/>
      <c r="CQ487" s="148"/>
      <c r="CR487" s="148"/>
      <c r="CS487" s="148"/>
      <c r="CT487" s="148"/>
      <c r="CU487" s="148"/>
      <c r="CV487" s="148"/>
      <c r="CW487" s="148"/>
      <c r="CX487" s="148"/>
      <c r="CY487" s="148"/>
      <c r="CZ487" s="148"/>
      <c r="DA487" s="148"/>
      <c r="DB487" s="148"/>
      <c r="DC487" s="148"/>
      <c r="DD487" s="148"/>
      <c r="DE487" s="148"/>
      <c r="DF487" s="148"/>
      <c r="DG487" s="148"/>
      <c r="DH487" s="148"/>
      <c r="DI487" s="148"/>
      <c r="DJ487" s="148"/>
      <c r="DK487" s="148"/>
      <c r="DL487" s="148"/>
      <c r="DM487" s="148"/>
      <c r="DN487" s="148"/>
      <c r="DO487" s="148"/>
      <c r="DP487" s="148"/>
      <c r="DQ487" s="148"/>
      <c r="DR487" s="148"/>
      <c r="DS487" s="148"/>
      <c r="DT487" s="148"/>
      <c r="DU487" s="148"/>
      <c r="DV487" s="148"/>
      <c r="DW487" s="148"/>
      <c r="DX487" s="148"/>
      <c r="DY487" s="148"/>
      <c r="DZ487" s="148"/>
      <c r="EA487" s="148"/>
      <c r="EB487" s="148"/>
      <c r="EC487" s="148"/>
      <c r="ED487" s="148"/>
      <c r="EE487" s="148"/>
      <c r="EF487" s="148"/>
      <c r="EG487" s="148"/>
      <c r="EH487" s="148"/>
      <c r="EI487" s="148"/>
      <c r="EJ487" s="148"/>
      <c r="EK487" s="148"/>
      <c r="EL487" s="148"/>
      <c r="EM487" s="148"/>
      <c r="EN487" s="148"/>
      <c r="EO487" s="148"/>
      <c r="EP487" s="148"/>
      <c r="EQ487" s="148"/>
      <c r="ER487" s="148"/>
      <c r="ES487" s="148"/>
      <c r="ET487" s="148"/>
      <c r="EU487" s="148"/>
      <c r="EV487" s="148"/>
      <c r="EW487" s="148"/>
      <c r="EX487" s="148"/>
      <c r="EY487" s="148"/>
      <c r="EZ487" s="148"/>
      <c r="FA487" s="148"/>
      <c r="FB487" s="148"/>
      <c r="FC487" s="148"/>
      <c r="FD487" s="148"/>
      <c r="FE487" s="148"/>
      <c r="FF487" s="148"/>
      <c r="FG487" s="148"/>
      <c r="FH487" s="148"/>
      <c r="FI487" s="148"/>
      <c r="FJ487" s="148"/>
      <c r="FK487" s="148"/>
      <c r="FL487" s="148"/>
      <c r="FM487" s="148"/>
      <c r="FN487" s="148"/>
      <c r="FO487" s="148"/>
      <c r="FP487" s="148"/>
      <c r="FQ487" s="148"/>
      <c r="FR487" s="148"/>
      <c r="FS487" s="148"/>
      <c r="FT487" s="148"/>
      <c r="FU487" s="148"/>
      <c r="FV487" s="148"/>
      <c r="FW487" s="148"/>
      <c r="FX487" s="148"/>
      <c r="FY487" s="148"/>
      <c r="FZ487" s="148"/>
      <c r="GA487" s="148"/>
      <c r="GB487" s="148"/>
      <c r="GC487" s="148"/>
      <c r="GD487" s="148"/>
      <c r="GE487" s="148"/>
      <c r="GF487" s="148"/>
      <c r="GG487" s="149"/>
    </row>
    <row r="488" spans="1:189" x14ac:dyDescent="0.35">
      <c r="A488" s="268"/>
      <c r="B488" s="221"/>
      <c r="C488" s="221"/>
      <c r="D488" s="222"/>
      <c r="E488" s="221"/>
      <c r="F488" s="221"/>
      <c r="G488" s="223"/>
      <c r="H488" s="224"/>
      <c r="I488" s="225"/>
      <c r="J488" s="225"/>
      <c r="K488" s="225"/>
      <c r="L488" s="226"/>
      <c r="M488" s="226"/>
      <c r="N488" s="226"/>
      <c r="O488" s="226"/>
      <c r="P488" s="226"/>
      <c r="Q488" s="227"/>
      <c r="R488" s="228"/>
      <c r="S488" s="228"/>
      <c r="T488" s="228"/>
      <c r="U488" s="191">
        <f t="shared" si="494"/>
        <v>0</v>
      </c>
      <c r="V488" s="86"/>
      <c r="W488" s="45"/>
      <c r="X488" s="46"/>
      <c r="Y488" s="167">
        <f t="shared" si="495"/>
        <v>0</v>
      </c>
      <c r="Z488" s="167">
        <f t="shared" si="496"/>
        <v>0</v>
      </c>
      <c r="AA488" s="167">
        <f t="shared" si="497"/>
        <v>0</v>
      </c>
      <c r="AB488" s="167">
        <f t="shared" si="498"/>
        <v>0</v>
      </c>
      <c r="AC488" s="167">
        <f t="shared" si="499"/>
        <v>0</v>
      </c>
      <c r="AD488" s="167">
        <f t="shared" si="500"/>
        <v>0</v>
      </c>
      <c r="AF488" s="47">
        <f t="shared" si="501"/>
        <v>0</v>
      </c>
      <c r="AG488" s="202" t="str">
        <f t="shared" si="502"/>
        <v xml:space="preserve"> </v>
      </c>
      <c r="AH488" s="150"/>
      <c r="AI488" s="151"/>
      <c r="AJ488" s="151"/>
      <c r="AK488" s="151"/>
      <c r="AL488" s="151"/>
      <c r="AM488" s="151"/>
      <c r="AN488" s="151"/>
      <c r="AO488" s="151"/>
      <c r="AP488" s="151"/>
      <c r="AQ488" s="151"/>
      <c r="AR488" s="151"/>
      <c r="AS488" s="151"/>
      <c r="AT488" s="151"/>
      <c r="AU488" s="151"/>
      <c r="AV488" s="151"/>
      <c r="AW488" s="151"/>
      <c r="AX488" s="151"/>
      <c r="AY488" s="151"/>
      <c r="AZ488" s="151"/>
      <c r="BA488" s="151"/>
      <c r="BB488" s="151"/>
      <c r="BC488" s="151"/>
      <c r="BD488" s="151"/>
      <c r="BE488" s="151"/>
      <c r="BF488" s="151"/>
      <c r="BG488" s="151"/>
      <c r="BH488" s="151"/>
      <c r="BI488" s="151"/>
      <c r="BJ488" s="151"/>
      <c r="BK488" s="151"/>
      <c r="BL488" s="151"/>
      <c r="BM488" s="151"/>
      <c r="BN488" s="151"/>
      <c r="BO488" s="151"/>
      <c r="BP488" s="151"/>
      <c r="BQ488" s="151"/>
      <c r="BR488" s="151"/>
      <c r="BS488" s="151"/>
      <c r="BT488" s="151"/>
      <c r="BU488" s="151"/>
      <c r="BV488" s="151"/>
      <c r="BW488" s="151"/>
      <c r="BX488" s="151"/>
      <c r="BY488" s="151"/>
      <c r="BZ488" s="151"/>
      <c r="CA488" s="151"/>
      <c r="CB488" s="151"/>
      <c r="CC488" s="151"/>
      <c r="CD488" s="151"/>
      <c r="CE488" s="151"/>
      <c r="CF488" s="151"/>
      <c r="CG488" s="151"/>
      <c r="CH488" s="151"/>
      <c r="CI488" s="151"/>
      <c r="CJ488" s="151"/>
      <c r="CK488" s="151"/>
      <c r="CL488" s="151"/>
      <c r="CM488" s="151"/>
      <c r="CN488" s="151"/>
      <c r="CO488" s="151"/>
      <c r="CP488" s="151"/>
      <c r="CQ488" s="151"/>
      <c r="CR488" s="151"/>
      <c r="CS488" s="151"/>
      <c r="CT488" s="151"/>
      <c r="CU488" s="151"/>
      <c r="CV488" s="151"/>
      <c r="CW488" s="151"/>
      <c r="CX488" s="151"/>
      <c r="CY488" s="151"/>
      <c r="CZ488" s="151"/>
      <c r="DA488" s="151"/>
      <c r="DB488" s="151"/>
      <c r="DC488" s="151"/>
      <c r="DD488" s="151"/>
      <c r="DE488" s="151"/>
      <c r="DF488" s="151"/>
      <c r="DG488" s="151"/>
      <c r="DH488" s="151"/>
      <c r="DI488" s="151"/>
      <c r="DJ488" s="151"/>
      <c r="DK488" s="151"/>
      <c r="DL488" s="151"/>
      <c r="DM488" s="151"/>
      <c r="DN488" s="151"/>
      <c r="DO488" s="151"/>
      <c r="DP488" s="151"/>
      <c r="DQ488" s="151"/>
      <c r="DR488" s="151"/>
      <c r="DS488" s="151"/>
      <c r="DT488" s="151"/>
      <c r="DU488" s="151"/>
      <c r="DV488" s="151"/>
      <c r="DW488" s="151"/>
      <c r="DX488" s="151"/>
      <c r="DY488" s="151"/>
      <c r="DZ488" s="151"/>
      <c r="EA488" s="151"/>
      <c r="EB488" s="151"/>
      <c r="EC488" s="151"/>
      <c r="ED488" s="151"/>
      <c r="EE488" s="151"/>
      <c r="EF488" s="151"/>
      <c r="EG488" s="151"/>
      <c r="EH488" s="151"/>
      <c r="EI488" s="151"/>
      <c r="EJ488" s="151"/>
      <c r="EK488" s="151"/>
      <c r="EL488" s="151"/>
      <c r="EM488" s="151"/>
      <c r="EN488" s="151"/>
      <c r="EO488" s="151"/>
      <c r="EP488" s="151"/>
      <c r="EQ488" s="151"/>
      <c r="ER488" s="151"/>
      <c r="ES488" s="151"/>
      <c r="ET488" s="151"/>
      <c r="EU488" s="151"/>
      <c r="EV488" s="151"/>
      <c r="EW488" s="151"/>
      <c r="EX488" s="151"/>
      <c r="EY488" s="151"/>
      <c r="EZ488" s="151"/>
      <c r="FA488" s="151"/>
      <c r="FB488" s="151"/>
      <c r="FC488" s="151"/>
      <c r="FD488" s="151"/>
      <c r="FE488" s="151"/>
      <c r="FF488" s="151"/>
      <c r="FG488" s="151"/>
      <c r="FH488" s="151"/>
      <c r="FI488" s="151"/>
      <c r="FJ488" s="151"/>
      <c r="FK488" s="151"/>
      <c r="FL488" s="151"/>
      <c r="FM488" s="151"/>
      <c r="FN488" s="151"/>
      <c r="FO488" s="151"/>
      <c r="FP488" s="151"/>
      <c r="FQ488" s="151"/>
      <c r="FR488" s="151"/>
      <c r="FS488" s="151"/>
      <c r="FT488" s="151"/>
      <c r="FU488" s="151"/>
      <c r="FV488" s="151"/>
      <c r="FW488" s="151"/>
      <c r="FX488" s="151"/>
      <c r="FY488" s="151"/>
      <c r="FZ488" s="151"/>
      <c r="GA488" s="151"/>
      <c r="GB488" s="151"/>
      <c r="GC488" s="151"/>
      <c r="GD488" s="151"/>
      <c r="GE488" s="151"/>
      <c r="GF488" s="151"/>
      <c r="GG488" s="152"/>
    </row>
    <row r="489" spans="1:189" x14ac:dyDescent="0.35">
      <c r="A489" s="268"/>
      <c r="B489" s="221"/>
      <c r="C489" s="221"/>
      <c r="D489" s="222"/>
      <c r="E489" s="221"/>
      <c r="F489" s="221"/>
      <c r="G489" s="223"/>
      <c r="H489" s="224"/>
      <c r="I489" s="225"/>
      <c r="J489" s="225"/>
      <c r="K489" s="225"/>
      <c r="L489" s="226"/>
      <c r="M489" s="226"/>
      <c r="N489" s="226"/>
      <c r="O489" s="226"/>
      <c r="P489" s="226"/>
      <c r="Q489" s="227"/>
      <c r="R489" s="228"/>
      <c r="S489" s="228"/>
      <c r="T489" s="228"/>
      <c r="U489" s="191">
        <f t="shared" si="494"/>
        <v>0</v>
      </c>
      <c r="V489" s="86"/>
      <c r="W489" s="45"/>
      <c r="X489" s="46"/>
      <c r="Y489" s="167">
        <f t="shared" si="495"/>
        <v>0</v>
      </c>
      <c r="Z489" s="167">
        <f t="shared" si="496"/>
        <v>0</v>
      </c>
      <c r="AA489" s="167">
        <f t="shared" si="497"/>
        <v>0</v>
      </c>
      <c r="AB489" s="167">
        <f t="shared" si="498"/>
        <v>0</v>
      </c>
      <c r="AC489" s="167">
        <f t="shared" si="499"/>
        <v>0</v>
      </c>
      <c r="AD489" s="167">
        <f t="shared" si="500"/>
        <v>0</v>
      </c>
      <c r="AF489" s="47">
        <f t="shared" si="501"/>
        <v>0</v>
      </c>
      <c r="AG489" s="202" t="str">
        <f t="shared" si="502"/>
        <v xml:space="preserve"> </v>
      </c>
      <c r="AH489" s="150"/>
      <c r="AI489" s="151"/>
      <c r="AJ489" s="151"/>
      <c r="AK489" s="151"/>
      <c r="AL489" s="151"/>
      <c r="AM489" s="151"/>
      <c r="AN489" s="151"/>
      <c r="AO489" s="151"/>
      <c r="AP489" s="151"/>
      <c r="AQ489" s="151"/>
      <c r="AR489" s="151"/>
      <c r="AS489" s="151"/>
      <c r="AT489" s="151"/>
      <c r="AU489" s="151"/>
      <c r="AV489" s="151"/>
      <c r="AW489" s="151"/>
      <c r="AX489" s="151"/>
      <c r="AY489" s="151"/>
      <c r="AZ489" s="151"/>
      <c r="BA489" s="151"/>
      <c r="BB489" s="151"/>
      <c r="BC489" s="151"/>
      <c r="BD489" s="151"/>
      <c r="BE489" s="151"/>
      <c r="BF489" s="151"/>
      <c r="BG489" s="151"/>
      <c r="BH489" s="151"/>
      <c r="BI489" s="151"/>
      <c r="BJ489" s="151"/>
      <c r="BK489" s="151"/>
      <c r="BL489" s="151"/>
      <c r="BM489" s="151"/>
      <c r="BN489" s="151"/>
      <c r="BO489" s="151"/>
      <c r="BP489" s="151"/>
      <c r="BQ489" s="151"/>
      <c r="BR489" s="151"/>
      <c r="BS489" s="151"/>
      <c r="BT489" s="151"/>
      <c r="BU489" s="151"/>
      <c r="BV489" s="151"/>
      <c r="BW489" s="151"/>
      <c r="BX489" s="151"/>
      <c r="BY489" s="151"/>
      <c r="BZ489" s="151"/>
      <c r="CA489" s="151"/>
      <c r="CB489" s="151"/>
      <c r="CC489" s="151"/>
      <c r="CD489" s="151"/>
      <c r="CE489" s="151"/>
      <c r="CF489" s="151"/>
      <c r="CG489" s="151"/>
      <c r="CH489" s="151"/>
      <c r="CI489" s="151"/>
      <c r="CJ489" s="151"/>
      <c r="CK489" s="151"/>
      <c r="CL489" s="151"/>
      <c r="CM489" s="151"/>
      <c r="CN489" s="151"/>
      <c r="CO489" s="151"/>
      <c r="CP489" s="151"/>
      <c r="CQ489" s="151"/>
      <c r="CR489" s="151"/>
      <c r="CS489" s="151"/>
      <c r="CT489" s="151"/>
      <c r="CU489" s="151"/>
      <c r="CV489" s="151"/>
      <c r="CW489" s="151"/>
      <c r="CX489" s="151"/>
      <c r="CY489" s="151"/>
      <c r="CZ489" s="151"/>
      <c r="DA489" s="151"/>
      <c r="DB489" s="151"/>
      <c r="DC489" s="151"/>
      <c r="DD489" s="151"/>
      <c r="DE489" s="151"/>
      <c r="DF489" s="151"/>
      <c r="DG489" s="151"/>
      <c r="DH489" s="151"/>
      <c r="DI489" s="151"/>
      <c r="DJ489" s="151"/>
      <c r="DK489" s="151"/>
      <c r="DL489" s="151"/>
      <c r="DM489" s="151"/>
      <c r="DN489" s="151"/>
      <c r="DO489" s="151"/>
      <c r="DP489" s="151"/>
      <c r="DQ489" s="151"/>
      <c r="DR489" s="151"/>
      <c r="DS489" s="151"/>
      <c r="DT489" s="151"/>
      <c r="DU489" s="151"/>
      <c r="DV489" s="151"/>
      <c r="DW489" s="151"/>
      <c r="DX489" s="151"/>
      <c r="DY489" s="151"/>
      <c r="DZ489" s="151"/>
      <c r="EA489" s="151"/>
      <c r="EB489" s="151"/>
      <c r="EC489" s="151"/>
      <c r="ED489" s="151"/>
      <c r="EE489" s="151"/>
      <c r="EF489" s="151"/>
      <c r="EG489" s="151"/>
      <c r="EH489" s="151"/>
      <c r="EI489" s="151"/>
      <c r="EJ489" s="151"/>
      <c r="EK489" s="151"/>
      <c r="EL489" s="151"/>
      <c r="EM489" s="151"/>
      <c r="EN489" s="151"/>
      <c r="EO489" s="151"/>
      <c r="EP489" s="151"/>
      <c r="EQ489" s="151"/>
      <c r="ER489" s="151"/>
      <c r="ES489" s="151"/>
      <c r="ET489" s="151"/>
      <c r="EU489" s="151"/>
      <c r="EV489" s="151"/>
      <c r="EW489" s="151"/>
      <c r="EX489" s="151"/>
      <c r="EY489" s="151"/>
      <c r="EZ489" s="151"/>
      <c r="FA489" s="151"/>
      <c r="FB489" s="151"/>
      <c r="FC489" s="151"/>
      <c r="FD489" s="151"/>
      <c r="FE489" s="151"/>
      <c r="FF489" s="151"/>
      <c r="FG489" s="151"/>
      <c r="FH489" s="151"/>
      <c r="FI489" s="151"/>
      <c r="FJ489" s="151"/>
      <c r="FK489" s="151"/>
      <c r="FL489" s="151"/>
      <c r="FM489" s="151"/>
      <c r="FN489" s="151"/>
      <c r="FO489" s="151"/>
      <c r="FP489" s="151"/>
      <c r="FQ489" s="151"/>
      <c r="FR489" s="151"/>
      <c r="FS489" s="151"/>
      <c r="FT489" s="151"/>
      <c r="FU489" s="151"/>
      <c r="FV489" s="151"/>
      <c r="FW489" s="151"/>
      <c r="FX489" s="151"/>
      <c r="FY489" s="151"/>
      <c r="FZ489" s="151"/>
      <c r="GA489" s="151"/>
      <c r="GB489" s="151"/>
      <c r="GC489" s="151"/>
      <c r="GD489" s="151"/>
      <c r="GE489" s="151"/>
      <c r="GF489" s="151"/>
      <c r="GG489" s="152"/>
    </row>
    <row r="490" spans="1:189" x14ac:dyDescent="0.35">
      <c r="A490" s="268"/>
      <c r="B490" s="221"/>
      <c r="C490" s="221"/>
      <c r="D490" s="222"/>
      <c r="E490" s="221"/>
      <c r="F490" s="221"/>
      <c r="G490" s="223"/>
      <c r="H490" s="224"/>
      <c r="I490" s="225"/>
      <c r="J490" s="225"/>
      <c r="K490" s="225"/>
      <c r="L490" s="226"/>
      <c r="M490" s="226"/>
      <c r="N490" s="226"/>
      <c r="O490" s="226"/>
      <c r="P490" s="226"/>
      <c r="Q490" s="227"/>
      <c r="R490" s="228"/>
      <c r="S490" s="228"/>
      <c r="T490" s="228"/>
      <c r="U490" s="191">
        <f t="shared" si="494"/>
        <v>0</v>
      </c>
      <c r="V490" s="86"/>
      <c r="W490" s="45"/>
      <c r="X490" s="46"/>
      <c r="Y490" s="167">
        <f t="shared" si="495"/>
        <v>0</v>
      </c>
      <c r="Z490" s="167">
        <f t="shared" si="496"/>
        <v>0</v>
      </c>
      <c r="AA490" s="167">
        <f t="shared" si="497"/>
        <v>0</v>
      </c>
      <c r="AB490" s="167">
        <f t="shared" si="498"/>
        <v>0</v>
      </c>
      <c r="AC490" s="167">
        <f t="shared" si="499"/>
        <v>0</v>
      </c>
      <c r="AD490" s="167">
        <f t="shared" si="500"/>
        <v>0</v>
      </c>
      <c r="AF490" s="47">
        <f t="shared" si="501"/>
        <v>0</v>
      </c>
      <c r="AG490" s="202" t="str">
        <f t="shared" si="502"/>
        <v xml:space="preserve"> </v>
      </c>
      <c r="AH490" s="150"/>
      <c r="AI490" s="151"/>
      <c r="AJ490" s="151"/>
      <c r="AK490" s="151"/>
      <c r="AL490" s="151"/>
      <c r="AM490" s="151"/>
      <c r="AN490" s="151"/>
      <c r="AO490" s="151"/>
      <c r="AP490" s="151"/>
      <c r="AQ490" s="151"/>
      <c r="AR490" s="151"/>
      <c r="AS490" s="151"/>
      <c r="AT490" s="151"/>
      <c r="AU490" s="151"/>
      <c r="AV490" s="151"/>
      <c r="AW490" s="151"/>
      <c r="AX490" s="151"/>
      <c r="AY490" s="151"/>
      <c r="AZ490" s="151"/>
      <c r="BA490" s="151"/>
      <c r="BB490" s="151"/>
      <c r="BC490" s="151"/>
      <c r="BD490" s="151"/>
      <c r="BE490" s="151"/>
      <c r="BF490" s="151"/>
      <c r="BG490" s="151"/>
      <c r="BH490" s="151"/>
      <c r="BI490" s="151"/>
      <c r="BJ490" s="151"/>
      <c r="BK490" s="151"/>
      <c r="BL490" s="151"/>
      <c r="BM490" s="151"/>
      <c r="BN490" s="151"/>
      <c r="BO490" s="151"/>
      <c r="BP490" s="151"/>
      <c r="BQ490" s="151"/>
      <c r="BR490" s="151"/>
      <c r="BS490" s="151"/>
      <c r="BT490" s="151"/>
      <c r="BU490" s="151"/>
      <c r="BV490" s="151"/>
      <c r="BW490" s="151"/>
      <c r="BX490" s="151"/>
      <c r="BY490" s="151"/>
      <c r="BZ490" s="151"/>
      <c r="CA490" s="151"/>
      <c r="CB490" s="151"/>
      <c r="CC490" s="151"/>
      <c r="CD490" s="151"/>
      <c r="CE490" s="151"/>
      <c r="CF490" s="151"/>
      <c r="CG490" s="151"/>
      <c r="CH490" s="151"/>
      <c r="CI490" s="151"/>
      <c r="CJ490" s="151"/>
      <c r="CK490" s="151"/>
      <c r="CL490" s="151"/>
      <c r="CM490" s="151"/>
      <c r="CN490" s="151"/>
      <c r="CO490" s="151"/>
      <c r="CP490" s="151"/>
      <c r="CQ490" s="151"/>
      <c r="CR490" s="151"/>
      <c r="CS490" s="151"/>
      <c r="CT490" s="151"/>
      <c r="CU490" s="151"/>
      <c r="CV490" s="151"/>
      <c r="CW490" s="151"/>
      <c r="CX490" s="151"/>
      <c r="CY490" s="151"/>
      <c r="CZ490" s="151"/>
      <c r="DA490" s="151"/>
      <c r="DB490" s="151"/>
      <c r="DC490" s="151"/>
      <c r="DD490" s="151"/>
      <c r="DE490" s="151"/>
      <c r="DF490" s="151"/>
      <c r="DG490" s="151"/>
      <c r="DH490" s="151"/>
      <c r="DI490" s="151"/>
      <c r="DJ490" s="151"/>
      <c r="DK490" s="151"/>
      <c r="DL490" s="151"/>
      <c r="DM490" s="151"/>
      <c r="DN490" s="151"/>
      <c r="DO490" s="151"/>
      <c r="DP490" s="151"/>
      <c r="DQ490" s="151"/>
      <c r="DR490" s="151"/>
      <c r="DS490" s="151"/>
      <c r="DT490" s="151"/>
      <c r="DU490" s="151"/>
      <c r="DV490" s="151"/>
      <c r="DW490" s="151"/>
      <c r="DX490" s="151"/>
      <c r="DY490" s="151"/>
      <c r="DZ490" s="151"/>
      <c r="EA490" s="151"/>
      <c r="EB490" s="151"/>
      <c r="EC490" s="151"/>
      <c r="ED490" s="151"/>
      <c r="EE490" s="151"/>
      <c r="EF490" s="151"/>
      <c r="EG490" s="151"/>
      <c r="EH490" s="151"/>
      <c r="EI490" s="151"/>
      <c r="EJ490" s="151"/>
      <c r="EK490" s="151"/>
      <c r="EL490" s="151"/>
      <c r="EM490" s="151"/>
      <c r="EN490" s="151"/>
      <c r="EO490" s="151"/>
      <c r="EP490" s="151"/>
      <c r="EQ490" s="151"/>
      <c r="ER490" s="151"/>
      <c r="ES490" s="151"/>
      <c r="ET490" s="151"/>
      <c r="EU490" s="151"/>
      <c r="EV490" s="151"/>
      <c r="EW490" s="151"/>
      <c r="EX490" s="151"/>
      <c r="EY490" s="151"/>
      <c r="EZ490" s="151"/>
      <c r="FA490" s="151"/>
      <c r="FB490" s="151"/>
      <c r="FC490" s="151"/>
      <c r="FD490" s="151"/>
      <c r="FE490" s="151"/>
      <c r="FF490" s="151"/>
      <c r="FG490" s="151"/>
      <c r="FH490" s="151"/>
      <c r="FI490" s="151"/>
      <c r="FJ490" s="151"/>
      <c r="FK490" s="151"/>
      <c r="FL490" s="151"/>
      <c r="FM490" s="151"/>
      <c r="FN490" s="151"/>
      <c r="FO490" s="151"/>
      <c r="FP490" s="151"/>
      <c r="FQ490" s="151"/>
      <c r="FR490" s="151"/>
      <c r="FS490" s="151"/>
      <c r="FT490" s="151"/>
      <c r="FU490" s="151"/>
      <c r="FV490" s="151"/>
      <c r="FW490" s="151"/>
      <c r="FX490" s="151"/>
      <c r="FY490" s="151"/>
      <c r="FZ490" s="151"/>
      <c r="GA490" s="151"/>
      <c r="GB490" s="151"/>
      <c r="GC490" s="151"/>
      <c r="GD490" s="151"/>
      <c r="GE490" s="151"/>
      <c r="GF490" s="151"/>
      <c r="GG490" s="152"/>
    </row>
    <row r="491" spans="1:189" x14ac:dyDescent="0.35">
      <c r="A491" s="268"/>
      <c r="B491" s="221"/>
      <c r="C491" s="221"/>
      <c r="D491" s="222"/>
      <c r="E491" s="221"/>
      <c r="F491" s="221"/>
      <c r="G491" s="223"/>
      <c r="H491" s="224"/>
      <c r="I491" s="225"/>
      <c r="J491" s="225"/>
      <c r="K491" s="225"/>
      <c r="L491" s="226"/>
      <c r="M491" s="226"/>
      <c r="N491" s="226"/>
      <c r="O491" s="226"/>
      <c r="P491" s="226"/>
      <c r="Q491" s="227"/>
      <c r="R491" s="228"/>
      <c r="S491" s="228"/>
      <c r="T491" s="228"/>
      <c r="U491" s="191">
        <f t="shared" si="494"/>
        <v>0</v>
      </c>
      <c r="V491" s="86"/>
      <c r="W491" s="45"/>
      <c r="X491" s="46"/>
      <c r="Y491" s="167">
        <f t="shared" si="495"/>
        <v>0</v>
      </c>
      <c r="Z491" s="167">
        <f t="shared" si="496"/>
        <v>0</v>
      </c>
      <c r="AA491" s="167">
        <f t="shared" si="497"/>
        <v>0</v>
      </c>
      <c r="AB491" s="167">
        <f t="shared" si="498"/>
        <v>0</v>
      </c>
      <c r="AC491" s="167">
        <f t="shared" si="499"/>
        <v>0</v>
      </c>
      <c r="AD491" s="167">
        <f t="shared" si="500"/>
        <v>0</v>
      </c>
      <c r="AF491" s="47">
        <f t="shared" si="501"/>
        <v>0</v>
      </c>
      <c r="AG491" s="202" t="str">
        <f t="shared" si="502"/>
        <v xml:space="preserve"> </v>
      </c>
      <c r="AH491" s="147"/>
      <c r="AI491" s="148"/>
      <c r="AJ491" s="148"/>
      <c r="AK491" s="148"/>
      <c r="AL491" s="148"/>
      <c r="AM491" s="148"/>
      <c r="AN491" s="148"/>
      <c r="AO491" s="148"/>
      <c r="AP491" s="148"/>
      <c r="AQ491" s="148"/>
      <c r="AR491" s="148"/>
      <c r="AS491" s="148"/>
      <c r="AT491" s="148"/>
      <c r="AU491" s="148"/>
      <c r="AV491" s="148"/>
      <c r="AW491" s="148"/>
      <c r="AX491" s="148"/>
      <c r="AY491" s="148"/>
      <c r="AZ491" s="148"/>
      <c r="BA491" s="148"/>
      <c r="BB491" s="148"/>
      <c r="BC491" s="148"/>
      <c r="BD491" s="148"/>
      <c r="BE491" s="148"/>
      <c r="BF491" s="148"/>
      <c r="BG491" s="148"/>
      <c r="BH491" s="148"/>
      <c r="BI491" s="148"/>
      <c r="BJ491" s="148"/>
      <c r="BK491" s="148"/>
      <c r="BL491" s="148"/>
      <c r="BM491" s="148"/>
      <c r="BN491" s="148"/>
      <c r="BO491" s="148"/>
      <c r="BP491" s="148"/>
      <c r="BQ491" s="148"/>
      <c r="BR491" s="148"/>
      <c r="BS491" s="148"/>
      <c r="BT491" s="148"/>
      <c r="BU491" s="148"/>
      <c r="BV491" s="148"/>
      <c r="BW491" s="148"/>
      <c r="BX491" s="148"/>
      <c r="BY491" s="148"/>
      <c r="BZ491" s="148"/>
      <c r="CA491" s="148"/>
      <c r="CB491" s="148"/>
      <c r="CC491" s="148"/>
      <c r="CD491" s="148"/>
      <c r="CE491" s="148"/>
      <c r="CF491" s="148"/>
      <c r="CG491" s="148"/>
      <c r="CH491" s="148"/>
      <c r="CI491" s="148"/>
      <c r="CJ491" s="148"/>
      <c r="CK491" s="148"/>
      <c r="CL491" s="148"/>
      <c r="CM491" s="148"/>
      <c r="CN491" s="148"/>
      <c r="CO491" s="148"/>
      <c r="CP491" s="148"/>
      <c r="CQ491" s="148"/>
      <c r="CR491" s="148"/>
      <c r="CS491" s="148"/>
      <c r="CT491" s="148"/>
      <c r="CU491" s="148"/>
      <c r="CV491" s="148"/>
      <c r="CW491" s="148"/>
      <c r="CX491" s="148"/>
      <c r="CY491" s="148"/>
      <c r="CZ491" s="148"/>
      <c r="DA491" s="148"/>
      <c r="DB491" s="148"/>
      <c r="DC491" s="148"/>
      <c r="DD491" s="148"/>
      <c r="DE491" s="148"/>
      <c r="DF491" s="148"/>
      <c r="DG491" s="148"/>
      <c r="DH491" s="148"/>
      <c r="DI491" s="148"/>
      <c r="DJ491" s="148"/>
      <c r="DK491" s="148"/>
      <c r="DL491" s="148"/>
      <c r="DM491" s="148"/>
      <c r="DN491" s="148"/>
      <c r="DO491" s="148"/>
      <c r="DP491" s="148"/>
      <c r="DQ491" s="148"/>
      <c r="DR491" s="148"/>
      <c r="DS491" s="148"/>
      <c r="DT491" s="148"/>
      <c r="DU491" s="148"/>
      <c r="DV491" s="148"/>
      <c r="DW491" s="148"/>
      <c r="DX491" s="148"/>
      <c r="DY491" s="148"/>
      <c r="DZ491" s="148"/>
      <c r="EA491" s="148"/>
      <c r="EB491" s="148"/>
      <c r="EC491" s="148"/>
      <c r="ED491" s="148"/>
      <c r="EE491" s="148"/>
      <c r="EF491" s="148"/>
      <c r="EG491" s="148"/>
      <c r="EH491" s="148"/>
      <c r="EI491" s="148"/>
      <c r="EJ491" s="148"/>
      <c r="EK491" s="148"/>
      <c r="EL491" s="148"/>
      <c r="EM491" s="148"/>
      <c r="EN491" s="148"/>
      <c r="EO491" s="148"/>
      <c r="EP491" s="148"/>
      <c r="EQ491" s="148"/>
      <c r="ER491" s="148"/>
      <c r="ES491" s="148"/>
      <c r="ET491" s="148"/>
      <c r="EU491" s="148"/>
      <c r="EV491" s="148"/>
      <c r="EW491" s="148"/>
      <c r="EX491" s="148"/>
      <c r="EY491" s="148"/>
      <c r="EZ491" s="148"/>
      <c r="FA491" s="148"/>
      <c r="FB491" s="148"/>
      <c r="FC491" s="148"/>
      <c r="FD491" s="148"/>
      <c r="FE491" s="148"/>
      <c r="FF491" s="148"/>
      <c r="FG491" s="148"/>
      <c r="FH491" s="148"/>
      <c r="FI491" s="148"/>
      <c r="FJ491" s="148"/>
      <c r="FK491" s="148"/>
      <c r="FL491" s="148"/>
      <c r="FM491" s="148"/>
      <c r="FN491" s="148"/>
      <c r="FO491" s="148"/>
      <c r="FP491" s="148"/>
      <c r="FQ491" s="148"/>
      <c r="FR491" s="148"/>
      <c r="FS491" s="148"/>
      <c r="FT491" s="148"/>
      <c r="FU491" s="148"/>
      <c r="FV491" s="148"/>
      <c r="FW491" s="148"/>
      <c r="FX491" s="148"/>
      <c r="FY491" s="148"/>
      <c r="FZ491" s="148"/>
      <c r="GA491" s="148"/>
      <c r="GB491" s="148"/>
      <c r="GC491" s="148"/>
      <c r="GD491" s="148"/>
      <c r="GE491" s="148"/>
      <c r="GF491" s="148"/>
      <c r="GG491" s="149"/>
    </row>
    <row r="492" spans="1:189" x14ac:dyDescent="0.35">
      <c r="A492" s="268"/>
      <c r="B492" s="221"/>
      <c r="C492" s="221"/>
      <c r="D492" s="222"/>
      <c r="E492" s="221"/>
      <c r="F492" s="221"/>
      <c r="G492" s="223"/>
      <c r="H492" s="224"/>
      <c r="I492" s="225"/>
      <c r="J492" s="225"/>
      <c r="K492" s="225"/>
      <c r="L492" s="226"/>
      <c r="M492" s="226"/>
      <c r="N492" s="226"/>
      <c r="O492" s="226"/>
      <c r="P492" s="226"/>
      <c r="Q492" s="227"/>
      <c r="R492" s="228"/>
      <c r="S492" s="228"/>
      <c r="T492" s="228"/>
      <c r="U492" s="191">
        <f t="shared" si="494"/>
        <v>0</v>
      </c>
      <c r="V492" s="86"/>
      <c r="W492" s="45"/>
      <c r="X492" s="46"/>
      <c r="Y492" s="167">
        <f t="shared" si="495"/>
        <v>0</v>
      </c>
      <c r="Z492" s="167">
        <f t="shared" si="496"/>
        <v>0</v>
      </c>
      <c r="AA492" s="167">
        <f t="shared" si="497"/>
        <v>0</v>
      </c>
      <c r="AB492" s="167">
        <f t="shared" si="498"/>
        <v>0</v>
      </c>
      <c r="AC492" s="167">
        <f t="shared" si="499"/>
        <v>0</v>
      </c>
      <c r="AD492" s="167">
        <f t="shared" si="500"/>
        <v>0</v>
      </c>
      <c r="AF492" s="47">
        <f t="shared" si="501"/>
        <v>0</v>
      </c>
      <c r="AG492" s="202" t="str">
        <f t="shared" si="502"/>
        <v xml:space="preserve"> </v>
      </c>
      <c r="AH492" s="150"/>
      <c r="AI492" s="151"/>
      <c r="AJ492" s="151"/>
      <c r="AK492" s="151"/>
      <c r="AL492" s="151"/>
      <c r="AM492" s="151"/>
      <c r="AN492" s="151"/>
      <c r="AO492" s="151"/>
      <c r="AP492" s="151"/>
      <c r="AQ492" s="151"/>
      <c r="AR492" s="151"/>
      <c r="AS492" s="151"/>
      <c r="AT492" s="151"/>
      <c r="AU492" s="151"/>
      <c r="AV492" s="151"/>
      <c r="AW492" s="151"/>
      <c r="AX492" s="151"/>
      <c r="AY492" s="151"/>
      <c r="AZ492" s="151"/>
      <c r="BA492" s="151"/>
      <c r="BB492" s="151"/>
      <c r="BC492" s="151"/>
      <c r="BD492" s="151"/>
      <c r="BE492" s="151"/>
      <c r="BF492" s="151"/>
      <c r="BG492" s="151"/>
      <c r="BH492" s="151"/>
      <c r="BI492" s="151"/>
      <c r="BJ492" s="151"/>
      <c r="BK492" s="151"/>
      <c r="BL492" s="151"/>
      <c r="BM492" s="151"/>
      <c r="BN492" s="151"/>
      <c r="BO492" s="151"/>
      <c r="BP492" s="151"/>
      <c r="BQ492" s="151"/>
      <c r="BR492" s="151"/>
      <c r="BS492" s="151"/>
      <c r="BT492" s="151"/>
      <c r="BU492" s="151"/>
      <c r="BV492" s="151"/>
      <c r="BW492" s="151"/>
      <c r="BX492" s="151"/>
      <c r="BY492" s="151"/>
      <c r="BZ492" s="151"/>
      <c r="CA492" s="151"/>
      <c r="CB492" s="151"/>
      <c r="CC492" s="151"/>
      <c r="CD492" s="151"/>
      <c r="CE492" s="151"/>
      <c r="CF492" s="151"/>
      <c r="CG492" s="151"/>
      <c r="CH492" s="151"/>
      <c r="CI492" s="151"/>
      <c r="CJ492" s="151"/>
      <c r="CK492" s="151"/>
      <c r="CL492" s="151"/>
      <c r="CM492" s="151"/>
      <c r="CN492" s="151"/>
      <c r="CO492" s="151"/>
      <c r="CP492" s="151"/>
      <c r="CQ492" s="151"/>
      <c r="CR492" s="151"/>
      <c r="CS492" s="151"/>
      <c r="CT492" s="151"/>
      <c r="CU492" s="151"/>
      <c r="CV492" s="151"/>
      <c r="CW492" s="151"/>
      <c r="CX492" s="151"/>
      <c r="CY492" s="151"/>
      <c r="CZ492" s="151"/>
      <c r="DA492" s="151"/>
      <c r="DB492" s="151"/>
      <c r="DC492" s="151"/>
      <c r="DD492" s="151"/>
      <c r="DE492" s="151"/>
      <c r="DF492" s="151"/>
      <c r="DG492" s="151"/>
      <c r="DH492" s="151"/>
      <c r="DI492" s="151"/>
      <c r="DJ492" s="151"/>
      <c r="DK492" s="151"/>
      <c r="DL492" s="151"/>
      <c r="DM492" s="151"/>
      <c r="DN492" s="151"/>
      <c r="DO492" s="151"/>
      <c r="DP492" s="151"/>
      <c r="DQ492" s="151"/>
      <c r="DR492" s="151"/>
      <c r="DS492" s="151"/>
      <c r="DT492" s="151"/>
      <c r="DU492" s="151"/>
      <c r="DV492" s="151"/>
      <c r="DW492" s="151"/>
      <c r="DX492" s="151"/>
      <c r="DY492" s="151"/>
      <c r="DZ492" s="151"/>
      <c r="EA492" s="151"/>
      <c r="EB492" s="151"/>
      <c r="EC492" s="151"/>
      <c r="ED492" s="151"/>
      <c r="EE492" s="151"/>
      <c r="EF492" s="151"/>
      <c r="EG492" s="151"/>
      <c r="EH492" s="151"/>
      <c r="EI492" s="151"/>
      <c r="EJ492" s="151"/>
      <c r="EK492" s="151"/>
      <c r="EL492" s="151"/>
      <c r="EM492" s="151"/>
      <c r="EN492" s="151"/>
      <c r="EO492" s="151"/>
      <c r="EP492" s="151"/>
      <c r="EQ492" s="151"/>
      <c r="ER492" s="151"/>
      <c r="ES492" s="151"/>
      <c r="ET492" s="151"/>
      <c r="EU492" s="151"/>
      <c r="EV492" s="151"/>
      <c r="EW492" s="151"/>
      <c r="EX492" s="151"/>
      <c r="EY492" s="151"/>
      <c r="EZ492" s="151"/>
      <c r="FA492" s="151"/>
      <c r="FB492" s="151"/>
      <c r="FC492" s="151"/>
      <c r="FD492" s="151"/>
      <c r="FE492" s="151"/>
      <c r="FF492" s="151"/>
      <c r="FG492" s="151"/>
      <c r="FH492" s="151"/>
      <c r="FI492" s="151"/>
      <c r="FJ492" s="151"/>
      <c r="FK492" s="151"/>
      <c r="FL492" s="151"/>
      <c r="FM492" s="151"/>
      <c r="FN492" s="151"/>
      <c r="FO492" s="151"/>
      <c r="FP492" s="151"/>
      <c r="FQ492" s="151"/>
      <c r="FR492" s="151"/>
      <c r="FS492" s="151"/>
      <c r="FT492" s="151"/>
      <c r="FU492" s="151"/>
      <c r="FV492" s="151"/>
      <c r="FW492" s="151"/>
      <c r="FX492" s="151"/>
      <c r="FY492" s="151"/>
      <c r="FZ492" s="151"/>
      <c r="GA492" s="151"/>
      <c r="GB492" s="151"/>
      <c r="GC492" s="151"/>
      <c r="GD492" s="151"/>
      <c r="GE492" s="151"/>
      <c r="GF492" s="151"/>
      <c r="GG492" s="152"/>
    </row>
    <row r="493" spans="1:189" x14ac:dyDescent="0.35">
      <c r="A493" s="268"/>
      <c r="B493" s="221"/>
      <c r="C493" s="221"/>
      <c r="D493" s="222"/>
      <c r="E493" s="221"/>
      <c r="F493" s="221"/>
      <c r="G493" s="223"/>
      <c r="H493" s="224"/>
      <c r="I493" s="225"/>
      <c r="J493" s="225"/>
      <c r="K493" s="225"/>
      <c r="L493" s="226"/>
      <c r="M493" s="226"/>
      <c r="N493" s="226"/>
      <c r="O493" s="226"/>
      <c r="P493" s="226"/>
      <c r="Q493" s="227"/>
      <c r="R493" s="228"/>
      <c r="S493" s="228"/>
      <c r="T493" s="228"/>
      <c r="U493" s="191">
        <f t="shared" si="494"/>
        <v>0</v>
      </c>
      <c r="V493" s="86"/>
      <c r="W493" s="45"/>
      <c r="X493" s="46"/>
      <c r="Y493" s="167">
        <f t="shared" si="495"/>
        <v>0</v>
      </c>
      <c r="Z493" s="167">
        <f t="shared" si="496"/>
        <v>0</v>
      </c>
      <c r="AA493" s="167">
        <f t="shared" si="497"/>
        <v>0</v>
      </c>
      <c r="AB493" s="167">
        <f t="shared" si="498"/>
        <v>0</v>
      </c>
      <c r="AC493" s="167">
        <f t="shared" si="499"/>
        <v>0</v>
      </c>
      <c r="AD493" s="167">
        <f t="shared" si="500"/>
        <v>0</v>
      </c>
      <c r="AF493" s="47">
        <f t="shared" si="501"/>
        <v>0</v>
      </c>
      <c r="AG493" s="202" t="str">
        <f t="shared" si="502"/>
        <v xml:space="preserve"> </v>
      </c>
      <c r="AH493" s="150"/>
      <c r="AI493" s="151"/>
      <c r="AJ493" s="151"/>
      <c r="AK493" s="151"/>
      <c r="AL493" s="151"/>
      <c r="AM493" s="151"/>
      <c r="AN493" s="151"/>
      <c r="AO493" s="151"/>
      <c r="AP493" s="151"/>
      <c r="AQ493" s="151"/>
      <c r="AR493" s="151"/>
      <c r="AS493" s="151"/>
      <c r="AT493" s="151"/>
      <c r="AU493" s="151"/>
      <c r="AV493" s="151"/>
      <c r="AW493" s="151"/>
      <c r="AX493" s="151"/>
      <c r="AY493" s="151"/>
      <c r="AZ493" s="151"/>
      <c r="BA493" s="151"/>
      <c r="BB493" s="151"/>
      <c r="BC493" s="151"/>
      <c r="BD493" s="151"/>
      <c r="BE493" s="151"/>
      <c r="BF493" s="151"/>
      <c r="BG493" s="151"/>
      <c r="BH493" s="151"/>
      <c r="BI493" s="151"/>
      <c r="BJ493" s="151"/>
      <c r="BK493" s="151"/>
      <c r="BL493" s="151"/>
      <c r="BM493" s="151"/>
      <c r="BN493" s="151"/>
      <c r="BO493" s="151"/>
      <c r="BP493" s="151"/>
      <c r="BQ493" s="151"/>
      <c r="BR493" s="151"/>
      <c r="BS493" s="151"/>
      <c r="BT493" s="151"/>
      <c r="BU493" s="151"/>
      <c r="BV493" s="151"/>
      <c r="BW493" s="151"/>
      <c r="BX493" s="151"/>
      <c r="BY493" s="151"/>
      <c r="BZ493" s="151"/>
      <c r="CA493" s="151"/>
      <c r="CB493" s="151"/>
      <c r="CC493" s="151"/>
      <c r="CD493" s="151"/>
      <c r="CE493" s="151"/>
      <c r="CF493" s="151"/>
      <c r="CG493" s="151"/>
      <c r="CH493" s="151"/>
      <c r="CI493" s="151"/>
      <c r="CJ493" s="151"/>
      <c r="CK493" s="151"/>
      <c r="CL493" s="151"/>
      <c r="CM493" s="151"/>
      <c r="CN493" s="151"/>
      <c r="CO493" s="151"/>
      <c r="CP493" s="151"/>
      <c r="CQ493" s="151"/>
      <c r="CR493" s="151"/>
      <c r="CS493" s="151"/>
      <c r="CT493" s="151"/>
      <c r="CU493" s="151"/>
      <c r="CV493" s="151"/>
      <c r="CW493" s="151"/>
      <c r="CX493" s="151"/>
      <c r="CY493" s="151"/>
      <c r="CZ493" s="151"/>
      <c r="DA493" s="151"/>
      <c r="DB493" s="151"/>
      <c r="DC493" s="151"/>
      <c r="DD493" s="151"/>
      <c r="DE493" s="151"/>
      <c r="DF493" s="151"/>
      <c r="DG493" s="151"/>
      <c r="DH493" s="151"/>
      <c r="DI493" s="151"/>
      <c r="DJ493" s="151"/>
      <c r="DK493" s="151"/>
      <c r="DL493" s="151"/>
      <c r="DM493" s="151"/>
      <c r="DN493" s="151"/>
      <c r="DO493" s="151"/>
      <c r="DP493" s="151"/>
      <c r="DQ493" s="151"/>
      <c r="DR493" s="151"/>
      <c r="DS493" s="151"/>
      <c r="DT493" s="151"/>
      <c r="DU493" s="151"/>
      <c r="DV493" s="151"/>
      <c r="DW493" s="151"/>
      <c r="DX493" s="151"/>
      <c r="DY493" s="151"/>
      <c r="DZ493" s="151"/>
      <c r="EA493" s="151"/>
      <c r="EB493" s="151"/>
      <c r="EC493" s="151"/>
      <c r="ED493" s="151"/>
      <c r="EE493" s="151"/>
      <c r="EF493" s="151"/>
      <c r="EG493" s="151"/>
      <c r="EH493" s="151"/>
      <c r="EI493" s="151"/>
      <c r="EJ493" s="151"/>
      <c r="EK493" s="151"/>
      <c r="EL493" s="151"/>
      <c r="EM493" s="151"/>
      <c r="EN493" s="151"/>
      <c r="EO493" s="151"/>
      <c r="EP493" s="151"/>
      <c r="EQ493" s="151"/>
      <c r="ER493" s="151"/>
      <c r="ES493" s="151"/>
      <c r="ET493" s="151"/>
      <c r="EU493" s="151"/>
      <c r="EV493" s="151"/>
      <c r="EW493" s="151"/>
      <c r="EX493" s="151"/>
      <c r="EY493" s="151"/>
      <c r="EZ493" s="151"/>
      <c r="FA493" s="151"/>
      <c r="FB493" s="151"/>
      <c r="FC493" s="151"/>
      <c r="FD493" s="151"/>
      <c r="FE493" s="151"/>
      <c r="FF493" s="151"/>
      <c r="FG493" s="151"/>
      <c r="FH493" s="151"/>
      <c r="FI493" s="151"/>
      <c r="FJ493" s="151"/>
      <c r="FK493" s="151"/>
      <c r="FL493" s="151"/>
      <c r="FM493" s="151"/>
      <c r="FN493" s="151"/>
      <c r="FO493" s="151"/>
      <c r="FP493" s="151"/>
      <c r="FQ493" s="151"/>
      <c r="FR493" s="151"/>
      <c r="FS493" s="151"/>
      <c r="FT493" s="151"/>
      <c r="FU493" s="151"/>
      <c r="FV493" s="151"/>
      <c r="FW493" s="151"/>
      <c r="FX493" s="151"/>
      <c r="FY493" s="151"/>
      <c r="FZ493" s="151"/>
      <c r="GA493" s="151"/>
      <c r="GB493" s="151"/>
      <c r="GC493" s="151"/>
      <c r="GD493" s="151"/>
      <c r="GE493" s="151"/>
      <c r="GF493" s="151"/>
      <c r="GG493" s="152"/>
    </row>
    <row r="494" spans="1:189" x14ac:dyDescent="0.35">
      <c r="A494" s="268"/>
      <c r="B494" s="221"/>
      <c r="C494" s="221"/>
      <c r="D494" s="222"/>
      <c r="E494" s="221"/>
      <c r="F494" s="221"/>
      <c r="G494" s="223"/>
      <c r="H494" s="224"/>
      <c r="I494" s="225"/>
      <c r="J494" s="225"/>
      <c r="K494" s="225"/>
      <c r="L494" s="226"/>
      <c r="M494" s="226"/>
      <c r="N494" s="226"/>
      <c r="O494" s="226"/>
      <c r="P494" s="226"/>
      <c r="Q494" s="227"/>
      <c r="R494" s="228"/>
      <c r="S494" s="228"/>
      <c r="T494" s="228"/>
      <c r="U494" s="191">
        <f t="shared" si="494"/>
        <v>0</v>
      </c>
      <c r="V494" s="86"/>
      <c r="W494" s="45"/>
      <c r="X494" s="46"/>
      <c r="Y494" s="167">
        <f t="shared" si="495"/>
        <v>0</v>
      </c>
      <c r="Z494" s="167">
        <f t="shared" si="496"/>
        <v>0</v>
      </c>
      <c r="AA494" s="167">
        <f t="shared" si="497"/>
        <v>0</v>
      </c>
      <c r="AB494" s="167">
        <f t="shared" si="498"/>
        <v>0</v>
      </c>
      <c r="AC494" s="167">
        <f t="shared" si="499"/>
        <v>0</v>
      </c>
      <c r="AD494" s="167">
        <f t="shared" si="500"/>
        <v>0</v>
      </c>
      <c r="AF494" s="47">
        <f t="shared" si="501"/>
        <v>0</v>
      </c>
      <c r="AG494" s="202" t="str">
        <f t="shared" si="502"/>
        <v xml:space="preserve"> </v>
      </c>
      <c r="AH494" s="150"/>
      <c r="AI494" s="151"/>
      <c r="AJ494" s="151"/>
      <c r="AK494" s="151"/>
      <c r="AL494" s="151"/>
      <c r="AM494" s="151"/>
      <c r="AN494" s="151"/>
      <c r="AO494" s="151"/>
      <c r="AP494" s="151"/>
      <c r="AQ494" s="151"/>
      <c r="AR494" s="151"/>
      <c r="AS494" s="151"/>
      <c r="AT494" s="151"/>
      <c r="AU494" s="151"/>
      <c r="AV494" s="151"/>
      <c r="AW494" s="151"/>
      <c r="AX494" s="151"/>
      <c r="AY494" s="151"/>
      <c r="AZ494" s="151"/>
      <c r="BA494" s="151"/>
      <c r="BB494" s="151"/>
      <c r="BC494" s="151"/>
      <c r="BD494" s="151"/>
      <c r="BE494" s="151"/>
      <c r="BF494" s="151"/>
      <c r="BG494" s="151"/>
      <c r="BH494" s="151"/>
      <c r="BI494" s="151"/>
      <c r="BJ494" s="151"/>
      <c r="BK494" s="151"/>
      <c r="BL494" s="151"/>
      <c r="BM494" s="151"/>
      <c r="BN494" s="151"/>
      <c r="BO494" s="151"/>
      <c r="BP494" s="151"/>
      <c r="BQ494" s="151"/>
      <c r="BR494" s="151"/>
      <c r="BS494" s="151"/>
      <c r="BT494" s="151"/>
      <c r="BU494" s="151"/>
      <c r="BV494" s="151"/>
      <c r="BW494" s="151"/>
      <c r="BX494" s="151"/>
      <c r="BY494" s="151"/>
      <c r="BZ494" s="151"/>
      <c r="CA494" s="151"/>
      <c r="CB494" s="151"/>
      <c r="CC494" s="151"/>
      <c r="CD494" s="151"/>
      <c r="CE494" s="151"/>
      <c r="CF494" s="151"/>
      <c r="CG494" s="151"/>
      <c r="CH494" s="151"/>
      <c r="CI494" s="151"/>
      <c r="CJ494" s="151"/>
      <c r="CK494" s="151"/>
      <c r="CL494" s="151"/>
      <c r="CM494" s="151"/>
      <c r="CN494" s="151"/>
      <c r="CO494" s="151"/>
      <c r="CP494" s="151"/>
      <c r="CQ494" s="151"/>
      <c r="CR494" s="151"/>
      <c r="CS494" s="151"/>
      <c r="CT494" s="151"/>
      <c r="CU494" s="151"/>
      <c r="CV494" s="151"/>
      <c r="CW494" s="151"/>
      <c r="CX494" s="151"/>
      <c r="CY494" s="151"/>
      <c r="CZ494" s="151"/>
      <c r="DA494" s="151"/>
      <c r="DB494" s="151"/>
      <c r="DC494" s="151"/>
      <c r="DD494" s="151"/>
      <c r="DE494" s="151"/>
      <c r="DF494" s="151"/>
      <c r="DG494" s="151"/>
      <c r="DH494" s="151"/>
      <c r="DI494" s="151"/>
      <c r="DJ494" s="151"/>
      <c r="DK494" s="151"/>
      <c r="DL494" s="151"/>
      <c r="DM494" s="151"/>
      <c r="DN494" s="151"/>
      <c r="DO494" s="151"/>
      <c r="DP494" s="151"/>
      <c r="DQ494" s="151"/>
      <c r="DR494" s="151"/>
      <c r="DS494" s="151"/>
      <c r="DT494" s="151"/>
      <c r="DU494" s="151"/>
      <c r="DV494" s="151"/>
      <c r="DW494" s="151"/>
      <c r="DX494" s="151"/>
      <c r="DY494" s="151"/>
      <c r="DZ494" s="151"/>
      <c r="EA494" s="151"/>
      <c r="EB494" s="151"/>
      <c r="EC494" s="151"/>
      <c r="ED494" s="151"/>
      <c r="EE494" s="151"/>
      <c r="EF494" s="151"/>
      <c r="EG494" s="151"/>
      <c r="EH494" s="151"/>
      <c r="EI494" s="151"/>
      <c r="EJ494" s="151"/>
      <c r="EK494" s="151"/>
      <c r="EL494" s="151"/>
      <c r="EM494" s="151"/>
      <c r="EN494" s="151"/>
      <c r="EO494" s="151"/>
      <c r="EP494" s="151"/>
      <c r="EQ494" s="151"/>
      <c r="ER494" s="151"/>
      <c r="ES494" s="151"/>
      <c r="ET494" s="151"/>
      <c r="EU494" s="151"/>
      <c r="EV494" s="151"/>
      <c r="EW494" s="151"/>
      <c r="EX494" s="151"/>
      <c r="EY494" s="151"/>
      <c r="EZ494" s="151"/>
      <c r="FA494" s="151"/>
      <c r="FB494" s="151"/>
      <c r="FC494" s="151"/>
      <c r="FD494" s="151"/>
      <c r="FE494" s="151"/>
      <c r="FF494" s="151"/>
      <c r="FG494" s="151"/>
      <c r="FH494" s="151"/>
      <c r="FI494" s="151"/>
      <c r="FJ494" s="151"/>
      <c r="FK494" s="151"/>
      <c r="FL494" s="151"/>
      <c r="FM494" s="151"/>
      <c r="FN494" s="151"/>
      <c r="FO494" s="151"/>
      <c r="FP494" s="151"/>
      <c r="FQ494" s="151"/>
      <c r="FR494" s="151"/>
      <c r="FS494" s="151"/>
      <c r="FT494" s="151"/>
      <c r="FU494" s="151"/>
      <c r="FV494" s="151"/>
      <c r="FW494" s="151"/>
      <c r="FX494" s="151"/>
      <c r="FY494" s="151"/>
      <c r="FZ494" s="151"/>
      <c r="GA494" s="151"/>
      <c r="GB494" s="151"/>
      <c r="GC494" s="151"/>
      <c r="GD494" s="151"/>
      <c r="GE494" s="151"/>
      <c r="GF494" s="151"/>
      <c r="GG494" s="152"/>
    </row>
    <row r="495" spans="1:189" x14ac:dyDescent="0.35">
      <c r="A495" s="268"/>
      <c r="B495" s="221"/>
      <c r="C495" s="221"/>
      <c r="D495" s="222"/>
      <c r="E495" s="221"/>
      <c r="F495" s="221"/>
      <c r="G495" s="223"/>
      <c r="H495" s="224"/>
      <c r="I495" s="225"/>
      <c r="J495" s="225"/>
      <c r="K495" s="225"/>
      <c r="L495" s="226"/>
      <c r="M495" s="226"/>
      <c r="N495" s="226"/>
      <c r="O495" s="226"/>
      <c r="P495" s="226"/>
      <c r="Q495" s="227"/>
      <c r="R495" s="228"/>
      <c r="S495" s="228"/>
      <c r="T495" s="228"/>
      <c r="U495" s="191">
        <f t="shared" si="494"/>
        <v>0</v>
      </c>
      <c r="V495" s="86"/>
      <c r="W495" s="45"/>
      <c r="X495" s="46"/>
      <c r="Y495" s="167">
        <f t="shared" si="495"/>
        <v>0</v>
      </c>
      <c r="Z495" s="167">
        <f t="shared" si="496"/>
        <v>0</v>
      </c>
      <c r="AA495" s="167">
        <f t="shared" si="497"/>
        <v>0</v>
      </c>
      <c r="AB495" s="167">
        <f t="shared" si="498"/>
        <v>0</v>
      </c>
      <c r="AC495" s="167">
        <f t="shared" si="499"/>
        <v>0</v>
      </c>
      <c r="AD495" s="167">
        <f t="shared" si="500"/>
        <v>0</v>
      </c>
      <c r="AF495" s="47">
        <f t="shared" si="501"/>
        <v>0</v>
      </c>
      <c r="AG495" s="202" t="str">
        <f t="shared" si="502"/>
        <v xml:space="preserve"> </v>
      </c>
      <c r="AH495" s="147"/>
      <c r="AI495" s="148"/>
      <c r="AJ495" s="148"/>
      <c r="AK495" s="148"/>
      <c r="AL495" s="148"/>
      <c r="AM495" s="148"/>
      <c r="AN495" s="148"/>
      <c r="AO495" s="148"/>
      <c r="AP495" s="148"/>
      <c r="AQ495" s="148"/>
      <c r="AR495" s="148"/>
      <c r="AS495" s="148"/>
      <c r="AT495" s="148"/>
      <c r="AU495" s="148"/>
      <c r="AV495" s="148"/>
      <c r="AW495" s="148"/>
      <c r="AX495" s="148"/>
      <c r="AY495" s="148"/>
      <c r="AZ495" s="148"/>
      <c r="BA495" s="148"/>
      <c r="BB495" s="148"/>
      <c r="BC495" s="148"/>
      <c r="BD495" s="148"/>
      <c r="BE495" s="148"/>
      <c r="BF495" s="148"/>
      <c r="BG495" s="148"/>
      <c r="BH495" s="148"/>
      <c r="BI495" s="148"/>
      <c r="BJ495" s="148"/>
      <c r="BK495" s="148"/>
      <c r="BL495" s="148"/>
      <c r="BM495" s="148"/>
      <c r="BN495" s="148"/>
      <c r="BO495" s="148"/>
      <c r="BP495" s="148"/>
      <c r="BQ495" s="148"/>
      <c r="BR495" s="148"/>
      <c r="BS495" s="148"/>
      <c r="BT495" s="148"/>
      <c r="BU495" s="148"/>
      <c r="BV495" s="148"/>
      <c r="BW495" s="148"/>
      <c r="BX495" s="148"/>
      <c r="BY495" s="148"/>
      <c r="BZ495" s="148"/>
      <c r="CA495" s="148"/>
      <c r="CB495" s="148"/>
      <c r="CC495" s="148"/>
      <c r="CD495" s="148"/>
      <c r="CE495" s="148"/>
      <c r="CF495" s="148"/>
      <c r="CG495" s="148"/>
      <c r="CH495" s="148"/>
      <c r="CI495" s="148"/>
      <c r="CJ495" s="148"/>
      <c r="CK495" s="148"/>
      <c r="CL495" s="148"/>
      <c r="CM495" s="148"/>
      <c r="CN495" s="148"/>
      <c r="CO495" s="148"/>
      <c r="CP495" s="148"/>
      <c r="CQ495" s="148"/>
      <c r="CR495" s="148"/>
      <c r="CS495" s="148"/>
      <c r="CT495" s="148"/>
      <c r="CU495" s="148"/>
      <c r="CV495" s="148"/>
      <c r="CW495" s="148"/>
      <c r="CX495" s="148"/>
      <c r="CY495" s="148"/>
      <c r="CZ495" s="148"/>
      <c r="DA495" s="148"/>
      <c r="DB495" s="148"/>
      <c r="DC495" s="148"/>
      <c r="DD495" s="148"/>
      <c r="DE495" s="148"/>
      <c r="DF495" s="148"/>
      <c r="DG495" s="148"/>
      <c r="DH495" s="148"/>
      <c r="DI495" s="148"/>
      <c r="DJ495" s="148"/>
      <c r="DK495" s="148"/>
      <c r="DL495" s="148"/>
      <c r="DM495" s="148"/>
      <c r="DN495" s="148"/>
      <c r="DO495" s="148"/>
      <c r="DP495" s="148"/>
      <c r="DQ495" s="148"/>
      <c r="DR495" s="148"/>
      <c r="DS495" s="148"/>
      <c r="DT495" s="148"/>
      <c r="DU495" s="148"/>
      <c r="DV495" s="148"/>
      <c r="DW495" s="148"/>
      <c r="DX495" s="148"/>
      <c r="DY495" s="148"/>
      <c r="DZ495" s="148"/>
      <c r="EA495" s="148"/>
      <c r="EB495" s="148"/>
      <c r="EC495" s="148"/>
      <c r="ED495" s="148"/>
      <c r="EE495" s="148"/>
      <c r="EF495" s="148"/>
      <c r="EG495" s="148"/>
      <c r="EH495" s="148"/>
      <c r="EI495" s="148"/>
      <c r="EJ495" s="148"/>
      <c r="EK495" s="148"/>
      <c r="EL495" s="148"/>
      <c r="EM495" s="148"/>
      <c r="EN495" s="148"/>
      <c r="EO495" s="148"/>
      <c r="EP495" s="148"/>
      <c r="EQ495" s="148"/>
      <c r="ER495" s="148"/>
      <c r="ES495" s="148"/>
      <c r="ET495" s="148"/>
      <c r="EU495" s="148"/>
      <c r="EV495" s="148"/>
      <c r="EW495" s="148"/>
      <c r="EX495" s="148"/>
      <c r="EY495" s="148"/>
      <c r="EZ495" s="148"/>
      <c r="FA495" s="148"/>
      <c r="FB495" s="148"/>
      <c r="FC495" s="148"/>
      <c r="FD495" s="148"/>
      <c r="FE495" s="148"/>
      <c r="FF495" s="148"/>
      <c r="FG495" s="148"/>
      <c r="FH495" s="148"/>
      <c r="FI495" s="148"/>
      <c r="FJ495" s="148"/>
      <c r="FK495" s="148"/>
      <c r="FL495" s="148"/>
      <c r="FM495" s="148"/>
      <c r="FN495" s="148"/>
      <c r="FO495" s="148"/>
      <c r="FP495" s="148"/>
      <c r="FQ495" s="148"/>
      <c r="FR495" s="148"/>
      <c r="FS495" s="148"/>
      <c r="FT495" s="148"/>
      <c r="FU495" s="148"/>
      <c r="FV495" s="148"/>
      <c r="FW495" s="148"/>
      <c r="FX495" s="148"/>
      <c r="FY495" s="148"/>
      <c r="FZ495" s="148"/>
      <c r="GA495" s="148"/>
      <c r="GB495" s="148"/>
      <c r="GC495" s="148"/>
      <c r="GD495" s="148"/>
      <c r="GE495" s="148"/>
      <c r="GF495" s="148"/>
      <c r="GG495" s="149"/>
    </row>
    <row r="496" spans="1:189" x14ac:dyDescent="0.35">
      <c r="A496" s="268"/>
      <c r="B496" s="221"/>
      <c r="C496" s="221"/>
      <c r="D496" s="222"/>
      <c r="E496" s="221"/>
      <c r="F496" s="221"/>
      <c r="G496" s="223"/>
      <c r="H496" s="224"/>
      <c r="I496" s="225"/>
      <c r="J496" s="225"/>
      <c r="K496" s="225"/>
      <c r="L496" s="226"/>
      <c r="M496" s="226"/>
      <c r="N496" s="226"/>
      <c r="O496" s="226"/>
      <c r="P496" s="226"/>
      <c r="Q496" s="227"/>
      <c r="R496" s="228"/>
      <c r="S496" s="228"/>
      <c r="T496" s="228"/>
      <c r="U496" s="191">
        <f t="shared" si="494"/>
        <v>0</v>
      </c>
      <c r="V496" s="86"/>
      <c r="W496" s="45"/>
      <c r="X496" s="46"/>
      <c r="Y496" s="167">
        <f t="shared" si="495"/>
        <v>0</v>
      </c>
      <c r="Z496" s="167">
        <f t="shared" si="496"/>
        <v>0</v>
      </c>
      <c r="AA496" s="167">
        <f t="shared" si="497"/>
        <v>0</v>
      </c>
      <c r="AB496" s="167">
        <f t="shared" si="498"/>
        <v>0</v>
      </c>
      <c r="AC496" s="167">
        <f t="shared" si="499"/>
        <v>0</v>
      </c>
      <c r="AD496" s="167">
        <f t="shared" si="500"/>
        <v>0</v>
      </c>
      <c r="AF496" s="47">
        <f t="shared" si="501"/>
        <v>0</v>
      </c>
      <c r="AG496" s="202" t="str">
        <f t="shared" si="502"/>
        <v xml:space="preserve"> </v>
      </c>
      <c r="AH496" s="150"/>
      <c r="AI496" s="151"/>
      <c r="AJ496" s="151"/>
      <c r="AK496" s="151"/>
      <c r="AL496" s="151"/>
      <c r="AM496" s="151"/>
      <c r="AN496" s="151"/>
      <c r="AO496" s="151"/>
      <c r="AP496" s="151"/>
      <c r="AQ496" s="151"/>
      <c r="AR496" s="151"/>
      <c r="AS496" s="151"/>
      <c r="AT496" s="151"/>
      <c r="AU496" s="151"/>
      <c r="AV496" s="151"/>
      <c r="AW496" s="151"/>
      <c r="AX496" s="151"/>
      <c r="AY496" s="151"/>
      <c r="AZ496" s="151"/>
      <c r="BA496" s="151"/>
      <c r="BB496" s="151"/>
      <c r="BC496" s="151"/>
      <c r="BD496" s="151"/>
      <c r="BE496" s="151"/>
      <c r="BF496" s="151"/>
      <c r="BG496" s="151"/>
      <c r="BH496" s="151"/>
      <c r="BI496" s="151"/>
      <c r="BJ496" s="151"/>
      <c r="BK496" s="151"/>
      <c r="BL496" s="151"/>
      <c r="BM496" s="151"/>
      <c r="BN496" s="151"/>
      <c r="BO496" s="151"/>
      <c r="BP496" s="151"/>
      <c r="BQ496" s="151"/>
      <c r="BR496" s="151"/>
      <c r="BS496" s="151"/>
      <c r="BT496" s="151"/>
      <c r="BU496" s="151"/>
      <c r="BV496" s="151"/>
      <c r="BW496" s="151"/>
      <c r="BX496" s="151"/>
      <c r="BY496" s="151"/>
      <c r="BZ496" s="151"/>
      <c r="CA496" s="151"/>
      <c r="CB496" s="151"/>
      <c r="CC496" s="151"/>
      <c r="CD496" s="151"/>
      <c r="CE496" s="151"/>
      <c r="CF496" s="151"/>
      <c r="CG496" s="151"/>
      <c r="CH496" s="151"/>
      <c r="CI496" s="151"/>
      <c r="CJ496" s="151"/>
      <c r="CK496" s="151"/>
      <c r="CL496" s="151"/>
      <c r="CM496" s="151"/>
      <c r="CN496" s="151"/>
      <c r="CO496" s="151"/>
      <c r="CP496" s="151"/>
      <c r="CQ496" s="151"/>
      <c r="CR496" s="151"/>
      <c r="CS496" s="151"/>
      <c r="CT496" s="151"/>
      <c r="CU496" s="151"/>
      <c r="CV496" s="151"/>
      <c r="CW496" s="151"/>
      <c r="CX496" s="151"/>
      <c r="CY496" s="151"/>
      <c r="CZ496" s="151"/>
      <c r="DA496" s="151"/>
      <c r="DB496" s="151"/>
      <c r="DC496" s="151"/>
      <c r="DD496" s="151"/>
      <c r="DE496" s="151"/>
      <c r="DF496" s="151"/>
      <c r="DG496" s="151"/>
      <c r="DH496" s="151"/>
      <c r="DI496" s="151"/>
      <c r="DJ496" s="151"/>
      <c r="DK496" s="151"/>
      <c r="DL496" s="151"/>
      <c r="DM496" s="151"/>
      <c r="DN496" s="151"/>
      <c r="DO496" s="151"/>
      <c r="DP496" s="151"/>
      <c r="DQ496" s="151"/>
      <c r="DR496" s="151"/>
      <c r="DS496" s="151"/>
      <c r="DT496" s="151"/>
      <c r="DU496" s="151"/>
      <c r="DV496" s="151"/>
      <c r="DW496" s="151"/>
      <c r="DX496" s="151"/>
      <c r="DY496" s="151"/>
      <c r="DZ496" s="151"/>
      <c r="EA496" s="151"/>
      <c r="EB496" s="151"/>
      <c r="EC496" s="151"/>
      <c r="ED496" s="151"/>
      <c r="EE496" s="151"/>
      <c r="EF496" s="151"/>
      <c r="EG496" s="151"/>
      <c r="EH496" s="151"/>
      <c r="EI496" s="151"/>
      <c r="EJ496" s="151"/>
      <c r="EK496" s="151"/>
      <c r="EL496" s="151"/>
      <c r="EM496" s="151"/>
      <c r="EN496" s="151"/>
      <c r="EO496" s="151"/>
      <c r="EP496" s="151"/>
      <c r="EQ496" s="151"/>
      <c r="ER496" s="151"/>
      <c r="ES496" s="151"/>
      <c r="ET496" s="151"/>
      <c r="EU496" s="151"/>
      <c r="EV496" s="151"/>
      <c r="EW496" s="151"/>
      <c r="EX496" s="151"/>
      <c r="EY496" s="151"/>
      <c r="EZ496" s="151"/>
      <c r="FA496" s="151"/>
      <c r="FB496" s="151"/>
      <c r="FC496" s="151"/>
      <c r="FD496" s="151"/>
      <c r="FE496" s="151"/>
      <c r="FF496" s="151"/>
      <c r="FG496" s="151"/>
      <c r="FH496" s="151"/>
      <c r="FI496" s="151"/>
      <c r="FJ496" s="151"/>
      <c r="FK496" s="151"/>
      <c r="FL496" s="151"/>
      <c r="FM496" s="151"/>
      <c r="FN496" s="151"/>
      <c r="FO496" s="151"/>
      <c r="FP496" s="151"/>
      <c r="FQ496" s="151"/>
      <c r="FR496" s="151"/>
      <c r="FS496" s="151"/>
      <c r="FT496" s="151"/>
      <c r="FU496" s="151"/>
      <c r="FV496" s="151"/>
      <c r="FW496" s="151"/>
      <c r="FX496" s="151"/>
      <c r="FY496" s="151"/>
      <c r="FZ496" s="151"/>
      <c r="GA496" s="151"/>
      <c r="GB496" s="151"/>
      <c r="GC496" s="151"/>
      <c r="GD496" s="151"/>
      <c r="GE496" s="151"/>
      <c r="GF496" s="151"/>
      <c r="GG496" s="152"/>
    </row>
    <row r="497" spans="1:189" x14ac:dyDescent="0.35">
      <c r="A497" s="268"/>
      <c r="B497" s="221"/>
      <c r="C497" s="221"/>
      <c r="D497" s="222"/>
      <c r="E497" s="221"/>
      <c r="F497" s="221"/>
      <c r="G497" s="223"/>
      <c r="H497" s="224"/>
      <c r="I497" s="225"/>
      <c r="J497" s="225"/>
      <c r="K497" s="225"/>
      <c r="L497" s="226"/>
      <c r="M497" s="226"/>
      <c r="N497" s="226"/>
      <c r="O497" s="226"/>
      <c r="P497" s="226"/>
      <c r="Q497" s="227"/>
      <c r="R497" s="228"/>
      <c r="S497" s="228"/>
      <c r="T497" s="228"/>
      <c r="U497" s="191">
        <f t="shared" si="494"/>
        <v>0</v>
      </c>
      <c r="V497" s="86"/>
      <c r="W497" s="45"/>
      <c r="X497" s="46"/>
      <c r="Y497" s="167">
        <f t="shared" si="495"/>
        <v>0</v>
      </c>
      <c r="Z497" s="167">
        <f t="shared" si="496"/>
        <v>0</v>
      </c>
      <c r="AA497" s="167">
        <f t="shared" si="497"/>
        <v>0</v>
      </c>
      <c r="AB497" s="167">
        <f t="shared" si="498"/>
        <v>0</v>
      </c>
      <c r="AC497" s="167">
        <f t="shared" si="499"/>
        <v>0</v>
      </c>
      <c r="AD497" s="167">
        <f t="shared" si="500"/>
        <v>0</v>
      </c>
      <c r="AF497" s="47">
        <f t="shared" si="501"/>
        <v>0</v>
      </c>
      <c r="AG497" s="202" t="str">
        <f t="shared" si="502"/>
        <v xml:space="preserve"> </v>
      </c>
      <c r="AH497" s="150"/>
      <c r="AI497" s="151"/>
      <c r="AJ497" s="151"/>
      <c r="AK497" s="151"/>
      <c r="AL497" s="151"/>
      <c r="AM497" s="151"/>
      <c r="AN497" s="151"/>
      <c r="AO497" s="151"/>
      <c r="AP497" s="151"/>
      <c r="AQ497" s="151"/>
      <c r="AR497" s="151"/>
      <c r="AS497" s="151"/>
      <c r="AT497" s="151"/>
      <c r="AU497" s="151"/>
      <c r="AV497" s="151"/>
      <c r="AW497" s="151"/>
      <c r="AX497" s="151"/>
      <c r="AY497" s="151"/>
      <c r="AZ497" s="151"/>
      <c r="BA497" s="151"/>
      <c r="BB497" s="151"/>
      <c r="BC497" s="151"/>
      <c r="BD497" s="151"/>
      <c r="BE497" s="151"/>
      <c r="BF497" s="151"/>
      <c r="BG497" s="151"/>
      <c r="BH497" s="151"/>
      <c r="BI497" s="151"/>
      <c r="BJ497" s="151"/>
      <c r="BK497" s="151"/>
      <c r="BL497" s="151"/>
      <c r="BM497" s="151"/>
      <c r="BN497" s="151"/>
      <c r="BO497" s="151"/>
      <c r="BP497" s="151"/>
      <c r="BQ497" s="151"/>
      <c r="BR497" s="151"/>
      <c r="BS497" s="151"/>
      <c r="BT497" s="151"/>
      <c r="BU497" s="151"/>
      <c r="BV497" s="151"/>
      <c r="BW497" s="151"/>
      <c r="BX497" s="151"/>
      <c r="BY497" s="151"/>
      <c r="BZ497" s="151"/>
      <c r="CA497" s="151"/>
      <c r="CB497" s="151"/>
      <c r="CC497" s="151"/>
      <c r="CD497" s="151"/>
      <c r="CE497" s="151"/>
      <c r="CF497" s="151"/>
      <c r="CG497" s="151"/>
      <c r="CH497" s="151"/>
      <c r="CI497" s="151"/>
      <c r="CJ497" s="151"/>
      <c r="CK497" s="151"/>
      <c r="CL497" s="151"/>
      <c r="CM497" s="151"/>
      <c r="CN497" s="151"/>
      <c r="CO497" s="151"/>
      <c r="CP497" s="151"/>
      <c r="CQ497" s="151"/>
      <c r="CR497" s="151"/>
      <c r="CS497" s="151"/>
      <c r="CT497" s="151"/>
      <c r="CU497" s="151"/>
      <c r="CV497" s="151"/>
      <c r="CW497" s="151"/>
      <c r="CX497" s="151"/>
      <c r="CY497" s="151"/>
      <c r="CZ497" s="151"/>
      <c r="DA497" s="151"/>
      <c r="DB497" s="151"/>
      <c r="DC497" s="151"/>
      <c r="DD497" s="151"/>
      <c r="DE497" s="151"/>
      <c r="DF497" s="151"/>
      <c r="DG497" s="151"/>
      <c r="DH497" s="151"/>
      <c r="DI497" s="151"/>
      <c r="DJ497" s="151"/>
      <c r="DK497" s="151"/>
      <c r="DL497" s="151"/>
      <c r="DM497" s="151"/>
      <c r="DN497" s="151"/>
      <c r="DO497" s="151"/>
      <c r="DP497" s="151"/>
      <c r="DQ497" s="151"/>
      <c r="DR497" s="151"/>
      <c r="DS497" s="151"/>
      <c r="DT497" s="151"/>
      <c r="DU497" s="151"/>
      <c r="DV497" s="151"/>
      <c r="DW497" s="151"/>
      <c r="DX497" s="151"/>
      <c r="DY497" s="151"/>
      <c r="DZ497" s="151"/>
      <c r="EA497" s="151"/>
      <c r="EB497" s="151"/>
      <c r="EC497" s="151"/>
      <c r="ED497" s="151"/>
      <c r="EE497" s="151"/>
      <c r="EF497" s="151"/>
      <c r="EG497" s="151"/>
      <c r="EH497" s="151"/>
      <c r="EI497" s="151"/>
      <c r="EJ497" s="151"/>
      <c r="EK497" s="151"/>
      <c r="EL497" s="151"/>
      <c r="EM497" s="151"/>
      <c r="EN497" s="151"/>
      <c r="EO497" s="151"/>
      <c r="EP497" s="151"/>
      <c r="EQ497" s="151"/>
      <c r="ER497" s="151"/>
      <c r="ES497" s="151"/>
      <c r="ET497" s="151"/>
      <c r="EU497" s="151"/>
      <c r="EV497" s="151"/>
      <c r="EW497" s="151"/>
      <c r="EX497" s="151"/>
      <c r="EY497" s="151"/>
      <c r="EZ497" s="151"/>
      <c r="FA497" s="151"/>
      <c r="FB497" s="151"/>
      <c r="FC497" s="151"/>
      <c r="FD497" s="151"/>
      <c r="FE497" s="151"/>
      <c r="FF497" s="151"/>
      <c r="FG497" s="151"/>
      <c r="FH497" s="151"/>
      <c r="FI497" s="151"/>
      <c r="FJ497" s="151"/>
      <c r="FK497" s="151"/>
      <c r="FL497" s="151"/>
      <c r="FM497" s="151"/>
      <c r="FN497" s="151"/>
      <c r="FO497" s="151"/>
      <c r="FP497" s="151"/>
      <c r="FQ497" s="151"/>
      <c r="FR497" s="151"/>
      <c r="FS497" s="151"/>
      <c r="FT497" s="151"/>
      <c r="FU497" s="151"/>
      <c r="FV497" s="151"/>
      <c r="FW497" s="151"/>
      <c r="FX497" s="151"/>
      <c r="FY497" s="151"/>
      <c r="FZ497" s="151"/>
      <c r="GA497" s="151"/>
      <c r="GB497" s="151"/>
      <c r="GC497" s="151"/>
      <c r="GD497" s="151"/>
      <c r="GE497" s="151"/>
      <c r="GF497" s="151"/>
      <c r="GG497" s="152"/>
    </row>
    <row r="498" spans="1:189" x14ac:dyDescent="0.35">
      <c r="A498" s="268"/>
      <c r="B498" s="221"/>
      <c r="C498" s="221"/>
      <c r="D498" s="222"/>
      <c r="E498" s="221"/>
      <c r="F498" s="221"/>
      <c r="G498" s="223"/>
      <c r="H498" s="224"/>
      <c r="I498" s="225"/>
      <c r="J498" s="225"/>
      <c r="K498" s="225"/>
      <c r="L498" s="226"/>
      <c r="M498" s="226"/>
      <c r="N498" s="226"/>
      <c r="O498" s="226"/>
      <c r="P498" s="226"/>
      <c r="Q498" s="227"/>
      <c r="R498" s="228"/>
      <c r="S498" s="228"/>
      <c r="T498" s="228"/>
      <c r="U498" s="191">
        <f t="shared" si="494"/>
        <v>0</v>
      </c>
      <c r="V498" s="86"/>
      <c r="W498" s="45"/>
      <c r="X498" s="46"/>
      <c r="Y498" s="167">
        <f t="shared" si="495"/>
        <v>0</v>
      </c>
      <c r="Z498" s="167">
        <f t="shared" si="496"/>
        <v>0</v>
      </c>
      <c r="AA498" s="167">
        <f t="shared" si="497"/>
        <v>0</v>
      </c>
      <c r="AB498" s="167">
        <f t="shared" si="498"/>
        <v>0</v>
      </c>
      <c r="AC498" s="167">
        <f t="shared" si="499"/>
        <v>0</v>
      </c>
      <c r="AD498" s="167">
        <f t="shared" si="500"/>
        <v>0</v>
      </c>
      <c r="AF498" s="47">
        <f t="shared" si="501"/>
        <v>0</v>
      </c>
      <c r="AG498" s="202" t="str">
        <f t="shared" si="502"/>
        <v xml:space="preserve"> </v>
      </c>
      <c r="AH498" s="150"/>
      <c r="AI498" s="151"/>
      <c r="AJ498" s="151"/>
      <c r="AK498" s="151"/>
      <c r="AL498" s="151"/>
      <c r="AM498" s="151"/>
      <c r="AN498" s="151"/>
      <c r="AO498" s="151"/>
      <c r="AP498" s="151"/>
      <c r="AQ498" s="151"/>
      <c r="AR498" s="151"/>
      <c r="AS498" s="151"/>
      <c r="AT498" s="151"/>
      <c r="AU498" s="151"/>
      <c r="AV498" s="151"/>
      <c r="AW498" s="151"/>
      <c r="AX498" s="151"/>
      <c r="AY498" s="151"/>
      <c r="AZ498" s="151"/>
      <c r="BA498" s="151"/>
      <c r="BB498" s="151"/>
      <c r="BC498" s="151"/>
      <c r="BD498" s="151"/>
      <c r="BE498" s="151"/>
      <c r="BF498" s="151"/>
      <c r="BG498" s="151"/>
      <c r="BH498" s="151"/>
      <c r="BI498" s="151"/>
      <c r="BJ498" s="151"/>
      <c r="BK498" s="151"/>
      <c r="BL498" s="151"/>
      <c r="BM498" s="151"/>
      <c r="BN498" s="151"/>
      <c r="BO498" s="151"/>
      <c r="BP498" s="151"/>
      <c r="BQ498" s="151"/>
      <c r="BR498" s="151"/>
      <c r="BS498" s="151"/>
      <c r="BT498" s="151"/>
      <c r="BU498" s="151"/>
      <c r="BV498" s="151"/>
      <c r="BW498" s="151"/>
      <c r="BX498" s="151"/>
      <c r="BY498" s="151"/>
      <c r="BZ498" s="151"/>
      <c r="CA498" s="151"/>
      <c r="CB498" s="151"/>
      <c r="CC498" s="151"/>
      <c r="CD498" s="151"/>
      <c r="CE498" s="151"/>
      <c r="CF498" s="151"/>
      <c r="CG498" s="151"/>
      <c r="CH498" s="151"/>
      <c r="CI498" s="151"/>
      <c r="CJ498" s="151"/>
      <c r="CK498" s="151"/>
      <c r="CL498" s="151"/>
      <c r="CM498" s="151"/>
      <c r="CN498" s="151"/>
      <c r="CO498" s="151"/>
      <c r="CP498" s="151"/>
      <c r="CQ498" s="151"/>
      <c r="CR498" s="151"/>
      <c r="CS498" s="151"/>
      <c r="CT498" s="151"/>
      <c r="CU498" s="151"/>
      <c r="CV498" s="151"/>
      <c r="CW498" s="151"/>
      <c r="CX498" s="151"/>
      <c r="CY498" s="151"/>
      <c r="CZ498" s="151"/>
      <c r="DA498" s="151"/>
      <c r="DB498" s="151"/>
      <c r="DC498" s="151"/>
      <c r="DD498" s="151"/>
      <c r="DE498" s="151"/>
      <c r="DF498" s="151"/>
      <c r="DG498" s="151"/>
      <c r="DH498" s="151"/>
      <c r="DI498" s="151"/>
      <c r="DJ498" s="151"/>
      <c r="DK498" s="151"/>
      <c r="DL498" s="151"/>
      <c r="DM498" s="151"/>
      <c r="DN498" s="151"/>
      <c r="DO498" s="151"/>
      <c r="DP498" s="151"/>
      <c r="DQ498" s="151"/>
      <c r="DR498" s="151"/>
      <c r="DS498" s="151"/>
      <c r="DT498" s="151"/>
      <c r="DU498" s="151"/>
      <c r="DV498" s="151"/>
      <c r="DW498" s="151"/>
      <c r="DX498" s="151"/>
      <c r="DY498" s="151"/>
      <c r="DZ498" s="151"/>
      <c r="EA498" s="151"/>
      <c r="EB498" s="151"/>
      <c r="EC498" s="151"/>
      <c r="ED498" s="151"/>
      <c r="EE498" s="151"/>
      <c r="EF498" s="151"/>
      <c r="EG498" s="151"/>
      <c r="EH498" s="151"/>
      <c r="EI498" s="151"/>
      <c r="EJ498" s="151"/>
      <c r="EK498" s="151"/>
      <c r="EL498" s="151"/>
      <c r="EM498" s="151"/>
      <c r="EN498" s="151"/>
      <c r="EO498" s="151"/>
      <c r="EP498" s="151"/>
      <c r="EQ498" s="151"/>
      <c r="ER498" s="151"/>
      <c r="ES498" s="151"/>
      <c r="ET498" s="151"/>
      <c r="EU498" s="151"/>
      <c r="EV498" s="151"/>
      <c r="EW498" s="151"/>
      <c r="EX498" s="151"/>
      <c r="EY498" s="151"/>
      <c r="EZ498" s="151"/>
      <c r="FA498" s="151"/>
      <c r="FB498" s="151"/>
      <c r="FC498" s="151"/>
      <c r="FD498" s="151"/>
      <c r="FE498" s="151"/>
      <c r="FF498" s="151"/>
      <c r="FG498" s="151"/>
      <c r="FH498" s="151"/>
      <c r="FI498" s="151"/>
      <c r="FJ498" s="151"/>
      <c r="FK498" s="151"/>
      <c r="FL498" s="151"/>
      <c r="FM498" s="151"/>
      <c r="FN498" s="151"/>
      <c r="FO498" s="151"/>
      <c r="FP498" s="151"/>
      <c r="FQ498" s="151"/>
      <c r="FR498" s="151"/>
      <c r="FS498" s="151"/>
      <c r="FT498" s="151"/>
      <c r="FU498" s="151"/>
      <c r="FV498" s="151"/>
      <c r="FW498" s="151"/>
      <c r="FX498" s="151"/>
      <c r="FY498" s="151"/>
      <c r="FZ498" s="151"/>
      <c r="GA498" s="151"/>
      <c r="GB498" s="151"/>
      <c r="GC498" s="151"/>
      <c r="GD498" s="151"/>
      <c r="GE498" s="151"/>
      <c r="GF498" s="151"/>
      <c r="GG498" s="152"/>
    </row>
    <row r="499" spans="1:189" x14ac:dyDescent="0.35">
      <c r="A499" s="268"/>
      <c r="B499" s="221"/>
      <c r="C499" s="221"/>
      <c r="D499" s="222"/>
      <c r="E499" s="221"/>
      <c r="F499" s="221"/>
      <c r="G499" s="223"/>
      <c r="H499" s="224"/>
      <c r="I499" s="225"/>
      <c r="J499" s="225"/>
      <c r="K499" s="225"/>
      <c r="L499" s="226"/>
      <c r="M499" s="226"/>
      <c r="N499" s="226"/>
      <c r="O499" s="226"/>
      <c r="P499" s="226"/>
      <c r="Q499" s="227"/>
      <c r="R499" s="228"/>
      <c r="S499" s="228"/>
      <c r="T499" s="228"/>
      <c r="U499" s="191">
        <f t="shared" si="494"/>
        <v>0</v>
      </c>
      <c r="V499" s="86"/>
      <c r="W499" s="45"/>
      <c r="X499" s="46"/>
      <c r="Y499" s="167">
        <f t="shared" si="495"/>
        <v>0</v>
      </c>
      <c r="Z499" s="167">
        <f t="shared" si="496"/>
        <v>0</v>
      </c>
      <c r="AA499" s="167">
        <f t="shared" si="497"/>
        <v>0</v>
      </c>
      <c r="AB499" s="167">
        <f t="shared" si="498"/>
        <v>0</v>
      </c>
      <c r="AC499" s="167">
        <f t="shared" si="499"/>
        <v>0</v>
      </c>
      <c r="AD499" s="167">
        <f t="shared" si="500"/>
        <v>0</v>
      </c>
      <c r="AF499" s="47">
        <f t="shared" si="501"/>
        <v>0</v>
      </c>
      <c r="AG499" s="202" t="str">
        <f t="shared" si="502"/>
        <v xml:space="preserve"> </v>
      </c>
      <c r="AH499" s="147"/>
      <c r="AI499" s="148"/>
      <c r="AJ499" s="148"/>
      <c r="AK499" s="148"/>
      <c r="AL499" s="148"/>
      <c r="AM499" s="148"/>
      <c r="AN499" s="148"/>
      <c r="AO499" s="148"/>
      <c r="AP499" s="148"/>
      <c r="AQ499" s="148"/>
      <c r="AR499" s="148"/>
      <c r="AS499" s="148"/>
      <c r="AT499" s="148"/>
      <c r="AU499" s="148"/>
      <c r="AV499" s="148"/>
      <c r="AW499" s="148"/>
      <c r="AX499" s="148"/>
      <c r="AY499" s="148"/>
      <c r="AZ499" s="148"/>
      <c r="BA499" s="148"/>
      <c r="BB499" s="148"/>
      <c r="BC499" s="148"/>
      <c r="BD499" s="148"/>
      <c r="BE499" s="148"/>
      <c r="BF499" s="148"/>
      <c r="BG499" s="148"/>
      <c r="BH499" s="148"/>
      <c r="BI499" s="148"/>
      <c r="BJ499" s="148"/>
      <c r="BK499" s="148"/>
      <c r="BL499" s="148"/>
      <c r="BM499" s="148"/>
      <c r="BN499" s="148"/>
      <c r="BO499" s="148"/>
      <c r="BP499" s="148"/>
      <c r="BQ499" s="148"/>
      <c r="BR499" s="148"/>
      <c r="BS499" s="148"/>
      <c r="BT499" s="148"/>
      <c r="BU499" s="148"/>
      <c r="BV499" s="148"/>
      <c r="BW499" s="148"/>
      <c r="BX499" s="148"/>
      <c r="BY499" s="148"/>
      <c r="BZ499" s="148"/>
      <c r="CA499" s="148"/>
      <c r="CB499" s="148"/>
      <c r="CC499" s="148"/>
      <c r="CD499" s="148"/>
      <c r="CE499" s="148"/>
      <c r="CF499" s="148"/>
      <c r="CG499" s="148"/>
      <c r="CH499" s="148"/>
      <c r="CI499" s="148"/>
      <c r="CJ499" s="148"/>
      <c r="CK499" s="148"/>
      <c r="CL499" s="148"/>
      <c r="CM499" s="148"/>
      <c r="CN499" s="148"/>
      <c r="CO499" s="148"/>
      <c r="CP499" s="148"/>
      <c r="CQ499" s="148"/>
      <c r="CR499" s="148"/>
      <c r="CS499" s="148"/>
      <c r="CT499" s="148"/>
      <c r="CU499" s="148"/>
      <c r="CV499" s="148"/>
      <c r="CW499" s="148"/>
      <c r="CX499" s="148"/>
      <c r="CY499" s="148"/>
      <c r="CZ499" s="148"/>
      <c r="DA499" s="148"/>
      <c r="DB499" s="148"/>
      <c r="DC499" s="148"/>
      <c r="DD499" s="148"/>
      <c r="DE499" s="148"/>
      <c r="DF499" s="148"/>
      <c r="DG499" s="148"/>
      <c r="DH499" s="148"/>
      <c r="DI499" s="148"/>
      <c r="DJ499" s="148"/>
      <c r="DK499" s="148"/>
      <c r="DL499" s="148"/>
      <c r="DM499" s="148"/>
      <c r="DN499" s="148"/>
      <c r="DO499" s="148"/>
      <c r="DP499" s="148"/>
      <c r="DQ499" s="148"/>
      <c r="DR499" s="148"/>
      <c r="DS499" s="148"/>
      <c r="DT499" s="148"/>
      <c r="DU499" s="148"/>
      <c r="DV499" s="148"/>
      <c r="DW499" s="148"/>
      <c r="DX499" s="148"/>
      <c r="DY499" s="148"/>
      <c r="DZ499" s="148"/>
      <c r="EA499" s="148"/>
      <c r="EB499" s="148"/>
      <c r="EC499" s="148"/>
      <c r="ED499" s="148"/>
      <c r="EE499" s="148"/>
      <c r="EF499" s="148"/>
      <c r="EG499" s="148"/>
      <c r="EH499" s="148"/>
      <c r="EI499" s="148"/>
      <c r="EJ499" s="148"/>
      <c r="EK499" s="148"/>
      <c r="EL499" s="148"/>
      <c r="EM499" s="148"/>
      <c r="EN499" s="148"/>
      <c r="EO499" s="148"/>
      <c r="EP499" s="148"/>
      <c r="EQ499" s="148"/>
      <c r="ER499" s="148"/>
      <c r="ES499" s="148"/>
      <c r="ET499" s="148"/>
      <c r="EU499" s="148"/>
      <c r="EV499" s="148"/>
      <c r="EW499" s="148"/>
      <c r="EX499" s="148"/>
      <c r="EY499" s="148"/>
      <c r="EZ499" s="148"/>
      <c r="FA499" s="148"/>
      <c r="FB499" s="148"/>
      <c r="FC499" s="148"/>
      <c r="FD499" s="148"/>
      <c r="FE499" s="148"/>
      <c r="FF499" s="148"/>
      <c r="FG499" s="148"/>
      <c r="FH499" s="148"/>
      <c r="FI499" s="148"/>
      <c r="FJ499" s="148"/>
      <c r="FK499" s="148"/>
      <c r="FL499" s="148"/>
      <c r="FM499" s="148"/>
      <c r="FN499" s="148"/>
      <c r="FO499" s="148"/>
      <c r="FP499" s="148"/>
      <c r="FQ499" s="148"/>
      <c r="FR499" s="148"/>
      <c r="FS499" s="148"/>
      <c r="FT499" s="148"/>
      <c r="FU499" s="148"/>
      <c r="FV499" s="148"/>
      <c r="FW499" s="148"/>
      <c r="FX499" s="148"/>
      <c r="FY499" s="148"/>
      <c r="FZ499" s="148"/>
      <c r="GA499" s="148"/>
      <c r="GB499" s="148"/>
      <c r="GC499" s="148"/>
      <c r="GD499" s="148"/>
      <c r="GE499" s="148"/>
      <c r="GF499" s="148"/>
      <c r="GG499" s="149"/>
    </row>
    <row r="500" spans="1:189" x14ac:dyDescent="0.35">
      <c r="A500" s="268"/>
      <c r="B500" s="221"/>
      <c r="C500" s="221"/>
      <c r="D500" s="222"/>
      <c r="E500" s="221"/>
      <c r="F500" s="221"/>
      <c r="G500" s="223"/>
      <c r="H500" s="224"/>
      <c r="I500" s="225"/>
      <c r="J500" s="225"/>
      <c r="K500" s="225"/>
      <c r="L500" s="226"/>
      <c r="M500" s="226"/>
      <c r="N500" s="226"/>
      <c r="O500" s="226"/>
      <c r="P500" s="226"/>
      <c r="Q500" s="227"/>
      <c r="R500" s="228"/>
      <c r="S500" s="228"/>
      <c r="T500" s="228"/>
      <c r="U500" s="191">
        <f t="shared" si="494"/>
        <v>0</v>
      </c>
      <c r="V500" s="86"/>
      <c r="W500" s="45"/>
      <c r="X500" s="46"/>
      <c r="Y500" s="167">
        <f t="shared" si="495"/>
        <v>0</v>
      </c>
      <c r="Z500" s="167">
        <f t="shared" si="496"/>
        <v>0</v>
      </c>
      <c r="AA500" s="167">
        <f t="shared" si="497"/>
        <v>0</v>
      </c>
      <c r="AB500" s="167">
        <f t="shared" si="498"/>
        <v>0</v>
      </c>
      <c r="AC500" s="167">
        <f t="shared" si="499"/>
        <v>0</v>
      </c>
      <c r="AD500" s="167">
        <f t="shared" si="500"/>
        <v>0</v>
      </c>
      <c r="AF500" s="47">
        <f t="shared" si="501"/>
        <v>0</v>
      </c>
      <c r="AG500" s="202" t="str">
        <f t="shared" si="502"/>
        <v xml:space="preserve"> </v>
      </c>
      <c r="AH500" s="150"/>
      <c r="AI500" s="151"/>
      <c r="AJ500" s="151"/>
      <c r="AK500" s="151"/>
      <c r="AL500" s="151"/>
      <c r="AM500" s="151"/>
      <c r="AN500" s="151"/>
      <c r="AO500" s="151"/>
      <c r="AP500" s="151"/>
      <c r="AQ500" s="151"/>
      <c r="AR500" s="151"/>
      <c r="AS500" s="151"/>
      <c r="AT500" s="151"/>
      <c r="AU500" s="151"/>
      <c r="AV500" s="151"/>
      <c r="AW500" s="151"/>
      <c r="AX500" s="151"/>
      <c r="AY500" s="151"/>
      <c r="AZ500" s="151"/>
      <c r="BA500" s="151"/>
      <c r="BB500" s="151"/>
      <c r="BC500" s="151"/>
      <c r="BD500" s="151"/>
      <c r="BE500" s="151"/>
      <c r="BF500" s="151"/>
      <c r="BG500" s="151"/>
      <c r="BH500" s="151"/>
      <c r="BI500" s="151"/>
      <c r="BJ500" s="151"/>
      <c r="BK500" s="151"/>
      <c r="BL500" s="151"/>
      <c r="BM500" s="151"/>
      <c r="BN500" s="151"/>
      <c r="BO500" s="151"/>
      <c r="BP500" s="151"/>
      <c r="BQ500" s="151"/>
      <c r="BR500" s="151"/>
      <c r="BS500" s="151"/>
      <c r="BT500" s="151"/>
      <c r="BU500" s="151"/>
      <c r="BV500" s="151"/>
      <c r="BW500" s="151"/>
      <c r="BX500" s="151"/>
      <c r="BY500" s="151"/>
      <c r="BZ500" s="151"/>
      <c r="CA500" s="151"/>
      <c r="CB500" s="151"/>
      <c r="CC500" s="151"/>
      <c r="CD500" s="151"/>
      <c r="CE500" s="151"/>
      <c r="CF500" s="151"/>
      <c r="CG500" s="151"/>
      <c r="CH500" s="151"/>
      <c r="CI500" s="151"/>
      <c r="CJ500" s="151"/>
      <c r="CK500" s="151"/>
      <c r="CL500" s="151"/>
      <c r="CM500" s="151"/>
      <c r="CN500" s="151"/>
      <c r="CO500" s="151"/>
      <c r="CP500" s="151"/>
      <c r="CQ500" s="151"/>
      <c r="CR500" s="151"/>
      <c r="CS500" s="151"/>
      <c r="CT500" s="151"/>
      <c r="CU500" s="151"/>
      <c r="CV500" s="151"/>
      <c r="CW500" s="151"/>
      <c r="CX500" s="151"/>
      <c r="CY500" s="151"/>
      <c r="CZ500" s="151"/>
      <c r="DA500" s="151"/>
      <c r="DB500" s="151"/>
      <c r="DC500" s="151"/>
      <c r="DD500" s="151"/>
      <c r="DE500" s="151"/>
      <c r="DF500" s="151"/>
      <c r="DG500" s="151"/>
      <c r="DH500" s="151"/>
      <c r="DI500" s="151"/>
      <c r="DJ500" s="151"/>
      <c r="DK500" s="151"/>
      <c r="DL500" s="151"/>
      <c r="DM500" s="151"/>
      <c r="DN500" s="151"/>
      <c r="DO500" s="151"/>
      <c r="DP500" s="151"/>
      <c r="DQ500" s="151"/>
      <c r="DR500" s="151"/>
      <c r="DS500" s="151"/>
      <c r="DT500" s="151"/>
      <c r="DU500" s="151"/>
      <c r="DV500" s="151"/>
      <c r="DW500" s="151"/>
      <c r="DX500" s="151"/>
      <c r="DY500" s="151"/>
      <c r="DZ500" s="151"/>
      <c r="EA500" s="151"/>
      <c r="EB500" s="151"/>
      <c r="EC500" s="151"/>
      <c r="ED500" s="151"/>
      <c r="EE500" s="151"/>
      <c r="EF500" s="151"/>
      <c r="EG500" s="151"/>
      <c r="EH500" s="151"/>
      <c r="EI500" s="151"/>
      <c r="EJ500" s="151"/>
      <c r="EK500" s="151"/>
      <c r="EL500" s="151"/>
      <c r="EM500" s="151"/>
      <c r="EN500" s="151"/>
      <c r="EO500" s="151"/>
      <c r="EP500" s="151"/>
      <c r="EQ500" s="151"/>
      <c r="ER500" s="151"/>
      <c r="ES500" s="151"/>
      <c r="ET500" s="151"/>
      <c r="EU500" s="151"/>
      <c r="EV500" s="151"/>
      <c r="EW500" s="151"/>
      <c r="EX500" s="151"/>
      <c r="EY500" s="151"/>
      <c r="EZ500" s="151"/>
      <c r="FA500" s="151"/>
      <c r="FB500" s="151"/>
      <c r="FC500" s="151"/>
      <c r="FD500" s="151"/>
      <c r="FE500" s="151"/>
      <c r="FF500" s="151"/>
      <c r="FG500" s="151"/>
      <c r="FH500" s="151"/>
      <c r="FI500" s="151"/>
      <c r="FJ500" s="151"/>
      <c r="FK500" s="151"/>
      <c r="FL500" s="151"/>
      <c r="FM500" s="151"/>
      <c r="FN500" s="151"/>
      <c r="FO500" s="151"/>
      <c r="FP500" s="151"/>
      <c r="FQ500" s="151"/>
      <c r="FR500" s="151"/>
      <c r="FS500" s="151"/>
      <c r="FT500" s="151"/>
      <c r="FU500" s="151"/>
      <c r="FV500" s="151"/>
      <c r="FW500" s="151"/>
      <c r="FX500" s="151"/>
      <c r="FY500" s="151"/>
      <c r="FZ500" s="151"/>
      <c r="GA500" s="151"/>
      <c r="GB500" s="151"/>
      <c r="GC500" s="151"/>
      <c r="GD500" s="151"/>
      <c r="GE500" s="151"/>
      <c r="GF500" s="151"/>
      <c r="GG500" s="152"/>
    </row>
    <row r="501" spans="1:189" x14ac:dyDescent="0.35">
      <c r="A501" s="268"/>
      <c r="B501" s="221"/>
      <c r="C501" s="221"/>
      <c r="D501" s="222"/>
      <c r="E501" s="221"/>
      <c r="F501" s="221"/>
      <c r="G501" s="223"/>
      <c r="H501" s="224"/>
      <c r="I501" s="225"/>
      <c r="J501" s="225"/>
      <c r="K501" s="225"/>
      <c r="L501" s="226"/>
      <c r="M501" s="226"/>
      <c r="N501" s="226"/>
      <c r="O501" s="226"/>
      <c r="P501" s="226"/>
      <c r="Q501" s="227"/>
      <c r="R501" s="228"/>
      <c r="S501" s="228"/>
      <c r="T501" s="228"/>
      <c r="U501" s="191">
        <f t="shared" si="494"/>
        <v>0</v>
      </c>
      <c r="V501" s="86"/>
      <c r="W501" s="45"/>
      <c r="X501" s="46"/>
      <c r="Y501" s="167">
        <f t="shared" si="495"/>
        <v>0</v>
      </c>
      <c r="Z501" s="167">
        <f t="shared" si="496"/>
        <v>0</v>
      </c>
      <c r="AA501" s="167">
        <f t="shared" si="497"/>
        <v>0</v>
      </c>
      <c r="AB501" s="167">
        <f t="shared" si="498"/>
        <v>0</v>
      </c>
      <c r="AC501" s="167">
        <f t="shared" si="499"/>
        <v>0</v>
      </c>
      <c r="AD501" s="167">
        <f t="shared" si="500"/>
        <v>0</v>
      </c>
      <c r="AF501" s="47">
        <f t="shared" si="501"/>
        <v>0</v>
      </c>
      <c r="AG501" s="202" t="str">
        <f t="shared" si="502"/>
        <v xml:space="preserve"> </v>
      </c>
      <c r="AH501" s="150"/>
      <c r="AI501" s="151"/>
      <c r="AJ501" s="151"/>
      <c r="AK501" s="151"/>
      <c r="AL501" s="151"/>
      <c r="AM501" s="151"/>
      <c r="AN501" s="151"/>
      <c r="AO501" s="151"/>
      <c r="AP501" s="151"/>
      <c r="AQ501" s="151"/>
      <c r="AR501" s="151"/>
      <c r="AS501" s="151"/>
      <c r="AT501" s="151"/>
      <c r="AU501" s="151"/>
      <c r="AV501" s="151"/>
      <c r="AW501" s="151"/>
      <c r="AX501" s="151"/>
      <c r="AY501" s="151"/>
      <c r="AZ501" s="151"/>
      <c r="BA501" s="151"/>
      <c r="BB501" s="151"/>
      <c r="BC501" s="151"/>
      <c r="BD501" s="151"/>
      <c r="BE501" s="151"/>
      <c r="BF501" s="151"/>
      <c r="BG501" s="151"/>
      <c r="BH501" s="151"/>
      <c r="BI501" s="151"/>
      <c r="BJ501" s="151"/>
      <c r="BK501" s="151"/>
      <c r="BL501" s="151"/>
      <c r="BM501" s="151"/>
      <c r="BN501" s="151"/>
      <c r="BO501" s="151"/>
      <c r="BP501" s="151"/>
      <c r="BQ501" s="151"/>
      <c r="BR501" s="151"/>
      <c r="BS501" s="151"/>
      <c r="BT501" s="151"/>
      <c r="BU501" s="151"/>
      <c r="BV501" s="151"/>
      <c r="BW501" s="151"/>
      <c r="BX501" s="151"/>
      <c r="BY501" s="151"/>
      <c r="BZ501" s="151"/>
      <c r="CA501" s="151"/>
      <c r="CB501" s="151"/>
      <c r="CC501" s="151"/>
      <c r="CD501" s="151"/>
      <c r="CE501" s="151"/>
      <c r="CF501" s="151"/>
      <c r="CG501" s="151"/>
      <c r="CH501" s="151"/>
      <c r="CI501" s="151"/>
      <c r="CJ501" s="151"/>
      <c r="CK501" s="151"/>
      <c r="CL501" s="151"/>
      <c r="CM501" s="151"/>
      <c r="CN501" s="151"/>
      <c r="CO501" s="151"/>
      <c r="CP501" s="151"/>
      <c r="CQ501" s="151"/>
      <c r="CR501" s="151"/>
      <c r="CS501" s="151"/>
      <c r="CT501" s="151"/>
      <c r="CU501" s="151"/>
      <c r="CV501" s="151"/>
      <c r="CW501" s="151"/>
      <c r="CX501" s="151"/>
      <c r="CY501" s="151"/>
      <c r="CZ501" s="151"/>
      <c r="DA501" s="151"/>
      <c r="DB501" s="151"/>
      <c r="DC501" s="151"/>
      <c r="DD501" s="151"/>
      <c r="DE501" s="151"/>
      <c r="DF501" s="151"/>
      <c r="DG501" s="151"/>
      <c r="DH501" s="151"/>
      <c r="DI501" s="151"/>
      <c r="DJ501" s="151"/>
      <c r="DK501" s="151"/>
      <c r="DL501" s="151"/>
      <c r="DM501" s="151"/>
      <c r="DN501" s="151"/>
      <c r="DO501" s="151"/>
      <c r="DP501" s="151"/>
      <c r="DQ501" s="151"/>
      <c r="DR501" s="151"/>
      <c r="DS501" s="151"/>
      <c r="DT501" s="151"/>
      <c r="DU501" s="151"/>
      <c r="DV501" s="151"/>
      <c r="DW501" s="151"/>
      <c r="DX501" s="151"/>
      <c r="DY501" s="151"/>
      <c r="DZ501" s="151"/>
      <c r="EA501" s="151"/>
      <c r="EB501" s="151"/>
      <c r="EC501" s="151"/>
      <c r="ED501" s="151"/>
      <c r="EE501" s="151"/>
      <c r="EF501" s="151"/>
      <c r="EG501" s="151"/>
      <c r="EH501" s="151"/>
      <c r="EI501" s="151"/>
      <c r="EJ501" s="151"/>
      <c r="EK501" s="151"/>
      <c r="EL501" s="151"/>
      <c r="EM501" s="151"/>
      <c r="EN501" s="151"/>
      <c r="EO501" s="151"/>
      <c r="EP501" s="151"/>
      <c r="EQ501" s="151"/>
      <c r="ER501" s="151"/>
      <c r="ES501" s="151"/>
      <c r="ET501" s="151"/>
      <c r="EU501" s="151"/>
      <c r="EV501" s="151"/>
      <c r="EW501" s="151"/>
      <c r="EX501" s="151"/>
      <c r="EY501" s="151"/>
      <c r="EZ501" s="151"/>
      <c r="FA501" s="151"/>
      <c r="FB501" s="151"/>
      <c r="FC501" s="151"/>
      <c r="FD501" s="151"/>
      <c r="FE501" s="151"/>
      <c r="FF501" s="151"/>
      <c r="FG501" s="151"/>
      <c r="FH501" s="151"/>
      <c r="FI501" s="151"/>
      <c r="FJ501" s="151"/>
      <c r="FK501" s="151"/>
      <c r="FL501" s="151"/>
      <c r="FM501" s="151"/>
      <c r="FN501" s="151"/>
      <c r="FO501" s="151"/>
      <c r="FP501" s="151"/>
      <c r="FQ501" s="151"/>
      <c r="FR501" s="151"/>
      <c r="FS501" s="151"/>
      <c r="FT501" s="151"/>
      <c r="FU501" s="151"/>
      <c r="FV501" s="151"/>
      <c r="FW501" s="151"/>
      <c r="FX501" s="151"/>
      <c r="FY501" s="151"/>
      <c r="FZ501" s="151"/>
      <c r="GA501" s="151"/>
      <c r="GB501" s="151"/>
      <c r="GC501" s="151"/>
      <c r="GD501" s="151"/>
      <c r="GE501" s="151"/>
      <c r="GF501" s="151"/>
      <c r="GG501" s="152"/>
    </row>
    <row r="502" spans="1:189" x14ac:dyDescent="0.35">
      <c r="A502" s="268"/>
      <c r="B502" s="221"/>
      <c r="C502" s="221"/>
      <c r="D502" s="222"/>
      <c r="E502" s="221"/>
      <c r="F502" s="221"/>
      <c r="G502" s="223"/>
      <c r="H502" s="224"/>
      <c r="I502" s="225"/>
      <c r="J502" s="225"/>
      <c r="K502" s="225"/>
      <c r="L502" s="226"/>
      <c r="M502" s="226"/>
      <c r="N502" s="226"/>
      <c r="O502" s="226"/>
      <c r="P502" s="226"/>
      <c r="Q502" s="227"/>
      <c r="R502" s="228"/>
      <c r="S502" s="228"/>
      <c r="T502" s="228"/>
      <c r="U502" s="191">
        <f t="shared" si="494"/>
        <v>0</v>
      </c>
      <c r="V502" s="86"/>
      <c r="W502" s="45"/>
      <c r="X502" s="46"/>
      <c r="Y502" s="167">
        <f t="shared" si="495"/>
        <v>0</v>
      </c>
      <c r="Z502" s="167">
        <f t="shared" si="496"/>
        <v>0</v>
      </c>
      <c r="AA502" s="167">
        <f t="shared" si="497"/>
        <v>0</v>
      </c>
      <c r="AB502" s="167">
        <f t="shared" si="498"/>
        <v>0</v>
      </c>
      <c r="AC502" s="167">
        <f t="shared" si="499"/>
        <v>0</v>
      </c>
      <c r="AD502" s="167">
        <f t="shared" si="500"/>
        <v>0</v>
      </c>
      <c r="AF502" s="47">
        <f t="shared" si="501"/>
        <v>0</v>
      </c>
      <c r="AG502" s="202" t="str">
        <f t="shared" si="502"/>
        <v xml:space="preserve"> </v>
      </c>
      <c r="AH502" s="150"/>
      <c r="AI502" s="151"/>
      <c r="AJ502" s="151"/>
      <c r="AK502" s="151"/>
      <c r="AL502" s="151"/>
      <c r="AM502" s="151"/>
      <c r="AN502" s="151"/>
      <c r="AO502" s="151"/>
      <c r="AP502" s="151"/>
      <c r="AQ502" s="151"/>
      <c r="AR502" s="151"/>
      <c r="AS502" s="151"/>
      <c r="AT502" s="151"/>
      <c r="AU502" s="151"/>
      <c r="AV502" s="151"/>
      <c r="AW502" s="151"/>
      <c r="AX502" s="151"/>
      <c r="AY502" s="151"/>
      <c r="AZ502" s="151"/>
      <c r="BA502" s="151"/>
      <c r="BB502" s="151"/>
      <c r="BC502" s="151"/>
      <c r="BD502" s="151"/>
      <c r="BE502" s="151"/>
      <c r="BF502" s="151"/>
      <c r="BG502" s="151"/>
      <c r="BH502" s="151"/>
      <c r="BI502" s="151"/>
      <c r="BJ502" s="151"/>
      <c r="BK502" s="151"/>
      <c r="BL502" s="151"/>
      <c r="BM502" s="151"/>
      <c r="BN502" s="151"/>
      <c r="BO502" s="151"/>
      <c r="BP502" s="151"/>
      <c r="BQ502" s="151"/>
      <c r="BR502" s="151"/>
      <c r="BS502" s="151"/>
      <c r="BT502" s="151"/>
      <c r="BU502" s="151"/>
      <c r="BV502" s="151"/>
      <c r="BW502" s="151"/>
      <c r="BX502" s="151"/>
      <c r="BY502" s="151"/>
      <c r="BZ502" s="151"/>
      <c r="CA502" s="151"/>
      <c r="CB502" s="151"/>
      <c r="CC502" s="151"/>
      <c r="CD502" s="151"/>
      <c r="CE502" s="151"/>
      <c r="CF502" s="151"/>
      <c r="CG502" s="151"/>
      <c r="CH502" s="151"/>
      <c r="CI502" s="151"/>
      <c r="CJ502" s="151"/>
      <c r="CK502" s="151"/>
      <c r="CL502" s="151"/>
      <c r="CM502" s="151"/>
      <c r="CN502" s="151"/>
      <c r="CO502" s="151"/>
      <c r="CP502" s="151"/>
      <c r="CQ502" s="151"/>
      <c r="CR502" s="151"/>
      <c r="CS502" s="151"/>
      <c r="CT502" s="151"/>
      <c r="CU502" s="151"/>
      <c r="CV502" s="151"/>
      <c r="CW502" s="151"/>
      <c r="CX502" s="151"/>
      <c r="CY502" s="151"/>
      <c r="CZ502" s="151"/>
      <c r="DA502" s="151"/>
      <c r="DB502" s="151"/>
      <c r="DC502" s="151"/>
      <c r="DD502" s="151"/>
      <c r="DE502" s="151"/>
      <c r="DF502" s="151"/>
      <c r="DG502" s="151"/>
      <c r="DH502" s="151"/>
      <c r="DI502" s="151"/>
      <c r="DJ502" s="151"/>
      <c r="DK502" s="151"/>
      <c r="DL502" s="151"/>
      <c r="DM502" s="151"/>
      <c r="DN502" s="151"/>
      <c r="DO502" s="151"/>
      <c r="DP502" s="151"/>
      <c r="DQ502" s="151"/>
      <c r="DR502" s="151"/>
      <c r="DS502" s="151"/>
      <c r="DT502" s="151"/>
      <c r="DU502" s="151"/>
      <c r="DV502" s="151"/>
      <c r="DW502" s="151"/>
      <c r="DX502" s="151"/>
      <c r="DY502" s="151"/>
      <c r="DZ502" s="151"/>
      <c r="EA502" s="151"/>
      <c r="EB502" s="151"/>
      <c r="EC502" s="151"/>
      <c r="ED502" s="151"/>
      <c r="EE502" s="151"/>
      <c r="EF502" s="151"/>
      <c r="EG502" s="151"/>
      <c r="EH502" s="151"/>
      <c r="EI502" s="151"/>
      <c r="EJ502" s="151"/>
      <c r="EK502" s="151"/>
      <c r="EL502" s="151"/>
      <c r="EM502" s="151"/>
      <c r="EN502" s="151"/>
      <c r="EO502" s="151"/>
      <c r="EP502" s="151"/>
      <c r="EQ502" s="151"/>
      <c r="ER502" s="151"/>
      <c r="ES502" s="151"/>
      <c r="ET502" s="151"/>
      <c r="EU502" s="151"/>
      <c r="EV502" s="151"/>
      <c r="EW502" s="151"/>
      <c r="EX502" s="151"/>
      <c r="EY502" s="151"/>
      <c r="EZ502" s="151"/>
      <c r="FA502" s="151"/>
      <c r="FB502" s="151"/>
      <c r="FC502" s="151"/>
      <c r="FD502" s="151"/>
      <c r="FE502" s="151"/>
      <c r="FF502" s="151"/>
      <c r="FG502" s="151"/>
      <c r="FH502" s="151"/>
      <c r="FI502" s="151"/>
      <c r="FJ502" s="151"/>
      <c r="FK502" s="151"/>
      <c r="FL502" s="151"/>
      <c r="FM502" s="151"/>
      <c r="FN502" s="151"/>
      <c r="FO502" s="151"/>
      <c r="FP502" s="151"/>
      <c r="FQ502" s="151"/>
      <c r="FR502" s="151"/>
      <c r="FS502" s="151"/>
      <c r="FT502" s="151"/>
      <c r="FU502" s="151"/>
      <c r="FV502" s="151"/>
      <c r="FW502" s="151"/>
      <c r="FX502" s="151"/>
      <c r="FY502" s="151"/>
      <c r="FZ502" s="151"/>
      <c r="GA502" s="151"/>
      <c r="GB502" s="151"/>
      <c r="GC502" s="151"/>
      <c r="GD502" s="151"/>
      <c r="GE502" s="151"/>
      <c r="GF502" s="151"/>
      <c r="GG502" s="152"/>
    </row>
    <row r="503" spans="1:189" x14ac:dyDescent="0.35">
      <c r="A503" s="268"/>
      <c r="B503" s="221"/>
      <c r="C503" s="221"/>
      <c r="D503" s="222"/>
      <c r="E503" s="221"/>
      <c r="F503" s="221"/>
      <c r="G503" s="223"/>
      <c r="H503" s="224"/>
      <c r="I503" s="225"/>
      <c r="J503" s="225"/>
      <c r="K503" s="225"/>
      <c r="L503" s="226"/>
      <c r="M503" s="226"/>
      <c r="N503" s="226"/>
      <c r="O503" s="226"/>
      <c r="P503" s="226"/>
      <c r="Q503" s="227"/>
      <c r="R503" s="228"/>
      <c r="S503" s="228"/>
      <c r="T503" s="228"/>
      <c r="U503" s="191">
        <f t="shared" si="494"/>
        <v>0</v>
      </c>
      <c r="V503" s="86"/>
      <c r="W503" s="45"/>
      <c r="X503" s="46"/>
      <c r="Y503" s="167">
        <f t="shared" si="495"/>
        <v>0</v>
      </c>
      <c r="Z503" s="167">
        <f t="shared" si="496"/>
        <v>0</v>
      </c>
      <c r="AA503" s="167">
        <f t="shared" si="497"/>
        <v>0</v>
      </c>
      <c r="AB503" s="167">
        <f t="shared" si="498"/>
        <v>0</v>
      </c>
      <c r="AC503" s="167">
        <f t="shared" si="499"/>
        <v>0</v>
      </c>
      <c r="AD503" s="167">
        <f t="shared" si="500"/>
        <v>0</v>
      </c>
      <c r="AF503" s="47">
        <f t="shared" si="501"/>
        <v>0</v>
      </c>
      <c r="AG503" s="202" t="str">
        <f t="shared" si="502"/>
        <v xml:space="preserve"> </v>
      </c>
      <c r="AH503" s="147"/>
      <c r="AI503" s="148"/>
      <c r="AJ503" s="148"/>
      <c r="AK503" s="148"/>
      <c r="AL503" s="148"/>
      <c r="AM503" s="148"/>
      <c r="AN503" s="148"/>
      <c r="AO503" s="148"/>
      <c r="AP503" s="148"/>
      <c r="AQ503" s="148"/>
      <c r="AR503" s="148"/>
      <c r="AS503" s="148"/>
      <c r="AT503" s="148"/>
      <c r="AU503" s="148"/>
      <c r="AV503" s="148"/>
      <c r="AW503" s="148"/>
      <c r="AX503" s="148"/>
      <c r="AY503" s="148"/>
      <c r="AZ503" s="148"/>
      <c r="BA503" s="148"/>
      <c r="BB503" s="148"/>
      <c r="BC503" s="148"/>
      <c r="BD503" s="148"/>
      <c r="BE503" s="148"/>
      <c r="BF503" s="148"/>
      <c r="BG503" s="148"/>
      <c r="BH503" s="148"/>
      <c r="BI503" s="148"/>
      <c r="BJ503" s="148"/>
      <c r="BK503" s="148"/>
      <c r="BL503" s="148"/>
      <c r="BM503" s="148"/>
      <c r="BN503" s="148"/>
      <c r="BO503" s="148"/>
      <c r="BP503" s="148"/>
      <c r="BQ503" s="148"/>
      <c r="BR503" s="148"/>
      <c r="BS503" s="148"/>
      <c r="BT503" s="148"/>
      <c r="BU503" s="148"/>
      <c r="BV503" s="148"/>
      <c r="BW503" s="148"/>
      <c r="BX503" s="148"/>
      <c r="BY503" s="148"/>
      <c r="BZ503" s="148"/>
      <c r="CA503" s="148"/>
      <c r="CB503" s="148"/>
      <c r="CC503" s="148"/>
      <c r="CD503" s="148"/>
      <c r="CE503" s="148"/>
      <c r="CF503" s="148"/>
      <c r="CG503" s="148"/>
      <c r="CH503" s="148"/>
      <c r="CI503" s="148"/>
      <c r="CJ503" s="148"/>
      <c r="CK503" s="148"/>
      <c r="CL503" s="148"/>
      <c r="CM503" s="148"/>
      <c r="CN503" s="148"/>
      <c r="CO503" s="148"/>
      <c r="CP503" s="148"/>
      <c r="CQ503" s="148"/>
      <c r="CR503" s="148"/>
      <c r="CS503" s="148"/>
      <c r="CT503" s="148"/>
      <c r="CU503" s="148"/>
      <c r="CV503" s="148"/>
      <c r="CW503" s="148"/>
      <c r="CX503" s="148"/>
      <c r="CY503" s="148"/>
      <c r="CZ503" s="148"/>
      <c r="DA503" s="148"/>
      <c r="DB503" s="148"/>
      <c r="DC503" s="148"/>
      <c r="DD503" s="148"/>
      <c r="DE503" s="148"/>
      <c r="DF503" s="148"/>
      <c r="DG503" s="148"/>
      <c r="DH503" s="148"/>
      <c r="DI503" s="148"/>
      <c r="DJ503" s="148"/>
      <c r="DK503" s="148"/>
      <c r="DL503" s="148"/>
      <c r="DM503" s="148"/>
      <c r="DN503" s="148"/>
      <c r="DO503" s="148"/>
      <c r="DP503" s="148"/>
      <c r="DQ503" s="148"/>
      <c r="DR503" s="148"/>
      <c r="DS503" s="148"/>
      <c r="DT503" s="148"/>
      <c r="DU503" s="148"/>
      <c r="DV503" s="148"/>
      <c r="DW503" s="148"/>
      <c r="DX503" s="148"/>
      <c r="DY503" s="148"/>
      <c r="DZ503" s="148"/>
      <c r="EA503" s="148"/>
      <c r="EB503" s="148"/>
      <c r="EC503" s="148"/>
      <c r="ED503" s="148"/>
      <c r="EE503" s="148"/>
      <c r="EF503" s="148"/>
      <c r="EG503" s="148"/>
      <c r="EH503" s="148"/>
      <c r="EI503" s="148"/>
      <c r="EJ503" s="148"/>
      <c r="EK503" s="148"/>
      <c r="EL503" s="148"/>
      <c r="EM503" s="148"/>
      <c r="EN503" s="148"/>
      <c r="EO503" s="148"/>
      <c r="EP503" s="148"/>
      <c r="EQ503" s="148"/>
      <c r="ER503" s="148"/>
      <c r="ES503" s="148"/>
      <c r="ET503" s="148"/>
      <c r="EU503" s="148"/>
      <c r="EV503" s="148"/>
      <c r="EW503" s="148"/>
      <c r="EX503" s="148"/>
      <c r="EY503" s="148"/>
      <c r="EZ503" s="148"/>
      <c r="FA503" s="148"/>
      <c r="FB503" s="148"/>
      <c r="FC503" s="148"/>
      <c r="FD503" s="148"/>
      <c r="FE503" s="148"/>
      <c r="FF503" s="148"/>
      <c r="FG503" s="148"/>
      <c r="FH503" s="148"/>
      <c r="FI503" s="148"/>
      <c r="FJ503" s="148"/>
      <c r="FK503" s="148"/>
      <c r="FL503" s="148"/>
      <c r="FM503" s="148"/>
      <c r="FN503" s="148"/>
      <c r="FO503" s="148"/>
      <c r="FP503" s="148"/>
      <c r="FQ503" s="148"/>
      <c r="FR503" s="148"/>
      <c r="FS503" s="148"/>
      <c r="FT503" s="148"/>
      <c r="FU503" s="148"/>
      <c r="FV503" s="148"/>
      <c r="FW503" s="148"/>
      <c r="FX503" s="148"/>
      <c r="FY503" s="148"/>
      <c r="FZ503" s="148"/>
      <c r="GA503" s="148"/>
      <c r="GB503" s="148"/>
      <c r="GC503" s="148"/>
      <c r="GD503" s="148"/>
      <c r="GE503" s="148"/>
      <c r="GF503" s="148"/>
      <c r="GG503" s="149"/>
    </row>
    <row r="504" spans="1:189" x14ac:dyDescent="0.35">
      <c r="A504" s="268"/>
      <c r="B504" s="221"/>
      <c r="C504" s="221"/>
      <c r="D504" s="222"/>
      <c r="E504" s="221"/>
      <c r="F504" s="221"/>
      <c r="G504" s="223"/>
      <c r="H504" s="224"/>
      <c r="I504" s="225"/>
      <c r="J504" s="225"/>
      <c r="K504" s="225"/>
      <c r="L504" s="226"/>
      <c r="M504" s="226"/>
      <c r="N504" s="226"/>
      <c r="O504" s="226"/>
      <c r="P504" s="226"/>
      <c r="Q504" s="227"/>
      <c r="R504" s="228"/>
      <c r="S504" s="228"/>
      <c r="T504" s="228"/>
      <c r="U504" s="191">
        <f t="shared" si="494"/>
        <v>0</v>
      </c>
      <c r="V504" s="86"/>
      <c r="W504" s="45"/>
      <c r="X504" s="46"/>
      <c r="Y504" s="167">
        <f t="shared" si="495"/>
        <v>0</v>
      </c>
      <c r="Z504" s="167">
        <f t="shared" si="496"/>
        <v>0</v>
      </c>
      <c r="AA504" s="167">
        <f t="shared" si="497"/>
        <v>0</v>
      </c>
      <c r="AB504" s="167">
        <f t="shared" si="498"/>
        <v>0</v>
      </c>
      <c r="AC504" s="167">
        <f t="shared" si="499"/>
        <v>0</v>
      </c>
      <c r="AD504" s="167">
        <f t="shared" si="500"/>
        <v>0</v>
      </c>
      <c r="AF504" s="47">
        <f t="shared" si="501"/>
        <v>0</v>
      </c>
      <c r="AG504" s="202" t="str">
        <f t="shared" si="502"/>
        <v xml:space="preserve"> </v>
      </c>
      <c r="AH504" s="150"/>
      <c r="AI504" s="151"/>
      <c r="AJ504" s="151"/>
      <c r="AK504" s="151"/>
      <c r="AL504" s="151"/>
      <c r="AM504" s="151"/>
      <c r="AN504" s="151"/>
      <c r="AO504" s="151"/>
      <c r="AP504" s="151"/>
      <c r="AQ504" s="151"/>
      <c r="AR504" s="151"/>
      <c r="AS504" s="151"/>
      <c r="AT504" s="151"/>
      <c r="AU504" s="151"/>
      <c r="AV504" s="151"/>
      <c r="AW504" s="151"/>
      <c r="AX504" s="151"/>
      <c r="AY504" s="151"/>
      <c r="AZ504" s="151"/>
      <c r="BA504" s="151"/>
      <c r="BB504" s="151"/>
      <c r="BC504" s="151"/>
      <c r="BD504" s="151"/>
      <c r="BE504" s="151"/>
      <c r="BF504" s="151"/>
      <c r="BG504" s="151"/>
      <c r="BH504" s="151"/>
      <c r="BI504" s="151"/>
      <c r="BJ504" s="151"/>
      <c r="BK504" s="151"/>
      <c r="BL504" s="151"/>
      <c r="BM504" s="151"/>
      <c r="BN504" s="151"/>
      <c r="BO504" s="151"/>
      <c r="BP504" s="151"/>
      <c r="BQ504" s="151"/>
      <c r="BR504" s="151"/>
      <c r="BS504" s="151"/>
      <c r="BT504" s="151"/>
      <c r="BU504" s="151"/>
      <c r="BV504" s="151"/>
      <c r="BW504" s="151"/>
      <c r="BX504" s="151"/>
      <c r="BY504" s="151"/>
      <c r="BZ504" s="151"/>
      <c r="CA504" s="151"/>
      <c r="CB504" s="151"/>
      <c r="CC504" s="151"/>
      <c r="CD504" s="151"/>
      <c r="CE504" s="151"/>
      <c r="CF504" s="151"/>
      <c r="CG504" s="151"/>
      <c r="CH504" s="151"/>
      <c r="CI504" s="151"/>
      <c r="CJ504" s="151"/>
      <c r="CK504" s="151"/>
      <c r="CL504" s="151"/>
      <c r="CM504" s="151"/>
      <c r="CN504" s="151"/>
      <c r="CO504" s="151"/>
      <c r="CP504" s="151"/>
      <c r="CQ504" s="151"/>
      <c r="CR504" s="151"/>
      <c r="CS504" s="151"/>
      <c r="CT504" s="151"/>
      <c r="CU504" s="151"/>
      <c r="CV504" s="151"/>
      <c r="CW504" s="151"/>
      <c r="CX504" s="151"/>
      <c r="CY504" s="151"/>
      <c r="CZ504" s="151"/>
      <c r="DA504" s="151"/>
      <c r="DB504" s="151"/>
      <c r="DC504" s="151"/>
      <c r="DD504" s="151"/>
      <c r="DE504" s="151"/>
      <c r="DF504" s="151"/>
      <c r="DG504" s="151"/>
      <c r="DH504" s="151"/>
      <c r="DI504" s="151"/>
      <c r="DJ504" s="151"/>
      <c r="DK504" s="151"/>
      <c r="DL504" s="151"/>
      <c r="DM504" s="151"/>
      <c r="DN504" s="151"/>
      <c r="DO504" s="151"/>
      <c r="DP504" s="151"/>
      <c r="DQ504" s="151"/>
      <c r="DR504" s="151"/>
      <c r="DS504" s="151"/>
      <c r="DT504" s="151"/>
      <c r="DU504" s="151"/>
      <c r="DV504" s="151"/>
      <c r="DW504" s="151"/>
      <c r="DX504" s="151"/>
      <c r="DY504" s="151"/>
      <c r="DZ504" s="151"/>
      <c r="EA504" s="151"/>
      <c r="EB504" s="151"/>
      <c r="EC504" s="151"/>
      <c r="ED504" s="151"/>
      <c r="EE504" s="151"/>
      <c r="EF504" s="151"/>
      <c r="EG504" s="151"/>
      <c r="EH504" s="151"/>
      <c r="EI504" s="151"/>
      <c r="EJ504" s="151"/>
      <c r="EK504" s="151"/>
      <c r="EL504" s="151"/>
      <c r="EM504" s="151"/>
      <c r="EN504" s="151"/>
      <c r="EO504" s="151"/>
      <c r="EP504" s="151"/>
      <c r="EQ504" s="151"/>
      <c r="ER504" s="151"/>
      <c r="ES504" s="151"/>
      <c r="ET504" s="151"/>
      <c r="EU504" s="151"/>
      <c r="EV504" s="151"/>
      <c r="EW504" s="151"/>
      <c r="EX504" s="151"/>
      <c r="EY504" s="151"/>
      <c r="EZ504" s="151"/>
      <c r="FA504" s="151"/>
      <c r="FB504" s="151"/>
      <c r="FC504" s="151"/>
      <c r="FD504" s="151"/>
      <c r="FE504" s="151"/>
      <c r="FF504" s="151"/>
      <c r="FG504" s="151"/>
      <c r="FH504" s="151"/>
      <c r="FI504" s="151"/>
      <c r="FJ504" s="151"/>
      <c r="FK504" s="151"/>
      <c r="FL504" s="151"/>
      <c r="FM504" s="151"/>
      <c r="FN504" s="151"/>
      <c r="FO504" s="151"/>
      <c r="FP504" s="151"/>
      <c r="FQ504" s="151"/>
      <c r="FR504" s="151"/>
      <c r="FS504" s="151"/>
      <c r="FT504" s="151"/>
      <c r="FU504" s="151"/>
      <c r="FV504" s="151"/>
      <c r="FW504" s="151"/>
      <c r="FX504" s="151"/>
      <c r="FY504" s="151"/>
      <c r="FZ504" s="151"/>
      <c r="GA504" s="151"/>
      <c r="GB504" s="151"/>
      <c r="GC504" s="151"/>
      <c r="GD504" s="151"/>
      <c r="GE504" s="151"/>
      <c r="GF504" s="151"/>
      <c r="GG504" s="152"/>
    </row>
    <row r="505" spans="1:189" x14ac:dyDescent="0.35">
      <c r="A505" s="268"/>
      <c r="B505" s="221"/>
      <c r="C505" s="221"/>
      <c r="D505" s="222"/>
      <c r="E505" s="221"/>
      <c r="F505" s="221"/>
      <c r="G505" s="223"/>
      <c r="H505" s="224"/>
      <c r="I505" s="225"/>
      <c r="J505" s="225"/>
      <c r="K505" s="225"/>
      <c r="L505" s="226"/>
      <c r="M505" s="226"/>
      <c r="N505" s="226"/>
      <c r="O505" s="226"/>
      <c r="P505" s="226"/>
      <c r="Q505" s="227"/>
      <c r="R505" s="228"/>
      <c r="S505" s="228"/>
      <c r="T505" s="228"/>
      <c r="U505" s="191">
        <f t="shared" ref="U505:U568" si="503">IF(Q505="",0,IF(T505="",0,+S505-T505))</f>
        <v>0</v>
      </c>
      <c r="V505" s="86"/>
      <c r="W505" s="45"/>
      <c r="X505" s="46"/>
      <c r="Y505" s="167">
        <f t="shared" ref="Y505:Y568" si="504">IF(G505=2,S505,0)</f>
        <v>0</v>
      </c>
      <c r="Z505" s="167">
        <f t="shared" ref="Z505:Z568" si="505">IF(Q505="",0,IF(G505=2,T505,0))</f>
        <v>0</v>
      </c>
      <c r="AA505" s="167">
        <f t="shared" ref="AA505:AA568" si="506">Y505-Z505</f>
        <v>0</v>
      </c>
      <c r="AB505" s="167">
        <f t="shared" ref="AB505:AB568" si="507">IF(G505=1,S505,0)</f>
        <v>0</v>
      </c>
      <c r="AC505" s="167">
        <f t="shared" ref="AC505:AC568" si="508">IF(Q505="",0,IF(G505=1,T505,0))</f>
        <v>0</v>
      </c>
      <c r="AD505" s="167">
        <f t="shared" ref="AD505:AD568" si="509">AB505-AC505</f>
        <v>0</v>
      </c>
      <c r="AF505" s="47">
        <f t="shared" si="501"/>
        <v>0</v>
      </c>
      <c r="AG505" s="202" t="str">
        <f t="shared" si="502"/>
        <v xml:space="preserve"> </v>
      </c>
      <c r="AH505" s="150"/>
      <c r="AI505" s="151"/>
      <c r="AJ505" s="151"/>
      <c r="AK505" s="151"/>
      <c r="AL505" s="151"/>
      <c r="AM505" s="151"/>
      <c r="AN505" s="151"/>
      <c r="AO505" s="151"/>
      <c r="AP505" s="151"/>
      <c r="AQ505" s="151"/>
      <c r="AR505" s="151"/>
      <c r="AS505" s="151"/>
      <c r="AT505" s="151"/>
      <c r="AU505" s="151"/>
      <c r="AV505" s="151"/>
      <c r="AW505" s="151"/>
      <c r="AX505" s="151"/>
      <c r="AY505" s="151"/>
      <c r="AZ505" s="151"/>
      <c r="BA505" s="151"/>
      <c r="BB505" s="151"/>
      <c r="BC505" s="151"/>
      <c r="BD505" s="151"/>
      <c r="BE505" s="151"/>
      <c r="BF505" s="151"/>
      <c r="BG505" s="151"/>
      <c r="BH505" s="151"/>
      <c r="BI505" s="151"/>
      <c r="BJ505" s="151"/>
      <c r="BK505" s="151"/>
      <c r="BL505" s="151"/>
      <c r="BM505" s="151"/>
      <c r="BN505" s="151"/>
      <c r="BO505" s="151"/>
      <c r="BP505" s="151"/>
      <c r="BQ505" s="151"/>
      <c r="BR505" s="151"/>
      <c r="BS505" s="151"/>
      <c r="BT505" s="151"/>
      <c r="BU505" s="151"/>
      <c r="BV505" s="151"/>
      <c r="BW505" s="151"/>
      <c r="BX505" s="151"/>
      <c r="BY505" s="151"/>
      <c r="BZ505" s="151"/>
      <c r="CA505" s="151"/>
      <c r="CB505" s="151"/>
      <c r="CC505" s="151"/>
      <c r="CD505" s="151"/>
      <c r="CE505" s="151"/>
      <c r="CF505" s="151"/>
      <c r="CG505" s="151"/>
      <c r="CH505" s="151"/>
      <c r="CI505" s="151"/>
      <c r="CJ505" s="151"/>
      <c r="CK505" s="151"/>
      <c r="CL505" s="151"/>
      <c r="CM505" s="151"/>
      <c r="CN505" s="151"/>
      <c r="CO505" s="151"/>
      <c r="CP505" s="151"/>
      <c r="CQ505" s="151"/>
      <c r="CR505" s="151"/>
      <c r="CS505" s="151"/>
      <c r="CT505" s="151"/>
      <c r="CU505" s="151"/>
      <c r="CV505" s="151"/>
      <c r="CW505" s="151"/>
      <c r="CX505" s="151"/>
      <c r="CY505" s="151"/>
      <c r="CZ505" s="151"/>
      <c r="DA505" s="151"/>
      <c r="DB505" s="151"/>
      <c r="DC505" s="151"/>
      <c r="DD505" s="151"/>
      <c r="DE505" s="151"/>
      <c r="DF505" s="151"/>
      <c r="DG505" s="151"/>
      <c r="DH505" s="151"/>
      <c r="DI505" s="151"/>
      <c r="DJ505" s="151"/>
      <c r="DK505" s="151"/>
      <c r="DL505" s="151"/>
      <c r="DM505" s="151"/>
      <c r="DN505" s="151"/>
      <c r="DO505" s="151"/>
      <c r="DP505" s="151"/>
      <c r="DQ505" s="151"/>
      <c r="DR505" s="151"/>
      <c r="DS505" s="151"/>
      <c r="DT505" s="151"/>
      <c r="DU505" s="151"/>
      <c r="DV505" s="151"/>
      <c r="DW505" s="151"/>
      <c r="DX505" s="151"/>
      <c r="DY505" s="151"/>
      <c r="DZ505" s="151"/>
      <c r="EA505" s="151"/>
      <c r="EB505" s="151"/>
      <c r="EC505" s="151"/>
      <c r="ED505" s="151"/>
      <c r="EE505" s="151"/>
      <c r="EF505" s="151"/>
      <c r="EG505" s="151"/>
      <c r="EH505" s="151"/>
      <c r="EI505" s="151"/>
      <c r="EJ505" s="151"/>
      <c r="EK505" s="151"/>
      <c r="EL505" s="151"/>
      <c r="EM505" s="151"/>
      <c r="EN505" s="151"/>
      <c r="EO505" s="151"/>
      <c r="EP505" s="151"/>
      <c r="EQ505" s="151"/>
      <c r="ER505" s="151"/>
      <c r="ES505" s="151"/>
      <c r="ET505" s="151"/>
      <c r="EU505" s="151"/>
      <c r="EV505" s="151"/>
      <c r="EW505" s="151"/>
      <c r="EX505" s="151"/>
      <c r="EY505" s="151"/>
      <c r="EZ505" s="151"/>
      <c r="FA505" s="151"/>
      <c r="FB505" s="151"/>
      <c r="FC505" s="151"/>
      <c r="FD505" s="151"/>
      <c r="FE505" s="151"/>
      <c r="FF505" s="151"/>
      <c r="FG505" s="151"/>
      <c r="FH505" s="151"/>
      <c r="FI505" s="151"/>
      <c r="FJ505" s="151"/>
      <c r="FK505" s="151"/>
      <c r="FL505" s="151"/>
      <c r="FM505" s="151"/>
      <c r="FN505" s="151"/>
      <c r="FO505" s="151"/>
      <c r="FP505" s="151"/>
      <c r="FQ505" s="151"/>
      <c r="FR505" s="151"/>
      <c r="FS505" s="151"/>
      <c r="FT505" s="151"/>
      <c r="FU505" s="151"/>
      <c r="FV505" s="151"/>
      <c r="FW505" s="151"/>
      <c r="FX505" s="151"/>
      <c r="FY505" s="151"/>
      <c r="FZ505" s="151"/>
      <c r="GA505" s="151"/>
      <c r="GB505" s="151"/>
      <c r="GC505" s="151"/>
      <c r="GD505" s="151"/>
      <c r="GE505" s="151"/>
      <c r="GF505" s="151"/>
      <c r="GG505" s="152"/>
    </row>
    <row r="506" spans="1:189" x14ac:dyDescent="0.35">
      <c r="A506" s="268"/>
      <c r="B506" s="221"/>
      <c r="C506" s="221"/>
      <c r="D506" s="222"/>
      <c r="E506" s="221"/>
      <c r="F506" s="221"/>
      <c r="G506" s="223"/>
      <c r="H506" s="224"/>
      <c r="I506" s="225"/>
      <c r="J506" s="225"/>
      <c r="K506" s="225"/>
      <c r="L506" s="226"/>
      <c r="M506" s="226"/>
      <c r="N506" s="226"/>
      <c r="O506" s="226"/>
      <c r="P506" s="226"/>
      <c r="Q506" s="227"/>
      <c r="R506" s="228"/>
      <c r="S506" s="228"/>
      <c r="T506" s="228"/>
      <c r="U506" s="191">
        <f t="shared" si="503"/>
        <v>0</v>
      </c>
      <c r="V506" s="86"/>
      <c r="W506" s="45"/>
      <c r="X506" s="46"/>
      <c r="Y506" s="167">
        <f t="shared" si="504"/>
        <v>0</v>
      </c>
      <c r="Z506" s="167">
        <f t="shared" si="505"/>
        <v>0</v>
      </c>
      <c r="AA506" s="167">
        <f t="shared" si="506"/>
        <v>0</v>
      </c>
      <c r="AB506" s="167">
        <f t="shared" si="507"/>
        <v>0</v>
      </c>
      <c r="AC506" s="167">
        <f t="shared" si="508"/>
        <v>0</v>
      </c>
      <c r="AD506" s="167">
        <f t="shared" si="509"/>
        <v>0</v>
      </c>
      <c r="AF506" s="47">
        <f t="shared" si="501"/>
        <v>0</v>
      </c>
      <c r="AG506" s="202" t="str">
        <f t="shared" si="502"/>
        <v xml:space="preserve"> </v>
      </c>
      <c r="AH506" s="150"/>
      <c r="AI506" s="151"/>
      <c r="AJ506" s="151"/>
      <c r="AK506" s="151"/>
      <c r="AL506" s="151"/>
      <c r="AM506" s="151"/>
      <c r="AN506" s="151"/>
      <c r="AO506" s="151"/>
      <c r="AP506" s="151"/>
      <c r="AQ506" s="151"/>
      <c r="AR506" s="151"/>
      <c r="AS506" s="151"/>
      <c r="AT506" s="151"/>
      <c r="AU506" s="151"/>
      <c r="AV506" s="151"/>
      <c r="AW506" s="151"/>
      <c r="AX506" s="151"/>
      <c r="AY506" s="151"/>
      <c r="AZ506" s="151"/>
      <c r="BA506" s="151"/>
      <c r="BB506" s="151"/>
      <c r="BC506" s="151"/>
      <c r="BD506" s="151"/>
      <c r="BE506" s="151"/>
      <c r="BF506" s="151"/>
      <c r="BG506" s="151"/>
      <c r="BH506" s="151"/>
      <c r="BI506" s="151"/>
      <c r="BJ506" s="151"/>
      <c r="BK506" s="151"/>
      <c r="BL506" s="151"/>
      <c r="BM506" s="151"/>
      <c r="BN506" s="151"/>
      <c r="BO506" s="151"/>
      <c r="BP506" s="151"/>
      <c r="BQ506" s="151"/>
      <c r="BR506" s="151"/>
      <c r="BS506" s="151"/>
      <c r="BT506" s="151"/>
      <c r="BU506" s="151"/>
      <c r="BV506" s="151"/>
      <c r="BW506" s="151"/>
      <c r="BX506" s="151"/>
      <c r="BY506" s="151"/>
      <c r="BZ506" s="151"/>
      <c r="CA506" s="151"/>
      <c r="CB506" s="151"/>
      <c r="CC506" s="151"/>
      <c r="CD506" s="151"/>
      <c r="CE506" s="151"/>
      <c r="CF506" s="151"/>
      <c r="CG506" s="151"/>
      <c r="CH506" s="151"/>
      <c r="CI506" s="151"/>
      <c r="CJ506" s="151"/>
      <c r="CK506" s="151"/>
      <c r="CL506" s="151"/>
      <c r="CM506" s="151"/>
      <c r="CN506" s="151"/>
      <c r="CO506" s="151"/>
      <c r="CP506" s="151"/>
      <c r="CQ506" s="151"/>
      <c r="CR506" s="151"/>
      <c r="CS506" s="151"/>
      <c r="CT506" s="151"/>
      <c r="CU506" s="151"/>
      <c r="CV506" s="151"/>
      <c r="CW506" s="151"/>
      <c r="CX506" s="151"/>
      <c r="CY506" s="151"/>
      <c r="CZ506" s="151"/>
      <c r="DA506" s="151"/>
      <c r="DB506" s="151"/>
      <c r="DC506" s="151"/>
      <c r="DD506" s="151"/>
      <c r="DE506" s="151"/>
      <c r="DF506" s="151"/>
      <c r="DG506" s="151"/>
      <c r="DH506" s="151"/>
      <c r="DI506" s="151"/>
      <c r="DJ506" s="151"/>
      <c r="DK506" s="151"/>
      <c r="DL506" s="151"/>
      <c r="DM506" s="151"/>
      <c r="DN506" s="151"/>
      <c r="DO506" s="151"/>
      <c r="DP506" s="151"/>
      <c r="DQ506" s="151"/>
      <c r="DR506" s="151"/>
      <c r="DS506" s="151"/>
      <c r="DT506" s="151"/>
      <c r="DU506" s="151"/>
      <c r="DV506" s="151"/>
      <c r="DW506" s="151"/>
      <c r="DX506" s="151"/>
      <c r="DY506" s="151"/>
      <c r="DZ506" s="151"/>
      <c r="EA506" s="151"/>
      <c r="EB506" s="151"/>
      <c r="EC506" s="151"/>
      <c r="ED506" s="151"/>
      <c r="EE506" s="151"/>
      <c r="EF506" s="151"/>
      <c r="EG506" s="151"/>
      <c r="EH506" s="151"/>
      <c r="EI506" s="151"/>
      <c r="EJ506" s="151"/>
      <c r="EK506" s="151"/>
      <c r="EL506" s="151"/>
      <c r="EM506" s="151"/>
      <c r="EN506" s="151"/>
      <c r="EO506" s="151"/>
      <c r="EP506" s="151"/>
      <c r="EQ506" s="151"/>
      <c r="ER506" s="151"/>
      <c r="ES506" s="151"/>
      <c r="ET506" s="151"/>
      <c r="EU506" s="151"/>
      <c r="EV506" s="151"/>
      <c r="EW506" s="151"/>
      <c r="EX506" s="151"/>
      <c r="EY506" s="151"/>
      <c r="EZ506" s="151"/>
      <c r="FA506" s="151"/>
      <c r="FB506" s="151"/>
      <c r="FC506" s="151"/>
      <c r="FD506" s="151"/>
      <c r="FE506" s="151"/>
      <c r="FF506" s="151"/>
      <c r="FG506" s="151"/>
      <c r="FH506" s="151"/>
      <c r="FI506" s="151"/>
      <c r="FJ506" s="151"/>
      <c r="FK506" s="151"/>
      <c r="FL506" s="151"/>
      <c r="FM506" s="151"/>
      <c r="FN506" s="151"/>
      <c r="FO506" s="151"/>
      <c r="FP506" s="151"/>
      <c r="FQ506" s="151"/>
      <c r="FR506" s="151"/>
      <c r="FS506" s="151"/>
      <c r="FT506" s="151"/>
      <c r="FU506" s="151"/>
      <c r="FV506" s="151"/>
      <c r="FW506" s="151"/>
      <c r="FX506" s="151"/>
      <c r="FY506" s="151"/>
      <c r="FZ506" s="151"/>
      <c r="GA506" s="151"/>
      <c r="GB506" s="151"/>
      <c r="GC506" s="151"/>
      <c r="GD506" s="151"/>
      <c r="GE506" s="151"/>
      <c r="GF506" s="151"/>
      <c r="GG506" s="152"/>
    </row>
    <row r="507" spans="1:189" x14ac:dyDescent="0.35">
      <c r="A507" s="268"/>
      <c r="B507" s="221"/>
      <c r="C507" s="221"/>
      <c r="D507" s="222"/>
      <c r="E507" s="221"/>
      <c r="F507" s="221"/>
      <c r="G507" s="223"/>
      <c r="H507" s="224"/>
      <c r="I507" s="225"/>
      <c r="J507" s="225"/>
      <c r="K507" s="225"/>
      <c r="L507" s="226"/>
      <c r="M507" s="226"/>
      <c r="N507" s="226"/>
      <c r="O507" s="226"/>
      <c r="P507" s="226"/>
      <c r="Q507" s="227"/>
      <c r="R507" s="228"/>
      <c r="S507" s="228"/>
      <c r="T507" s="228"/>
      <c r="U507" s="191">
        <f t="shared" si="503"/>
        <v>0</v>
      </c>
      <c r="V507" s="86"/>
      <c r="W507" s="45"/>
      <c r="X507" s="46"/>
      <c r="Y507" s="167">
        <f t="shared" si="504"/>
        <v>0</v>
      </c>
      <c r="Z507" s="167">
        <f t="shared" si="505"/>
        <v>0</v>
      </c>
      <c r="AA507" s="167">
        <f t="shared" si="506"/>
        <v>0</v>
      </c>
      <c r="AB507" s="167">
        <f t="shared" si="507"/>
        <v>0</v>
      </c>
      <c r="AC507" s="167">
        <f t="shared" si="508"/>
        <v>0</v>
      </c>
      <c r="AD507" s="167">
        <f t="shared" si="509"/>
        <v>0</v>
      </c>
      <c r="AF507" s="47">
        <f t="shared" si="501"/>
        <v>0</v>
      </c>
      <c r="AG507" s="202" t="str">
        <f t="shared" si="502"/>
        <v xml:space="preserve"> </v>
      </c>
      <c r="AH507" s="147"/>
      <c r="AI507" s="148"/>
      <c r="AJ507" s="148"/>
      <c r="AK507" s="148"/>
      <c r="AL507" s="148"/>
      <c r="AM507" s="148"/>
      <c r="AN507" s="148"/>
      <c r="AO507" s="148"/>
      <c r="AP507" s="148"/>
      <c r="AQ507" s="148"/>
      <c r="AR507" s="148"/>
      <c r="AS507" s="148"/>
      <c r="AT507" s="148"/>
      <c r="AU507" s="148"/>
      <c r="AV507" s="148"/>
      <c r="AW507" s="148"/>
      <c r="AX507" s="148"/>
      <c r="AY507" s="148"/>
      <c r="AZ507" s="148"/>
      <c r="BA507" s="148"/>
      <c r="BB507" s="148"/>
      <c r="BC507" s="148"/>
      <c r="BD507" s="148"/>
      <c r="BE507" s="148"/>
      <c r="BF507" s="148"/>
      <c r="BG507" s="148"/>
      <c r="BH507" s="148"/>
      <c r="BI507" s="148"/>
      <c r="BJ507" s="148"/>
      <c r="BK507" s="148"/>
      <c r="BL507" s="148"/>
      <c r="BM507" s="148"/>
      <c r="BN507" s="148"/>
      <c r="BO507" s="148"/>
      <c r="BP507" s="148"/>
      <c r="BQ507" s="148"/>
      <c r="BR507" s="148"/>
      <c r="BS507" s="148"/>
      <c r="BT507" s="148"/>
      <c r="BU507" s="148"/>
      <c r="BV507" s="148"/>
      <c r="BW507" s="148"/>
      <c r="BX507" s="148"/>
      <c r="BY507" s="148"/>
      <c r="BZ507" s="148"/>
      <c r="CA507" s="148"/>
      <c r="CB507" s="148"/>
      <c r="CC507" s="148"/>
      <c r="CD507" s="148"/>
      <c r="CE507" s="148"/>
      <c r="CF507" s="148"/>
      <c r="CG507" s="148"/>
      <c r="CH507" s="148"/>
      <c r="CI507" s="148"/>
      <c r="CJ507" s="148"/>
      <c r="CK507" s="148"/>
      <c r="CL507" s="148"/>
      <c r="CM507" s="148"/>
      <c r="CN507" s="148"/>
      <c r="CO507" s="148"/>
      <c r="CP507" s="148"/>
      <c r="CQ507" s="148"/>
      <c r="CR507" s="148"/>
      <c r="CS507" s="148"/>
      <c r="CT507" s="148"/>
      <c r="CU507" s="148"/>
      <c r="CV507" s="148"/>
      <c r="CW507" s="148"/>
      <c r="CX507" s="148"/>
      <c r="CY507" s="148"/>
      <c r="CZ507" s="148"/>
      <c r="DA507" s="148"/>
      <c r="DB507" s="148"/>
      <c r="DC507" s="148"/>
      <c r="DD507" s="148"/>
      <c r="DE507" s="148"/>
      <c r="DF507" s="148"/>
      <c r="DG507" s="148"/>
      <c r="DH507" s="148"/>
      <c r="DI507" s="148"/>
      <c r="DJ507" s="148"/>
      <c r="DK507" s="148"/>
      <c r="DL507" s="148"/>
      <c r="DM507" s="148"/>
      <c r="DN507" s="148"/>
      <c r="DO507" s="148"/>
      <c r="DP507" s="148"/>
      <c r="DQ507" s="148"/>
      <c r="DR507" s="148"/>
      <c r="DS507" s="148"/>
      <c r="DT507" s="148"/>
      <c r="DU507" s="148"/>
      <c r="DV507" s="148"/>
      <c r="DW507" s="148"/>
      <c r="DX507" s="148"/>
      <c r="DY507" s="148"/>
      <c r="DZ507" s="148"/>
      <c r="EA507" s="148"/>
      <c r="EB507" s="148"/>
      <c r="EC507" s="148"/>
      <c r="ED507" s="148"/>
      <c r="EE507" s="148"/>
      <c r="EF507" s="148"/>
      <c r="EG507" s="148"/>
      <c r="EH507" s="148"/>
      <c r="EI507" s="148"/>
      <c r="EJ507" s="148"/>
      <c r="EK507" s="148"/>
      <c r="EL507" s="148"/>
      <c r="EM507" s="148"/>
      <c r="EN507" s="148"/>
      <c r="EO507" s="148"/>
      <c r="EP507" s="148"/>
      <c r="EQ507" s="148"/>
      <c r="ER507" s="148"/>
      <c r="ES507" s="148"/>
      <c r="ET507" s="148"/>
      <c r="EU507" s="148"/>
      <c r="EV507" s="148"/>
      <c r="EW507" s="148"/>
      <c r="EX507" s="148"/>
      <c r="EY507" s="148"/>
      <c r="EZ507" s="148"/>
      <c r="FA507" s="148"/>
      <c r="FB507" s="148"/>
      <c r="FC507" s="148"/>
      <c r="FD507" s="148"/>
      <c r="FE507" s="148"/>
      <c r="FF507" s="148"/>
      <c r="FG507" s="148"/>
      <c r="FH507" s="148"/>
      <c r="FI507" s="148"/>
      <c r="FJ507" s="148"/>
      <c r="FK507" s="148"/>
      <c r="FL507" s="148"/>
      <c r="FM507" s="148"/>
      <c r="FN507" s="148"/>
      <c r="FO507" s="148"/>
      <c r="FP507" s="148"/>
      <c r="FQ507" s="148"/>
      <c r="FR507" s="148"/>
      <c r="FS507" s="148"/>
      <c r="FT507" s="148"/>
      <c r="FU507" s="148"/>
      <c r="FV507" s="148"/>
      <c r="FW507" s="148"/>
      <c r="FX507" s="148"/>
      <c r="FY507" s="148"/>
      <c r="FZ507" s="148"/>
      <c r="GA507" s="148"/>
      <c r="GB507" s="148"/>
      <c r="GC507" s="148"/>
      <c r="GD507" s="148"/>
      <c r="GE507" s="148"/>
      <c r="GF507" s="148"/>
      <c r="GG507" s="149"/>
    </row>
    <row r="508" spans="1:189" x14ac:dyDescent="0.35">
      <c r="A508" s="268"/>
      <c r="B508" s="221"/>
      <c r="C508" s="221"/>
      <c r="D508" s="222"/>
      <c r="E508" s="221"/>
      <c r="F508" s="221"/>
      <c r="G508" s="223"/>
      <c r="H508" s="224"/>
      <c r="I508" s="225"/>
      <c r="J508" s="225"/>
      <c r="K508" s="225"/>
      <c r="L508" s="226"/>
      <c r="M508" s="226"/>
      <c r="N508" s="226"/>
      <c r="O508" s="226"/>
      <c r="P508" s="226"/>
      <c r="Q508" s="227"/>
      <c r="R508" s="228"/>
      <c r="S508" s="228"/>
      <c r="T508" s="228"/>
      <c r="U508" s="191">
        <f t="shared" si="503"/>
        <v>0</v>
      </c>
      <c r="V508" s="86"/>
      <c r="W508" s="45"/>
      <c r="X508" s="46"/>
      <c r="Y508" s="167">
        <f t="shared" si="504"/>
        <v>0</v>
      </c>
      <c r="Z508" s="167">
        <f t="shared" si="505"/>
        <v>0</v>
      </c>
      <c r="AA508" s="167">
        <f t="shared" si="506"/>
        <v>0</v>
      </c>
      <c r="AB508" s="167">
        <f t="shared" si="507"/>
        <v>0</v>
      </c>
      <c r="AC508" s="167">
        <f t="shared" si="508"/>
        <v>0</v>
      </c>
      <c r="AD508" s="167">
        <f t="shared" si="509"/>
        <v>0</v>
      </c>
      <c r="AF508" s="47">
        <f t="shared" si="501"/>
        <v>0</v>
      </c>
      <c r="AG508" s="202" t="str">
        <f t="shared" si="502"/>
        <v xml:space="preserve"> </v>
      </c>
      <c r="AH508" s="150"/>
      <c r="AI508" s="151"/>
      <c r="AJ508" s="151"/>
      <c r="AK508" s="151"/>
      <c r="AL508" s="151"/>
      <c r="AM508" s="151"/>
      <c r="AN508" s="151"/>
      <c r="AO508" s="151"/>
      <c r="AP508" s="151"/>
      <c r="AQ508" s="151"/>
      <c r="AR508" s="151"/>
      <c r="AS508" s="151"/>
      <c r="AT508" s="151"/>
      <c r="AU508" s="151"/>
      <c r="AV508" s="151"/>
      <c r="AW508" s="151"/>
      <c r="AX508" s="151"/>
      <c r="AY508" s="151"/>
      <c r="AZ508" s="151"/>
      <c r="BA508" s="151"/>
      <c r="BB508" s="151"/>
      <c r="BC508" s="151"/>
      <c r="BD508" s="151"/>
      <c r="BE508" s="151"/>
      <c r="BF508" s="151"/>
      <c r="BG508" s="151"/>
      <c r="BH508" s="151"/>
      <c r="BI508" s="151"/>
      <c r="BJ508" s="151"/>
      <c r="BK508" s="151"/>
      <c r="BL508" s="151"/>
      <c r="BM508" s="151"/>
      <c r="BN508" s="151"/>
      <c r="BO508" s="151"/>
      <c r="BP508" s="151"/>
      <c r="BQ508" s="151"/>
      <c r="BR508" s="151"/>
      <c r="BS508" s="151"/>
      <c r="BT508" s="151"/>
      <c r="BU508" s="151"/>
      <c r="BV508" s="151"/>
      <c r="BW508" s="151"/>
      <c r="BX508" s="151"/>
      <c r="BY508" s="151"/>
      <c r="BZ508" s="151"/>
      <c r="CA508" s="151"/>
      <c r="CB508" s="151"/>
      <c r="CC508" s="151"/>
      <c r="CD508" s="151"/>
      <c r="CE508" s="151"/>
      <c r="CF508" s="151"/>
      <c r="CG508" s="151"/>
      <c r="CH508" s="151"/>
      <c r="CI508" s="151"/>
      <c r="CJ508" s="151"/>
      <c r="CK508" s="151"/>
      <c r="CL508" s="151"/>
      <c r="CM508" s="151"/>
      <c r="CN508" s="151"/>
      <c r="CO508" s="151"/>
      <c r="CP508" s="151"/>
      <c r="CQ508" s="151"/>
      <c r="CR508" s="151"/>
      <c r="CS508" s="151"/>
      <c r="CT508" s="151"/>
      <c r="CU508" s="151"/>
      <c r="CV508" s="151"/>
      <c r="CW508" s="151"/>
      <c r="CX508" s="151"/>
      <c r="CY508" s="151"/>
      <c r="CZ508" s="151"/>
      <c r="DA508" s="151"/>
      <c r="DB508" s="151"/>
      <c r="DC508" s="151"/>
      <c r="DD508" s="151"/>
      <c r="DE508" s="151"/>
      <c r="DF508" s="151"/>
      <c r="DG508" s="151"/>
      <c r="DH508" s="151"/>
      <c r="DI508" s="151"/>
      <c r="DJ508" s="151"/>
      <c r="DK508" s="151"/>
      <c r="DL508" s="151"/>
      <c r="DM508" s="151"/>
      <c r="DN508" s="151"/>
      <c r="DO508" s="151"/>
      <c r="DP508" s="151"/>
      <c r="DQ508" s="151"/>
      <c r="DR508" s="151"/>
      <c r="DS508" s="151"/>
      <c r="DT508" s="151"/>
      <c r="DU508" s="151"/>
      <c r="DV508" s="151"/>
      <c r="DW508" s="151"/>
      <c r="DX508" s="151"/>
      <c r="DY508" s="151"/>
      <c r="DZ508" s="151"/>
      <c r="EA508" s="151"/>
      <c r="EB508" s="151"/>
      <c r="EC508" s="151"/>
      <c r="ED508" s="151"/>
      <c r="EE508" s="151"/>
      <c r="EF508" s="151"/>
      <c r="EG508" s="151"/>
      <c r="EH508" s="151"/>
      <c r="EI508" s="151"/>
      <c r="EJ508" s="151"/>
      <c r="EK508" s="151"/>
      <c r="EL508" s="151"/>
      <c r="EM508" s="151"/>
      <c r="EN508" s="151"/>
      <c r="EO508" s="151"/>
      <c r="EP508" s="151"/>
      <c r="EQ508" s="151"/>
      <c r="ER508" s="151"/>
      <c r="ES508" s="151"/>
      <c r="ET508" s="151"/>
      <c r="EU508" s="151"/>
      <c r="EV508" s="151"/>
      <c r="EW508" s="151"/>
      <c r="EX508" s="151"/>
      <c r="EY508" s="151"/>
      <c r="EZ508" s="151"/>
      <c r="FA508" s="151"/>
      <c r="FB508" s="151"/>
      <c r="FC508" s="151"/>
      <c r="FD508" s="151"/>
      <c r="FE508" s="151"/>
      <c r="FF508" s="151"/>
      <c r="FG508" s="151"/>
      <c r="FH508" s="151"/>
      <c r="FI508" s="151"/>
      <c r="FJ508" s="151"/>
      <c r="FK508" s="151"/>
      <c r="FL508" s="151"/>
      <c r="FM508" s="151"/>
      <c r="FN508" s="151"/>
      <c r="FO508" s="151"/>
      <c r="FP508" s="151"/>
      <c r="FQ508" s="151"/>
      <c r="FR508" s="151"/>
      <c r="FS508" s="151"/>
      <c r="FT508" s="151"/>
      <c r="FU508" s="151"/>
      <c r="FV508" s="151"/>
      <c r="FW508" s="151"/>
      <c r="FX508" s="151"/>
      <c r="FY508" s="151"/>
      <c r="FZ508" s="151"/>
      <c r="GA508" s="151"/>
      <c r="GB508" s="151"/>
      <c r="GC508" s="151"/>
      <c r="GD508" s="151"/>
      <c r="GE508" s="151"/>
      <c r="GF508" s="151"/>
      <c r="GG508" s="152"/>
    </row>
    <row r="509" spans="1:189" x14ac:dyDescent="0.35">
      <c r="A509" s="268"/>
      <c r="B509" s="221"/>
      <c r="C509" s="221"/>
      <c r="D509" s="222"/>
      <c r="E509" s="221"/>
      <c r="F509" s="221"/>
      <c r="G509" s="223"/>
      <c r="H509" s="224"/>
      <c r="I509" s="225"/>
      <c r="J509" s="225"/>
      <c r="K509" s="225"/>
      <c r="L509" s="226"/>
      <c r="M509" s="226"/>
      <c r="N509" s="226"/>
      <c r="O509" s="226"/>
      <c r="P509" s="226"/>
      <c r="Q509" s="227"/>
      <c r="R509" s="228"/>
      <c r="S509" s="228"/>
      <c r="T509" s="228"/>
      <c r="U509" s="191">
        <f t="shared" si="503"/>
        <v>0</v>
      </c>
      <c r="V509" s="86"/>
      <c r="W509" s="45"/>
      <c r="X509" s="46"/>
      <c r="Y509" s="167">
        <f t="shared" si="504"/>
        <v>0</v>
      </c>
      <c r="Z509" s="167">
        <f t="shared" si="505"/>
        <v>0</v>
      </c>
      <c r="AA509" s="167">
        <f t="shared" si="506"/>
        <v>0</v>
      </c>
      <c r="AB509" s="167">
        <f t="shared" si="507"/>
        <v>0</v>
      </c>
      <c r="AC509" s="167">
        <f t="shared" si="508"/>
        <v>0</v>
      </c>
      <c r="AD509" s="167">
        <f t="shared" si="509"/>
        <v>0</v>
      </c>
      <c r="AF509" s="47">
        <f t="shared" si="501"/>
        <v>0</v>
      </c>
      <c r="AG509" s="202" t="str">
        <f t="shared" si="502"/>
        <v xml:space="preserve"> </v>
      </c>
      <c r="AH509" s="150"/>
      <c r="AI509" s="151"/>
      <c r="AJ509" s="151"/>
      <c r="AK509" s="151"/>
      <c r="AL509" s="151"/>
      <c r="AM509" s="151"/>
      <c r="AN509" s="151"/>
      <c r="AO509" s="151"/>
      <c r="AP509" s="151"/>
      <c r="AQ509" s="151"/>
      <c r="AR509" s="151"/>
      <c r="AS509" s="151"/>
      <c r="AT509" s="151"/>
      <c r="AU509" s="151"/>
      <c r="AV509" s="151"/>
      <c r="AW509" s="151"/>
      <c r="AX509" s="151"/>
      <c r="AY509" s="151"/>
      <c r="AZ509" s="151"/>
      <c r="BA509" s="151"/>
      <c r="BB509" s="151"/>
      <c r="BC509" s="151"/>
      <c r="BD509" s="151"/>
      <c r="BE509" s="151"/>
      <c r="BF509" s="151"/>
      <c r="BG509" s="151"/>
      <c r="BH509" s="151"/>
      <c r="BI509" s="151"/>
      <c r="BJ509" s="151"/>
      <c r="BK509" s="151"/>
      <c r="BL509" s="151"/>
      <c r="BM509" s="151"/>
      <c r="BN509" s="151"/>
      <c r="BO509" s="151"/>
      <c r="BP509" s="151"/>
      <c r="BQ509" s="151"/>
      <c r="BR509" s="151"/>
      <c r="BS509" s="151"/>
      <c r="BT509" s="151"/>
      <c r="BU509" s="151"/>
      <c r="BV509" s="151"/>
      <c r="BW509" s="151"/>
      <c r="BX509" s="151"/>
      <c r="BY509" s="151"/>
      <c r="BZ509" s="151"/>
      <c r="CA509" s="151"/>
      <c r="CB509" s="151"/>
      <c r="CC509" s="151"/>
      <c r="CD509" s="151"/>
      <c r="CE509" s="151"/>
      <c r="CF509" s="151"/>
      <c r="CG509" s="151"/>
      <c r="CH509" s="151"/>
      <c r="CI509" s="151"/>
      <c r="CJ509" s="151"/>
      <c r="CK509" s="151"/>
      <c r="CL509" s="151"/>
      <c r="CM509" s="151"/>
      <c r="CN509" s="151"/>
      <c r="CO509" s="151"/>
      <c r="CP509" s="151"/>
      <c r="CQ509" s="151"/>
      <c r="CR509" s="151"/>
      <c r="CS509" s="151"/>
      <c r="CT509" s="151"/>
      <c r="CU509" s="151"/>
      <c r="CV509" s="151"/>
      <c r="CW509" s="151"/>
      <c r="CX509" s="151"/>
      <c r="CY509" s="151"/>
      <c r="CZ509" s="151"/>
      <c r="DA509" s="151"/>
      <c r="DB509" s="151"/>
      <c r="DC509" s="151"/>
      <c r="DD509" s="151"/>
      <c r="DE509" s="151"/>
      <c r="DF509" s="151"/>
      <c r="DG509" s="151"/>
      <c r="DH509" s="151"/>
      <c r="DI509" s="151"/>
      <c r="DJ509" s="151"/>
      <c r="DK509" s="151"/>
      <c r="DL509" s="151"/>
      <c r="DM509" s="151"/>
      <c r="DN509" s="151"/>
      <c r="DO509" s="151"/>
      <c r="DP509" s="151"/>
      <c r="DQ509" s="151"/>
      <c r="DR509" s="151"/>
      <c r="DS509" s="151"/>
      <c r="DT509" s="151"/>
      <c r="DU509" s="151"/>
      <c r="DV509" s="151"/>
      <c r="DW509" s="151"/>
      <c r="DX509" s="151"/>
      <c r="DY509" s="151"/>
      <c r="DZ509" s="151"/>
      <c r="EA509" s="151"/>
      <c r="EB509" s="151"/>
      <c r="EC509" s="151"/>
      <c r="ED509" s="151"/>
      <c r="EE509" s="151"/>
      <c r="EF509" s="151"/>
      <c r="EG509" s="151"/>
      <c r="EH509" s="151"/>
      <c r="EI509" s="151"/>
      <c r="EJ509" s="151"/>
      <c r="EK509" s="151"/>
      <c r="EL509" s="151"/>
      <c r="EM509" s="151"/>
      <c r="EN509" s="151"/>
      <c r="EO509" s="151"/>
      <c r="EP509" s="151"/>
      <c r="EQ509" s="151"/>
      <c r="ER509" s="151"/>
      <c r="ES509" s="151"/>
      <c r="ET509" s="151"/>
      <c r="EU509" s="151"/>
      <c r="EV509" s="151"/>
      <c r="EW509" s="151"/>
      <c r="EX509" s="151"/>
      <c r="EY509" s="151"/>
      <c r="EZ509" s="151"/>
      <c r="FA509" s="151"/>
      <c r="FB509" s="151"/>
      <c r="FC509" s="151"/>
      <c r="FD509" s="151"/>
      <c r="FE509" s="151"/>
      <c r="FF509" s="151"/>
      <c r="FG509" s="151"/>
      <c r="FH509" s="151"/>
      <c r="FI509" s="151"/>
      <c r="FJ509" s="151"/>
      <c r="FK509" s="151"/>
      <c r="FL509" s="151"/>
      <c r="FM509" s="151"/>
      <c r="FN509" s="151"/>
      <c r="FO509" s="151"/>
      <c r="FP509" s="151"/>
      <c r="FQ509" s="151"/>
      <c r="FR509" s="151"/>
      <c r="FS509" s="151"/>
      <c r="FT509" s="151"/>
      <c r="FU509" s="151"/>
      <c r="FV509" s="151"/>
      <c r="FW509" s="151"/>
      <c r="FX509" s="151"/>
      <c r="FY509" s="151"/>
      <c r="FZ509" s="151"/>
      <c r="GA509" s="151"/>
      <c r="GB509" s="151"/>
      <c r="GC509" s="151"/>
      <c r="GD509" s="151"/>
      <c r="GE509" s="151"/>
      <c r="GF509" s="151"/>
      <c r="GG509" s="152"/>
    </row>
    <row r="510" spans="1:189" x14ac:dyDescent="0.35">
      <c r="A510" s="268"/>
      <c r="B510" s="221"/>
      <c r="C510" s="221"/>
      <c r="D510" s="222"/>
      <c r="E510" s="221"/>
      <c r="F510" s="221"/>
      <c r="G510" s="223"/>
      <c r="H510" s="224"/>
      <c r="I510" s="225"/>
      <c r="J510" s="225"/>
      <c r="K510" s="225"/>
      <c r="L510" s="226"/>
      <c r="M510" s="226"/>
      <c r="N510" s="226"/>
      <c r="O510" s="226"/>
      <c r="P510" s="226"/>
      <c r="Q510" s="227"/>
      <c r="R510" s="228"/>
      <c r="S510" s="228"/>
      <c r="T510" s="228"/>
      <c r="U510" s="191">
        <f t="shared" si="503"/>
        <v>0</v>
      </c>
      <c r="V510" s="86"/>
      <c r="W510" s="45"/>
      <c r="X510" s="46"/>
      <c r="Y510" s="167">
        <f t="shared" si="504"/>
        <v>0</v>
      </c>
      <c r="Z510" s="167">
        <f t="shared" si="505"/>
        <v>0</v>
      </c>
      <c r="AA510" s="167">
        <f t="shared" si="506"/>
        <v>0</v>
      </c>
      <c r="AB510" s="167">
        <f t="shared" si="507"/>
        <v>0</v>
      </c>
      <c r="AC510" s="167">
        <f t="shared" si="508"/>
        <v>0</v>
      </c>
      <c r="AD510" s="167">
        <f t="shared" si="509"/>
        <v>0</v>
      </c>
      <c r="AF510" s="47">
        <f t="shared" si="501"/>
        <v>0</v>
      </c>
      <c r="AG510" s="202" t="str">
        <f t="shared" si="502"/>
        <v xml:space="preserve"> </v>
      </c>
      <c r="AH510" s="150"/>
      <c r="AI510" s="151"/>
      <c r="AJ510" s="151"/>
      <c r="AK510" s="151"/>
      <c r="AL510" s="151"/>
      <c r="AM510" s="151"/>
      <c r="AN510" s="151"/>
      <c r="AO510" s="151"/>
      <c r="AP510" s="151"/>
      <c r="AQ510" s="151"/>
      <c r="AR510" s="151"/>
      <c r="AS510" s="151"/>
      <c r="AT510" s="151"/>
      <c r="AU510" s="151"/>
      <c r="AV510" s="151"/>
      <c r="AW510" s="151"/>
      <c r="AX510" s="151"/>
      <c r="AY510" s="151"/>
      <c r="AZ510" s="151"/>
      <c r="BA510" s="151"/>
      <c r="BB510" s="151"/>
      <c r="BC510" s="151"/>
      <c r="BD510" s="151"/>
      <c r="BE510" s="151"/>
      <c r="BF510" s="151"/>
      <c r="BG510" s="151"/>
      <c r="BH510" s="151"/>
      <c r="BI510" s="151"/>
      <c r="BJ510" s="151"/>
      <c r="BK510" s="151"/>
      <c r="BL510" s="151"/>
      <c r="BM510" s="151"/>
      <c r="BN510" s="151"/>
      <c r="BO510" s="151"/>
      <c r="BP510" s="151"/>
      <c r="BQ510" s="151"/>
      <c r="BR510" s="151"/>
      <c r="BS510" s="151"/>
      <c r="BT510" s="151"/>
      <c r="BU510" s="151"/>
      <c r="BV510" s="151"/>
      <c r="BW510" s="151"/>
      <c r="BX510" s="151"/>
      <c r="BY510" s="151"/>
      <c r="BZ510" s="151"/>
      <c r="CA510" s="151"/>
      <c r="CB510" s="151"/>
      <c r="CC510" s="151"/>
      <c r="CD510" s="151"/>
      <c r="CE510" s="151"/>
      <c r="CF510" s="151"/>
      <c r="CG510" s="151"/>
      <c r="CH510" s="151"/>
      <c r="CI510" s="151"/>
      <c r="CJ510" s="151"/>
      <c r="CK510" s="151"/>
      <c r="CL510" s="151"/>
      <c r="CM510" s="151"/>
      <c r="CN510" s="151"/>
      <c r="CO510" s="151"/>
      <c r="CP510" s="151"/>
      <c r="CQ510" s="151"/>
      <c r="CR510" s="151"/>
      <c r="CS510" s="151"/>
      <c r="CT510" s="151"/>
      <c r="CU510" s="151"/>
      <c r="CV510" s="151"/>
      <c r="CW510" s="151"/>
      <c r="CX510" s="151"/>
      <c r="CY510" s="151"/>
      <c r="CZ510" s="151"/>
      <c r="DA510" s="151"/>
      <c r="DB510" s="151"/>
      <c r="DC510" s="151"/>
      <c r="DD510" s="151"/>
      <c r="DE510" s="151"/>
      <c r="DF510" s="151"/>
      <c r="DG510" s="151"/>
      <c r="DH510" s="151"/>
      <c r="DI510" s="151"/>
      <c r="DJ510" s="151"/>
      <c r="DK510" s="151"/>
      <c r="DL510" s="151"/>
      <c r="DM510" s="151"/>
      <c r="DN510" s="151"/>
      <c r="DO510" s="151"/>
      <c r="DP510" s="151"/>
      <c r="DQ510" s="151"/>
      <c r="DR510" s="151"/>
      <c r="DS510" s="151"/>
      <c r="DT510" s="151"/>
      <c r="DU510" s="151"/>
      <c r="DV510" s="151"/>
      <c r="DW510" s="151"/>
      <c r="DX510" s="151"/>
      <c r="DY510" s="151"/>
      <c r="DZ510" s="151"/>
      <c r="EA510" s="151"/>
      <c r="EB510" s="151"/>
      <c r="EC510" s="151"/>
      <c r="ED510" s="151"/>
      <c r="EE510" s="151"/>
      <c r="EF510" s="151"/>
      <c r="EG510" s="151"/>
      <c r="EH510" s="151"/>
      <c r="EI510" s="151"/>
      <c r="EJ510" s="151"/>
      <c r="EK510" s="151"/>
      <c r="EL510" s="151"/>
      <c r="EM510" s="151"/>
      <c r="EN510" s="151"/>
      <c r="EO510" s="151"/>
      <c r="EP510" s="151"/>
      <c r="EQ510" s="151"/>
      <c r="ER510" s="151"/>
      <c r="ES510" s="151"/>
      <c r="ET510" s="151"/>
      <c r="EU510" s="151"/>
      <c r="EV510" s="151"/>
      <c r="EW510" s="151"/>
      <c r="EX510" s="151"/>
      <c r="EY510" s="151"/>
      <c r="EZ510" s="151"/>
      <c r="FA510" s="151"/>
      <c r="FB510" s="151"/>
      <c r="FC510" s="151"/>
      <c r="FD510" s="151"/>
      <c r="FE510" s="151"/>
      <c r="FF510" s="151"/>
      <c r="FG510" s="151"/>
      <c r="FH510" s="151"/>
      <c r="FI510" s="151"/>
      <c r="FJ510" s="151"/>
      <c r="FK510" s="151"/>
      <c r="FL510" s="151"/>
      <c r="FM510" s="151"/>
      <c r="FN510" s="151"/>
      <c r="FO510" s="151"/>
      <c r="FP510" s="151"/>
      <c r="FQ510" s="151"/>
      <c r="FR510" s="151"/>
      <c r="FS510" s="151"/>
      <c r="FT510" s="151"/>
      <c r="FU510" s="151"/>
      <c r="FV510" s="151"/>
      <c r="FW510" s="151"/>
      <c r="FX510" s="151"/>
      <c r="FY510" s="151"/>
      <c r="FZ510" s="151"/>
      <c r="GA510" s="151"/>
      <c r="GB510" s="151"/>
      <c r="GC510" s="151"/>
      <c r="GD510" s="151"/>
      <c r="GE510" s="151"/>
      <c r="GF510" s="151"/>
      <c r="GG510" s="152"/>
    </row>
    <row r="511" spans="1:189" x14ac:dyDescent="0.35">
      <c r="A511" s="268"/>
      <c r="B511" s="221"/>
      <c r="C511" s="221"/>
      <c r="D511" s="222"/>
      <c r="E511" s="221"/>
      <c r="F511" s="221"/>
      <c r="G511" s="223"/>
      <c r="H511" s="224"/>
      <c r="I511" s="225"/>
      <c r="J511" s="225"/>
      <c r="K511" s="225"/>
      <c r="L511" s="226"/>
      <c r="M511" s="226"/>
      <c r="N511" s="226"/>
      <c r="O511" s="226"/>
      <c r="P511" s="226"/>
      <c r="Q511" s="227"/>
      <c r="R511" s="228"/>
      <c r="S511" s="228"/>
      <c r="T511" s="228"/>
      <c r="U511" s="191">
        <f t="shared" si="503"/>
        <v>0</v>
      </c>
      <c r="V511" s="86"/>
      <c r="W511" s="45"/>
      <c r="X511" s="46"/>
      <c r="Y511" s="167">
        <f t="shared" si="504"/>
        <v>0</v>
      </c>
      <c r="Z511" s="167">
        <f t="shared" si="505"/>
        <v>0</v>
      </c>
      <c r="AA511" s="167">
        <f t="shared" si="506"/>
        <v>0</v>
      </c>
      <c r="AB511" s="167">
        <f t="shared" si="507"/>
        <v>0</v>
      </c>
      <c r="AC511" s="167">
        <f t="shared" si="508"/>
        <v>0</v>
      </c>
      <c r="AD511" s="167">
        <f t="shared" si="509"/>
        <v>0</v>
      </c>
      <c r="AF511" s="47">
        <f t="shared" si="501"/>
        <v>0</v>
      </c>
      <c r="AG511" s="202" t="str">
        <f t="shared" si="502"/>
        <v xml:space="preserve"> </v>
      </c>
      <c r="AH511" s="147"/>
      <c r="AI511" s="148"/>
      <c r="AJ511" s="148"/>
      <c r="AK511" s="148"/>
      <c r="AL511" s="148"/>
      <c r="AM511" s="148"/>
      <c r="AN511" s="148"/>
      <c r="AO511" s="148"/>
      <c r="AP511" s="148"/>
      <c r="AQ511" s="148"/>
      <c r="AR511" s="148"/>
      <c r="AS511" s="148"/>
      <c r="AT511" s="148"/>
      <c r="AU511" s="148"/>
      <c r="AV511" s="148"/>
      <c r="AW511" s="148"/>
      <c r="AX511" s="148"/>
      <c r="AY511" s="148"/>
      <c r="AZ511" s="148"/>
      <c r="BA511" s="148"/>
      <c r="BB511" s="148"/>
      <c r="BC511" s="148"/>
      <c r="BD511" s="148"/>
      <c r="BE511" s="148"/>
      <c r="BF511" s="148"/>
      <c r="BG511" s="148"/>
      <c r="BH511" s="148"/>
      <c r="BI511" s="148"/>
      <c r="BJ511" s="148"/>
      <c r="BK511" s="148"/>
      <c r="BL511" s="148"/>
      <c r="BM511" s="148"/>
      <c r="BN511" s="148"/>
      <c r="BO511" s="148"/>
      <c r="BP511" s="148"/>
      <c r="BQ511" s="148"/>
      <c r="BR511" s="148"/>
      <c r="BS511" s="148"/>
      <c r="BT511" s="148"/>
      <c r="BU511" s="148"/>
      <c r="BV511" s="148"/>
      <c r="BW511" s="148"/>
      <c r="BX511" s="148"/>
      <c r="BY511" s="148"/>
      <c r="BZ511" s="148"/>
      <c r="CA511" s="148"/>
      <c r="CB511" s="148"/>
      <c r="CC511" s="148"/>
      <c r="CD511" s="148"/>
      <c r="CE511" s="148"/>
      <c r="CF511" s="148"/>
      <c r="CG511" s="148"/>
      <c r="CH511" s="148"/>
      <c r="CI511" s="148"/>
      <c r="CJ511" s="148"/>
      <c r="CK511" s="148"/>
      <c r="CL511" s="148"/>
      <c r="CM511" s="148"/>
      <c r="CN511" s="148"/>
      <c r="CO511" s="148"/>
      <c r="CP511" s="148"/>
      <c r="CQ511" s="148"/>
      <c r="CR511" s="148"/>
      <c r="CS511" s="148"/>
      <c r="CT511" s="148"/>
      <c r="CU511" s="148"/>
      <c r="CV511" s="148"/>
      <c r="CW511" s="148"/>
      <c r="CX511" s="148"/>
      <c r="CY511" s="148"/>
      <c r="CZ511" s="148"/>
      <c r="DA511" s="148"/>
      <c r="DB511" s="148"/>
      <c r="DC511" s="148"/>
      <c r="DD511" s="148"/>
      <c r="DE511" s="148"/>
      <c r="DF511" s="148"/>
      <c r="DG511" s="148"/>
      <c r="DH511" s="148"/>
      <c r="DI511" s="148"/>
      <c r="DJ511" s="148"/>
      <c r="DK511" s="148"/>
      <c r="DL511" s="148"/>
      <c r="DM511" s="148"/>
      <c r="DN511" s="148"/>
      <c r="DO511" s="148"/>
      <c r="DP511" s="148"/>
      <c r="DQ511" s="148"/>
      <c r="DR511" s="148"/>
      <c r="DS511" s="148"/>
      <c r="DT511" s="148"/>
      <c r="DU511" s="148"/>
      <c r="DV511" s="148"/>
      <c r="DW511" s="148"/>
      <c r="DX511" s="148"/>
      <c r="DY511" s="148"/>
      <c r="DZ511" s="148"/>
      <c r="EA511" s="148"/>
      <c r="EB511" s="148"/>
      <c r="EC511" s="148"/>
      <c r="ED511" s="148"/>
      <c r="EE511" s="148"/>
      <c r="EF511" s="148"/>
      <c r="EG511" s="148"/>
      <c r="EH511" s="148"/>
      <c r="EI511" s="148"/>
      <c r="EJ511" s="148"/>
      <c r="EK511" s="148"/>
      <c r="EL511" s="148"/>
      <c r="EM511" s="148"/>
      <c r="EN511" s="148"/>
      <c r="EO511" s="148"/>
      <c r="EP511" s="148"/>
      <c r="EQ511" s="148"/>
      <c r="ER511" s="148"/>
      <c r="ES511" s="148"/>
      <c r="ET511" s="148"/>
      <c r="EU511" s="148"/>
      <c r="EV511" s="148"/>
      <c r="EW511" s="148"/>
      <c r="EX511" s="148"/>
      <c r="EY511" s="148"/>
      <c r="EZ511" s="148"/>
      <c r="FA511" s="148"/>
      <c r="FB511" s="148"/>
      <c r="FC511" s="148"/>
      <c r="FD511" s="148"/>
      <c r="FE511" s="148"/>
      <c r="FF511" s="148"/>
      <c r="FG511" s="148"/>
      <c r="FH511" s="148"/>
      <c r="FI511" s="148"/>
      <c r="FJ511" s="148"/>
      <c r="FK511" s="148"/>
      <c r="FL511" s="148"/>
      <c r="FM511" s="148"/>
      <c r="FN511" s="148"/>
      <c r="FO511" s="148"/>
      <c r="FP511" s="148"/>
      <c r="FQ511" s="148"/>
      <c r="FR511" s="148"/>
      <c r="FS511" s="148"/>
      <c r="FT511" s="148"/>
      <c r="FU511" s="148"/>
      <c r="FV511" s="148"/>
      <c r="FW511" s="148"/>
      <c r="FX511" s="148"/>
      <c r="FY511" s="148"/>
      <c r="FZ511" s="148"/>
      <c r="GA511" s="148"/>
      <c r="GB511" s="148"/>
      <c r="GC511" s="148"/>
      <c r="GD511" s="148"/>
      <c r="GE511" s="148"/>
      <c r="GF511" s="148"/>
      <c r="GG511" s="149"/>
    </row>
    <row r="512" spans="1:189" x14ac:dyDescent="0.35">
      <c r="A512" s="268"/>
      <c r="B512" s="221"/>
      <c r="C512" s="221"/>
      <c r="D512" s="222"/>
      <c r="E512" s="221"/>
      <c r="F512" s="221"/>
      <c r="G512" s="223"/>
      <c r="H512" s="224"/>
      <c r="I512" s="225"/>
      <c r="J512" s="225"/>
      <c r="K512" s="225"/>
      <c r="L512" s="226"/>
      <c r="M512" s="226"/>
      <c r="N512" s="226"/>
      <c r="O512" s="226"/>
      <c r="P512" s="226"/>
      <c r="Q512" s="227"/>
      <c r="R512" s="228"/>
      <c r="S512" s="228"/>
      <c r="T512" s="228"/>
      <c r="U512" s="191">
        <f t="shared" si="503"/>
        <v>0</v>
      </c>
      <c r="V512" s="86"/>
      <c r="W512" s="45"/>
      <c r="X512" s="46"/>
      <c r="Y512" s="167">
        <f t="shared" si="504"/>
        <v>0</v>
      </c>
      <c r="Z512" s="167">
        <f t="shared" si="505"/>
        <v>0</v>
      </c>
      <c r="AA512" s="167">
        <f t="shared" si="506"/>
        <v>0</v>
      </c>
      <c r="AB512" s="167">
        <f t="shared" si="507"/>
        <v>0</v>
      </c>
      <c r="AC512" s="167">
        <f t="shared" si="508"/>
        <v>0</v>
      </c>
      <c r="AD512" s="167">
        <f t="shared" si="509"/>
        <v>0</v>
      </c>
      <c r="AF512" s="47">
        <f t="shared" si="501"/>
        <v>0</v>
      </c>
      <c r="AG512" s="202" t="str">
        <f t="shared" si="502"/>
        <v xml:space="preserve"> </v>
      </c>
      <c r="AH512" s="150"/>
      <c r="AI512" s="151"/>
      <c r="AJ512" s="151"/>
      <c r="AK512" s="151"/>
      <c r="AL512" s="151"/>
      <c r="AM512" s="151"/>
      <c r="AN512" s="151"/>
      <c r="AO512" s="151"/>
      <c r="AP512" s="151"/>
      <c r="AQ512" s="151"/>
      <c r="AR512" s="151"/>
      <c r="AS512" s="151"/>
      <c r="AT512" s="151"/>
      <c r="AU512" s="151"/>
      <c r="AV512" s="151"/>
      <c r="AW512" s="151"/>
      <c r="AX512" s="151"/>
      <c r="AY512" s="151"/>
      <c r="AZ512" s="151"/>
      <c r="BA512" s="151"/>
      <c r="BB512" s="151"/>
      <c r="BC512" s="151"/>
      <c r="BD512" s="151"/>
      <c r="BE512" s="151"/>
      <c r="BF512" s="151"/>
      <c r="BG512" s="151"/>
      <c r="BH512" s="151"/>
      <c r="BI512" s="151"/>
      <c r="BJ512" s="151"/>
      <c r="BK512" s="151"/>
      <c r="BL512" s="151"/>
      <c r="BM512" s="151"/>
      <c r="BN512" s="151"/>
      <c r="BO512" s="151"/>
      <c r="BP512" s="151"/>
      <c r="BQ512" s="151"/>
      <c r="BR512" s="151"/>
      <c r="BS512" s="151"/>
      <c r="BT512" s="151"/>
      <c r="BU512" s="151"/>
      <c r="BV512" s="151"/>
      <c r="BW512" s="151"/>
      <c r="BX512" s="151"/>
      <c r="BY512" s="151"/>
      <c r="BZ512" s="151"/>
      <c r="CA512" s="151"/>
      <c r="CB512" s="151"/>
      <c r="CC512" s="151"/>
      <c r="CD512" s="151"/>
      <c r="CE512" s="151"/>
      <c r="CF512" s="151"/>
      <c r="CG512" s="151"/>
      <c r="CH512" s="151"/>
      <c r="CI512" s="151"/>
      <c r="CJ512" s="151"/>
      <c r="CK512" s="151"/>
      <c r="CL512" s="151"/>
      <c r="CM512" s="151"/>
      <c r="CN512" s="151"/>
      <c r="CO512" s="151"/>
      <c r="CP512" s="151"/>
      <c r="CQ512" s="151"/>
      <c r="CR512" s="151"/>
      <c r="CS512" s="151"/>
      <c r="CT512" s="151"/>
      <c r="CU512" s="151"/>
      <c r="CV512" s="151"/>
      <c r="CW512" s="151"/>
      <c r="CX512" s="151"/>
      <c r="CY512" s="151"/>
      <c r="CZ512" s="151"/>
      <c r="DA512" s="151"/>
      <c r="DB512" s="151"/>
      <c r="DC512" s="151"/>
      <c r="DD512" s="151"/>
      <c r="DE512" s="151"/>
      <c r="DF512" s="151"/>
      <c r="DG512" s="151"/>
      <c r="DH512" s="151"/>
      <c r="DI512" s="151"/>
      <c r="DJ512" s="151"/>
      <c r="DK512" s="151"/>
      <c r="DL512" s="151"/>
      <c r="DM512" s="151"/>
      <c r="DN512" s="151"/>
      <c r="DO512" s="151"/>
      <c r="DP512" s="151"/>
      <c r="DQ512" s="151"/>
      <c r="DR512" s="151"/>
      <c r="DS512" s="151"/>
      <c r="DT512" s="151"/>
      <c r="DU512" s="151"/>
      <c r="DV512" s="151"/>
      <c r="DW512" s="151"/>
      <c r="DX512" s="151"/>
      <c r="DY512" s="151"/>
      <c r="DZ512" s="151"/>
      <c r="EA512" s="151"/>
      <c r="EB512" s="151"/>
      <c r="EC512" s="151"/>
      <c r="ED512" s="151"/>
      <c r="EE512" s="151"/>
      <c r="EF512" s="151"/>
      <c r="EG512" s="151"/>
      <c r="EH512" s="151"/>
      <c r="EI512" s="151"/>
      <c r="EJ512" s="151"/>
      <c r="EK512" s="151"/>
      <c r="EL512" s="151"/>
      <c r="EM512" s="151"/>
      <c r="EN512" s="151"/>
      <c r="EO512" s="151"/>
      <c r="EP512" s="151"/>
      <c r="EQ512" s="151"/>
      <c r="ER512" s="151"/>
      <c r="ES512" s="151"/>
      <c r="ET512" s="151"/>
      <c r="EU512" s="151"/>
      <c r="EV512" s="151"/>
      <c r="EW512" s="151"/>
      <c r="EX512" s="151"/>
      <c r="EY512" s="151"/>
      <c r="EZ512" s="151"/>
      <c r="FA512" s="151"/>
      <c r="FB512" s="151"/>
      <c r="FC512" s="151"/>
      <c r="FD512" s="151"/>
      <c r="FE512" s="151"/>
      <c r="FF512" s="151"/>
      <c r="FG512" s="151"/>
      <c r="FH512" s="151"/>
      <c r="FI512" s="151"/>
      <c r="FJ512" s="151"/>
      <c r="FK512" s="151"/>
      <c r="FL512" s="151"/>
      <c r="FM512" s="151"/>
      <c r="FN512" s="151"/>
      <c r="FO512" s="151"/>
      <c r="FP512" s="151"/>
      <c r="FQ512" s="151"/>
      <c r="FR512" s="151"/>
      <c r="FS512" s="151"/>
      <c r="FT512" s="151"/>
      <c r="FU512" s="151"/>
      <c r="FV512" s="151"/>
      <c r="FW512" s="151"/>
      <c r="FX512" s="151"/>
      <c r="FY512" s="151"/>
      <c r="FZ512" s="151"/>
      <c r="GA512" s="151"/>
      <c r="GB512" s="151"/>
      <c r="GC512" s="151"/>
      <c r="GD512" s="151"/>
      <c r="GE512" s="151"/>
      <c r="GF512" s="151"/>
      <c r="GG512" s="152"/>
    </row>
    <row r="513" spans="1:189" x14ac:dyDescent="0.35">
      <c r="A513" s="268"/>
      <c r="B513" s="221"/>
      <c r="C513" s="221"/>
      <c r="D513" s="222"/>
      <c r="E513" s="221"/>
      <c r="F513" s="221"/>
      <c r="G513" s="223"/>
      <c r="H513" s="224"/>
      <c r="I513" s="225"/>
      <c r="J513" s="225"/>
      <c r="K513" s="225"/>
      <c r="L513" s="226"/>
      <c r="M513" s="226"/>
      <c r="N513" s="226"/>
      <c r="O513" s="226"/>
      <c r="P513" s="226"/>
      <c r="Q513" s="227"/>
      <c r="R513" s="228"/>
      <c r="S513" s="228"/>
      <c r="T513" s="228"/>
      <c r="U513" s="191">
        <f t="shared" si="503"/>
        <v>0</v>
      </c>
      <c r="V513" s="86"/>
      <c r="W513" s="45"/>
      <c r="X513" s="46"/>
      <c r="Y513" s="167">
        <f t="shared" si="504"/>
        <v>0</v>
      </c>
      <c r="Z513" s="167">
        <f t="shared" si="505"/>
        <v>0</v>
      </c>
      <c r="AA513" s="167">
        <f t="shared" si="506"/>
        <v>0</v>
      </c>
      <c r="AB513" s="167">
        <f t="shared" si="507"/>
        <v>0</v>
      </c>
      <c r="AC513" s="167">
        <f t="shared" si="508"/>
        <v>0</v>
      </c>
      <c r="AD513" s="167">
        <f t="shared" si="509"/>
        <v>0</v>
      </c>
      <c r="AF513" s="47">
        <f t="shared" si="501"/>
        <v>0</v>
      </c>
      <c r="AG513" s="202" t="str">
        <f t="shared" si="502"/>
        <v xml:space="preserve"> </v>
      </c>
      <c r="AH513" s="150"/>
      <c r="AI513" s="151"/>
      <c r="AJ513" s="151"/>
      <c r="AK513" s="151"/>
      <c r="AL513" s="151"/>
      <c r="AM513" s="151"/>
      <c r="AN513" s="151"/>
      <c r="AO513" s="151"/>
      <c r="AP513" s="151"/>
      <c r="AQ513" s="151"/>
      <c r="AR513" s="151"/>
      <c r="AS513" s="151"/>
      <c r="AT513" s="151"/>
      <c r="AU513" s="151"/>
      <c r="AV513" s="151"/>
      <c r="AW513" s="151"/>
      <c r="AX513" s="151"/>
      <c r="AY513" s="151"/>
      <c r="AZ513" s="151"/>
      <c r="BA513" s="151"/>
      <c r="BB513" s="151"/>
      <c r="BC513" s="151"/>
      <c r="BD513" s="151"/>
      <c r="BE513" s="151"/>
      <c r="BF513" s="151"/>
      <c r="BG513" s="151"/>
      <c r="BH513" s="151"/>
      <c r="BI513" s="151"/>
      <c r="BJ513" s="151"/>
      <c r="BK513" s="151"/>
      <c r="BL513" s="151"/>
      <c r="BM513" s="151"/>
      <c r="BN513" s="151"/>
      <c r="BO513" s="151"/>
      <c r="BP513" s="151"/>
      <c r="BQ513" s="151"/>
      <c r="BR513" s="151"/>
      <c r="BS513" s="151"/>
      <c r="BT513" s="151"/>
      <c r="BU513" s="151"/>
      <c r="BV513" s="151"/>
      <c r="BW513" s="151"/>
      <c r="BX513" s="151"/>
      <c r="BY513" s="151"/>
      <c r="BZ513" s="151"/>
      <c r="CA513" s="151"/>
      <c r="CB513" s="151"/>
      <c r="CC513" s="151"/>
      <c r="CD513" s="151"/>
      <c r="CE513" s="151"/>
      <c r="CF513" s="151"/>
      <c r="CG513" s="151"/>
      <c r="CH513" s="151"/>
      <c r="CI513" s="151"/>
      <c r="CJ513" s="151"/>
      <c r="CK513" s="151"/>
      <c r="CL513" s="151"/>
      <c r="CM513" s="151"/>
      <c r="CN513" s="151"/>
      <c r="CO513" s="151"/>
      <c r="CP513" s="151"/>
      <c r="CQ513" s="151"/>
      <c r="CR513" s="151"/>
      <c r="CS513" s="151"/>
      <c r="CT513" s="151"/>
      <c r="CU513" s="151"/>
      <c r="CV513" s="151"/>
      <c r="CW513" s="151"/>
      <c r="CX513" s="151"/>
      <c r="CY513" s="151"/>
      <c r="CZ513" s="151"/>
      <c r="DA513" s="151"/>
      <c r="DB513" s="151"/>
      <c r="DC513" s="151"/>
      <c r="DD513" s="151"/>
      <c r="DE513" s="151"/>
      <c r="DF513" s="151"/>
      <c r="DG513" s="151"/>
      <c r="DH513" s="151"/>
      <c r="DI513" s="151"/>
      <c r="DJ513" s="151"/>
      <c r="DK513" s="151"/>
      <c r="DL513" s="151"/>
      <c r="DM513" s="151"/>
      <c r="DN513" s="151"/>
      <c r="DO513" s="151"/>
      <c r="DP513" s="151"/>
      <c r="DQ513" s="151"/>
      <c r="DR513" s="151"/>
      <c r="DS513" s="151"/>
      <c r="DT513" s="151"/>
      <c r="DU513" s="151"/>
      <c r="DV513" s="151"/>
      <c r="DW513" s="151"/>
      <c r="DX513" s="151"/>
      <c r="DY513" s="151"/>
      <c r="DZ513" s="151"/>
      <c r="EA513" s="151"/>
      <c r="EB513" s="151"/>
      <c r="EC513" s="151"/>
      <c r="ED513" s="151"/>
      <c r="EE513" s="151"/>
      <c r="EF513" s="151"/>
      <c r="EG513" s="151"/>
      <c r="EH513" s="151"/>
      <c r="EI513" s="151"/>
      <c r="EJ513" s="151"/>
      <c r="EK513" s="151"/>
      <c r="EL513" s="151"/>
      <c r="EM513" s="151"/>
      <c r="EN513" s="151"/>
      <c r="EO513" s="151"/>
      <c r="EP513" s="151"/>
      <c r="EQ513" s="151"/>
      <c r="ER513" s="151"/>
      <c r="ES513" s="151"/>
      <c r="ET513" s="151"/>
      <c r="EU513" s="151"/>
      <c r="EV513" s="151"/>
      <c r="EW513" s="151"/>
      <c r="EX513" s="151"/>
      <c r="EY513" s="151"/>
      <c r="EZ513" s="151"/>
      <c r="FA513" s="151"/>
      <c r="FB513" s="151"/>
      <c r="FC513" s="151"/>
      <c r="FD513" s="151"/>
      <c r="FE513" s="151"/>
      <c r="FF513" s="151"/>
      <c r="FG513" s="151"/>
      <c r="FH513" s="151"/>
      <c r="FI513" s="151"/>
      <c r="FJ513" s="151"/>
      <c r="FK513" s="151"/>
      <c r="FL513" s="151"/>
      <c r="FM513" s="151"/>
      <c r="FN513" s="151"/>
      <c r="FO513" s="151"/>
      <c r="FP513" s="151"/>
      <c r="FQ513" s="151"/>
      <c r="FR513" s="151"/>
      <c r="FS513" s="151"/>
      <c r="FT513" s="151"/>
      <c r="FU513" s="151"/>
      <c r="FV513" s="151"/>
      <c r="FW513" s="151"/>
      <c r="FX513" s="151"/>
      <c r="FY513" s="151"/>
      <c r="FZ513" s="151"/>
      <c r="GA513" s="151"/>
      <c r="GB513" s="151"/>
      <c r="GC513" s="151"/>
      <c r="GD513" s="151"/>
      <c r="GE513" s="151"/>
      <c r="GF513" s="151"/>
      <c r="GG513" s="152"/>
    </row>
    <row r="514" spans="1:189" x14ac:dyDescent="0.35">
      <c r="A514" s="268"/>
      <c r="B514" s="221"/>
      <c r="C514" s="221"/>
      <c r="D514" s="222"/>
      <c r="E514" s="221"/>
      <c r="F514" s="221"/>
      <c r="G514" s="223"/>
      <c r="H514" s="224"/>
      <c r="I514" s="225"/>
      <c r="J514" s="225"/>
      <c r="K514" s="225"/>
      <c r="L514" s="226"/>
      <c r="M514" s="226"/>
      <c r="N514" s="226"/>
      <c r="O514" s="226"/>
      <c r="P514" s="226"/>
      <c r="Q514" s="227"/>
      <c r="R514" s="228"/>
      <c r="S514" s="228"/>
      <c r="T514" s="228"/>
      <c r="U514" s="191">
        <f t="shared" si="503"/>
        <v>0</v>
      </c>
      <c r="V514" s="86"/>
      <c r="W514" s="45"/>
      <c r="X514" s="46"/>
      <c r="Y514" s="167">
        <f t="shared" si="504"/>
        <v>0</v>
      </c>
      <c r="Z514" s="167">
        <f t="shared" si="505"/>
        <v>0</v>
      </c>
      <c r="AA514" s="167">
        <f t="shared" si="506"/>
        <v>0</v>
      </c>
      <c r="AB514" s="167">
        <f t="shared" si="507"/>
        <v>0</v>
      </c>
      <c r="AC514" s="167">
        <f t="shared" si="508"/>
        <v>0</v>
      </c>
      <c r="AD514" s="167">
        <f t="shared" si="509"/>
        <v>0</v>
      </c>
      <c r="AF514" s="47">
        <f t="shared" si="501"/>
        <v>0</v>
      </c>
      <c r="AG514" s="202" t="str">
        <f t="shared" si="502"/>
        <v xml:space="preserve"> </v>
      </c>
      <c r="AH514" s="150"/>
      <c r="AI514" s="151"/>
      <c r="AJ514" s="151"/>
      <c r="AK514" s="151"/>
      <c r="AL514" s="151"/>
      <c r="AM514" s="151"/>
      <c r="AN514" s="151"/>
      <c r="AO514" s="151"/>
      <c r="AP514" s="151"/>
      <c r="AQ514" s="151"/>
      <c r="AR514" s="151"/>
      <c r="AS514" s="151"/>
      <c r="AT514" s="151"/>
      <c r="AU514" s="151"/>
      <c r="AV514" s="151"/>
      <c r="AW514" s="151"/>
      <c r="AX514" s="151"/>
      <c r="AY514" s="151"/>
      <c r="AZ514" s="151"/>
      <c r="BA514" s="151"/>
      <c r="BB514" s="151"/>
      <c r="BC514" s="151"/>
      <c r="BD514" s="151"/>
      <c r="BE514" s="151"/>
      <c r="BF514" s="151"/>
      <c r="BG514" s="151"/>
      <c r="BH514" s="151"/>
      <c r="BI514" s="151"/>
      <c r="BJ514" s="151"/>
      <c r="BK514" s="151"/>
      <c r="BL514" s="151"/>
      <c r="BM514" s="151"/>
      <c r="BN514" s="151"/>
      <c r="BO514" s="151"/>
      <c r="BP514" s="151"/>
      <c r="BQ514" s="151"/>
      <c r="BR514" s="151"/>
      <c r="BS514" s="151"/>
      <c r="BT514" s="151"/>
      <c r="BU514" s="151"/>
      <c r="BV514" s="151"/>
      <c r="BW514" s="151"/>
      <c r="BX514" s="151"/>
      <c r="BY514" s="151"/>
      <c r="BZ514" s="151"/>
      <c r="CA514" s="151"/>
      <c r="CB514" s="151"/>
      <c r="CC514" s="151"/>
      <c r="CD514" s="151"/>
      <c r="CE514" s="151"/>
      <c r="CF514" s="151"/>
      <c r="CG514" s="151"/>
      <c r="CH514" s="151"/>
      <c r="CI514" s="151"/>
      <c r="CJ514" s="151"/>
      <c r="CK514" s="151"/>
      <c r="CL514" s="151"/>
      <c r="CM514" s="151"/>
      <c r="CN514" s="151"/>
      <c r="CO514" s="151"/>
      <c r="CP514" s="151"/>
      <c r="CQ514" s="151"/>
      <c r="CR514" s="151"/>
      <c r="CS514" s="151"/>
      <c r="CT514" s="151"/>
      <c r="CU514" s="151"/>
      <c r="CV514" s="151"/>
      <c r="CW514" s="151"/>
      <c r="CX514" s="151"/>
      <c r="CY514" s="151"/>
      <c r="CZ514" s="151"/>
      <c r="DA514" s="151"/>
      <c r="DB514" s="151"/>
      <c r="DC514" s="151"/>
      <c r="DD514" s="151"/>
      <c r="DE514" s="151"/>
      <c r="DF514" s="151"/>
      <c r="DG514" s="151"/>
      <c r="DH514" s="151"/>
      <c r="DI514" s="151"/>
      <c r="DJ514" s="151"/>
      <c r="DK514" s="151"/>
      <c r="DL514" s="151"/>
      <c r="DM514" s="151"/>
      <c r="DN514" s="151"/>
      <c r="DO514" s="151"/>
      <c r="DP514" s="151"/>
      <c r="DQ514" s="151"/>
      <c r="DR514" s="151"/>
      <c r="DS514" s="151"/>
      <c r="DT514" s="151"/>
      <c r="DU514" s="151"/>
      <c r="DV514" s="151"/>
      <c r="DW514" s="151"/>
      <c r="DX514" s="151"/>
      <c r="DY514" s="151"/>
      <c r="DZ514" s="151"/>
      <c r="EA514" s="151"/>
      <c r="EB514" s="151"/>
      <c r="EC514" s="151"/>
      <c r="ED514" s="151"/>
      <c r="EE514" s="151"/>
      <c r="EF514" s="151"/>
      <c r="EG514" s="151"/>
      <c r="EH514" s="151"/>
      <c r="EI514" s="151"/>
      <c r="EJ514" s="151"/>
      <c r="EK514" s="151"/>
      <c r="EL514" s="151"/>
      <c r="EM514" s="151"/>
      <c r="EN514" s="151"/>
      <c r="EO514" s="151"/>
      <c r="EP514" s="151"/>
      <c r="EQ514" s="151"/>
      <c r="ER514" s="151"/>
      <c r="ES514" s="151"/>
      <c r="ET514" s="151"/>
      <c r="EU514" s="151"/>
      <c r="EV514" s="151"/>
      <c r="EW514" s="151"/>
      <c r="EX514" s="151"/>
      <c r="EY514" s="151"/>
      <c r="EZ514" s="151"/>
      <c r="FA514" s="151"/>
      <c r="FB514" s="151"/>
      <c r="FC514" s="151"/>
      <c r="FD514" s="151"/>
      <c r="FE514" s="151"/>
      <c r="FF514" s="151"/>
      <c r="FG514" s="151"/>
      <c r="FH514" s="151"/>
      <c r="FI514" s="151"/>
      <c r="FJ514" s="151"/>
      <c r="FK514" s="151"/>
      <c r="FL514" s="151"/>
      <c r="FM514" s="151"/>
      <c r="FN514" s="151"/>
      <c r="FO514" s="151"/>
      <c r="FP514" s="151"/>
      <c r="FQ514" s="151"/>
      <c r="FR514" s="151"/>
      <c r="FS514" s="151"/>
      <c r="FT514" s="151"/>
      <c r="FU514" s="151"/>
      <c r="FV514" s="151"/>
      <c r="FW514" s="151"/>
      <c r="FX514" s="151"/>
      <c r="FY514" s="151"/>
      <c r="FZ514" s="151"/>
      <c r="GA514" s="151"/>
      <c r="GB514" s="151"/>
      <c r="GC514" s="151"/>
      <c r="GD514" s="151"/>
      <c r="GE514" s="151"/>
      <c r="GF514" s="151"/>
      <c r="GG514" s="152"/>
    </row>
    <row r="515" spans="1:189" x14ac:dyDescent="0.35">
      <c r="A515" s="268"/>
      <c r="B515" s="221"/>
      <c r="C515" s="221"/>
      <c r="D515" s="222"/>
      <c r="E515" s="221"/>
      <c r="F515" s="221"/>
      <c r="G515" s="223"/>
      <c r="H515" s="224"/>
      <c r="I515" s="225"/>
      <c r="J515" s="225"/>
      <c r="K515" s="225"/>
      <c r="L515" s="226"/>
      <c r="M515" s="226"/>
      <c r="N515" s="226"/>
      <c r="O515" s="226"/>
      <c r="P515" s="226"/>
      <c r="Q515" s="227"/>
      <c r="R515" s="228"/>
      <c r="S515" s="228"/>
      <c r="T515" s="228"/>
      <c r="U515" s="191">
        <f t="shared" si="503"/>
        <v>0</v>
      </c>
      <c r="V515" s="86"/>
      <c r="W515" s="45"/>
      <c r="X515" s="46"/>
      <c r="Y515" s="167">
        <f t="shared" si="504"/>
        <v>0</v>
      </c>
      <c r="Z515" s="167">
        <f t="shared" si="505"/>
        <v>0</v>
      </c>
      <c r="AA515" s="167">
        <f t="shared" si="506"/>
        <v>0</v>
      </c>
      <c r="AB515" s="167">
        <f t="shared" si="507"/>
        <v>0</v>
      </c>
      <c r="AC515" s="167">
        <f t="shared" si="508"/>
        <v>0</v>
      </c>
      <c r="AD515" s="167">
        <f t="shared" si="509"/>
        <v>0</v>
      </c>
      <c r="AF515" s="47">
        <f t="shared" si="501"/>
        <v>0</v>
      </c>
      <c r="AG515" s="202" t="str">
        <f t="shared" si="502"/>
        <v xml:space="preserve"> </v>
      </c>
      <c r="AH515" s="147"/>
      <c r="AI515" s="148"/>
      <c r="AJ515" s="148"/>
      <c r="AK515" s="148"/>
      <c r="AL515" s="148"/>
      <c r="AM515" s="148"/>
      <c r="AN515" s="148"/>
      <c r="AO515" s="148"/>
      <c r="AP515" s="148"/>
      <c r="AQ515" s="148"/>
      <c r="AR515" s="148"/>
      <c r="AS515" s="148"/>
      <c r="AT515" s="148"/>
      <c r="AU515" s="148"/>
      <c r="AV515" s="148"/>
      <c r="AW515" s="148"/>
      <c r="AX515" s="148"/>
      <c r="AY515" s="148"/>
      <c r="AZ515" s="148"/>
      <c r="BA515" s="148"/>
      <c r="BB515" s="148"/>
      <c r="BC515" s="148"/>
      <c r="BD515" s="148"/>
      <c r="BE515" s="148"/>
      <c r="BF515" s="148"/>
      <c r="BG515" s="148"/>
      <c r="BH515" s="148"/>
      <c r="BI515" s="148"/>
      <c r="BJ515" s="148"/>
      <c r="BK515" s="148"/>
      <c r="BL515" s="148"/>
      <c r="BM515" s="148"/>
      <c r="BN515" s="148"/>
      <c r="BO515" s="148"/>
      <c r="BP515" s="148"/>
      <c r="BQ515" s="148"/>
      <c r="BR515" s="148"/>
      <c r="BS515" s="148"/>
      <c r="BT515" s="148"/>
      <c r="BU515" s="148"/>
      <c r="BV515" s="148"/>
      <c r="BW515" s="148"/>
      <c r="BX515" s="148"/>
      <c r="BY515" s="148"/>
      <c r="BZ515" s="148"/>
      <c r="CA515" s="148"/>
      <c r="CB515" s="148"/>
      <c r="CC515" s="148"/>
      <c r="CD515" s="148"/>
      <c r="CE515" s="148"/>
      <c r="CF515" s="148"/>
      <c r="CG515" s="148"/>
      <c r="CH515" s="148"/>
      <c r="CI515" s="148"/>
      <c r="CJ515" s="148"/>
      <c r="CK515" s="148"/>
      <c r="CL515" s="148"/>
      <c r="CM515" s="148"/>
      <c r="CN515" s="148"/>
      <c r="CO515" s="148"/>
      <c r="CP515" s="148"/>
      <c r="CQ515" s="148"/>
      <c r="CR515" s="148"/>
      <c r="CS515" s="148"/>
      <c r="CT515" s="148"/>
      <c r="CU515" s="148"/>
      <c r="CV515" s="148"/>
      <c r="CW515" s="148"/>
      <c r="CX515" s="148"/>
      <c r="CY515" s="148"/>
      <c r="CZ515" s="148"/>
      <c r="DA515" s="148"/>
      <c r="DB515" s="148"/>
      <c r="DC515" s="148"/>
      <c r="DD515" s="148"/>
      <c r="DE515" s="148"/>
      <c r="DF515" s="148"/>
      <c r="DG515" s="148"/>
      <c r="DH515" s="148"/>
      <c r="DI515" s="148"/>
      <c r="DJ515" s="148"/>
      <c r="DK515" s="148"/>
      <c r="DL515" s="148"/>
      <c r="DM515" s="148"/>
      <c r="DN515" s="148"/>
      <c r="DO515" s="148"/>
      <c r="DP515" s="148"/>
      <c r="DQ515" s="148"/>
      <c r="DR515" s="148"/>
      <c r="DS515" s="148"/>
      <c r="DT515" s="148"/>
      <c r="DU515" s="148"/>
      <c r="DV515" s="148"/>
      <c r="DW515" s="148"/>
      <c r="DX515" s="148"/>
      <c r="DY515" s="148"/>
      <c r="DZ515" s="148"/>
      <c r="EA515" s="148"/>
      <c r="EB515" s="148"/>
      <c r="EC515" s="148"/>
      <c r="ED515" s="148"/>
      <c r="EE515" s="148"/>
      <c r="EF515" s="148"/>
      <c r="EG515" s="148"/>
      <c r="EH515" s="148"/>
      <c r="EI515" s="148"/>
      <c r="EJ515" s="148"/>
      <c r="EK515" s="148"/>
      <c r="EL515" s="148"/>
      <c r="EM515" s="148"/>
      <c r="EN515" s="148"/>
      <c r="EO515" s="148"/>
      <c r="EP515" s="148"/>
      <c r="EQ515" s="148"/>
      <c r="ER515" s="148"/>
      <c r="ES515" s="148"/>
      <c r="ET515" s="148"/>
      <c r="EU515" s="148"/>
      <c r="EV515" s="148"/>
      <c r="EW515" s="148"/>
      <c r="EX515" s="148"/>
      <c r="EY515" s="148"/>
      <c r="EZ515" s="148"/>
      <c r="FA515" s="148"/>
      <c r="FB515" s="148"/>
      <c r="FC515" s="148"/>
      <c r="FD515" s="148"/>
      <c r="FE515" s="148"/>
      <c r="FF515" s="148"/>
      <c r="FG515" s="148"/>
      <c r="FH515" s="148"/>
      <c r="FI515" s="148"/>
      <c r="FJ515" s="148"/>
      <c r="FK515" s="148"/>
      <c r="FL515" s="148"/>
      <c r="FM515" s="148"/>
      <c r="FN515" s="148"/>
      <c r="FO515" s="148"/>
      <c r="FP515" s="148"/>
      <c r="FQ515" s="148"/>
      <c r="FR515" s="148"/>
      <c r="FS515" s="148"/>
      <c r="FT515" s="148"/>
      <c r="FU515" s="148"/>
      <c r="FV515" s="148"/>
      <c r="FW515" s="148"/>
      <c r="FX515" s="148"/>
      <c r="FY515" s="148"/>
      <c r="FZ515" s="148"/>
      <c r="GA515" s="148"/>
      <c r="GB515" s="148"/>
      <c r="GC515" s="148"/>
      <c r="GD515" s="148"/>
      <c r="GE515" s="148"/>
      <c r="GF515" s="148"/>
      <c r="GG515" s="149"/>
    </row>
    <row r="516" spans="1:189" x14ac:dyDescent="0.35">
      <c r="A516" s="268"/>
      <c r="B516" s="221"/>
      <c r="C516" s="221"/>
      <c r="D516" s="222"/>
      <c r="E516" s="221"/>
      <c r="F516" s="221"/>
      <c r="G516" s="223"/>
      <c r="H516" s="224"/>
      <c r="I516" s="225"/>
      <c r="J516" s="225"/>
      <c r="K516" s="225"/>
      <c r="L516" s="226"/>
      <c r="M516" s="226"/>
      <c r="N516" s="226"/>
      <c r="O516" s="226"/>
      <c r="P516" s="226"/>
      <c r="Q516" s="227"/>
      <c r="R516" s="228"/>
      <c r="S516" s="228"/>
      <c r="T516" s="228"/>
      <c r="U516" s="191">
        <f t="shared" si="503"/>
        <v>0</v>
      </c>
      <c r="V516" s="86"/>
      <c r="W516" s="45"/>
      <c r="X516" s="46"/>
      <c r="Y516" s="167">
        <f t="shared" si="504"/>
        <v>0</v>
      </c>
      <c r="Z516" s="167">
        <f t="shared" si="505"/>
        <v>0</v>
      </c>
      <c r="AA516" s="167">
        <f t="shared" si="506"/>
        <v>0</v>
      </c>
      <c r="AB516" s="167">
        <f t="shared" si="507"/>
        <v>0</v>
      </c>
      <c r="AC516" s="167">
        <f t="shared" si="508"/>
        <v>0</v>
      </c>
      <c r="AD516" s="167">
        <f t="shared" si="509"/>
        <v>0</v>
      </c>
      <c r="AF516" s="47">
        <f t="shared" si="501"/>
        <v>0</v>
      </c>
      <c r="AG516" s="202" t="str">
        <f t="shared" si="502"/>
        <v xml:space="preserve"> </v>
      </c>
      <c r="AH516" s="150"/>
      <c r="AI516" s="151"/>
      <c r="AJ516" s="151"/>
      <c r="AK516" s="151"/>
      <c r="AL516" s="151"/>
      <c r="AM516" s="151"/>
      <c r="AN516" s="151"/>
      <c r="AO516" s="151"/>
      <c r="AP516" s="151"/>
      <c r="AQ516" s="151"/>
      <c r="AR516" s="151"/>
      <c r="AS516" s="151"/>
      <c r="AT516" s="151"/>
      <c r="AU516" s="151"/>
      <c r="AV516" s="151"/>
      <c r="AW516" s="151"/>
      <c r="AX516" s="151"/>
      <c r="AY516" s="151"/>
      <c r="AZ516" s="151"/>
      <c r="BA516" s="151"/>
      <c r="BB516" s="151"/>
      <c r="BC516" s="151"/>
      <c r="BD516" s="151"/>
      <c r="BE516" s="151"/>
      <c r="BF516" s="151"/>
      <c r="BG516" s="151"/>
      <c r="BH516" s="151"/>
      <c r="BI516" s="151"/>
      <c r="BJ516" s="151"/>
      <c r="BK516" s="151"/>
      <c r="BL516" s="151"/>
      <c r="BM516" s="151"/>
      <c r="BN516" s="151"/>
      <c r="BO516" s="151"/>
      <c r="BP516" s="151"/>
      <c r="BQ516" s="151"/>
      <c r="BR516" s="151"/>
      <c r="BS516" s="151"/>
      <c r="BT516" s="151"/>
      <c r="BU516" s="151"/>
      <c r="BV516" s="151"/>
      <c r="BW516" s="151"/>
      <c r="BX516" s="151"/>
      <c r="BY516" s="151"/>
      <c r="BZ516" s="151"/>
      <c r="CA516" s="151"/>
      <c r="CB516" s="151"/>
      <c r="CC516" s="151"/>
      <c r="CD516" s="151"/>
      <c r="CE516" s="151"/>
      <c r="CF516" s="151"/>
      <c r="CG516" s="151"/>
      <c r="CH516" s="151"/>
      <c r="CI516" s="151"/>
      <c r="CJ516" s="151"/>
      <c r="CK516" s="151"/>
      <c r="CL516" s="151"/>
      <c r="CM516" s="151"/>
      <c r="CN516" s="151"/>
      <c r="CO516" s="151"/>
      <c r="CP516" s="151"/>
      <c r="CQ516" s="151"/>
      <c r="CR516" s="151"/>
      <c r="CS516" s="151"/>
      <c r="CT516" s="151"/>
      <c r="CU516" s="151"/>
      <c r="CV516" s="151"/>
      <c r="CW516" s="151"/>
      <c r="CX516" s="151"/>
      <c r="CY516" s="151"/>
      <c r="CZ516" s="151"/>
      <c r="DA516" s="151"/>
      <c r="DB516" s="151"/>
      <c r="DC516" s="151"/>
      <c r="DD516" s="151"/>
      <c r="DE516" s="151"/>
      <c r="DF516" s="151"/>
      <c r="DG516" s="151"/>
      <c r="DH516" s="151"/>
      <c r="DI516" s="151"/>
      <c r="DJ516" s="151"/>
      <c r="DK516" s="151"/>
      <c r="DL516" s="151"/>
      <c r="DM516" s="151"/>
      <c r="DN516" s="151"/>
      <c r="DO516" s="151"/>
      <c r="DP516" s="151"/>
      <c r="DQ516" s="151"/>
      <c r="DR516" s="151"/>
      <c r="DS516" s="151"/>
      <c r="DT516" s="151"/>
      <c r="DU516" s="151"/>
      <c r="DV516" s="151"/>
      <c r="DW516" s="151"/>
      <c r="DX516" s="151"/>
      <c r="DY516" s="151"/>
      <c r="DZ516" s="151"/>
      <c r="EA516" s="151"/>
      <c r="EB516" s="151"/>
      <c r="EC516" s="151"/>
      <c r="ED516" s="151"/>
      <c r="EE516" s="151"/>
      <c r="EF516" s="151"/>
      <c r="EG516" s="151"/>
      <c r="EH516" s="151"/>
      <c r="EI516" s="151"/>
      <c r="EJ516" s="151"/>
      <c r="EK516" s="151"/>
      <c r="EL516" s="151"/>
      <c r="EM516" s="151"/>
      <c r="EN516" s="151"/>
      <c r="EO516" s="151"/>
      <c r="EP516" s="151"/>
      <c r="EQ516" s="151"/>
      <c r="ER516" s="151"/>
      <c r="ES516" s="151"/>
      <c r="ET516" s="151"/>
      <c r="EU516" s="151"/>
      <c r="EV516" s="151"/>
      <c r="EW516" s="151"/>
      <c r="EX516" s="151"/>
      <c r="EY516" s="151"/>
      <c r="EZ516" s="151"/>
      <c r="FA516" s="151"/>
      <c r="FB516" s="151"/>
      <c r="FC516" s="151"/>
      <c r="FD516" s="151"/>
      <c r="FE516" s="151"/>
      <c r="FF516" s="151"/>
      <c r="FG516" s="151"/>
      <c r="FH516" s="151"/>
      <c r="FI516" s="151"/>
      <c r="FJ516" s="151"/>
      <c r="FK516" s="151"/>
      <c r="FL516" s="151"/>
      <c r="FM516" s="151"/>
      <c r="FN516" s="151"/>
      <c r="FO516" s="151"/>
      <c r="FP516" s="151"/>
      <c r="FQ516" s="151"/>
      <c r="FR516" s="151"/>
      <c r="FS516" s="151"/>
      <c r="FT516" s="151"/>
      <c r="FU516" s="151"/>
      <c r="FV516" s="151"/>
      <c r="FW516" s="151"/>
      <c r="FX516" s="151"/>
      <c r="FY516" s="151"/>
      <c r="FZ516" s="151"/>
      <c r="GA516" s="151"/>
      <c r="GB516" s="151"/>
      <c r="GC516" s="151"/>
      <c r="GD516" s="151"/>
      <c r="GE516" s="151"/>
      <c r="GF516" s="151"/>
      <c r="GG516" s="152"/>
    </row>
    <row r="517" spans="1:189" x14ac:dyDescent="0.35">
      <c r="A517" s="268"/>
      <c r="B517" s="221"/>
      <c r="C517" s="221"/>
      <c r="D517" s="222"/>
      <c r="E517" s="221"/>
      <c r="F517" s="221"/>
      <c r="G517" s="223"/>
      <c r="H517" s="224"/>
      <c r="I517" s="225"/>
      <c r="J517" s="225"/>
      <c r="K517" s="225"/>
      <c r="L517" s="226"/>
      <c r="M517" s="226"/>
      <c r="N517" s="226"/>
      <c r="O517" s="226"/>
      <c r="P517" s="226"/>
      <c r="Q517" s="227"/>
      <c r="R517" s="228"/>
      <c r="S517" s="228"/>
      <c r="T517" s="228"/>
      <c r="U517" s="191">
        <f t="shared" si="503"/>
        <v>0</v>
      </c>
      <c r="V517" s="86"/>
      <c r="W517" s="45"/>
      <c r="X517" s="46"/>
      <c r="Y517" s="167">
        <f t="shared" si="504"/>
        <v>0</v>
      </c>
      <c r="Z517" s="167">
        <f t="shared" si="505"/>
        <v>0</v>
      </c>
      <c r="AA517" s="167">
        <f t="shared" si="506"/>
        <v>0</v>
      </c>
      <c r="AB517" s="167">
        <f t="shared" si="507"/>
        <v>0</v>
      </c>
      <c r="AC517" s="167">
        <f t="shared" si="508"/>
        <v>0</v>
      </c>
      <c r="AD517" s="167">
        <f t="shared" si="509"/>
        <v>0</v>
      </c>
      <c r="AF517" s="47">
        <f t="shared" si="501"/>
        <v>0</v>
      </c>
      <c r="AG517" s="202" t="str">
        <f t="shared" si="502"/>
        <v xml:space="preserve"> </v>
      </c>
      <c r="AH517" s="150"/>
      <c r="AI517" s="151"/>
      <c r="AJ517" s="151"/>
      <c r="AK517" s="151"/>
      <c r="AL517" s="151"/>
      <c r="AM517" s="151"/>
      <c r="AN517" s="151"/>
      <c r="AO517" s="151"/>
      <c r="AP517" s="151"/>
      <c r="AQ517" s="151"/>
      <c r="AR517" s="151"/>
      <c r="AS517" s="151"/>
      <c r="AT517" s="151"/>
      <c r="AU517" s="151"/>
      <c r="AV517" s="151"/>
      <c r="AW517" s="151"/>
      <c r="AX517" s="151"/>
      <c r="AY517" s="151"/>
      <c r="AZ517" s="151"/>
      <c r="BA517" s="151"/>
      <c r="BB517" s="151"/>
      <c r="BC517" s="151"/>
      <c r="BD517" s="151"/>
      <c r="BE517" s="151"/>
      <c r="BF517" s="151"/>
      <c r="BG517" s="151"/>
      <c r="BH517" s="151"/>
      <c r="BI517" s="151"/>
      <c r="BJ517" s="151"/>
      <c r="BK517" s="151"/>
      <c r="BL517" s="151"/>
      <c r="BM517" s="151"/>
      <c r="BN517" s="151"/>
      <c r="BO517" s="151"/>
      <c r="BP517" s="151"/>
      <c r="BQ517" s="151"/>
      <c r="BR517" s="151"/>
      <c r="BS517" s="151"/>
      <c r="BT517" s="151"/>
      <c r="BU517" s="151"/>
      <c r="BV517" s="151"/>
      <c r="BW517" s="151"/>
      <c r="BX517" s="151"/>
      <c r="BY517" s="151"/>
      <c r="BZ517" s="151"/>
      <c r="CA517" s="151"/>
      <c r="CB517" s="151"/>
      <c r="CC517" s="151"/>
      <c r="CD517" s="151"/>
      <c r="CE517" s="151"/>
      <c r="CF517" s="151"/>
      <c r="CG517" s="151"/>
      <c r="CH517" s="151"/>
      <c r="CI517" s="151"/>
      <c r="CJ517" s="151"/>
      <c r="CK517" s="151"/>
      <c r="CL517" s="151"/>
      <c r="CM517" s="151"/>
      <c r="CN517" s="151"/>
      <c r="CO517" s="151"/>
      <c r="CP517" s="151"/>
      <c r="CQ517" s="151"/>
      <c r="CR517" s="151"/>
      <c r="CS517" s="151"/>
      <c r="CT517" s="151"/>
      <c r="CU517" s="151"/>
      <c r="CV517" s="151"/>
      <c r="CW517" s="151"/>
      <c r="CX517" s="151"/>
      <c r="CY517" s="151"/>
      <c r="CZ517" s="151"/>
      <c r="DA517" s="151"/>
      <c r="DB517" s="151"/>
      <c r="DC517" s="151"/>
      <c r="DD517" s="151"/>
      <c r="DE517" s="151"/>
      <c r="DF517" s="151"/>
      <c r="DG517" s="151"/>
      <c r="DH517" s="151"/>
      <c r="DI517" s="151"/>
      <c r="DJ517" s="151"/>
      <c r="DK517" s="151"/>
      <c r="DL517" s="151"/>
      <c r="DM517" s="151"/>
      <c r="DN517" s="151"/>
      <c r="DO517" s="151"/>
      <c r="DP517" s="151"/>
      <c r="DQ517" s="151"/>
      <c r="DR517" s="151"/>
      <c r="DS517" s="151"/>
      <c r="DT517" s="151"/>
      <c r="DU517" s="151"/>
      <c r="DV517" s="151"/>
      <c r="DW517" s="151"/>
      <c r="DX517" s="151"/>
      <c r="DY517" s="151"/>
      <c r="DZ517" s="151"/>
      <c r="EA517" s="151"/>
      <c r="EB517" s="151"/>
      <c r="EC517" s="151"/>
      <c r="ED517" s="151"/>
      <c r="EE517" s="151"/>
      <c r="EF517" s="151"/>
      <c r="EG517" s="151"/>
      <c r="EH517" s="151"/>
      <c r="EI517" s="151"/>
      <c r="EJ517" s="151"/>
      <c r="EK517" s="151"/>
      <c r="EL517" s="151"/>
      <c r="EM517" s="151"/>
      <c r="EN517" s="151"/>
      <c r="EO517" s="151"/>
      <c r="EP517" s="151"/>
      <c r="EQ517" s="151"/>
      <c r="ER517" s="151"/>
      <c r="ES517" s="151"/>
      <c r="ET517" s="151"/>
      <c r="EU517" s="151"/>
      <c r="EV517" s="151"/>
      <c r="EW517" s="151"/>
      <c r="EX517" s="151"/>
      <c r="EY517" s="151"/>
      <c r="EZ517" s="151"/>
      <c r="FA517" s="151"/>
      <c r="FB517" s="151"/>
      <c r="FC517" s="151"/>
      <c r="FD517" s="151"/>
      <c r="FE517" s="151"/>
      <c r="FF517" s="151"/>
      <c r="FG517" s="151"/>
      <c r="FH517" s="151"/>
      <c r="FI517" s="151"/>
      <c r="FJ517" s="151"/>
      <c r="FK517" s="151"/>
      <c r="FL517" s="151"/>
      <c r="FM517" s="151"/>
      <c r="FN517" s="151"/>
      <c r="FO517" s="151"/>
      <c r="FP517" s="151"/>
      <c r="FQ517" s="151"/>
      <c r="FR517" s="151"/>
      <c r="FS517" s="151"/>
      <c r="FT517" s="151"/>
      <c r="FU517" s="151"/>
      <c r="FV517" s="151"/>
      <c r="FW517" s="151"/>
      <c r="FX517" s="151"/>
      <c r="FY517" s="151"/>
      <c r="FZ517" s="151"/>
      <c r="GA517" s="151"/>
      <c r="GB517" s="151"/>
      <c r="GC517" s="151"/>
      <c r="GD517" s="151"/>
      <c r="GE517" s="151"/>
      <c r="GF517" s="151"/>
      <c r="GG517" s="152"/>
    </row>
    <row r="518" spans="1:189" x14ac:dyDescent="0.35">
      <c r="A518" s="268"/>
      <c r="B518" s="221"/>
      <c r="C518" s="221"/>
      <c r="D518" s="222"/>
      <c r="E518" s="221"/>
      <c r="F518" s="221"/>
      <c r="G518" s="223"/>
      <c r="H518" s="224"/>
      <c r="I518" s="225"/>
      <c r="J518" s="225"/>
      <c r="K518" s="225"/>
      <c r="L518" s="226"/>
      <c r="M518" s="226"/>
      <c r="N518" s="226"/>
      <c r="O518" s="226"/>
      <c r="P518" s="226"/>
      <c r="Q518" s="227"/>
      <c r="R518" s="228"/>
      <c r="S518" s="228"/>
      <c r="T518" s="228"/>
      <c r="U518" s="191">
        <f t="shared" si="503"/>
        <v>0</v>
      </c>
      <c r="V518" s="86"/>
      <c r="W518" s="45"/>
      <c r="X518" s="46"/>
      <c r="Y518" s="167">
        <f t="shared" si="504"/>
        <v>0</v>
      </c>
      <c r="Z518" s="167">
        <f t="shared" si="505"/>
        <v>0</v>
      </c>
      <c r="AA518" s="167">
        <f t="shared" si="506"/>
        <v>0</v>
      </c>
      <c r="AB518" s="167">
        <f t="shared" si="507"/>
        <v>0</v>
      </c>
      <c r="AC518" s="167">
        <f t="shared" si="508"/>
        <v>0</v>
      </c>
      <c r="AD518" s="167">
        <f t="shared" si="509"/>
        <v>0</v>
      </c>
      <c r="AF518" s="47">
        <f t="shared" si="501"/>
        <v>0</v>
      </c>
      <c r="AG518" s="202" t="str">
        <f t="shared" si="502"/>
        <v xml:space="preserve"> </v>
      </c>
      <c r="AH518" s="150"/>
      <c r="AI518" s="151"/>
      <c r="AJ518" s="151"/>
      <c r="AK518" s="151"/>
      <c r="AL518" s="151"/>
      <c r="AM518" s="151"/>
      <c r="AN518" s="151"/>
      <c r="AO518" s="151"/>
      <c r="AP518" s="151"/>
      <c r="AQ518" s="151"/>
      <c r="AR518" s="151"/>
      <c r="AS518" s="151"/>
      <c r="AT518" s="151"/>
      <c r="AU518" s="151"/>
      <c r="AV518" s="151"/>
      <c r="AW518" s="151"/>
      <c r="AX518" s="151"/>
      <c r="AY518" s="151"/>
      <c r="AZ518" s="151"/>
      <c r="BA518" s="151"/>
      <c r="BB518" s="151"/>
      <c r="BC518" s="151"/>
      <c r="BD518" s="151"/>
      <c r="BE518" s="151"/>
      <c r="BF518" s="151"/>
      <c r="BG518" s="151"/>
      <c r="BH518" s="151"/>
      <c r="BI518" s="151"/>
      <c r="BJ518" s="151"/>
      <c r="BK518" s="151"/>
      <c r="BL518" s="151"/>
      <c r="BM518" s="151"/>
      <c r="BN518" s="151"/>
      <c r="BO518" s="151"/>
      <c r="BP518" s="151"/>
      <c r="BQ518" s="151"/>
      <c r="BR518" s="151"/>
      <c r="BS518" s="151"/>
      <c r="BT518" s="151"/>
      <c r="BU518" s="151"/>
      <c r="BV518" s="151"/>
      <c r="BW518" s="151"/>
      <c r="BX518" s="151"/>
      <c r="BY518" s="151"/>
      <c r="BZ518" s="151"/>
      <c r="CA518" s="151"/>
      <c r="CB518" s="151"/>
      <c r="CC518" s="151"/>
      <c r="CD518" s="151"/>
      <c r="CE518" s="151"/>
      <c r="CF518" s="151"/>
      <c r="CG518" s="151"/>
      <c r="CH518" s="151"/>
      <c r="CI518" s="151"/>
      <c r="CJ518" s="151"/>
      <c r="CK518" s="151"/>
      <c r="CL518" s="151"/>
      <c r="CM518" s="151"/>
      <c r="CN518" s="151"/>
      <c r="CO518" s="151"/>
      <c r="CP518" s="151"/>
      <c r="CQ518" s="151"/>
      <c r="CR518" s="151"/>
      <c r="CS518" s="151"/>
      <c r="CT518" s="151"/>
      <c r="CU518" s="151"/>
      <c r="CV518" s="151"/>
      <c r="CW518" s="151"/>
      <c r="CX518" s="151"/>
      <c r="CY518" s="151"/>
      <c r="CZ518" s="151"/>
      <c r="DA518" s="151"/>
      <c r="DB518" s="151"/>
      <c r="DC518" s="151"/>
      <c r="DD518" s="151"/>
      <c r="DE518" s="151"/>
      <c r="DF518" s="151"/>
      <c r="DG518" s="151"/>
      <c r="DH518" s="151"/>
      <c r="DI518" s="151"/>
      <c r="DJ518" s="151"/>
      <c r="DK518" s="151"/>
      <c r="DL518" s="151"/>
      <c r="DM518" s="151"/>
      <c r="DN518" s="151"/>
      <c r="DO518" s="151"/>
      <c r="DP518" s="151"/>
      <c r="DQ518" s="151"/>
      <c r="DR518" s="151"/>
      <c r="DS518" s="151"/>
      <c r="DT518" s="151"/>
      <c r="DU518" s="151"/>
      <c r="DV518" s="151"/>
      <c r="DW518" s="151"/>
      <c r="DX518" s="151"/>
      <c r="DY518" s="151"/>
      <c r="DZ518" s="151"/>
      <c r="EA518" s="151"/>
      <c r="EB518" s="151"/>
      <c r="EC518" s="151"/>
      <c r="ED518" s="151"/>
      <c r="EE518" s="151"/>
      <c r="EF518" s="151"/>
      <c r="EG518" s="151"/>
      <c r="EH518" s="151"/>
      <c r="EI518" s="151"/>
      <c r="EJ518" s="151"/>
      <c r="EK518" s="151"/>
      <c r="EL518" s="151"/>
      <c r="EM518" s="151"/>
      <c r="EN518" s="151"/>
      <c r="EO518" s="151"/>
      <c r="EP518" s="151"/>
      <c r="EQ518" s="151"/>
      <c r="ER518" s="151"/>
      <c r="ES518" s="151"/>
      <c r="ET518" s="151"/>
      <c r="EU518" s="151"/>
      <c r="EV518" s="151"/>
      <c r="EW518" s="151"/>
      <c r="EX518" s="151"/>
      <c r="EY518" s="151"/>
      <c r="EZ518" s="151"/>
      <c r="FA518" s="151"/>
      <c r="FB518" s="151"/>
      <c r="FC518" s="151"/>
      <c r="FD518" s="151"/>
      <c r="FE518" s="151"/>
      <c r="FF518" s="151"/>
      <c r="FG518" s="151"/>
      <c r="FH518" s="151"/>
      <c r="FI518" s="151"/>
      <c r="FJ518" s="151"/>
      <c r="FK518" s="151"/>
      <c r="FL518" s="151"/>
      <c r="FM518" s="151"/>
      <c r="FN518" s="151"/>
      <c r="FO518" s="151"/>
      <c r="FP518" s="151"/>
      <c r="FQ518" s="151"/>
      <c r="FR518" s="151"/>
      <c r="FS518" s="151"/>
      <c r="FT518" s="151"/>
      <c r="FU518" s="151"/>
      <c r="FV518" s="151"/>
      <c r="FW518" s="151"/>
      <c r="FX518" s="151"/>
      <c r="FY518" s="151"/>
      <c r="FZ518" s="151"/>
      <c r="GA518" s="151"/>
      <c r="GB518" s="151"/>
      <c r="GC518" s="151"/>
      <c r="GD518" s="151"/>
      <c r="GE518" s="151"/>
      <c r="GF518" s="151"/>
      <c r="GG518" s="152"/>
    </row>
    <row r="519" spans="1:189" x14ac:dyDescent="0.35">
      <c r="A519" s="268"/>
      <c r="B519" s="221"/>
      <c r="C519" s="221"/>
      <c r="D519" s="222"/>
      <c r="E519" s="221"/>
      <c r="F519" s="221"/>
      <c r="G519" s="223"/>
      <c r="H519" s="224"/>
      <c r="I519" s="225"/>
      <c r="J519" s="225"/>
      <c r="K519" s="225"/>
      <c r="L519" s="226"/>
      <c r="M519" s="226"/>
      <c r="N519" s="226"/>
      <c r="O519" s="226"/>
      <c r="P519" s="226"/>
      <c r="Q519" s="227"/>
      <c r="R519" s="228"/>
      <c r="S519" s="228"/>
      <c r="T519" s="228"/>
      <c r="U519" s="191">
        <f t="shared" si="503"/>
        <v>0</v>
      </c>
      <c r="V519" s="86"/>
      <c r="W519" s="45"/>
      <c r="X519" s="46"/>
      <c r="Y519" s="167">
        <f t="shared" si="504"/>
        <v>0</v>
      </c>
      <c r="Z519" s="167">
        <f t="shared" si="505"/>
        <v>0</v>
      </c>
      <c r="AA519" s="167">
        <f t="shared" si="506"/>
        <v>0</v>
      </c>
      <c r="AB519" s="167">
        <f t="shared" si="507"/>
        <v>0</v>
      </c>
      <c r="AC519" s="167">
        <f t="shared" si="508"/>
        <v>0</v>
      </c>
      <c r="AD519" s="167">
        <f t="shared" si="509"/>
        <v>0</v>
      </c>
      <c r="AF519" s="47">
        <f t="shared" si="501"/>
        <v>0</v>
      </c>
      <c r="AG519" s="202" t="str">
        <f t="shared" si="502"/>
        <v xml:space="preserve"> </v>
      </c>
      <c r="AH519" s="147"/>
      <c r="AI519" s="148"/>
      <c r="AJ519" s="148"/>
      <c r="AK519" s="148"/>
      <c r="AL519" s="148"/>
      <c r="AM519" s="148"/>
      <c r="AN519" s="148"/>
      <c r="AO519" s="148"/>
      <c r="AP519" s="148"/>
      <c r="AQ519" s="148"/>
      <c r="AR519" s="148"/>
      <c r="AS519" s="148"/>
      <c r="AT519" s="148"/>
      <c r="AU519" s="148"/>
      <c r="AV519" s="148"/>
      <c r="AW519" s="148"/>
      <c r="AX519" s="148"/>
      <c r="AY519" s="148"/>
      <c r="AZ519" s="148"/>
      <c r="BA519" s="148"/>
      <c r="BB519" s="148"/>
      <c r="BC519" s="148"/>
      <c r="BD519" s="148"/>
      <c r="BE519" s="148"/>
      <c r="BF519" s="148"/>
      <c r="BG519" s="148"/>
      <c r="BH519" s="148"/>
      <c r="BI519" s="148"/>
      <c r="BJ519" s="148"/>
      <c r="BK519" s="148"/>
      <c r="BL519" s="148"/>
      <c r="BM519" s="148"/>
      <c r="BN519" s="148"/>
      <c r="BO519" s="148"/>
      <c r="BP519" s="148"/>
      <c r="BQ519" s="148"/>
      <c r="BR519" s="148"/>
      <c r="BS519" s="148"/>
      <c r="BT519" s="148"/>
      <c r="BU519" s="148"/>
      <c r="BV519" s="148"/>
      <c r="BW519" s="148"/>
      <c r="BX519" s="148"/>
      <c r="BY519" s="148"/>
      <c r="BZ519" s="148"/>
      <c r="CA519" s="148"/>
      <c r="CB519" s="148"/>
      <c r="CC519" s="148"/>
      <c r="CD519" s="148"/>
      <c r="CE519" s="148"/>
      <c r="CF519" s="148"/>
      <c r="CG519" s="148"/>
      <c r="CH519" s="148"/>
      <c r="CI519" s="148"/>
      <c r="CJ519" s="148"/>
      <c r="CK519" s="148"/>
      <c r="CL519" s="148"/>
      <c r="CM519" s="148"/>
      <c r="CN519" s="148"/>
      <c r="CO519" s="148"/>
      <c r="CP519" s="148"/>
      <c r="CQ519" s="148"/>
      <c r="CR519" s="148"/>
      <c r="CS519" s="148"/>
      <c r="CT519" s="148"/>
      <c r="CU519" s="148"/>
      <c r="CV519" s="148"/>
      <c r="CW519" s="148"/>
      <c r="CX519" s="148"/>
      <c r="CY519" s="148"/>
      <c r="CZ519" s="148"/>
      <c r="DA519" s="148"/>
      <c r="DB519" s="148"/>
      <c r="DC519" s="148"/>
      <c r="DD519" s="148"/>
      <c r="DE519" s="148"/>
      <c r="DF519" s="148"/>
      <c r="DG519" s="148"/>
      <c r="DH519" s="148"/>
      <c r="DI519" s="148"/>
      <c r="DJ519" s="148"/>
      <c r="DK519" s="148"/>
      <c r="DL519" s="148"/>
      <c r="DM519" s="148"/>
      <c r="DN519" s="148"/>
      <c r="DO519" s="148"/>
      <c r="DP519" s="148"/>
      <c r="DQ519" s="148"/>
      <c r="DR519" s="148"/>
      <c r="DS519" s="148"/>
      <c r="DT519" s="148"/>
      <c r="DU519" s="148"/>
      <c r="DV519" s="148"/>
      <c r="DW519" s="148"/>
      <c r="DX519" s="148"/>
      <c r="DY519" s="148"/>
      <c r="DZ519" s="148"/>
      <c r="EA519" s="148"/>
      <c r="EB519" s="148"/>
      <c r="EC519" s="148"/>
      <c r="ED519" s="148"/>
      <c r="EE519" s="148"/>
      <c r="EF519" s="148"/>
      <c r="EG519" s="148"/>
      <c r="EH519" s="148"/>
      <c r="EI519" s="148"/>
      <c r="EJ519" s="148"/>
      <c r="EK519" s="148"/>
      <c r="EL519" s="148"/>
      <c r="EM519" s="148"/>
      <c r="EN519" s="148"/>
      <c r="EO519" s="148"/>
      <c r="EP519" s="148"/>
      <c r="EQ519" s="148"/>
      <c r="ER519" s="148"/>
      <c r="ES519" s="148"/>
      <c r="ET519" s="148"/>
      <c r="EU519" s="148"/>
      <c r="EV519" s="148"/>
      <c r="EW519" s="148"/>
      <c r="EX519" s="148"/>
      <c r="EY519" s="148"/>
      <c r="EZ519" s="148"/>
      <c r="FA519" s="148"/>
      <c r="FB519" s="148"/>
      <c r="FC519" s="148"/>
      <c r="FD519" s="148"/>
      <c r="FE519" s="148"/>
      <c r="FF519" s="148"/>
      <c r="FG519" s="148"/>
      <c r="FH519" s="148"/>
      <c r="FI519" s="148"/>
      <c r="FJ519" s="148"/>
      <c r="FK519" s="148"/>
      <c r="FL519" s="148"/>
      <c r="FM519" s="148"/>
      <c r="FN519" s="148"/>
      <c r="FO519" s="148"/>
      <c r="FP519" s="148"/>
      <c r="FQ519" s="148"/>
      <c r="FR519" s="148"/>
      <c r="FS519" s="148"/>
      <c r="FT519" s="148"/>
      <c r="FU519" s="148"/>
      <c r="FV519" s="148"/>
      <c r="FW519" s="148"/>
      <c r="FX519" s="148"/>
      <c r="FY519" s="148"/>
      <c r="FZ519" s="148"/>
      <c r="GA519" s="148"/>
      <c r="GB519" s="148"/>
      <c r="GC519" s="148"/>
      <c r="GD519" s="148"/>
      <c r="GE519" s="148"/>
      <c r="GF519" s="148"/>
      <c r="GG519" s="149"/>
    </row>
    <row r="520" spans="1:189" x14ac:dyDescent="0.35">
      <c r="A520" s="268"/>
      <c r="B520" s="221"/>
      <c r="C520" s="221"/>
      <c r="D520" s="222"/>
      <c r="E520" s="221"/>
      <c r="F520" s="221"/>
      <c r="G520" s="223"/>
      <c r="H520" s="224"/>
      <c r="I520" s="225"/>
      <c r="J520" s="225"/>
      <c r="K520" s="225"/>
      <c r="L520" s="226"/>
      <c r="M520" s="226"/>
      <c r="N520" s="226"/>
      <c r="O520" s="226"/>
      <c r="P520" s="226"/>
      <c r="Q520" s="227"/>
      <c r="R520" s="228"/>
      <c r="S520" s="228"/>
      <c r="T520" s="228"/>
      <c r="U520" s="191">
        <f t="shared" si="503"/>
        <v>0</v>
      </c>
      <c r="V520" s="86"/>
      <c r="W520" s="45"/>
      <c r="X520" s="46"/>
      <c r="Y520" s="167">
        <f t="shared" si="504"/>
        <v>0</v>
      </c>
      <c r="Z520" s="167">
        <f t="shared" si="505"/>
        <v>0</v>
      </c>
      <c r="AA520" s="167">
        <f t="shared" si="506"/>
        <v>0</v>
      </c>
      <c r="AB520" s="167">
        <f t="shared" si="507"/>
        <v>0</v>
      </c>
      <c r="AC520" s="167">
        <f t="shared" si="508"/>
        <v>0</v>
      </c>
      <c r="AD520" s="167">
        <f t="shared" si="509"/>
        <v>0</v>
      </c>
      <c r="AF520" s="47">
        <f t="shared" si="501"/>
        <v>0</v>
      </c>
      <c r="AG520" s="202" t="str">
        <f t="shared" si="502"/>
        <v xml:space="preserve"> </v>
      </c>
      <c r="AH520" s="150"/>
      <c r="AI520" s="151"/>
      <c r="AJ520" s="151"/>
      <c r="AK520" s="151"/>
      <c r="AL520" s="151"/>
      <c r="AM520" s="151"/>
      <c r="AN520" s="151"/>
      <c r="AO520" s="151"/>
      <c r="AP520" s="151"/>
      <c r="AQ520" s="151"/>
      <c r="AR520" s="151"/>
      <c r="AS520" s="151"/>
      <c r="AT520" s="151"/>
      <c r="AU520" s="151"/>
      <c r="AV520" s="151"/>
      <c r="AW520" s="151"/>
      <c r="AX520" s="151"/>
      <c r="AY520" s="151"/>
      <c r="AZ520" s="151"/>
      <c r="BA520" s="151"/>
      <c r="BB520" s="151"/>
      <c r="BC520" s="151"/>
      <c r="BD520" s="151"/>
      <c r="BE520" s="151"/>
      <c r="BF520" s="151"/>
      <c r="BG520" s="151"/>
      <c r="BH520" s="151"/>
      <c r="BI520" s="151"/>
      <c r="BJ520" s="151"/>
      <c r="BK520" s="151"/>
      <c r="BL520" s="151"/>
      <c r="BM520" s="151"/>
      <c r="BN520" s="151"/>
      <c r="BO520" s="151"/>
      <c r="BP520" s="151"/>
      <c r="BQ520" s="151"/>
      <c r="BR520" s="151"/>
      <c r="BS520" s="151"/>
      <c r="BT520" s="151"/>
      <c r="BU520" s="151"/>
      <c r="BV520" s="151"/>
      <c r="BW520" s="151"/>
      <c r="BX520" s="151"/>
      <c r="BY520" s="151"/>
      <c r="BZ520" s="151"/>
      <c r="CA520" s="151"/>
      <c r="CB520" s="151"/>
      <c r="CC520" s="151"/>
      <c r="CD520" s="151"/>
      <c r="CE520" s="151"/>
      <c r="CF520" s="151"/>
      <c r="CG520" s="151"/>
      <c r="CH520" s="151"/>
      <c r="CI520" s="151"/>
      <c r="CJ520" s="151"/>
      <c r="CK520" s="151"/>
      <c r="CL520" s="151"/>
      <c r="CM520" s="151"/>
      <c r="CN520" s="151"/>
      <c r="CO520" s="151"/>
      <c r="CP520" s="151"/>
      <c r="CQ520" s="151"/>
      <c r="CR520" s="151"/>
      <c r="CS520" s="151"/>
      <c r="CT520" s="151"/>
      <c r="CU520" s="151"/>
      <c r="CV520" s="151"/>
      <c r="CW520" s="151"/>
      <c r="CX520" s="151"/>
      <c r="CY520" s="151"/>
      <c r="CZ520" s="151"/>
      <c r="DA520" s="151"/>
      <c r="DB520" s="151"/>
      <c r="DC520" s="151"/>
      <c r="DD520" s="151"/>
      <c r="DE520" s="151"/>
      <c r="DF520" s="151"/>
      <c r="DG520" s="151"/>
      <c r="DH520" s="151"/>
      <c r="DI520" s="151"/>
      <c r="DJ520" s="151"/>
      <c r="DK520" s="151"/>
      <c r="DL520" s="151"/>
      <c r="DM520" s="151"/>
      <c r="DN520" s="151"/>
      <c r="DO520" s="151"/>
      <c r="DP520" s="151"/>
      <c r="DQ520" s="151"/>
      <c r="DR520" s="151"/>
      <c r="DS520" s="151"/>
      <c r="DT520" s="151"/>
      <c r="DU520" s="151"/>
      <c r="DV520" s="151"/>
      <c r="DW520" s="151"/>
      <c r="DX520" s="151"/>
      <c r="DY520" s="151"/>
      <c r="DZ520" s="151"/>
      <c r="EA520" s="151"/>
      <c r="EB520" s="151"/>
      <c r="EC520" s="151"/>
      <c r="ED520" s="151"/>
      <c r="EE520" s="151"/>
      <c r="EF520" s="151"/>
      <c r="EG520" s="151"/>
      <c r="EH520" s="151"/>
      <c r="EI520" s="151"/>
      <c r="EJ520" s="151"/>
      <c r="EK520" s="151"/>
      <c r="EL520" s="151"/>
      <c r="EM520" s="151"/>
      <c r="EN520" s="151"/>
      <c r="EO520" s="151"/>
      <c r="EP520" s="151"/>
      <c r="EQ520" s="151"/>
      <c r="ER520" s="151"/>
      <c r="ES520" s="151"/>
      <c r="ET520" s="151"/>
      <c r="EU520" s="151"/>
      <c r="EV520" s="151"/>
      <c r="EW520" s="151"/>
      <c r="EX520" s="151"/>
      <c r="EY520" s="151"/>
      <c r="EZ520" s="151"/>
      <c r="FA520" s="151"/>
      <c r="FB520" s="151"/>
      <c r="FC520" s="151"/>
      <c r="FD520" s="151"/>
      <c r="FE520" s="151"/>
      <c r="FF520" s="151"/>
      <c r="FG520" s="151"/>
      <c r="FH520" s="151"/>
      <c r="FI520" s="151"/>
      <c r="FJ520" s="151"/>
      <c r="FK520" s="151"/>
      <c r="FL520" s="151"/>
      <c r="FM520" s="151"/>
      <c r="FN520" s="151"/>
      <c r="FO520" s="151"/>
      <c r="FP520" s="151"/>
      <c r="FQ520" s="151"/>
      <c r="FR520" s="151"/>
      <c r="FS520" s="151"/>
      <c r="FT520" s="151"/>
      <c r="FU520" s="151"/>
      <c r="FV520" s="151"/>
      <c r="FW520" s="151"/>
      <c r="FX520" s="151"/>
      <c r="FY520" s="151"/>
      <c r="FZ520" s="151"/>
      <c r="GA520" s="151"/>
      <c r="GB520" s="151"/>
      <c r="GC520" s="151"/>
      <c r="GD520" s="151"/>
      <c r="GE520" s="151"/>
      <c r="GF520" s="151"/>
      <c r="GG520" s="152"/>
    </row>
    <row r="521" spans="1:189" x14ac:dyDescent="0.35">
      <c r="A521" s="268"/>
      <c r="B521" s="221"/>
      <c r="C521" s="221"/>
      <c r="D521" s="222"/>
      <c r="E521" s="221"/>
      <c r="F521" s="221"/>
      <c r="G521" s="223"/>
      <c r="H521" s="224"/>
      <c r="I521" s="225"/>
      <c r="J521" s="225"/>
      <c r="K521" s="225"/>
      <c r="L521" s="226"/>
      <c r="M521" s="226"/>
      <c r="N521" s="226"/>
      <c r="O521" s="226"/>
      <c r="P521" s="226"/>
      <c r="Q521" s="227"/>
      <c r="R521" s="228"/>
      <c r="S521" s="228"/>
      <c r="T521" s="228"/>
      <c r="U521" s="191">
        <f t="shared" si="503"/>
        <v>0</v>
      </c>
      <c r="V521" s="86"/>
      <c r="W521" s="45"/>
      <c r="X521" s="46"/>
      <c r="Y521" s="167">
        <f t="shared" si="504"/>
        <v>0</v>
      </c>
      <c r="Z521" s="167">
        <f t="shared" si="505"/>
        <v>0</v>
      </c>
      <c r="AA521" s="167">
        <f t="shared" si="506"/>
        <v>0</v>
      </c>
      <c r="AB521" s="167">
        <f t="shared" si="507"/>
        <v>0</v>
      </c>
      <c r="AC521" s="167">
        <f t="shared" si="508"/>
        <v>0</v>
      </c>
      <c r="AD521" s="167">
        <f t="shared" si="509"/>
        <v>0</v>
      </c>
      <c r="AF521" s="47">
        <f t="shared" si="501"/>
        <v>0</v>
      </c>
      <c r="AG521" s="202" t="str">
        <f t="shared" si="502"/>
        <v xml:space="preserve"> </v>
      </c>
      <c r="AH521" s="150"/>
      <c r="AI521" s="151"/>
      <c r="AJ521" s="151"/>
      <c r="AK521" s="151"/>
      <c r="AL521" s="151"/>
      <c r="AM521" s="151"/>
      <c r="AN521" s="151"/>
      <c r="AO521" s="151"/>
      <c r="AP521" s="151"/>
      <c r="AQ521" s="151"/>
      <c r="AR521" s="151"/>
      <c r="AS521" s="151"/>
      <c r="AT521" s="151"/>
      <c r="AU521" s="151"/>
      <c r="AV521" s="151"/>
      <c r="AW521" s="151"/>
      <c r="AX521" s="151"/>
      <c r="AY521" s="151"/>
      <c r="AZ521" s="151"/>
      <c r="BA521" s="151"/>
      <c r="BB521" s="151"/>
      <c r="BC521" s="151"/>
      <c r="BD521" s="151"/>
      <c r="BE521" s="151"/>
      <c r="BF521" s="151"/>
      <c r="BG521" s="151"/>
      <c r="BH521" s="151"/>
      <c r="BI521" s="151"/>
      <c r="BJ521" s="151"/>
      <c r="BK521" s="151"/>
      <c r="BL521" s="151"/>
      <c r="BM521" s="151"/>
      <c r="BN521" s="151"/>
      <c r="BO521" s="151"/>
      <c r="BP521" s="151"/>
      <c r="BQ521" s="151"/>
      <c r="BR521" s="151"/>
      <c r="BS521" s="151"/>
      <c r="BT521" s="151"/>
      <c r="BU521" s="151"/>
      <c r="BV521" s="151"/>
      <c r="BW521" s="151"/>
      <c r="BX521" s="151"/>
      <c r="BY521" s="151"/>
      <c r="BZ521" s="151"/>
      <c r="CA521" s="151"/>
      <c r="CB521" s="151"/>
      <c r="CC521" s="151"/>
      <c r="CD521" s="151"/>
      <c r="CE521" s="151"/>
      <c r="CF521" s="151"/>
      <c r="CG521" s="151"/>
      <c r="CH521" s="151"/>
      <c r="CI521" s="151"/>
      <c r="CJ521" s="151"/>
      <c r="CK521" s="151"/>
      <c r="CL521" s="151"/>
      <c r="CM521" s="151"/>
      <c r="CN521" s="151"/>
      <c r="CO521" s="151"/>
      <c r="CP521" s="151"/>
      <c r="CQ521" s="151"/>
      <c r="CR521" s="151"/>
      <c r="CS521" s="151"/>
      <c r="CT521" s="151"/>
      <c r="CU521" s="151"/>
      <c r="CV521" s="151"/>
      <c r="CW521" s="151"/>
      <c r="CX521" s="151"/>
      <c r="CY521" s="151"/>
      <c r="CZ521" s="151"/>
      <c r="DA521" s="151"/>
      <c r="DB521" s="151"/>
      <c r="DC521" s="151"/>
      <c r="DD521" s="151"/>
      <c r="DE521" s="151"/>
      <c r="DF521" s="151"/>
      <c r="DG521" s="151"/>
      <c r="DH521" s="151"/>
      <c r="DI521" s="151"/>
      <c r="DJ521" s="151"/>
      <c r="DK521" s="151"/>
      <c r="DL521" s="151"/>
      <c r="DM521" s="151"/>
      <c r="DN521" s="151"/>
      <c r="DO521" s="151"/>
      <c r="DP521" s="151"/>
      <c r="DQ521" s="151"/>
      <c r="DR521" s="151"/>
      <c r="DS521" s="151"/>
      <c r="DT521" s="151"/>
      <c r="DU521" s="151"/>
      <c r="DV521" s="151"/>
      <c r="DW521" s="151"/>
      <c r="DX521" s="151"/>
      <c r="DY521" s="151"/>
      <c r="DZ521" s="151"/>
      <c r="EA521" s="151"/>
      <c r="EB521" s="151"/>
      <c r="EC521" s="151"/>
      <c r="ED521" s="151"/>
      <c r="EE521" s="151"/>
      <c r="EF521" s="151"/>
      <c r="EG521" s="151"/>
      <c r="EH521" s="151"/>
      <c r="EI521" s="151"/>
      <c r="EJ521" s="151"/>
      <c r="EK521" s="151"/>
      <c r="EL521" s="151"/>
      <c r="EM521" s="151"/>
      <c r="EN521" s="151"/>
      <c r="EO521" s="151"/>
      <c r="EP521" s="151"/>
      <c r="EQ521" s="151"/>
      <c r="ER521" s="151"/>
      <c r="ES521" s="151"/>
      <c r="ET521" s="151"/>
      <c r="EU521" s="151"/>
      <c r="EV521" s="151"/>
      <c r="EW521" s="151"/>
      <c r="EX521" s="151"/>
      <c r="EY521" s="151"/>
      <c r="EZ521" s="151"/>
      <c r="FA521" s="151"/>
      <c r="FB521" s="151"/>
      <c r="FC521" s="151"/>
      <c r="FD521" s="151"/>
      <c r="FE521" s="151"/>
      <c r="FF521" s="151"/>
      <c r="FG521" s="151"/>
      <c r="FH521" s="151"/>
      <c r="FI521" s="151"/>
      <c r="FJ521" s="151"/>
      <c r="FK521" s="151"/>
      <c r="FL521" s="151"/>
      <c r="FM521" s="151"/>
      <c r="FN521" s="151"/>
      <c r="FO521" s="151"/>
      <c r="FP521" s="151"/>
      <c r="FQ521" s="151"/>
      <c r="FR521" s="151"/>
      <c r="FS521" s="151"/>
      <c r="FT521" s="151"/>
      <c r="FU521" s="151"/>
      <c r="FV521" s="151"/>
      <c r="FW521" s="151"/>
      <c r="FX521" s="151"/>
      <c r="FY521" s="151"/>
      <c r="FZ521" s="151"/>
      <c r="GA521" s="151"/>
      <c r="GB521" s="151"/>
      <c r="GC521" s="151"/>
      <c r="GD521" s="151"/>
      <c r="GE521" s="151"/>
      <c r="GF521" s="151"/>
      <c r="GG521" s="152"/>
    </row>
    <row r="522" spans="1:189" x14ac:dyDescent="0.35">
      <c r="A522" s="268"/>
      <c r="B522" s="221"/>
      <c r="C522" s="221"/>
      <c r="D522" s="222"/>
      <c r="E522" s="221"/>
      <c r="F522" s="221"/>
      <c r="G522" s="223"/>
      <c r="H522" s="224"/>
      <c r="I522" s="225"/>
      <c r="J522" s="225"/>
      <c r="K522" s="225"/>
      <c r="L522" s="226"/>
      <c r="M522" s="226"/>
      <c r="N522" s="226"/>
      <c r="O522" s="226"/>
      <c r="P522" s="226"/>
      <c r="Q522" s="227"/>
      <c r="R522" s="228"/>
      <c r="S522" s="228"/>
      <c r="T522" s="228"/>
      <c r="U522" s="191">
        <f t="shared" si="503"/>
        <v>0</v>
      </c>
      <c r="V522" s="86"/>
      <c r="W522" s="45"/>
      <c r="X522" s="46"/>
      <c r="Y522" s="167">
        <f t="shared" si="504"/>
        <v>0</v>
      </c>
      <c r="Z522" s="167">
        <f t="shared" si="505"/>
        <v>0</v>
      </c>
      <c r="AA522" s="167">
        <f t="shared" si="506"/>
        <v>0</v>
      </c>
      <c r="AB522" s="167">
        <f t="shared" si="507"/>
        <v>0</v>
      </c>
      <c r="AC522" s="167">
        <f t="shared" si="508"/>
        <v>0</v>
      </c>
      <c r="AD522" s="167">
        <f t="shared" si="509"/>
        <v>0</v>
      </c>
      <c r="AF522" s="47">
        <f t="shared" si="501"/>
        <v>0</v>
      </c>
      <c r="AG522" s="202" t="str">
        <f t="shared" si="502"/>
        <v xml:space="preserve"> </v>
      </c>
      <c r="AH522" s="150"/>
      <c r="AI522" s="151"/>
      <c r="AJ522" s="151"/>
      <c r="AK522" s="151"/>
      <c r="AL522" s="151"/>
      <c r="AM522" s="151"/>
      <c r="AN522" s="151"/>
      <c r="AO522" s="151"/>
      <c r="AP522" s="151"/>
      <c r="AQ522" s="151"/>
      <c r="AR522" s="151"/>
      <c r="AS522" s="151"/>
      <c r="AT522" s="151"/>
      <c r="AU522" s="151"/>
      <c r="AV522" s="151"/>
      <c r="AW522" s="151"/>
      <c r="AX522" s="151"/>
      <c r="AY522" s="151"/>
      <c r="AZ522" s="151"/>
      <c r="BA522" s="151"/>
      <c r="BB522" s="151"/>
      <c r="BC522" s="151"/>
      <c r="BD522" s="151"/>
      <c r="BE522" s="151"/>
      <c r="BF522" s="151"/>
      <c r="BG522" s="151"/>
      <c r="BH522" s="151"/>
      <c r="BI522" s="151"/>
      <c r="BJ522" s="151"/>
      <c r="BK522" s="151"/>
      <c r="BL522" s="151"/>
      <c r="BM522" s="151"/>
      <c r="BN522" s="151"/>
      <c r="BO522" s="151"/>
      <c r="BP522" s="151"/>
      <c r="BQ522" s="151"/>
      <c r="BR522" s="151"/>
      <c r="BS522" s="151"/>
      <c r="BT522" s="151"/>
      <c r="BU522" s="151"/>
      <c r="BV522" s="151"/>
      <c r="BW522" s="151"/>
      <c r="BX522" s="151"/>
      <c r="BY522" s="151"/>
      <c r="BZ522" s="151"/>
      <c r="CA522" s="151"/>
      <c r="CB522" s="151"/>
      <c r="CC522" s="151"/>
      <c r="CD522" s="151"/>
      <c r="CE522" s="151"/>
      <c r="CF522" s="151"/>
      <c r="CG522" s="151"/>
      <c r="CH522" s="151"/>
      <c r="CI522" s="151"/>
      <c r="CJ522" s="151"/>
      <c r="CK522" s="151"/>
      <c r="CL522" s="151"/>
      <c r="CM522" s="151"/>
      <c r="CN522" s="151"/>
      <c r="CO522" s="151"/>
      <c r="CP522" s="151"/>
      <c r="CQ522" s="151"/>
      <c r="CR522" s="151"/>
      <c r="CS522" s="151"/>
      <c r="CT522" s="151"/>
      <c r="CU522" s="151"/>
      <c r="CV522" s="151"/>
      <c r="CW522" s="151"/>
      <c r="CX522" s="151"/>
      <c r="CY522" s="151"/>
      <c r="CZ522" s="151"/>
      <c r="DA522" s="151"/>
      <c r="DB522" s="151"/>
      <c r="DC522" s="151"/>
      <c r="DD522" s="151"/>
      <c r="DE522" s="151"/>
      <c r="DF522" s="151"/>
      <c r="DG522" s="151"/>
      <c r="DH522" s="151"/>
      <c r="DI522" s="151"/>
      <c r="DJ522" s="151"/>
      <c r="DK522" s="151"/>
      <c r="DL522" s="151"/>
      <c r="DM522" s="151"/>
      <c r="DN522" s="151"/>
      <c r="DO522" s="151"/>
      <c r="DP522" s="151"/>
      <c r="DQ522" s="151"/>
      <c r="DR522" s="151"/>
      <c r="DS522" s="151"/>
      <c r="DT522" s="151"/>
      <c r="DU522" s="151"/>
      <c r="DV522" s="151"/>
      <c r="DW522" s="151"/>
      <c r="DX522" s="151"/>
      <c r="DY522" s="151"/>
      <c r="DZ522" s="151"/>
      <c r="EA522" s="151"/>
      <c r="EB522" s="151"/>
      <c r="EC522" s="151"/>
      <c r="ED522" s="151"/>
      <c r="EE522" s="151"/>
      <c r="EF522" s="151"/>
      <c r="EG522" s="151"/>
      <c r="EH522" s="151"/>
      <c r="EI522" s="151"/>
      <c r="EJ522" s="151"/>
      <c r="EK522" s="151"/>
      <c r="EL522" s="151"/>
      <c r="EM522" s="151"/>
      <c r="EN522" s="151"/>
      <c r="EO522" s="151"/>
      <c r="EP522" s="151"/>
      <c r="EQ522" s="151"/>
      <c r="ER522" s="151"/>
      <c r="ES522" s="151"/>
      <c r="ET522" s="151"/>
      <c r="EU522" s="151"/>
      <c r="EV522" s="151"/>
      <c r="EW522" s="151"/>
      <c r="EX522" s="151"/>
      <c r="EY522" s="151"/>
      <c r="EZ522" s="151"/>
      <c r="FA522" s="151"/>
      <c r="FB522" s="151"/>
      <c r="FC522" s="151"/>
      <c r="FD522" s="151"/>
      <c r="FE522" s="151"/>
      <c r="FF522" s="151"/>
      <c r="FG522" s="151"/>
      <c r="FH522" s="151"/>
      <c r="FI522" s="151"/>
      <c r="FJ522" s="151"/>
      <c r="FK522" s="151"/>
      <c r="FL522" s="151"/>
      <c r="FM522" s="151"/>
      <c r="FN522" s="151"/>
      <c r="FO522" s="151"/>
      <c r="FP522" s="151"/>
      <c r="FQ522" s="151"/>
      <c r="FR522" s="151"/>
      <c r="FS522" s="151"/>
      <c r="FT522" s="151"/>
      <c r="FU522" s="151"/>
      <c r="FV522" s="151"/>
      <c r="FW522" s="151"/>
      <c r="FX522" s="151"/>
      <c r="FY522" s="151"/>
      <c r="FZ522" s="151"/>
      <c r="GA522" s="151"/>
      <c r="GB522" s="151"/>
      <c r="GC522" s="151"/>
      <c r="GD522" s="151"/>
      <c r="GE522" s="151"/>
      <c r="GF522" s="151"/>
      <c r="GG522" s="152"/>
    </row>
    <row r="523" spans="1:189" x14ac:dyDescent="0.35">
      <c r="A523" s="268"/>
      <c r="B523" s="221"/>
      <c r="C523" s="221"/>
      <c r="D523" s="222"/>
      <c r="E523" s="221"/>
      <c r="F523" s="221"/>
      <c r="G523" s="223"/>
      <c r="H523" s="224"/>
      <c r="I523" s="225"/>
      <c r="J523" s="225"/>
      <c r="K523" s="225"/>
      <c r="L523" s="226"/>
      <c r="M523" s="226"/>
      <c r="N523" s="226"/>
      <c r="O523" s="226"/>
      <c r="P523" s="226"/>
      <c r="Q523" s="227"/>
      <c r="R523" s="228"/>
      <c r="S523" s="228"/>
      <c r="T523" s="228"/>
      <c r="U523" s="191">
        <f t="shared" si="503"/>
        <v>0</v>
      </c>
      <c r="V523" s="86"/>
      <c r="W523" s="45"/>
      <c r="X523" s="46"/>
      <c r="Y523" s="167">
        <f t="shared" si="504"/>
        <v>0</v>
      </c>
      <c r="Z523" s="167">
        <f t="shared" si="505"/>
        <v>0</v>
      </c>
      <c r="AA523" s="167">
        <f t="shared" si="506"/>
        <v>0</v>
      </c>
      <c r="AB523" s="167">
        <f t="shared" si="507"/>
        <v>0</v>
      </c>
      <c r="AC523" s="167">
        <f t="shared" si="508"/>
        <v>0</v>
      </c>
      <c r="AD523" s="167">
        <f t="shared" si="509"/>
        <v>0</v>
      </c>
      <c r="AF523" s="47">
        <f t="shared" si="501"/>
        <v>0</v>
      </c>
      <c r="AG523" s="202" t="str">
        <f t="shared" si="502"/>
        <v xml:space="preserve"> </v>
      </c>
      <c r="AH523" s="147"/>
      <c r="AI523" s="148"/>
      <c r="AJ523" s="148"/>
      <c r="AK523" s="148"/>
      <c r="AL523" s="148"/>
      <c r="AM523" s="148"/>
      <c r="AN523" s="148"/>
      <c r="AO523" s="148"/>
      <c r="AP523" s="148"/>
      <c r="AQ523" s="148"/>
      <c r="AR523" s="148"/>
      <c r="AS523" s="148"/>
      <c r="AT523" s="148"/>
      <c r="AU523" s="148"/>
      <c r="AV523" s="148"/>
      <c r="AW523" s="148"/>
      <c r="AX523" s="148"/>
      <c r="AY523" s="148"/>
      <c r="AZ523" s="148"/>
      <c r="BA523" s="148"/>
      <c r="BB523" s="148"/>
      <c r="BC523" s="148"/>
      <c r="BD523" s="148"/>
      <c r="BE523" s="148"/>
      <c r="BF523" s="148"/>
      <c r="BG523" s="148"/>
      <c r="BH523" s="148"/>
      <c r="BI523" s="148"/>
      <c r="BJ523" s="148"/>
      <c r="BK523" s="148"/>
      <c r="BL523" s="148"/>
      <c r="BM523" s="148"/>
      <c r="BN523" s="148"/>
      <c r="BO523" s="148"/>
      <c r="BP523" s="148"/>
      <c r="BQ523" s="148"/>
      <c r="BR523" s="148"/>
      <c r="BS523" s="148"/>
      <c r="BT523" s="148"/>
      <c r="BU523" s="148"/>
      <c r="BV523" s="148"/>
      <c r="BW523" s="148"/>
      <c r="BX523" s="148"/>
      <c r="BY523" s="148"/>
      <c r="BZ523" s="148"/>
      <c r="CA523" s="148"/>
      <c r="CB523" s="148"/>
      <c r="CC523" s="148"/>
      <c r="CD523" s="148"/>
      <c r="CE523" s="148"/>
      <c r="CF523" s="148"/>
      <c r="CG523" s="148"/>
      <c r="CH523" s="148"/>
      <c r="CI523" s="148"/>
      <c r="CJ523" s="148"/>
      <c r="CK523" s="148"/>
      <c r="CL523" s="148"/>
      <c r="CM523" s="148"/>
      <c r="CN523" s="148"/>
      <c r="CO523" s="148"/>
      <c r="CP523" s="148"/>
      <c r="CQ523" s="148"/>
      <c r="CR523" s="148"/>
      <c r="CS523" s="148"/>
      <c r="CT523" s="148"/>
      <c r="CU523" s="148"/>
      <c r="CV523" s="148"/>
      <c r="CW523" s="148"/>
      <c r="CX523" s="148"/>
      <c r="CY523" s="148"/>
      <c r="CZ523" s="148"/>
      <c r="DA523" s="148"/>
      <c r="DB523" s="148"/>
      <c r="DC523" s="148"/>
      <c r="DD523" s="148"/>
      <c r="DE523" s="148"/>
      <c r="DF523" s="148"/>
      <c r="DG523" s="148"/>
      <c r="DH523" s="148"/>
      <c r="DI523" s="148"/>
      <c r="DJ523" s="148"/>
      <c r="DK523" s="148"/>
      <c r="DL523" s="148"/>
      <c r="DM523" s="148"/>
      <c r="DN523" s="148"/>
      <c r="DO523" s="148"/>
      <c r="DP523" s="148"/>
      <c r="DQ523" s="148"/>
      <c r="DR523" s="148"/>
      <c r="DS523" s="148"/>
      <c r="DT523" s="148"/>
      <c r="DU523" s="148"/>
      <c r="DV523" s="148"/>
      <c r="DW523" s="148"/>
      <c r="DX523" s="148"/>
      <c r="DY523" s="148"/>
      <c r="DZ523" s="148"/>
      <c r="EA523" s="148"/>
      <c r="EB523" s="148"/>
      <c r="EC523" s="148"/>
      <c r="ED523" s="148"/>
      <c r="EE523" s="148"/>
      <c r="EF523" s="148"/>
      <c r="EG523" s="148"/>
      <c r="EH523" s="148"/>
      <c r="EI523" s="148"/>
      <c r="EJ523" s="148"/>
      <c r="EK523" s="148"/>
      <c r="EL523" s="148"/>
      <c r="EM523" s="148"/>
      <c r="EN523" s="148"/>
      <c r="EO523" s="148"/>
      <c r="EP523" s="148"/>
      <c r="EQ523" s="148"/>
      <c r="ER523" s="148"/>
      <c r="ES523" s="148"/>
      <c r="ET523" s="148"/>
      <c r="EU523" s="148"/>
      <c r="EV523" s="148"/>
      <c r="EW523" s="148"/>
      <c r="EX523" s="148"/>
      <c r="EY523" s="148"/>
      <c r="EZ523" s="148"/>
      <c r="FA523" s="148"/>
      <c r="FB523" s="148"/>
      <c r="FC523" s="148"/>
      <c r="FD523" s="148"/>
      <c r="FE523" s="148"/>
      <c r="FF523" s="148"/>
      <c r="FG523" s="148"/>
      <c r="FH523" s="148"/>
      <c r="FI523" s="148"/>
      <c r="FJ523" s="148"/>
      <c r="FK523" s="148"/>
      <c r="FL523" s="148"/>
      <c r="FM523" s="148"/>
      <c r="FN523" s="148"/>
      <c r="FO523" s="148"/>
      <c r="FP523" s="148"/>
      <c r="FQ523" s="148"/>
      <c r="FR523" s="148"/>
      <c r="FS523" s="148"/>
      <c r="FT523" s="148"/>
      <c r="FU523" s="148"/>
      <c r="FV523" s="148"/>
      <c r="FW523" s="148"/>
      <c r="FX523" s="148"/>
      <c r="FY523" s="148"/>
      <c r="FZ523" s="148"/>
      <c r="GA523" s="148"/>
      <c r="GB523" s="148"/>
      <c r="GC523" s="148"/>
      <c r="GD523" s="148"/>
      <c r="GE523" s="148"/>
      <c r="GF523" s="148"/>
      <c r="GG523" s="149"/>
    </row>
    <row r="524" spans="1:189" x14ac:dyDescent="0.35">
      <c r="A524" s="268"/>
      <c r="B524" s="221"/>
      <c r="C524" s="221"/>
      <c r="D524" s="222"/>
      <c r="E524" s="221"/>
      <c r="F524" s="221"/>
      <c r="G524" s="223"/>
      <c r="H524" s="224"/>
      <c r="I524" s="225"/>
      <c r="J524" s="225"/>
      <c r="K524" s="225"/>
      <c r="L524" s="226"/>
      <c r="M524" s="226"/>
      <c r="N524" s="226"/>
      <c r="O524" s="226"/>
      <c r="P524" s="226"/>
      <c r="Q524" s="227"/>
      <c r="R524" s="228"/>
      <c r="S524" s="228"/>
      <c r="T524" s="228"/>
      <c r="U524" s="191">
        <f t="shared" si="503"/>
        <v>0</v>
      </c>
      <c r="V524" s="86"/>
      <c r="W524" s="45"/>
      <c r="X524" s="46"/>
      <c r="Y524" s="167">
        <f t="shared" si="504"/>
        <v>0</v>
      </c>
      <c r="Z524" s="167">
        <f t="shared" si="505"/>
        <v>0</v>
      </c>
      <c r="AA524" s="167">
        <f t="shared" si="506"/>
        <v>0</v>
      </c>
      <c r="AB524" s="167">
        <f t="shared" si="507"/>
        <v>0</v>
      </c>
      <c r="AC524" s="167">
        <f t="shared" si="508"/>
        <v>0</v>
      </c>
      <c r="AD524" s="167">
        <f t="shared" si="509"/>
        <v>0</v>
      </c>
      <c r="AF524" s="47">
        <f t="shared" si="501"/>
        <v>0</v>
      </c>
      <c r="AG524" s="202" t="str">
        <f t="shared" si="502"/>
        <v xml:space="preserve"> </v>
      </c>
      <c r="AH524" s="150"/>
      <c r="AI524" s="151"/>
      <c r="AJ524" s="151"/>
      <c r="AK524" s="151"/>
      <c r="AL524" s="151"/>
      <c r="AM524" s="151"/>
      <c r="AN524" s="151"/>
      <c r="AO524" s="151"/>
      <c r="AP524" s="151"/>
      <c r="AQ524" s="151"/>
      <c r="AR524" s="151"/>
      <c r="AS524" s="151"/>
      <c r="AT524" s="151"/>
      <c r="AU524" s="151"/>
      <c r="AV524" s="151"/>
      <c r="AW524" s="151"/>
      <c r="AX524" s="151"/>
      <c r="AY524" s="151"/>
      <c r="AZ524" s="151"/>
      <c r="BA524" s="151"/>
      <c r="BB524" s="151"/>
      <c r="BC524" s="151"/>
      <c r="BD524" s="151"/>
      <c r="BE524" s="151"/>
      <c r="BF524" s="151"/>
      <c r="BG524" s="151"/>
      <c r="BH524" s="151"/>
      <c r="BI524" s="151"/>
      <c r="BJ524" s="151"/>
      <c r="BK524" s="151"/>
      <c r="BL524" s="151"/>
      <c r="BM524" s="151"/>
      <c r="BN524" s="151"/>
      <c r="BO524" s="151"/>
      <c r="BP524" s="151"/>
      <c r="BQ524" s="151"/>
      <c r="BR524" s="151"/>
      <c r="BS524" s="151"/>
      <c r="BT524" s="151"/>
      <c r="BU524" s="151"/>
      <c r="BV524" s="151"/>
      <c r="BW524" s="151"/>
      <c r="BX524" s="151"/>
      <c r="BY524" s="151"/>
      <c r="BZ524" s="151"/>
      <c r="CA524" s="151"/>
      <c r="CB524" s="151"/>
      <c r="CC524" s="151"/>
      <c r="CD524" s="151"/>
      <c r="CE524" s="151"/>
      <c r="CF524" s="151"/>
      <c r="CG524" s="151"/>
      <c r="CH524" s="151"/>
      <c r="CI524" s="151"/>
      <c r="CJ524" s="151"/>
      <c r="CK524" s="151"/>
      <c r="CL524" s="151"/>
      <c r="CM524" s="151"/>
      <c r="CN524" s="151"/>
      <c r="CO524" s="151"/>
      <c r="CP524" s="151"/>
      <c r="CQ524" s="151"/>
      <c r="CR524" s="151"/>
      <c r="CS524" s="151"/>
      <c r="CT524" s="151"/>
      <c r="CU524" s="151"/>
      <c r="CV524" s="151"/>
      <c r="CW524" s="151"/>
      <c r="CX524" s="151"/>
      <c r="CY524" s="151"/>
      <c r="CZ524" s="151"/>
      <c r="DA524" s="151"/>
      <c r="DB524" s="151"/>
      <c r="DC524" s="151"/>
      <c r="DD524" s="151"/>
      <c r="DE524" s="151"/>
      <c r="DF524" s="151"/>
      <c r="DG524" s="151"/>
      <c r="DH524" s="151"/>
      <c r="DI524" s="151"/>
      <c r="DJ524" s="151"/>
      <c r="DK524" s="151"/>
      <c r="DL524" s="151"/>
      <c r="DM524" s="151"/>
      <c r="DN524" s="151"/>
      <c r="DO524" s="151"/>
      <c r="DP524" s="151"/>
      <c r="DQ524" s="151"/>
      <c r="DR524" s="151"/>
      <c r="DS524" s="151"/>
      <c r="DT524" s="151"/>
      <c r="DU524" s="151"/>
      <c r="DV524" s="151"/>
      <c r="DW524" s="151"/>
      <c r="DX524" s="151"/>
      <c r="DY524" s="151"/>
      <c r="DZ524" s="151"/>
      <c r="EA524" s="151"/>
      <c r="EB524" s="151"/>
      <c r="EC524" s="151"/>
      <c r="ED524" s="151"/>
      <c r="EE524" s="151"/>
      <c r="EF524" s="151"/>
      <c r="EG524" s="151"/>
      <c r="EH524" s="151"/>
      <c r="EI524" s="151"/>
      <c r="EJ524" s="151"/>
      <c r="EK524" s="151"/>
      <c r="EL524" s="151"/>
      <c r="EM524" s="151"/>
      <c r="EN524" s="151"/>
      <c r="EO524" s="151"/>
      <c r="EP524" s="151"/>
      <c r="EQ524" s="151"/>
      <c r="ER524" s="151"/>
      <c r="ES524" s="151"/>
      <c r="ET524" s="151"/>
      <c r="EU524" s="151"/>
      <c r="EV524" s="151"/>
      <c r="EW524" s="151"/>
      <c r="EX524" s="151"/>
      <c r="EY524" s="151"/>
      <c r="EZ524" s="151"/>
      <c r="FA524" s="151"/>
      <c r="FB524" s="151"/>
      <c r="FC524" s="151"/>
      <c r="FD524" s="151"/>
      <c r="FE524" s="151"/>
      <c r="FF524" s="151"/>
      <c r="FG524" s="151"/>
      <c r="FH524" s="151"/>
      <c r="FI524" s="151"/>
      <c r="FJ524" s="151"/>
      <c r="FK524" s="151"/>
      <c r="FL524" s="151"/>
      <c r="FM524" s="151"/>
      <c r="FN524" s="151"/>
      <c r="FO524" s="151"/>
      <c r="FP524" s="151"/>
      <c r="FQ524" s="151"/>
      <c r="FR524" s="151"/>
      <c r="FS524" s="151"/>
      <c r="FT524" s="151"/>
      <c r="FU524" s="151"/>
      <c r="FV524" s="151"/>
      <c r="FW524" s="151"/>
      <c r="FX524" s="151"/>
      <c r="FY524" s="151"/>
      <c r="FZ524" s="151"/>
      <c r="GA524" s="151"/>
      <c r="GB524" s="151"/>
      <c r="GC524" s="151"/>
      <c r="GD524" s="151"/>
      <c r="GE524" s="151"/>
      <c r="GF524" s="151"/>
      <c r="GG524" s="152"/>
    </row>
    <row r="525" spans="1:189" x14ac:dyDescent="0.35">
      <c r="A525" s="268"/>
      <c r="B525" s="221"/>
      <c r="C525" s="221"/>
      <c r="D525" s="222"/>
      <c r="E525" s="221"/>
      <c r="F525" s="221"/>
      <c r="G525" s="223"/>
      <c r="H525" s="224"/>
      <c r="I525" s="225"/>
      <c r="J525" s="225"/>
      <c r="K525" s="225"/>
      <c r="L525" s="226"/>
      <c r="M525" s="226"/>
      <c r="N525" s="226"/>
      <c r="O525" s="226"/>
      <c r="P525" s="226"/>
      <c r="Q525" s="227"/>
      <c r="R525" s="228"/>
      <c r="S525" s="228"/>
      <c r="T525" s="228"/>
      <c r="U525" s="191">
        <f t="shared" si="503"/>
        <v>0</v>
      </c>
      <c r="V525" s="86"/>
      <c r="W525" s="45"/>
      <c r="X525" s="46"/>
      <c r="Y525" s="167">
        <f t="shared" si="504"/>
        <v>0</v>
      </c>
      <c r="Z525" s="167">
        <f t="shared" si="505"/>
        <v>0</v>
      </c>
      <c r="AA525" s="167">
        <f t="shared" si="506"/>
        <v>0</v>
      </c>
      <c r="AB525" s="167">
        <f t="shared" si="507"/>
        <v>0</v>
      </c>
      <c r="AC525" s="167">
        <f t="shared" si="508"/>
        <v>0</v>
      </c>
      <c r="AD525" s="167">
        <f t="shared" si="509"/>
        <v>0</v>
      </c>
      <c r="AF525" s="47">
        <f t="shared" si="501"/>
        <v>0</v>
      </c>
      <c r="AG525" s="202" t="str">
        <f t="shared" si="502"/>
        <v xml:space="preserve"> </v>
      </c>
      <c r="AH525" s="150"/>
      <c r="AI525" s="151"/>
      <c r="AJ525" s="151"/>
      <c r="AK525" s="151"/>
      <c r="AL525" s="151"/>
      <c r="AM525" s="151"/>
      <c r="AN525" s="151"/>
      <c r="AO525" s="151"/>
      <c r="AP525" s="151"/>
      <c r="AQ525" s="151"/>
      <c r="AR525" s="151"/>
      <c r="AS525" s="151"/>
      <c r="AT525" s="151"/>
      <c r="AU525" s="151"/>
      <c r="AV525" s="151"/>
      <c r="AW525" s="151"/>
      <c r="AX525" s="151"/>
      <c r="AY525" s="151"/>
      <c r="AZ525" s="151"/>
      <c r="BA525" s="151"/>
      <c r="BB525" s="151"/>
      <c r="BC525" s="151"/>
      <c r="BD525" s="151"/>
      <c r="BE525" s="151"/>
      <c r="BF525" s="151"/>
      <c r="BG525" s="151"/>
      <c r="BH525" s="151"/>
      <c r="BI525" s="151"/>
      <c r="BJ525" s="151"/>
      <c r="BK525" s="151"/>
      <c r="BL525" s="151"/>
      <c r="BM525" s="151"/>
      <c r="BN525" s="151"/>
      <c r="BO525" s="151"/>
      <c r="BP525" s="151"/>
      <c r="BQ525" s="151"/>
      <c r="BR525" s="151"/>
      <c r="BS525" s="151"/>
      <c r="BT525" s="151"/>
      <c r="BU525" s="151"/>
      <c r="BV525" s="151"/>
      <c r="BW525" s="151"/>
      <c r="BX525" s="151"/>
      <c r="BY525" s="151"/>
      <c r="BZ525" s="151"/>
      <c r="CA525" s="151"/>
      <c r="CB525" s="151"/>
      <c r="CC525" s="151"/>
      <c r="CD525" s="151"/>
      <c r="CE525" s="151"/>
      <c r="CF525" s="151"/>
      <c r="CG525" s="151"/>
      <c r="CH525" s="151"/>
      <c r="CI525" s="151"/>
      <c r="CJ525" s="151"/>
      <c r="CK525" s="151"/>
      <c r="CL525" s="151"/>
      <c r="CM525" s="151"/>
      <c r="CN525" s="151"/>
      <c r="CO525" s="151"/>
      <c r="CP525" s="151"/>
      <c r="CQ525" s="151"/>
      <c r="CR525" s="151"/>
      <c r="CS525" s="151"/>
      <c r="CT525" s="151"/>
      <c r="CU525" s="151"/>
      <c r="CV525" s="151"/>
      <c r="CW525" s="151"/>
      <c r="CX525" s="151"/>
      <c r="CY525" s="151"/>
      <c r="CZ525" s="151"/>
      <c r="DA525" s="151"/>
      <c r="DB525" s="151"/>
      <c r="DC525" s="151"/>
      <c r="DD525" s="151"/>
      <c r="DE525" s="151"/>
      <c r="DF525" s="151"/>
      <c r="DG525" s="151"/>
      <c r="DH525" s="151"/>
      <c r="DI525" s="151"/>
      <c r="DJ525" s="151"/>
      <c r="DK525" s="151"/>
      <c r="DL525" s="151"/>
      <c r="DM525" s="151"/>
      <c r="DN525" s="151"/>
      <c r="DO525" s="151"/>
      <c r="DP525" s="151"/>
      <c r="DQ525" s="151"/>
      <c r="DR525" s="151"/>
      <c r="DS525" s="151"/>
      <c r="DT525" s="151"/>
      <c r="DU525" s="151"/>
      <c r="DV525" s="151"/>
      <c r="DW525" s="151"/>
      <c r="DX525" s="151"/>
      <c r="DY525" s="151"/>
      <c r="DZ525" s="151"/>
      <c r="EA525" s="151"/>
      <c r="EB525" s="151"/>
      <c r="EC525" s="151"/>
      <c r="ED525" s="151"/>
      <c r="EE525" s="151"/>
      <c r="EF525" s="151"/>
      <c r="EG525" s="151"/>
      <c r="EH525" s="151"/>
      <c r="EI525" s="151"/>
      <c r="EJ525" s="151"/>
      <c r="EK525" s="151"/>
      <c r="EL525" s="151"/>
      <c r="EM525" s="151"/>
      <c r="EN525" s="151"/>
      <c r="EO525" s="151"/>
      <c r="EP525" s="151"/>
      <c r="EQ525" s="151"/>
      <c r="ER525" s="151"/>
      <c r="ES525" s="151"/>
      <c r="ET525" s="151"/>
      <c r="EU525" s="151"/>
      <c r="EV525" s="151"/>
      <c r="EW525" s="151"/>
      <c r="EX525" s="151"/>
      <c r="EY525" s="151"/>
      <c r="EZ525" s="151"/>
      <c r="FA525" s="151"/>
      <c r="FB525" s="151"/>
      <c r="FC525" s="151"/>
      <c r="FD525" s="151"/>
      <c r="FE525" s="151"/>
      <c r="FF525" s="151"/>
      <c r="FG525" s="151"/>
      <c r="FH525" s="151"/>
      <c r="FI525" s="151"/>
      <c r="FJ525" s="151"/>
      <c r="FK525" s="151"/>
      <c r="FL525" s="151"/>
      <c r="FM525" s="151"/>
      <c r="FN525" s="151"/>
      <c r="FO525" s="151"/>
      <c r="FP525" s="151"/>
      <c r="FQ525" s="151"/>
      <c r="FR525" s="151"/>
      <c r="FS525" s="151"/>
      <c r="FT525" s="151"/>
      <c r="FU525" s="151"/>
      <c r="FV525" s="151"/>
      <c r="FW525" s="151"/>
      <c r="FX525" s="151"/>
      <c r="FY525" s="151"/>
      <c r="FZ525" s="151"/>
      <c r="GA525" s="151"/>
      <c r="GB525" s="151"/>
      <c r="GC525" s="151"/>
      <c r="GD525" s="151"/>
      <c r="GE525" s="151"/>
      <c r="GF525" s="151"/>
      <c r="GG525" s="152"/>
    </row>
    <row r="526" spans="1:189" x14ac:dyDescent="0.35">
      <c r="A526" s="268"/>
      <c r="B526" s="221"/>
      <c r="C526" s="221"/>
      <c r="D526" s="222"/>
      <c r="E526" s="221"/>
      <c r="F526" s="221"/>
      <c r="G526" s="223"/>
      <c r="H526" s="224"/>
      <c r="I526" s="225"/>
      <c r="J526" s="225"/>
      <c r="K526" s="225"/>
      <c r="L526" s="226"/>
      <c r="M526" s="226"/>
      <c r="N526" s="226"/>
      <c r="O526" s="226"/>
      <c r="P526" s="226"/>
      <c r="Q526" s="227"/>
      <c r="R526" s="228"/>
      <c r="S526" s="228"/>
      <c r="T526" s="228"/>
      <c r="U526" s="191">
        <f t="shared" si="503"/>
        <v>0</v>
      </c>
      <c r="V526" s="86"/>
      <c r="W526" s="45"/>
      <c r="X526" s="46"/>
      <c r="Y526" s="167">
        <f t="shared" si="504"/>
        <v>0</v>
      </c>
      <c r="Z526" s="167">
        <f t="shared" si="505"/>
        <v>0</v>
      </c>
      <c r="AA526" s="167">
        <f t="shared" si="506"/>
        <v>0</v>
      </c>
      <c r="AB526" s="167">
        <f t="shared" si="507"/>
        <v>0</v>
      </c>
      <c r="AC526" s="167">
        <f t="shared" si="508"/>
        <v>0</v>
      </c>
      <c r="AD526" s="167">
        <f t="shared" si="509"/>
        <v>0</v>
      </c>
      <c r="AF526" s="47">
        <f t="shared" si="501"/>
        <v>0</v>
      </c>
      <c r="AG526" s="202" t="str">
        <f t="shared" si="502"/>
        <v xml:space="preserve"> </v>
      </c>
      <c r="AH526" s="150"/>
      <c r="AI526" s="151"/>
      <c r="AJ526" s="151"/>
      <c r="AK526" s="151"/>
      <c r="AL526" s="151"/>
      <c r="AM526" s="151"/>
      <c r="AN526" s="151"/>
      <c r="AO526" s="151"/>
      <c r="AP526" s="151"/>
      <c r="AQ526" s="151"/>
      <c r="AR526" s="151"/>
      <c r="AS526" s="151"/>
      <c r="AT526" s="151"/>
      <c r="AU526" s="151"/>
      <c r="AV526" s="151"/>
      <c r="AW526" s="151"/>
      <c r="AX526" s="151"/>
      <c r="AY526" s="151"/>
      <c r="AZ526" s="151"/>
      <c r="BA526" s="151"/>
      <c r="BB526" s="151"/>
      <c r="BC526" s="151"/>
      <c r="BD526" s="151"/>
      <c r="BE526" s="151"/>
      <c r="BF526" s="151"/>
      <c r="BG526" s="151"/>
      <c r="BH526" s="151"/>
      <c r="BI526" s="151"/>
      <c r="BJ526" s="151"/>
      <c r="BK526" s="151"/>
      <c r="BL526" s="151"/>
      <c r="BM526" s="151"/>
      <c r="BN526" s="151"/>
      <c r="BO526" s="151"/>
      <c r="BP526" s="151"/>
      <c r="BQ526" s="151"/>
      <c r="BR526" s="151"/>
      <c r="BS526" s="151"/>
      <c r="BT526" s="151"/>
      <c r="BU526" s="151"/>
      <c r="BV526" s="151"/>
      <c r="BW526" s="151"/>
      <c r="BX526" s="151"/>
      <c r="BY526" s="151"/>
      <c r="BZ526" s="151"/>
      <c r="CA526" s="151"/>
      <c r="CB526" s="151"/>
      <c r="CC526" s="151"/>
      <c r="CD526" s="151"/>
      <c r="CE526" s="151"/>
      <c r="CF526" s="151"/>
      <c r="CG526" s="151"/>
      <c r="CH526" s="151"/>
      <c r="CI526" s="151"/>
      <c r="CJ526" s="151"/>
      <c r="CK526" s="151"/>
      <c r="CL526" s="151"/>
      <c r="CM526" s="151"/>
      <c r="CN526" s="151"/>
      <c r="CO526" s="151"/>
      <c r="CP526" s="151"/>
      <c r="CQ526" s="151"/>
      <c r="CR526" s="151"/>
      <c r="CS526" s="151"/>
      <c r="CT526" s="151"/>
      <c r="CU526" s="151"/>
      <c r="CV526" s="151"/>
      <c r="CW526" s="151"/>
      <c r="CX526" s="151"/>
      <c r="CY526" s="151"/>
      <c r="CZ526" s="151"/>
      <c r="DA526" s="151"/>
      <c r="DB526" s="151"/>
      <c r="DC526" s="151"/>
      <c r="DD526" s="151"/>
      <c r="DE526" s="151"/>
      <c r="DF526" s="151"/>
      <c r="DG526" s="151"/>
      <c r="DH526" s="151"/>
      <c r="DI526" s="151"/>
      <c r="DJ526" s="151"/>
      <c r="DK526" s="151"/>
      <c r="DL526" s="151"/>
      <c r="DM526" s="151"/>
      <c r="DN526" s="151"/>
      <c r="DO526" s="151"/>
      <c r="DP526" s="151"/>
      <c r="DQ526" s="151"/>
      <c r="DR526" s="151"/>
      <c r="DS526" s="151"/>
      <c r="DT526" s="151"/>
      <c r="DU526" s="151"/>
      <c r="DV526" s="151"/>
      <c r="DW526" s="151"/>
      <c r="DX526" s="151"/>
      <c r="DY526" s="151"/>
      <c r="DZ526" s="151"/>
      <c r="EA526" s="151"/>
      <c r="EB526" s="151"/>
      <c r="EC526" s="151"/>
      <c r="ED526" s="151"/>
      <c r="EE526" s="151"/>
      <c r="EF526" s="151"/>
      <c r="EG526" s="151"/>
      <c r="EH526" s="151"/>
      <c r="EI526" s="151"/>
      <c r="EJ526" s="151"/>
      <c r="EK526" s="151"/>
      <c r="EL526" s="151"/>
      <c r="EM526" s="151"/>
      <c r="EN526" s="151"/>
      <c r="EO526" s="151"/>
      <c r="EP526" s="151"/>
      <c r="EQ526" s="151"/>
      <c r="ER526" s="151"/>
      <c r="ES526" s="151"/>
      <c r="ET526" s="151"/>
      <c r="EU526" s="151"/>
      <c r="EV526" s="151"/>
      <c r="EW526" s="151"/>
      <c r="EX526" s="151"/>
      <c r="EY526" s="151"/>
      <c r="EZ526" s="151"/>
      <c r="FA526" s="151"/>
      <c r="FB526" s="151"/>
      <c r="FC526" s="151"/>
      <c r="FD526" s="151"/>
      <c r="FE526" s="151"/>
      <c r="FF526" s="151"/>
      <c r="FG526" s="151"/>
      <c r="FH526" s="151"/>
      <c r="FI526" s="151"/>
      <c r="FJ526" s="151"/>
      <c r="FK526" s="151"/>
      <c r="FL526" s="151"/>
      <c r="FM526" s="151"/>
      <c r="FN526" s="151"/>
      <c r="FO526" s="151"/>
      <c r="FP526" s="151"/>
      <c r="FQ526" s="151"/>
      <c r="FR526" s="151"/>
      <c r="FS526" s="151"/>
      <c r="FT526" s="151"/>
      <c r="FU526" s="151"/>
      <c r="FV526" s="151"/>
      <c r="FW526" s="151"/>
      <c r="FX526" s="151"/>
      <c r="FY526" s="151"/>
      <c r="FZ526" s="151"/>
      <c r="GA526" s="151"/>
      <c r="GB526" s="151"/>
      <c r="GC526" s="151"/>
      <c r="GD526" s="151"/>
      <c r="GE526" s="151"/>
      <c r="GF526" s="151"/>
      <c r="GG526" s="152"/>
    </row>
    <row r="527" spans="1:189" x14ac:dyDescent="0.35">
      <c r="A527" s="268"/>
      <c r="B527" s="221"/>
      <c r="C527" s="221"/>
      <c r="D527" s="222"/>
      <c r="E527" s="221"/>
      <c r="F527" s="221"/>
      <c r="G527" s="223"/>
      <c r="H527" s="224"/>
      <c r="I527" s="225"/>
      <c r="J527" s="225"/>
      <c r="K527" s="225"/>
      <c r="L527" s="226"/>
      <c r="M527" s="226"/>
      <c r="N527" s="226"/>
      <c r="O527" s="226"/>
      <c r="P527" s="226"/>
      <c r="Q527" s="227"/>
      <c r="R527" s="228"/>
      <c r="S527" s="228"/>
      <c r="T527" s="228"/>
      <c r="U527" s="191">
        <f t="shared" si="503"/>
        <v>0</v>
      </c>
      <c r="V527" s="86"/>
      <c r="W527" s="45"/>
      <c r="X527" s="46"/>
      <c r="Y527" s="167">
        <f t="shared" si="504"/>
        <v>0</v>
      </c>
      <c r="Z527" s="167">
        <f t="shared" si="505"/>
        <v>0</v>
      </c>
      <c r="AA527" s="167">
        <f t="shared" si="506"/>
        <v>0</v>
      </c>
      <c r="AB527" s="167">
        <f t="shared" si="507"/>
        <v>0</v>
      </c>
      <c r="AC527" s="167">
        <f t="shared" si="508"/>
        <v>0</v>
      </c>
      <c r="AD527" s="167">
        <f t="shared" si="509"/>
        <v>0</v>
      </c>
      <c r="AF527" s="47">
        <f t="shared" si="501"/>
        <v>0</v>
      </c>
      <c r="AG527" s="202" t="str">
        <f t="shared" si="502"/>
        <v xml:space="preserve"> </v>
      </c>
      <c r="AH527" s="147"/>
      <c r="AI527" s="148"/>
      <c r="AJ527" s="148"/>
      <c r="AK527" s="148"/>
      <c r="AL527" s="148"/>
      <c r="AM527" s="148"/>
      <c r="AN527" s="148"/>
      <c r="AO527" s="148"/>
      <c r="AP527" s="148"/>
      <c r="AQ527" s="148"/>
      <c r="AR527" s="148"/>
      <c r="AS527" s="148"/>
      <c r="AT527" s="148"/>
      <c r="AU527" s="148"/>
      <c r="AV527" s="148"/>
      <c r="AW527" s="148"/>
      <c r="AX527" s="148"/>
      <c r="AY527" s="148"/>
      <c r="AZ527" s="148"/>
      <c r="BA527" s="148"/>
      <c r="BB527" s="148"/>
      <c r="BC527" s="148"/>
      <c r="BD527" s="148"/>
      <c r="BE527" s="148"/>
      <c r="BF527" s="148"/>
      <c r="BG527" s="148"/>
      <c r="BH527" s="148"/>
      <c r="BI527" s="148"/>
      <c r="BJ527" s="148"/>
      <c r="BK527" s="148"/>
      <c r="BL527" s="148"/>
      <c r="BM527" s="148"/>
      <c r="BN527" s="148"/>
      <c r="BO527" s="148"/>
      <c r="BP527" s="148"/>
      <c r="BQ527" s="148"/>
      <c r="BR527" s="148"/>
      <c r="BS527" s="148"/>
      <c r="BT527" s="148"/>
      <c r="BU527" s="148"/>
      <c r="BV527" s="148"/>
      <c r="BW527" s="148"/>
      <c r="BX527" s="148"/>
      <c r="BY527" s="148"/>
      <c r="BZ527" s="148"/>
      <c r="CA527" s="148"/>
      <c r="CB527" s="148"/>
      <c r="CC527" s="148"/>
      <c r="CD527" s="148"/>
      <c r="CE527" s="148"/>
      <c r="CF527" s="148"/>
      <c r="CG527" s="148"/>
      <c r="CH527" s="148"/>
      <c r="CI527" s="148"/>
      <c r="CJ527" s="148"/>
      <c r="CK527" s="148"/>
      <c r="CL527" s="148"/>
      <c r="CM527" s="148"/>
      <c r="CN527" s="148"/>
      <c r="CO527" s="148"/>
      <c r="CP527" s="148"/>
      <c r="CQ527" s="148"/>
      <c r="CR527" s="148"/>
      <c r="CS527" s="148"/>
      <c r="CT527" s="148"/>
      <c r="CU527" s="148"/>
      <c r="CV527" s="148"/>
      <c r="CW527" s="148"/>
      <c r="CX527" s="148"/>
      <c r="CY527" s="148"/>
      <c r="CZ527" s="148"/>
      <c r="DA527" s="148"/>
      <c r="DB527" s="148"/>
      <c r="DC527" s="148"/>
      <c r="DD527" s="148"/>
      <c r="DE527" s="148"/>
      <c r="DF527" s="148"/>
      <c r="DG527" s="148"/>
      <c r="DH527" s="148"/>
      <c r="DI527" s="148"/>
      <c r="DJ527" s="148"/>
      <c r="DK527" s="148"/>
      <c r="DL527" s="148"/>
      <c r="DM527" s="148"/>
      <c r="DN527" s="148"/>
      <c r="DO527" s="148"/>
      <c r="DP527" s="148"/>
      <c r="DQ527" s="148"/>
      <c r="DR527" s="148"/>
      <c r="DS527" s="148"/>
      <c r="DT527" s="148"/>
      <c r="DU527" s="148"/>
      <c r="DV527" s="148"/>
      <c r="DW527" s="148"/>
      <c r="DX527" s="148"/>
      <c r="DY527" s="148"/>
      <c r="DZ527" s="148"/>
      <c r="EA527" s="148"/>
      <c r="EB527" s="148"/>
      <c r="EC527" s="148"/>
      <c r="ED527" s="148"/>
      <c r="EE527" s="148"/>
      <c r="EF527" s="148"/>
      <c r="EG527" s="148"/>
      <c r="EH527" s="148"/>
      <c r="EI527" s="148"/>
      <c r="EJ527" s="148"/>
      <c r="EK527" s="148"/>
      <c r="EL527" s="148"/>
      <c r="EM527" s="148"/>
      <c r="EN527" s="148"/>
      <c r="EO527" s="148"/>
      <c r="EP527" s="148"/>
      <c r="EQ527" s="148"/>
      <c r="ER527" s="148"/>
      <c r="ES527" s="148"/>
      <c r="ET527" s="148"/>
      <c r="EU527" s="148"/>
      <c r="EV527" s="148"/>
      <c r="EW527" s="148"/>
      <c r="EX527" s="148"/>
      <c r="EY527" s="148"/>
      <c r="EZ527" s="148"/>
      <c r="FA527" s="148"/>
      <c r="FB527" s="148"/>
      <c r="FC527" s="148"/>
      <c r="FD527" s="148"/>
      <c r="FE527" s="148"/>
      <c r="FF527" s="148"/>
      <c r="FG527" s="148"/>
      <c r="FH527" s="148"/>
      <c r="FI527" s="148"/>
      <c r="FJ527" s="148"/>
      <c r="FK527" s="148"/>
      <c r="FL527" s="148"/>
      <c r="FM527" s="148"/>
      <c r="FN527" s="148"/>
      <c r="FO527" s="148"/>
      <c r="FP527" s="148"/>
      <c r="FQ527" s="148"/>
      <c r="FR527" s="148"/>
      <c r="FS527" s="148"/>
      <c r="FT527" s="148"/>
      <c r="FU527" s="148"/>
      <c r="FV527" s="148"/>
      <c r="FW527" s="148"/>
      <c r="FX527" s="148"/>
      <c r="FY527" s="148"/>
      <c r="FZ527" s="148"/>
      <c r="GA527" s="148"/>
      <c r="GB527" s="148"/>
      <c r="GC527" s="148"/>
      <c r="GD527" s="148"/>
      <c r="GE527" s="148"/>
      <c r="GF527" s="148"/>
      <c r="GG527" s="149"/>
    </row>
    <row r="528" spans="1:189" x14ac:dyDescent="0.35">
      <c r="A528" s="268"/>
      <c r="B528" s="221"/>
      <c r="C528" s="221"/>
      <c r="D528" s="222"/>
      <c r="E528" s="221"/>
      <c r="F528" s="221"/>
      <c r="G528" s="223"/>
      <c r="H528" s="224"/>
      <c r="I528" s="225"/>
      <c r="J528" s="225"/>
      <c r="K528" s="225"/>
      <c r="L528" s="226"/>
      <c r="M528" s="226"/>
      <c r="N528" s="226"/>
      <c r="O528" s="226"/>
      <c r="P528" s="226"/>
      <c r="Q528" s="227"/>
      <c r="R528" s="228"/>
      <c r="S528" s="228"/>
      <c r="T528" s="228"/>
      <c r="U528" s="191">
        <f t="shared" si="503"/>
        <v>0</v>
      </c>
      <c r="V528" s="86"/>
      <c r="W528" s="45"/>
      <c r="X528" s="46"/>
      <c r="Y528" s="167">
        <f t="shared" si="504"/>
        <v>0</v>
      </c>
      <c r="Z528" s="167">
        <f t="shared" si="505"/>
        <v>0</v>
      </c>
      <c r="AA528" s="167">
        <f t="shared" si="506"/>
        <v>0</v>
      </c>
      <c r="AB528" s="167">
        <f t="shared" si="507"/>
        <v>0</v>
      </c>
      <c r="AC528" s="167">
        <f t="shared" si="508"/>
        <v>0</v>
      </c>
      <c r="AD528" s="167">
        <f t="shared" si="509"/>
        <v>0</v>
      </c>
      <c r="AF528" s="47">
        <f t="shared" si="501"/>
        <v>0</v>
      </c>
      <c r="AG528" s="202" t="str">
        <f t="shared" si="502"/>
        <v xml:space="preserve"> </v>
      </c>
      <c r="AH528" s="150"/>
      <c r="AI528" s="151"/>
      <c r="AJ528" s="151"/>
      <c r="AK528" s="151"/>
      <c r="AL528" s="151"/>
      <c r="AM528" s="151"/>
      <c r="AN528" s="151"/>
      <c r="AO528" s="151"/>
      <c r="AP528" s="151"/>
      <c r="AQ528" s="151"/>
      <c r="AR528" s="151"/>
      <c r="AS528" s="151"/>
      <c r="AT528" s="151"/>
      <c r="AU528" s="151"/>
      <c r="AV528" s="151"/>
      <c r="AW528" s="151"/>
      <c r="AX528" s="151"/>
      <c r="AY528" s="151"/>
      <c r="AZ528" s="151"/>
      <c r="BA528" s="151"/>
      <c r="BB528" s="151"/>
      <c r="BC528" s="151"/>
      <c r="BD528" s="151"/>
      <c r="BE528" s="151"/>
      <c r="BF528" s="151"/>
      <c r="BG528" s="151"/>
      <c r="BH528" s="151"/>
      <c r="BI528" s="151"/>
      <c r="BJ528" s="151"/>
      <c r="BK528" s="151"/>
      <c r="BL528" s="151"/>
      <c r="BM528" s="151"/>
      <c r="BN528" s="151"/>
      <c r="BO528" s="151"/>
      <c r="BP528" s="151"/>
      <c r="BQ528" s="151"/>
      <c r="BR528" s="151"/>
      <c r="BS528" s="151"/>
      <c r="BT528" s="151"/>
      <c r="BU528" s="151"/>
      <c r="BV528" s="151"/>
      <c r="BW528" s="151"/>
      <c r="BX528" s="151"/>
      <c r="BY528" s="151"/>
      <c r="BZ528" s="151"/>
      <c r="CA528" s="151"/>
      <c r="CB528" s="151"/>
      <c r="CC528" s="151"/>
      <c r="CD528" s="151"/>
      <c r="CE528" s="151"/>
      <c r="CF528" s="151"/>
      <c r="CG528" s="151"/>
      <c r="CH528" s="151"/>
      <c r="CI528" s="151"/>
      <c r="CJ528" s="151"/>
      <c r="CK528" s="151"/>
      <c r="CL528" s="151"/>
      <c r="CM528" s="151"/>
      <c r="CN528" s="151"/>
      <c r="CO528" s="151"/>
      <c r="CP528" s="151"/>
      <c r="CQ528" s="151"/>
      <c r="CR528" s="151"/>
      <c r="CS528" s="151"/>
      <c r="CT528" s="151"/>
      <c r="CU528" s="151"/>
      <c r="CV528" s="151"/>
      <c r="CW528" s="151"/>
      <c r="CX528" s="151"/>
      <c r="CY528" s="151"/>
      <c r="CZ528" s="151"/>
      <c r="DA528" s="151"/>
      <c r="DB528" s="151"/>
      <c r="DC528" s="151"/>
      <c r="DD528" s="151"/>
      <c r="DE528" s="151"/>
      <c r="DF528" s="151"/>
      <c r="DG528" s="151"/>
      <c r="DH528" s="151"/>
      <c r="DI528" s="151"/>
      <c r="DJ528" s="151"/>
      <c r="DK528" s="151"/>
      <c r="DL528" s="151"/>
      <c r="DM528" s="151"/>
      <c r="DN528" s="151"/>
      <c r="DO528" s="151"/>
      <c r="DP528" s="151"/>
      <c r="DQ528" s="151"/>
      <c r="DR528" s="151"/>
      <c r="DS528" s="151"/>
      <c r="DT528" s="151"/>
      <c r="DU528" s="151"/>
      <c r="DV528" s="151"/>
      <c r="DW528" s="151"/>
      <c r="DX528" s="151"/>
      <c r="DY528" s="151"/>
      <c r="DZ528" s="151"/>
      <c r="EA528" s="151"/>
      <c r="EB528" s="151"/>
      <c r="EC528" s="151"/>
      <c r="ED528" s="151"/>
      <c r="EE528" s="151"/>
      <c r="EF528" s="151"/>
      <c r="EG528" s="151"/>
      <c r="EH528" s="151"/>
      <c r="EI528" s="151"/>
      <c r="EJ528" s="151"/>
      <c r="EK528" s="151"/>
      <c r="EL528" s="151"/>
      <c r="EM528" s="151"/>
      <c r="EN528" s="151"/>
      <c r="EO528" s="151"/>
      <c r="EP528" s="151"/>
      <c r="EQ528" s="151"/>
      <c r="ER528" s="151"/>
      <c r="ES528" s="151"/>
      <c r="ET528" s="151"/>
      <c r="EU528" s="151"/>
      <c r="EV528" s="151"/>
      <c r="EW528" s="151"/>
      <c r="EX528" s="151"/>
      <c r="EY528" s="151"/>
      <c r="EZ528" s="151"/>
      <c r="FA528" s="151"/>
      <c r="FB528" s="151"/>
      <c r="FC528" s="151"/>
      <c r="FD528" s="151"/>
      <c r="FE528" s="151"/>
      <c r="FF528" s="151"/>
      <c r="FG528" s="151"/>
      <c r="FH528" s="151"/>
      <c r="FI528" s="151"/>
      <c r="FJ528" s="151"/>
      <c r="FK528" s="151"/>
      <c r="FL528" s="151"/>
      <c r="FM528" s="151"/>
      <c r="FN528" s="151"/>
      <c r="FO528" s="151"/>
      <c r="FP528" s="151"/>
      <c r="FQ528" s="151"/>
      <c r="FR528" s="151"/>
      <c r="FS528" s="151"/>
      <c r="FT528" s="151"/>
      <c r="FU528" s="151"/>
      <c r="FV528" s="151"/>
      <c r="FW528" s="151"/>
      <c r="FX528" s="151"/>
      <c r="FY528" s="151"/>
      <c r="FZ528" s="151"/>
      <c r="GA528" s="151"/>
      <c r="GB528" s="151"/>
      <c r="GC528" s="151"/>
      <c r="GD528" s="151"/>
      <c r="GE528" s="151"/>
      <c r="GF528" s="151"/>
      <c r="GG528" s="152"/>
    </row>
    <row r="529" spans="1:189" x14ac:dyDescent="0.35">
      <c r="A529" s="268"/>
      <c r="B529" s="221"/>
      <c r="C529" s="221"/>
      <c r="D529" s="222"/>
      <c r="E529" s="221"/>
      <c r="F529" s="221"/>
      <c r="G529" s="223"/>
      <c r="H529" s="224"/>
      <c r="I529" s="225"/>
      <c r="J529" s="225"/>
      <c r="K529" s="225"/>
      <c r="L529" s="226"/>
      <c r="M529" s="226"/>
      <c r="N529" s="226"/>
      <c r="O529" s="226"/>
      <c r="P529" s="226"/>
      <c r="Q529" s="227"/>
      <c r="R529" s="228"/>
      <c r="S529" s="228"/>
      <c r="T529" s="228"/>
      <c r="U529" s="191">
        <f t="shared" si="503"/>
        <v>0</v>
      </c>
      <c r="V529" s="86"/>
      <c r="W529" s="45"/>
      <c r="X529" s="46"/>
      <c r="Y529" s="167">
        <f t="shared" si="504"/>
        <v>0</v>
      </c>
      <c r="Z529" s="167">
        <f t="shared" si="505"/>
        <v>0</v>
      </c>
      <c r="AA529" s="167">
        <f t="shared" si="506"/>
        <v>0</v>
      </c>
      <c r="AB529" s="167">
        <f t="shared" si="507"/>
        <v>0</v>
      </c>
      <c r="AC529" s="167">
        <f t="shared" si="508"/>
        <v>0</v>
      </c>
      <c r="AD529" s="167">
        <f t="shared" si="509"/>
        <v>0</v>
      </c>
      <c r="AF529" s="47">
        <f t="shared" si="501"/>
        <v>0</v>
      </c>
      <c r="AG529" s="202" t="str">
        <f t="shared" si="502"/>
        <v xml:space="preserve"> </v>
      </c>
      <c r="AH529" s="150"/>
      <c r="AI529" s="151"/>
      <c r="AJ529" s="151"/>
      <c r="AK529" s="151"/>
      <c r="AL529" s="151"/>
      <c r="AM529" s="151"/>
      <c r="AN529" s="151"/>
      <c r="AO529" s="151"/>
      <c r="AP529" s="151"/>
      <c r="AQ529" s="151"/>
      <c r="AR529" s="151"/>
      <c r="AS529" s="151"/>
      <c r="AT529" s="151"/>
      <c r="AU529" s="151"/>
      <c r="AV529" s="151"/>
      <c r="AW529" s="151"/>
      <c r="AX529" s="151"/>
      <c r="AY529" s="151"/>
      <c r="AZ529" s="151"/>
      <c r="BA529" s="151"/>
      <c r="BB529" s="151"/>
      <c r="BC529" s="151"/>
      <c r="BD529" s="151"/>
      <c r="BE529" s="151"/>
      <c r="BF529" s="151"/>
      <c r="BG529" s="151"/>
      <c r="BH529" s="151"/>
      <c r="BI529" s="151"/>
      <c r="BJ529" s="151"/>
      <c r="BK529" s="151"/>
      <c r="BL529" s="151"/>
      <c r="BM529" s="151"/>
      <c r="BN529" s="151"/>
      <c r="BO529" s="151"/>
      <c r="BP529" s="151"/>
      <c r="BQ529" s="151"/>
      <c r="BR529" s="151"/>
      <c r="BS529" s="151"/>
      <c r="BT529" s="151"/>
      <c r="BU529" s="151"/>
      <c r="BV529" s="151"/>
      <c r="BW529" s="151"/>
      <c r="BX529" s="151"/>
      <c r="BY529" s="151"/>
      <c r="BZ529" s="151"/>
      <c r="CA529" s="151"/>
      <c r="CB529" s="151"/>
      <c r="CC529" s="151"/>
      <c r="CD529" s="151"/>
      <c r="CE529" s="151"/>
      <c r="CF529" s="151"/>
      <c r="CG529" s="151"/>
      <c r="CH529" s="151"/>
      <c r="CI529" s="151"/>
      <c r="CJ529" s="151"/>
      <c r="CK529" s="151"/>
      <c r="CL529" s="151"/>
      <c r="CM529" s="151"/>
      <c r="CN529" s="151"/>
      <c r="CO529" s="151"/>
      <c r="CP529" s="151"/>
      <c r="CQ529" s="151"/>
      <c r="CR529" s="151"/>
      <c r="CS529" s="151"/>
      <c r="CT529" s="151"/>
      <c r="CU529" s="151"/>
      <c r="CV529" s="151"/>
      <c r="CW529" s="151"/>
      <c r="CX529" s="151"/>
      <c r="CY529" s="151"/>
      <c r="CZ529" s="151"/>
      <c r="DA529" s="151"/>
      <c r="DB529" s="151"/>
      <c r="DC529" s="151"/>
      <c r="DD529" s="151"/>
      <c r="DE529" s="151"/>
      <c r="DF529" s="151"/>
      <c r="DG529" s="151"/>
      <c r="DH529" s="151"/>
      <c r="DI529" s="151"/>
      <c r="DJ529" s="151"/>
      <c r="DK529" s="151"/>
      <c r="DL529" s="151"/>
      <c r="DM529" s="151"/>
      <c r="DN529" s="151"/>
      <c r="DO529" s="151"/>
      <c r="DP529" s="151"/>
      <c r="DQ529" s="151"/>
      <c r="DR529" s="151"/>
      <c r="DS529" s="151"/>
      <c r="DT529" s="151"/>
      <c r="DU529" s="151"/>
      <c r="DV529" s="151"/>
      <c r="DW529" s="151"/>
      <c r="DX529" s="151"/>
      <c r="DY529" s="151"/>
      <c r="DZ529" s="151"/>
      <c r="EA529" s="151"/>
      <c r="EB529" s="151"/>
      <c r="EC529" s="151"/>
      <c r="ED529" s="151"/>
      <c r="EE529" s="151"/>
      <c r="EF529" s="151"/>
      <c r="EG529" s="151"/>
      <c r="EH529" s="151"/>
      <c r="EI529" s="151"/>
      <c r="EJ529" s="151"/>
      <c r="EK529" s="151"/>
      <c r="EL529" s="151"/>
      <c r="EM529" s="151"/>
      <c r="EN529" s="151"/>
      <c r="EO529" s="151"/>
      <c r="EP529" s="151"/>
      <c r="EQ529" s="151"/>
      <c r="ER529" s="151"/>
      <c r="ES529" s="151"/>
      <c r="ET529" s="151"/>
      <c r="EU529" s="151"/>
      <c r="EV529" s="151"/>
      <c r="EW529" s="151"/>
      <c r="EX529" s="151"/>
      <c r="EY529" s="151"/>
      <c r="EZ529" s="151"/>
      <c r="FA529" s="151"/>
      <c r="FB529" s="151"/>
      <c r="FC529" s="151"/>
      <c r="FD529" s="151"/>
      <c r="FE529" s="151"/>
      <c r="FF529" s="151"/>
      <c r="FG529" s="151"/>
      <c r="FH529" s="151"/>
      <c r="FI529" s="151"/>
      <c r="FJ529" s="151"/>
      <c r="FK529" s="151"/>
      <c r="FL529" s="151"/>
      <c r="FM529" s="151"/>
      <c r="FN529" s="151"/>
      <c r="FO529" s="151"/>
      <c r="FP529" s="151"/>
      <c r="FQ529" s="151"/>
      <c r="FR529" s="151"/>
      <c r="FS529" s="151"/>
      <c r="FT529" s="151"/>
      <c r="FU529" s="151"/>
      <c r="FV529" s="151"/>
      <c r="FW529" s="151"/>
      <c r="FX529" s="151"/>
      <c r="FY529" s="151"/>
      <c r="FZ529" s="151"/>
      <c r="GA529" s="151"/>
      <c r="GB529" s="151"/>
      <c r="GC529" s="151"/>
      <c r="GD529" s="151"/>
      <c r="GE529" s="151"/>
      <c r="GF529" s="151"/>
      <c r="GG529" s="152"/>
    </row>
    <row r="530" spans="1:189" x14ac:dyDescent="0.35">
      <c r="A530" s="268"/>
      <c r="B530" s="221"/>
      <c r="C530" s="221"/>
      <c r="D530" s="222"/>
      <c r="E530" s="221"/>
      <c r="F530" s="221"/>
      <c r="G530" s="223"/>
      <c r="H530" s="224"/>
      <c r="I530" s="225"/>
      <c r="J530" s="225"/>
      <c r="K530" s="225"/>
      <c r="L530" s="226"/>
      <c r="M530" s="226"/>
      <c r="N530" s="226"/>
      <c r="O530" s="226"/>
      <c r="P530" s="226"/>
      <c r="Q530" s="227"/>
      <c r="R530" s="228"/>
      <c r="S530" s="228"/>
      <c r="T530" s="228"/>
      <c r="U530" s="191">
        <f t="shared" si="503"/>
        <v>0</v>
      </c>
      <c r="V530" s="86"/>
      <c r="W530" s="45"/>
      <c r="X530" s="46"/>
      <c r="Y530" s="167">
        <f t="shared" si="504"/>
        <v>0</v>
      </c>
      <c r="Z530" s="167">
        <f t="shared" si="505"/>
        <v>0</v>
      </c>
      <c r="AA530" s="167">
        <f t="shared" si="506"/>
        <v>0</v>
      </c>
      <c r="AB530" s="167">
        <f t="shared" si="507"/>
        <v>0</v>
      </c>
      <c r="AC530" s="167">
        <f t="shared" si="508"/>
        <v>0</v>
      </c>
      <c r="AD530" s="167">
        <f t="shared" si="509"/>
        <v>0</v>
      </c>
      <c r="AF530" s="47">
        <f t="shared" si="501"/>
        <v>0</v>
      </c>
      <c r="AG530" s="202" t="str">
        <f t="shared" si="502"/>
        <v xml:space="preserve"> </v>
      </c>
      <c r="AH530" s="150"/>
      <c r="AI530" s="151"/>
      <c r="AJ530" s="151"/>
      <c r="AK530" s="151"/>
      <c r="AL530" s="151"/>
      <c r="AM530" s="151"/>
      <c r="AN530" s="151"/>
      <c r="AO530" s="151"/>
      <c r="AP530" s="151"/>
      <c r="AQ530" s="151"/>
      <c r="AR530" s="151"/>
      <c r="AS530" s="151"/>
      <c r="AT530" s="151"/>
      <c r="AU530" s="151"/>
      <c r="AV530" s="151"/>
      <c r="AW530" s="151"/>
      <c r="AX530" s="151"/>
      <c r="AY530" s="151"/>
      <c r="AZ530" s="151"/>
      <c r="BA530" s="151"/>
      <c r="BB530" s="151"/>
      <c r="BC530" s="151"/>
      <c r="BD530" s="151"/>
      <c r="BE530" s="151"/>
      <c r="BF530" s="151"/>
      <c r="BG530" s="151"/>
      <c r="BH530" s="151"/>
      <c r="BI530" s="151"/>
      <c r="BJ530" s="151"/>
      <c r="BK530" s="151"/>
      <c r="BL530" s="151"/>
      <c r="BM530" s="151"/>
      <c r="BN530" s="151"/>
      <c r="BO530" s="151"/>
      <c r="BP530" s="151"/>
      <c r="BQ530" s="151"/>
      <c r="BR530" s="151"/>
      <c r="BS530" s="151"/>
      <c r="BT530" s="151"/>
      <c r="BU530" s="151"/>
      <c r="BV530" s="151"/>
      <c r="BW530" s="151"/>
      <c r="BX530" s="151"/>
      <c r="BY530" s="151"/>
      <c r="BZ530" s="151"/>
      <c r="CA530" s="151"/>
      <c r="CB530" s="151"/>
      <c r="CC530" s="151"/>
      <c r="CD530" s="151"/>
      <c r="CE530" s="151"/>
      <c r="CF530" s="151"/>
      <c r="CG530" s="151"/>
      <c r="CH530" s="151"/>
      <c r="CI530" s="151"/>
      <c r="CJ530" s="151"/>
      <c r="CK530" s="151"/>
      <c r="CL530" s="151"/>
      <c r="CM530" s="151"/>
      <c r="CN530" s="151"/>
      <c r="CO530" s="151"/>
      <c r="CP530" s="151"/>
      <c r="CQ530" s="151"/>
      <c r="CR530" s="151"/>
      <c r="CS530" s="151"/>
      <c r="CT530" s="151"/>
      <c r="CU530" s="151"/>
      <c r="CV530" s="151"/>
      <c r="CW530" s="151"/>
      <c r="CX530" s="151"/>
      <c r="CY530" s="151"/>
      <c r="CZ530" s="151"/>
      <c r="DA530" s="151"/>
      <c r="DB530" s="151"/>
      <c r="DC530" s="151"/>
      <c r="DD530" s="151"/>
      <c r="DE530" s="151"/>
      <c r="DF530" s="151"/>
      <c r="DG530" s="151"/>
      <c r="DH530" s="151"/>
      <c r="DI530" s="151"/>
      <c r="DJ530" s="151"/>
      <c r="DK530" s="151"/>
      <c r="DL530" s="151"/>
      <c r="DM530" s="151"/>
      <c r="DN530" s="151"/>
      <c r="DO530" s="151"/>
      <c r="DP530" s="151"/>
      <c r="DQ530" s="151"/>
      <c r="DR530" s="151"/>
      <c r="DS530" s="151"/>
      <c r="DT530" s="151"/>
      <c r="DU530" s="151"/>
      <c r="DV530" s="151"/>
      <c r="DW530" s="151"/>
      <c r="DX530" s="151"/>
      <c r="DY530" s="151"/>
      <c r="DZ530" s="151"/>
      <c r="EA530" s="151"/>
      <c r="EB530" s="151"/>
      <c r="EC530" s="151"/>
      <c r="ED530" s="151"/>
      <c r="EE530" s="151"/>
      <c r="EF530" s="151"/>
      <c r="EG530" s="151"/>
      <c r="EH530" s="151"/>
      <c r="EI530" s="151"/>
      <c r="EJ530" s="151"/>
      <c r="EK530" s="151"/>
      <c r="EL530" s="151"/>
      <c r="EM530" s="151"/>
      <c r="EN530" s="151"/>
      <c r="EO530" s="151"/>
      <c r="EP530" s="151"/>
      <c r="EQ530" s="151"/>
      <c r="ER530" s="151"/>
      <c r="ES530" s="151"/>
      <c r="ET530" s="151"/>
      <c r="EU530" s="151"/>
      <c r="EV530" s="151"/>
      <c r="EW530" s="151"/>
      <c r="EX530" s="151"/>
      <c r="EY530" s="151"/>
      <c r="EZ530" s="151"/>
      <c r="FA530" s="151"/>
      <c r="FB530" s="151"/>
      <c r="FC530" s="151"/>
      <c r="FD530" s="151"/>
      <c r="FE530" s="151"/>
      <c r="FF530" s="151"/>
      <c r="FG530" s="151"/>
      <c r="FH530" s="151"/>
      <c r="FI530" s="151"/>
      <c r="FJ530" s="151"/>
      <c r="FK530" s="151"/>
      <c r="FL530" s="151"/>
      <c r="FM530" s="151"/>
      <c r="FN530" s="151"/>
      <c r="FO530" s="151"/>
      <c r="FP530" s="151"/>
      <c r="FQ530" s="151"/>
      <c r="FR530" s="151"/>
      <c r="FS530" s="151"/>
      <c r="FT530" s="151"/>
      <c r="FU530" s="151"/>
      <c r="FV530" s="151"/>
      <c r="FW530" s="151"/>
      <c r="FX530" s="151"/>
      <c r="FY530" s="151"/>
      <c r="FZ530" s="151"/>
      <c r="GA530" s="151"/>
      <c r="GB530" s="151"/>
      <c r="GC530" s="151"/>
      <c r="GD530" s="151"/>
      <c r="GE530" s="151"/>
      <c r="GF530" s="151"/>
      <c r="GG530" s="152"/>
    </row>
    <row r="531" spans="1:189" x14ac:dyDescent="0.35">
      <c r="A531" s="268"/>
      <c r="B531" s="221"/>
      <c r="C531" s="221"/>
      <c r="D531" s="222"/>
      <c r="E531" s="221"/>
      <c r="F531" s="221"/>
      <c r="G531" s="223"/>
      <c r="H531" s="224"/>
      <c r="I531" s="225"/>
      <c r="J531" s="225"/>
      <c r="K531" s="225"/>
      <c r="L531" s="226"/>
      <c r="M531" s="226"/>
      <c r="N531" s="226"/>
      <c r="O531" s="226"/>
      <c r="P531" s="226"/>
      <c r="Q531" s="227"/>
      <c r="R531" s="228"/>
      <c r="S531" s="228"/>
      <c r="T531" s="228"/>
      <c r="U531" s="191">
        <f t="shared" si="503"/>
        <v>0</v>
      </c>
      <c r="V531" s="86"/>
      <c r="W531" s="45"/>
      <c r="X531" s="46"/>
      <c r="Y531" s="167">
        <f t="shared" si="504"/>
        <v>0</v>
      </c>
      <c r="Z531" s="167">
        <f t="shared" si="505"/>
        <v>0</v>
      </c>
      <c r="AA531" s="167">
        <f t="shared" si="506"/>
        <v>0</v>
      </c>
      <c r="AB531" s="167">
        <f t="shared" si="507"/>
        <v>0</v>
      </c>
      <c r="AC531" s="167">
        <f t="shared" si="508"/>
        <v>0</v>
      </c>
      <c r="AD531" s="167">
        <f t="shared" si="509"/>
        <v>0</v>
      </c>
      <c r="AF531" s="47">
        <f t="shared" si="501"/>
        <v>0</v>
      </c>
      <c r="AG531" s="202" t="str">
        <f t="shared" si="502"/>
        <v xml:space="preserve"> </v>
      </c>
      <c r="AH531" s="147"/>
      <c r="AI531" s="148"/>
      <c r="AJ531" s="148"/>
      <c r="AK531" s="148"/>
      <c r="AL531" s="148"/>
      <c r="AM531" s="148"/>
      <c r="AN531" s="148"/>
      <c r="AO531" s="148"/>
      <c r="AP531" s="148"/>
      <c r="AQ531" s="148"/>
      <c r="AR531" s="148"/>
      <c r="AS531" s="148"/>
      <c r="AT531" s="148"/>
      <c r="AU531" s="148"/>
      <c r="AV531" s="148"/>
      <c r="AW531" s="148"/>
      <c r="AX531" s="148"/>
      <c r="AY531" s="148"/>
      <c r="AZ531" s="148"/>
      <c r="BA531" s="148"/>
      <c r="BB531" s="148"/>
      <c r="BC531" s="148"/>
      <c r="BD531" s="148"/>
      <c r="BE531" s="148"/>
      <c r="BF531" s="148"/>
      <c r="BG531" s="148"/>
      <c r="BH531" s="148"/>
      <c r="BI531" s="148"/>
      <c r="BJ531" s="148"/>
      <c r="BK531" s="148"/>
      <c r="BL531" s="148"/>
      <c r="BM531" s="148"/>
      <c r="BN531" s="148"/>
      <c r="BO531" s="148"/>
      <c r="BP531" s="148"/>
      <c r="BQ531" s="148"/>
      <c r="BR531" s="148"/>
      <c r="BS531" s="148"/>
      <c r="BT531" s="148"/>
      <c r="BU531" s="148"/>
      <c r="BV531" s="148"/>
      <c r="BW531" s="148"/>
      <c r="BX531" s="148"/>
      <c r="BY531" s="148"/>
      <c r="BZ531" s="148"/>
      <c r="CA531" s="148"/>
      <c r="CB531" s="148"/>
      <c r="CC531" s="148"/>
      <c r="CD531" s="148"/>
      <c r="CE531" s="148"/>
      <c r="CF531" s="148"/>
      <c r="CG531" s="148"/>
      <c r="CH531" s="148"/>
      <c r="CI531" s="148"/>
      <c r="CJ531" s="148"/>
      <c r="CK531" s="148"/>
      <c r="CL531" s="148"/>
      <c r="CM531" s="148"/>
      <c r="CN531" s="148"/>
      <c r="CO531" s="148"/>
      <c r="CP531" s="148"/>
      <c r="CQ531" s="148"/>
      <c r="CR531" s="148"/>
      <c r="CS531" s="148"/>
      <c r="CT531" s="148"/>
      <c r="CU531" s="148"/>
      <c r="CV531" s="148"/>
      <c r="CW531" s="148"/>
      <c r="CX531" s="148"/>
      <c r="CY531" s="148"/>
      <c r="CZ531" s="148"/>
      <c r="DA531" s="148"/>
      <c r="DB531" s="148"/>
      <c r="DC531" s="148"/>
      <c r="DD531" s="148"/>
      <c r="DE531" s="148"/>
      <c r="DF531" s="148"/>
      <c r="DG531" s="148"/>
      <c r="DH531" s="148"/>
      <c r="DI531" s="148"/>
      <c r="DJ531" s="148"/>
      <c r="DK531" s="148"/>
      <c r="DL531" s="148"/>
      <c r="DM531" s="148"/>
      <c r="DN531" s="148"/>
      <c r="DO531" s="148"/>
      <c r="DP531" s="148"/>
      <c r="DQ531" s="148"/>
      <c r="DR531" s="148"/>
      <c r="DS531" s="148"/>
      <c r="DT531" s="148"/>
      <c r="DU531" s="148"/>
      <c r="DV531" s="148"/>
      <c r="DW531" s="148"/>
      <c r="DX531" s="148"/>
      <c r="DY531" s="148"/>
      <c r="DZ531" s="148"/>
      <c r="EA531" s="148"/>
      <c r="EB531" s="148"/>
      <c r="EC531" s="148"/>
      <c r="ED531" s="148"/>
      <c r="EE531" s="148"/>
      <c r="EF531" s="148"/>
      <c r="EG531" s="148"/>
      <c r="EH531" s="148"/>
      <c r="EI531" s="148"/>
      <c r="EJ531" s="148"/>
      <c r="EK531" s="148"/>
      <c r="EL531" s="148"/>
      <c r="EM531" s="148"/>
      <c r="EN531" s="148"/>
      <c r="EO531" s="148"/>
      <c r="EP531" s="148"/>
      <c r="EQ531" s="148"/>
      <c r="ER531" s="148"/>
      <c r="ES531" s="148"/>
      <c r="ET531" s="148"/>
      <c r="EU531" s="148"/>
      <c r="EV531" s="148"/>
      <c r="EW531" s="148"/>
      <c r="EX531" s="148"/>
      <c r="EY531" s="148"/>
      <c r="EZ531" s="148"/>
      <c r="FA531" s="148"/>
      <c r="FB531" s="148"/>
      <c r="FC531" s="148"/>
      <c r="FD531" s="148"/>
      <c r="FE531" s="148"/>
      <c r="FF531" s="148"/>
      <c r="FG531" s="148"/>
      <c r="FH531" s="148"/>
      <c r="FI531" s="148"/>
      <c r="FJ531" s="148"/>
      <c r="FK531" s="148"/>
      <c r="FL531" s="148"/>
      <c r="FM531" s="148"/>
      <c r="FN531" s="148"/>
      <c r="FO531" s="148"/>
      <c r="FP531" s="148"/>
      <c r="FQ531" s="148"/>
      <c r="FR531" s="148"/>
      <c r="FS531" s="148"/>
      <c r="FT531" s="148"/>
      <c r="FU531" s="148"/>
      <c r="FV531" s="148"/>
      <c r="FW531" s="148"/>
      <c r="FX531" s="148"/>
      <c r="FY531" s="148"/>
      <c r="FZ531" s="148"/>
      <c r="GA531" s="148"/>
      <c r="GB531" s="148"/>
      <c r="GC531" s="148"/>
      <c r="GD531" s="148"/>
      <c r="GE531" s="148"/>
      <c r="GF531" s="148"/>
      <c r="GG531" s="149"/>
    </row>
    <row r="532" spans="1:189" x14ac:dyDescent="0.35">
      <c r="A532" s="268"/>
      <c r="B532" s="221"/>
      <c r="C532" s="221"/>
      <c r="D532" s="222"/>
      <c r="E532" s="221"/>
      <c r="F532" s="221"/>
      <c r="G532" s="223"/>
      <c r="H532" s="224"/>
      <c r="I532" s="225"/>
      <c r="J532" s="225"/>
      <c r="K532" s="225"/>
      <c r="L532" s="226"/>
      <c r="M532" s="226"/>
      <c r="N532" s="226"/>
      <c r="O532" s="226"/>
      <c r="P532" s="226"/>
      <c r="Q532" s="227"/>
      <c r="R532" s="228"/>
      <c r="S532" s="228"/>
      <c r="T532" s="228"/>
      <c r="U532" s="191">
        <f t="shared" si="503"/>
        <v>0</v>
      </c>
      <c r="V532" s="86"/>
      <c r="W532" s="45"/>
      <c r="X532" s="46"/>
      <c r="Y532" s="167">
        <f t="shared" si="504"/>
        <v>0</v>
      </c>
      <c r="Z532" s="167">
        <f t="shared" si="505"/>
        <v>0</v>
      </c>
      <c r="AA532" s="167">
        <f t="shared" si="506"/>
        <v>0</v>
      </c>
      <c r="AB532" s="167">
        <f t="shared" si="507"/>
        <v>0</v>
      </c>
      <c r="AC532" s="167">
        <f t="shared" si="508"/>
        <v>0</v>
      </c>
      <c r="AD532" s="167">
        <f t="shared" si="509"/>
        <v>0</v>
      </c>
      <c r="AF532" s="47">
        <f t="shared" ref="AF532:AF595" si="510">IF(S532&lt;&gt;"",1,0)</f>
        <v>0</v>
      </c>
      <c r="AG532" s="202" t="str">
        <f t="shared" si="502"/>
        <v xml:space="preserve"> </v>
      </c>
      <c r="AH532" s="150"/>
      <c r="AI532" s="151"/>
      <c r="AJ532" s="151"/>
      <c r="AK532" s="151"/>
      <c r="AL532" s="151"/>
      <c r="AM532" s="151"/>
      <c r="AN532" s="151"/>
      <c r="AO532" s="151"/>
      <c r="AP532" s="151"/>
      <c r="AQ532" s="151"/>
      <c r="AR532" s="151"/>
      <c r="AS532" s="151"/>
      <c r="AT532" s="151"/>
      <c r="AU532" s="151"/>
      <c r="AV532" s="151"/>
      <c r="AW532" s="151"/>
      <c r="AX532" s="151"/>
      <c r="AY532" s="151"/>
      <c r="AZ532" s="151"/>
      <c r="BA532" s="151"/>
      <c r="BB532" s="151"/>
      <c r="BC532" s="151"/>
      <c r="BD532" s="151"/>
      <c r="BE532" s="151"/>
      <c r="BF532" s="151"/>
      <c r="BG532" s="151"/>
      <c r="BH532" s="151"/>
      <c r="BI532" s="151"/>
      <c r="BJ532" s="151"/>
      <c r="BK532" s="151"/>
      <c r="BL532" s="151"/>
      <c r="BM532" s="151"/>
      <c r="BN532" s="151"/>
      <c r="BO532" s="151"/>
      <c r="BP532" s="151"/>
      <c r="BQ532" s="151"/>
      <c r="BR532" s="151"/>
      <c r="BS532" s="151"/>
      <c r="BT532" s="151"/>
      <c r="BU532" s="151"/>
      <c r="BV532" s="151"/>
      <c r="BW532" s="151"/>
      <c r="BX532" s="151"/>
      <c r="BY532" s="151"/>
      <c r="BZ532" s="151"/>
      <c r="CA532" s="151"/>
      <c r="CB532" s="151"/>
      <c r="CC532" s="151"/>
      <c r="CD532" s="151"/>
      <c r="CE532" s="151"/>
      <c r="CF532" s="151"/>
      <c r="CG532" s="151"/>
      <c r="CH532" s="151"/>
      <c r="CI532" s="151"/>
      <c r="CJ532" s="151"/>
      <c r="CK532" s="151"/>
      <c r="CL532" s="151"/>
      <c r="CM532" s="151"/>
      <c r="CN532" s="151"/>
      <c r="CO532" s="151"/>
      <c r="CP532" s="151"/>
      <c r="CQ532" s="151"/>
      <c r="CR532" s="151"/>
      <c r="CS532" s="151"/>
      <c r="CT532" s="151"/>
      <c r="CU532" s="151"/>
      <c r="CV532" s="151"/>
      <c r="CW532" s="151"/>
      <c r="CX532" s="151"/>
      <c r="CY532" s="151"/>
      <c r="CZ532" s="151"/>
      <c r="DA532" s="151"/>
      <c r="DB532" s="151"/>
      <c r="DC532" s="151"/>
      <c r="DD532" s="151"/>
      <c r="DE532" s="151"/>
      <c r="DF532" s="151"/>
      <c r="DG532" s="151"/>
      <c r="DH532" s="151"/>
      <c r="DI532" s="151"/>
      <c r="DJ532" s="151"/>
      <c r="DK532" s="151"/>
      <c r="DL532" s="151"/>
      <c r="DM532" s="151"/>
      <c r="DN532" s="151"/>
      <c r="DO532" s="151"/>
      <c r="DP532" s="151"/>
      <c r="DQ532" s="151"/>
      <c r="DR532" s="151"/>
      <c r="DS532" s="151"/>
      <c r="DT532" s="151"/>
      <c r="DU532" s="151"/>
      <c r="DV532" s="151"/>
      <c r="DW532" s="151"/>
      <c r="DX532" s="151"/>
      <c r="DY532" s="151"/>
      <c r="DZ532" s="151"/>
      <c r="EA532" s="151"/>
      <c r="EB532" s="151"/>
      <c r="EC532" s="151"/>
      <c r="ED532" s="151"/>
      <c r="EE532" s="151"/>
      <c r="EF532" s="151"/>
      <c r="EG532" s="151"/>
      <c r="EH532" s="151"/>
      <c r="EI532" s="151"/>
      <c r="EJ532" s="151"/>
      <c r="EK532" s="151"/>
      <c r="EL532" s="151"/>
      <c r="EM532" s="151"/>
      <c r="EN532" s="151"/>
      <c r="EO532" s="151"/>
      <c r="EP532" s="151"/>
      <c r="EQ532" s="151"/>
      <c r="ER532" s="151"/>
      <c r="ES532" s="151"/>
      <c r="ET532" s="151"/>
      <c r="EU532" s="151"/>
      <c r="EV532" s="151"/>
      <c r="EW532" s="151"/>
      <c r="EX532" s="151"/>
      <c r="EY532" s="151"/>
      <c r="EZ532" s="151"/>
      <c r="FA532" s="151"/>
      <c r="FB532" s="151"/>
      <c r="FC532" s="151"/>
      <c r="FD532" s="151"/>
      <c r="FE532" s="151"/>
      <c r="FF532" s="151"/>
      <c r="FG532" s="151"/>
      <c r="FH532" s="151"/>
      <c r="FI532" s="151"/>
      <c r="FJ532" s="151"/>
      <c r="FK532" s="151"/>
      <c r="FL532" s="151"/>
      <c r="FM532" s="151"/>
      <c r="FN532" s="151"/>
      <c r="FO532" s="151"/>
      <c r="FP532" s="151"/>
      <c r="FQ532" s="151"/>
      <c r="FR532" s="151"/>
      <c r="FS532" s="151"/>
      <c r="FT532" s="151"/>
      <c r="FU532" s="151"/>
      <c r="FV532" s="151"/>
      <c r="FW532" s="151"/>
      <c r="FX532" s="151"/>
      <c r="FY532" s="151"/>
      <c r="FZ532" s="151"/>
      <c r="GA532" s="151"/>
      <c r="GB532" s="151"/>
      <c r="GC532" s="151"/>
      <c r="GD532" s="151"/>
      <c r="GE532" s="151"/>
      <c r="GF532" s="151"/>
      <c r="GG532" s="152"/>
    </row>
    <row r="533" spans="1:189" x14ac:dyDescent="0.35">
      <c r="A533" s="268"/>
      <c r="B533" s="221"/>
      <c r="C533" s="221"/>
      <c r="D533" s="222"/>
      <c r="E533" s="221"/>
      <c r="F533" s="221"/>
      <c r="G533" s="223"/>
      <c r="H533" s="224"/>
      <c r="I533" s="225"/>
      <c r="J533" s="225"/>
      <c r="K533" s="225"/>
      <c r="L533" s="226"/>
      <c r="M533" s="226"/>
      <c r="N533" s="226"/>
      <c r="O533" s="226"/>
      <c r="P533" s="226"/>
      <c r="Q533" s="227"/>
      <c r="R533" s="228"/>
      <c r="S533" s="228"/>
      <c r="T533" s="228"/>
      <c r="U533" s="191">
        <f t="shared" si="503"/>
        <v>0</v>
      </c>
      <c r="V533" s="86"/>
      <c r="W533" s="45"/>
      <c r="X533" s="46"/>
      <c r="Y533" s="167">
        <f t="shared" si="504"/>
        <v>0</v>
      </c>
      <c r="Z533" s="167">
        <f t="shared" si="505"/>
        <v>0</v>
      </c>
      <c r="AA533" s="167">
        <f t="shared" si="506"/>
        <v>0</v>
      </c>
      <c r="AB533" s="167">
        <f t="shared" si="507"/>
        <v>0</v>
      </c>
      <c r="AC533" s="167">
        <f t="shared" si="508"/>
        <v>0</v>
      </c>
      <c r="AD533" s="167">
        <f t="shared" si="509"/>
        <v>0</v>
      </c>
      <c r="AF533" s="47">
        <f t="shared" si="510"/>
        <v>0</v>
      </c>
      <c r="AG533" s="202" t="str">
        <f t="shared" si="502"/>
        <v xml:space="preserve"> </v>
      </c>
      <c r="AH533" s="150"/>
      <c r="AI533" s="151"/>
      <c r="AJ533" s="151"/>
      <c r="AK533" s="151"/>
      <c r="AL533" s="151"/>
      <c r="AM533" s="151"/>
      <c r="AN533" s="151"/>
      <c r="AO533" s="151"/>
      <c r="AP533" s="151"/>
      <c r="AQ533" s="151"/>
      <c r="AR533" s="151"/>
      <c r="AS533" s="151"/>
      <c r="AT533" s="151"/>
      <c r="AU533" s="151"/>
      <c r="AV533" s="151"/>
      <c r="AW533" s="151"/>
      <c r="AX533" s="151"/>
      <c r="AY533" s="151"/>
      <c r="AZ533" s="151"/>
      <c r="BA533" s="151"/>
      <c r="BB533" s="151"/>
      <c r="BC533" s="151"/>
      <c r="BD533" s="151"/>
      <c r="BE533" s="151"/>
      <c r="BF533" s="151"/>
      <c r="BG533" s="151"/>
      <c r="BH533" s="151"/>
      <c r="BI533" s="151"/>
      <c r="BJ533" s="151"/>
      <c r="BK533" s="151"/>
      <c r="BL533" s="151"/>
      <c r="BM533" s="151"/>
      <c r="BN533" s="151"/>
      <c r="BO533" s="151"/>
      <c r="BP533" s="151"/>
      <c r="BQ533" s="151"/>
      <c r="BR533" s="151"/>
      <c r="BS533" s="151"/>
      <c r="BT533" s="151"/>
      <c r="BU533" s="151"/>
      <c r="BV533" s="151"/>
      <c r="BW533" s="151"/>
      <c r="BX533" s="151"/>
      <c r="BY533" s="151"/>
      <c r="BZ533" s="151"/>
      <c r="CA533" s="151"/>
      <c r="CB533" s="151"/>
      <c r="CC533" s="151"/>
      <c r="CD533" s="151"/>
      <c r="CE533" s="151"/>
      <c r="CF533" s="151"/>
      <c r="CG533" s="151"/>
      <c r="CH533" s="151"/>
      <c r="CI533" s="151"/>
      <c r="CJ533" s="151"/>
      <c r="CK533" s="151"/>
      <c r="CL533" s="151"/>
      <c r="CM533" s="151"/>
      <c r="CN533" s="151"/>
      <c r="CO533" s="151"/>
      <c r="CP533" s="151"/>
      <c r="CQ533" s="151"/>
      <c r="CR533" s="151"/>
      <c r="CS533" s="151"/>
      <c r="CT533" s="151"/>
      <c r="CU533" s="151"/>
      <c r="CV533" s="151"/>
      <c r="CW533" s="151"/>
      <c r="CX533" s="151"/>
      <c r="CY533" s="151"/>
      <c r="CZ533" s="151"/>
      <c r="DA533" s="151"/>
      <c r="DB533" s="151"/>
      <c r="DC533" s="151"/>
      <c r="DD533" s="151"/>
      <c r="DE533" s="151"/>
      <c r="DF533" s="151"/>
      <c r="DG533" s="151"/>
      <c r="DH533" s="151"/>
      <c r="DI533" s="151"/>
      <c r="DJ533" s="151"/>
      <c r="DK533" s="151"/>
      <c r="DL533" s="151"/>
      <c r="DM533" s="151"/>
      <c r="DN533" s="151"/>
      <c r="DO533" s="151"/>
      <c r="DP533" s="151"/>
      <c r="DQ533" s="151"/>
      <c r="DR533" s="151"/>
      <c r="DS533" s="151"/>
      <c r="DT533" s="151"/>
      <c r="DU533" s="151"/>
      <c r="DV533" s="151"/>
      <c r="DW533" s="151"/>
      <c r="DX533" s="151"/>
      <c r="DY533" s="151"/>
      <c r="DZ533" s="151"/>
      <c r="EA533" s="151"/>
      <c r="EB533" s="151"/>
      <c r="EC533" s="151"/>
      <c r="ED533" s="151"/>
      <c r="EE533" s="151"/>
      <c r="EF533" s="151"/>
      <c r="EG533" s="151"/>
      <c r="EH533" s="151"/>
      <c r="EI533" s="151"/>
      <c r="EJ533" s="151"/>
      <c r="EK533" s="151"/>
      <c r="EL533" s="151"/>
      <c r="EM533" s="151"/>
      <c r="EN533" s="151"/>
      <c r="EO533" s="151"/>
      <c r="EP533" s="151"/>
      <c r="EQ533" s="151"/>
      <c r="ER533" s="151"/>
      <c r="ES533" s="151"/>
      <c r="ET533" s="151"/>
      <c r="EU533" s="151"/>
      <c r="EV533" s="151"/>
      <c r="EW533" s="151"/>
      <c r="EX533" s="151"/>
      <c r="EY533" s="151"/>
      <c r="EZ533" s="151"/>
      <c r="FA533" s="151"/>
      <c r="FB533" s="151"/>
      <c r="FC533" s="151"/>
      <c r="FD533" s="151"/>
      <c r="FE533" s="151"/>
      <c r="FF533" s="151"/>
      <c r="FG533" s="151"/>
      <c r="FH533" s="151"/>
      <c r="FI533" s="151"/>
      <c r="FJ533" s="151"/>
      <c r="FK533" s="151"/>
      <c r="FL533" s="151"/>
      <c r="FM533" s="151"/>
      <c r="FN533" s="151"/>
      <c r="FO533" s="151"/>
      <c r="FP533" s="151"/>
      <c r="FQ533" s="151"/>
      <c r="FR533" s="151"/>
      <c r="FS533" s="151"/>
      <c r="FT533" s="151"/>
      <c r="FU533" s="151"/>
      <c r="FV533" s="151"/>
      <c r="FW533" s="151"/>
      <c r="FX533" s="151"/>
      <c r="FY533" s="151"/>
      <c r="FZ533" s="151"/>
      <c r="GA533" s="151"/>
      <c r="GB533" s="151"/>
      <c r="GC533" s="151"/>
      <c r="GD533" s="151"/>
      <c r="GE533" s="151"/>
      <c r="GF533" s="151"/>
      <c r="GG533" s="152"/>
    </row>
    <row r="534" spans="1:189" x14ac:dyDescent="0.35">
      <c r="A534" s="268"/>
      <c r="B534" s="221"/>
      <c r="C534" s="221"/>
      <c r="D534" s="222"/>
      <c r="E534" s="221"/>
      <c r="F534" s="221"/>
      <c r="G534" s="223"/>
      <c r="H534" s="224"/>
      <c r="I534" s="225"/>
      <c r="J534" s="225"/>
      <c r="K534" s="225"/>
      <c r="L534" s="226"/>
      <c r="M534" s="226"/>
      <c r="N534" s="226"/>
      <c r="O534" s="226"/>
      <c r="P534" s="226"/>
      <c r="Q534" s="227"/>
      <c r="R534" s="228"/>
      <c r="S534" s="228"/>
      <c r="T534" s="228"/>
      <c r="U534" s="191">
        <f t="shared" si="503"/>
        <v>0</v>
      </c>
      <c r="V534" s="86"/>
      <c r="W534" s="45"/>
      <c r="X534" s="46"/>
      <c r="Y534" s="167">
        <f t="shared" si="504"/>
        <v>0</v>
      </c>
      <c r="Z534" s="167">
        <f t="shared" si="505"/>
        <v>0</v>
      </c>
      <c r="AA534" s="167">
        <f t="shared" si="506"/>
        <v>0</v>
      </c>
      <c r="AB534" s="167">
        <f t="shared" si="507"/>
        <v>0</v>
      </c>
      <c r="AC534" s="167">
        <f t="shared" si="508"/>
        <v>0</v>
      </c>
      <c r="AD534" s="167">
        <f t="shared" si="509"/>
        <v>0</v>
      </c>
      <c r="AF534" s="47">
        <f t="shared" si="510"/>
        <v>0</v>
      </c>
      <c r="AG534" s="202" t="str">
        <f t="shared" si="502"/>
        <v xml:space="preserve"> </v>
      </c>
      <c r="AH534" s="150"/>
      <c r="AI534" s="151"/>
      <c r="AJ534" s="151"/>
      <c r="AK534" s="151"/>
      <c r="AL534" s="151"/>
      <c r="AM534" s="151"/>
      <c r="AN534" s="151"/>
      <c r="AO534" s="151"/>
      <c r="AP534" s="151"/>
      <c r="AQ534" s="151"/>
      <c r="AR534" s="151"/>
      <c r="AS534" s="151"/>
      <c r="AT534" s="151"/>
      <c r="AU534" s="151"/>
      <c r="AV534" s="151"/>
      <c r="AW534" s="151"/>
      <c r="AX534" s="151"/>
      <c r="AY534" s="151"/>
      <c r="AZ534" s="151"/>
      <c r="BA534" s="151"/>
      <c r="BB534" s="151"/>
      <c r="BC534" s="151"/>
      <c r="BD534" s="151"/>
      <c r="BE534" s="151"/>
      <c r="BF534" s="151"/>
      <c r="BG534" s="151"/>
      <c r="BH534" s="151"/>
      <c r="BI534" s="151"/>
      <c r="BJ534" s="151"/>
      <c r="BK534" s="151"/>
      <c r="BL534" s="151"/>
      <c r="BM534" s="151"/>
      <c r="BN534" s="151"/>
      <c r="BO534" s="151"/>
      <c r="BP534" s="151"/>
      <c r="BQ534" s="151"/>
      <c r="BR534" s="151"/>
      <c r="BS534" s="151"/>
      <c r="BT534" s="151"/>
      <c r="BU534" s="151"/>
      <c r="BV534" s="151"/>
      <c r="BW534" s="151"/>
      <c r="BX534" s="151"/>
      <c r="BY534" s="151"/>
      <c r="BZ534" s="151"/>
      <c r="CA534" s="151"/>
      <c r="CB534" s="151"/>
      <c r="CC534" s="151"/>
      <c r="CD534" s="151"/>
      <c r="CE534" s="151"/>
      <c r="CF534" s="151"/>
      <c r="CG534" s="151"/>
      <c r="CH534" s="151"/>
      <c r="CI534" s="151"/>
      <c r="CJ534" s="151"/>
      <c r="CK534" s="151"/>
      <c r="CL534" s="151"/>
      <c r="CM534" s="151"/>
      <c r="CN534" s="151"/>
      <c r="CO534" s="151"/>
      <c r="CP534" s="151"/>
      <c r="CQ534" s="151"/>
      <c r="CR534" s="151"/>
      <c r="CS534" s="151"/>
      <c r="CT534" s="151"/>
      <c r="CU534" s="151"/>
      <c r="CV534" s="151"/>
      <c r="CW534" s="151"/>
      <c r="CX534" s="151"/>
      <c r="CY534" s="151"/>
      <c r="CZ534" s="151"/>
      <c r="DA534" s="151"/>
      <c r="DB534" s="151"/>
      <c r="DC534" s="151"/>
      <c r="DD534" s="151"/>
      <c r="DE534" s="151"/>
      <c r="DF534" s="151"/>
      <c r="DG534" s="151"/>
      <c r="DH534" s="151"/>
      <c r="DI534" s="151"/>
      <c r="DJ534" s="151"/>
      <c r="DK534" s="151"/>
      <c r="DL534" s="151"/>
      <c r="DM534" s="151"/>
      <c r="DN534" s="151"/>
      <c r="DO534" s="151"/>
      <c r="DP534" s="151"/>
      <c r="DQ534" s="151"/>
      <c r="DR534" s="151"/>
      <c r="DS534" s="151"/>
      <c r="DT534" s="151"/>
      <c r="DU534" s="151"/>
      <c r="DV534" s="151"/>
      <c r="DW534" s="151"/>
      <c r="DX534" s="151"/>
      <c r="DY534" s="151"/>
      <c r="DZ534" s="151"/>
      <c r="EA534" s="151"/>
      <c r="EB534" s="151"/>
      <c r="EC534" s="151"/>
      <c r="ED534" s="151"/>
      <c r="EE534" s="151"/>
      <c r="EF534" s="151"/>
      <c r="EG534" s="151"/>
      <c r="EH534" s="151"/>
      <c r="EI534" s="151"/>
      <c r="EJ534" s="151"/>
      <c r="EK534" s="151"/>
      <c r="EL534" s="151"/>
      <c r="EM534" s="151"/>
      <c r="EN534" s="151"/>
      <c r="EO534" s="151"/>
      <c r="EP534" s="151"/>
      <c r="EQ534" s="151"/>
      <c r="ER534" s="151"/>
      <c r="ES534" s="151"/>
      <c r="ET534" s="151"/>
      <c r="EU534" s="151"/>
      <c r="EV534" s="151"/>
      <c r="EW534" s="151"/>
      <c r="EX534" s="151"/>
      <c r="EY534" s="151"/>
      <c r="EZ534" s="151"/>
      <c r="FA534" s="151"/>
      <c r="FB534" s="151"/>
      <c r="FC534" s="151"/>
      <c r="FD534" s="151"/>
      <c r="FE534" s="151"/>
      <c r="FF534" s="151"/>
      <c r="FG534" s="151"/>
      <c r="FH534" s="151"/>
      <c r="FI534" s="151"/>
      <c r="FJ534" s="151"/>
      <c r="FK534" s="151"/>
      <c r="FL534" s="151"/>
      <c r="FM534" s="151"/>
      <c r="FN534" s="151"/>
      <c r="FO534" s="151"/>
      <c r="FP534" s="151"/>
      <c r="FQ534" s="151"/>
      <c r="FR534" s="151"/>
      <c r="FS534" s="151"/>
      <c r="FT534" s="151"/>
      <c r="FU534" s="151"/>
      <c r="FV534" s="151"/>
      <c r="FW534" s="151"/>
      <c r="FX534" s="151"/>
      <c r="FY534" s="151"/>
      <c r="FZ534" s="151"/>
      <c r="GA534" s="151"/>
      <c r="GB534" s="151"/>
      <c r="GC534" s="151"/>
      <c r="GD534" s="151"/>
      <c r="GE534" s="151"/>
      <c r="GF534" s="151"/>
      <c r="GG534" s="152"/>
    </row>
    <row r="535" spans="1:189" x14ac:dyDescent="0.35">
      <c r="A535" s="268"/>
      <c r="B535" s="221"/>
      <c r="C535" s="221"/>
      <c r="D535" s="222"/>
      <c r="E535" s="221"/>
      <c r="F535" s="221"/>
      <c r="G535" s="223"/>
      <c r="H535" s="224"/>
      <c r="I535" s="225"/>
      <c r="J535" s="225"/>
      <c r="K535" s="225"/>
      <c r="L535" s="226"/>
      <c r="M535" s="226"/>
      <c r="N535" s="226"/>
      <c r="O535" s="226"/>
      <c r="P535" s="226"/>
      <c r="Q535" s="227"/>
      <c r="R535" s="228"/>
      <c r="S535" s="228"/>
      <c r="T535" s="228"/>
      <c r="U535" s="191">
        <f t="shared" si="503"/>
        <v>0</v>
      </c>
      <c r="V535" s="86"/>
      <c r="W535" s="45"/>
      <c r="X535" s="46"/>
      <c r="Y535" s="167">
        <f t="shared" si="504"/>
        <v>0</v>
      </c>
      <c r="Z535" s="167">
        <f t="shared" si="505"/>
        <v>0</v>
      </c>
      <c r="AA535" s="167">
        <f t="shared" si="506"/>
        <v>0</v>
      </c>
      <c r="AB535" s="167">
        <f t="shared" si="507"/>
        <v>0</v>
      </c>
      <c r="AC535" s="167">
        <f t="shared" si="508"/>
        <v>0</v>
      </c>
      <c r="AD535" s="167">
        <f t="shared" si="509"/>
        <v>0</v>
      </c>
      <c r="AF535" s="47">
        <f t="shared" si="510"/>
        <v>0</v>
      </c>
      <c r="AG535" s="202" t="str">
        <f t="shared" si="502"/>
        <v xml:space="preserve"> </v>
      </c>
      <c r="AH535" s="147"/>
      <c r="AI535" s="148"/>
      <c r="AJ535" s="148"/>
      <c r="AK535" s="148"/>
      <c r="AL535" s="148"/>
      <c r="AM535" s="148"/>
      <c r="AN535" s="148"/>
      <c r="AO535" s="148"/>
      <c r="AP535" s="148"/>
      <c r="AQ535" s="148"/>
      <c r="AR535" s="148"/>
      <c r="AS535" s="148"/>
      <c r="AT535" s="148"/>
      <c r="AU535" s="148"/>
      <c r="AV535" s="148"/>
      <c r="AW535" s="148"/>
      <c r="AX535" s="148"/>
      <c r="AY535" s="148"/>
      <c r="AZ535" s="148"/>
      <c r="BA535" s="148"/>
      <c r="BB535" s="148"/>
      <c r="BC535" s="148"/>
      <c r="BD535" s="148"/>
      <c r="BE535" s="148"/>
      <c r="BF535" s="148"/>
      <c r="BG535" s="148"/>
      <c r="BH535" s="148"/>
      <c r="BI535" s="148"/>
      <c r="BJ535" s="148"/>
      <c r="BK535" s="148"/>
      <c r="BL535" s="148"/>
      <c r="BM535" s="148"/>
      <c r="BN535" s="148"/>
      <c r="BO535" s="148"/>
      <c r="BP535" s="148"/>
      <c r="BQ535" s="148"/>
      <c r="BR535" s="148"/>
      <c r="BS535" s="148"/>
      <c r="BT535" s="148"/>
      <c r="BU535" s="148"/>
      <c r="BV535" s="148"/>
      <c r="BW535" s="148"/>
      <c r="BX535" s="148"/>
      <c r="BY535" s="148"/>
      <c r="BZ535" s="148"/>
      <c r="CA535" s="148"/>
      <c r="CB535" s="148"/>
      <c r="CC535" s="148"/>
      <c r="CD535" s="148"/>
      <c r="CE535" s="148"/>
      <c r="CF535" s="148"/>
      <c r="CG535" s="148"/>
      <c r="CH535" s="148"/>
      <c r="CI535" s="148"/>
      <c r="CJ535" s="148"/>
      <c r="CK535" s="148"/>
      <c r="CL535" s="148"/>
      <c r="CM535" s="148"/>
      <c r="CN535" s="148"/>
      <c r="CO535" s="148"/>
      <c r="CP535" s="148"/>
      <c r="CQ535" s="148"/>
      <c r="CR535" s="148"/>
      <c r="CS535" s="148"/>
      <c r="CT535" s="148"/>
      <c r="CU535" s="148"/>
      <c r="CV535" s="148"/>
      <c r="CW535" s="148"/>
      <c r="CX535" s="148"/>
      <c r="CY535" s="148"/>
      <c r="CZ535" s="148"/>
      <c r="DA535" s="148"/>
      <c r="DB535" s="148"/>
      <c r="DC535" s="148"/>
      <c r="DD535" s="148"/>
      <c r="DE535" s="148"/>
      <c r="DF535" s="148"/>
      <c r="DG535" s="148"/>
      <c r="DH535" s="148"/>
      <c r="DI535" s="148"/>
      <c r="DJ535" s="148"/>
      <c r="DK535" s="148"/>
      <c r="DL535" s="148"/>
      <c r="DM535" s="148"/>
      <c r="DN535" s="148"/>
      <c r="DO535" s="148"/>
      <c r="DP535" s="148"/>
      <c r="DQ535" s="148"/>
      <c r="DR535" s="148"/>
      <c r="DS535" s="148"/>
      <c r="DT535" s="148"/>
      <c r="DU535" s="148"/>
      <c r="DV535" s="148"/>
      <c r="DW535" s="148"/>
      <c r="DX535" s="148"/>
      <c r="DY535" s="148"/>
      <c r="DZ535" s="148"/>
      <c r="EA535" s="148"/>
      <c r="EB535" s="148"/>
      <c r="EC535" s="148"/>
      <c r="ED535" s="148"/>
      <c r="EE535" s="148"/>
      <c r="EF535" s="148"/>
      <c r="EG535" s="148"/>
      <c r="EH535" s="148"/>
      <c r="EI535" s="148"/>
      <c r="EJ535" s="148"/>
      <c r="EK535" s="148"/>
      <c r="EL535" s="148"/>
      <c r="EM535" s="148"/>
      <c r="EN535" s="148"/>
      <c r="EO535" s="148"/>
      <c r="EP535" s="148"/>
      <c r="EQ535" s="148"/>
      <c r="ER535" s="148"/>
      <c r="ES535" s="148"/>
      <c r="ET535" s="148"/>
      <c r="EU535" s="148"/>
      <c r="EV535" s="148"/>
      <c r="EW535" s="148"/>
      <c r="EX535" s="148"/>
      <c r="EY535" s="148"/>
      <c r="EZ535" s="148"/>
      <c r="FA535" s="148"/>
      <c r="FB535" s="148"/>
      <c r="FC535" s="148"/>
      <c r="FD535" s="148"/>
      <c r="FE535" s="148"/>
      <c r="FF535" s="148"/>
      <c r="FG535" s="148"/>
      <c r="FH535" s="148"/>
      <c r="FI535" s="148"/>
      <c r="FJ535" s="148"/>
      <c r="FK535" s="148"/>
      <c r="FL535" s="148"/>
      <c r="FM535" s="148"/>
      <c r="FN535" s="148"/>
      <c r="FO535" s="148"/>
      <c r="FP535" s="148"/>
      <c r="FQ535" s="148"/>
      <c r="FR535" s="148"/>
      <c r="FS535" s="148"/>
      <c r="FT535" s="148"/>
      <c r="FU535" s="148"/>
      <c r="FV535" s="148"/>
      <c r="FW535" s="148"/>
      <c r="FX535" s="148"/>
      <c r="FY535" s="148"/>
      <c r="FZ535" s="148"/>
      <c r="GA535" s="148"/>
      <c r="GB535" s="148"/>
      <c r="GC535" s="148"/>
      <c r="GD535" s="148"/>
      <c r="GE535" s="148"/>
      <c r="GF535" s="148"/>
      <c r="GG535" s="149"/>
    </row>
    <row r="536" spans="1:189" x14ac:dyDescent="0.35">
      <c r="A536" s="268"/>
      <c r="B536" s="221"/>
      <c r="C536" s="221"/>
      <c r="D536" s="222"/>
      <c r="E536" s="221"/>
      <c r="F536" s="221"/>
      <c r="G536" s="223"/>
      <c r="H536" s="224"/>
      <c r="I536" s="225"/>
      <c r="J536" s="225"/>
      <c r="K536" s="225"/>
      <c r="L536" s="226"/>
      <c r="M536" s="226"/>
      <c r="N536" s="226"/>
      <c r="O536" s="226"/>
      <c r="P536" s="226"/>
      <c r="Q536" s="227"/>
      <c r="R536" s="228"/>
      <c r="S536" s="228"/>
      <c r="T536" s="228"/>
      <c r="U536" s="191">
        <f t="shared" si="503"/>
        <v>0</v>
      </c>
      <c r="V536" s="86"/>
      <c r="W536" s="45"/>
      <c r="X536" s="46"/>
      <c r="Y536" s="167">
        <f t="shared" si="504"/>
        <v>0</v>
      </c>
      <c r="Z536" s="167">
        <f t="shared" si="505"/>
        <v>0</v>
      </c>
      <c r="AA536" s="167">
        <f t="shared" si="506"/>
        <v>0</v>
      </c>
      <c r="AB536" s="167">
        <f t="shared" si="507"/>
        <v>0</v>
      </c>
      <c r="AC536" s="167">
        <f t="shared" si="508"/>
        <v>0</v>
      </c>
      <c r="AD536" s="167">
        <f t="shared" si="509"/>
        <v>0</v>
      </c>
      <c r="AF536" s="47">
        <f t="shared" si="510"/>
        <v>0</v>
      </c>
      <c r="AG536" s="202" t="str">
        <f t="shared" si="502"/>
        <v xml:space="preserve"> </v>
      </c>
      <c r="AH536" s="150"/>
      <c r="AI536" s="151"/>
      <c r="AJ536" s="151"/>
      <c r="AK536" s="151"/>
      <c r="AL536" s="151"/>
      <c r="AM536" s="151"/>
      <c r="AN536" s="151"/>
      <c r="AO536" s="151"/>
      <c r="AP536" s="151"/>
      <c r="AQ536" s="151"/>
      <c r="AR536" s="151"/>
      <c r="AS536" s="151"/>
      <c r="AT536" s="151"/>
      <c r="AU536" s="151"/>
      <c r="AV536" s="151"/>
      <c r="AW536" s="151"/>
      <c r="AX536" s="151"/>
      <c r="AY536" s="151"/>
      <c r="AZ536" s="151"/>
      <c r="BA536" s="151"/>
      <c r="BB536" s="151"/>
      <c r="BC536" s="151"/>
      <c r="BD536" s="151"/>
      <c r="BE536" s="151"/>
      <c r="BF536" s="151"/>
      <c r="BG536" s="151"/>
      <c r="BH536" s="151"/>
      <c r="BI536" s="151"/>
      <c r="BJ536" s="151"/>
      <c r="BK536" s="151"/>
      <c r="BL536" s="151"/>
      <c r="BM536" s="151"/>
      <c r="BN536" s="151"/>
      <c r="BO536" s="151"/>
      <c r="BP536" s="151"/>
      <c r="BQ536" s="151"/>
      <c r="BR536" s="151"/>
      <c r="BS536" s="151"/>
      <c r="BT536" s="151"/>
      <c r="BU536" s="151"/>
      <c r="BV536" s="151"/>
      <c r="BW536" s="151"/>
      <c r="BX536" s="151"/>
      <c r="BY536" s="151"/>
      <c r="BZ536" s="151"/>
      <c r="CA536" s="151"/>
      <c r="CB536" s="151"/>
      <c r="CC536" s="151"/>
      <c r="CD536" s="151"/>
      <c r="CE536" s="151"/>
      <c r="CF536" s="151"/>
      <c r="CG536" s="151"/>
      <c r="CH536" s="151"/>
      <c r="CI536" s="151"/>
      <c r="CJ536" s="151"/>
      <c r="CK536" s="151"/>
      <c r="CL536" s="151"/>
      <c r="CM536" s="151"/>
      <c r="CN536" s="151"/>
      <c r="CO536" s="151"/>
      <c r="CP536" s="151"/>
      <c r="CQ536" s="151"/>
      <c r="CR536" s="151"/>
      <c r="CS536" s="151"/>
      <c r="CT536" s="151"/>
      <c r="CU536" s="151"/>
      <c r="CV536" s="151"/>
      <c r="CW536" s="151"/>
      <c r="CX536" s="151"/>
      <c r="CY536" s="151"/>
      <c r="CZ536" s="151"/>
      <c r="DA536" s="151"/>
      <c r="DB536" s="151"/>
      <c r="DC536" s="151"/>
      <c r="DD536" s="151"/>
      <c r="DE536" s="151"/>
      <c r="DF536" s="151"/>
      <c r="DG536" s="151"/>
      <c r="DH536" s="151"/>
      <c r="DI536" s="151"/>
      <c r="DJ536" s="151"/>
      <c r="DK536" s="151"/>
      <c r="DL536" s="151"/>
      <c r="DM536" s="151"/>
      <c r="DN536" s="151"/>
      <c r="DO536" s="151"/>
      <c r="DP536" s="151"/>
      <c r="DQ536" s="151"/>
      <c r="DR536" s="151"/>
      <c r="DS536" s="151"/>
      <c r="DT536" s="151"/>
      <c r="DU536" s="151"/>
      <c r="DV536" s="151"/>
      <c r="DW536" s="151"/>
      <c r="DX536" s="151"/>
      <c r="DY536" s="151"/>
      <c r="DZ536" s="151"/>
      <c r="EA536" s="151"/>
      <c r="EB536" s="151"/>
      <c r="EC536" s="151"/>
      <c r="ED536" s="151"/>
      <c r="EE536" s="151"/>
      <c r="EF536" s="151"/>
      <c r="EG536" s="151"/>
      <c r="EH536" s="151"/>
      <c r="EI536" s="151"/>
      <c r="EJ536" s="151"/>
      <c r="EK536" s="151"/>
      <c r="EL536" s="151"/>
      <c r="EM536" s="151"/>
      <c r="EN536" s="151"/>
      <c r="EO536" s="151"/>
      <c r="EP536" s="151"/>
      <c r="EQ536" s="151"/>
      <c r="ER536" s="151"/>
      <c r="ES536" s="151"/>
      <c r="ET536" s="151"/>
      <c r="EU536" s="151"/>
      <c r="EV536" s="151"/>
      <c r="EW536" s="151"/>
      <c r="EX536" s="151"/>
      <c r="EY536" s="151"/>
      <c r="EZ536" s="151"/>
      <c r="FA536" s="151"/>
      <c r="FB536" s="151"/>
      <c r="FC536" s="151"/>
      <c r="FD536" s="151"/>
      <c r="FE536" s="151"/>
      <c r="FF536" s="151"/>
      <c r="FG536" s="151"/>
      <c r="FH536" s="151"/>
      <c r="FI536" s="151"/>
      <c r="FJ536" s="151"/>
      <c r="FK536" s="151"/>
      <c r="FL536" s="151"/>
      <c r="FM536" s="151"/>
      <c r="FN536" s="151"/>
      <c r="FO536" s="151"/>
      <c r="FP536" s="151"/>
      <c r="FQ536" s="151"/>
      <c r="FR536" s="151"/>
      <c r="FS536" s="151"/>
      <c r="FT536" s="151"/>
      <c r="FU536" s="151"/>
      <c r="FV536" s="151"/>
      <c r="FW536" s="151"/>
      <c r="FX536" s="151"/>
      <c r="FY536" s="151"/>
      <c r="FZ536" s="151"/>
      <c r="GA536" s="151"/>
      <c r="GB536" s="151"/>
      <c r="GC536" s="151"/>
      <c r="GD536" s="151"/>
      <c r="GE536" s="151"/>
      <c r="GF536" s="151"/>
      <c r="GG536" s="152"/>
    </row>
    <row r="537" spans="1:189" x14ac:dyDescent="0.35">
      <c r="A537" s="268"/>
      <c r="B537" s="221"/>
      <c r="C537" s="221"/>
      <c r="D537" s="222"/>
      <c r="E537" s="221"/>
      <c r="F537" s="221"/>
      <c r="G537" s="223"/>
      <c r="H537" s="224"/>
      <c r="I537" s="225"/>
      <c r="J537" s="225"/>
      <c r="K537" s="225"/>
      <c r="L537" s="226"/>
      <c r="M537" s="226"/>
      <c r="N537" s="226"/>
      <c r="O537" s="226"/>
      <c r="P537" s="226"/>
      <c r="Q537" s="227"/>
      <c r="R537" s="228"/>
      <c r="S537" s="228"/>
      <c r="T537" s="228"/>
      <c r="U537" s="191">
        <f t="shared" si="503"/>
        <v>0</v>
      </c>
      <c r="V537" s="86"/>
      <c r="W537" s="45"/>
      <c r="X537" s="46"/>
      <c r="Y537" s="167">
        <f t="shared" si="504"/>
        <v>0</v>
      </c>
      <c r="Z537" s="167">
        <f t="shared" si="505"/>
        <v>0</v>
      </c>
      <c r="AA537" s="167">
        <f t="shared" si="506"/>
        <v>0</v>
      </c>
      <c r="AB537" s="167">
        <f t="shared" si="507"/>
        <v>0</v>
      </c>
      <c r="AC537" s="167">
        <f t="shared" si="508"/>
        <v>0</v>
      </c>
      <c r="AD537" s="167">
        <f t="shared" si="509"/>
        <v>0</v>
      </c>
      <c r="AF537" s="47">
        <f t="shared" si="510"/>
        <v>0</v>
      </c>
      <c r="AG537" s="202" t="str">
        <f t="shared" si="502"/>
        <v xml:space="preserve"> </v>
      </c>
      <c r="AH537" s="150"/>
      <c r="AI537" s="151"/>
      <c r="AJ537" s="151"/>
      <c r="AK537" s="151"/>
      <c r="AL537" s="151"/>
      <c r="AM537" s="151"/>
      <c r="AN537" s="151"/>
      <c r="AO537" s="151"/>
      <c r="AP537" s="151"/>
      <c r="AQ537" s="151"/>
      <c r="AR537" s="151"/>
      <c r="AS537" s="151"/>
      <c r="AT537" s="151"/>
      <c r="AU537" s="151"/>
      <c r="AV537" s="151"/>
      <c r="AW537" s="151"/>
      <c r="AX537" s="151"/>
      <c r="AY537" s="151"/>
      <c r="AZ537" s="151"/>
      <c r="BA537" s="151"/>
      <c r="BB537" s="151"/>
      <c r="BC537" s="151"/>
      <c r="BD537" s="151"/>
      <c r="BE537" s="151"/>
      <c r="BF537" s="151"/>
      <c r="BG537" s="151"/>
      <c r="BH537" s="151"/>
      <c r="BI537" s="151"/>
      <c r="BJ537" s="151"/>
      <c r="BK537" s="151"/>
      <c r="BL537" s="151"/>
      <c r="BM537" s="151"/>
      <c r="BN537" s="151"/>
      <c r="BO537" s="151"/>
      <c r="BP537" s="151"/>
      <c r="BQ537" s="151"/>
      <c r="BR537" s="151"/>
      <c r="BS537" s="151"/>
      <c r="BT537" s="151"/>
      <c r="BU537" s="151"/>
      <c r="BV537" s="151"/>
      <c r="BW537" s="151"/>
      <c r="BX537" s="151"/>
      <c r="BY537" s="151"/>
      <c r="BZ537" s="151"/>
      <c r="CA537" s="151"/>
      <c r="CB537" s="151"/>
      <c r="CC537" s="151"/>
      <c r="CD537" s="151"/>
      <c r="CE537" s="151"/>
      <c r="CF537" s="151"/>
      <c r="CG537" s="151"/>
      <c r="CH537" s="151"/>
      <c r="CI537" s="151"/>
      <c r="CJ537" s="151"/>
      <c r="CK537" s="151"/>
      <c r="CL537" s="151"/>
      <c r="CM537" s="151"/>
      <c r="CN537" s="151"/>
      <c r="CO537" s="151"/>
      <c r="CP537" s="151"/>
      <c r="CQ537" s="151"/>
      <c r="CR537" s="151"/>
      <c r="CS537" s="151"/>
      <c r="CT537" s="151"/>
      <c r="CU537" s="151"/>
      <c r="CV537" s="151"/>
      <c r="CW537" s="151"/>
      <c r="CX537" s="151"/>
      <c r="CY537" s="151"/>
      <c r="CZ537" s="151"/>
      <c r="DA537" s="151"/>
      <c r="DB537" s="151"/>
      <c r="DC537" s="151"/>
      <c r="DD537" s="151"/>
      <c r="DE537" s="151"/>
      <c r="DF537" s="151"/>
      <c r="DG537" s="151"/>
      <c r="DH537" s="151"/>
      <c r="DI537" s="151"/>
      <c r="DJ537" s="151"/>
      <c r="DK537" s="151"/>
      <c r="DL537" s="151"/>
      <c r="DM537" s="151"/>
      <c r="DN537" s="151"/>
      <c r="DO537" s="151"/>
      <c r="DP537" s="151"/>
      <c r="DQ537" s="151"/>
      <c r="DR537" s="151"/>
      <c r="DS537" s="151"/>
      <c r="DT537" s="151"/>
      <c r="DU537" s="151"/>
      <c r="DV537" s="151"/>
      <c r="DW537" s="151"/>
      <c r="DX537" s="151"/>
      <c r="DY537" s="151"/>
      <c r="DZ537" s="151"/>
      <c r="EA537" s="151"/>
      <c r="EB537" s="151"/>
      <c r="EC537" s="151"/>
      <c r="ED537" s="151"/>
      <c r="EE537" s="151"/>
      <c r="EF537" s="151"/>
      <c r="EG537" s="151"/>
      <c r="EH537" s="151"/>
      <c r="EI537" s="151"/>
      <c r="EJ537" s="151"/>
      <c r="EK537" s="151"/>
      <c r="EL537" s="151"/>
      <c r="EM537" s="151"/>
      <c r="EN537" s="151"/>
      <c r="EO537" s="151"/>
      <c r="EP537" s="151"/>
      <c r="EQ537" s="151"/>
      <c r="ER537" s="151"/>
      <c r="ES537" s="151"/>
      <c r="ET537" s="151"/>
      <c r="EU537" s="151"/>
      <c r="EV537" s="151"/>
      <c r="EW537" s="151"/>
      <c r="EX537" s="151"/>
      <c r="EY537" s="151"/>
      <c r="EZ537" s="151"/>
      <c r="FA537" s="151"/>
      <c r="FB537" s="151"/>
      <c r="FC537" s="151"/>
      <c r="FD537" s="151"/>
      <c r="FE537" s="151"/>
      <c r="FF537" s="151"/>
      <c r="FG537" s="151"/>
      <c r="FH537" s="151"/>
      <c r="FI537" s="151"/>
      <c r="FJ537" s="151"/>
      <c r="FK537" s="151"/>
      <c r="FL537" s="151"/>
      <c r="FM537" s="151"/>
      <c r="FN537" s="151"/>
      <c r="FO537" s="151"/>
      <c r="FP537" s="151"/>
      <c r="FQ537" s="151"/>
      <c r="FR537" s="151"/>
      <c r="FS537" s="151"/>
      <c r="FT537" s="151"/>
      <c r="FU537" s="151"/>
      <c r="FV537" s="151"/>
      <c r="FW537" s="151"/>
      <c r="FX537" s="151"/>
      <c r="FY537" s="151"/>
      <c r="FZ537" s="151"/>
      <c r="GA537" s="151"/>
      <c r="GB537" s="151"/>
      <c r="GC537" s="151"/>
      <c r="GD537" s="151"/>
      <c r="GE537" s="151"/>
      <c r="GF537" s="151"/>
      <c r="GG537" s="152"/>
    </row>
    <row r="538" spans="1:189" x14ac:dyDescent="0.35">
      <c r="A538" s="268"/>
      <c r="B538" s="221"/>
      <c r="C538" s="221"/>
      <c r="D538" s="222"/>
      <c r="E538" s="221"/>
      <c r="F538" s="221"/>
      <c r="G538" s="223"/>
      <c r="H538" s="224"/>
      <c r="I538" s="225"/>
      <c r="J538" s="225"/>
      <c r="K538" s="225"/>
      <c r="L538" s="226"/>
      <c r="M538" s="226"/>
      <c r="N538" s="226"/>
      <c r="O538" s="226"/>
      <c r="P538" s="226"/>
      <c r="Q538" s="227"/>
      <c r="R538" s="228"/>
      <c r="S538" s="228"/>
      <c r="T538" s="228"/>
      <c r="U538" s="191">
        <f t="shared" si="503"/>
        <v>0</v>
      </c>
      <c r="V538" s="86"/>
      <c r="W538" s="45"/>
      <c r="X538" s="46"/>
      <c r="Y538" s="167">
        <f t="shared" si="504"/>
        <v>0</v>
      </c>
      <c r="Z538" s="167">
        <f t="shared" si="505"/>
        <v>0</v>
      </c>
      <c r="AA538" s="167">
        <f t="shared" si="506"/>
        <v>0</v>
      </c>
      <c r="AB538" s="167">
        <f t="shared" si="507"/>
        <v>0</v>
      </c>
      <c r="AC538" s="167">
        <f t="shared" si="508"/>
        <v>0</v>
      </c>
      <c r="AD538" s="167">
        <f t="shared" si="509"/>
        <v>0</v>
      </c>
      <c r="AF538" s="47">
        <f t="shared" si="510"/>
        <v>0</v>
      </c>
      <c r="AG538" s="202" t="str">
        <f t="shared" si="502"/>
        <v xml:space="preserve"> </v>
      </c>
      <c r="AH538" s="150"/>
      <c r="AI538" s="151"/>
      <c r="AJ538" s="151"/>
      <c r="AK538" s="151"/>
      <c r="AL538" s="151"/>
      <c r="AM538" s="151"/>
      <c r="AN538" s="151"/>
      <c r="AO538" s="151"/>
      <c r="AP538" s="151"/>
      <c r="AQ538" s="151"/>
      <c r="AR538" s="151"/>
      <c r="AS538" s="151"/>
      <c r="AT538" s="151"/>
      <c r="AU538" s="151"/>
      <c r="AV538" s="151"/>
      <c r="AW538" s="151"/>
      <c r="AX538" s="151"/>
      <c r="AY538" s="151"/>
      <c r="AZ538" s="151"/>
      <c r="BA538" s="151"/>
      <c r="BB538" s="151"/>
      <c r="BC538" s="151"/>
      <c r="BD538" s="151"/>
      <c r="BE538" s="151"/>
      <c r="BF538" s="151"/>
      <c r="BG538" s="151"/>
      <c r="BH538" s="151"/>
      <c r="BI538" s="151"/>
      <c r="BJ538" s="151"/>
      <c r="BK538" s="151"/>
      <c r="BL538" s="151"/>
      <c r="BM538" s="151"/>
      <c r="BN538" s="151"/>
      <c r="BO538" s="151"/>
      <c r="BP538" s="151"/>
      <c r="BQ538" s="151"/>
      <c r="BR538" s="151"/>
      <c r="BS538" s="151"/>
      <c r="BT538" s="151"/>
      <c r="BU538" s="151"/>
      <c r="BV538" s="151"/>
      <c r="BW538" s="151"/>
      <c r="BX538" s="151"/>
      <c r="BY538" s="151"/>
      <c r="BZ538" s="151"/>
      <c r="CA538" s="151"/>
      <c r="CB538" s="151"/>
      <c r="CC538" s="151"/>
      <c r="CD538" s="151"/>
      <c r="CE538" s="151"/>
      <c r="CF538" s="151"/>
      <c r="CG538" s="151"/>
      <c r="CH538" s="151"/>
      <c r="CI538" s="151"/>
      <c r="CJ538" s="151"/>
      <c r="CK538" s="151"/>
      <c r="CL538" s="151"/>
      <c r="CM538" s="151"/>
      <c r="CN538" s="151"/>
      <c r="CO538" s="151"/>
      <c r="CP538" s="151"/>
      <c r="CQ538" s="151"/>
      <c r="CR538" s="151"/>
      <c r="CS538" s="151"/>
      <c r="CT538" s="151"/>
      <c r="CU538" s="151"/>
      <c r="CV538" s="151"/>
      <c r="CW538" s="151"/>
      <c r="CX538" s="151"/>
      <c r="CY538" s="151"/>
      <c r="CZ538" s="151"/>
      <c r="DA538" s="151"/>
      <c r="DB538" s="151"/>
      <c r="DC538" s="151"/>
      <c r="DD538" s="151"/>
      <c r="DE538" s="151"/>
      <c r="DF538" s="151"/>
      <c r="DG538" s="151"/>
      <c r="DH538" s="151"/>
      <c r="DI538" s="151"/>
      <c r="DJ538" s="151"/>
      <c r="DK538" s="151"/>
      <c r="DL538" s="151"/>
      <c r="DM538" s="151"/>
      <c r="DN538" s="151"/>
      <c r="DO538" s="151"/>
      <c r="DP538" s="151"/>
      <c r="DQ538" s="151"/>
      <c r="DR538" s="151"/>
      <c r="DS538" s="151"/>
      <c r="DT538" s="151"/>
      <c r="DU538" s="151"/>
      <c r="DV538" s="151"/>
      <c r="DW538" s="151"/>
      <c r="DX538" s="151"/>
      <c r="DY538" s="151"/>
      <c r="DZ538" s="151"/>
      <c r="EA538" s="151"/>
      <c r="EB538" s="151"/>
      <c r="EC538" s="151"/>
      <c r="ED538" s="151"/>
      <c r="EE538" s="151"/>
      <c r="EF538" s="151"/>
      <c r="EG538" s="151"/>
      <c r="EH538" s="151"/>
      <c r="EI538" s="151"/>
      <c r="EJ538" s="151"/>
      <c r="EK538" s="151"/>
      <c r="EL538" s="151"/>
      <c r="EM538" s="151"/>
      <c r="EN538" s="151"/>
      <c r="EO538" s="151"/>
      <c r="EP538" s="151"/>
      <c r="EQ538" s="151"/>
      <c r="ER538" s="151"/>
      <c r="ES538" s="151"/>
      <c r="ET538" s="151"/>
      <c r="EU538" s="151"/>
      <c r="EV538" s="151"/>
      <c r="EW538" s="151"/>
      <c r="EX538" s="151"/>
      <c r="EY538" s="151"/>
      <c r="EZ538" s="151"/>
      <c r="FA538" s="151"/>
      <c r="FB538" s="151"/>
      <c r="FC538" s="151"/>
      <c r="FD538" s="151"/>
      <c r="FE538" s="151"/>
      <c r="FF538" s="151"/>
      <c r="FG538" s="151"/>
      <c r="FH538" s="151"/>
      <c r="FI538" s="151"/>
      <c r="FJ538" s="151"/>
      <c r="FK538" s="151"/>
      <c r="FL538" s="151"/>
      <c r="FM538" s="151"/>
      <c r="FN538" s="151"/>
      <c r="FO538" s="151"/>
      <c r="FP538" s="151"/>
      <c r="FQ538" s="151"/>
      <c r="FR538" s="151"/>
      <c r="FS538" s="151"/>
      <c r="FT538" s="151"/>
      <c r="FU538" s="151"/>
      <c r="FV538" s="151"/>
      <c r="FW538" s="151"/>
      <c r="FX538" s="151"/>
      <c r="FY538" s="151"/>
      <c r="FZ538" s="151"/>
      <c r="GA538" s="151"/>
      <c r="GB538" s="151"/>
      <c r="GC538" s="151"/>
      <c r="GD538" s="151"/>
      <c r="GE538" s="151"/>
      <c r="GF538" s="151"/>
      <c r="GG538" s="152"/>
    </row>
    <row r="539" spans="1:189" x14ac:dyDescent="0.35">
      <c r="A539" s="268"/>
      <c r="B539" s="221"/>
      <c r="C539" s="221"/>
      <c r="D539" s="222"/>
      <c r="E539" s="221"/>
      <c r="F539" s="221"/>
      <c r="G539" s="223"/>
      <c r="H539" s="224"/>
      <c r="I539" s="225"/>
      <c r="J539" s="225"/>
      <c r="K539" s="225"/>
      <c r="L539" s="226"/>
      <c r="M539" s="226"/>
      <c r="N539" s="226"/>
      <c r="O539" s="226"/>
      <c r="P539" s="226"/>
      <c r="Q539" s="227"/>
      <c r="R539" s="228"/>
      <c r="S539" s="228"/>
      <c r="T539" s="228"/>
      <c r="U539" s="191">
        <f t="shared" si="503"/>
        <v>0</v>
      </c>
      <c r="V539" s="86"/>
      <c r="W539" s="45"/>
      <c r="X539" s="46"/>
      <c r="Y539" s="167">
        <f t="shared" si="504"/>
        <v>0</v>
      </c>
      <c r="Z539" s="167">
        <f t="shared" si="505"/>
        <v>0</v>
      </c>
      <c r="AA539" s="167">
        <f t="shared" si="506"/>
        <v>0</v>
      </c>
      <c r="AB539" s="167">
        <f t="shared" si="507"/>
        <v>0</v>
      </c>
      <c r="AC539" s="167">
        <f t="shared" si="508"/>
        <v>0</v>
      </c>
      <c r="AD539" s="167">
        <f t="shared" si="509"/>
        <v>0</v>
      </c>
      <c r="AF539" s="47">
        <f t="shared" si="510"/>
        <v>0</v>
      </c>
      <c r="AG539" s="202" t="str">
        <f t="shared" si="502"/>
        <v xml:space="preserve"> </v>
      </c>
      <c r="AH539" s="147"/>
      <c r="AI539" s="148"/>
      <c r="AJ539" s="148"/>
      <c r="AK539" s="148"/>
      <c r="AL539" s="148"/>
      <c r="AM539" s="148"/>
      <c r="AN539" s="148"/>
      <c r="AO539" s="148"/>
      <c r="AP539" s="148"/>
      <c r="AQ539" s="148"/>
      <c r="AR539" s="148"/>
      <c r="AS539" s="148"/>
      <c r="AT539" s="148"/>
      <c r="AU539" s="148"/>
      <c r="AV539" s="148"/>
      <c r="AW539" s="148"/>
      <c r="AX539" s="148"/>
      <c r="AY539" s="148"/>
      <c r="AZ539" s="148"/>
      <c r="BA539" s="148"/>
      <c r="BB539" s="148"/>
      <c r="BC539" s="148"/>
      <c r="BD539" s="148"/>
      <c r="BE539" s="148"/>
      <c r="BF539" s="148"/>
      <c r="BG539" s="148"/>
      <c r="BH539" s="148"/>
      <c r="BI539" s="148"/>
      <c r="BJ539" s="148"/>
      <c r="BK539" s="148"/>
      <c r="BL539" s="148"/>
      <c r="BM539" s="148"/>
      <c r="BN539" s="148"/>
      <c r="BO539" s="148"/>
      <c r="BP539" s="148"/>
      <c r="BQ539" s="148"/>
      <c r="BR539" s="148"/>
      <c r="BS539" s="148"/>
      <c r="BT539" s="148"/>
      <c r="BU539" s="148"/>
      <c r="BV539" s="148"/>
      <c r="BW539" s="148"/>
      <c r="BX539" s="148"/>
      <c r="BY539" s="148"/>
      <c r="BZ539" s="148"/>
      <c r="CA539" s="148"/>
      <c r="CB539" s="148"/>
      <c r="CC539" s="148"/>
      <c r="CD539" s="148"/>
      <c r="CE539" s="148"/>
      <c r="CF539" s="148"/>
      <c r="CG539" s="148"/>
      <c r="CH539" s="148"/>
      <c r="CI539" s="148"/>
      <c r="CJ539" s="148"/>
      <c r="CK539" s="148"/>
      <c r="CL539" s="148"/>
      <c r="CM539" s="148"/>
      <c r="CN539" s="148"/>
      <c r="CO539" s="148"/>
      <c r="CP539" s="148"/>
      <c r="CQ539" s="148"/>
      <c r="CR539" s="148"/>
      <c r="CS539" s="148"/>
      <c r="CT539" s="148"/>
      <c r="CU539" s="148"/>
      <c r="CV539" s="148"/>
      <c r="CW539" s="148"/>
      <c r="CX539" s="148"/>
      <c r="CY539" s="148"/>
      <c r="CZ539" s="148"/>
      <c r="DA539" s="148"/>
      <c r="DB539" s="148"/>
      <c r="DC539" s="148"/>
      <c r="DD539" s="148"/>
      <c r="DE539" s="148"/>
      <c r="DF539" s="148"/>
      <c r="DG539" s="148"/>
      <c r="DH539" s="148"/>
      <c r="DI539" s="148"/>
      <c r="DJ539" s="148"/>
      <c r="DK539" s="148"/>
      <c r="DL539" s="148"/>
      <c r="DM539" s="148"/>
      <c r="DN539" s="148"/>
      <c r="DO539" s="148"/>
      <c r="DP539" s="148"/>
      <c r="DQ539" s="148"/>
      <c r="DR539" s="148"/>
      <c r="DS539" s="148"/>
      <c r="DT539" s="148"/>
      <c r="DU539" s="148"/>
      <c r="DV539" s="148"/>
      <c r="DW539" s="148"/>
      <c r="DX539" s="148"/>
      <c r="DY539" s="148"/>
      <c r="DZ539" s="148"/>
      <c r="EA539" s="148"/>
      <c r="EB539" s="148"/>
      <c r="EC539" s="148"/>
      <c r="ED539" s="148"/>
      <c r="EE539" s="148"/>
      <c r="EF539" s="148"/>
      <c r="EG539" s="148"/>
      <c r="EH539" s="148"/>
      <c r="EI539" s="148"/>
      <c r="EJ539" s="148"/>
      <c r="EK539" s="148"/>
      <c r="EL539" s="148"/>
      <c r="EM539" s="148"/>
      <c r="EN539" s="148"/>
      <c r="EO539" s="148"/>
      <c r="EP539" s="148"/>
      <c r="EQ539" s="148"/>
      <c r="ER539" s="148"/>
      <c r="ES539" s="148"/>
      <c r="ET539" s="148"/>
      <c r="EU539" s="148"/>
      <c r="EV539" s="148"/>
      <c r="EW539" s="148"/>
      <c r="EX539" s="148"/>
      <c r="EY539" s="148"/>
      <c r="EZ539" s="148"/>
      <c r="FA539" s="148"/>
      <c r="FB539" s="148"/>
      <c r="FC539" s="148"/>
      <c r="FD539" s="148"/>
      <c r="FE539" s="148"/>
      <c r="FF539" s="148"/>
      <c r="FG539" s="148"/>
      <c r="FH539" s="148"/>
      <c r="FI539" s="148"/>
      <c r="FJ539" s="148"/>
      <c r="FK539" s="148"/>
      <c r="FL539" s="148"/>
      <c r="FM539" s="148"/>
      <c r="FN539" s="148"/>
      <c r="FO539" s="148"/>
      <c r="FP539" s="148"/>
      <c r="FQ539" s="148"/>
      <c r="FR539" s="148"/>
      <c r="FS539" s="148"/>
      <c r="FT539" s="148"/>
      <c r="FU539" s="148"/>
      <c r="FV539" s="148"/>
      <c r="FW539" s="148"/>
      <c r="FX539" s="148"/>
      <c r="FY539" s="148"/>
      <c r="FZ539" s="148"/>
      <c r="GA539" s="148"/>
      <c r="GB539" s="148"/>
      <c r="GC539" s="148"/>
      <c r="GD539" s="148"/>
      <c r="GE539" s="148"/>
      <c r="GF539" s="148"/>
      <c r="GG539" s="149"/>
    </row>
    <row r="540" spans="1:189" x14ac:dyDescent="0.35">
      <c r="A540" s="268"/>
      <c r="B540" s="221"/>
      <c r="C540" s="221"/>
      <c r="D540" s="222"/>
      <c r="E540" s="221"/>
      <c r="F540" s="221"/>
      <c r="G540" s="223"/>
      <c r="H540" s="224"/>
      <c r="I540" s="225"/>
      <c r="J540" s="225"/>
      <c r="K540" s="225"/>
      <c r="L540" s="226"/>
      <c r="M540" s="226"/>
      <c r="N540" s="226"/>
      <c r="O540" s="226"/>
      <c r="P540" s="226"/>
      <c r="Q540" s="227"/>
      <c r="R540" s="228"/>
      <c r="S540" s="228"/>
      <c r="T540" s="228"/>
      <c r="U540" s="191">
        <f t="shared" si="503"/>
        <v>0</v>
      </c>
      <c r="V540" s="86"/>
      <c r="W540" s="45"/>
      <c r="X540" s="46"/>
      <c r="Y540" s="167">
        <f t="shared" si="504"/>
        <v>0</v>
      </c>
      <c r="Z540" s="167">
        <f t="shared" si="505"/>
        <v>0</v>
      </c>
      <c r="AA540" s="167">
        <f t="shared" si="506"/>
        <v>0</v>
      </c>
      <c r="AB540" s="167">
        <f t="shared" si="507"/>
        <v>0</v>
      </c>
      <c r="AC540" s="167">
        <f t="shared" si="508"/>
        <v>0</v>
      </c>
      <c r="AD540" s="167">
        <f t="shared" si="509"/>
        <v>0</v>
      </c>
      <c r="AF540" s="47">
        <f t="shared" si="510"/>
        <v>0</v>
      </c>
      <c r="AG540" s="202" t="str">
        <f t="shared" si="502"/>
        <v xml:space="preserve"> </v>
      </c>
      <c r="AH540" s="150"/>
      <c r="AI540" s="151"/>
      <c r="AJ540" s="151"/>
      <c r="AK540" s="151"/>
      <c r="AL540" s="151"/>
      <c r="AM540" s="151"/>
      <c r="AN540" s="151"/>
      <c r="AO540" s="151"/>
      <c r="AP540" s="151"/>
      <c r="AQ540" s="151"/>
      <c r="AR540" s="151"/>
      <c r="AS540" s="151"/>
      <c r="AT540" s="151"/>
      <c r="AU540" s="151"/>
      <c r="AV540" s="151"/>
      <c r="AW540" s="151"/>
      <c r="AX540" s="151"/>
      <c r="AY540" s="151"/>
      <c r="AZ540" s="151"/>
      <c r="BA540" s="151"/>
      <c r="BB540" s="151"/>
      <c r="BC540" s="151"/>
      <c r="BD540" s="151"/>
      <c r="BE540" s="151"/>
      <c r="BF540" s="151"/>
      <c r="BG540" s="151"/>
      <c r="BH540" s="151"/>
      <c r="BI540" s="151"/>
      <c r="BJ540" s="151"/>
      <c r="BK540" s="151"/>
      <c r="BL540" s="151"/>
      <c r="BM540" s="151"/>
      <c r="BN540" s="151"/>
      <c r="BO540" s="151"/>
      <c r="BP540" s="151"/>
      <c r="BQ540" s="151"/>
      <c r="BR540" s="151"/>
      <c r="BS540" s="151"/>
      <c r="BT540" s="151"/>
      <c r="BU540" s="151"/>
      <c r="BV540" s="151"/>
      <c r="BW540" s="151"/>
      <c r="BX540" s="151"/>
      <c r="BY540" s="151"/>
      <c r="BZ540" s="151"/>
      <c r="CA540" s="151"/>
      <c r="CB540" s="151"/>
      <c r="CC540" s="151"/>
      <c r="CD540" s="151"/>
      <c r="CE540" s="151"/>
      <c r="CF540" s="151"/>
      <c r="CG540" s="151"/>
      <c r="CH540" s="151"/>
      <c r="CI540" s="151"/>
      <c r="CJ540" s="151"/>
      <c r="CK540" s="151"/>
      <c r="CL540" s="151"/>
      <c r="CM540" s="151"/>
      <c r="CN540" s="151"/>
      <c r="CO540" s="151"/>
      <c r="CP540" s="151"/>
      <c r="CQ540" s="151"/>
      <c r="CR540" s="151"/>
      <c r="CS540" s="151"/>
      <c r="CT540" s="151"/>
      <c r="CU540" s="151"/>
      <c r="CV540" s="151"/>
      <c r="CW540" s="151"/>
      <c r="CX540" s="151"/>
      <c r="CY540" s="151"/>
      <c r="CZ540" s="151"/>
      <c r="DA540" s="151"/>
      <c r="DB540" s="151"/>
      <c r="DC540" s="151"/>
      <c r="DD540" s="151"/>
      <c r="DE540" s="151"/>
      <c r="DF540" s="151"/>
      <c r="DG540" s="151"/>
      <c r="DH540" s="151"/>
      <c r="DI540" s="151"/>
      <c r="DJ540" s="151"/>
      <c r="DK540" s="151"/>
      <c r="DL540" s="151"/>
      <c r="DM540" s="151"/>
      <c r="DN540" s="151"/>
      <c r="DO540" s="151"/>
      <c r="DP540" s="151"/>
      <c r="DQ540" s="151"/>
      <c r="DR540" s="151"/>
      <c r="DS540" s="151"/>
      <c r="DT540" s="151"/>
      <c r="DU540" s="151"/>
      <c r="DV540" s="151"/>
      <c r="DW540" s="151"/>
      <c r="DX540" s="151"/>
      <c r="DY540" s="151"/>
      <c r="DZ540" s="151"/>
      <c r="EA540" s="151"/>
      <c r="EB540" s="151"/>
      <c r="EC540" s="151"/>
      <c r="ED540" s="151"/>
      <c r="EE540" s="151"/>
      <c r="EF540" s="151"/>
      <c r="EG540" s="151"/>
      <c r="EH540" s="151"/>
      <c r="EI540" s="151"/>
      <c r="EJ540" s="151"/>
      <c r="EK540" s="151"/>
      <c r="EL540" s="151"/>
      <c r="EM540" s="151"/>
      <c r="EN540" s="151"/>
      <c r="EO540" s="151"/>
      <c r="EP540" s="151"/>
      <c r="EQ540" s="151"/>
      <c r="ER540" s="151"/>
      <c r="ES540" s="151"/>
      <c r="ET540" s="151"/>
      <c r="EU540" s="151"/>
      <c r="EV540" s="151"/>
      <c r="EW540" s="151"/>
      <c r="EX540" s="151"/>
      <c r="EY540" s="151"/>
      <c r="EZ540" s="151"/>
      <c r="FA540" s="151"/>
      <c r="FB540" s="151"/>
      <c r="FC540" s="151"/>
      <c r="FD540" s="151"/>
      <c r="FE540" s="151"/>
      <c r="FF540" s="151"/>
      <c r="FG540" s="151"/>
      <c r="FH540" s="151"/>
      <c r="FI540" s="151"/>
      <c r="FJ540" s="151"/>
      <c r="FK540" s="151"/>
      <c r="FL540" s="151"/>
      <c r="FM540" s="151"/>
      <c r="FN540" s="151"/>
      <c r="FO540" s="151"/>
      <c r="FP540" s="151"/>
      <c r="FQ540" s="151"/>
      <c r="FR540" s="151"/>
      <c r="FS540" s="151"/>
      <c r="FT540" s="151"/>
      <c r="FU540" s="151"/>
      <c r="FV540" s="151"/>
      <c r="FW540" s="151"/>
      <c r="FX540" s="151"/>
      <c r="FY540" s="151"/>
      <c r="FZ540" s="151"/>
      <c r="GA540" s="151"/>
      <c r="GB540" s="151"/>
      <c r="GC540" s="151"/>
      <c r="GD540" s="151"/>
      <c r="GE540" s="151"/>
      <c r="GF540" s="151"/>
      <c r="GG540" s="152"/>
    </row>
    <row r="541" spans="1:189" x14ac:dyDescent="0.35">
      <c r="A541" s="268"/>
      <c r="B541" s="221"/>
      <c r="C541" s="221"/>
      <c r="D541" s="222"/>
      <c r="E541" s="221"/>
      <c r="F541" s="221"/>
      <c r="G541" s="223"/>
      <c r="H541" s="224"/>
      <c r="I541" s="225"/>
      <c r="J541" s="225"/>
      <c r="K541" s="225"/>
      <c r="L541" s="226"/>
      <c r="M541" s="226"/>
      <c r="N541" s="226"/>
      <c r="O541" s="226"/>
      <c r="P541" s="226"/>
      <c r="Q541" s="227"/>
      <c r="R541" s="228"/>
      <c r="S541" s="228"/>
      <c r="T541" s="228"/>
      <c r="U541" s="191">
        <f t="shared" si="503"/>
        <v>0</v>
      </c>
      <c r="V541" s="86"/>
      <c r="W541" s="45"/>
      <c r="X541" s="46"/>
      <c r="Y541" s="167">
        <f t="shared" si="504"/>
        <v>0</v>
      </c>
      <c r="Z541" s="167">
        <f t="shared" si="505"/>
        <v>0</v>
      </c>
      <c r="AA541" s="167">
        <f t="shared" si="506"/>
        <v>0</v>
      </c>
      <c r="AB541" s="167">
        <f t="shared" si="507"/>
        <v>0</v>
      </c>
      <c r="AC541" s="167">
        <f t="shared" si="508"/>
        <v>0</v>
      </c>
      <c r="AD541" s="167">
        <f t="shared" si="509"/>
        <v>0</v>
      </c>
      <c r="AF541" s="47">
        <f t="shared" si="510"/>
        <v>0</v>
      </c>
      <c r="AG541" s="202" t="str">
        <f t="shared" si="502"/>
        <v xml:space="preserve"> </v>
      </c>
      <c r="AH541" s="150"/>
      <c r="AI541" s="151"/>
      <c r="AJ541" s="151"/>
      <c r="AK541" s="151"/>
      <c r="AL541" s="151"/>
      <c r="AM541" s="151"/>
      <c r="AN541" s="151"/>
      <c r="AO541" s="151"/>
      <c r="AP541" s="151"/>
      <c r="AQ541" s="151"/>
      <c r="AR541" s="151"/>
      <c r="AS541" s="151"/>
      <c r="AT541" s="151"/>
      <c r="AU541" s="151"/>
      <c r="AV541" s="151"/>
      <c r="AW541" s="151"/>
      <c r="AX541" s="151"/>
      <c r="AY541" s="151"/>
      <c r="AZ541" s="151"/>
      <c r="BA541" s="151"/>
      <c r="BB541" s="151"/>
      <c r="BC541" s="151"/>
      <c r="BD541" s="151"/>
      <c r="BE541" s="151"/>
      <c r="BF541" s="151"/>
      <c r="BG541" s="151"/>
      <c r="BH541" s="151"/>
      <c r="BI541" s="151"/>
      <c r="BJ541" s="151"/>
      <c r="BK541" s="151"/>
      <c r="BL541" s="151"/>
      <c r="BM541" s="151"/>
      <c r="BN541" s="151"/>
      <c r="BO541" s="151"/>
      <c r="BP541" s="151"/>
      <c r="BQ541" s="151"/>
      <c r="BR541" s="151"/>
      <c r="BS541" s="151"/>
      <c r="BT541" s="151"/>
      <c r="BU541" s="151"/>
      <c r="BV541" s="151"/>
      <c r="BW541" s="151"/>
      <c r="BX541" s="151"/>
      <c r="BY541" s="151"/>
      <c r="BZ541" s="151"/>
      <c r="CA541" s="151"/>
      <c r="CB541" s="151"/>
      <c r="CC541" s="151"/>
      <c r="CD541" s="151"/>
      <c r="CE541" s="151"/>
      <c r="CF541" s="151"/>
      <c r="CG541" s="151"/>
      <c r="CH541" s="151"/>
      <c r="CI541" s="151"/>
      <c r="CJ541" s="151"/>
      <c r="CK541" s="151"/>
      <c r="CL541" s="151"/>
      <c r="CM541" s="151"/>
      <c r="CN541" s="151"/>
      <c r="CO541" s="151"/>
      <c r="CP541" s="151"/>
      <c r="CQ541" s="151"/>
      <c r="CR541" s="151"/>
      <c r="CS541" s="151"/>
      <c r="CT541" s="151"/>
      <c r="CU541" s="151"/>
      <c r="CV541" s="151"/>
      <c r="CW541" s="151"/>
      <c r="CX541" s="151"/>
      <c r="CY541" s="151"/>
      <c r="CZ541" s="151"/>
      <c r="DA541" s="151"/>
      <c r="DB541" s="151"/>
      <c r="DC541" s="151"/>
      <c r="DD541" s="151"/>
      <c r="DE541" s="151"/>
      <c r="DF541" s="151"/>
      <c r="DG541" s="151"/>
      <c r="DH541" s="151"/>
      <c r="DI541" s="151"/>
      <c r="DJ541" s="151"/>
      <c r="DK541" s="151"/>
      <c r="DL541" s="151"/>
      <c r="DM541" s="151"/>
      <c r="DN541" s="151"/>
      <c r="DO541" s="151"/>
      <c r="DP541" s="151"/>
      <c r="DQ541" s="151"/>
      <c r="DR541" s="151"/>
      <c r="DS541" s="151"/>
      <c r="DT541" s="151"/>
      <c r="DU541" s="151"/>
      <c r="DV541" s="151"/>
      <c r="DW541" s="151"/>
      <c r="DX541" s="151"/>
      <c r="DY541" s="151"/>
      <c r="DZ541" s="151"/>
      <c r="EA541" s="151"/>
      <c r="EB541" s="151"/>
      <c r="EC541" s="151"/>
      <c r="ED541" s="151"/>
      <c r="EE541" s="151"/>
      <c r="EF541" s="151"/>
      <c r="EG541" s="151"/>
      <c r="EH541" s="151"/>
      <c r="EI541" s="151"/>
      <c r="EJ541" s="151"/>
      <c r="EK541" s="151"/>
      <c r="EL541" s="151"/>
      <c r="EM541" s="151"/>
      <c r="EN541" s="151"/>
      <c r="EO541" s="151"/>
      <c r="EP541" s="151"/>
      <c r="EQ541" s="151"/>
      <c r="ER541" s="151"/>
      <c r="ES541" s="151"/>
      <c r="ET541" s="151"/>
      <c r="EU541" s="151"/>
      <c r="EV541" s="151"/>
      <c r="EW541" s="151"/>
      <c r="EX541" s="151"/>
      <c r="EY541" s="151"/>
      <c r="EZ541" s="151"/>
      <c r="FA541" s="151"/>
      <c r="FB541" s="151"/>
      <c r="FC541" s="151"/>
      <c r="FD541" s="151"/>
      <c r="FE541" s="151"/>
      <c r="FF541" s="151"/>
      <c r="FG541" s="151"/>
      <c r="FH541" s="151"/>
      <c r="FI541" s="151"/>
      <c r="FJ541" s="151"/>
      <c r="FK541" s="151"/>
      <c r="FL541" s="151"/>
      <c r="FM541" s="151"/>
      <c r="FN541" s="151"/>
      <c r="FO541" s="151"/>
      <c r="FP541" s="151"/>
      <c r="FQ541" s="151"/>
      <c r="FR541" s="151"/>
      <c r="FS541" s="151"/>
      <c r="FT541" s="151"/>
      <c r="FU541" s="151"/>
      <c r="FV541" s="151"/>
      <c r="FW541" s="151"/>
      <c r="FX541" s="151"/>
      <c r="FY541" s="151"/>
      <c r="FZ541" s="151"/>
      <c r="GA541" s="151"/>
      <c r="GB541" s="151"/>
      <c r="GC541" s="151"/>
      <c r="GD541" s="151"/>
      <c r="GE541" s="151"/>
      <c r="GF541" s="151"/>
      <c r="GG541" s="152"/>
    </row>
    <row r="542" spans="1:189" x14ac:dyDescent="0.35">
      <c r="A542" s="268"/>
      <c r="B542" s="221"/>
      <c r="C542" s="221"/>
      <c r="D542" s="222"/>
      <c r="E542" s="221"/>
      <c r="F542" s="221"/>
      <c r="G542" s="223"/>
      <c r="H542" s="224"/>
      <c r="I542" s="225"/>
      <c r="J542" s="225"/>
      <c r="K542" s="225"/>
      <c r="L542" s="226"/>
      <c r="M542" s="226"/>
      <c r="N542" s="226"/>
      <c r="O542" s="226"/>
      <c r="P542" s="226"/>
      <c r="Q542" s="227"/>
      <c r="R542" s="228"/>
      <c r="S542" s="228"/>
      <c r="T542" s="228"/>
      <c r="U542" s="191">
        <f t="shared" si="503"/>
        <v>0</v>
      </c>
      <c r="V542" s="86"/>
      <c r="W542" s="45"/>
      <c r="X542" s="46"/>
      <c r="Y542" s="167">
        <f t="shared" si="504"/>
        <v>0</v>
      </c>
      <c r="Z542" s="167">
        <f t="shared" si="505"/>
        <v>0</v>
      </c>
      <c r="AA542" s="167">
        <f t="shared" si="506"/>
        <v>0</v>
      </c>
      <c r="AB542" s="167">
        <f t="shared" si="507"/>
        <v>0</v>
      </c>
      <c r="AC542" s="167">
        <f t="shared" si="508"/>
        <v>0</v>
      </c>
      <c r="AD542" s="167">
        <f t="shared" si="509"/>
        <v>0</v>
      </c>
      <c r="AF542" s="47">
        <f t="shared" si="510"/>
        <v>0</v>
      </c>
      <c r="AG542" s="202" t="str">
        <f t="shared" si="502"/>
        <v xml:space="preserve"> </v>
      </c>
      <c r="AH542" s="150"/>
      <c r="AI542" s="151"/>
      <c r="AJ542" s="151"/>
      <c r="AK542" s="151"/>
      <c r="AL542" s="151"/>
      <c r="AM542" s="151"/>
      <c r="AN542" s="151"/>
      <c r="AO542" s="151"/>
      <c r="AP542" s="151"/>
      <c r="AQ542" s="151"/>
      <c r="AR542" s="151"/>
      <c r="AS542" s="151"/>
      <c r="AT542" s="151"/>
      <c r="AU542" s="151"/>
      <c r="AV542" s="151"/>
      <c r="AW542" s="151"/>
      <c r="AX542" s="151"/>
      <c r="AY542" s="151"/>
      <c r="AZ542" s="151"/>
      <c r="BA542" s="151"/>
      <c r="BB542" s="151"/>
      <c r="BC542" s="151"/>
      <c r="BD542" s="151"/>
      <c r="BE542" s="151"/>
      <c r="BF542" s="151"/>
      <c r="BG542" s="151"/>
      <c r="BH542" s="151"/>
      <c r="BI542" s="151"/>
      <c r="BJ542" s="151"/>
      <c r="BK542" s="151"/>
      <c r="BL542" s="151"/>
      <c r="BM542" s="151"/>
      <c r="BN542" s="151"/>
      <c r="BO542" s="151"/>
      <c r="BP542" s="151"/>
      <c r="BQ542" s="151"/>
      <c r="BR542" s="151"/>
      <c r="BS542" s="151"/>
      <c r="BT542" s="151"/>
      <c r="BU542" s="151"/>
      <c r="BV542" s="151"/>
      <c r="BW542" s="151"/>
      <c r="BX542" s="151"/>
      <c r="BY542" s="151"/>
      <c r="BZ542" s="151"/>
      <c r="CA542" s="151"/>
      <c r="CB542" s="151"/>
      <c r="CC542" s="151"/>
      <c r="CD542" s="151"/>
      <c r="CE542" s="151"/>
      <c r="CF542" s="151"/>
      <c r="CG542" s="151"/>
      <c r="CH542" s="151"/>
      <c r="CI542" s="151"/>
      <c r="CJ542" s="151"/>
      <c r="CK542" s="151"/>
      <c r="CL542" s="151"/>
      <c r="CM542" s="151"/>
      <c r="CN542" s="151"/>
      <c r="CO542" s="151"/>
      <c r="CP542" s="151"/>
      <c r="CQ542" s="151"/>
      <c r="CR542" s="151"/>
      <c r="CS542" s="151"/>
      <c r="CT542" s="151"/>
      <c r="CU542" s="151"/>
      <c r="CV542" s="151"/>
      <c r="CW542" s="151"/>
      <c r="CX542" s="151"/>
      <c r="CY542" s="151"/>
      <c r="CZ542" s="151"/>
      <c r="DA542" s="151"/>
      <c r="DB542" s="151"/>
      <c r="DC542" s="151"/>
      <c r="DD542" s="151"/>
      <c r="DE542" s="151"/>
      <c r="DF542" s="151"/>
      <c r="DG542" s="151"/>
      <c r="DH542" s="151"/>
      <c r="DI542" s="151"/>
      <c r="DJ542" s="151"/>
      <c r="DK542" s="151"/>
      <c r="DL542" s="151"/>
      <c r="DM542" s="151"/>
      <c r="DN542" s="151"/>
      <c r="DO542" s="151"/>
      <c r="DP542" s="151"/>
      <c r="DQ542" s="151"/>
      <c r="DR542" s="151"/>
      <c r="DS542" s="151"/>
      <c r="DT542" s="151"/>
      <c r="DU542" s="151"/>
      <c r="DV542" s="151"/>
      <c r="DW542" s="151"/>
      <c r="DX542" s="151"/>
      <c r="DY542" s="151"/>
      <c r="DZ542" s="151"/>
      <c r="EA542" s="151"/>
      <c r="EB542" s="151"/>
      <c r="EC542" s="151"/>
      <c r="ED542" s="151"/>
      <c r="EE542" s="151"/>
      <c r="EF542" s="151"/>
      <c r="EG542" s="151"/>
      <c r="EH542" s="151"/>
      <c r="EI542" s="151"/>
      <c r="EJ542" s="151"/>
      <c r="EK542" s="151"/>
      <c r="EL542" s="151"/>
      <c r="EM542" s="151"/>
      <c r="EN542" s="151"/>
      <c r="EO542" s="151"/>
      <c r="EP542" s="151"/>
      <c r="EQ542" s="151"/>
      <c r="ER542" s="151"/>
      <c r="ES542" s="151"/>
      <c r="ET542" s="151"/>
      <c r="EU542" s="151"/>
      <c r="EV542" s="151"/>
      <c r="EW542" s="151"/>
      <c r="EX542" s="151"/>
      <c r="EY542" s="151"/>
      <c r="EZ542" s="151"/>
      <c r="FA542" s="151"/>
      <c r="FB542" s="151"/>
      <c r="FC542" s="151"/>
      <c r="FD542" s="151"/>
      <c r="FE542" s="151"/>
      <c r="FF542" s="151"/>
      <c r="FG542" s="151"/>
      <c r="FH542" s="151"/>
      <c r="FI542" s="151"/>
      <c r="FJ542" s="151"/>
      <c r="FK542" s="151"/>
      <c r="FL542" s="151"/>
      <c r="FM542" s="151"/>
      <c r="FN542" s="151"/>
      <c r="FO542" s="151"/>
      <c r="FP542" s="151"/>
      <c r="FQ542" s="151"/>
      <c r="FR542" s="151"/>
      <c r="FS542" s="151"/>
      <c r="FT542" s="151"/>
      <c r="FU542" s="151"/>
      <c r="FV542" s="151"/>
      <c r="FW542" s="151"/>
      <c r="FX542" s="151"/>
      <c r="FY542" s="151"/>
      <c r="FZ542" s="151"/>
      <c r="GA542" s="151"/>
      <c r="GB542" s="151"/>
      <c r="GC542" s="151"/>
      <c r="GD542" s="151"/>
      <c r="GE542" s="151"/>
      <c r="GF542" s="151"/>
      <c r="GG542" s="152"/>
    </row>
    <row r="543" spans="1:189" x14ac:dyDescent="0.35">
      <c r="A543" s="268"/>
      <c r="B543" s="221"/>
      <c r="C543" s="221"/>
      <c r="D543" s="222"/>
      <c r="E543" s="221"/>
      <c r="F543" s="221"/>
      <c r="G543" s="223"/>
      <c r="H543" s="224"/>
      <c r="I543" s="225"/>
      <c r="J543" s="225"/>
      <c r="K543" s="225"/>
      <c r="L543" s="226"/>
      <c r="M543" s="226"/>
      <c r="N543" s="226"/>
      <c r="O543" s="226"/>
      <c r="P543" s="226"/>
      <c r="Q543" s="227"/>
      <c r="R543" s="228"/>
      <c r="S543" s="228"/>
      <c r="T543" s="228"/>
      <c r="U543" s="191">
        <f t="shared" si="503"/>
        <v>0</v>
      </c>
      <c r="V543" s="86"/>
      <c r="W543" s="45"/>
      <c r="X543" s="46"/>
      <c r="Y543" s="167">
        <f t="shared" si="504"/>
        <v>0</v>
      </c>
      <c r="Z543" s="167">
        <f t="shared" si="505"/>
        <v>0</v>
      </c>
      <c r="AA543" s="167">
        <f t="shared" si="506"/>
        <v>0</v>
      </c>
      <c r="AB543" s="167">
        <f t="shared" si="507"/>
        <v>0</v>
      </c>
      <c r="AC543" s="167">
        <f t="shared" si="508"/>
        <v>0</v>
      </c>
      <c r="AD543" s="167">
        <f t="shared" si="509"/>
        <v>0</v>
      </c>
      <c r="AF543" s="47">
        <f t="shared" si="510"/>
        <v>0</v>
      </c>
      <c r="AG543" s="202" t="str">
        <f t="shared" si="502"/>
        <v xml:space="preserve"> </v>
      </c>
      <c r="AH543" s="147"/>
      <c r="AI543" s="148"/>
      <c r="AJ543" s="148"/>
      <c r="AK543" s="148"/>
      <c r="AL543" s="148"/>
      <c r="AM543" s="148"/>
      <c r="AN543" s="148"/>
      <c r="AO543" s="148"/>
      <c r="AP543" s="148"/>
      <c r="AQ543" s="148"/>
      <c r="AR543" s="148"/>
      <c r="AS543" s="148"/>
      <c r="AT543" s="148"/>
      <c r="AU543" s="148"/>
      <c r="AV543" s="148"/>
      <c r="AW543" s="148"/>
      <c r="AX543" s="148"/>
      <c r="AY543" s="148"/>
      <c r="AZ543" s="148"/>
      <c r="BA543" s="148"/>
      <c r="BB543" s="148"/>
      <c r="BC543" s="148"/>
      <c r="BD543" s="148"/>
      <c r="BE543" s="148"/>
      <c r="BF543" s="148"/>
      <c r="BG543" s="148"/>
      <c r="BH543" s="148"/>
      <c r="BI543" s="148"/>
      <c r="BJ543" s="148"/>
      <c r="BK543" s="148"/>
      <c r="BL543" s="148"/>
      <c r="BM543" s="148"/>
      <c r="BN543" s="148"/>
      <c r="BO543" s="148"/>
      <c r="BP543" s="148"/>
      <c r="BQ543" s="148"/>
      <c r="BR543" s="148"/>
      <c r="BS543" s="148"/>
      <c r="BT543" s="148"/>
      <c r="BU543" s="148"/>
      <c r="BV543" s="148"/>
      <c r="BW543" s="148"/>
      <c r="BX543" s="148"/>
      <c r="BY543" s="148"/>
      <c r="BZ543" s="148"/>
      <c r="CA543" s="148"/>
      <c r="CB543" s="148"/>
      <c r="CC543" s="148"/>
      <c r="CD543" s="148"/>
      <c r="CE543" s="148"/>
      <c r="CF543" s="148"/>
      <c r="CG543" s="148"/>
      <c r="CH543" s="148"/>
      <c r="CI543" s="148"/>
      <c r="CJ543" s="148"/>
      <c r="CK543" s="148"/>
      <c r="CL543" s="148"/>
      <c r="CM543" s="148"/>
      <c r="CN543" s="148"/>
      <c r="CO543" s="148"/>
      <c r="CP543" s="148"/>
      <c r="CQ543" s="148"/>
      <c r="CR543" s="148"/>
      <c r="CS543" s="148"/>
      <c r="CT543" s="148"/>
      <c r="CU543" s="148"/>
      <c r="CV543" s="148"/>
      <c r="CW543" s="148"/>
      <c r="CX543" s="148"/>
      <c r="CY543" s="148"/>
      <c r="CZ543" s="148"/>
      <c r="DA543" s="148"/>
      <c r="DB543" s="148"/>
      <c r="DC543" s="148"/>
      <c r="DD543" s="148"/>
      <c r="DE543" s="148"/>
      <c r="DF543" s="148"/>
      <c r="DG543" s="148"/>
      <c r="DH543" s="148"/>
      <c r="DI543" s="148"/>
      <c r="DJ543" s="148"/>
      <c r="DK543" s="148"/>
      <c r="DL543" s="148"/>
      <c r="DM543" s="148"/>
      <c r="DN543" s="148"/>
      <c r="DO543" s="148"/>
      <c r="DP543" s="148"/>
      <c r="DQ543" s="148"/>
      <c r="DR543" s="148"/>
      <c r="DS543" s="148"/>
      <c r="DT543" s="148"/>
      <c r="DU543" s="148"/>
      <c r="DV543" s="148"/>
      <c r="DW543" s="148"/>
      <c r="DX543" s="148"/>
      <c r="DY543" s="148"/>
      <c r="DZ543" s="148"/>
      <c r="EA543" s="148"/>
      <c r="EB543" s="148"/>
      <c r="EC543" s="148"/>
      <c r="ED543" s="148"/>
      <c r="EE543" s="148"/>
      <c r="EF543" s="148"/>
      <c r="EG543" s="148"/>
      <c r="EH543" s="148"/>
      <c r="EI543" s="148"/>
      <c r="EJ543" s="148"/>
      <c r="EK543" s="148"/>
      <c r="EL543" s="148"/>
      <c r="EM543" s="148"/>
      <c r="EN543" s="148"/>
      <c r="EO543" s="148"/>
      <c r="EP543" s="148"/>
      <c r="EQ543" s="148"/>
      <c r="ER543" s="148"/>
      <c r="ES543" s="148"/>
      <c r="ET543" s="148"/>
      <c r="EU543" s="148"/>
      <c r="EV543" s="148"/>
      <c r="EW543" s="148"/>
      <c r="EX543" s="148"/>
      <c r="EY543" s="148"/>
      <c r="EZ543" s="148"/>
      <c r="FA543" s="148"/>
      <c r="FB543" s="148"/>
      <c r="FC543" s="148"/>
      <c r="FD543" s="148"/>
      <c r="FE543" s="148"/>
      <c r="FF543" s="148"/>
      <c r="FG543" s="148"/>
      <c r="FH543" s="148"/>
      <c r="FI543" s="148"/>
      <c r="FJ543" s="148"/>
      <c r="FK543" s="148"/>
      <c r="FL543" s="148"/>
      <c r="FM543" s="148"/>
      <c r="FN543" s="148"/>
      <c r="FO543" s="148"/>
      <c r="FP543" s="148"/>
      <c r="FQ543" s="148"/>
      <c r="FR543" s="148"/>
      <c r="FS543" s="148"/>
      <c r="FT543" s="148"/>
      <c r="FU543" s="148"/>
      <c r="FV543" s="148"/>
      <c r="FW543" s="148"/>
      <c r="FX543" s="148"/>
      <c r="FY543" s="148"/>
      <c r="FZ543" s="148"/>
      <c r="GA543" s="148"/>
      <c r="GB543" s="148"/>
      <c r="GC543" s="148"/>
      <c r="GD543" s="148"/>
      <c r="GE543" s="148"/>
      <c r="GF543" s="148"/>
      <c r="GG543" s="149"/>
    </row>
    <row r="544" spans="1:189" x14ac:dyDescent="0.35">
      <c r="A544" s="268"/>
      <c r="B544" s="221"/>
      <c r="C544" s="221"/>
      <c r="D544" s="222"/>
      <c r="E544" s="221"/>
      <c r="F544" s="221"/>
      <c r="G544" s="223"/>
      <c r="H544" s="224"/>
      <c r="I544" s="225"/>
      <c r="J544" s="225"/>
      <c r="K544" s="225"/>
      <c r="L544" s="226"/>
      <c r="M544" s="226"/>
      <c r="N544" s="226"/>
      <c r="O544" s="226"/>
      <c r="P544" s="226"/>
      <c r="Q544" s="227"/>
      <c r="R544" s="228"/>
      <c r="S544" s="228"/>
      <c r="T544" s="228"/>
      <c r="U544" s="191">
        <f t="shared" si="503"/>
        <v>0</v>
      </c>
      <c r="V544" s="86"/>
      <c r="W544" s="45"/>
      <c r="X544" s="46"/>
      <c r="Y544" s="167">
        <f t="shared" si="504"/>
        <v>0</v>
      </c>
      <c r="Z544" s="167">
        <f t="shared" si="505"/>
        <v>0</v>
      </c>
      <c r="AA544" s="167">
        <f t="shared" si="506"/>
        <v>0</v>
      </c>
      <c r="AB544" s="167">
        <f t="shared" si="507"/>
        <v>0</v>
      </c>
      <c r="AC544" s="167">
        <f t="shared" si="508"/>
        <v>0</v>
      </c>
      <c r="AD544" s="167">
        <f t="shared" si="509"/>
        <v>0</v>
      </c>
      <c r="AF544" s="47">
        <f t="shared" si="510"/>
        <v>0</v>
      </c>
      <c r="AG544" s="202" t="str">
        <f t="shared" si="502"/>
        <v xml:space="preserve"> </v>
      </c>
      <c r="AH544" s="150"/>
      <c r="AI544" s="151"/>
      <c r="AJ544" s="151"/>
      <c r="AK544" s="151"/>
      <c r="AL544" s="151"/>
      <c r="AM544" s="151"/>
      <c r="AN544" s="151"/>
      <c r="AO544" s="151"/>
      <c r="AP544" s="151"/>
      <c r="AQ544" s="151"/>
      <c r="AR544" s="151"/>
      <c r="AS544" s="151"/>
      <c r="AT544" s="151"/>
      <c r="AU544" s="151"/>
      <c r="AV544" s="151"/>
      <c r="AW544" s="151"/>
      <c r="AX544" s="151"/>
      <c r="AY544" s="151"/>
      <c r="AZ544" s="151"/>
      <c r="BA544" s="151"/>
      <c r="BB544" s="151"/>
      <c r="BC544" s="151"/>
      <c r="BD544" s="151"/>
      <c r="BE544" s="151"/>
      <c r="BF544" s="151"/>
      <c r="BG544" s="151"/>
      <c r="BH544" s="151"/>
      <c r="BI544" s="151"/>
      <c r="BJ544" s="151"/>
      <c r="BK544" s="151"/>
      <c r="BL544" s="151"/>
      <c r="BM544" s="151"/>
      <c r="BN544" s="151"/>
      <c r="BO544" s="151"/>
      <c r="BP544" s="151"/>
      <c r="BQ544" s="151"/>
      <c r="BR544" s="151"/>
      <c r="BS544" s="151"/>
      <c r="BT544" s="151"/>
      <c r="BU544" s="151"/>
      <c r="BV544" s="151"/>
      <c r="BW544" s="151"/>
      <c r="BX544" s="151"/>
      <c r="BY544" s="151"/>
      <c r="BZ544" s="151"/>
      <c r="CA544" s="151"/>
      <c r="CB544" s="151"/>
      <c r="CC544" s="151"/>
      <c r="CD544" s="151"/>
      <c r="CE544" s="151"/>
      <c r="CF544" s="151"/>
      <c r="CG544" s="151"/>
      <c r="CH544" s="151"/>
      <c r="CI544" s="151"/>
      <c r="CJ544" s="151"/>
      <c r="CK544" s="151"/>
      <c r="CL544" s="151"/>
      <c r="CM544" s="151"/>
      <c r="CN544" s="151"/>
      <c r="CO544" s="151"/>
      <c r="CP544" s="151"/>
      <c r="CQ544" s="151"/>
      <c r="CR544" s="151"/>
      <c r="CS544" s="151"/>
      <c r="CT544" s="151"/>
      <c r="CU544" s="151"/>
      <c r="CV544" s="151"/>
      <c r="CW544" s="151"/>
      <c r="CX544" s="151"/>
      <c r="CY544" s="151"/>
      <c r="CZ544" s="151"/>
      <c r="DA544" s="151"/>
      <c r="DB544" s="151"/>
      <c r="DC544" s="151"/>
      <c r="DD544" s="151"/>
      <c r="DE544" s="151"/>
      <c r="DF544" s="151"/>
      <c r="DG544" s="151"/>
      <c r="DH544" s="151"/>
      <c r="DI544" s="151"/>
      <c r="DJ544" s="151"/>
      <c r="DK544" s="151"/>
      <c r="DL544" s="151"/>
      <c r="DM544" s="151"/>
      <c r="DN544" s="151"/>
      <c r="DO544" s="151"/>
      <c r="DP544" s="151"/>
      <c r="DQ544" s="151"/>
      <c r="DR544" s="151"/>
      <c r="DS544" s="151"/>
      <c r="DT544" s="151"/>
      <c r="DU544" s="151"/>
      <c r="DV544" s="151"/>
      <c r="DW544" s="151"/>
      <c r="DX544" s="151"/>
      <c r="DY544" s="151"/>
      <c r="DZ544" s="151"/>
      <c r="EA544" s="151"/>
      <c r="EB544" s="151"/>
      <c r="EC544" s="151"/>
      <c r="ED544" s="151"/>
      <c r="EE544" s="151"/>
      <c r="EF544" s="151"/>
      <c r="EG544" s="151"/>
      <c r="EH544" s="151"/>
      <c r="EI544" s="151"/>
      <c r="EJ544" s="151"/>
      <c r="EK544" s="151"/>
      <c r="EL544" s="151"/>
      <c r="EM544" s="151"/>
      <c r="EN544" s="151"/>
      <c r="EO544" s="151"/>
      <c r="EP544" s="151"/>
      <c r="EQ544" s="151"/>
      <c r="ER544" s="151"/>
      <c r="ES544" s="151"/>
      <c r="ET544" s="151"/>
      <c r="EU544" s="151"/>
      <c r="EV544" s="151"/>
      <c r="EW544" s="151"/>
      <c r="EX544" s="151"/>
      <c r="EY544" s="151"/>
      <c r="EZ544" s="151"/>
      <c r="FA544" s="151"/>
      <c r="FB544" s="151"/>
      <c r="FC544" s="151"/>
      <c r="FD544" s="151"/>
      <c r="FE544" s="151"/>
      <c r="FF544" s="151"/>
      <c r="FG544" s="151"/>
      <c r="FH544" s="151"/>
      <c r="FI544" s="151"/>
      <c r="FJ544" s="151"/>
      <c r="FK544" s="151"/>
      <c r="FL544" s="151"/>
      <c r="FM544" s="151"/>
      <c r="FN544" s="151"/>
      <c r="FO544" s="151"/>
      <c r="FP544" s="151"/>
      <c r="FQ544" s="151"/>
      <c r="FR544" s="151"/>
      <c r="FS544" s="151"/>
      <c r="FT544" s="151"/>
      <c r="FU544" s="151"/>
      <c r="FV544" s="151"/>
      <c r="FW544" s="151"/>
      <c r="FX544" s="151"/>
      <c r="FY544" s="151"/>
      <c r="FZ544" s="151"/>
      <c r="GA544" s="151"/>
      <c r="GB544" s="151"/>
      <c r="GC544" s="151"/>
      <c r="GD544" s="151"/>
      <c r="GE544" s="151"/>
      <c r="GF544" s="151"/>
      <c r="GG544" s="152"/>
    </row>
    <row r="545" spans="1:189" x14ac:dyDescent="0.35">
      <c r="A545" s="268"/>
      <c r="B545" s="221"/>
      <c r="C545" s="221"/>
      <c r="D545" s="222"/>
      <c r="E545" s="221"/>
      <c r="F545" s="221"/>
      <c r="G545" s="223"/>
      <c r="H545" s="224"/>
      <c r="I545" s="225"/>
      <c r="J545" s="225"/>
      <c r="K545" s="225"/>
      <c r="L545" s="226"/>
      <c r="M545" s="226"/>
      <c r="N545" s="226"/>
      <c r="O545" s="226"/>
      <c r="P545" s="226"/>
      <c r="Q545" s="227"/>
      <c r="R545" s="228"/>
      <c r="S545" s="228"/>
      <c r="T545" s="228"/>
      <c r="U545" s="191">
        <f t="shared" si="503"/>
        <v>0</v>
      </c>
      <c r="V545" s="86"/>
      <c r="W545" s="45"/>
      <c r="X545" s="46"/>
      <c r="Y545" s="167">
        <f t="shared" si="504"/>
        <v>0</v>
      </c>
      <c r="Z545" s="167">
        <f t="shared" si="505"/>
        <v>0</v>
      </c>
      <c r="AA545" s="167">
        <f t="shared" si="506"/>
        <v>0</v>
      </c>
      <c r="AB545" s="167">
        <f t="shared" si="507"/>
        <v>0</v>
      </c>
      <c r="AC545" s="167">
        <f t="shared" si="508"/>
        <v>0</v>
      </c>
      <c r="AD545" s="167">
        <f t="shared" si="509"/>
        <v>0</v>
      </c>
      <c r="AF545" s="47">
        <f t="shared" si="510"/>
        <v>0</v>
      </c>
      <c r="AG545" s="202" t="str">
        <f t="shared" ref="AG545:AG606" si="511">B545&amp;" "&amp;F545</f>
        <v xml:space="preserve"> </v>
      </c>
      <c r="AH545" s="150"/>
      <c r="AI545" s="151"/>
      <c r="AJ545" s="151"/>
      <c r="AK545" s="151"/>
      <c r="AL545" s="151"/>
      <c r="AM545" s="151"/>
      <c r="AN545" s="151"/>
      <c r="AO545" s="151"/>
      <c r="AP545" s="151"/>
      <c r="AQ545" s="151"/>
      <c r="AR545" s="151"/>
      <c r="AS545" s="151"/>
      <c r="AT545" s="151"/>
      <c r="AU545" s="151"/>
      <c r="AV545" s="151"/>
      <c r="AW545" s="151"/>
      <c r="AX545" s="151"/>
      <c r="AY545" s="151"/>
      <c r="AZ545" s="151"/>
      <c r="BA545" s="151"/>
      <c r="BB545" s="151"/>
      <c r="BC545" s="151"/>
      <c r="BD545" s="151"/>
      <c r="BE545" s="151"/>
      <c r="BF545" s="151"/>
      <c r="BG545" s="151"/>
      <c r="BH545" s="151"/>
      <c r="BI545" s="151"/>
      <c r="BJ545" s="151"/>
      <c r="BK545" s="151"/>
      <c r="BL545" s="151"/>
      <c r="BM545" s="151"/>
      <c r="BN545" s="151"/>
      <c r="BO545" s="151"/>
      <c r="BP545" s="151"/>
      <c r="BQ545" s="151"/>
      <c r="BR545" s="151"/>
      <c r="BS545" s="151"/>
      <c r="BT545" s="151"/>
      <c r="BU545" s="151"/>
      <c r="BV545" s="151"/>
      <c r="BW545" s="151"/>
      <c r="BX545" s="151"/>
      <c r="BY545" s="151"/>
      <c r="BZ545" s="151"/>
      <c r="CA545" s="151"/>
      <c r="CB545" s="151"/>
      <c r="CC545" s="151"/>
      <c r="CD545" s="151"/>
      <c r="CE545" s="151"/>
      <c r="CF545" s="151"/>
      <c r="CG545" s="151"/>
      <c r="CH545" s="151"/>
      <c r="CI545" s="151"/>
      <c r="CJ545" s="151"/>
      <c r="CK545" s="151"/>
      <c r="CL545" s="151"/>
      <c r="CM545" s="151"/>
      <c r="CN545" s="151"/>
      <c r="CO545" s="151"/>
      <c r="CP545" s="151"/>
      <c r="CQ545" s="151"/>
      <c r="CR545" s="151"/>
      <c r="CS545" s="151"/>
      <c r="CT545" s="151"/>
      <c r="CU545" s="151"/>
      <c r="CV545" s="151"/>
      <c r="CW545" s="151"/>
      <c r="CX545" s="151"/>
      <c r="CY545" s="151"/>
      <c r="CZ545" s="151"/>
      <c r="DA545" s="151"/>
      <c r="DB545" s="151"/>
      <c r="DC545" s="151"/>
      <c r="DD545" s="151"/>
      <c r="DE545" s="151"/>
      <c r="DF545" s="151"/>
      <c r="DG545" s="151"/>
      <c r="DH545" s="151"/>
      <c r="DI545" s="151"/>
      <c r="DJ545" s="151"/>
      <c r="DK545" s="151"/>
      <c r="DL545" s="151"/>
      <c r="DM545" s="151"/>
      <c r="DN545" s="151"/>
      <c r="DO545" s="151"/>
      <c r="DP545" s="151"/>
      <c r="DQ545" s="151"/>
      <c r="DR545" s="151"/>
      <c r="DS545" s="151"/>
      <c r="DT545" s="151"/>
      <c r="DU545" s="151"/>
      <c r="DV545" s="151"/>
      <c r="DW545" s="151"/>
      <c r="DX545" s="151"/>
      <c r="DY545" s="151"/>
      <c r="DZ545" s="151"/>
      <c r="EA545" s="151"/>
      <c r="EB545" s="151"/>
      <c r="EC545" s="151"/>
      <c r="ED545" s="151"/>
      <c r="EE545" s="151"/>
      <c r="EF545" s="151"/>
      <c r="EG545" s="151"/>
      <c r="EH545" s="151"/>
      <c r="EI545" s="151"/>
      <c r="EJ545" s="151"/>
      <c r="EK545" s="151"/>
      <c r="EL545" s="151"/>
      <c r="EM545" s="151"/>
      <c r="EN545" s="151"/>
      <c r="EO545" s="151"/>
      <c r="EP545" s="151"/>
      <c r="EQ545" s="151"/>
      <c r="ER545" s="151"/>
      <c r="ES545" s="151"/>
      <c r="ET545" s="151"/>
      <c r="EU545" s="151"/>
      <c r="EV545" s="151"/>
      <c r="EW545" s="151"/>
      <c r="EX545" s="151"/>
      <c r="EY545" s="151"/>
      <c r="EZ545" s="151"/>
      <c r="FA545" s="151"/>
      <c r="FB545" s="151"/>
      <c r="FC545" s="151"/>
      <c r="FD545" s="151"/>
      <c r="FE545" s="151"/>
      <c r="FF545" s="151"/>
      <c r="FG545" s="151"/>
      <c r="FH545" s="151"/>
      <c r="FI545" s="151"/>
      <c r="FJ545" s="151"/>
      <c r="FK545" s="151"/>
      <c r="FL545" s="151"/>
      <c r="FM545" s="151"/>
      <c r="FN545" s="151"/>
      <c r="FO545" s="151"/>
      <c r="FP545" s="151"/>
      <c r="FQ545" s="151"/>
      <c r="FR545" s="151"/>
      <c r="FS545" s="151"/>
      <c r="FT545" s="151"/>
      <c r="FU545" s="151"/>
      <c r="FV545" s="151"/>
      <c r="FW545" s="151"/>
      <c r="FX545" s="151"/>
      <c r="FY545" s="151"/>
      <c r="FZ545" s="151"/>
      <c r="GA545" s="151"/>
      <c r="GB545" s="151"/>
      <c r="GC545" s="151"/>
      <c r="GD545" s="151"/>
      <c r="GE545" s="151"/>
      <c r="GF545" s="151"/>
      <c r="GG545" s="152"/>
    </row>
    <row r="546" spans="1:189" x14ac:dyDescent="0.35">
      <c r="A546" s="268"/>
      <c r="B546" s="221"/>
      <c r="C546" s="221"/>
      <c r="D546" s="222"/>
      <c r="E546" s="221"/>
      <c r="F546" s="221"/>
      <c r="G546" s="223"/>
      <c r="H546" s="224"/>
      <c r="I546" s="225"/>
      <c r="J546" s="225"/>
      <c r="K546" s="225"/>
      <c r="L546" s="226"/>
      <c r="M546" s="226"/>
      <c r="N546" s="226"/>
      <c r="O546" s="226"/>
      <c r="P546" s="226"/>
      <c r="Q546" s="227"/>
      <c r="R546" s="228"/>
      <c r="S546" s="228"/>
      <c r="T546" s="228"/>
      <c r="U546" s="191">
        <f t="shared" si="503"/>
        <v>0</v>
      </c>
      <c r="V546" s="86"/>
      <c r="W546" s="45"/>
      <c r="X546" s="46"/>
      <c r="Y546" s="167">
        <f t="shared" si="504"/>
        <v>0</v>
      </c>
      <c r="Z546" s="167">
        <f t="shared" si="505"/>
        <v>0</v>
      </c>
      <c r="AA546" s="167">
        <f t="shared" si="506"/>
        <v>0</v>
      </c>
      <c r="AB546" s="167">
        <f t="shared" si="507"/>
        <v>0</v>
      </c>
      <c r="AC546" s="167">
        <f t="shared" si="508"/>
        <v>0</v>
      </c>
      <c r="AD546" s="167">
        <f t="shared" si="509"/>
        <v>0</v>
      </c>
      <c r="AF546" s="47">
        <f t="shared" si="510"/>
        <v>0</v>
      </c>
      <c r="AG546" s="202" t="str">
        <f t="shared" si="511"/>
        <v xml:space="preserve"> </v>
      </c>
      <c r="AH546" s="150"/>
      <c r="AI546" s="151"/>
      <c r="AJ546" s="151"/>
      <c r="AK546" s="151"/>
      <c r="AL546" s="151"/>
      <c r="AM546" s="151"/>
      <c r="AN546" s="151"/>
      <c r="AO546" s="151"/>
      <c r="AP546" s="151"/>
      <c r="AQ546" s="151"/>
      <c r="AR546" s="151"/>
      <c r="AS546" s="151"/>
      <c r="AT546" s="151"/>
      <c r="AU546" s="151"/>
      <c r="AV546" s="151"/>
      <c r="AW546" s="151"/>
      <c r="AX546" s="151"/>
      <c r="AY546" s="151"/>
      <c r="AZ546" s="151"/>
      <c r="BA546" s="151"/>
      <c r="BB546" s="151"/>
      <c r="BC546" s="151"/>
      <c r="BD546" s="151"/>
      <c r="BE546" s="151"/>
      <c r="BF546" s="151"/>
      <c r="BG546" s="151"/>
      <c r="BH546" s="151"/>
      <c r="BI546" s="151"/>
      <c r="BJ546" s="151"/>
      <c r="BK546" s="151"/>
      <c r="BL546" s="151"/>
      <c r="BM546" s="151"/>
      <c r="BN546" s="151"/>
      <c r="BO546" s="151"/>
      <c r="BP546" s="151"/>
      <c r="BQ546" s="151"/>
      <c r="BR546" s="151"/>
      <c r="BS546" s="151"/>
      <c r="BT546" s="151"/>
      <c r="BU546" s="151"/>
      <c r="BV546" s="151"/>
      <c r="BW546" s="151"/>
      <c r="BX546" s="151"/>
      <c r="BY546" s="151"/>
      <c r="BZ546" s="151"/>
      <c r="CA546" s="151"/>
      <c r="CB546" s="151"/>
      <c r="CC546" s="151"/>
      <c r="CD546" s="151"/>
      <c r="CE546" s="151"/>
      <c r="CF546" s="151"/>
      <c r="CG546" s="151"/>
      <c r="CH546" s="151"/>
      <c r="CI546" s="151"/>
      <c r="CJ546" s="151"/>
      <c r="CK546" s="151"/>
      <c r="CL546" s="151"/>
      <c r="CM546" s="151"/>
      <c r="CN546" s="151"/>
      <c r="CO546" s="151"/>
      <c r="CP546" s="151"/>
      <c r="CQ546" s="151"/>
      <c r="CR546" s="151"/>
      <c r="CS546" s="151"/>
      <c r="CT546" s="151"/>
      <c r="CU546" s="151"/>
      <c r="CV546" s="151"/>
      <c r="CW546" s="151"/>
      <c r="CX546" s="151"/>
      <c r="CY546" s="151"/>
      <c r="CZ546" s="151"/>
      <c r="DA546" s="151"/>
      <c r="DB546" s="151"/>
      <c r="DC546" s="151"/>
      <c r="DD546" s="151"/>
      <c r="DE546" s="151"/>
      <c r="DF546" s="151"/>
      <c r="DG546" s="151"/>
      <c r="DH546" s="151"/>
      <c r="DI546" s="151"/>
      <c r="DJ546" s="151"/>
      <c r="DK546" s="151"/>
      <c r="DL546" s="151"/>
      <c r="DM546" s="151"/>
      <c r="DN546" s="151"/>
      <c r="DO546" s="151"/>
      <c r="DP546" s="151"/>
      <c r="DQ546" s="151"/>
      <c r="DR546" s="151"/>
      <c r="DS546" s="151"/>
      <c r="DT546" s="151"/>
      <c r="DU546" s="151"/>
      <c r="DV546" s="151"/>
      <c r="DW546" s="151"/>
      <c r="DX546" s="151"/>
      <c r="DY546" s="151"/>
      <c r="DZ546" s="151"/>
      <c r="EA546" s="151"/>
      <c r="EB546" s="151"/>
      <c r="EC546" s="151"/>
      <c r="ED546" s="151"/>
      <c r="EE546" s="151"/>
      <c r="EF546" s="151"/>
      <c r="EG546" s="151"/>
      <c r="EH546" s="151"/>
      <c r="EI546" s="151"/>
      <c r="EJ546" s="151"/>
      <c r="EK546" s="151"/>
      <c r="EL546" s="151"/>
      <c r="EM546" s="151"/>
      <c r="EN546" s="151"/>
      <c r="EO546" s="151"/>
      <c r="EP546" s="151"/>
      <c r="EQ546" s="151"/>
      <c r="ER546" s="151"/>
      <c r="ES546" s="151"/>
      <c r="ET546" s="151"/>
      <c r="EU546" s="151"/>
      <c r="EV546" s="151"/>
      <c r="EW546" s="151"/>
      <c r="EX546" s="151"/>
      <c r="EY546" s="151"/>
      <c r="EZ546" s="151"/>
      <c r="FA546" s="151"/>
      <c r="FB546" s="151"/>
      <c r="FC546" s="151"/>
      <c r="FD546" s="151"/>
      <c r="FE546" s="151"/>
      <c r="FF546" s="151"/>
      <c r="FG546" s="151"/>
      <c r="FH546" s="151"/>
      <c r="FI546" s="151"/>
      <c r="FJ546" s="151"/>
      <c r="FK546" s="151"/>
      <c r="FL546" s="151"/>
      <c r="FM546" s="151"/>
      <c r="FN546" s="151"/>
      <c r="FO546" s="151"/>
      <c r="FP546" s="151"/>
      <c r="FQ546" s="151"/>
      <c r="FR546" s="151"/>
      <c r="FS546" s="151"/>
      <c r="FT546" s="151"/>
      <c r="FU546" s="151"/>
      <c r="FV546" s="151"/>
      <c r="FW546" s="151"/>
      <c r="FX546" s="151"/>
      <c r="FY546" s="151"/>
      <c r="FZ546" s="151"/>
      <c r="GA546" s="151"/>
      <c r="GB546" s="151"/>
      <c r="GC546" s="151"/>
      <c r="GD546" s="151"/>
      <c r="GE546" s="151"/>
      <c r="GF546" s="151"/>
      <c r="GG546" s="152"/>
    </row>
    <row r="547" spans="1:189" x14ac:dyDescent="0.35">
      <c r="A547" s="268"/>
      <c r="B547" s="221"/>
      <c r="C547" s="221"/>
      <c r="D547" s="222"/>
      <c r="E547" s="221"/>
      <c r="F547" s="221"/>
      <c r="G547" s="223"/>
      <c r="H547" s="224"/>
      <c r="I547" s="225"/>
      <c r="J547" s="225"/>
      <c r="K547" s="225"/>
      <c r="L547" s="226"/>
      <c r="M547" s="226"/>
      <c r="N547" s="226"/>
      <c r="O547" s="226"/>
      <c r="P547" s="226"/>
      <c r="Q547" s="227"/>
      <c r="R547" s="228"/>
      <c r="S547" s="228"/>
      <c r="T547" s="228"/>
      <c r="U547" s="191">
        <f t="shared" si="503"/>
        <v>0</v>
      </c>
      <c r="V547" s="86"/>
      <c r="W547" s="45"/>
      <c r="X547" s="46"/>
      <c r="Y547" s="167">
        <f t="shared" si="504"/>
        <v>0</v>
      </c>
      <c r="Z547" s="167">
        <f t="shared" si="505"/>
        <v>0</v>
      </c>
      <c r="AA547" s="167">
        <f t="shared" si="506"/>
        <v>0</v>
      </c>
      <c r="AB547" s="167">
        <f t="shared" si="507"/>
        <v>0</v>
      </c>
      <c r="AC547" s="167">
        <f t="shared" si="508"/>
        <v>0</v>
      </c>
      <c r="AD547" s="167">
        <f t="shared" si="509"/>
        <v>0</v>
      </c>
      <c r="AF547" s="47">
        <f t="shared" si="510"/>
        <v>0</v>
      </c>
      <c r="AG547" s="202" t="str">
        <f t="shared" si="511"/>
        <v xml:space="preserve"> </v>
      </c>
      <c r="AH547" s="147"/>
      <c r="AI547" s="148"/>
      <c r="AJ547" s="148"/>
      <c r="AK547" s="148"/>
      <c r="AL547" s="148"/>
      <c r="AM547" s="148"/>
      <c r="AN547" s="148"/>
      <c r="AO547" s="148"/>
      <c r="AP547" s="148"/>
      <c r="AQ547" s="148"/>
      <c r="AR547" s="148"/>
      <c r="AS547" s="148"/>
      <c r="AT547" s="148"/>
      <c r="AU547" s="148"/>
      <c r="AV547" s="148"/>
      <c r="AW547" s="148"/>
      <c r="AX547" s="148"/>
      <c r="AY547" s="148"/>
      <c r="AZ547" s="148"/>
      <c r="BA547" s="148"/>
      <c r="BB547" s="148"/>
      <c r="BC547" s="148"/>
      <c r="BD547" s="148"/>
      <c r="BE547" s="148"/>
      <c r="BF547" s="148"/>
      <c r="BG547" s="148"/>
      <c r="BH547" s="148"/>
      <c r="BI547" s="148"/>
      <c r="BJ547" s="148"/>
      <c r="BK547" s="148"/>
      <c r="BL547" s="148"/>
      <c r="BM547" s="148"/>
      <c r="BN547" s="148"/>
      <c r="BO547" s="148"/>
      <c r="BP547" s="148"/>
      <c r="BQ547" s="148"/>
      <c r="BR547" s="148"/>
      <c r="BS547" s="148"/>
      <c r="BT547" s="148"/>
      <c r="BU547" s="148"/>
      <c r="BV547" s="148"/>
      <c r="BW547" s="148"/>
      <c r="BX547" s="148"/>
      <c r="BY547" s="148"/>
      <c r="BZ547" s="148"/>
      <c r="CA547" s="148"/>
      <c r="CB547" s="148"/>
      <c r="CC547" s="148"/>
      <c r="CD547" s="148"/>
      <c r="CE547" s="148"/>
      <c r="CF547" s="148"/>
      <c r="CG547" s="148"/>
      <c r="CH547" s="148"/>
      <c r="CI547" s="148"/>
      <c r="CJ547" s="148"/>
      <c r="CK547" s="148"/>
      <c r="CL547" s="148"/>
      <c r="CM547" s="148"/>
      <c r="CN547" s="148"/>
      <c r="CO547" s="148"/>
      <c r="CP547" s="148"/>
      <c r="CQ547" s="148"/>
      <c r="CR547" s="148"/>
      <c r="CS547" s="148"/>
      <c r="CT547" s="148"/>
      <c r="CU547" s="148"/>
      <c r="CV547" s="148"/>
      <c r="CW547" s="148"/>
      <c r="CX547" s="148"/>
      <c r="CY547" s="148"/>
      <c r="CZ547" s="148"/>
      <c r="DA547" s="148"/>
      <c r="DB547" s="148"/>
      <c r="DC547" s="148"/>
      <c r="DD547" s="148"/>
      <c r="DE547" s="148"/>
      <c r="DF547" s="148"/>
      <c r="DG547" s="148"/>
      <c r="DH547" s="148"/>
      <c r="DI547" s="148"/>
      <c r="DJ547" s="148"/>
      <c r="DK547" s="148"/>
      <c r="DL547" s="148"/>
      <c r="DM547" s="148"/>
      <c r="DN547" s="148"/>
      <c r="DO547" s="148"/>
      <c r="DP547" s="148"/>
      <c r="DQ547" s="148"/>
      <c r="DR547" s="148"/>
      <c r="DS547" s="148"/>
      <c r="DT547" s="148"/>
      <c r="DU547" s="148"/>
      <c r="DV547" s="148"/>
      <c r="DW547" s="148"/>
      <c r="DX547" s="148"/>
      <c r="DY547" s="148"/>
      <c r="DZ547" s="148"/>
      <c r="EA547" s="148"/>
      <c r="EB547" s="148"/>
      <c r="EC547" s="148"/>
      <c r="ED547" s="148"/>
      <c r="EE547" s="148"/>
      <c r="EF547" s="148"/>
      <c r="EG547" s="148"/>
      <c r="EH547" s="148"/>
      <c r="EI547" s="148"/>
      <c r="EJ547" s="148"/>
      <c r="EK547" s="148"/>
      <c r="EL547" s="148"/>
      <c r="EM547" s="148"/>
      <c r="EN547" s="148"/>
      <c r="EO547" s="148"/>
      <c r="EP547" s="148"/>
      <c r="EQ547" s="148"/>
      <c r="ER547" s="148"/>
      <c r="ES547" s="148"/>
      <c r="ET547" s="148"/>
      <c r="EU547" s="148"/>
      <c r="EV547" s="148"/>
      <c r="EW547" s="148"/>
      <c r="EX547" s="148"/>
      <c r="EY547" s="148"/>
      <c r="EZ547" s="148"/>
      <c r="FA547" s="148"/>
      <c r="FB547" s="148"/>
      <c r="FC547" s="148"/>
      <c r="FD547" s="148"/>
      <c r="FE547" s="148"/>
      <c r="FF547" s="148"/>
      <c r="FG547" s="148"/>
      <c r="FH547" s="148"/>
      <c r="FI547" s="148"/>
      <c r="FJ547" s="148"/>
      <c r="FK547" s="148"/>
      <c r="FL547" s="148"/>
      <c r="FM547" s="148"/>
      <c r="FN547" s="148"/>
      <c r="FO547" s="148"/>
      <c r="FP547" s="148"/>
      <c r="FQ547" s="148"/>
      <c r="FR547" s="148"/>
      <c r="FS547" s="148"/>
      <c r="FT547" s="148"/>
      <c r="FU547" s="148"/>
      <c r="FV547" s="148"/>
      <c r="FW547" s="148"/>
      <c r="FX547" s="148"/>
      <c r="FY547" s="148"/>
      <c r="FZ547" s="148"/>
      <c r="GA547" s="148"/>
      <c r="GB547" s="148"/>
      <c r="GC547" s="148"/>
      <c r="GD547" s="148"/>
      <c r="GE547" s="148"/>
      <c r="GF547" s="148"/>
      <c r="GG547" s="149"/>
    </row>
    <row r="548" spans="1:189" x14ac:dyDescent="0.35">
      <c r="A548" s="268"/>
      <c r="B548" s="221"/>
      <c r="C548" s="221"/>
      <c r="D548" s="222"/>
      <c r="E548" s="221"/>
      <c r="F548" s="221"/>
      <c r="G548" s="223"/>
      <c r="H548" s="224"/>
      <c r="I548" s="225"/>
      <c r="J548" s="225"/>
      <c r="K548" s="225"/>
      <c r="L548" s="226"/>
      <c r="M548" s="226"/>
      <c r="N548" s="226"/>
      <c r="O548" s="226"/>
      <c r="P548" s="226"/>
      <c r="Q548" s="227"/>
      <c r="R548" s="228"/>
      <c r="S548" s="228"/>
      <c r="T548" s="228"/>
      <c r="U548" s="191">
        <f t="shared" si="503"/>
        <v>0</v>
      </c>
      <c r="V548" s="86"/>
      <c r="W548" s="45"/>
      <c r="X548" s="46"/>
      <c r="Y548" s="167">
        <f t="shared" si="504"/>
        <v>0</v>
      </c>
      <c r="Z548" s="167">
        <f t="shared" si="505"/>
        <v>0</v>
      </c>
      <c r="AA548" s="167">
        <f t="shared" si="506"/>
        <v>0</v>
      </c>
      <c r="AB548" s="167">
        <f t="shared" si="507"/>
        <v>0</v>
      </c>
      <c r="AC548" s="167">
        <f t="shared" si="508"/>
        <v>0</v>
      </c>
      <c r="AD548" s="167">
        <f t="shared" si="509"/>
        <v>0</v>
      </c>
      <c r="AF548" s="47">
        <f t="shared" si="510"/>
        <v>0</v>
      </c>
      <c r="AG548" s="202" t="str">
        <f t="shared" si="511"/>
        <v xml:space="preserve"> </v>
      </c>
      <c r="AH548" s="150"/>
      <c r="AI548" s="151"/>
      <c r="AJ548" s="151"/>
      <c r="AK548" s="151"/>
      <c r="AL548" s="151"/>
      <c r="AM548" s="151"/>
      <c r="AN548" s="151"/>
      <c r="AO548" s="151"/>
      <c r="AP548" s="151"/>
      <c r="AQ548" s="151"/>
      <c r="AR548" s="151"/>
      <c r="AS548" s="151"/>
      <c r="AT548" s="151"/>
      <c r="AU548" s="151"/>
      <c r="AV548" s="151"/>
      <c r="AW548" s="151"/>
      <c r="AX548" s="151"/>
      <c r="AY548" s="151"/>
      <c r="AZ548" s="151"/>
      <c r="BA548" s="151"/>
      <c r="BB548" s="151"/>
      <c r="BC548" s="151"/>
      <c r="BD548" s="151"/>
      <c r="BE548" s="151"/>
      <c r="BF548" s="151"/>
      <c r="BG548" s="151"/>
      <c r="BH548" s="151"/>
      <c r="BI548" s="151"/>
      <c r="BJ548" s="151"/>
      <c r="BK548" s="151"/>
      <c r="BL548" s="151"/>
      <c r="BM548" s="151"/>
      <c r="BN548" s="151"/>
      <c r="BO548" s="151"/>
      <c r="BP548" s="151"/>
      <c r="BQ548" s="151"/>
      <c r="BR548" s="151"/>
      <c r="BS548" s="151"/>
      <c r="BT548" s="151"/>
      <c r="BU548" s="151"/>
      <c r="BV548" s="151"/>
      <c r="BW548" s="151"/>
      <c r="BX548" s="151"/>
      <c r="BY548" s="151"/>
      <c r="BZ548" s="151"/>
      <c r="CA548" s="151"/>
      <c r="CB548" s="151"/>
      <c r="CC548" s="151"/>
      <c r="CD548" s="151"/>
      <c r="CE548" s="151"/>
      <c r="CF548" s="151"/>
      <c r="CG548" s="151"/>
      <c r="CH548" s="151"/>
      <c r="CI548" s="151"/>
      <c r="CJ548" s="151"/>
      <c r="CK548" s="151"/>
      <c r="CL548" s="151"/>
      <c r="CM548" s="151"/>
      <c r="CN548" s="151"/>
      <c r="CO548" s="151"/>
      <c r="CP548" s="151"/>
      <c r="CQ548" s="151"/>
      <c r="CR548" s="151"/>
      <c r="CS548" s="151"/>
      <c r="CT548" s="151"/>
      <c r="CU548" s="151"/>
      <c r="CV548" s="151"/>
      <c r="CW548" s="151"/>
      <c r="CX548" s="151"/>
      <c r="CY548" s="151"/>
      <c r="CZ548" s="151"/>
      <c r="DA548" s="151"/>
      <c r="DB548" s="151"/>
      <c r="DC548" s="151"/>
      <c r="DD548" s="151"/>
      <c r="DE548" s="151"/>
      <c r="DF548" s="151"/>
      <c r="DG548" s="151"/>
      <c r="DH548" s="151"/>
      <c r="DI548" s="151"/>
      <c r="DJ548" s="151"/>
      <c r="DK548" s="151"/>
      <c r="DL548" s="151"/>
      <c r="DM548" s="151"/>
      <c r="DN548" s="151"/>
      <c r="DO548" s="151"/>
      <c r="DP548" s="151"/>
      <c r="DQ548" s="151"/>
      <c r="DR548" s="151"/>
      <c r="DS548" s="151"/>
      <c r="DT548" s="151"/>
      <c r="DU548" s="151"/>
      <c r="DV548" s="151"/>
      <c r="DW548" s="151"/>
      <c r="DX548" s="151"/>
      <c r="DY548" s="151"/>
      <c r="DZ548" s="151"/>
      <c r="EA548" s="151"/>
      <c r="EB548" s="151"/>
      <c r="EC548" s="151"/>
      <c r="ED548" s="151"/>
      <c r="EE548" s="151"/>
      <c r="EF548" s="151"/>
      <c r="EG548" s="151"/>
      <c r="EH548" s="151"/>
      <c r="EI548" s="151"/>
      <c r="EJ548" s="151"/>
      <c r="EK548" s="151"/>
      <c r="EL548" s="151"/>
      <c r="EM548" s="151"/>
      <c r="EN548" s="151"/>
      <c r="EO548" s="151"/>
      <c r="EP548" s="151"/>
      <c r="EQ548" s="151"/>
      <c r="ER548" s="151"/>
      <c r="ES548" s="151"/>
      <c r="ET548" s="151"/>
      <c r="EU548" s="151"/>
      <c r="EV548" s="151"/>
      <c r="EW548" s="151"/>
      <c r="EX548" s="151"/>
      <c r="EY548" s="151"/>
      <c r="EZ548" s="151"/>
      <c r="FA548" s="151"/>
      <c r="FB548" s="151"/>
      <c r="FC548" s="151"/>
      <c r="FD548" s="151"/>
      <c r="FE548" s="151"/>
      <c r="FF548" s="151"/>
      <c r="FG548" s="151"/>
      <c r="FH548" s="151"/>
      <c r="FI548" s="151"/>
      <c r="FJ548" s="151"/>
      <c r="FK548" s="151"/>
      <c r="FL548" s="151"/>
      <c r="FM548" s="151"/>
      <c r="FN548" s="151"/>
      <c r="FO548" s="151"/>
      <c r="FP548" s="151"/>
      <c r="FQ548" s="151"/>
      <c r="FR548" s="151"/>
      <c r="FS548" s="151"/>
      <c r="FT548" s="151"/>
      <c r="FU548" s="151"/>
      <c r="FV548" s="151"/>
      <c r="FW548" s="151"/>
      <c r="FX548" s="151"/>
      <c r="FY548" s="151"/>
      <c r="FZ548" s="151"/>
      <c r="GA548" s="151"/>
      <c r="GB548" s="151"/>
      <c r="GC548" s="151"/>
      <c r="GD548" s="151"/>
      <c r="GE548" s="151"/>
      <c r="GF548" s="151"/>
      <c r="GG548" s="152"/>
    </row>
    <row r="549" spans="1:189" x14ac:dyDescent="0.35">
      <c r="A549" s="268"/>
      <c r="B549" s="221"/>
      <c r="C549" s="221"/>
      <c r="D549" s="222"/>
      <c r="E549" s="221"/>
      <c r="F549" s="221"/>
      <c r="G549" s="223"/>
      <c r="H549" s="224"/>
      <c r="I549" s="225"/>
      <c r="J549" s="225"/>
      <c r="K549" s="225"/>
      <c r="L549" s="226"/>
      <c r="M549" s="226"/>
      <c r="N549" s="226"/>
      <c r="O549" s="226"/>
      <c r="P549" s="226"/>
      <c r="Q549" s="227"/>
      <c r="R549" s="228"/>
      <c r="S549" s="228"/>
      <c r="T549" s="228"/>
      <c r="U549" s="191">
        <f t="shared" si="503"/>
        <v>0</v>
      </c>
      <c r="V549" s="86"/>
      <c r="W549" s="45"/>
      <c r="X549" s="46"/>
      <c r="Y549" s="167">
        <f t="shared" si="504"/>
        <v>0</v>
      </c>
      <c r="Z549" s="167">
        <f t="shared" si="505"/>
        <v>0</v>
      </c>
      <c r="AA549" s="167">
        <f t="shared" si="506"/>
        <v>0</v>
      </c>
      <c r="AB549" s="167">
        <f t="shared" si="507"/>
        <v>0</v>
      </c>
      <c r="AC549" s="167">
        <f t="shared" si="508"/>
        <v>0</v>
      </c>
      <c r="AD549" s="167">
        <f t="shared" si="509"/>
        <v>0</v>
      </c>
      <c r="AF549" s="47">
        <f t="shared" si="510"/>
        <v>0</v>
      </c>
      <c r="AG549" s="202" t="str">
        <f t="shared" si="511"/>
        <v xml:space="preserve"> </v>
      </c>
      <c r="AH549" s="150"/>
      <c r="AI549" s="151"/>
      <c r="AJ549" s="151"/>
      <c r="AK549" s="151"/>
      <c r="AL549" s="151"/>
      <c r="AM549" s="151"/>
      <c r="AN549" s="151"/>
      <c r="AO549" s="151"/>
      <c r="AP549" s="151"/>
      <c r="AQ549" s="151"/>
      <c r="AR549" s="151"/>
      <c r="AS549" s="151"/>
      <c r="AT549" s="151"/>
      <c r="AU549" s="151"/>
      <c r="AV549" s="151"/>
      <c r="AW549" s="151"/>
      <c r="AX549" s="151"/>
      <c r="AY549" s="151"/>
      <c r="AZ549" s="151"/>
      <c r="BA549" s="151"/>
      <c r="BB549" s="151"/>
      <c r="BC549" s="151"/>
      <c r="BD549" s="151"/>
      <c r="BE549" s="151"/>
      <c r="BF549" s="151"/>
      <c r="BG549" s="151"/>
      <c r="BH549" s="151"/>
      <c r="BI549" s="151"/>
      <c r="BJ549" s="151"/>
      <c r="BK549" s="151"/>
      <c r="BL549" s="151"/>
      <c r="BM549" s="151"/>
      <c r="BN549" s="151"/>
      <c r="BO549" s="151"/>
      <c r="BP549" s="151"/>
      <c r="BQ549" s="151"/>
      <c r="BR549" s="151"/>
      <c r="BS549" s="151"/>
      <c r="BT549" s="151"/>
      <c r="BU549" s="151"/>
      <c r="BV549" s="151"/>
      <c r="BW549" s="151"/>
      <c r="BX549" s="151"/>
      <c r="BY549" s="151"/>
      <c r="BZ549" s="151"/>
      <c r="CA549" s="151"/>
      <c r="CB549" s="151"/>
      <c r="CC549" s="151"/>
      <c r="CD549" s="151"/>
      <c r="CE549" s="151"/>
      <c r="CF549" s="151"/>
      <c r="CG549" s="151"/>
      <c r="CH549" s="151"/>
      <c r="CI549" s="151"/>
      <c r="CJ549" s="151"/>
      <c r="CK549" s="151"/>
      <c r="CL549" s="151"/>
      <c r="CM549" s="151"/>
      <c r="CN549" s="151"/>
      <c r="CO549" s="151"/>
      <c r="CP549" s="151"/>
      <c r="CQ549" s="151"/>
      <c r="CR549" s="151"/>
      <c r="CS549" s="151"/>
      <c r="CT549" s="151"/>
      <c r="CU549" s="151"/>
      <c r="CV549" s="151"/>
      <c r="CW549" s="151"/>
      <c r="CX549" s="151"/>
      <c r="CY549" s="151"/>
      <c r="CZ549" s="151"/>
      <c r="DA549" s="151"/>
      <c r="DB549" s="151"/>
      <c r="DC549" s="151"/>
      <c r="DD549" s="151"/>
      <c r="DE549" s="151"/>
      <c r="DF549" s="151"/>
      <c r="DG549" s="151"/>
      <c r="DH549" s="151"/>
      <c r="DI549" s="151"/>
      <c r="DJ549" s="151"/>
      <c r="DK549" s="151"/>
      <c r="DL549" s="151"/>
      <c r="DM549" s="151"/>
      <c r="DN549" s="151"/>
      <c r="DO549" s="151"/>
      <c r="DP549" s="151"/>
      <c r="DQ549" s="151"/>
      <c r="DR549" s="151"/>
      <c r="DS549" s="151"/>
      <c r="DT549" s="151"/>
      <c r="DU549" s="151"/>
      <c r="DV549" s="151"/>
      <c r="DW549" s="151"/>
      <c r="DX549" s="151"/>
      <c r="DY549" s="151"/>
      <c r="DZ549" s="151"/>
      <c r="EA549" s="151"/>
      <c r="EB549" s="151"/>
      <c r="EC549" s="151"/>
      <c r="ED549" s="151"/>
      <c r="EE549" s="151"/>
      <c r="EF549" s="151"/>
      <c r="EG549" s="151"/>
      <c r="EH549" s="151"/>
      <c r="EI549" s="151"/>
      <c r="EJ549" s="151"/>
      <c r="EK549" s="151"/>
      <c r="EL549" s="151"/>
      <c r="EM549" s="151"/>
      <c r="EN549" s="151"/>
      <c r="EO549" s="151"/>
      <c r="EP549" s="151"/>
      <c r="EQ549" s="151"/>
      <c r="ER549" s="151"/>
      <c r="ES549" s="151"/>
      <c r="ET549" s="151"/>
      <c r="EU549" s="151"/>
      <c r="EV549" s="151"/>
      <c r="EW549" s="151"/>
      <c r="EX549" s="151"/>
      <c r="EY549" s="151"/>
      <c r="EZ549" s="151"/>
      <c r="FA549" s="151"/>
      <c r="FB549" s="151"/>
      <c r="FC549" s="151"/>
      <c r="FD549" s="151"/>
      <c r="FE549" s="151"/>
      <c r="FF549" s="151"/>
      <c r="FG549" s="151"/>
      <c r="FH549" s="151"/>
      <c r="FI549" s="151"/>
      <c r="FJ549" s="151"/>
      <c r="FK549" s="151"/>
      <c r="FL549" s="151"/>
      <c r="FM549" s="151"/>
      <c r="FN549" s="151"/>
      <c r="FO549" s="151"/>
      <c r="FP549" s="151"/>
      <c r="FQ549" s="151"/>
      <c r="FR549" s="151"/>
      <c r="FS549" s="151"/>
      <c r="FT549" s="151"/>
      <c r="FU549" s="151"/>
      <c r="FV549" s="151"/>
      <c r="FW549" s="151"/>
      <c r="FX549" s="151"/>
      <c r="FY549" s="151"/>
      <c r="FZ549" s="151"/>
      <c r="GA549" s="151"/>
      <c r="GB549" s="151"/>
      <c r="GC549" s="151"/>
      <c r="GD549" s="151"/>
      <c r="GE549" s="151"/>
      <c r="GF549" s="151"/>
      <c r="GG549" s="152"/>
    </row>
    <row r="550" spans="1:189" x14ac:dyDescent="0.35">
      <c r="A550" s="268"/>
      <c r="B550" s="221"/>
      <c r="C550" s="221"/>
      <c r="D550" s="222"/>
      <c r="E550" s="221"/>
      <c r="F550" s="221"/>
      <c r="G550" s="223"/>
      <c r="H550" s="224"/>
      <c r="I550" s="225"/>
      <c r="J550" s="225"/>
      <c r="K550" s="225"/>
      <c r="L550" s="226"/>
      <c r="M550" s="226"/>
      <c r="N550" s="226"/>
      <c r="O550" s="226"/>
      <c r="P550" s="226"/>
      <c r="Q550" s="227"/>
      <c r="R550" s="228"/>
      <c r="S550" s="228"/>
      <c r="T550" s="228"/>
      <c r="U550" s="191">
        <f t="shared" si="503"/>
        <v>0</v>
      </c>
      <c r="V550" s="86"/>
      <c r="W550" s="45"/>
      <c r="X550" s="46"/>
      <c r="Y550" s="167">
        <f t="shared" si="504"/>
        <v>0</v>
      </c>
      <c r="Z550" s="167">
        <f t="shared" si="505"/>
        <v>0</v>
      </c>
      <c r="AA550" s="167">
        <f t="shared" si="506"/>
        <v>0</v>
      </c>
      <c r="AB550" s="167">
        <f t="shared" si="507"/>
        <v>0</v>
      </c>
      <c r="AC550" s="167">
        <f t="shared" si="508"/>
        <v>0</v>
      </c>
      <c r="AD550" s="167">
        <f t="shared" si="509"/>
        <v>0</v>
      </c>
      <c r="AF550" s="47">
        <f t="shared" si="510"/>
        <v>0</v>
      </c>
      <c r="AG550" s="202" t="str">
        <f t="shared" si="511"/>
        <v xml:space="preserve"> </v>
      </c>
      <c r="AH550" s="150"/>
      <c r="AI550" s="151"/>
      <c r="AJ550" s="151"/>
      <c r="AK550" s="151"/>
      <c r="AL550" s="151"/>
      <c r="AM550" s="151"/>
      <c r="AN550" s="151"/>
      <c r="AO550" s="151"/>
      <c r="AP550" s="151"/>
      <c r="AQ550" s="151"/>
      <c r="AR550" s="151"/>
      <c r="AS550" s="151"/>
      <c r="AT550" s="151"/>
      <c r="AU550" s="151"/>
      <c r="AV550" s="151"/>
      <c r="AW550" s="151"/>
      <c r="AX550" s="151"/>
      <c r="AY550" s="151"/>
      <c r="AZ550" s="151"/>
      <c r="BA550" s="151"/>
      <c r="BB550" s="151"/>
      <c r="BC550" s="151"/>
      <c r="BD550" s="151"/>
      <c r="BE550" s="151"/>
      <c r="BF550" s="151"/>
      <c r="BG550" s="151"/>
      <c r="BH550" s="151"/>
      <c r="BI550" s="151"/>
      <c r="BJ550" s="151"/>
      <c r="BK550" s="151"/>
      <c r="BL550" s="151"/>
      <c r="BM550" s="151"/>
      <c r="BN550" s="151"/>
      <c r="BO550" s="151"/>
      <c r="BP550" s="151"/>
      <c r="BQ550" s="151"/>
      <c r="BR550" s="151"/>
      <c r="BS550" s="151"/>
      <c r="BT550" s="151"/>
      <c r="BU550" s="151"/>
      <c r="BV550" s="151"/>
      <c r="BW550" s="151"/>
      <c r="BX550" s="151"/>
      <c r="BY550" s="151"/>
      <c r="BZ550" s="151"/>
      <c r="CA550" s="151"/>
      <c r="CB550" s="151"/>
      <c r="CC550" s="151"/>
      <c r="CD550" s="151"/>
      <c r="CE550" s="151"/>
      <c r="CF550" s="151"/>
      <c r="CG550" s="151"/>
      <c r="CH550" s="151"/>
      <c r="CI550" s="151"/>
      <c r="CJ550" s="151"/>
      <c r="CK550" s="151"/>
      <c r="CL550" s="151"/>
      <c r="CM550" s="151"/>
      <c r="CN550" s="151"/>
      <c r="CO550" s="151"/>
      <c r="CP550" s="151"/>
      <c r="CQ550" s="151"/>
      <c r="CR550" s="151"/>
      <c r="CS550" s="151"/>
      <c r="CT550" s="151"/>
      <c r="CU550" s="151"/>
      <c r="CV550" s="151"/>
      <c r="CW550" s="151"/>
      <c r="CX550" s="151"/>
      <c r="CY550" s="151"/>
      <c r="CZ550" s="151"/>
      <c r="DA550" s="151"/>
      <c r="DB550" s="151"/>
      <c r="DC550" s="151"/>
      <c r="DD550" s="151"/>
      <c r="DE550" s="151"/>
      <c r="DF550" s="151"/>
      <c r="DG550" s="151"/>
      <c r="DH550" s="151"/>
      <c r="DI550" s="151"/>
      <c r="DJ550" s="151"/>
      <c r="DK550" s="151"/>
      <c r="DL550" s="151"/>
      <c r="DM550" s="151"/>
      <c r="DN550" s="151"/>
      <c r="DO550" s="151"/>
      <c r="DP550" s="151"/>
      <c r="DQ550" s="151"/>
      <c r="DR550" s="151"/>
      <c r="DS550" s="151"/>
      <c r="DT550" s="151"/>
      <c r="DU550" s="151"/>
      <c r="DV550" s="151"/>
      <c r="DW550" s="151"/>
      <c r="DX550" s="151"/>
      <c r="DY550" s="151"/>
      <c r="DZ550" s="151"/>
      <c r="EA550" s="151"/>
      <c r="EB550" s="151"/>
      <c r="EC550" s="151"/>
      <c r="ED550" s="151"/>
      <c r="EE550" s="151"/>
      <c r="EF550" s="151"/>
      <c r="EG550" s="151"/>
      <c r="EH550" s="151"/>
      <c r="EI550" s="151"/>
      <c r="EJ550" s="151"/>
      <c r="EK550" s="151"/>
      <c r="EL550" s="151"/>
      <c r="EM550" s="151"/>
      <c r="EN550" s="151"/>
      <c r="EO550" s="151"/>
      <c r="EP550" s="151"/>
      <c r="EQ550" s="151"/>
      <c r="ER550" s="151"/>
      <c r="ES550" s="151"/>
      <c r="ET550" s="151"/>
      <c r="EU550" s="151"/>
      <c r="EV550" s="151"/>
      <c r="EW550" s="151"/>
      <c r="EX550" s="151"/>
      <c r="EY550" s="151"/>
      <c r="EZ550" s="151"/>
      <c r="FA550" s="151"/>
      <c r="FB550" s="151"/>
      <c r="FC550" s="151"/>
      <c r="FD550" s="151"/>
      <c r="FE550" s="151"/>
      <c r="FF550" s="151"/>
      <c r="FG550" s="151"/>
      <c r="FH550" s="151"/>
      <c r="FI550" s="151"/>
      <c r="FJ550" s="151"/>
      <c r="FK550" s="151"/>
      <c r="FL550" s="151"/>
      <c r="FM550" s="151"/>
      <c r="FN550" s="151"/>
      <c r="FO550" s="151"/>
      <c r="FP550" s="151"/>
      <c r="FQ550" s="151"/>
      <c r="FR550" s="151"/>
      <c r="FS550" s="151"/>
      <c r="FT550" s="151"/>
      <c r="FU550" s="151"/>
      <c r="FV550" s="151"/>
      <c r="FW550" s="151"/>
      <c r="FX550" s="151"/>
      <c r="FY550" s="151"/>
      <c r="FZ550" s="151"/>
      <c r="GA550" s="151"/>
      <c r="GB550" s="151"/>
      <c r="GC550" s="151"/>
      <c r="GD550" s="151"/>
      <c r="GE550" s="151"/>
      <c r="GF550" s="151"/>
      <c r="GG550" s="152"/>
    </row>
    <row r="551" spans="1:189" x14ac:dyDescent="0.35">
      <c r="A551" s="268"/>
      <c r="B551" s="221"/>
      <c r="C551" s="221"/>
      <c r="D551" s="222"/>
      <c r="E551" s="221"/>
      <c r="F551" s="221"/>
      <c r="G551" s="223"/>
      <c r="H551" s="224"/>
      <c r="I551" s="225"/>
      <c r="J551" s="225"/>
      <c r="K551" s="225"/>
      <c r="L551" s="226"/>
      <c r="M551" s="226"/>
      <c r="N551" s="226"/>
      <c r="O551" s="226"/>
      <c r="P551" s="226"/>
      <c r="Q551" s="227"/>
      <c r="R551" s="228"/>
      <c r="S551" s="228"/>
      <c r="T551" s="228"/>
      <c r="U551" s="191">
        <f t="shared" si="503"/>
        <v>0</v>
      </c>
      <c r="V551" s="86"/>
      <c r="W551" s="45"/>
      <c r="X551" s="46"/>
      <c r="Y551" s="167">
        <f t="shared" si="504"/>
        <v>0</v>
      </c>
      <c r="Z551" s="167">
        <f t="shared" si="505"/>
        <v>0</v>
      </c>
      <c r="AA551" s="167">
        <f t="shared" si="506"/>
        <v>0</v>
      </c>
      <c r="AB551" s="167">
        <f t="shared" si="507"/>
        <v>0</v>
      </c>
      <c r="AC551" s="167">
        <f t="shared" si="508"/>
        <v>0</v>
      </c>
      <c r="AD551" s="167">
        <f t="shared" si="509"/>
        <v>0</v>
      </c>
      <c r="AF551" s="47">
        <f t="shared" si="510"/>
        <v>0</v>
      </c>
      <c r="AG551" s="202" t="str">
        <f t="shared" si="511"/>
        <v xml:space="preserve"> </v>
      </c>
      <c r="AH551" s="147"/>
      <c r="AI551" s="148"/>
      <c r="AJ551" s="148"/>
      <c r="AK551" s="148"/>
      <c r="AL551" s="148"/>
      <c r="AM551" s="148"/>
      <c r="AN551" s="148"/>
      <c r="AO551" s="148"/>
      <c r="AP551" s="148"/>
      <c r="AQ551" s="148"/>
      <c r="AR551" s="148"/>
      <c r="AS551" s="148"/>
      <c r="AT551" s="148"/>
      <c r="AU551" s="148"/>
      <c r="AV551" s="148"/>
      <c r="AW551" s="148"/>
      <c r="AX551" s="148"/>
      <c r="AY551" s="148"/>
      <c r="AZ551" s="148"/>
      <c r="BA551" s="148"/>
      <c r="BB551" s="148"/>
      <c r="BC551" s="148"/>
      <c r="BD551" s="148"/>
      <c r="BE551" s="148"/>
      <c r="BF551" s="148"/>
      <c r="BG551" s="148"/>
      <c r="BH551" s="148"/>
      <c r="BI551" s="148"/>
      <c r="BJ551" s="148"/>
      <c r="BK551" s="148"/>
      <c r="BL551" s="148"/>
      <c r="BM551" s="148"/>
      <c r="BN551" s="148"/>
      <c r="BO551" s="148"/>
      <c r="BP551" s="148"/>
      <c r="BQ551" s="148"/>
      <c r="BR551" s="148"/>
      <c r="BS551" s="148"/>
      <c r="BT551" s="148"/>
      <c r="BU551" s="148"/>
      <c r="BV551" s="148"/>
      <c r="BW551" s="148"/>
      <c r="BX551" s="148"/>
      <c r="BY551" s="148"/>
      <c r="BZ551" s="148"/>
      <c r="CA551" s="148"/>
      <c r="CB551" s="148"/>
      <c r="CC551" s="148"/>
      <c r="CD551" s="148"/>
      <c r="CE551" s="148"/>
      <c r="CF551" s="148"/>
      <c r="CG551" s="148"/>
      <c r="CH551" s="148"/>
      <c r="CI551" s="148"/>
      <c r="CJ551" s="148"/>
      <c r="CK551" s="148"/>
      <c r="CL551" s="148"/>
      <c r="CM551" s="148"/>
      <c r="CN551" s="148"/>
      <c r="CO551" s="148"/>
      <c r="CP551" s="148"/>
      <c r="CQ551" s="148"/>
      <c r="CR551" s="148"/>
      <c r="CS551" s="148"/>
      <c r="CT551" s="148"/>
      <c r="CU551" s="148"/>
      <c r="CV551" s="148"/>
      <c r="CW551" s="148"/>
      <c r="CX551" s="148"/>
      <c r="CY551" s="148"/>
      <c r="CZ551" s="148"/>
      <c r="DA551" s="148"/>
      <c r="DB551" s="148"/>
      <c r="DC551" s="148"/>
      <c r="DD551" s="148"/>
      <c r="DE551" s="148"/>
      <c r="DF551" s="148"/>
      <c r="DG551" s="148"/>
      <c r="DH551" s="148"/>
      <c r="DI551" s="148"/>
      <c r="DJ551" s="148"/>
      <c r="DK551" s="148"/>
      <c r="DL551" s="148"/>
      <c r="DM551" s="148"/>
      <c r="DN551" s="148"/>
      <c r="DO551" s="148"/>
      <c r="DP551" s="148"/>
      <c r="DQ551" s="148"/>
      <c r="DR551" s="148"/>
      <c r="DS551" s="148"/>
      <c r="DT551" s="148"/>
      <c r="DU551" s="148"/>
      <c r="DV551" s="148"/>
      <c r="DW551" s="148"/>
      <c r="DX551" s="148"/>
      <c r="DY551" s="148"/>
      <c r="DZ551" s="148"/>
      <c r="EA551" s="148"/>
      <c r="EB551" s="148"/>
      <c r="EC551" s="148"/>
      <c r="ED551" s="148"/>
      <c r="EE551" s="148"/>
      <c r="EF551" s="148"/>
      <c r="EG551" s="148"/>
      <c r="EH551" s="148"/>
      <c r="EI551" s="148"/>
      <c r="EJ551" s="148"/>
      <c r="EK551" s="148"/>
      <c r="EL551" s="148"/>
      <c r="EM551" s="148"/>
      <c r="EN551" s="148"/>
      <c r="EO551" s="148"/>
      <c r="EP551" s="148"/>
      <c r="EQ551" s="148"/>
      <c r="ER551" s="148"/>
      <c r="ES551" s="148"/>
      <c r="ET551" s="148"/>
      <c r="EU551" s="148"/>
      <c r="EV551" s="148"/>
      <c r="EW551" s="148"/>
      <c r="EX551" s="148"/>
      <c r="EY551" s="148"/>
      <c r="EZ551" s="148"/>
      <c r="FA551" s="148"/>
      <c r="FB551" s="148"/>
      <c r="FC551" s="148"/>
      <c r="FD551" s="148"/>
      <c r="FE551" s="148"/>
      <c r="FF551" s="148"/>
      <c r="FG551" s="148"/>
      <c r="FH551" s="148"/>
      <c r="FI551" s="148"/>
      <c r="FJ551" s="148"/>
      <c r="FK551" s="148"/>
      <c r="FL551" s="148"/>
      <c r="FM551" s="148"/>
      <c r="FN551" s="148"/>
      <c r="FO551" s="148"/>
      <c r="FP551" s="148"/>
      <c r="FQ551" s="148"/>
      <c r="FR551" s="148"/>
      <c r="FS551" s="148"/>
      <c r="FT551" s="148"/>
      <c r="FU551" s="148"/>
      <c r="FV551" s="148"/>
      <c r="FW551" s="148"/>
      <c r="FX551" s="148"/>
      <c r="FY551" s="148"/>
      <c r="FZ551" s="148"/>
      <c r="GA551" s="148"/>
      <c r="GB551" s="148"/>
      <c r="GC551" s="148"/>
      <c r="GD551" s="148"/>
      <c r="GE551" s="148"/>
      <c r="GF551" s="148"/>
      <c r="GG551" s="149"/>
    </row>
    <row r="552" spans="1:189" x14ac:dyDescent="0.35">
      <c r="A552" s="268"/>
      <c r="B552" s="221"/>
      <c r="C552" s="221"/>
      <c r="D552" s="222"/>
      <c r="E552" s="221"/>
      <c r="F552" s="221"/>
      <c r="G552" s="223"/>
      <c r="H552" s="224"/>
      <c r="I552" s="225"/>
      <c r="J552" s="225"/>
      <c r="K552" s="225"/>
      <c r="L552" s="226"/>
      <c r="M552" s="226"/>
      <c r="N552" s="226"/>
      <c r="O552" s="226"/>
      <c r="P552" s="226"/>
      <c r="Q552" s="227"/>
      <c r="R552" s="228"/>
      <c r="S552" s="228"/>
      <c r="T552" s="228"/>
      <c r="U552" s="191">
        <f t="shared" si="503"/>
        <v>0</v>
      </c>
      <c r="V552" s="86"/>
      <c r="W552" s="45"/>
      <c r="X552" s="46"/>
      <c r="Y552" s="167">
        <f t="shared" si="504"/>
        <v>0</v>
      </c>
      <c r="Z552" s="167">
        <f t="shared" si="505"/>
        <v>0</v>
      </c>
      <c r="AA552" s="167">
        <f t="shared" si="506"/>
        <v>0</v>
      </c>
      <c r="AB552" s="167">
        <f t="shared" si="507"/>
        <v>0</v>
      </c>
      <c r="AC552" s="167">
        <f t="shared" si="508"/>
        <v>0</v>
      </c>
      <c r="AD552" s="167">
        <f t="shared" si="509"/>
        <v>0</v>
      </c>
      <c r="AF552" s="47">
        <f t="shared" si="510"/>
        <v>0</v>
      </c>
      <c r="AG552" s="202" t="str">
        <f t="shared" si="511"/>
        <v xml:space="preserve"> </v>
      </c>
      <c r="AH552" s="150"/>
      <c r="AI552" s="151"/>
      <c r="AJ552" s="151"/>
      <c r="AK552" s="151"/>
      <c r="AL552" s="151"/>
      <c r="AM552" s="151"/>
      <c r="AN552" s="151"/>
      <c r="AO552" s="151"/>
      <c r="AP552" s="151"/>
      <c r="AQ552" s="151"/>
      <c r="AR552" s="151"/>
      <c r="AS552" s="151"/>
      <c r="AT552" s="151"/>
      <c r="AU552" s="151"/>
      <c r="AV552" s="151"/>
      <c r="AW552" s="151"/>
      <c r="AX552" s="151"/>
      <c r="AY552" s="151"/>
      <c r="AZ552" s="151"/>
      <c r="BA552" s="151"/>
      <c r="BB552" s="151"/>
      <c r="BC552" s="151"/>
      <c r="BD552" s="151"/>
      <c r="BE552" s="151"/>
      <c r="BF552" s="151"/>
      <c r="BG552" s="151"/>
      <c r="BH552" s="151"/>
      <c r="BI552" s="151"/>
      <c r="BJ552" s="151"/>
      <c r="BK552" s="151"/>
      <c r="BL552" s="151"/>
      <c r="BM552" s="151"/>
      <c r="BN552" s="151"/>
      <c r="BO552" s="151"/>
      <c r="BP552" s="151"/>
      <c r="BQ552" s="151"/>
      <c r="BR552" s="151"/>
      <c r="BS552" s="151"/>
      <c r="BT552" s="151"/>
      <c r="BU552" s="151"/>
      <c r="BV552" s="151"/>
      <c r="BW552" s="151"/>
      <c r="BX552" s="151"/>
      <c r="BY552" s="151"/>
      <c r="BZ552" s="151"/>
      <c r="CA552" s="151"/>
      <c r="CB552" s="151"/>
      <c r="CC552" s="151"/>
      <c r="CD552" s="151"/>
      <c r="CE552" s="151"/>
      <c r="CF552" s="151"/>
      <c r="CG552" s="151"/>
      <c r="CH552" s="151"/>
      <c r="CI552" s="151"/>
      <c r="CJ552" s="151"/>
      <c r="CK552" s="151"/>
      <c r="CL552" s="151"/>
      <c r="CM552" s="151"/>
      <c r="CN552" s="151"/>
      <c r="CO552" s="151"/>
      <c r="CP552" s="151"/>
      <c r="CQ552" s="151"/>
      <c r="CR552" s="151"/>
      <c r="CS552" s="151"/>
      <c r="CT552" s="151"/>
      <c r="CU552" s="151"/>
      <c r="CV552" s="151"/>
      <c r="CW552" s="151"/>
      <c r="CX552" s="151"/>
      <c r="CY552" s="151"/>
      <c r="CZ552" s="151"/>
      <c r="DA552" s="151"/>
      <c r="DB552" s="151"/>
      <c r="DC552" s="151"/>
      <c r="DD552" s="151"/>
      <c r="DE552" s="151"/>
      <c r="DF552" s="151"/>
      <c r="DG552" s="151"/>
      <c r="DH552" s="151"/>
      <c r="DI552" s="151"/>
      <c r="DJ552" s="151"/>
      <c r="DK552" s="151"/>
      <c r="DL552" s="151"/>
      <c r="DM552" s="151"/>
      <c r="DN552" s="151"/>
      <c r="DO552" s="151"/>
      <c r="DP552" s="151"/>
      <c r="DQ552" s="151"/>
      <c r="DR552" s="151"/>
      <c r="DS552" s="151"/>
      <c r="DT552" s="151"/>
      <c r="DU552" s="151"/>
      <c r="DV552" s="151"/>
      <c r="DW552" s="151"/>
      <c r="DX552" s="151"/>
      <c r="DY552" s="151"/>
      <c r="DZ552" s="151"/>
      <c r="EA552" s="151"/>
      <c r="EB552" s="151"/>
      <c r="EC552" s="151"/>
      <c r="ED552" s="151"/>
      <c r="EE552" s="151"/>
      <c r="EF552" s="151"/>
      <c r="EG552" s="151"/>
      <c r="EH552" s="151"/>
      <c r="EI552" s="151"/>
      <c r="EJ552" s="151"/>
      <c r="EK552" s="151"/>
      <c r="EL552" s="151"/>
      <c r="EM552" s="151"/>
      <c r="EN552" s="151"/>
      <c r="EO552" s="151"/>
      <c r="EP552" s="151"/>
      <c r="EQ552" s="151"/>
      <c r="ER552" s="151"/>
      <c r="ES552" s="151"/>
      <c r="ET552" s="151"/>
      <c r="EU552" s="151"/>
      <c r="EV552" s="151"/>
      <c r="EW552" s="151"/>
      <c r="EX552" s="151"/>
      <c r="EY552" s="151"/>
      <c r="EZ552" s="151"/>
      <c r="FA552" s="151"/>
      <c r="FB552" s="151"/>
      <c r="FC552" s="151"/>
      <c r="FD552" s="151"/>
      <c r="FE552" s="151"/>
      <c r="FF552" s="151"/>
      <c r="FG552" s="151"/>
      <c r="FH552" s="151"/>
      <c r="FI552" s="151"/>
      <c r="FJ552" s="151"/>
      <c r="FK552" s="151"/>
      <c r="FL552" s="151"/>
      <c r="FM552" s="151"/>
      <c r="FN552" s="151"/>
      <c r="FO552" s="151"/>
      <c r="FP552" s="151"/>
      <c r="FQ552" s="151"/>
      <c r="FR552" s="151"/>
      <c r="FS552" s="151"/>
      <c r="FT552" s="151"/>
      <c r="FU552" s="151"/>
      <c r="FV552" s="151"/>
      <c r="FW552" s="151"/>
      <c r="FX552" s="151"/>
      <c r="FY552" s="151"/>
      <c r="FZ552" s="151"/>
      <c r="GA552" s="151"/>
      <c r="GB552" s="151"/>
      <c r="GC552" s="151"/>
      <c r="GD552" s="151"/>
      <c r="GE552" s="151"/>
      <c r="GF552" s="151"/>
      <c r="GG552" s="152"/>
    </row>
    <row r="553" spans="1:189" x14ac:dyDescent="0.35">
      <c r="A553" s="268"/>
      <c r="B553" s="221"/>
      <c r="C553" s="221"/>
      <c r="D553" s="222"/>
      <c r="E553" s="221"/>
      <c r="F553" s="221"/>
      <c r="G553" s="223"/>
      <c r="H553" s="224"/>
      <c r="I553" s="225"/>
      <c r="J553" s="225"/>
      <c r="K553" s="225"/>
      <c r="L553" s="226"/>
      <c r="M553" s="226"/>
      <c r="N553" s="226"/>
      <c r="O553" s="226"/>
      <c r="P553" s="226"/>
      <c r="Q553" s="227"/>
      <c r="R553" s="228"/>
      <c r="S553" s="228"/>
      <c r="T553" s="228"/>
      <c r="U553" s="191">
        <f t="shared" si="503"/>
        <v>0</v>
      </c>
      <c r="V553" s="86"/>
      <c r="W553" s="45"/>
      <c r="X553" s="46"/>
      <c r="Y553" s="167">
        <f t="shared" si="504"/>
        <v>0</v>
      </c>
      <c r="Z553" s="167">
        <f t="shared" si="505"/>
        <v>0</v>
      </c>
      <c r="AA553" s="167">
        <f t="shared" si="506"/>
        <v>0</v>
      </c>
      <c r="AB553" s="167">
        <f t="shared" si="507"/>
        <v>0</v>
      </c>
      <c r="AC553" s="167">
        <f t="shared" si="508"/>
        <v>0</v>
      </c>
      <c r="AD553" s="167">
        <f t="shared" si="509"/>
        <v>0</v>
      </c>
      <c r="AF553" s="47">
        <f t="shared" si="510"/>
        <v>0</v>
      </c>
      <c r="AG553" s="202" t="str">
        <f t="shared" si="511"/>
        <v xml:space="preserve"> </v>
      </c>
      <c r="AH553" s="150"/>
      <c r="AI553" s="151"/>
      <c r="AJ553" s="151"/>
      <c r="AK553" s="151"/>
      <c r="AL553" s="151"/>
      <c r="AM553" s="151"/>
      <c r="AN553" s="151"/>
      <c r="AO553" s="151"/>
      <c r="AP553" s="151"/>
      <c r="AQ553" s="151"/>
      <c r="AR553" s="151"/>
      <c r="AS553" s="151"/>
      <c r="AT553" s="151"/>
      <c r="AU553" s="151"/>
      <c r="AV553" s="151"/>
      <c r="AW553" s="151"/>
      <c r="AX553" s="151"/>
      <c r="AY553" s="151"/>
      <c r="AZ553" s="151"/>
      <c r="BA553" s="151"/>
      <c r="BB553" s="151"/>
      <c r="BC553" s="151"/>
      <c r="BD553" s="151"/>
      <c r="BE553" s="151"/>
      <c r="BF553" s="151"/>
      <c r="BG553" s="151"/>
      <c r="BH553" s="151"/>
      <c r="BI553" s="151"/>
      <c r="BJ553" s="151"/>
      <c r="BK553" s="151"/>
      <c r="BL553" s="151"/>
      <c r="BM553" s="151"/>
      <c r="BN553" s="151"/>
      <c r="BO553" s="151"/>
      <c r="BP553" s="151"/>
      <c r="BQ553" s="151"/>
      <c r="BR553" s="151"/>
      <c r="BS553" s="151"/>
      <c r="BT553" s="151"/>
      <c r="BU553" s="151"/>
      <c r="BV553" s="151"/>
      <c r="BW553" s="151"/>
      <c r="BX553" s="151"/>
      <c r="BY553" s="151"/>
      <c r="BZ553" s="151"/>
      <c r="CA553" s="151"/>
      <c r="CB553" s="151"/>
      <c r="CC553" s="151"/>
      <c r="CD553" s="151"/>
      <c r="CE553" s="151"/>
      <c r="CF553" s="151"/>
      <c r="CG553" s="151"/>
      <c r="CH553" s="151"/>
      <c r="CI553" s="151"/>
      <c r="CJ553" s="151"/>
      <c r="CK553" s="151"/>
      <c r="CL553" s="151"/>
      <c r="CM553" s="151"/>
      <c r="CN553" s="151"/>
      <c r="CO553" s="151"/>
      <c r="CP553" s="151"/>
      <c r="CQ553" s="151"/>
      <c r="CR553" s="151"/>
      <c r="CS553" s="151"/>
      <c r="CT553" s="151"/>
      <c r="CU553" s="151"/>
      <c r="CV553" s="151"/>
      <c r="CW553" s="151"/>
      <c r="CX553" s="151"/>
      <c r="CY553" s="151"/>
      <c r="CZ553" s="151"/>
      <c r="DA553" s="151"/>
      <c r="DB553" s="151"/>
      <c r="DC553" s="151"/>
      <c r="DD553" s="151"/>
      <c r="DE553" s="151"/>
      <c r="DF553" s="151"/>
      <c r="DG553" s="151"/>
      <c r="DH553" s="151"/>
      <c r="DI553" s="151"/>
      <c r="DJ553" s="151"/>
      <c r="DK553" s="151"/>
      <c r="DL553" s="151"/>
      <c r="DM553" s="151"/>
      <c r="DN553" s="151"/>
      <c r="DO553" s="151"/>
      <c r="DP553" s="151"/>
      <c r="DQ553" s="151"/>
      <c r="DR553" s="151"/>
      <c r="DS553" s="151"/>
      <c r="DT553" s="151"/>
      <c r="DU553" s="151"/>
      <c r="DV553" s="151"/>
      <c r="DW553" s="151"/>
      <c r="DX553" s="151"/>
      <c r="DY553" s="151"/>
      <c r="DZ553" s="151"/>
      <c r="EA553" s="151"/>
      <c r="EB553" s="151"/>
      <c r="EC553" s="151"/>
      <c r="ED553" s="151"/>
      <c r="EE553" s="151"/>
      <c r="EF553" s="151"/>
      <c r="EG553" s="151"/>
      <c r="EH553" s="151"/>
      <c r="EI553" s="151"/>
      <c r="EJ553" s="151"/>
      <c r="EK553" s="151"/>
      <c r="EL553" s="151"/>
      <c r="EM553" s="151"/>
      <c r="EN553" s="151"/>
      <c r="EO553" s="151"/>
      <c r="EP553" s="151"/>
      <c r="EQ553" s="151"/>
      <c r="ER553" s="151"/>
      <c r="ES553" s="151"/>
      <c r="ET553" s="151"/>
      <c r="EU553" s="151"/>
      <c r="EV553" s="151"/>
      <c r="EW553" s="151"/>
      <c r="EX553" s="151"/>
      <c r="EY553" s="151"/>
      <c r="EZ553" s="151"/>
      <c r="FA553" s="151"/>
      <c r="FB553" s="151"/>
      <c r="FC553" s="151"/>
      <c r="FD553" s="151"/>
      <c r="FE553" s="151"/>
      <c r="FF553" s="151"/>
      <c r="FG553" s="151"/>
      <c r="FH553" s="151"/>
      <c r="FI553" s="151"/>
      <c r="FJ553" s="151"/>
      <c r="FK553" s="151"/>
      <c r="FL553" s="151"/>
      <c r="FM553" s="151"/>
      <c r="FN553" s="151"/>
      <c r="FO553" s="151"/>
      <c r="FP553" s="151"/>
      <c r="FQ553" s="151"/>
      <c r="FR553" s="151"/>
      <c r="FS553" s="151"/>
      <c r="FT553" s="151"/>
      <c r="FU553" s="151"/>
      <c r="FV553" s="151"/>
      <c r="FW553" s="151"/>
      <c r="FX553" s="151"/>
      <c r="FY553" s="151"/>
      <c r="FZ553" s="151"/>
      <c r="GA553" s="151"/>
      <c r="GB553" s="151"/>
      <c r="GC553" s="151"/>
      <c r="GD553" s="151"/>
      <c r="GE553" s="151"/>
      <c r="GF553" s="151"/>
      <c r="GG553" s="152"/>
    </row>
    <row r="554" spans="1:189" x14ac:dyDescent="0.35">
      <c r="A554" s="268"/>
      <c r="B554" s="221"/>
      <c r="C554" s="221"/>
      <c r="D554" s="222"/>
      <c r="E554" s="221"/>
      <c r="F554" s="221"/>
      <c r="G554" s="223"/>
      <c r="H554" s="224"/>
      <c r="I554" s="225"/>
      <c r="J554" s="225"/>
      <c r="K554" s="225"/>
      <c r="L554" s="226"/>
      <c r="M554" s="226"/>
      <c r="N554" s="226"/>
      <c r="O554" s="226"/>
      <c r="P554" s="226"/>
      <c r="Q554" s="227"/>
      <c r="R554" s="228"/>
      <c r="S554" s="228"/>
      <c r="T554" s="228"/>
      <c r="U554" s="191">
        <f t="shared" si="503"/>
        <v>0</v>
      </c>
      <c r="V554" s="86"/>
      <c r="W554" s="45"/>
      <c r="X554" s="46"/>
      <c r="Y554" s="167">
        <f t="shared" si="504"/>
        <v>0</v>
      </c>
      <c r="Z554" s="167">
        <f t="shared" si="505"/>
        <v>0</v>
      </c>
      <c r="AA554" s="167">
        <f t="shared" si="506"/>
        <v>0</v>
      </c>
      <c r="AB554" s="167">
        <f t="shared" si="507"/>
        <v>0</v>
      </c>
      <c r="AC554" s="167">
        <f t="shared" si="508"/>
        <v>0</v>
      </c>
      <c r="AD554" s="167">
        <f t="shared" si="509"/>
        <v>0</v>
      </c>
      <c r="AF554" s="47">
        <f t="shared" si="510"/>
        <v>0</v>
      </c>
      <c r="AG554" s="202" t="str">
        <f t="shared" si="511"/>
        <v xml:space="preserve"> </v>
      </c>
      <c r="AH554" s="150"/>
      <c r="AI554" s="151"/>
      <c r="AJ554" s="151"/>
      <c r="AK554" s="151"/>
      <c r="AL554" s="151"/>
      <c r="AM554" s="151"/>
      <c r="AN554" s="151"/>
      <c r="AO554" s="151"/>
      <c r="AP554" s="151"/>
      <c r="AQ554" s="151"/>
      <c r="AR554" s="151"/>
      <c r="AS554" s="151"/>
      <c r="AT554" s="151"/>
      <c r="AU554" s="151"/>
      <c r="AV554" s="151"/>
      <c r="AW554" s="151"/>
      <c r="AX554" s="151"/>
      <c r="AY554" s="151"/>
      <c r="AZ554" s="151"/>
      <c r="BA554" s="151"/>
      <c r="BB554" s="151"/>
      <c r="BC554" s="151"/>
      <c r="BD554" s="151"/>
      <c r="BE554" s="151"/>
      <c r="BF554" s="151"/>
      <c r="BG554" s="151"/>
      <c r="BH554" s="151"/>
      <c r="BI554" s="151"/>
      <c r="BJ554" s="151"/>
      <c r="BK554" s="151"/>
      <c r="BL554" s="151"/>
      <c r="BM554" s="151"/>
      <c r="BN554" s="151"/>
      <c r="BO554" s="151"/>
      <c r="BP554" s="151"/>
      <c r="BQ554" s="151"/>
      <c r="BR554" s="151"/>
      <c r="BS554" s="151"/>
      <c r="BT554" s="151"/>
      <c r="BU554" s="151"/>
      <c r="BV554" s="151"/>
      <c r="BW554" s="151"/>
      <c r="BX554" s="151"/>
      <c r="BY554" s="151"/>
      <c r="BZ554" s="151"/>
      <c r="CA554" s="151"/>
      <c r="CB554" s="151"/>
      <c r="CC554" s="151"/>
      <c r="CD554" s="151"/>
      <c r="CE554" s="151"/>
      <c r="CF554" s="151"/>
      <c r="CG554" s="151"/>
      <c r="CH554" s="151"/>
      <c r="CI554" s="151"/>
      <c r="CJ554" s="151"/>
      <c r="CK554" s="151"/>
      <c r="CL554" s="151"/>
      <c r="CM554" s="151"/>
      <c r="CN554" s="151"/>
      <c r="CO554" s="151"/>
      <c r="CP554" s="151"/>
      <c r="CQ554" s="151"/>
      <c r="CR554" s="151"/>
      <c r="CS554" s="151"/>
      <c r="CT554" s="151"/>
      <c r="CU554" s="151"/>
      <c r="CV554" s="151"/>
      <c r="CW554" s="151"/>
      <c r="CX554" s="151"/>
      <c r="CY554" s="151"/>
      <c r="CZ554" s="151"/>
      <c r="DA554" s="151"/>
      <c r="DB554" s="151"/>
      <c r="DC554" s="151"/>
      <c r="DD554" s="151"/>
      <c r="DE554" s="151"/>
      <c r="DF554" s="151"/>
      <c r="DG554" s="151"/>
      <c r="DH554" s="151"/>
      <c r="DI554" s="151"/>
      <c r="DJ554" s="151"/>
      <c r="DK554" s="151"/>
      <c r="DL554" s="151"/>
      <c r="DM554" s="151"/>
      <c r="DN554" s="151"/>
      <c r="DO554" s="151"/>
      <c r="DP554" s="151"/>
      <c r="DQ554" s="151"/>
      <c r="DR554" s="151"/>
      <c r="DS554" s="151"/>
      <c r="DT554" s="151"/>
      <c r="DU554" s="151"/>
      <c r="DV554" s="151"/>
      <c r="DW554" s="151"/>
      <c r="DX554" s="151"/>
      <c r="DY554" s="151"/>
      <c r="DZ554" s="151"/>
      <c r="EA554" s="151"/>
      <c r="EB554" s="151"/>
      <c r="EC554" s="151"/>
      <c r="ED554" s="151"/>
      <c r="EE554" s="151"/>
      <c r="EF554" s="151"/>
      <c r="EG554" s="151"/>
      <c r="EH554" s="151"/>
      <c r="EI554" s="151"/>
      <c r="EJ554" s="151"/>
      <c r="EK554" s="151"/>
      <c r="EL554" s="151"/>
      <c r="EM554" s="151"/>
      <c r="EN554" s="151"/>
      <c r="EO554" s="151"/>
      <c r="EP554" s="151"/>
      <c r="EQ554" s="151"/>
      <c r="ER554" s="151"/>
      <c r="ES554" s="151"/>
      <c r="ET554" s="151"/>
      <c r="EU554" s="151"/>
      <c r="EV554" s="151"/>
      <c r="EW554" s="151"/>
      <c r="EX554" s="151"/>
      <c r="EY554" s="151"/>
      <c r="EZ554" s="151"/>
      <c r="FA554" s="151"/>
      <c r="FB554" s="151"/>
      <c r="FC554" s="151"/>
      <c r="FD554" s="151"/>
      <c r="FE554" s="151"/>
      <c r="FF554" s="151"/>
      <c r="FG554" s="151"/>
      <c r="FH554" s="151"/>
      <c r="FI554" s="151"/>
      <c r="FJ554" s="151"/>
      <c r="FK554" s="151"/>
      <c r="FL554" s="151"/>
      <c r="FM554" s="151"/>
      <c r="FN554" s="151"/>
      <c r="FO554" s="151"/>
      <c r="FP554" s="151"/>
      <c r="FQ554" s="151"/>
      <c r="FR554" s="151"/>
      <c r="FS554" s="151"/>
      <c r="FT554" s="151"/>
      <c r="FU554" s="151"/>
      <c r="FV554" s="151"/>
      <c r="FW554" s="151"/>
      <c r="FX554" s="151"/>
      <c r="FY554" s="151"/>
      <c r="FZ554" s="151"/>
      <c r="GA554" s="151"/>
      <c r="GB554" s="151"/>
      <c r="GC554" s="151"/>
      <c r="GD554" s="151"/>
      <c r="GE554" s="151"/>
      <c r="GF554" s="151"/>
      <c r="GG554" s="152"/>
    </row>
    <row r="555" spans="1:189" x14ac:dyDescent="0.35">
      <c r="A555" s="268"/>
      <c r="B555" s="221"/>
      <c r="C555" s="221"/>
      <c r="D555" s="222"/>
      <c r="E555" s="221"/>
      <c r="F555" s="221"/>
      <c r="G555" s="223"/>
      <c r="H555" s="224"/>
      <c r="I555" s="225"/>
      <c r="J555" s="225"/>
      <c r="K555" s="225"/>
      <c r="L555" s="226"/>
      <c r="M555" s="226"/>
      <c r="N555" s="226"/>
      <c r="O555" s="226"/>
      <c r="P555" s="226"/>
      <c r="Q555" s="227"/>
      <c r="R555" s="228"/>
      <c r="S555" s="228"/>
      <c r="T555" s="228"/>
      <c r="U555" s="191">
        <f t="shared" si="503"/>
        <v>0</v>
      </c>
      <c r="V555" s="86"/>
      <c r="W555" s="45"/>
      <c r="X555" s="46"/>
      <c r="Y555" s="167">
        <f t="shared" si="504"/>
        <v>0</v>
      </c>
      <c r="Z555" s="167">
        <f t="shared" si="505"/>
        <v>0</v>
      </c>
      <c r="AA555" s="167">
        <f t="shared" si="506"/>
        <v>0</v>
      </c>
      <c r="AB555" s="167">
        <f t="shared" si="507"/>
        <v>0</v>
      </c>
      <c r="AC555" s="167">
        <f t="shared" si="508"/>
        <v>0</v>
      </c>
      <c r="AD555" s="167">
        <f t="shared" si="509"/>
        <v>0</v>
      </c>
      <c r="AF555" s="47">
        <f t="shared" si="510"/>
        <v>0</v>
      </c>
      <c r="AG555" s="202" t="str">
        <f t="shared" si="511"/>
        <v xml:space="preserve"> </v>
      </c>
      <c r="AH555" s="147"/>
      <c r="AI555" s="148"/>
      <c r="AJ555" s="148"/>
      <c r="AK555" s="148"/>
      <c r="AL555" s="148"/>
      <c r="AM555" s="148"/>
      <c r="AN555" s="148"/>
      <c r="AO555" s="148"/>
      <c r="AP555" s="148"/>
      <c r="AQ555" s="148"/>
      <c r="AR555" s="148"/>
      <c r="AS555" s="148"/>
      <c r="AT555" s="148"/>
      <c r="AU555" s="148"/>
      <c r="AV555" s="148"/>
      <c r="AW555" s="148"/>
      <c r="AX555" s="148"/>
      <c r="AY555" s="148"/>
      <c r="AZ555" s="148"/>
      <c r="BA555" s="148"/>
      <c r="BB555" s="148"/>
      <c r="BC555" s="148"/>
      <c r="BD555" s="148"/>
      <c r="BE555" s="148"/>
      <c r="BF555" s="148"/>
      <c r="BG555" s="148"/>
      <c r="BH555" s="148"/>
      <c r="BI555" s="148"/>
      <c r="BJ555" s="148"/>
      <c r="BK555" s="148"/>
      <c r="BL555" s="148"/>
      <c r="BM555" s="148"/>
      <c r="BN555" s="148"/>
      <c r="BO555" s="148"/>
      <c r="BP555" s="148"/>
      <c r="BQ555" s="148"/>
      <c r="BR555" s="148"/>
      <c r="BS555" s="148"/>
      <c r="BT555" s="148"/>
      <c r="BU555" s="148"/>
      <c r="BV555" s="148"/>
      <c r="BW555" s="148"/>
      <c r="BX555" s="148"/>
      <c r="BY555" s="148"/>
      <c r="BZ555" s="148"/>
      <c r="CA555" s="148"/>
      <c r="CB555" s="148"/>
      <c r="CC555" s="148"/>
      <c r="CD555" s="148"/>
      <c r="CE555" s="148"/>
      <c r="CF555" s="148"/>
      <c r="CG555" s="148"/>
      <c r="CH555" s="148"/>
      <c r="CI555" s="148"/>
      <c r="CJ555" s="148"/>
      <c r="CK555" s="148"/>
      <c r="CL555" s="148"/>
      <c r="CM555" s="148"/>
      <c r="CN555" s="148"/>
      <c r="CO555" s="148"/>
      <c r="CP555" s="148"/>
      <c r="CQ555" s="148"/>
      <c r="CR555" s="148"/>
      <c r="CS555" s="148"/>
      <c r="CT555" s="148"/>
      <c r="CU555" s="148"/>
      <c r="CV555" s="148"/>
      <c r="CW555" s="148"/>
      <c r="CX555" s="148"/>
      <c r="CY555" s="148"/>
      <c r="CZ555" s="148"/>
      <c r="DA555" s="148"/>
      <c r="DB555" s="148"/>
      <c r="DC555" s="148"/>
      <c r="DD555" s="148"/>
      <c r="DE555" s="148"/>
      <c r="DF555" s="148"/>
      <c r="DG555" s="148"/>
      <c r="DH555" s="148"/>
      <c r="DI555" s="148"/>
      <c r="DJ555" s="148"/>
      <c r="DK555" s="148"/>
      <c r="DL555" s="148"/>
      <c r="DM555" s="148"/>
      <c r="DN555" s="148"/>
      <c r="DO555" s="148"/>
      <c r="DP555" s="148"/>
      <c r="DQ555" s="148"/>
      <c r="DR555" s="148"/>
      <c r="DS555" s="148"/>
      <c r="DT555" s="148"/>
      <c r="DU555" s="148"/>
      <c r="DV555" s="148"/>
      <c r="DW555" s="148"/>
      <c r="DX555" s="148"/>
      <c r="DY555" s="148"/>
      <c r="DZ555" s="148"/>
      <c r="EA555" s="148"/>
      <c r="EB555" s="148"/>
      <c r="EC555" s="148"/>
      <c r="ED555" s="148"/>
      <c r="EE555" s="148"/>
      <c r="EF555" s="148"/>
      <c r="EG555" s="148"/>
      <c r="EH555" s="148"/>
      <c r="EI555" s="148"/>
      <c r="EJ555" s="148"/>
      <c r="EK555" s="148"/>
      <c r="EL555" s="148"/>
      <c r="EM555" s="148"/>
      <c r="EN555" s="148"/>
      <c r="EO555" s="148"/>
      <c r="EP555" s="148"/>
      <c r="EQ555" s="148"/>
      <c r="ER555" s="148"/>
      <c r="ES555" s="148"/>
      <c r="ET555" s="148"/>
      <c r="EU555" s="148"/>
      <c r="EV555" s="148"/>
      <c r="EW555" s="148"/>
      <c r="EX555" s="148"/>
      <c r="EY555" s="148"/>
      <c r="EZ555" s="148"/>
      <c r="FA555" s="148"/>
      <c r="FB555" s="148"/>
      <c r="FC555" s="148"/>
      <c r="FD555" s="148"/>
      <c r="FE555" s="148"/>
      <c r="FF555" s="148"/>
      <c r="FG555" s="148"/>
      <c r="FH555" s="148"/>
      <c r="FI555" s="148"/>
      <c r="FJ555" s="148"/>
      <c r="FK555" s="148"/>
      <c r="FL555" s="148"/>
      <c r="FM555" s="148"/>
      <c r="FN555" s="148"/>
      <c r="FO555" s="148"/>
      <c r="FP555" s="148"/>
      <c r="FQ555" s="148"/>
      <c r="FR555" s="148"/>
      <c r="FS555" s="148"/>
      <c r="FT555" s="148"/>
      <c r="FU555" s="148"/>
      <c r="FV555" s="148"/>
      <c r="FW555" s="148"/>
      <c r="FX555" s="148"/>
      <c r="FY555" s="148"/>
      <c r="FZ555" s="148"/>
      <c r="GA555" s="148"/>
      <c r="GB555" s="148"/>
      <c r="GC555" s="148"/>
      <c r="GD555" s="148"/>
      <c r="GE555" s="148"/>
      <c r="GF555" s="148"/>
      <c r="GG555" s="149"/>
    </row>
    <row r="556" spans="1:189" x14ac:dyDescent="0.35">
      <c r="A556" s="268"/>
      <c r="B556" s="221"/>
      <c r="C556" s="221"/>
      <c r="D556" s="222"/>
      <c r="E556" s="221"/>
      <c r="F556" s="221"/>
      <c r="G556" s="223"/>
      <c r="H556" s="224"/>
      <c r="I556" s="225"/>
      <c r="J556" s="225"/>
      <c r="K556" s="225"/>
      <c r="L556" s="226"/>
      <c r="M556" s="226"/>
      <c r="N556" s="226"/>
      <c r="O556" s="226"/>
      <c r="P556" s="226"/>
      <c r="Q556" s="227"/>
      <c r="R556" s="228"/>
      <c r="S556" s="228"/>
      <c r="T556" s="228"/>
      <c r="U556" s="191">
        <f t="shared" si="503"/>
        <v>0</v>
      </c>
      <c r="V556" s="86"/>
      <c r="W556" s="45"/>
      <c r="X556" s="46"/>
      <c r="Y556" s="167">
        <f t="shared" si="504"/>
        <v>0</v>
      </c>
      <c r="Z556" s="167">
        <f t="shared" si="505"/>
        <v>0</v>
      </c>
      <c r="AA556" s="167">
        <f t="shared" si="506"/>
        <v>0</v>
      </c>
      <c r="AB556" s="167">
        <f t="shared" si="507"/>
        <v>0</v>
      </c>
      <c r="AC556" s="167">
        <f t="shared" si="508"/>
        <v>0</v>
      </c>
      <c r="AD556" s="167">
        <f t="shared" si="509"/>
        <v>0</v>
      </c>
      <c r="AF556" s="47">
        <f t="shared" si="510"/>
        <v>0</v>
      </c>
      <c r="AG556" s="202" t="str">
        <f t="shared" si="511"/>
        <v xml:space="preserve"> </v>
      </c>
      <c r="AH556" s="150"/>
      <c r="AI556" s="151"/>
      <c r="AJ556" s="151"/>
      <c r="AK556" s="151"/>
      <c r="AL556" s="151"/>
      <c r="AM556" s="151"/>
      <c r="AN556" s="151"/>
      <c r="AO556" s="151"/>
      <c r="AP556" s="151"/>
      <c r="AQ556" s="151"/>
      <c r="AR556" s="151"/>
      <c r="AS556" s="151"/>
      <c r="AT556" s="151"/>
      <c r="AU556" s="151"/>
      <c r="AV556" s="151"/>
      <c r="AW556" s="151"/>
      <c r="AX556" s="151"/>
      <c r="AY556" s="151"/>
      <c r="AZ556" s="151"/>
      <c r="BA556" s="151"/>
      <c r="BB556" s="151"/>
      <c r="BC556" s="151"/>
      <c r="BD556" s="151"/>
      <c r="BE556" s="151"/>
      <c r="BF556" s="151"/>
      <c r="BG556" s="151"/>
      <c r="BH556" s="151"/>
      <c r="BI556" s="151"/>
      <c r="BJ556" s="151"/>
      <c r="BK556" s="151"/>
      <c r="BL556" s="151"/>
      <c r="BM556" s="151"/>
      <c r="BN556" s="151"/>
      <c r="BO556" s="151"/>
      <c r="BP556" s="151"/>
      <c r="BQ556" s="151"/>
      <c r="BR556" s="151"/>
      <c r="BS556" s="151"/>
      <c r="BT556" s="151"/>
      <c r="BU556" s="151"/>
      <c r="BV556" s="151"/>
      <c r="BW556" s="151"/>
      <c r="BX556" s="151"/>
      <c r="BY556" s="151"/>
      <c r="BZ556" s="151"/>
      <c r="CA556" s="151"/>
      <c r="CB556" s="151"/>
      <c r="CC556" s="151"/>
      <c r="CD556" s="151"/>
      <c r="CE556" s="151"/>
      <c r="CF556" s="151"/>
      <c r="CG556" s="151"/>
      <c r="CH556" s="151"/>
      <c r="CI556" s="151"/>
      <c r="CJ556" s="151"/>
      <c r="CK556" s="151"/>
      <c r="CL556" s="151"/>
      <c r="CM556" s="151"/>
      <c r="CN556" s="151"/>
      <c r="CO556" s="151"/>
      <c r="CP556" s="151"/>
      <c r="CQ556" s="151"/>
      <c r="CR556" s="151"/>
      <c r="CS556" s="151"/>
      <c r="CT556" s="151"/>
      <c r="CU556" s="151"/>
      <c r="CV556" s="151"/>
      <c r="CW556" s="151"/>
      <c r="CX556" s="151"/>
      <c r="CY556" s="151"/>
      <c r="CZ556" s="151"/>
      <c r="DA556" s="151"/>
      <c r="DB556" s="151"/>
      <c r="DC556" s="151"/>
      <c r="DD556" s="151"/>
      <c r="DE556" s="151"/>
      <c r="DF556" s="151"/>
      <c r="DG556" s="151"/>
      <c r="DH556" s="151"/>
      <c r="DI556" s="151"/>
      <c r="DJ556" s="151"/>
      <c r="DK556" s="151"/>
      <c r="DL556" s="151"/>
      <c r="DM556" s="151"/>
      <c r="DN556" s="151"/>
      <c r="DO556" s="151"/>
      <c r="DP556" s="151"/>
      <c r="DQ556" s="151"/>
      <c r="DR556" s="151"/>
      <c r="DS556" s="151"/>
      <c r="DT556" s="151"/>
      <c r="DU556" s="151"/>
      <c r="DV556" s="151"/>
      <c r="DW556" s="151"/>
      <c r="DX556" s="151"/>
      <c r="DY556" s="151"/>
      <c r="DZ556" s="151"/>
      <c r="EA556" s="151"/>
      <c r="EB556" s="151"/>
      <c r="EC556" s="151"/>
      <c r="ED556" s="151"/>
      <c r="EE556" s="151"/>
      <c r="EF556" s="151"/>
      <c r="EG556" s="151"/>
      <c r="EH556" s="151"/>
      <c r="EI556" s="151"/>
      <c r="EJ556" s="151"/>
      <c r="EK556" s="151"/>
      <c r="EL556" s="151"/>
      <c r="EM556" s="151"/>
      <c r="EN556" s="151"/>
      <c r="EO556" s="151"/>
      <c r="EP556" s="151"/>
      <c r="EQ556" s="151"/>
      <c r="ER556" s="151"/>
      <c r="ES556" s="151"/>
      <c r="ET556" s="151"/>
      <c r="EU556" s="151"/>
      <c r="EV556" s="151"/>
      <c r="EW556" s="151"/>
      <c r="EX556" s="151"/>
      <c r="EY556" s="151"/>
      <c r="EZ556" s="151"/>
      <c r="FA556" s="151"/>
      <c r="FB556" s="151"/>
      <c r="FC556" s="151"/>
      <c r="FD556" s="151"/>
      <c r="FE556" s="151"/>
      <c r="FF556" s="151"/>
      <c r="FG556" s="151"/>
      <c r="FH556" s="151"/>
      <c r="FI556" s="151"/>
      <c r="FJ556" s="151"/>
      <c r="FK556" s="151"/>
      <c r="FL556" s="151"/>
      <c r="FM556" s="151"/>
      <c r="FN556" s="151"/>
      <c r="FO556" s="151"/>
      <c r="FP556" s="151"/>
      <c r="FQ556" s="151"/>
      <c r="FR556" s="151"/>
      <c r="FS556" s="151"/>
      <c r="FT556" s="151"/>
      <c r="FU556" s="151"/>
      <c r="FV556" s="151"/>
      <c r="FW556" s="151"/>
      <c r="FX556" s="151"/>
      <c r="FY556" s="151"/>
      <c r="FZ556" s="151"/>
      <c r="GA556" s="151"/>
      <c r="GB556" s="151"/>
      <c r="GC556" s="151"/>
      <c r="GD556" s="151"/>
      <c r="GE556" s="151"/>
      <c r="GF556" s="151"/>
      <c r="GG556" s="152"/>
    </row>
    <row r="557" spans="1:189" x14ac:dyDescent="0.35">
      <c r="A557" s="268"/>
      <c r="B557" s="221"/>
      <c r="C557" s="221"/>
      <c r="D557" s="222"/>
      <c r="E557" s="221"/>
      <c r="F557" s="221"/>
      <c r="G557" s="223"/>
      <c r="H557" s="224"/>
      <c r="I557" s="225"/>
      <c r="J557" s="225"/>
      <c r="K557" s="225"/>
      <c r="L557" s="226"/>
      <c r="M557" s="226"/>
      <c r="N557" s="226"/>
      <c r="O557" s="226"/>
      <c r="P557" s="226"/>
      <c r="Q557" s="227"/>
      <c r="R557" s="228"/>
      <c r="S557" s="228"/>
      <c r="T557" s="228"/>
      <c r="U557" s="191">
        <f t="shared" si="503"/>
        <v>0</v>
      </c>
      <c r="V557" s="86"/>
      <c r="W557" s="45"/>
      <c r="X557" s="46"/>
      <c r="Y557" s="167">
        <f t="shared" si="504"/>
        <v>0</v>
      </c>
      <c r="Z557" s="167">
        <f t="shared" si="505"/>
        <v>0</v>
      </c>
      <c r="AA557" s="167">
        <f t="shared" si="506"/>
        <v>0</v>
      </c>
      <c r="AB557" s="167">
        <f t="shared" si="507"/>
        <v>0</v>
      </c>
      <c r="AC557" s="167">
        <f t="shared" si="508"/>
        <v>0</v>
      </c>
      <c r="AD557" s="167">
        <f t="shared" si="509"/>
        <v>0</v>
      </c>
      <c r="AF557" s="47">
        <f t="shared" si="510"/>
        <v>0</v>
      </c>
      <c r="AG557" s="202" t="str">
        <f t="shared" si="511"/>
        <v xml:space="preserve"> </v>
      </c>
      <c r="AH557" s="150"/>
      <c r="AI557" s="151"/>
      <c r="AJ557" s="151"/>
      <c r="AK557" s="151"/>
      <c r="AL557" s="151"/>
      <c r="AM557" s="151"/>
      <c r="AN557" s="151"/>
      <c r="AO557" s="151"/>
      <c r="AP557" s="151"/>
      <c r="AQ557" s="151"/>
      <c r="AR557" s="151"/>
      <c r="AS557" s="151"/>
      <c r="AT557" s="151"/>
      <c r="AU557" s="151"/>
      <c r="AV557" s="151"/>
      <c r="AW557" s="151"/>
      <c r="AX557" s="151"/>
      <c r="AY557" s="151"/>
      <c r="AZ557" s="151"/>
      <c r="BA557" s="151"/>
      <c r="BB557" s="151"/>
      <c r="BC557" s="151"/>
      <c r="BD557" s="151"/>
      <c r="BE557" s="151"/>
      <c r="BF557" s="151"/>
      <c r="BG557" s="151"/>
      <c r="BH557" s="151"/>
      <c r="BI557" s="151"/>
      <c r="BJ557" s="151"/>
      <c r="BK557" s="151"/>
      <c r="BL557" s="151"/>
      <c r="BM557" s="151"/>
      <c r="BN557" s="151"/>
      <c r="BO557" s="151"/>
      <c r="BP557" s="151"/>
      <c r="BQ557" s="151"/>
      <c r="BR557" s="151"/>
      <c r="BS557" s="151"/>
      <c r="BT557" s="151"/>
      <c r="BU557" s="151"/>
      <c r="BV557" s="151"/>
      <c r="BW557" s="151"/>
      <c r="BX557" s="151"/>
      <c r="BY557" s="151"/>
      <c r="BZ557" s="151"/>
      <c r="CA557" s="151"/>
      <c r="CB557" s="151"/>
      <c r="CC557" s="151"/>
      <c r="CD557" s="151"/>
      <c r="CE557" s="151"/>
      <c r="CF557" s="151"/>
      <c r="CG557" s="151"/>
      <c r="CH557" s="151"/>
      <c r="CI557" s="151"/>
      <c r="CJ557" s="151"/>
      <c r="CK557" s="151"/>
      <c r="CL557" s="151"/>
      <c r="CM557" s="151"/>
      <c r="CN557" s="151"/>
      <c r="CO557" s="151"/>
      <c r="CP557" s="151"/>
      <c r="CQ557" s="151"/>
      <c r="CR557" s="151"/>
      <c r="CS557" s="151"/>
      <c r="CT557" s="151"/>
      <c r="CU557" s="151"/>
      <c r="CV557" s="151"/>
      <c r="CW557" s="151"/>
      <c r="CX557" s="151"/>
      <c r="CY557" s="151"/>
      <c r="CZ557" s="151"/>
      <c r="DA557" s="151"/>
      <c r="DB557" s="151"/>
      <c r="DC557" s="151"/>
      <c r="DD557" s="151"/>
      <c r="DE557" s="151"/>
      <c r="DF557" s="151"/>
      <c r="DG557" s="151"/>
      <c r="DH557" s="151"/>
      <c r="DI557" s="151"/>
      <c r="DJ557" s="151"/>
      <c r="DK557" s="151"/>
      <c r="DL557" s="151"/>
      <c r="DM557" s="151"/>
      <c r="DN557" s="151"/>
      <c r="DO557" s="151"/>
      <c r="DP557" s="151"/>
      <c r="DQ557" s="151"/>
      <c r="DR557" s="151"/>
      <c r="DS557" s="151"/>
      <c r="DT557" s="151"/>
      <c r="DU557" s="151"/>
      <c r="DV557" s="151"/>
      <c r="DW557" s="151"/>
      <c r="DX557" s="151"/>
      <c r="DY557" s="151"/>
      <c r="DZ557" s="151"/>
      <c r="EA557" s="151"/>
      <c r="EB557" s="151"/>
      <c r="EC557" s="151"/>
      <c r="ED557" s="151"/>
      <c r="EE557" s="151"/>
      <c r="EF557" s="151"/>
      <c r="EG557" s="151"/>
      <c r="EH557" s="151"/>
      <c r="EI557" s="151"/>
      <c r="EJ557" s="151"/>
      <c r="EK557" s="151"/>
      <c r="EL557" s="151"/>
      <c r="EM557" s="151"/>
      <c r="EN557" s="151"/>
      <c r="EO557" s="151"/>
      <c r="EP557" s="151"/>
      <c r="EQ557" s="151"/>
      <c r="ER557" s="151"/>
      <c r="ES557" s="151"/>
      <c r="ET557" s="151"/>
      <c r="EU557" s="151"/>
      <c r="EV557" s="151"/>
      <c r="EW557" s="151"/>
      <c r="EX557" s="151"/>
      <c r="EY557" s="151"/>
      <c r="EZ557" s="151"/>
      <c r="FA557" s="151"/>
      <c r="FB557" s="151"/>
      <c r="FC557" s="151"/>
      <c r="FD557" s="151"/>
      <c r="FE557" s="151"/>
      <c r="FF557" s="151"/>
      <c r="FG557" s="151"/>
      <c r="FH557" s="151"/>
      <c r="FI557" s="151"/>
      <c r="FJ557" s="151"/>
      <c r="FK557" s="151"/>
      <c r="FL557" s="151"/>
      <c r="FM557" s="151"/>
      <c r="FN557" s="151"/>
      <c r="FO557" s="151"/>
      <c r="FP557" s="151"/>
      <c r="FQ557" s="151"/>
      <c r="FR557" s="151"/>
      <c r="FS557" s="151"/>
      <c r="FT557" s="151"/>
      <c r="FU557" s="151"/>
      <c r="FV557" s="151"/>
      <c r="FW557" s="151"/>
      <c r="FX557" s="151"/>
      <c r="FY557" s="151"/>
      <c r="FZ557" s="151"/>
      <c r="GA557" s="151"/>
      <c r="GB557" s="151"/>
      <c r="GC557" s="151"/>
      <c r="GD557" s="151"/>
      <c r="GE557" s="151"/>
      <c r="GF557" s="151"/>
      <c r="GG557" s="152"/>
    </row>
    <row r="558" spans="1:189" x14ac:dyDescent="0.35">
      <c r="A558" s="268"/>
      <c r="B558" s="221"/>
      <c r="C558" s="221"/>
      <c r="D558" s="222"/>
      <c r="E558" s="221"/>
      <c r="F558" s="221"/>
      <c r="G558" s="223"/>
      <c r="H558" s="224"/>
      <c r="I558" s="225"/>
      <c r="J558" s="225"/>
      <c r="K558" s="225"/>
      <c r="L558" s="226"/>
      <c r="M558" s="226"/>
      <c r="N558" s="226"/>
      <c r="O558" s="226"/>
      <c r="P558" s="226"/>
      <c r="Q558" s="227"/>
      <c r="R558" s="228"/>
      <c r="S558" s="228"/>
      <c r="T558" s="228"/>
      <c r="U558" s="191">
        <f t="shared" si="503"/>
        <v>0</v>
      </c>
      <c r="V558" s="86"/>
      <c r="W558" s="45"/>
      <c r="X558" s="46"/>
      <c r="Y558" s="167">
        <f t="shared" si="504"/>
        <v>0</v>
      </c>
      <c r="Z558" s="167">
        <f t="shared" si="505"/>
        <v>0</v>
      </c>
      <c r="AA558" s="167">
        <f t="shared" si="506"/>
        <v>0</v>
      </c>
      <c r="AB558" s="167">
        <f t="shared" si="507"/>
        <v>0</v>
      </c>
      <c r="AC558" s="167">
        <f t="shared" si="508"/>
        <v>0</v>
      </c>
      <c r="AD558" s="167">
        <f t="shared" si="509"/>
        <v>0</v>
      </c>
      <c r="AF558" s="47">
        <f t="shared" si="510"/>
        <v>0</v>
      </c>
      <c r="AG558" s="202" t="str">
        <f t="shared" si="511"/>
        <v xml:space="preserve"> </v>
      </c>
      <c r="AH558" s="150"/>
      <c r="AI558" s="151"/>
      <c r="AJ558" s="151"/>
      <c r="AK558" s="151"/>
      <c r="AL558" s="151"/>
      <c r="AM558" s="151"/>
      <c r="AN558" s="151"/>
      <c r="AO558" s="151"/>
      <c r="AP558" s="151"/>
      <c r="AQ558" s="151"/>
      <c r="AR558" s="151"/>
      <c r="AS558" s="151"/>
      <c r="AT558" s="151"/>
      <c r="AU558" s="151"/>
      <c r="AV558" s="151"/>
      <c r="AW558" s="151"/>
      <c r="AX558" s="151"/>
      <c r="AY558" s="151"/>
      <c r="AZ558" s="151"/>
      <c r="BA558" s="151"/>
      <c r="BB558" s="151"/>
      <c r="BC558" s="151"/>
      <c r="BD558" s="151"/>
      <c r="BE558" s="151"/>
      <c r="BF558" s="151"/>
      <c r="BG558" s="151"/>
      <c r="BH558" s="151"/>
      <c r="BI558" s="151"/>
      <c r="BJ558" s="151"/>
      <c r="BK558" s="151"/>
      <c r="BL558" s="151"/>
      <c r="BM558" s="151"/>
      <c r="BN558" s="151"/>
      <c r="BO558" s="151"/>
      <c r="BP558" s="151"/>
      <c r="BQ558" s="151"/>
      <c r="BR558" s="151"/>
      <c r="BS558" s="151"/>
      <c r="BT558" s="151"/>
      <c r="BU558" s="151"/>
      <c r="BV558" s="151"/>
      <c r="BW558" s="151"/>
      <c r="BX558" s="151"/>
      <c r="BY558" s="151"/>
      <c r="BZ558" s="151"/>
      <c r="CA558" s="151"/>
      <c r="CB558" s="151"/>
      <c r="CC558" s="151"/>
      <c r="CD558" s="151"/>
      <c r="CE558" s="151"/>
      <c r="CF558" s="151"/>
      <c r="CG558" s="151"/>
      <c r="CH558" s="151"/>
      <c r="CI558" s="151"/>
      <c r="CJ558" s="151"/>
      <c r="CK558" s="151"/>
      <c r="CL558" s="151"/>
      <c r="CM558" s="151"/>
      <c r="CN558" s="151"/>
      <c r="CO558" s="151"/>
      <c r="CP558" s="151"/>
      <c r="CQ558" s="151"/>
      <c r="CR558" s="151"/>
      <c r="CS558" s="151"/>
      <c r="CT558" s="151"/>
      <c r="CU558" s="151"/>
      <c r="CV558" s="151"/>
      <c r="CW558" s="151"/>
      <c r="CX558" s="151"/>
      <c r="CY558" s="151"/>
      <c r="CZ558" s="151"/>
      <c r="DA558" s="151"/>
      <c r="DB558" s="151"/>
      <c r="DC558" s="151"/>
      <c r="DD558" s="151"/>
      <c r="DE558" s="151"/>
      <c r="DF558" s="151"/>
      <c r="DG558" s="151"/>
      <c r="DH558" s="151"/>
      <c r="DI558" s="151"/>
      <c r="DJ558" s="151"/>
      <c r="DK558" s="151"/>
      <c r="DL558" s="151"/>
      <c r="DM558" s="151"/>
      <c r="DN558" s="151"/>
      <c r="DO558" s="151"/>
      <c r="DP558" s="151"/>
      <c r="DQ558" s="151"/>
      <c r="DR558" s="151"/>
      <c r="DS558" s="151"/>
      <c r="DT558" s="151"/>
      <c r="DU558" s="151"/>
      <c r="DV558" s="151"/>
      <c r="DW558" s="151"/>
      <c r="DX558" s="151"/>
      <c r="DY558" s="151"/>
      <c r="DZ558" s="151"/>
      <c r="EA558" s="151"/>
      <c r="EB558" s="151"/>
      <c r="EC558" s="151"/>
      <c r="ED558" s="151"/>
      <c r="EE558" s="151"/>
      <c r="EF558" s="151"/>
      <c r="EG558" s="151"/>
      <c r="EH558" s="151"/>
      <c r="EI558" s="151"/>
      <c r="EJ558" s="151"/>
      <c r="EK558" s="151"/>
      <c r="EL558" s="151"/>
      <c r="EM558" s="151"/>
      <c r="EN558" s="151"/>
      <c r="EO558" s="151"/>
      <c r="EP558" s="151"/>
      <c r="EQ558" s="151"/>
      <c r="ER558" s="151"/>
      <c r="ES558" s="151"/>
      <c r="ET558" s="151"/>
      <c r="EU558" s="151"/>
      <c r="EV558" s="151"/>
      <c r="EW558" s="151"/>
      <c r="EX558" s="151"/>
      <c r="EY558" s="151"/>
      <c r="EZ558" s="151"/>
      <c r="FA558" s="151"/>
      <c r="FB558" s="151"/>
      <c r="FC558" s="151"/>
      <c r="FD558" s="151"/>
      <c r="FE558" s="151"/>
      <c r="FF558" s="151"/>
      <c r="FG558" s="151"/>
      <c r="FH558" s="151"/>
      <c r="FI558" s="151"/>
      <c r="FJ558" s="151"/>
      <c r="FK558" s="151"/>
      <c r="FL558" s="151"/>
      <c r="FM558" s="151"/>
      <c r="FN558" s="151"/>
      <c r="FO558" s="151"/>
      <c r="FP558" s="151"/>
      <c r="FQ558" s="151"/>
      <c r="FR558" s="151"/>
      <c r="FS558" s="151"/>
      <c r="FT558" s="151"/>
      <c r="FU558" s="151"/>
      <c r="FV558" s="151"/>
      <c r="FW558" s="151"/>
      <c r="FX558" s="151"/>
      <c r="FY558" s="151"/>
      <c r="FZ558" s="151"/>
      <c r="GA558" s="151"/>
      <c r="GB558" s="151"/>
      <c r="GC558" s="151"/>
      <c r="GD558" s="151"/>
      <c r="GE558" s="151"/>
      <c r="GF558" s="151"/>
      <c r="GG558" s="152"/>
    </row>
    <row r="559" spans="1:189" x14ac:dyDescent="0.35">
      <c r="A559" s="268"/>
      <c r="B559" s="221"/>
      <c r="C559" s="221"/>
      <c r="D559" s="222"/>
      <c r="E559" s="221"/>
      <c r="F559" s="221"/>
      <c r="G559" s="223"/>
      <c r="H559" s="224"/>
      <c r="I559" s="225"/>
      <c r="J559" s="225"/>
      <c r="K559" s="225"/>
      <c r="L559" s="226"/>
      <c r="M559" s="226"/>
      <c r="N559" s="226"/>
      <c r="O559" s="226"/>
      <c r="P559" s="226"/>
      <c r="Q559" s="227"/>
      <c r="R559" s="228"/>
      <c r="S559" s="228"/>
      <c r="T559" s="228"/>
      <c r="U559" s="191">
        <f t="shared" si="503"/>
        <v>0</v>
      </c>
      <c r="V559" s="86"/>
      <c r="W559" s="45"/>
      <c r="X559" s="46"/>
      <c r="Y559" s="167">
        <f t="shared" si="504"/>
        <v>0</v>
      </c>
      <c r="Z559" s="167">
        <f t="shared" si="505"/>
        <v>0</v>
      </c>
      <c r="AA559" s="167">
        <f t="shared" si="506"/>
        <v>0</v>
      </c>
      <c r="AB559" s="167">
        <f t="shared" si="507"/>
        <v>0</v>
      </c>
      <c r="AC559" s="167">
        <f t="shared" si="508"/>
        <v>0</v>
      </c>
      <c r="AD559" s="167">
        <f t="shared" si="509"/>
        <v>0</v>
      </c>
      <c r="AF559" s="47">
        <f t="shared" si="510"/>
        <v>0</v>
      </c>
      <c r="AG559" s="202" t="str">
        <f t="shared" si="511"/>
        <v xml:space="preserve"> </v>
      </c>
      <c r="AH559" s="147"/>
      <c r="AI559" s="148"/>
      <c r="AJ559" s="148"/>
      <c r="AK559" s="148"/>
      <c r="AL559" s="148"/>
      <c r="AM559" s="148"/>
      <c r="AN559" s="148"/>
      <c r="AO559" s="148"/>
      <c r="AP559" s="148"/>
      <c r="AQ559" s="148"/>
      <c r="AR559" s="148"/>
      <c r="AS559" s="148"/>
      <c r="AT559" s="148"/>
      <c r="AU559" s="148"/>
      <c r="AV559" s="148"/>
      <c r="AW559" s="148"/>
      <c r="AX559" s="148"/>
      <c r="AY559" s="148"/>
      <c r="AZ559" s="148"/>
      <c r="BA559" s="148"/>
      <c r="BB559" s="148"/>
      <c r="BC559" s="148"/>
      <c r="BD559" s="148"/>
      <c r="BE559" s="148"/>
      <c r="BF559" s="148"/>
      <c r="BG559" s="148"/>
      <c r="BH559" s="148"/>
      <c r="BI559" s="148"/>
      <c r="BJ559" s="148"/>
      <c r="BK559" s="148"/>
      <c r="BL559" s="148"/>
      <c r="BM559" s="148"/>
      <c r="BN559" s="148"/>
      <c r="BO559" s="148"/>
      <c r="BP559" s="148"/>
      <c r="BQ559" s="148"/>
      <c r="BR559" s="148"/>
      <c r="BS559" s="148"/>
      <c r="BT559" s="148"/>
      <c r="BU559" s="148"/>
      <c r="BV559" s="148"/>
      <c r="BW559" s="148"/>
      <c r="BX559" s="148"/>
      <c r="BY559" s="148"/>
      <c r="BZ559" s="148"/>
      <c r="CA559" s="148"/>
      <c r="CB559" s="148"/>
      <c r="CC559" s="148"/>
      <c r="CD559" s="148"/>
      <c r="CE559" s="148"/>
      <c r="CF559" s="148"/>
      <c r="CG559" s="148"/>
      <c r="CH559" s="148"/>
      <c r="CI559" s="148"/>
      <c r="CJ559" s="148"/>
      <c r="CK559" s="148"/>
      <c r="CL559" s="148"/>
      <c r="CM559" s="148"/>
      <c r="CN559" s="148"/>
      <c r="CO559" s="148"/>
      <c r="CP559" s="148"/>
      <c r="CQ559" s="148"/>
      <c r="CR559" s="148"/>
      <c r="CS559" s="148"/>
      <c r="CT559" s="148"/>
      <c r="CU559" s="148"/>
      <c r="CV559" s="148"/>
      <c r="CW559" s="148"/>
      <c r="CX559" s="148"/>
      <c r="CY559" s="148"/>
      <c r="CZ559" s="148"/>
      <c r="DA559" s="148"/>
      <c r="DB559" s="148"/>
      <c r="DC559" s="148"/>
      <c r="DD559" s="148"/>
      <c r="DE559" s="148"/>
      <c r="DF559" s="148"/>
      <c r="DG559" s="148"/>
      <c r="DH559" s="148"/>
      <c r="DI559" s="148"/>
      <c r="DJ559" s="148"/>
      <c r="DK559" s="148"/>
      <c r="DL559" s="148"/>
      <c r="DM559" s="148"/>
      <c r="DN559" s="148"/>
      <c r="DO559" s="148"/>
      <c r="DP559" s="148"/>
      <c r="DQ559" s="148"/>
      <c r="DR559" s="148"/>
      <c r="DS559" s="148"/>
      <c r="DT559" s="148"/>
      <c r="DU559" s="148"/>
      <c r="DV559" s="148"/>
      <c r="DW559" s="148"/>
      <c r="DX559" s="148"/>
      <c r="DY559" s="148"/>
      <c r="DZ559" s="148"/>
      <c r="EA559" s="148"/>
      <c r="EB559" s="148"/>
      <c r="EC559" s="148"/>
      <c r="ED559" s="148"/>
      <c r="EE559" s="148"/>
      <c r="EF559" s="148"/>
      <c r="EG559" s="148"/>
      <c r="EH559" s="148"/>
      <c r="EI559" s="148"/>
      <c r="EJ559" s="148"/>
      <c r="EK559" s="148"/>
      <c r="EL559" s="148"/>
      <c r="EM559" s="148"/>
      <c r="EN559" s="148"/>
      <c r="EO559" s="148"/>
      <c r="EP559" s="148"/>
      <c r="EQ559" s="148"/>
      <c r="ER559" s="148"/>
      <c r="ES559" s="148"/>
      <c r="ET559" s="148"/>
      <c r="EU559" s="148"/>
      <c r="EV559" s="148"/>
      <c r="EW559" s="148"/>
      <c r="EX559" s="148"/>
      <c r="EY559" s="148"/>
      <c r="EZ559" s="148"/>
      <c r="FA559" s="148"/>
      <c r="FB559" s="148"/>
      <c r="FC559" s="148"/>
      <c r="FD559" s="148"/>
      <c r="FE559" s="148"/>
      <c r="FF559" s="148"/>
      <c r="FG559" s="148"/>
      <c r="FH559" s="148"/>
      <c r="FI559" s="148"/>
      <c r="FJ559" s="148"/>
      <c r="FK559" s="148"/>
      <c r="FL559" s="148"/>
      <c r="FM559" s="148"/>
      <c r="FN559" s="148"/>
      <c r="FO559" s="148"/>
      <c r="FP559" s="148"/>
      <c r="FQ559" s="148"/>
      <c r="FR559" s="148"/>
      <c r="FS559" s="148"/>
      <c r="FT559" s="148"/>
      <c r="FU559" s="148"/>
      <c r="FV559" s="148"/>
      <c r="FW559" s="148"/>
      <c r="FX559" s="148"/>
      <c r="FY559" s="148"/>
      <c r="FZ559" s="148"/>
      <c r="GA559" s="148"/>
      <c r="GB559" s="148"/>
      <c r="GC559" s="148"/>
      <c r="GD559" s="148"/>
      <c r="GE559" s="148"/>
      <c r="GF559" s="148"/>
      <c r="GG559" s="149"/>
    </row>
    <row r="560" spans="1:189" x14ac:dyDescent="0.35">
      <c r="A560" s="268"/>
      <c r="B560" s="221"/>
      <c r="C560" s="221"/>
      <c r="D560" s="222"/>
      <c r="E560" s="221"/>
      <c r="F560" s="221"/>
      <c r="G560" s="223"/>
      <c r="H560" s="224"/>
      <c r="I560" s="225"/>
      <c r="J560" s="225"/>
      <c r="K560" s="225"/>
      <c r="L560" s="226"/>
      <c r="M560" s="226"/>
      <c r="N560" s="226"/>
      <c r="O560" s="226"/>
      <c r="P560" s="226"/>
      <c r="Q560" s="227"/>
      <c r="R560" s="228"/>
      <c r="S560" s="228"/>
      <c r="T560" s="228"/>
      <c r="U560" s="191">
        <f t="shared" si="503"/>
        <v>0</v>
      </c>
      <c r="V560" s="86"/>
      <c r="W560" s="45"/>
      <c r="X560" s="46"/>
      <c r="Y560" s="167">
        <f t="shared" si="504"/>
        <v>0</v>
      </c>
      <c r="Z560" s="167">
        <f t="shared" si="505"/>
        <v>0</v>
      </c>
      <c r="AA560" s="167">
        <f t="shared" si="506"/>
        <v>0</v>
      </c>
      <c r="AB560" s="167">
        <f t="shared" si="507"/>
        <v>0</v>
      </c>
      <c r="AC560" s="167">
        <f t="shared" si="508"/>
        <v>0</v>
      </c>
      <c r="AD560" s="167">
        <f t="shared" si="509"/>
        <v>0</v>
      </c>
      <c r="AF560" s="47">
        <f t="shared" si="510"/>
        <v>0</v>
      </c>
      <c r="AG560" s="202" t="str">
        <f t="shared" si="511"/>
        <v xml:space="preserve"> </v>
      </c>
      <c r="AH560" s="150"/>
      <c r="AI560" s="151"/>
      <c r="AJ560" s="151"/>
      <c r="AK560" s="151"/>
      <c r="AL560" s="151"/>
      <c r="AM560" s="151"/>
      <c r="AN560" s="151"/>
      <c r="AO560" s="151"/>
      <c r="AP560" s="151"/>
      <c r="AQ560" s="151"/>
      <c r="AR560" s="151"/>
      <c r="AS560" s="151"/>
      <c r="AT560" s="151"/>
      <c r="AU560" s="151"/>
      <c r="AV560" s="151"/>
      <c r="AW560" s="151"/>
      <c r="AX560" s="151"/>
      <c r="AY560" s="151"/>
      <c r="AZ560" s="151"/>
      <c r="BA560" s="151"/>
      <c r="BB560" s="151"/>
      <c r="BC560" s="151"/>
      <c r="BD560" s="151"/>
      <c r="BE560" s="151"/>
      <c r="BF560" s="151"/>
      <c r="BG560" s="151"/>
      <c r="BH560" s="151"/>
      <c r="BI560" s="151"/>
      <c r="BJ560" s="151"/>
      <c r="BK560" s="151"/>
      <c r="BL560" s="151"/>
      <c r="BM560" s="151"/>
      <c r="BN560" s="151"/>
      <c r="BO560" s="151"/>
      <c r="BP560" s="151"/>
      <c r="BQ560" s="151"/>
      <c r="BR560" s="151"/>
      <c r="BS560" s="151"/>
      <c r="BT560" s="151"/>
      <c r="BU560" s="151"/>
      <c r="BV560" s="151"/>
      <c r="BW560" s="151"/>
      <c r="BX560" s="151"/>
      <c r="BY560" s="151"/>
      <c r="BZ560" s="151"/>
      <c r="CA560" s="151"/>
      <c r="CB560" s="151"/>
      <c r="CC560" s="151"/>
      <c r="CD560" s="151"/>
      <c r="CE560" s="151"/>
      <c r="CF560" s="151"/>
      <c r="CG560" s="151"/>
      <c r="CH560" s="151"/>
      <c r="CI560" s="151"/>
      <c r="CJ560" s="151"/>
      <c r="CK560" s="151"/>
      <c r="CL560" s="151"/>
      <c r="CM560" s="151"/>
      <c r="CN560" s="151"/>
      <c r="CO560" s="151"/>
      <c r="CP560" s="151"/>
      <c r="CQ560" s="151"/>
      <c r="CR560" s="151"/>
      <c r="CS560" s="151"/>
      <c r="CT560" s="151"/>
      <c r="CU560" s="151"/>
      <c r="CV560" s="151"/>
      <c r="CW560" s="151"/>
      <c r="CX560" s="151"/>
      <c r="CY560" s="151"/>
      <c r="CZ560" s="151"/>
      <c r="DA560" s="151"/>
      <c r="DB560" s="151"/>
      <c r="DC560" s="151"/>
      <c r="DD560" s="151"/>
      <c r="DE560" s="151"/>
      <c r="DF560" s="151"/>
      <c r="DG560" s="151"/>
      <c r="DH560" s="151"/>
      <c r="DI560" s="151"/>
      <c r="DJ560" s="151"/>
      <c r="DK560" s="151"/>
      <c r="DL560" s="151"/>
      <c r="DM560" s="151"/>
      <c r="DN560" s="151"/>
      <c r="DO560" s="151"/>
      <c r="DP560" s="151"/>
      <c r="DQ560" s="151"/>
      <c r="DR560" s="151"/>
      <c r="DS560" s="151"/>
      <c r="DT560" s="151"/>
      <c r="DU560" s="151"/>
      <c r="DV560" s="151"/>
      <c r="DW560" s="151"/>
      <c r="DX560" s="151"/>
      <c r="DY560" s="151"/>
      <c r="DZ560" s="151"/>
      <c r="EA560" s="151"/>
      <c r="EB560" s="151"/>
      <c r="EC560" s="151"/>
      <c r="ED560" s="151"/>
      <c r="EE560" s="151"/>
      <c r="EF560" s="151"/>
      <c r="EG560" s="151"/>
      <c r="EH560" s="151"/>
      <c r="EI560" s="151"/>
      <c r="EJ560" s="151"/>
      <c r="EK560" s="151"/>
      <c r="EL560" s="151"/>
      <c r="EM560" s="151"/>
      <c r="EN560" s="151"/>
      <c r="EO560" s="151"/>
      <c r="EP560" s="151"/>
      <c r="EQ560" s="151"/>
      <c r="ER560" s="151"/>
      <c r="ES560" s="151"/>
      <c r="ET560" s="151"/>
      <c r="EU560" s="151"/>
      <c r="EV560" s="151"/>
      <c r="EW560" s="151"/>
      <c r="EX560" s="151"/>
      <c r="EY560" s="151"/>
      <c r="EZ560" s="151"/>
      <c r="FA560" s="151"/>
      <c r="FB560" s="151"/>
      <c r="FC560" s="151"/>
      <c r="FD560" s="151"/>
      <c r="FE560" s="151"/>
      <c r="FF560" s="151"/>
      <c r="FG560" s="151"/>
      <c r="FH560" s="151"/>
      <c r="FI560" s="151"/>
      <c r="FJ560" s="151"/>
      <c r="FK560" s="151"/>
      <c r="FL560" s="151"/>
      <c r="FM560" s="151"/>
      <c r="FN560" s="151"/>
      <c r="FO560" s="151"/>
      <c r="FP560" s="151"/>
      <c r="FQ560" s="151"/>
      <c r="FR560" s="151"/>
      <c r="FS560" s="151"/>
      <c r="FT560" s="151"/>
      <c r="FU560" s="151"/>
      <c r="FV560" s="151"/>
      <c r="FW560" s="151"/>
      <c r="FX560" s="151"/>
      <c r="FY560" s="151"/>
      <c r="FZ560" s="151"/>
      <c r="GA560" s="151"/>
      <c r="GB560" s="151"/>
      <c r="GC560" s="151"/>
      <c r="GD560" s="151"/>
      <c r="GE560" s="151"/>
      <c r="GF560" s="151"/>
      <c r="GG560" s="152"/>
    </row>
    <row r="561" spans="1:189" x14ac:dyDescent="0.35">
      <c r="A561" s="268"/>
      <c r="B561" s="221"/>
      <c r="C561" s="221"/>
      <c r="D561" s="222"/>
      <c r="E561" s="221"/>
      <c r="F561" s="221"/>
      <c r="G561" s="223"/>
      <c r="H561" s="224"/>
      <c r="I561" s="225"/>
      <c r="J561" s="225"/>
      <c r="K561" s="225"/>
      <c r="L561" s="226"/>
      <c r="M561" s="226"/>
      <c r="N561" s="226"/>
      <c r="O561" s="226"/>
      <c r="P561" s="226"/>
      <c r="Q561" s="227"/>
      <c r="R561" s="228"/>
      <c r="S561" s="228"/>
      <c r="T561" s="228"/>
      <c r="U561" s="191">
        <f t="shared" si="503"/>
        <v>0</v>
      </c>
      <c r="V561" s="86"/>
      <c r="W561" s="45"/>
      <c r="X561" s="46"/>
      <c r="Y561" s="167">
        <f t="shared" si="504"/>
        <v>0</v>
      </c>
      <c r="Z561" s="167">
        <f t="shared" si="505"/>
        <v>0</v>
      </c>
      <c r="AA561" s="167">
        <f t="shared" si="506"/>
        <v>0</v>
      </c>
      <c r="AB561" s="167">
        <f t="shared" si="507"/>
        <v>0</v>
      </c>
      <c r="AC561" s="167">
        <f t="shared" si="508"/>
        <v>0</v>
      </c>
      <c r="AD561" s="167">
        <f t="shared" si="509"/>
        <v>0</v>
      </c>
      <c r="AF561" s="47">
        <f t="shared" si="510"/>
        <v>0</v>
      </c>
      <c r="AG561" s="202" t="str">
        <f t="shared" si="511"/>
        <v xml:space="preserve"> </v>
      </c>
      <c r="AH561" s="150"/>
      <c r="AI561" s="151"/>
      <c r="AJ561" s="151"/>
      <c r="AK561" s="151"/>
      <c r="AL561" s="151"/>
      <c r="AM561" s="151"/>
      <c r="AN561" s="151"/>
      <c r="AO561" s="151"/>
      <c r="AP561" s="151"/>
      <c r="AQ561" s="151"/>
      <c r="AR561" s="151"/>
      <c r="AS561" s="151"/>
      <c r="AT561" s="151"/>
      <c r="AU561" s="151"/>
      <c r="AV561" s="151"/>
      <c r="AW561" s="151"/>
      <c r="AX561" s="151"/>
      <c r="AY561" s="151"/>
      <c r="AZ561" s="151"/>
      <c r="BA561" s="151"/>
      <c r="BB561" s="151"/>
      <c r="BC561" s="151"/>
      <c r="BD561" s="151"/>
      <c r="BE561" s="151"/>
      <c r="BF561" s="151"/>
      <c r="BG561" s="151"/>
      <c r="BH561" s="151"/>
      <c r="BI561" s="151"/>
      <c r="BJ561" s="151"/>
      <c r="BK561" s="151"/>
      <c r="BL561" s="151"/>
      <c r="BM561" s="151"/>
      <c r="BN561" s="151"/>
      <c r="BO561" s="151"/>
      <c r="BP561" s="151"/>
      <c r="BQ561" s="151"/>
      <c r="BR561" s="151"/>
      <c r="BS561" s="151"/>
      <c r="BT561" s="151"/>
      <c r="BU561" s="151"/>
      <c r="BV561" s="151"/>
      <c r="BW561" s="151"/>
      <c r="BX561" s="151"/>
      <c r="BY561" s="151"/>
      <c r="BZ561" s="151"/>
      <c r="CA561" s="151"/>
      <c r="CB561" s="151"/>
      <c r="CC561" s="151"/>
      <c r="CD561" s="151"/>
      <c r="CE561" s="151"/>
      <c r="CF561" s="151"/>
      <c r="CG561" s="151"/>
      <c r="CH561" s="151"/>
      <c r="CI561" s="151"/>
      <c r="CJ561" s="151"/>
      <c r="CK561" s="151"/>
      <c r="CL561" s="151"/>
      <c r="CM561" s="151"/>
      <c r="CN561" s="151"/>
      <c r="CO561" s="151"/>
      <c r="CP561" s="151"/>
      <c r="CQ561" s="151"/>
      <c r="CR561" s="151"/>
      <c r="CS561" s="151"/>
      <c r="CT561" s="151"/>
      <c r="CU561" s="151"/>
      <c r="CV561" s="151"/>
      <c r="CW561" s="151"/>
      <c r="CX561" s="151"/>
      <c r="CY561" s="151"/>
      <c r="CZ561" s="151"/>
      <c r="DA561" s="151"/>
      <c r="DB561" s="151"/>
      <c r="DC561" s="151"/>
      <c r="DD561" s="151"/>
      <c r="DE561" s="151"/>
      <c r="DF561" s="151"/>
      <c r="DG561" s="151"/>
      <c r="DH561" s="151"/>
      <c r="DI561" s="151"/>
      <c r="DJ561" s="151"/>
      <c r="DK561" s="151"/>
      <c r="DL561" s="151"/>
      <c r="DM561" s="151"/>
      <c r="DN561" s="151"/>
      <c r="DO561" s="151"/>
      <c r="DP561" s="151"/>
      <c r="DQ561" s="151"/>
      <c r="DR561" s="151"/>
      <c r="DS561" s="151"/>
      <c r="DT561" s="151"/>
      <c r="DU561" s="151"/>
      <c r="DV561" s="151"/>
      <c r="DW561" s="151"/>
      <c r="DX561" s="151"/>
      <c r="DY561" s="151"/>
      <c r="DZ561" s="151"/>
      <c r="EA561" s="151"/>
      <c r="EB561" s="151"/>
      <c r="EC561" s="151"/>
      <c r="ED561" s="151"/>
      <c r="EE561" s="151"/>
      <c r="EF561" s="151"/>
      <c r="EG561" s="151"/>
      <c r="EH561" s="151"/>
      <c r="EI561" s="151"/>
      <c r="EJ561" s="151"/>
      <c r="EK561" s="151"/>
      <c r="EL561" s="151"/>
      <c r="EM561" s="151"/>
      <c r="EN561" s="151"/>
      <c r="EO561" s="151"/>
      <c r="EP561" s="151"/>
      <c r="EQ561" s="151"/>
      <c r="ER561" s="151"/>
      <c r="ES561" s="151"/>
      <c r="ET561" s="151"/>
      <c r="EU561" s="151"/>
      <c r="EV561" s="151"/>
      <c r="EW561" s="151"/>
      <c r="EX561" s="151"/>
      <c r="EY561" s="151"/>
      <c r="EZ561" s="151"/>
      <c r="FA561" s="151"/>
      <c r="FB561" s="151"/>
      <c r="FC561" s="151"/>
      <c r="FD561" s="151"/>
      <c r="FE561" s="151"/>
      <c r="FF561" s="151"/>
      <c r="FG561" s="151"/>
      <c r="FH561" s="151"/>
      <c r="FI561" s="151"/>
      <c r="FJ561" s="151"/>
      <c r="FK561" s="151"/>
      <c r="FL561" s="151"/>
      <c r="FM561" s="151"/>
      <c r="FN561" s="151"/>
      <c r="FO561" s="151"/>
      <c r="FP561" s="151"/>
      <c r="FQ561" s="151"/>
      <c r="FR561" s="151"/>
      <c r="FS561" s="151"/>
      <c r="FT561" s="151"/>
      <c r="FU561" s="151"/>
      <c r="FV561" s="151"/>
      <c r="FW561" s="151"/>
      <c r="FX561" s="151"/>
      <c r="FY561" s="151"/>
      <c r="FZ561" s="151"/>
      <c r="GA561" s="151"/>
      <c r="GB561" s="151"/>
      <c r="GC561" s="151"/>
      <c r="GD561" s="151"/>
      <c r="GE561" s="151"/>
      <c r="GF561" s="151"/>
      <c r="GG561" s="152"/>
    </row>
    <row r="562" spans="1:189" x14ac:dyDescent="0.35">
      <c r="A562" s="268"/>
      <c r="B562" s="221"/>
      <c r="C562" s="221"/>
      <c r="D562" s="222"/>
      <c r="E562" s="221"/>
      <c r="F562" s="221"/>
      <c r="G562" s="223"/>
      <c r="H562" s="224"/>
      <c r="I562" s="225"/>
      <c r="J562" s="225"/>
      <c r="K562" s="225"/>
      <c r="L562" s="226"/>
      <c r="M562" s="226"/>
      <c r="N562" s="226"/>
      <c r="O562" s="226"/>
      <c r="P562" s="226"/>
      <c r="Q562" s="227"/>
      <c r="R562" s="228"/>
      <c r="S562" s="228"/>
      <c r="T562" s="228"/>
      <c r="U562" s="191">
        <f t="shared" si="503"/>
        <v>0</v>
      </c>
      <c r="V562" s="86"/>
      <c r="W562" s="45"/>
      <c r="X562" s="46"/>
      <c r="Y562" s="167">
        <f t="shared" si="504"/>
        <v>0</v>
      </c>
      <c r="Z562" s="167">
        <f t="shared" si="505"/>
        <v>0</v>
      </c>
      <c r="AA562" s="167">
        <f t="shared" si="506"/>
        <v>0</v>
      </c>
      <c r="AB562" s="167">
        <f t="shared" si="507"/>
        <v>0</v>
      </c>
      <c r="AC562" s="167">
        <f t="shared" si="508"/>
        <v>0</v>
      </c>
      <c r="AD562" s="167">
        <f t="shared" si="509"/>
        <v>0</v>
      </c>
      <c r="AF562" s="47">
        <f t="shared" si="510"/>
        <v>0</v>
      </c>
      <c r="AG562" s="202" t="str">
        <f t="shared" si="511"/>
        <v xml:space="preserve"> </v>
      </c>
      <c r="AH562" s="150"/>
      <c r="AI562" s="151"/>
      <c r="AJ562" s="151"/>
      <c r="AK562" s="151"/>
      <c r="AL562" s="151"/>
      <c r="AM562" s="151"/>
      <c r="AN562" s="151"/>
      <c r="AO562" s="151"/>
      <c r="AP562" s="151"/>
      <c r="AQ562" s="151"/>
      <c r="AR562" s="151"/>
      <c r="AS562" s="151"/>
      <c r="AT562" s="151"/>
      <c r="AU562" s="151"/>
      <c r="AV562" s="151"/>
      <c r="AW562" s="151"/>
      <c r="AX562" s="151"/>
      <c r="AY562" s="151"/>
      <c r="AZ562" s="151"/>
      <c r="BA562" s="151"/>
      <c r="BB562" s="151"/>
      <c r="BC562" s="151"/>
      <c r="BD562" s="151"/>
      <c r="BE562" s="151"/>
      <c r="BF562" s="151"/>
      <c r="BG562" s="151"/>
      <c r="BH562" s="151"/>
      <c r="BI562" s="151"/>
      <c r="BJ562" s="151"/>
      <c r="BK562" s="151"/>
      <c r="BL562" s="151"/>
      <c r="BM562" s="151"/>
      <c r="BN562" s="151"/>
      <c r="BO562" s="151"/>
      <c r="BP562" s="151"/>
      <c r="BQ562" s="151"/>
      <c r="BR562" s="151"/>
      <c r="BS562" s="151"/>
      <c r="BT562" s="151"/>
      <c r="BU562" s="151"/>
      <c r="BV562" s="151"/>
      <c r="BW562" s="151"/>
      <c r="BX562" s="151"/>
      <c r="BY562" s="151"/>
      <c r="BZ562" s="151"/>
      <c r="CA562" s="151"/>
      <c r="CB562" s="151"/>
      <c r="CC562" s="151"/>
      <c r="CD562" s="151"/>
      <c r="CE562" s="151"/>
      <c r="CF562" s="151"/>
      <c r="CG562" s="151"/>
      <c r="CH562" s="151"/>
      <c r="CI562" s="151"/>
      <c r="CJ562" s="151"/>
      <c r="CK562" s="151"/>
      <c r="CL562" s="151"/>
      <c r="CM562" s="151"/>
      <c r="CN562" s="151"/>
      <c r="CO562" s="151"/>
      <c r="CP562" s="151"/>
      <c r="CQ562" s="151"/>
      <c r="CR562" s="151"/>
      <c r="CS562" s="151"/>
      <c r="CT562" s="151"/>
      <c r="CU562" s="151"/>
      <c r="CV562" s="151"/>
      <c r="CW562" s="151"/>
      <c r="CX562" s="151"/>
      <c r="CY562" s="151"/>
      <c r="CZ562" s="151"/>
      <c r="DA562" s="151"/>
      <c r="DB562" s="151"/>
      <c r="DC562" s="151"/>
      <c r="DD562" s="151"/>
      <c r="DE562" s="151"/>
      <c r="DF562" s="151"/>
      <c r="DG562" s="151"/>
      <c r="DH562" s="151"/>
      <c r="DI562" s="151"/>
      <c r="DJ562" s="151"/>
      <c r="DK562" s="151"/>
      <c r="DL562" s="151"/>
      <c r="DM562" s="151"/>
      <c r="DN562" s="151"/>
      <c r="DO562" s="151"/>
      <c r="DP562" s="151"/>
      <c r="DQ562" s="151"/>
      <c r="DR562" s="151"/>
      <c r="DS562" s="151"/>
      <c r="DT562" s="151"/>
      <c r="DU562" s="151"/>
      <c r="DV562" s="151"/>
      <c r="DW562" s="151"/>
      <c r="DX562" s="151"/>
      <c r="DY562" s="151"/>
      <c r="DZ562" s="151"/>
      <c r="EA562" s="151"/>
      <c r="EB562" s="151"/>
      <c r="EC562" s="151"/>
      <c r="ED562" s="151"/>
      <c r="EE562" s="151"/>
      <c r="EF562" s="151"/>
      <c r="EG562" s="151"/>
      <c r="EH562" s="151"/>
      <c r="EI562" s="151"/>
      <c r="EJ562" s="151"/>
      <c r="EK562" s="151"/>
      <c r="EL562" s="151"/>
      <c r="EM562" s="151"/>
      <c r="EN562" s="151"/>
      <c r="EO562" s="151"/>
      <c r="EP562" s="151"/>
      <c r="EQ562" s="151"/>
      <c r="ER562" s="151"/>
      <c r="ES562" s="151"/>
      <c r="ET562" s="151"/>
      <c r="EU562" s="151"/>
      <c r="EV562" s="151"/>
      <c r="EW562" s="151"/>
      <c r="EX562" s="151"/>
      <c r="EY562" s="151"/>
      <c r="EZ562" s="151"/>
      <c r="FA562" s="151"/>
      <c r="FB562" s="151"/>
      <c r="FC562" s="151"/>
      <c r="FD562" s="151"/>
      <c r="FE562" s="151"/>
      <c r="FF562" s="151"/>
      <c r="FG562" s="151"/>
      <c r="FH562" s="151"/>
      <c r="FI562" s="151"/>
      <c r="FJ562" s="151"/>
      <c r="FK562" s="151"/>
      <c r="FL562" s="151"/>
      <c r="FM562" s="151"/>
      <c r="FN562" s="151"/>
      <c r="FO562" s="151"/>
      <c r="FP562" s="151"/>
      <c r="FQ562" s="151"/>
      <c r="FR562" s="151"/>
      <c r="FS562" s="151"/>
      <c r="FT562" s="151"/>
      <c r="FU562" s="151"/>
      <c r="FV562" s="151"/>
      <c r="FW562" s="151"/>
      <c r="FX562" s="151"/>
      <c r="FY562" s="151"/>
      <c r="FZ562" s="151"/>
      <c r="GA562" s="151"/>
      <c r="GB562" s="151"/>
      <c r="GC562" s="151"/>
      <c r="GD562" s="151"/>
      <c r="GE562" s="151"/>
      <c r="GF562" s="151"/>
      <c r="GG562" s="152"/>
    </row>
    <row r="563" spans="1:189" x14ac:dyDescent="0.35">
      <c r="A563" s="268"/>
      <c r="B563" s="221"/>
      <c r="C563" s="221"/>
      <c r="D563" s="222"/>
      <c r="E563" s="221"/>
      <c r="F563" s="221"/>
      <c r="G563" s="223"/>
      <c r="H563" s="224"/>
      <c r="I563" s="225"/>
      <c r="J563" s="225"/>
      <c r="K563" s="225"/>
      <c r="L563" s="226"/>
      <c r="M563" s="226"/>
      <c r="N563" s="226"/>
      <c r="O563" s="226"/>
      <c r="P563" s="226"/>
      <c r="Q563" s="227"/>
      <c r="R563" s="228"/>
      <c r="S563" s="228"/>
      <c r="T563" s="228"/>
      <c r="U563" s="191">
        <f t="shared" si="503"/>
        <v>0</v>
      </c>
      <c r="V563" s="86"/>
      <c r="W563" s="45"/>
      <c r="X563" s="46"/>
      <c r="Y563" s="167">
        <f t="shared" si="504"/>
        <v>0</v>
      </c>
      <c r="Z563" s="167">
        <f t="shared" si="505"/>
        <v>0</v>
      </c>
      <c r="AA563" s="167">
        <f t="shared" si="506"/>
        <v>0</v>
      </c>
      <c r="AB563" s="167">
        <f t="shared" si="507"/>
        <v>0</v>
      </c>
      <c r="AC563" s="167">
        <f t="shared" si="508"/>
        <v>0</v>
      </c>
      <c r="AD563" s="167">
        <f t="shared" si="509"/>
        <v>0</v>
      </c>
      <c r="AF563" s="47">
        <f t="shared" si="510"/>
        <v>0</v>
      </c>
      <c r="AG563" s="202" t="str">
        <f t="shared" si="511"/>
        <v xml:space="preserve"> </v>
      </c>
      <c r="AH563" s="147"/>
      <c r="AI563" s="148"/>
      <c r="AJ563" s="148"/>
      <c r="AK563" s="148"/>
      <c r="AL563" s="148"/>
      <c r="AM563" s="148"/>
      <c r="AN563" s="148"/>
      <c r="AO563" s="148"/>
      <c r="AP563" s="148"/>
      <c r="AQ563" s="148"/>
      <c r="AR563" s="148"/>
      <c r="AS563" s="148"/>
      <c r="AT563" s="148"/>
      <c r="AU563" s="148"/>
      <c r="AV563" s="148"/>
      <c r="AW563" s="148"/>
      <c r="AX563" s="148"/>
      <c r="AY563" s="148"/>
      <c r="AZ563" s="148"/>
      <c r="BA563" s="148"/>
      <c r="BB563" s="148"/>
      <c r="BC563" s="148"/>
      <c r="BD563" s="148"/>
      <c r="BE563" s="148"/>
      <c r="BF563" s="148"/>
      <c r="BG563" s="148"/>
      <c r="BH563" s="148"/>
      <c r="BI563" s="148"/>
      <c r="BJ563" s="148"/>
      <c r="BK563" s="148"/>
      <c r="BL563" s="148"/>
      <c r="BM563" s="148"/>
      <c r="BN563" s="148"/>
      <c r="BO563" s="148"/>
      <c r="BP563" s="148"/>
      <c r="BQ563" s="148"/>
      <c r="BR563" s="148"/>
      <c r="BS563" s="148"/>
      <c r="BT563" s="148"/>
      <c r="BU563" s="148"/>
      <c r="BV563" s="148"/>
      <c r="BW563" s="148"/>
      <c r="BX563" s="148"/>
      <c r="BY563" s="148"/>
      <c r="BZ563" s="148"/>
      <c r="CA563" s="148"/>
      <c r="CB563" s="148"/>
      <c r="CC563" s="148"/>
      <c r="CD563" s="148"/>
      <c r="CE563" s="148"/>
      <c r="CF563" s="148"/>
      <c r="CG563" s="148"/>
      <c r="CH563" s="148"/>
      <c r="CI563" s="148"/>
      <c r="CJ563" s="148"/>
      <c r="CK563" s="148"/>
      <c r="CL563" s="148"/>
      <c r="CM563" s="148"/>
      <c r="CN563" s="148"/>
      <c r="CO563" s="148"/>
      <c r="CP563" s="148"/>
      <c r="CQ563" s="148"/>
      <c r="CR563" s="148"/>
      <c r="CS563" s="148"/>
      <c r="CT563" s="148"/>
      <c r="CU563" s="148"/>
      <c r="CV563" s="148"/>
      <c r="CW563" s="148"/>
      <c r="CX563" s="148"/>
      <c r="CY563" s="148"/>
      <c r="CZ563" s="148"/>
      <c r="DA563" s="148"/>
      <c r="DB563" s="148"/>
      <c r="DC563" s="148"/>
      <c r="DD563" s="148"/>
      <c r="DE563" s="148"/>
      <c r="DF563" s="148"/>
      <c r="DG563" s="148"/>
      <c r="DH563" s="148"/>
      <c r="DI563" s="148"/>
      <c r="DJ563" s="148"/>
      <c r="DK563" s="148"/>
      <c r="DL563" s="148"/>
      <c r="DM563" s="148"/>
      <c r="DN563" s="148"/>
      <c r="DO563" s="148"/>
      <c r="DP563" s="148"/>
      <c r="DQ563" s="148"/>
      <c r="DR563" s="148"/>
      <c r="DS563" s="148"/>
      <c r="DT563" s="148"/>
      <c r="DU563" s="148"/>
      <c r="DV563" s="148"/>
      <c r="DW563" s="148"/>
      <c r="DX563" s="148"/>
      <c r="DY563" s="148"/>
      <c r="DZ563" s="148"/>
      <c r="EA563" s="148"/>
      <c r="EB563" s="148"/>
      <c r="EC563" s="148"/>
      <c r="ED563" s="148"/>
      <c r="EE563" s="148"/>
      <c r="EF563" s="148"/>
      <c r="EG563" s="148"/>
      <c r="EH563" s="148"/>
      <c r="EI563" s="148"/>
      <c r="EJ563" s="148"/>
      <c r="EK563" s="148"/>
      <c r="EL563" s="148"/>
      <c r="EM563" s="148"/>
      <c r="EN563" s="148"/>
      <c r="EO563" s="148"/>
      <c r="EP563" s="148"/>
      <c r="EQ563" s="148"/>
      <c r="ER563" s="148"/>
      <c r="ES563" s="148"/>
      <c r="ET563" s="148"/>
      <c r="EU563" s="148"/>
      <c r="EV563" s="148"/>
      <c r="EW563" s="148"/>
      <c r="EX563" s="148"/>
      <c r="EY563" s="148"/>
      <c r="EZ563" s="148"/>
      <c r="FA563" s="148"/>
      <c r="FB563" s="148"/>
      <c r="FC563" s="148"/>
      <c r="FD563" s="148"/>
      <c r="FE563" s="148"/>
      <c r="FF563" s="148"/>
      <c r="FG563" s="148"/>
      <c r="FH563" s="148"/>
      <c r="FI563" s="148"/>
      <c r="FJ563" s="148"/>
      <c r="FK563" s="148"/>
      <c r="FL563" s="148"/>
      <c r="FM563" s="148"/>
      <c r="FN563" s="148"/>
      <c r="FO563" s="148"/>
      <c r="FP563" s="148"/>
      <c r="FQ563" s="148"/>
      <c r="FR563" s="148"/>
      <c r="FS563" s="148"/>
      <c r="FT563" s="148"/>
      <c r="FU563" s="148"/>
      <c r="FV563" s="148"/>
      <c r="FW563" s="148"/>
      <c r="FX563" s="148"/>
      <c r="FY563" s="148"/>
      <c r="FZ563" s="148"/>
      <c r="GA563" s="148"/>
      <c r="GB563" s="148"/>
      <c r="GC563" s="148"/>
      <c r="GD563" s="148"/>
      <c r="GE563" s="148"/>
      <c r="GF563" s="148"/>
      <c r="GG563" s="149"/>
    </row>
    <row r="564" spans="1:189" x14ac:dyDescent="0.35">
      <c r="A564" s="268"/>
      <c r="B564" s="221"/>
      <c r="C564" s="221"/>
      <c r="D564" s="222"/>
      <c r="E564" s="221"/>
      <c r="F564" s="221"/>
      <c r="G564" s="223"/>
      <c r="H564" s="224"/>
      <c r="I564" s="225"/>
      <c r="J564" s="225"/>
      <c r="K564" s="225"/>
      <c r="L564" s="226"/>
      <c r="M564" s="226"/>
      <c r="N564" s="226"/>
      <c r="O564" s="226"/>
      <c r="P564" s="226"/>
      <c r="Q564" s="227"/>
      <c r="R564" s="228"/>
      <c r="S564" s="228"/>
      <c r="T564" s="228"/>
      <c r="U564" s="191">
        <f t="shared" si="503"/>
        <v>0</v>
      </c>
      <c r="V564" s="86"/>
      <c r="W564" s="45"/>
      <c r="X564" s="46"/>
      <c r="Y564" s="167">
        <f t="shared" si="504"/>
        <v>0</v>
      </c>
      <c r="Z564" s="167">
        <f t="shared" si="505"/>
        <v>0</v>
      </c>
      <c r="AA564" s="167">
        <f t="shared" si="506"/>
        <v>0</v>
      </c>
      <c r="AB564" s="167">
        <f t="shared" si="507"/>
        <v>0</v>
      </c>
      <c r="AC564" s="167">
        <f t="shared" si="508"/>
        <v>0</v>
      </c>
      <c r="AD564" s="167">
        <f t="shared" si="509"/>
        <v>0</v>
      </c>
      <c r="AF564" s="47">
        <f t="shared" si="510"/>
        <v>0</v>
      </c>
      <c r="AG564" s="202" t="str">
        <f t="shared" si="511"/>
        <v xml:space="preserve"> </v>
      </c>
      <c r="AH564" s="150"/>
      <c r="AI564" s="151"/>
      <c r="AJ564" s="151"/>
      <c r="AK564" s="151"/>
      <c r="AL564" s="151"/>
      <c r="AM564" s="151"/>
      <c r="AN564" s="151"/>
      <c r="AO564" s="151"/>
      <c r="AP564" s="151"/>
      <c r="AQ564" s="151"/>
      <c r="AR564" s="151"/>
      <c r="AS564" s="151"/>
      <c r="AT564" s="151"/>
      <c r="AU564" s="151"/>
      <c r="AV564" s="151"/>
      <c r="AW564" s="151"/>
      <c r="AX564" s="151"/>
      <c r="AY564" s="151"/>
      <c r="AZ564" s="151"/>
      <c r="BA564" s="151"/>
      <c r="BB564" s="151"/>
      <c r="BC564" s="151"/>
      <c r="BD564" s="151"/>
      <c r="BE564" s="151"/>
      <c r="BF564" s="151"/>
      <c r="BG564" s="151"/>
      <c r="BH564" s="151"/>
      <c r="BI564" s="151"/>
      <c r="BJ564" s="151"/>
      <c r="BK564" s="151"/>
      <c r="BL564" s="151"/>
      <c r="BM564" s="151"/>
      <c r="BN564" s="151"/>
      <c r="BO564" s="151"/>
      <c r="BP564" s="151"/>
      <c r="BQ564" s="151"/>
      <c r="BR564" s="151"/>
      <c r="BS564" s="151"/>
      <c r="BT564" s="151"/>
      <c r="BU564" s="151"/>
      <c r="BV564" s="151"/>
      <c r="BW564" s="151"/>
      <c r="BX564" s="151"/>
      <c r="BY564" s="151"/>
      <c r="BZ564" s="151"/>
      <c r="CA564" s="151"/>
      <c r="CB564" s="151"/>
      <c r="CC564" s="151"/>
      <c r="CD564" s="151"/>
      <c r="CE564" s="151"/>
      <c r="CF564" s="151"/>
      <c r="CG564" s="151"/>
      <c r="CH564" s="151"/>
      <c r="CI564" s="151"/>
      <c r="CJ564" s="151"/>
      <c r="CK564" s="151"/>
      <c r="CL564" s="151"/>
      <c r="CM564" s="151"/>
      <c r="CN564" s="151"/>
      <c r="CO564" s="151"/>
      <c r="CP564" s="151"/>
      <c r="CQ564" s="151"/>
      <c r="CR564" s="151"/>
      <c r="CS564" s="151"/>
      <c r="CT564" s="151"/>
      <c r="CU564" s="151"/>
      <c r="CV564" s="151"/>
      <c r="CW564" s="151"/>
      <c r="CX564" s="151"/>
      <c r="CY564" s="151"/>
      <c r="CZ564" s="151"/>
      <c r="DA564" s="151"/>
      <c r="DB564" s="151"/>
      <c r="DC564" s="151"/>
      <c r="DD564" s="151"/>
      <c r="DE564" s="151"/>
      <c r="DF564" s="151"/>
      <c r="DG564" s="151"/>
      <c r="DH564" s="151"/>
      <c r="DI564" s="151"/>
      <c r="DJ564" s="151"/>
      <c r="DK564" s="151"/>
      <c r="DL564" s="151"/>
      <c r="DM564" s="151"/>
      <c r="DN564" s="151"/>
      <c r="DO564" s="151"/>
      <c r="DP564" s="151"/>
      <c r="DQ564" s="151"/>
      <c r="DR564" s="151"/>
      <c r="DS564" s="151"/>
      <c r="DT564" s="151"/>
      <c r="DU564" s="151"/>
      <c r="DV564" s="151"/>
      <c r="DW564" s="151"/>
      <c r="DX564" s="151"/>
      <c r="DY564" s="151"/>
      <c r="DZ564" s="151"/>
      <c r="EA564" s="151"/>
      <c r="EB564" s="151"/>
      <c r="EC564" s="151"/>
      <c r="ED564" s="151"/>
      <c r="EE564" s="151"/>
      <c r="EF564" s="151"/>
      <c r="EG564" s="151"/>
      <c r="EH564" s="151"/>
      <c r="EI564" s="151"/>
      <c r="EJ564" s="151"/>
      <c r="EK564" s="151"/>
      <c r="EL564" s="151"/>
      <c r="EM564" s="151"/>
      <c r="EN564" s="151"/>
      <c r="EO564" s="151"/>
      <c r="EP564" s="151"/>
      <c r="EQ564" s="151"/>
      <c r="ER564" s="151"/>
      <c r="ES564" s="151"/>
      <c r="ET564" s="151"/>
      <c r="EU564" s="151"/>
      <c r="EV564" s="151"/>
      <c r="EW564" s="151"/>
      <c r="EX564" s="151"/>
      <c r="EY564" s="151"/>
      <c r="EZ564" s="151"/>
      <c r="FA564" s="151"/>
      <c r="FB564" s="151"/>
      <c r="FC564" s="151"/>
      <c r="FD564" s="151"/>
      <c r="FE564" s="151"/>
      <c r="FF564" s="151"/>
      <c r="FG564" s="151"/>
      <c r="FH564" s="151"/>
      <c r="FI564" s="151"/>
      <c r="FJ564" s="151"/>
      <c r="FK564" s="151"/>
      <c r="FL564" s="151"/>
      <c r="FM564" s="151"/>
      <c r="FN564" s="151"/>
      <c r="FO564" s="151"/>
      <c r="FP564" s="151"/>
      <c r="FQ564" s="151"/>
      <c r="FR564" s="151"/>
      <c r="FS564" s="151"/>
      <c r="FT564" s="151"/>
      <c r="FU564" s="151"/>
      <c r="FV564" s="151"/>
      <c r="FW564" s="151"/>
      <c r="FX564" s="151"/>
      <c r="FY564" s="151"/>
      <c r="FZ564" s="151"/>
      <c r="GA564" s="151"/>
      <c r="GB564" s="151"/>
      <c r="GC564" s="151"/>
      <c r="GD564" s="151"/>
      <c r="GE564" s="151"/>
      <c r="GF564" s="151"/>
      <c r="GG564" s="152"/>
    </row>
    <row r="565" spans="1:189" x14ac:dyDescent="0.35">
      <c r="A565" s="268"/>
      <c r="B565" s="221"/>
      <c r="C565" s="221"/>
      <c r="D565" s="222"/>
      <c r="E565" s="221"/>
      <c r="F565" s="221"/>
      <c r="G565" s="223"/>
      <c r="H565" s="224"/>
      <c r="I565" s="225"/>
      <c r="J565" s="225"/>
      <c r="K565" s="225"/>
      <c r="L565" s="226"/>
      <c r="M565" s="226"/>
      <c r="N565" s="226"/>
      <c r="O565" s="226"/>
      <c r="P565" s="226"/>
      <c r="Q565" s="227"/>
      <c r="R565" s="228"/>
      <c r="S565" s="228"/>
      <c r="T565" s="228"/>
      <c r="U565" s="191">
        <f t="shared" si="503"/>
        <v>0</v>
      </c>
      <c r="V565" s="86"/>
      <c r="W565" s="45"/>
      <c r="X565" s="46"/>
      <c r="Y565" s="167">
        <f t="shared" si="504"/>
        <v>0</v>
      </c>
      <c r="Z565" s="167">
        <f t="shared" si="505"/>
        <v>0</v>
      </c>
      <c r="AA565" s="167">
        <f t="shared" si="506"/>
        <v>0</v>
      </c>
      <c r="AB565" s="167">
        <f t="shared" si="507"/>
        <v>0</v>
      </c>
      <c r="AC565" s="167">
        <f t="shared" si="508"/>
        <v>0</v>
      </c>
      <c r="AD565" s="167">
        <f t="shared" si="509"/>
        <v>0</v>
      </c>
      <c r="AF565" s="47">
        <f t="shared" si="510"/>
        <v>0</v>
      </c>
      <c r="AG565" s="202" t="str">
        <f t="shared" si="511"/>
        <v xml:space="preserve"> </v>
      </c>
      <c r="AH565" s="150"/>
      <c r="AI565" s="151"/>
      <c r="AJ565" s="151"/>
      <c r="AK565" s="151"/>
      <c r="AL565" s="151"/>
      <c r="AM565" s="151"/>
      <c r="AN565" s="151"/>
      <c r="AO565" s="151"/>
      <c r="AP565" s="151"/>
      <c r="AQ565" s="151"/>
      <c r="AR565" s="151"/>
      <c r="AS565" s="151"/>
      <c r="AT565" s="151"/>
      <c r="AU565" s="151"/>
      <c r="AV565" s="151"/>
      <c r="AW565" s="151"/>
      <c r="AX565" s="151"/>
      <c r="AY565" s="151"/>
      <c r="AZ565" s="151"/>
      <c r="BA565" s="151"/>
      <c r="BB565" s="151"/>
      <c r="BC565" s="151"/>
      <c r="BD565" s="151"/>
      <c r="BE565" s="151"/>
      <c r="BF565" s="151"/>
      <c r="BG565" s="151"/>
      <c r="BH565" s="151"/>
      <c r="BI565" s="151"/>
      <c r="BJ565" s="151"/>
      <c r="BK565" s="151"/>
      <c r="BL565" s="151"/>
      <c r="BM565" s="151"/>
      <c r="BN565" s="151"/>
      <c r="BO565" s="151"/>
      <c r="BP565" s="151"/>
      <c r="BQ565" s="151"/>
      <c r="BR565" s="151"/>
      <c r="BS565" s="151"/>
      <c r="BT565" s="151"/>
      <c r="BU565" s="151"/>
      <c r="BV565" s="151"/>
      <c r="BW565" s="151"/>
      <c r="BX565" s="151"/>
      <c r="BY565" s="151"/>
      <c r="BZ565" s="151"/>
      <c r="CA565" s="151"/>
      <c r="CB565" s="151"/>
      <c r="CC565" s="151"/>
      <c r="CD565" s="151"/>
      <c r="CE565" s="151"/>
      <c r="CF565" s="151"/>
      <c r="CG565" s="151"/>
      <c r="CH565" s="151"/>
      <c r="CI565" s="151"/>
      <c r="CJ565" s="151"/>
      <c r="CK565" s="151"/>
      <c r="CL565" s="151"/>
      <c r="CM565" s="151"/>
      <c r="CN565" s="151"/>
      <c r="CO565" s="151"/>
      <c r="CP565" s="151"/>
      <c r="CQ565" s="151"/>
      <c r="CR565" s="151"/>
      <c r="CS565" s="151"/>
      <c r="CT565" s="151"/>
      <c r="CU565" s="151"/>
      <c r="CV565" s="151"/>
      <c r="CW565" s="151"/>
      <c r="CX565" s="151"/>
      <c r="CY565" s="151"/>
      <c r="CZ565" s="151"/>
      <c r="DA565" s="151"/>
      <c r="DB565" s="151"/>
      <c r="DC565" s="151"/>
      <c r="DD565" s="151"/>
      <c r="DE565" s="151"/>
      <c r="DF565" s="151"/>
      <c r="DG565" s="151"/>
      <c r="DH565" s="151"/>
      <c r="DI565" s="151"/>
      <c r="DJ565" s="151"/>
      <c r="DK565" s="151"/>
      <c r="DL565" s="151"/>
      <c r="DM565" s="151"/>
      <c r="DN565" s="151"/>
      <c r="DO565" s="151"/>
      <c r="DP565" s="151"/>
      <c r="DQ565" s="151"/>
      <c r="DR565" s="151"/>
      <c r="DS565" s="151"/>
      <c r="DT565" s="151"/>
      <c r="DU565" s="151"/>
      <c r="DV565" s="151"/>
      <c r="DW565" s="151"/>
      <c r="DX565" s="151"/>
      <c r="DY565" s="151"/>
      <c r="DZ565" s="151"/>
      <c r="EA565" s="151"/>
      <c r="EB565" s="151"/>
      <c r="EC565" s="151"/>
      <c r="ED565" s="151"/>
      <c r="EE565" s="151"/>
      <c r="EF565" s="151"/>
      <c r="EG565" s="151"/>
      <c r="EH565" s="151"/>
      <c r="EI565" s="151"/>
      <c r="EJ565" s="151"/>
      <c r="EK565" s="151"/>
      <c r="EL565" s="151"/>
      <c r="EM565" s="151"/>
      <c r="EN565" s="151"/>
      <c r="EO565" s="151"/>
      <c r="EP565" s="151"/>
      <c r="EQ565" s="151"/>
      <c r="ER565" s="151"/>
      <c r="ES565" s="151"/>
      <c r="ET565" s="151"/>
      <c r="EU565" s="151"/>
      <c r="EV565" s="151"/>
      <c r="EW565" s="151"/>
      <c r="EX565" s="151"/>
      <c r="EY565" s="151"/>
      <c r="EZ565" s="151"/>
      <c r="FA565" s="151"/>
      <c r="FB565" s="151"/>
      <c r="FC565" s="151"/>
      <c r="FD565" s="151"/>
      <c r="FE565" s="151"/>
      <c r="FF565" s="151"/>
      <c r="FG565" s="151"/>
      <c r="FH565" s="151"/>
      <c r="FI565" s="151"/>
      <c r="FJ565" s="151"/>
      <c r="FK565" s="151"/>
      <c r="FL565" s="151"/>
      <c r="FM565" s="151"/>
      <c r="FN565" s="151"/>
      <c r="FO565" s="151"/>
      <c r="FP565" s="151"/>
      <c r="FQ565" s="151"/>
      <c r="FR565" s="151"/>
      <c r="FS565" s="151"/>
      <c r="FT565" s="151"/>
      <c r="FU565" s="151"/>
      <c r="FV565" s="151"/>
      <c r="FW565" s="151"/>
      <c r="FX565" s="151"/>
      <c r="FY565" s="151"/>
      <c r="FZ565" s="151"/>
      <c r="GA565" s="151"/>
      <c r="GB565" s="151"/>
      <c r="GC565" s="151"/>
      <c r="GD565" s="151"/>
      <c r="GE565" s="151"/>
      <c r="GF565" s="151"/>
      <c r="GG565" s="152"/>
    </row>
    <row r="566" spans="1:189" x14ac:dyDescent="0.35">
      <c r="A566" s="268"/>
      <c r="B566" s="221"/>
      <c r="C566" s="221"/>
      <c r="D566" s="222"/>
      <c r="E566" s="221"/>
      <c r="F566" s="221"/>
      <c r="G566" s="223"/>
      <c r="H566" s="224"/>
      <c r="I566" s="225"/>
      <c r="J566" s="225"/>
      <c r="K566" s="225"/>
      <c r="L566" s="226"/>
      <c r="M566" s="226"/>
      <c r="N566" s="226"/>
      <c r="O566" s="226"/>
      <c r="P566" s="226"/>
      <c r="Q566" s="227"/>
      <c r="R566" s="228"/>
      <c r="S566" s="228"/>
      <c r="T566" s="228"/>
      <c r="U566" s="191">
        <f t="shared" si="503"/>
        <v>0</v>
      </c>
      <c r="V566" s="86"/>
      <c r="W566" s="45"/>
      <c r="X566" s="46"/>
      <c r="Y566" s="167">
        <f t="shared" si="504"/>
        <v>0</v>
      </c>
      <c r="Z566" s="167">
        <f t="shared" si="505"/>
        <v>0</v>
      </c>
      <c r="AA566" s="167">
        <f t="shared" si="506"/>
        <v>0</v>
      </c>
      <c r="AB566" s="167">
        <f t="shared" si="507"/>
        <v>0</v>
      </c>
      <c r="AC566" s="167">
        <f t="shared" si="508"/>
        <v>0</v>
      </c>
      <c r="AD566" s="167">
        <f t="shared" si="509"/>
        <v>0</v>
      </c>
      <c r="AF566" s="47">
        <f t="shared" si="510"/>
        <v>0</v>
      </c>
      <c r="AG566" s="202" t="str">
        <f t="shared" si="511"/>
        <v xml:space="preserve"> </v>
      </c>
      <c r="AH566" s="150"/>
      <c r="AI566" s="151"/>
      <c r="AJ566" s="151"/>
      <c r="AK566" s="151"/>
      <c r="AL566" s="151"/>
      <c r="AM566" s="151"/>
      <c r="AN566" s="151"/>
      <c r="AO566" s="151"/>
      <c r="AP566" s="151"/>
      <c r="AQ566" s="151"/>
      <c r="AR566" s="151"/>
      <c r="AS566" s="151"/>
      <c r="AT566" s="151"/>
      <c r="AU566" s="151"/>
      <c r="AV566" s="151"/>
      <c r="AW566" s="151"/>
      <c r="AX566" s="151"/>
      <c r="AY566" s="151"/>
      <c r="AZ566" s="151"/>
      <c r="BA566" s="151"/>
      <c r="BB566" s="151"/>
      <c r="BC566" s="151"/>
      <c r="BD566" s="151"/>
      <c r="BE566" s="151"/>
      <c r="BF566" s="151"/>
      <c r="BG566" s="151"/>
      <c r="BH566" s="151"/>
      <c r="BI566" s="151"/>
      <c r="BJ566" s="151"/>
      <c r="BK566" s="151"/>
      <c r="BL566" s="151"/>
      <c r="BM566" s="151"/>
      <c r="BN566" s="151"/>
      <c r="BO566" s="151"/>
      <c r="BP566" s="151"/>
      <c r="BQ566" s="151"/>
      <c r="BR566" s="151"/>
      <c r="BS566" s="151"/>
      <c r="BT566" s="151"/>
      <c r="BU566" s="151"/>
      <c r="BV566" s="151"/>
      <c r="BW566" s="151"/>
      <c r="BX566" s="151"/>
      <c r="BY566" s="151"/>
      <c r="BZ566" s="151"/>
      <c r="CA566" s="151"/>
      <c r="CB566" s="151"/>
      <c r="CC566" s="151"/>
      <c r="CD566" s="151"/>
      <c r="CE566" s="151"/>
      <c r="CF566" s="151"/>
      <c r="CG566" s="151"/>
      <c r="CH566" s="151"/>
      <c r="CI566" s="151"/>
      <c r="CJ566" s="151"/>
      <c r="CK566" s="151"/>
      <c r="CL566" s="151"/>
      <c r="CM566" s="151"/>
      <c r="CN566" s="151"/>
      <c r="CO566" s="151"/>
      <c r="CP566" s="151"/>
      <c r="CQ566" s="151"/>
      <c r="CR566" s="151"/>
      <c r="CS566" s="151"/>
      <c r="CT566" s="151"/>
      <c r="CU566" s="151"/>
      <c r="CV566" s="151"/>
      <c r="CW566" s="151"/>
      <c r="CX566" s="151"/>
      <c r="CY566" s="151"/>
      <c r="CZ566" s="151"/>
      <c r="DA566" s="151"/>
      <c r="DB566" s="151"/>
      <c r="DC566" s="151"/>
      <c r="DD566" s="151"/>
      <c r="DE566" s="151"/>
      <c r="DF566" s="151"/>
      <c r="DG566" s="151"/>
      <c r="DH566" s="151"/>
      <c r="DI566" s="151"/>
      <c r="DJ566" s="151"/>
      <c r="DK566" s="151"/>
      <c r="DL566" s="151"/>
      <c r="DM566" s="151"/>
      <c r="DN566" s="151"/>
      <c r="DO566" s="151"/>
      <c r="DP566" s="151"/>
      <c r="DQ566" s="151"/>
      <c r="DR566" s="151"/>
      <c r="DS566" s="151"/>
      <c r="DT566" s="151"/>
      <c r="DU566" s="151"/>
      <c r="DV566" s="151"/>
      <c r="DW566" s="151"/>
      <c r="DX566" s="151"/>
      <c r="DY566" s="151"/>
      <c r="DZ566" s="151"/>
      <c r="EA566" s="151"/>
      <c r="EB566" s="151"/>
      <c r="EC566" s="151"/>
      <c r="ED566" s="151"/>
      <c r="EE566" s="151"/>
      <c r="EF566" s="151"/>
      <c r="EG566" s="151"/>
      <c r="EH566" s="151"/>
      <c r="EI566" s="151"/>
      <c r="EJ566" s="151"/>
      <c r="EK566" s="151"/>
      <c r="EL566" s="151"/>
      <c r="EM566" s="151"/>
      <c r="EN566" s="151"/>
      <c r="EO566" s="151"/>
      <c r="EP566" s="151"/>
      <c r="EQ566" s="151"/>
      <c r="ER566" s="151"/>
      <c r="ES566" s="151"/>
      <c r="ET566" s="151"/>
      <c r="EU566" s="151"/>
      <c r="EV566" s="151"/>
      <c r="EW566" s="151"/>
      <c r="EX566" s="151"/>
      <c r="EY566" s="151"/>
      <c r="EZ566" s="151"/>
      <c r="FA566" s="151"/>
      <c r="FB566" s="151"/>
      <c r="FC566" s="151"/>
      <c r="FD566" s="151"/>
      <c r="FE566" s="151"/>
      <c r="FF566" s="151"/>
      <c r="FG566" s="151"/>
      <c r="FH566" s="151"/>
      <c r="FI566" s="151"/>
      <c r="FJ566" s="151"/>
      <c r="FK566" s="151"/>
      <c r="FL566" s="151"/>
      <c r="FM566" s="151"/>
      <c r="FN566" s="151"/>
      <c r="FO566" s="151"/>
      <c r="FP566" s="151"/>
      <c r="FQ566" s="151"/>
      <c r="FR566" s="151"/>
      <c r="FS566" s="151"/>
      <c r="FT566" s="151"/>
      <c r="FU566" s="151"/>
      <c r="FV566" s="151"/>
      <c r="FW566" s="151"/>
      <c r="FX566" s="151"/>
      <c r="FY566" s="151"/>
      <c r="FZ566" s="151"/>
      <c r="GA566" s="151"/>
      <c r="GB566" s="151"/>
      <c r="GC566" s="151"/>
      <c r="GD566" s="151"/>
      <c r="GE566" s="151"/>
      <c r="GF566" s="151"/>
      <c r="GG566" s="152"/>
    </row>
    <row r="567" spans="1:189" x14ac:dyDescent="0.35">
      <c r="A567" s="268"/>
      <c r="B567" s="221"/>
      <c r="C567" s="221"/>
      <c r="D567" s="222"/>
      <c r="E567" s="221"/>
      <c r="F567" s="221"/>
      <c r="G567" s="223"/>
      <c r="H567" s="224"/>
      <c r="I567" s="225"/>
      <c r="J567" s="225"/>
      <c r="K567" s="225"/>
      <c r="L567" s="226"/>
      <c r="M567" s="226"/>
      <c r="N567" s="226"/>
      <c r="O567" s="226"/>
      <c r="P567" s="226"/>
      <c r="Q567" s="227"/>
      <c r="R567" s="228"/>
      <c r="S567" s="228"/>
      <c r="T567" s="228"/>
      <c r="U567" s="191">
        <f t="shared" si="503"/>
        <v>0</v>
      </c>
      <c r="V567" s="86"/>
      <c r="W567" s="45"/>
      <c r="X567" s="46"/>
      <c r="Y567" s="167">
        <f t="shared" si="504"/>
        <v>0</v>
      </c>
      <c r="Z567" s="167">
        <f t="shared" si="505"/>
        <v>0</v>
      </c>
      <c r="AA567" s="167">
        <f t="shared" si="506"/>
        <v>0</v>
      </c>
      <c r="AB567" s="167">
        <f t="shared" si="507"/>
        <v>0</v>
      </c>
      <c r="AC567" s="167">
        <f t="shared" si="508"/>
        <v>0</v>
      </c>
      <c r="AD567" s="167">
        <f t="shared" si="509"/>
        <v>0</v>
      </c>
      <c r="AF567" s="47">
        <f t="shared" si="510"/>
        <v>0</v>
      </c>
      <c r="AG567" s="202" t="str">
        <f t="shared" si="511"/>
        <v xml:space="preserve"> </v>
      </c>
      <c r="AH567" s="147"/>
      <c r="AI567" s="148"/>
      <c r="AJ567" s="148"/>
      <c r="AK567" s="148"/>
      <c r="AL567" s="148"/>
      <c r="AM567" s="148"/>
      <c r="AN567" s="148"/>
      <c r="AO567" s="148"/>
      <c r="AP567" s="148"/>
      <c r="AQ567" s="148"/>
      <c r="AR567" s="148"/>
      <c r="AS567" s="148"/>
      <c r="AT567" s="148"/>
      <c r="AU567" s="148"/>
      <c r="AV567" s="148"/>
      <c r="AW567" s="148"/>
      <c r="AX567" s="148"/>
      <c r="AY567" s="148"/>
      <c r="AZ567" s="148"/>
      <c r="BA567" s="148"/>
      <c r="BB567" s="148"/>
      <c r="BC567" s="148"/>
      <c r="BD567" s="148"/>
      <c r="BE567" s="148"/>
      <c r="BF567" s="148"/>
      <c r="BG567" s="148"/>
      <c r="BH567" s="148"/>
      <c r="BI567" s="148"/>
      <c r="BJ567" s="148"/>
      <c r="BK567" s="148"/>
      <c r="BL567" s="148"/>
      <c r="BM567" s="148"/>
      <c r="BN567" s="148"/>
      <c r="BO567" s="148"/>
      <c r="BP567" s="148"/>
      <c r="BQ567" s="148"/>
      <c r="BR567" s="148"/>
      <c r="BS567" s="148"/>
      <c r="BT567" s="148"/>
      <c r="BU567" s="148"/>
      <c r="BV567" s="148"/>
      <c r="BW567" s="148"/>
      <c r="BX567" s="148"/>
      <c r="BY567" s="148"/>
      <c r="BZ567" s="148"/>
      <c r="CA567" s="148"/>
      <c r="CB567" s="148"/>
      <c r="CC567" s="148"/>
      <c r="CD567" s="148"/>
      <c r="CE567" s="148"/>
      <c r="CF567" s="148"/>
      <c r="CG567" s="148"/>
      <c r="CH567" s="148"/>
      <c r="CI567" s="148"/>
      <c r="CJ567" s="148"/>
      <c r="CK567" s="148"/>
      <c r="CL567" s="148"/>
      <c r="CM567" s="148"/>
      <c r="CN567" s="148"/>
      <c r="CO567" s="148"/>
      <c r="CP567" s="148"/>
      <c r="CQ567" s="148"/>
      <c r="CR567" s="148"/>
      <c r="CS567" s="148"/>
      <c r="CT567" s="148"/>
      <c r="CU567" s="148"/>
      <c r="CV567" s="148"/>
      <c r="CW567" s="148"/>
      <c r="CX567" s="148"/>
      <c r="CY567" s="148"/>
      <c r="CZ567" s="148"/>
      <c r="DA567" s="148"/>
      <c r="DB567" s="148"/>
      <c r="DC567" s="148"/>
      <c r="DD567" s="148"/>
      <c r="DE567" s="148"/>
      <c r="DF567" s="148"/>
      <c r="DG567" s="148"/>
      <c r="DH567" s="148"/>
      <c r="DI567" s="148"/>
      <c r="DJ567" s="148"/>
      <c r="DK567" s="148"/>
      <c r="DL567" s="148"/>
      <c r="DM567" s="148"/>
      <c r="DN567" s="148"/>
      <c r="DO567" s="148"/>
      <c r="DP567" s="148"/>
      <c r="DQ567" s="148"/>
      <c r="DR567" s="148"/>
      <c r="DS567" s="148"/>
      <c r="DT567" s="148"/>
      <c r="DU567" s="148"/>
      <c r="DV567" s="148"/>
      <c r="DW567" s="148"/>
      <c r="DX567" s="148"/>
      <c r="DY567" s="148"/>
      <c r="DZ567" s="148"/>
      <c r="EA567" s="148"/>
      <c r="EB567" s="148"/>
      <c r="EC567" s="148"/>
      <c r="ED567" s="148"/>
      <c r="EE567" s="148"/>
      <c r="EF567" s="148"/>
      <c r="EG567" s="148"/>
      <c r="EH567" s="148"/>
      <c r="EI567" s="148"/>
      <c r="EJ567" s="148"/>
      <c r="EK567" s="148"/>
      <c r="EL567" s="148"/>
      <c r="EM567" s="148"/>
      <c r="EN567" s="148"/>
      <c r="EO567" s="148"/>
      <c r="EP567" s="148"/>
      <c r="EQ567" s="148"/>
      <c r="ER567" s="148"/>
      <c r="ES567" s="148"/>
      <c r="ET567" s="148"/>
      <c r="EU567" s="148"/>
      <c r="EV567" s="148"/>
      <c r="EW567" s="148"/>
      <c r="EX567" s="148"/>
      <c r="EY567" s="148"/>
      <c r="EZ567" s="148"/>
      <c r="FA567" s="148"/>
      <c r="FB567" s="148"/>
      <c r="FC567" s="148"/>
      <c r="FD567" s="148"/>
      <c r="FE567" s="148"/>
      <c r="FF567" s="148"/>
      <c r="FG567" s="148"/>
      <c r="FH567" s="148"/>
      <c r="FI567" s="148"/>
      <c r="FJ567" s="148"/>
      <c r="FK567" s="148"/>
      <c r="FL567" s="148"/>
      <c r="FM567" s="148"/>
      <c r="FN567" s="148"/>
      <c r="FO567" s="148"/>
      <c r="FP567" s="148"/>
      <c r="FQ567" s="148"/>
      <c r="FR567" s="148"/>
      <c r="FS567" s="148"/>
      <c r="FT567" s="148"/>
      <c r="FU567" s="148"/>
      <c r="FV567" s="148"/>
      <c r="FW567" s="148"/>
      <c r="FX567" s="148"/>
      <c r="FY567" s="148"/>
      <c r="FZ567" s="148"/>
      <c r="GA567" s="148"/>
      <c r="GB567" s="148"/>
      <c r="GC567" s="148"/>
      <c r="GD567" s="148"/>
      <c r="GE567" s="148"/>
      <c r="GF567" s="148"/>
      <c r="GG567" s="149"/>
    </row>
    <row r="568" spans="1:189" x14ac:dyDescent="0.35">
      <c r="A568" s="268"/>
      <c r="B568" s="221"/>
      <c r="C568" s="221"/>
      <c r="D568" s="222"/>
      <c r="E568" s="221"/>
      <c r="F568" s="221"/>
      <c r="G568" s="223"/>
      <c r="H568" s="224"/>
      <c r="I568" s="225"/>
      <c r="J568" s="225"/>
      <c r="K568" s="225"/>
      <c r="L568" s="226"/>
      <c r="M568" s="226"/>
      <c r="N568" s="226"/>
      <c r="O568" s="226"/>
      <c r="P568" s="226"/>
      <c r="Q568" s="227"/>
      <c r="R568" s="228"/>
      <c r="S568" s="228"/>
      <c r="T568" s="228"/>
      <c r="U568" s="191">
        <f t="shared" si="503"/>
        <v>0</v>
      </c>
      <c r="V568" s="86"/>
      <c r="W568" s="45"/>
      <c r="X568" s="46"/>
      <c r="Y568" s="167">
        <f t="shared" si="504"/>
        <v>0</v>
      </c>
      <c r="Z568" s="167">
        <f t="shared" si="505"/>
        <v>0</v>
      </c>
      <c r="AA568" s="167">
        <f t="shared" si="506"/>
        <v>0</v>
      </c>
      <c r="AB568" s="167">
        <f t="shared" si="507"/>
        <v>0</v>
      </c>
      <c r="AC568" s="167">
        <f t="shared" si="508"/>
        <v>0</v>
      </c>
      <c r="AD568" s="167">
        <f t="shared" si="509"/>
        <v>0</v>
      </c>
      <c r="AF568" s="47">
        <f t="shared" si="510"/>
        <v>0</v>
      </c>
      <c r="AG568" s="202" t="str">
        <f t="shared" si="511"/>
        <v xml:space="preserve"> </v>
      </c>
      <c r="AH568" s="150"/>
      <c r="AI568" s="151"/>
      <c r="AJ568" s="151"/>
      <c r="AK568" s="151"/>
      <c r="AL568" s="151"/>
      <c r="AM568" s="151"/>
      <c r="AN568" s="151"/>
      <c r="AO568" s="151"/>
      <c r="AP568" s="151"/>
      <c r="AQ568" s="151"/>
      <c r="AR568" s="151"/>
      <c r="AS568" s="151"/>
      <c r="AT568" s="151"/>
      <c r="AU568" s="151"/>
      <c r="AV568" s="151"/>
      <c r="AW568" s="151"/>
      <c r="AX568" s="151"/>
      <c r="AY568" s="151"/>
      <c r="AZ568" s="151"/>
      <c r="BA568" s="151"/>
      <c r="BB568" s="151"/>
      <c r="BC568" s="151"/>
      <c r="BD568" s="151"/>
      <c r="BE568" s="151"/>
      <c r="BF568" s="151"/>
      <c r="BG568" s="151"/>
      <c r="BH568" s="151"/>
      <c r="BI568" s="151"/>
      <c r="BJ568" s="151"/>
      <c r="BK568" s="151"/>
      <c r="BL568" s="151"/>
      <c r="BM568" s="151"/>
      <c r="BN568" s="151"/>
      <c r="BO568" s="151"/>
      <c r="BP568" s="151"/>
      <c r="BQ568" s="151"/>
      <c r="BR568" s="151"/>
      <c r="BS568" s="151"/>
      <c r="BT568" s="151"/>
      <c r="BU568" s="151"/>
      <c r="BV568" s="151"/>
      <c r="BW568" s="151"/>
      <c r="BX568" s="151"/>
      <c r="BY568" s="151"/>
      <c r="BZ568" s="151"/>
      <c r="CA568" s="151"/>
      <c r="CB568" s="151"/>
      <c r="CC568" s="151"/>
      <c r="CD568" s="151"/>
      <c r="CE568" s="151"/>
      <c r="CF568" s="151"/>
      <c r="CG568" s="151"/>
      <c r="CH568" s="151"/>
      <c r="CI568" s="151"/>
      <c r="CJ568" s="151"/>
      <c r="CK568" s="151"/>
      <c r="CL568" s="151"/>
      <c r="CM568" s="151"/>
      <c r="CN568" s="151"/>
      <c r="CO568" s="151"/>
      <c r="CP568" s="151"/>
      <c r="CQ568" s="151"/>
      <c r="CR568" s="151"/>
      <c r="CS568" s="151"/>
      <c r="CT568" s="151"/>
      <c r="CU568" s="151"/>
      <c r="CV568" s="151"/>
      <c r="CW568" s="151"/>
      <c r="CX568" s="151"/>
      <c r="CY568" s="151"/>
      <c r="CZ568" s="151"/>
      <c r="DA568" s="151"/>
      <c r="DB568" s="151"/>
      <c r="DC568" s="151"/>
      <c r="DD568" s="151"/>
      <c r="DE568" s="151"/>
      <c r="DF568" s="151"/>
      <c r="DG568" s="151"/>
      <c r="DH568" s="151"/>
      <c r="DI568" s="151"/>
      <c r="DJ568" s="151"/>
      <c r="DK568" s="151"/>
      <c r="DL568" s="151"/>
      <c r="DM568" s="151"/>
      <c r="DN568" s="151"/>
      <c r="DO568" s="151"/>
      <c r="DP568" s="151"/>
      <c r="DQ568" s="151"/>
      <c r="DR568" s="151"/>
      <c r="DS568" s="151"/>
      <c r="DT568" s="151"/>
      <c r="DU568" s="151"/>
      <c r="DV568" s="151"/>
      <c r="DW568" s="151"/>
      <c r="DX568" s="151"/>
      <c r="DY568" s="151"/>
      <c r="DZ568" s="151"/>
      <c r="EA568" s="151"/>
      <c r="EB568" s="151"/>
      <c r="EC568" s="151"/>
      <c r="ED568" s="151"/>
      <c r="EE568" s="151"/>
      <c r="EF568" s="151"/>
      <c r="EG568" s="151"/>
      <c r="EH568" s="151"/>
      <c r="EI568" s="151"/>
      <c r="EJ568" s="151"/>
      <c r="EK568" s="151"/>
      <c r="EL568" s="151"/>
      <c r="EM568" s="151"/>
      <c r="EN568" s="151"/>
      <c r="EO568" s="151"/>
      <c r="EP568" s="151"/>
      <c r="EQ568" s="151"/>
      <c r="ER568" s="151"/>
      <c r="ES568" s="151"/>
      <c r="ET568" s="151"/>
      <c r="EU568" s="151"/>
      <c r="EV568" s="151"/>
      <c r="EW568" s="151"/>
      <c r="EX568" s="151"/>
      <c r="EY568" s="151"/>
      <c r="EZ568" s="151"/>
      <c r="FA568" s="151"/>
      <c r="FB568" s="151"/>
      <c r="FC568" s="151"/>
      <c r="FD568" s="151"/>
      <c r="FE568" s="151"/>
      <c r="FF568" s="151"/>
      <c r="FG568" s="151"/>
      <c r="FH568" s="151"/>
      <c r="FI568" s="151"/>
      <c r="FJ568" s="151"/>
      <c r="FK568" s="151"/>
      <c r="FL568" s="151"/>
      <c r="FM568" s="151"/>
      <c r="FN568" s="151"/>
      <c r="FO568" s="151"/>
      <c r="FP568" s="151"/>
      <c r="FQ568" s="151"/>
      <c r="FR568" s="151"/>
      <c r="FS568" s="151"/>
      <c r="FT568" s="151"/>
      <c r="FU568" s="151"/>
      <c r="FV568" s="151"/>
      <c r="FW568" s="151"/>
      <c r="FX568" s="151"/>
      <c r="FY568" s="151"/>
      <c r="FZ568" s="151"/>
      <c r="GA568" s="151"/>
      <c r="GB568" s="151"/>
      <c r="GC568" s="151"/>
      <c r="GD568" s="151"/>
      <c r="GE568" s="151"/>
      <c r="GF568" s="151"/>
      <c r="GG568" s="152"/>
    </row>
    <row r="569" spans="1:189" x14ac:dyDescent="0.35">
      <c r="A569" s="268"/>
      <c r="B569" s="221"/>
      <c r="C569" s="221"/>
      <c r="D569" s="222"/>
      <c r="E569" s="221"/>
      <c r="F569" s="221"/>
      <c r="G569" s="223"/>
      <c r="H569" s="224"/>
      <c r="I569" s="225"/>
      <c r="J569" s="225"/>
      <c r="K569" s="225"/>
      <c r="L569" s="226"/>
      <c r="M569" s="226"/>
      <c r="N569" s="226"/>
      <c r="O569" s="226"/>
      <c r="P569" s="226"/>
      <c r="Q569" s="227"/>
      <c r="R569" s="228"/>
      <c r="S569" s="228"/>
      <c r="T569" s="228"/>
      <c r="U569" s="191">
        <f t="shared" ref="U569:U632" si="512">IF(Q569="",0,IF(T569="",0,+S569-T569))</f>
        <v>0</v>
      </c>
      <c r="V569" s="86"/>
      <c r="W569" s="45"/>
      <c r="X569" s="46"/>
      <c r="Y569" s="167">
        <f t="shared" ref="Y569:Y632" si="513">IF(G569=2,S569,0)</f>
        <v>0</v>
      </c>
      <c r="Z569" s="167">
        <f t="shared" ref="Z569:Z632" si="514">IF(Q569="",0,IF(G569=2,T569,0))</f>
        <v>0</v>
      </c>
      <c r="AA569" s="167">
        <f t="shared" ref="AA569:AA632" si="515">Y569-Z569</f>
        <v>0</v>
      </c>
      <c r="AB569" s="167">
        <f t="shared" ref="AB569:AB632" si="516">IF(G569=1,S569,0)</f>
        <v>0</v>
      </c>
      <c r="AC569" s="167">
        <f t="shared" ref="AC569:AC632" si="517">IF(Q569="",0,IF(G569=1,T569,0))</f>
        <v>0</v>
      </c>
      <c r="AD569" s="167">
        <f t="shared" ref="AD569:AD632" si="518">AB569-AC569</f>
        <v>0</v>
      </c>
      <c r="AF569" s="47">
        <f t="shared" si="510"/>
        <v>0</v>
      </c>
      <c r="AG569" s="202" t="str">
        <f t="shared" si="511"/>
        <v xml:space="preserve"> </v>
      </c>
      <c r="AH569" s="150"/>
      <c r="AI569" s="151"/>
      <c r="AJ569" s="151"/>
      <c r="AK569" s="151"/>
      <c r="AL569" s="151"/>
      <c r="AM569" s="151"/>
      <c r="AN569" s="151"/>
      <c r="AO569" s="151"/>
      <c r="AP569" s="151"/>
      <c r="AQ569" s="151"/>
      <c r="AR569" s="151"/>
      <c r="AS569" s="151"/>
      <c r="AT569" s="151"/>
      <c r="AU569" s="151"/>
      <c r="AV569" s="151"/>
      <c r="AW569" s="151"/>
      <c r="AX569" s="151"/>
      <c r="AY569" s="151"/>
      <c r="AZ569" s="151"/>
      <c r="BA569" s="151"/>
      <c r="BB569" s="151"/>
      <c r="BC569" s="151"/>
      <c r="BD569" s="151"/>
      <c r="BE569" s="151"/>
      <c r="BF569" s="151"/>
      <c r="BG569" s="151"/>
      <c r="BH569" s="151"/>
      <c r="BI569" s="151"/>
      <c r="BJ569" s="151"/>
      <c r="BK569" s="151"/>
      <c r="BL569" s="151"/>
      <c r="BM569" s="151"/>
      <c r="BN569" s="151"/>
      <c r="BO569" s="151"/>
      <c r="BP569" s="151"/>
      <c r="BQ569" s="151"/>
      <c r="BR569" s="151"/>
      <c r="BS569" s="151"/>
      <c r="BT569" s="151"/>
      <c r="BU569" s="151"/>
      <c r="BV569" s="151"/>
      <c r="BW569" s="151"/>
      <c r="BX569" s="151"/>
      <c r="BY569" s="151"/>
      <c r="BZ569" s="151"/>
      <c r="CA569" s="151"/>
      <c r="CB569" s="151"/>
      <c r="CC569" s="151"/>
      <c r="CD569" s="151"/>
      <c r="CE569" s="151"/>
      <c r="CF569" s="151"/>
      <c r="CG569" s="151"/>
      <c r="CH569" s="151"/>
      <c r="CI569" s="151"/>
      <c r="CJ569" s="151"/>
      <c r="CK569" s="151"/>
      <c r="CL569" s="151"/>
      <c r="CM569" s="151"/>
      <c r="CN569" s="151"/>
      <c r="CO569" s="151"/>
      <c r="CP569" s="151"/>
      <c r="CQ569" s="151"/>
      <c r="CR569" s="151"/>
      <c r="CS569" s="151"/>
      <c r="CT569" s="151"/>
      <c r="CU569" s="151"/>
      <c r="CV569" s="151"/>
      <c r="CW569" s="151"/>
      <c r="CX569" s="151"/>
      <c r="CY569" s="151"/>
      <c r="CZ569" s="151"/>
      <c r="DA569" s="151"/>
      <c r="DB569" s="151"/>
      <c r="DC569" s="151"/>
      <c r="DD569" s="151"/>
      <c r="DE569" s="151"/>
      <c r="DF569" s="151"/>
      <c r="DG569" s="151"/>
      <c r="DH569" s="151"/>
      <c r="DI569" s="151"/>
      <c r="DJ569" s="151"/>
      <c r="DK569" s="151"/>
      <c r="DL569" s="151"/>
      <c r="DM569" s="151"/>
      <c r="DN569" s="151"/>
      <c r="DO569" s="151"/>
      <c r="DP569" s="151"/>
      <c r="DQ569" s="151"/>
      <c r="DR569" s="151"/>
      <c r="DS569" s="151"/>
      <c r="DT569" s="151"/>
      <c r="DU569" s="151"/>
      <c r="DV569" s="151"/>
      <c r="DW569" s="151"/>
      <c r="DX569" s="151"/>
      <c r="DY569" s="151"/>
      <c r="DZ569" s="151"/>
      <c r="EA569" s="151"/>
      <c r="EB569" s="151"/>
      <c r="EC569" s="151"/>
      <c r="ED569" s="151"/>
      <c r="EE569" s="151"/>
      <c r="EF569" s="151"/>
      <c r="EG569" s="151"/>
      <c r="EH569" s="151"/>
      <c r="EI569" s="151"/>
      <c r="EJ569" s="151"/>
      <c r="EK569" s="151"/>
      <c r="EL569" s="151"/>
      <c r="EM569" s="151"/>
      <c r="EN569" s="151"/>
      <c r="EO569" s="151"/>
      <c r="EP569" s="151"/>
      <c r="EQ569" s="151"/>
      <c r="ER569" s="151"/>
      <c r="ES569" s="151"/>
      <c r="ET569" s="151"/>
      <c r="EU569" s="151"/>
      <c r="EV569" s="151"/>
      <c r="EW569" s="151"/>
      <c r="EX569" s="151"/>
      <c r="EY569" s="151"/>
      <c r="EZ569" s="151"/>
      <c r="FA569" s="151"/>
      <c r="FB569" s="151"/>
      <c r="FC569" s="151"/>
      <c r="FD569" s="151"/>
      <c r="FE569" s="151"/>
      <c r="FF569" s="151"/>
      <c r="FG569" s="151"/>
      <c r="FH569" s="151"/>
      <c r="FI569" s="151"/>
      <c r="FJ569" s="151"/>
      <c r="FK569" s="151"/>
      <c r="FL569" s="151"/>
      <c r="FM569" s="151"/>
      <c r="FN569" s="151"/>
      <c r="FO569" s="151"/>
      <c r="FP569" s="151"/>
      <c r="FQ569" s="151"/>
      <c r="FR569" s="151"/>
      <c r="FS569" s="151"/>
      <c r="FT569" s="151"/>
      <c r="FU569" s="151"/>
      <c r="FV569" s="151"/>
      <c r="FW569" s="151"/>
      <c r="FX569" s="151"/>
      <c r="FY569" s="151"/>
      <c r="FZ569" s="151"/>
      <c r="GA569" s="151"/>
      <c r="GB569" s="151"/>
      <c r="GC569" s="151"/>
      <c r="GD569" s="151"/>
      <c r="GE569" s="151"/>
      <c r="GF569" s="151"/>
      <c r="GG569" s="152"/>
    </row>
    <row r="570" spans="1:189" x14ac:dyDescent="0.35">
      <c r="A570" s="268"/>
      <c r="B570" s="221"/>
      <c r="C570" s="221"/>
      <c r="D570" s="222"/>
      <c r="E570" s="221"/>
      <c r="F570" s="221"/>
      <c r="G570" s="223"/>
      <c r="H570" s="224"/>
      <c r="I570" s="225"/>
      <c r="J570" s="225"/>
      <c r="K570" s="225"/>
      <c r="L570" s="226"/>
      <c r="M570" s="226"/>
      <c r="N570" s="226"/>
      <c r="O570" s="226"/>
      <c r="P570" s="226"/>
      <c r="Q570" s="227"/>
      <c r="R570" s="228"/>
      <c r="S570" s="228"/>
      <c r="T570" s="228"/>
      <c r="U570" s="191">
        <f t="shared" si="512"/>
        <v>0</v>
      </c>
      <c r="V570" s="86"/>
      <c r="W570" s="45"/>
      <c r="X570" s="46"/>
      <c r="Y570" s="167">
        <f t="shared" si="513"/>
        <v>0</v>
      </c>
      <c r="Z570" s="167">
        <f t="shared" si="514"/>
        <v>0</v>
      </c>
      <c r="AA570" s="167">
        <f t="shared" si="515"/>
        <v>0</v>
      </c>
      <c r="AB570" s="167">
        <f t="shared" si="516"/>
        <v>0</v>
      </c>
      <c r="AC570" s="167">
        <f t="shared" si="517"/>
        <v>0</v>
      </c>
      <c r="AD570" s="167">
        <f t="shared" si="518"/>
        <v>0</v>
      </c>
      <c r="AF570" s="47">
        <f t="shared" si="510"/>
        <v>0</v>
      </c>
      <c r="AG570" s="202" t="str">
        <f t="shared" si="511"/>
        <v xml:space="preserve"> </v>
      </c>
      <c r="AH570" s="150"/>
      <c r="AI570" s="151"/>
      <c r="AJ570" s="151"/>
      <c r="AK570" s="151"/>
      <c r="AL570" s="151"/>
      <c r="AM570" s="151"/>
      <c r="AN570" s="151"/>
      <c r="AO570" s="151"/>
      <c r="AP570" s="151"/>
      <c r="AQ570" s="151"/>
      <c r="AR570" s="151"/>
      <c r="AS570" s="151"/>
      <c r="AT570" s="151"/>
      <c r="AU570" s="151"/>
      <c r="AV570" s="151"/>
      <c r="AW570" s="151"/>
      <c r="AX570" s="151"/>
      <c r="AY570" s="151"/>
      <c r="AZ570" s="151"/>
      <c r="BA570" s="151"/>
      <c r="BB570" s="151"/>
      <c r="BC570" s="151"/>
      <c r="BD570" s="151"/>
      <c r="BE570" s="151"/>
      <c r="BF570" s="151"/>
      <c r="BG570" s="151"/>
      <c r="BH570" s="151"/>
      <c r="BI570" s="151"/>
      <c r="BJ570" s="151"/>
      <c r="BK570" s="151"/>
      <c r="BL570" s="151"/>
      <c r="BM570" s="151"/>
      <c r="BN570" s="151"/>
      <c r="BO570" s="151"/>
      <c r="BP570" s="151"/>
      <c r="BQ570" s="151"/>
      <c r="BR570" s="151"/>
      <c r="BS570" s="151"/>
      <c r="BT570" s="151"/>
      <c r="BU570" s="151"/>
      <c r="BV570" s="151"/>
      <c r="BW570" s="151"/>
      <c r="BX570" s="151"/>
      <c r="BY570" s="151"/>
      <c r="BZ570" s="151"/>
      <c r="CA570" s="151"/>
      <c r="CB570" s="151"/>
      <c r="CC570" s="151"/>
      <c r="CD570" s="151"/>
      <c r="CE570" s="151"/>
      <c r="CF570" s="151"/>
      <c r="CG570" s="151"/>
      <c r="CH570" s="151"/>
      <c r="CI570" s="151"/>
      <c r="CJ570" s="151"/>
      <c r="CK570" s="151"/>
      <c r="CL570" s="151"/>
      <c r="CM570" s="151"/>
      <c r="CN570" s="151"/>
      <c r="CO570" s="151"/>
      <c r="CP570" s="151"/>
      <c r="CQ570" s="151"/>
      <c r="CR570" s="151"/>
      <c r="CS570" s="151"/>
      <c r="CT570" s="151"/>
      <c r="CU570" s="151"/>
      <c r="CV570" s="151"/>
      <c r="CW570" s="151"/>
      <c r="CX570" s="151"/>
      <c r="CY570" s="151"/>
      <c r="CZ570" s="151"/>
      <c r="DA570" s="151"/>
      <c r="DB570" s="151"/>
      <c r="DC570" s="151"/>
      <c r="DD570" s="151"/>
      <c r="DE570" s="151"/>
      <c r="DF570" s="151"/>
      <c r="DG570" s="151"/>
      <c r="DH570" s="151"/>
      <c r="DI570" s="151"/>
      <c r="DJ570" s="151"/>
      <c r="DK570" s="151"/>
      <c r="DL570" s="151"/>
      <c r="DM570" s="151"/>
      <c r="DN570" s="151"/>
      <c r="DO570" s="151"/>
      <c r="DP570" s="151"/>
      <c r="DQ570" s="151"/>
      <c r="DR570" s="151"/>
      <c r="DS570" s="151"/>
      <c r="DT570" s="151"/>
      <c r="DU570" s="151"/>
      <c r="DV570" s="151"/>
      <c r="DW570" s="151"/>
      <c r="DX570" s="151"/>
      <c r="DY570" s="151"/>
      <c r="DZ570" s="151"/>
      <c r="EA570" s="151"/>
      <c r="EB570" s="151"/>
      <c r="EC570" s="151"/>
      <c r="ED570" s="151"/>
      <c r="EE570" s="151"/>
      <c r="EF570" s="151"/>
      <c r="EG570" s="151"/>
      <c r="EH570" s="151"/>
      <c r="EI570" s="151"/>
      <c r="EJ570" s="151"/>
      <c r="EK570" s="151"/>
      <c r="EL570" s="151"/>
      <c r="EM570" s="151"/>
      <c r="EN570" s="151"/>
      <c r="EO570" s="151"/>
      <c r="EP570" s="151"/>
      <c r="EQ570" s="151"/>
      <c r="ER570" s="151"/>
      <c r="ES570" s="151"/>
      <c r="ET570" s="151"/>
      <c r="EU570" s="151"/>
      <c r="EV570" s="151"/>
      <c r="EW570" s="151"/>
      <c r="EX570" s="151"/>
      <c r="EY570" s="151"/>
      <c r="EZ570" s="151"/>
      <c r="FA570" s="151"/>
      <c r="FB570" s="151"/>
      <c r="FC570" s="151"/>
      <c r="FD570" s="151"/>
      <c r="FE570" s="151"/>
      <c r="FF570" s="151"/>
      <c r="FG570" s="151"/>
      <c r="FH570" s="151"/>
      <c r="FI570" s="151"/>
      <c r="FJ570" s="151"/>
      <c r="FK570" s="151"/>
      <c r="FL570" s="151"/>
      <c r="FM570" s="151"/>
      <c r="FN570" s="151"/>
      <c r="FO570" s="151"/>
      <c r="FP570" s="151"/>
      <c r="FQ570" s="151"/>
      <c r="FR570" s="151"/>
      <c r="FS570" s="151"/>
      <c r="FT570" s="151"/>
      <c r="FU570" s="151"/>
      <c r="FV570" s="151"/>
      <c r="FW570" s="151"/>
      <c r="FX570" s="151"/>
      <c r="FY570" s="151"/>
      <c r="FZ570" s="151"/>
      <c r="GA570" s="151"/>
      <c r="GB570" s="151"/>
      <c r="GC570" s="151"/>
      <c r="GD570" s="151"/>
      <c r="GE570" s="151"/>
      <c r="GF570" s="151"/>
      <c r="GG570" s="152"/>
    </row>
    <row r="571" spans="1:189" x14ac:dyDescent="0.35">
      <c r="A571" s="268"/>
      <c r="B571" s="221"/>
      <c r="C571" s="221"/>
      <c r="D571" s="222"/>
      <c r="E571" s="221"/>
      <c r="F571" s="221"/>
      <c r="G571" s="223"/>
      <c r="H571" s="224"/>
      <c r="I571" s="225"/>
      <c r="J571" s="225"/>
      <c r="K571" s="225"/>
      <c r="L571" s="226"/>
      <c r="M571" s="226"/>
      <c r="N571" s="226"/>
      <c r="O571" s="226"/>
      <c r="P571" s="226"/>
      <c r="Q571" s="227"/>
      <c r="R571" s="228"/>
      <c r="S571" s="228"/>
      <c r="T571" s="228"/>
      <c r="U571" s="191">
        <f t="shared" si="512"/>
        <v>0</v>
      </c>
      <c r="V571" s="86"/>
      <c r="W571" s="45"/>
      <c r="X571" s="46"/>
      <c r="Y571" s="167">
        <f t="shared" si="513"/>
        <v>0</v>
      </c>
      <c r="Z571" s="167">
        <f t="shared" si="514"/>
        <v>0</v>
      </c>
      <c r="AA571" s="167">
        <f t="shared" si="515"/>
        <v>0</v>
      </c>
      <c r="AB571" s="167">
        <f t="shared" si="516"/>
        <v>0</v>
      </c>
      <c r="AC571" s="167">
        <f t="shared" si="517"/>
        <v>0</v>
      </c>
      <c r="AD571" s="167">
        <f t="shared" si="518"/>
        <v>0</v>
      </c>
      <c r="AF571" s="47">
        <f t="shared" si="510"/>
        <v>0</v>
      </c>
      <c r="AG571" s="202" t="str">
        <f t="shared" si="511"/>
        <v xml:space="preserve"> </v>
      </c>
      <c r="AH571" s="147"/>
      <c r="AI571" s="148"/>
      <c r="AJ571" s="148"/>
      <c r="AK571" s="148"/>
      <c r="AL571" s="148"/>
      <c r="AM571" s="148"/>
      <c r="AN571" s="148"/>
      <c r="AO571" s="148"/>
      <c r="AP571" s="148"/>
      <c r="AQ571" s="148"/>
      <c r="AR571" s="148"/>
      <c r="AS571" s="148"/>
      <c r="AT571" s="148"/>
      <c r="AU571" s="148"/>
      <c r="AV571" s="148"/>
      <c r="AW571" s="148"/>
      <c r="AX571" s="148"/>
      <c r="AY571" s="148"/>
      <c r="AZ571" s="148"/>
      <c r="BA571" s="148"/>
      <c r="BB571" s="148"/>
      <c r="BC571" s="148"/>
      <c r="BD571" s="148"/>
      <c r="BE571" s="148"/>
      <c r="BF571" s="148"/>
      <c r="BG571" s="148"/>
      <c r="BH571" s="148"/>
      <c r="BI571" s="148"/>
      <c r="BJ571" s="148"/>
      <c r="BK571" s="148"/>
      <c r="BL571" s="148"/>
      <c r="BM571" s="148"/>
      <c r="BN571" s="148"/>
      <c r="BO571" s="148"/>
      <c r="BP571" s="148"/>
      <c r="BQ571" s="148"/>
      <c r="BR571" s="148"/>
      <c r="BS571" s="148"/>
      <c r="BT571" s="148"/>
      <c r="BU571" s="148"/>
      <c r="BV571" s="148"/>
      <c r="BW571" s="148"/>
      <c r="BX571" s="148"/>
      <c r="BY571" s="148"/>
      <c r="BZ571" s="148"/>
      <c r="CA571" s="148"/>
      <c r="CB571" s="148"/>
      <c r="CC571" s="148"/>
      <c r="CD571" s="148"/>
      <c r="CE571" s="148"/>
      <c r="CF571" s="148"/>
      <c r="CG571" s="148"/>
      <c r="CH571" s="148"/>
      <c r="CI571" s="148"/>
      <c r="CJ571" s="148"/>
      <c r="CK571" s="148"/>
      <c r="CL571" s="148"/>
      <c r="CM571" s="148"/>
      <c r="CN571" s="148"/>
      <c r="CO571" s="148"/>
      <c r="CP571" s="148"/>
      <c r="CQ571" s="148"/>
      <c r="CR571" s="148"/>
      <c r="CS571" s="148"/>
      <c r="CT571" s="148"/>
      <c r="CU571" s="148"/>
      <c r="CV571" s="148"/>
      <c r="CW571" s="148"/>
      <c r="CX571" s="148"/>
      <c r="CY571" s="148"/>
      <c r="CZ571" s="148"/>
      <c r="DA571" s="148"/>
      <c r="DB571" s="148"/>
      <c r="DC571" s="148"/>
      <c r="DD571" s="148"/>
      <c r="DE571" s="148"/>
      <c r="DF571" s="148"/>
      <c r="DG571" s="148"/>
      <c r="DH571" s="148"/>
      <c r="DI571" s="148"/>
      <c r="DJ571" s="148"/>
      <c r="DK571" s="148"/>
      <c r="DL571" s="148"/>
      <c r="DM571" s="148"/>
      <c r="DN571" s="148"/>
      <c r="DO571" s="148"/>
      <c r="DP571" s="148"/>
      <c r="DQ571" s="148"/>
      <c r="DR571" s="148"/>
      <c r="DS571" s="148"/>
      <c r="DT571" s="148"/>
      <c r="DU571" s="148"/>
      <c r="DV571" s="148"/>
      <c r="DW571" s="148"/>
      <c r="DX571" s="148"/>
      <c r="DY571" s="148"/>
      <c r="DZ571" s="148"/>
      <c r="EA571" s="148"/>
      <c r="EB571" s="148"/>
      <c r="EC571" s="148"/>
      <c r="ED571" s="148"/>
      <c r="EE571" s="148"/>
      <c r="EF571" s="148"/>
      <c r="EG571" s="148"/>
      <c r="EH571" s="148"/>
      <c r="EI571" s="148"/>
      <c r="EJ571" s="148"/>
      <c r="EK571" s="148"/>
      <c r="EL571" s="148"/>
      <c r="EM571" s="148"/>
      <c r="EN571" s="148"/>
      <c r="EO571" s="148"/>
      <c r="EP571" s="148"/>
      <c r="EQ571" s="148"/>
      <c r="ER571" s="148"/>
      <c r="ES571" s="148"/>
      <c r="ET571" s="148"/>
      <c r="EU571" s="148"/>
      <c r="EV571" s="148"/>
      <c r="EW571" s="148"/>
      <c r="EX571" s="148"/>
      <c r="EY571" s="148"/>
      <c r="EZ571" s="148"/>
      <c r="FA571" s="148"/>
      <c r="FB571" s="148"/>
      <c r="FC571" s="148"/>
      <c r="FD571" s="148"/>
      <c r="FE571" s="148"/>
      <c r="FF571" s="148"/>
      <c r="FG571" s="148"/>
      <c r="FH571" s="148"/>
      <c r="FI571" s="148"/>
      <c r="FJ571" s="148"/>
      <c r="FK571" s="148"/>
      <c r="FL571" s="148"/>
      <c r="FM571" s="148"/>
      <c r="FN571" s="148"/>
      <c r="FO571" s="148"/>
      <c r="FP571" s="148"/>
      <c r="FQ571" s="148"/>
      <c r="FR571" s="148"/>
      <c r="FS571" s="148"/>
      <c r="FT571" s="148"/>
      <c r="FU571" s="148"/>
      <c r="FV571" s="148"/>
      <c r="FW571" s="148"/>
      <c r="FX571" s="148"/>
      <c r="FY571" s="148"/>
      <c r="FZ571" s="148"/>
      <c r="GA571" s="148"/>
      <c r="GB571" s="148"/>
      <c r="GC571" s="148"/>
      <c r="GD571" s="148"/>
      <c r="GE571" s="148"/>
      <c r="GF571" s="148"/>
      <c r="GG571" s="149"/>
    </row>
    <row r="572" spans="1:189" x14ac:dyDescent="0.35">
      <c r="A572" s="268"/>
      <c r="B572" s="221"/>
      <c r="C572" s="221"/>
      <c r="D572" s="222"/>
      <c r="E572" s="221"/>
      <c r="F572" s="221"/>
      <c r="G572" s="223"/>
      <c r="H572" s="224"/>
      <c r="I572" s="225"/>
      <c r="J572" s="225"/>
      <c r="K572" s="225"/>
      <c r="L572" s="226"/>
      <c r="M572" s="226"/>
      <c r="N572" s="226"/>
      <c r="O572" s="226"/>
      <c r="P572" s="226"/>
      <c r="Q572" s="227"/>
      <c r="R572" s="228"/>
      <c r="S572" s="228"/>
      <c r="T572" s="228"/>
      <c r="U572" s="191">
        <f t="shared" si="512"/>
        <v>0</v>
      </c>
      <c r="V572" s="86"/>
      <c r="W572" s="45"/>
      <c r="X572" s="46"/>
      <c r="Y572" s="167">
        <f t="shared" si="513"/>
        <v>0</v>
      </c>
      <c r="Z572" s="167">
        <f t="shared" si="514"/>
        <v>0</v>
      </c>
      <c r="AA572" s="167">
        <f t="shared" si="515"/>
        <v>0</v>
      </c>
      <c r="AB572" s="167">
        <f t="shared" si="516"/>
        <v>0</v>
      </c>
      <c r="AC572" s="167">
        <f t="shared" si="517"/>
        <v>0</v>
      </c>
      <c r="AD572" s="167">
        <f t="shared" si="518"/>
        <v>0</v>
      </c>
      <c r="AF572" s="47">
        <f t="shared" si="510"/>
        <v>0</v>
      </c>
      <c r="AG572" s="202" t="str">
        <f t="shared" si="511"/>
        <v xml:space="preserve"> </v>
      </c>
      <c r="AH572" s="150"/>
      <c r="AI572" s="151"/>
      <c r="AJ572" s="151"/>
      <c r="AK572" s="151"/>
      <c r="AL572" s="151"/>
      <c r="AM572" s="151"/>
      <c r="AN572" s="151"/>
      <c r="AO572" s="151"/>
      <c r="AP572" s="151"/>
      <c r="AQ572" s="151"/>
      <c r="AR572" s="151"/>
      <c r="AS572" s="151"/>
      <c r="AT572" s="151"/>
      <c r="AU572" s="151"/>
      <c r="AV572" s="151"/>
      <c r="AW572" s="151"/>
      <c r="AX572" s="151"/>
      <c r="AY572" s="151"/>
      <c r="AZ572" s="151"/>
      <c r="BA572" s="151"/>
      <c r="BB572" s="151"/>
      <c r="BC572" s="151"/>
      <c r="BD572" s="151"/>
      <c r="BE572" s="151"/>
      <c r="BF572" s="151"/>
      <c r="BG572" s="151"/>
      <c r="BH572" s="151"/>
      <c r="BI572" s="151"/>
      <c r="BJ572" s="151"/>
      <c r="BK572" s="151"/>
      <c r="BL572" s="151"/>
      <c r="BM572" s="151"/>
      <c r="BN572" s="151"/>
      <c r="BO572" s="151"/>
      <c r="BP572" s="151"/>
      <c r="BQ572" s="151"/>
      <c r="BR572" s="151"/>
      <c r="BS572" s="151"/>
      <c r="BT572" s="151"/>
      <c r="BU572" s="151"/>
      <c r="BV572" s="151"/>
      <c r="BW572" s="151"/>
      <c r="BX572" s="151"/>
      <c r="BY572" s="151"/>
      <c r="BZ572" s="151"/>
      <c r="CA572" s="151"/>
      <c r="CB572" s="151"/>
      <c r="CC572" s="151"/>
      <c r="CD572" s="151"/>
      <c r="CE572" s="151"/>
      <c r="CF572" s="151"/>
      <c r="CG572" s="151"/>
      <c r="CH572" s="151"/>
      <c r="CI572" s="151"/>
      <c r="CJ572" s="151"/>
      <c r="CK572" s="151"/>
      <c r="CL572" s="151"/>
      <c r="CM572" s="151"/>
      <c r="CN572" s="151"/>
      <c r="CO572" s="151"/>
      <c r="CP572" s="151"/>
      <c r="CQ572" s="151"/>
      <c r="CR572" s="151"/>
      <c r="CS572" s="151"/>
      <c r="CT572" s="151"/>
      <c r="CU572" s="151"/>
      <c r="CV572" s="151"/>
      <c r="CW572" s="151"/>
      <c r="CX572" s="151"/>
      <c r="CY572" s="151"/>
      <c r="CZ572" s="151"/>
      <c r="DA572" s="151"/>
      <c r="DB572" s="151"/>
      <c r="DC572" s="151"/>
      <c r="DD572" s="151"/>
      <c r="DE572" s="151"/>
      <c r="DF572" s="151"/>
      <c r="DG572" s="151"/>
      <c r="DH572" s="151"/>
      <c r="DI572" s="151"/>
      <c r="DJ572" s="151"/>
      <c r="DK572" s="151"/>
      <c r="DL572" s="151"/>
      <c r="DM572" s="151"/>
      <c r="DN572" s="151"/>
      <c r="DO572" s="151"/>
      <c r="DP572" s="151"/>
      <c r="DQ572" s="151"/>
      <c r="DR572" s="151"/>
      <c r="DS572" s="151"/>
      <c r="DT572" s="151"/>
      <c r="DU572" s="151"/>
      <c r="DV572" s="151"/>
      <c r="DW572" s="151"/>
      <c r="DX572" s="151"/>
      <c r="DY572" s="151"/>
      <c r="DZ572" s="151"/>
      <c r="EA572" s="151"/>
      <c r="EB572" s="151"/>
      <c r="EC572" s="151"/>
      <c r="ED572" s="151"/>
      <c r="EE572" s="151"/>
      <c r="EF572" s="151"/>
      <c r="EG572" s="151"/>
      <c r="EH572" s="151"/>
      <c r="EI572" s="151"/>
      <c r="EJ572" s="151"/>
      <c r="EK572" s="151"/>
      <c r="EL572" s="151"/>
      <c r="EM572" s="151"/>
      <c r="EN572" s="151"/>
      <c r="EO572" s="151"/>
      <c r="EP572" s="151"/>
      <c r="EQ572" s="151"/>
      <c r="ER572" s="151"/>
      <c r="ES572" s="151"/>
      <c r="ET572" s="151"/>
      <c r="EU572" s="151"/>
      <c r="EV572" s="151"/>
      <c r="EW572" s="151"/>
      <c r="EX572" s="151"/>
      <c r="EY572" s="151"/>
      <c r="EZ572" s="151"/>
      <c r="FA572" s="151"/>
      <c r="FB572" s="151"/>
      <c r="FC572" s="151"/>
      <c r="FD572" s="151"/>
      <c r="FE572" s="151"/>
      <c r="FF572" s="151"/>
      <c r="FG572" s="151"/>
      <c r="FH572" s="151"/>
      <c r="FI572" s="151"/>
      <c r="FJ572" s="151"/>
      <c r="FK572" s="151"/>
      <c r="FL572" s="151"/>
      <c r="FM572" s="151"/>
      <c r="FN572" s="151"/>
      <c r="FO572" s="151"/>
      <c r="FP572" s="151"/>
      <c r="FQ572" s="151"/>
      <c r="FR572" s="151"/>
      <c r="FS572" s="151"/>
      <c r="FT572" s="151"/>
      <c r="FU572" s="151"/>
      <c r="FV572" s="151"/>
      <c r="FW572" s="151"/>
      <c r="FX572" s="151"/>
      <c r="FY572" s="151"/>
      <c r="FZ572" s="151"/>
      <c r="GA572" s="151"/>
      <c r="GB572" s="151"/>
      <c r="GC572" s="151"/>
      <c r="GD572" s="151"/>
      <c r="GE572" s="151"/>
      <c r="GF572" s="151"/>
      <c r="GG572" s="152"/>
    </row>
    <row r="573" spans="1:189" x14ac:dyDescent="0.35">
      <c r="A573" s="268"/>
      <c r="B573" s="221"/>
      <c r="C573" s="221"/>
      <c r="D573" s="222"/>
      <c r="E573" s="221"/>
      <c r="F573" s="221"/>
      <c r="G573" s="223"/>
      <c r="H573" s="224"/>
      <c r="I573" s="225"/>
      <c r="J573" s="225"/>
      <c r="K573" s="225"/>
      <c r="L573" s="226"/>
      <c r="M573" s="226"/>
      <c r="N573" s="226"/>
      <c r="O573" s="226"/>
      <c r="P573" s="226"/>
      <c r="Q573" s="227"/>
      <c r="R573" s="228"/>
      <c r="S573" s="228"/>
      <c r="T573" s="228"/>
      <c r="U573" s="191">
        <f t="shared" si="512"/>
        <v>0</v>
      </c>
      <c r="V573" s="86"/>
      <c r="W573" s="45"/>
      <c r="X573" s="46"/>
      <c r="Y573" s="167">
        <f t="shared" si="513"/>
        <v>0</v>
      </c>
      <c r="Z573" s="167">
        <f t="shared" si="514"/>
        <v>0</v>
      </c>
      <c r="AA573" s="167">
        <f t="shared" si="515"/>
        <v>0</v>
      </c>
      <c r="AB573" s="167">
        <f t="shared" si="516"/>
        <v>0</v>
      </c>
      <c r="AC573" s="167">
        <f t="shared" si="517"/>
        <v>0</v>
      </c>
      <c r="AD573" s="167">
        <f t="shared" si="518"/>
        <v>0</v>
      </c>
      <c r="AF573" s="47">
        <f t="shared" si="510"/>
        <v>0</v>
      </c>
      <c r="AG573" s="202" t="str">
        <f t="shared" si="511"/>
        <v xml:space="preserve"> </v>
      </c>
      <c r="AH573" s="150"/>
      <c r="AI573" s="151"/>
      <c r="AJ573" s="151"/>
      <c r="AK573" s="151"/>
      <c r="AL573" s="151"/>
      <c r="AM573" s="151"/>
      <c r="AN573" s="151"/>
      <c r="AO573" s="151"/>
      <c r="AP573" s="151"/>
      <c r="AQ573" s="151"/>
      <c r="AR573" s="151"/>
      <c r="AS573" s="151"/>
      <c r="AT573" s="151"/>
      <c r="AU573" s="151"/>
      <c r="AV573" s="151"/>
      <c r="AW573" s="151"/>
      <c r="AX573" s="151"/>
      <c r="AY573" s="151"/>
      <c r="AZ573" s="151"/>
      <c r="BA573" s="151"/>
      <c r="BB573" s="151"/>
      <c r="BC573" s="151"/>
      <c r="BD573" s="151"/>
      <c r="BE573" s="151"/>
      <c r="BF573" s="151"/>
      <c r="BG573" s="151"/>
      <c r="BH573" s="151"/>
      <c r="BI573" s="151"/>
      <c r="BJ573" s="151"/>
      <c r="BK573" s="151"/>
      <c r="BL573" s="151"/>
      <c r="BM573" s="151"/>
      <c r="BN573" s="151"/>
      <c r="BO573" s="151"/>
      <c r="BP573" s="151"/>
      <c r="BQ573" s="151"/>
      <c r="BR573" s="151"/>
      <c r="BS573" s="151"/>
      <c r="BT573" s="151"/>
      <c r="BU573" s="151"/>
      <c r="BV573" s="151"/>
      <c r="BW573" s="151"/>
      <c r="BX573" s="151"/>
      <c r="BY573" s="151"/>
      <c r="BZ573" s="151"/>
      <c r="CA573" s="151"/>
      <c r="CB573" s="151"/>
      <c r="CC573" s="151"/>
      <c r="CD573" s="151"/>
      <c r="CE573" s="151"/>
      <c r="CF573" s="151"/>
      <c r="CG573" s="151"/>
      <c r="CH573" s="151"/>
      <c r="CI573" s="151"/>
      <c r="CJ573" s="151"/>
      <c r="CK573" s="151"/>
      <c r="CL573" s="151"/>
      <c r="CM573" s="151"/>
      <c r="CN573" s="151"/>
      <c r="CO573" s="151"/>
      <c r="CP573" s="151"/>
      <c r="CQ573" s="151"/>
      <c r="CR573" s="151"/>
      <c r="CS573" s="151"/>
      <c r="CT573" s="151"/>
      <c r="CU573" s="151"/>
      <c r="CV573" s="151"/>
      <c r="CW573" s="151"/>
      <c r="CX573" s="151"/>
      <c r="CY573" s="151"/>
      <c r="CZ573" s="151"/>
      <c r="DA573" s="151"/>
      <c r="DB573" s="151"/>
      <c r="DC573" s="151"/>
      <c r="DD573" s="151"/>
      <c r="DE573" s="151"/>
      <c r="DF573" s="151"/>
      <c r="DG573" s="151"/>
      <c r="DH573" s="151"/>
      <c r="DI573" s="151"/>
      <c r="DJ573" s="151"/>
      <c r="DK573" s="151"/>
      <c r="DL573" s="151"/>
      <c r="DM573" s="151"/>
      <c r="DN573" s="151"/>
      <c r="DO573" s="151"/>
      <c r="DP573" s="151"/>
      <c r="DQ573" s="151"/>
      <c r="DR573" s="151"/>
      <c r="DS573" s="151"/>
      <c r="DT573" s="151"/>
      <c r="DU573" s="151"/>
      <c r="DV573" s="151"/>
      <c r="DW573" s="151"/>
      <c r="DX573" s="151"/>
      <c r="DY573" s="151"/>
      <c r="DZ573" s="151"/>
      <c r="EA573" s="151"/>
      <c r="EB573" s="151"/>
      <c r="EC573" s="151"/>
      <c r="ED573" s="151"/>
      <c r="EE573" s="151"/>
      <c r="EF573" s="151"/>
      <c r="EG573" s="151"/>
      <c r="EH573" s="151"/>
      <c r="EI573" s="151"/>
      <c r="EJ573" s="151"/>
      <c r="EK573" s="151"/>
      <c r="EL573" s="151"/>
      <c r="EM573" s="151"/>
      <c r="EN573" s="151"/>
      <c r="EO573" s="151"/>
      <c r="EP573" s="151"/>
      <c r="EQ573" s="151"/>
      <c r="ER573" s="151"/>
      <c r="ES573" s="151"/>
      <c r="ET573" s="151"/>
      <c r="EU573" s="151"/>
      <c r="EV573" s="151"/>
      <c r="EW573" s="151"/>
      <c r="EX573" s="151"/>
      <c r="EY573" s="151"/>
      <c r="EZ573" s="151"/>
      <c r="FA573" s="151"/>
      <c r="FB573" s="151"/>
      <c r="FC573" s="151"/>
      <c r="FD573" s="151"/>
      <c r="FE573" s="151"/>
      <c r="FF573" s="151"/>
      <c r="FG573" s="151"/>
      <c r="FH573" s="151"/>
      <c r="FI573" s="151"/>
      <c r="FJ573" s="151"/>
      <c r="FK573" s="151"/>
      <c r="FL573" s="151"/>
      <c r="FM573" s="151"/>
      <c r="FN573" s="151"/>
      <c r="FO573" s="151"/>
      <c r="FP573" s="151"/>
      <c r="FQ573" s="151"/>
      <c r="FR573" s="151"/>
      <c r="FS573" s="151"/>
      <c r="FT573" s="151"/>
      <c r="FU573" s="151"/>
      <c r="FV573" s="151"/>
      <c r="FW573" s="151"/>
      <c r="FX573" s="151"/>
      <c r="FY573" s="151"/>
      <c r="FZ573" s="151"/>
      <c r="GA573" s="151"/>
      <c r="GB573" s="151"/>
      <c r="GC573" s="151"/>
      <c r="GD573" s="151"/>
      <c r="GE573" s="151"/>
      <c r="GF573" s="151"/>
      <c r="GG573" s="152"/>
    </row>
    <row r="574" spans="1:189" x14ac:dyDescent="0.35">
      <c r="A574" s="269"/>
      <c r="B574" s="83"/>
      <c r="C574" s="83"/>
      <c r="D574" s="85"/>
      <c r="E574" s="83"/>
      <c r="F574" s="83"/>
      <c r="G574" s="43"/>
      <c r="H574" s="233"/>
      <c r="I574" s="42"/>
      <c r="J574" s="42"/>
      <c r="K574" s="42"/>
      <c r="L574" s="44"/>
      <c r="M574" s="44"/>
      <c r="N574" s="44"/>
      <c r="O574" s="44"/>
      <c r="P574" s="44"/>
      <c r="Q574" s="227"/>
      <c r="R574" s="228"/>
      <c r="S574" s="228"/>
      <c r="T574" s="228"/>
      <c r="U574" s="191">
        <f t="shared" si="512"/>
        <v>0</v>
      </c>
      <c r="V574" s="86"/>
      <c r="W574" s="45"/>
      <c r="X574" s="46"/>
      <c r="Y574" s="167">
        <f t="shared" si="513"/>
        <v>0</v>
      </c>
      <c r="Z574" s="167">
        <f t="shared" si="514"/>
        <v>0</v>
      </c>
      <c r="AA574" s="167">
        <f t="shared" si="515"/>
        <v>0</v>
      </c>
      <c r="AB574" s="167">
        <f t="shared" si="516"/>
        <v>0</v>
      </c>
      <c r="AC574" s="167">
        <f t="shared" si="517"/>
        <v>0</v>
      </c>
      <c r="AD574" s="167">
        <f t="shared" si="518"/>
        <v>0</v>
      </c>
      <c r="AF574" s="47">
        <f t="shared" si="510"/>
        <v>0</v>
      </c>
      <c r="AG574" s="202" t="str">
        <f t="shared" si="511"/>
        <v xml:space="preserve"> </v>
      </c>
      <c r="AH574" s="150"/>
      <c r="AI574" s="151"/>
      <c r="AJ574" s="151"/>
      <c r="AK574" s="151"/>
      <c r="AL574" s="151"/>
      <c r="AM574" s="151"/>
      <c r="AN574" s="151"/>
      <c r="AO574" s="151"/>
      <c r="AP574" s="151"/>
      <c r="AQ574" s="151"/>
      <c r="AR574" s="151"/>
      <c r="AS574" s="151"/>
      <c r="AT574" s="151"/>
      <c r="AU574" s="151"/>
      <c r="AV574" s="151"/>
      <c r="AW574" s="151"/>
      <c r="AX574" s="151"/>
      <c r="AY574" s="151"/>
      <c r="AZ574" s="151"/>
      <c r="BA574" s="151"/>
      <c r="BB574" s="151"/>
      <c r="BC574" s="151"/>
      <c r="BD574" s="151"/>
      <c r="BE574" s="151"/>
      <c r="BF574" s="151"/>
      <c r="BG574" s="151"/>
      <c r="BH574" s="151"/>
      <c r="BI574" s="151"/>
      <c r="BJ574" s="151"/>
      <c r="BK574" s="151"/>
      <c r="BL574" s="151"/>
      <c r="BM574" s="151"/>
      <c r="BN574" s="151"/>
      <c r="BO574" s="151"/>
      <c r="BP574" s="151"/>
      <c r="BQ574" s="151"/>
      <c r="BR574" s="151"/>
      <c r="BS574" s="151"/>
      <c r="BT574" s="151"/>
      <c r="BU574" s="151"/>
      <c r="BV574" s="151"/>
      <c r="BW574" s="151"/>
      <c r="BX574" s="151"/>
      <c r="BY574" s="151"/>
      <c r="BZ574" s="151"/>
      <c r="CA574" s="151"/>
      <c r="CB574" s="151"/>
      <c r="CC574" s="151"/>
      <c r="CD574" s="151"/>
      <c r="CE574" s="151"/>
      <c r="CF574" s="151"/>
      <c r="CG574" s="151"/>
      <c r="CH574" s="151"/>
      <c r="CI574" s="151"/>
      <c r="CJ574" s="151"/>
      <c r="CK574" s="151"/>
      <c r="CL574" s="151"/>
      <c r="CM574" s="151"/>
      <c r="CN574" s="151"/>
      <c r="CO574" s="151"/>
      <c r="CP574" s="151"/>
      <c r="CQ574" s="151"/>
      <c r="CR574" s="151"/>
      <c r="CS574" s="151"/>
      <c r="CT574" s="151"/>
      <c r="CU574" s="151"/>
      <c r="CV574" s="151"/>
      <c r="CW574" s="151"/>
      <c r="CX574" s="151"/>
      <c r="CY574" s="151"/>
      <c r="CZ574" s="151"/>
      <c r="DA574" s="151"/>
      <c r="DB574" s="151"/>
      <c r="DC574" s="151"/>
      <c r="DD574" s="151"/>
      <c r="DE574" s="151"/>
      <c r="DF574" s="151"/>
      <c r="DG574" s="151"/>
      <c r="DH574" s="151"/>
      <c r="DI574" s="151"/>
      <c r="DJ574" s="151"/>
      <c r="DK574" s="151"/>
      <c r="DL574" s="151"/>
      <c r="DM574" s="151"/>
      <c r="DN574" s="151"/>
      <c r="DO574" s="151"/>
      <c r="DP574" s="151"/>
      <c r="DQ574" s="151"/>
      <c r="DR574" s="151"/>
      <c r="DS574" s="151"/>
      <c r="DT574" s="151"/>
      <c r="DU574" s="151"/>
      <c r="DV574" s="151"/>
      <c r="DW574" s="151"/>
      <c r="DX574" s="151"/>
      <c r="DY574" s="151"/>
      <c r="DZ574" s="151"/>
      <c r="EA574" s="151"/>
      <c r="EB574" s="151"/>
      <c r="EC574" s="151"/>
      <c r="ED574" s="151"/>
      <c r="EE574" s="151"/>
      <c r="EF574" s="151"/>
      <c r="EG574" s="151"/>
      <c r="EH574" s="151"/>
      <c r="EI574" s="151"/>
      <c r="EJ574" s="151"/>
      <c r="EK574" s="151"/>
      <c r="EL574" s="151"/>
      <c r="EM574" s="151"/>
      <c r="EN574" s="151"/>
      <c r="EO574" s="151"/>
      <c r="EP574" s="151"/>
      <c r="EQ574" s="151"/>
      <c r="ER574" s="151"/>
      <c r="ES574" s="151"/>
      <c r="ET574" s="151"/>
      <c r="EU574" s="151"/>
      <c r="EV574" s="151"/>
      <c r="EW574" s="151"/>
      <c r="EX574" s="151"/>
      <c r="EY574" s="151"/>
      <c r="EZ574" s="151"/>
      <c r="FA574" s="151"/>
      <c r="FB574" s="151"/>
      <c r="FC574" s="151"/>
      <c r="FD574" s="151"/>
      <c r="FE574" s="151"/>
      <c r="FF574" s="151"/>
      <c r="FG574" s="151"/>
      <c r="FH574" s="151"/>
      <c r="FI574" s="151"/>
      <c r="FJ574" s="151"/>
      <c r="FK574" s="151"/>
      <c r="FL574" s="151"/>
      <c r="FM574" s="151"/>
      <c r="FN574" s="151"/>
      <c r="FO574" s="151"/>
      <c r="FP574" s="151"/>
      <c r="FQ574" s="151"/>
      <c r="FR574" s="151"/>
      <c r="FS574" s="151"/>
      <c r="FT574" s="151"/>
      <c r="FU574" s="151"/>
      <c r="FV574" s="151"/>
      <c r="FW574" s="151"/>
      <c r="FX574" s="151"/>
      <c r="FY574" s="151"/>
      <c r="FZ574" s="151"/>
      <c r="GA574" s="151"/>
      <c r="GB574" s="151"/>
      <c r="GC574" s="151"/>
      <c r="GD574" s="151"/>
      <c r="GE574" s="151"/>
      <c r="GF574" s="151"/>
      <c r="GG574" s="152"/>
    </row>
    <row r="575" spans="1:189" x14ac:dyDescent="0.35">
      <c r="A575" s="269"/>
      <c r="B575" s="83"/>
      <c r="C575" s="83"/>
      <c r="D575" s="85"/>
      <c r="E575" s="83"/>
      <c r="F575" s="83"/>
      <c r="G575" s="43"/>
      <c r="H575" s="233"/>
      <c r="I575" s="42"/>
      <c r="J575" s="42"/>
      <c r="K575" s="42"/>
      <c r="L575" s="44"/>
      <c r="M575" s="44"/>
      <c r="N575" s="44"/>
      <c r="O575" s="44"/>
      <c r="P575" s="44"/>
      <c r="Q575" s="227"/>
      <c r="R575" s="228"/>
      <c r="S575" s="228"/>
      <c r="T575" s="228"/>
      <c r="U575" s="191">
        <f t="shared" si="512"/>
        <v>0</v>
      </c>
      <c r="V575" s="86"/>
      <c r="W575" s="45"/>
      <c r="X575" s="46"/>
      <c r="Y575" s="167">
        <f t="shared" si="513"/>
        <v>0</v>
      </c>
      <c r="Z575" s="167">
        <f t="shared" si="514"/>
        <v>0</v>
      </c>
      <c r="AA575" s="167">
        <f t="shared" si="515"/>
        <v>0</v>
      </c>
      <c r="AB575" s="167">
        <f t="shared" si="516"/>
        <v>0</v>
      </c>
      <c r="AC575" s="167">
        <f t="shared" si="517"/>
        <v>0</v>
      </c>
      <c r="AD575" s="167">
        <f t="shared" si="518"/>
        <v>0</v>
      </c>
      <c r="AF575" s="47">
        <f t="shared" si="510"/>
        <v>0</v>
      </c>
      <c r="AG575" s="202" t="str">
        <f t="shared" si="511"/>
        <v xml:space="preserve"> </v>
      </c>
      <c r="AH575" s="147"/>
      <c r="AI575" s="148"/>
      <c r="AJ575" s="148"/>
      <c r="AK575" s="148"/>
      <c r="AL575" s="148"/>
      <c r="AM575" s="148"/>
      <c r="AN575" s="148"/>
      <c r="AO575" s="148"/>
      <c r="AP575" s="148"/>
      <c r="AQ575" s="148"/>
      <c r="AR575" s="148"/>
      <c r="AS575" s="148"/>
      <c r="AT575" s="148"/>
      <c r="AU575" s="148"/>
      <c r="AV575" s="148"/>
      <c r="AW575" s="148"/>
      <c r="AX575" s="148"/>
      <c r="AY575" s="148"/>
      <c r="AZ575" s="148"/>
      <c r="BA575" s="148"/>
      <c r="BB575" s="148"/>
      <c r="BC575" s="148"/>
      <c r="BD575" s="148"/>
      <c r="BE575" s="148"/>
      <c r="BF575" s="148"/>
      <c r="BG575" s="148"/>
      <c r="BH575" s="148"/>
      <c r="BI575" s="148"/>
      <c r="BJ575" s="148"/>
      <c r="BK575" s="148"/>
      <c r="BL575" s="148"/>
      <c r="BM575" s="148"/>
      <c r="BN575" s="148"/>
      <c r="BO575" s="148"/>
      <c r="BP575" s="148"/>
      <c r="BQ575" s="148"/>
      <c r="BR575" s="148"/>
      <c r="BS575" s="148"/>
      <c r="BT575" s="148"/>
      <c r="BU575" s="148"/>
      <c r="BV575" s="148"/>
      <c r="BW575" s="148"/>
      <c r="BX575" s="148"/>
      <c r="BY575" s="148"/>
      <c r="BZ575" s="148"/>
      <c r="CA575" s="148"/>
      <c r="CB575" s="148"/>
      <c r="CC575" s="148"/>
      <c r="CD575" s="148"/>
      <c r="CE575" s="148"/>
      <c r="CF575" s="148"/>
      <c r="CG575" s="148"/>
      <c r="CH575" s="148"/>
      <c r="CI575" s="148"/>
      <c r="CJ575" s="148"/>
      <c r="CK575" s="148"/>
      <c r="CL575" s="148"/>
      <c r="CM575" s="148"/>
      <c r="CN575" s="148"/>
      <c r="CO575" s="148"/>
      <c r="CP575" s="148"/>
      <c r="CQ575" s="148"/>
      <c r="CR575" s="148"/>
      <c r="CS575" s="148"/>
      <c r="CT575" s="148"/>
      <c r="CU575" s="148"/>
      <c r="CV575" s="148"/>
      <c r="CW575" s="148"/>
      <c r="CX575" s="148"/>
      <c r="CY575" s="148"/>
      <c r="CZ575" s="148"/>
      <c r="DA575" s="148"/>
      <c r="DB575" s="148"/>
      <c r="DC575" s="148"/>
      <c r="DD575" s="148"/>
      <c r="DE575" s="148"/>
      <c r="DF575" s="148"/>
      <c r="DG575" s="148"/>
      <c r="DH575" s="148"/>
      <c r="DI575" s="148"/>
      <c r="DJ575" s="148"/>
      <c r="DK575" s="148"/>
      <c r="DL575" s="148"/>
      <c r="DM575" s="148"/>
      <c r="DN575" s="148"/>
      <c r="DO575" s="148"/>
      <c r="DP575" s="148"/>
      <c r="DQ575" s="148"/>
      <c r="DR575" s="148"/>
      <c r="DS575" s="148"/>
      <c r="DT575" s="148"/>
      <c r="DU575" s="148"/>
      <c r="DV575" s="148"/>
      <c r="DW575" s="148"/>
      <c r="DX575" s="148"/>
      <c r="DY575" s="148"/>
      <c r="DZ575" s="148"/>
      <c r="EA575" s="148"/>
      <c r="EB575" s="148"/>
      <c r="EC575" s="148"/>
      <c r="ED575" s="148"/>
      <c r="EE575" s="148"/>
      <c r="EF575" s="148"/>
      <c r="EG575" s="148"/>
      <c r="EH575" s="148"/>
      <c r="EI575" s="148"/>
      <c r="EJ575" s="148"/>
      <c r="EK575" s="148"/>
      <c r="EL575" s="148"/>
      <c r="EM575" s="148"/>
      <c r="EN575" s="148"/>
      <c r="EO575" s="148"/>
      <c r="EP575" s="148"/>
      <c r="EQ575" s="148"/>
      <c r="ER575" s="148"/>
      <c r="ES575" s="148"/>
      <c r="ET575" s="148"/>
      <c r="EU575" s="148"/>
      <c r="EV575" s="148"/>
      <c r="EW575" s="148"/>
      <c r="EX575" s="148"/>
      <c r="EY575" s="148"/>
      <c r="EZ575" s="148"/>
      <c r="FA575" s="148"/>
      <c r="FB575" s="148"/>
      <c r="FC575" s="148"/>
      <c r="FD575" s="148"/>
      <c r="FE575" s="148"/>
      <c r="FF575" s="148"/>
      <c r="FG575" s="148"/>
      <c r="FH575" s="148"/>
      <c r="FI575" s="148"/>
      <c r="FJ575" s="148"/>
      <c r="FK575" s="148"/>
      <c r="FL575" s="148"/>
      <c r="FM575" s="148"/>
      <c r="FN575" s="148"/>
      <c r="FO575" s="148"/>
      <c r="FP575" s="148"/>
      <c r="FQ575" s="148"/>
      <c r="FR575" s="148"/>
      <c r="FS575" s="148"/>
      <c r="FT575" s="148"/>
      <c r="FU575" s="148"/>
      <c r="FV575" s="148"/>
      <c r="FW575" s="148"/>
      <c r="FX575" s="148"/>
      <c r="FY575" s="148"/>
      <c r="FZ575" s="148"/>
      <c r="GA575" s="148"/>
      <c r="GB575" s="148"/>
      <c r="GC575" s="148"/>
      <c r="GD575" s="148"/>
      <c r="GE575" s="148"/>
      <c r="GF575" s="148"/>
      <c r="GG575" s="149"/>
    </row>
    <row r="576" spans="1:189" x14ac:dyDescent="0.35">
      <c r="A576" s="269"/>
      <c r="B576" s="83"/>
      <c r="C576" s="83"/>
      <c r="D576" s="85"/>
      <c r="E576" s="83"/>
      <c r="F576" s="83"/>
      <c r="G576" s="43"/>
      <c r="H576" s="233"/>
      <c r="I576" s="42"/>
      <c r="J576" s="42"/>
      <c r="K576" s="42"/>
      <c r="L576" s="44"/>
      <c r="M576" s="44"/>
      <c r="N576" s="44"/>
      <c r="O576" s="44"/>
      <c r="P576" s="44"/>
      <c r="Q576" s="227"/>
      <c r="R576" s="228"/>
      <c r="S576" s="228"/>
      <c r="T576" s="228"/>
      <c r="U576" s="191">
        <f t="shared" si="512"/>
        <v>0</v>
      </c>
      <c r="V576" s="86"/>
      <c r="W576" s="45"/>
      <c r="X576" s="46"/>
      <c r="Y576" s="167">
        <f t="shared" si="513"/>
        <v>0</v>
      </c>
      <c r="Z576" s="167">
        <f t="shared" si="514"/>
        <v>0</v>
      </c>
      <c r="AA576" s="167">
        <f t="shared" si="515"/>
        <v>0</v>
      </c>
      <c r="AB576" s="167">
        <f t="shared" si="516"/>
        <v>0</v>
      </c>
      <c r="AC576" s="167">
        <f t="shared" si="517"/>
        <v>0</v>
      </c>
      <c r="AD576" s="167">
        <f t="shared" si="518"/>
        <v>0</v>
      </c>
      <c r="AF576" s="47">
        <f t="shared" si="510"/>
        <v>0</v>
      </c>
      <c r="AG576" s="202" t="str">
        <f t="shared" si="511"/>
        <v xml:space="preserve"> </v>
      </c>
      <c r="AH576" s="150"/>
      <c r="AI576" s="151"/>
      <c r="AJ576" s="151"/>
      <c r="AK576" s="151"/>
      <c r="AL576" s="151"/>
      <c r="AM576" s="151"/>
      <c r="AN576" s="151"/>
      <c r="AO576" s="151"/>
      <c r="AP576" s="151"/>
      <c r="AQ576" s="151"/>
      <c r="AR576" s="151"/>
      <c r="AS576" s="151"/>
      <c r="AT576" s="151"/>
      <c r="AU576" s="151"/>
      <c r="AV576" s="151"/>
      <c r="AW576" s="151"/>
      <c r="AX576" s="151"/>
      <c r="AY576" s="151"/>
      <c r="AZ576" s="151"/>
      <c r="BA576" s="151"/>
      <c r="BB576" s="151"/>
      <c r="BC576" s="151"/>
      <c r="BD576" s="151"/>
      <c r="BE576" s="151"/>
      <c r="BF576" s="151"/>
      <c r="BG576" s="151"/>
      <c r="BH576" s="151"/>
      <c r="BI576" s="151"/>
      <c r="BJ576" s="151"/>
      <c r="BK576" s="151"/>
      <c r="BL576" s="151"/>
      <c r="BM576" s="151"/>
      <c r="BN576" s="151"/>
      <c r="BO576" s="151"/>
      <c r="BP576" s="151"/>
      <c r="BQ576" s="151"/>
      <c r="BR576" s="151"/>
      <c r="BS576" s="151"/>
      <c r="BT576" s="151"/>
      <c r="BU576" s="151"/>
      <c r="BV576" s="151"/>
      <c r="BW576" s="151"/>
      <c r="BX576" s="151"/>
      <c r="BY576" s="151"/>
      <c r="BZ576" s="151"/>
      <c r="CA576" s="151"/>
      <c r="CB576" s="151"/>
      <c r="CC576" s="151"/>
      <c r="CD576" s="151"/>
      <c r="CE576" s="151"/>
      <c r="CF576" s="151"/>
      <c r="CG576" s="151"/>
      <c r="CH576" s="151"/>
      <c r="CI576" s="151"/>
      <c r="CJ576" s="151"/>
      <c r="CK576" s="151"/>
      <c r="CL576" s="151"/>
      <c r="CM576" s="151"/>
      <c r="CN576" s="151"/>
      <c r="CO576" s="151"/>
      <c r="CP576" s="151"/>
      <c r="CQ576" s="151"/>
      <c r="CR576" s="151"/>
      <c r="CS576" s="151"/>
      <c r="CT576" s="151"/>
      <c r="CU576" s="151"/>
      <c r="CV576" s="151"/>
      <c r="CW576" s="151"/>
      <c r="CX576" s="151"/>
      <c r="CY576" s="151"/>
      <c r="CZ576" s="151"/>
      <c r="DA576" s="151"/>
      <c r="DB576" s="151"/>
      <c r="DC576" s="151"/>
      <c r="DD576" s="151"/>
      <c r="DE576" s="151"/>
      <c r="DF576" s="151"/>
      <c r="DG576" s="151"/>
      <c r="DH576" s="151"/>
      <c r="DI576" s="151"/>
      <c r="DJ576" s="151"/>
      <c r="DK576" s="151"/>
      <c r="DL576" s="151"/>
      <c r="DM576" s="151"/>
      <c r="DN576" s="151"/>
      <c r="DO576" s="151"/>
      <c r="DP576" s="151"/>
      <c r="DQ576" s="151"/>
      <c r="DR576" s="151"/>
      <c r="DS576" s="151"/>
      <c r="DT576" s="151"/>
      <c r="DU576" s="151"/>
      <c r="DV576" s="151"/>
      <c r="DW576" s="151"/>
      <c r="DX576" s="151"/>
      <c r="DY576" s="151"/>
      <c r="DZ576" s="151"/>
      <c r="EA576" s="151"/>
      <c r="EB576" s="151"/>
      <c r="EC576" s="151"/>
      <c r="ED576" s="151"/>
      <c r="EE576" s="151"/>
      <c r="EF576" s="151"/>
      <c r="EG576" s="151"/>
      <c r="EH576" s="151"/>
      <c r="EI576" s="151"/>
      <c r="EJ576" s="151"/>
      <c r="EK576" s="151"/>
      <c r="EL576" s="151"/>
      <c r="EM576" s="151"/>
      <c r="EN576" s="151"/>
      <c r="EO576" s="151"/>
      <c r="EP576" s="151"/>
      <c r="EQ576" s="151"/>
      <c r="ER576" s="151"/>
      <c r="ES576" s="151"/>
      <c r="ET576" s="151"/>
      <c r="EU576" s="151"/>
      <c r="EV576" s="151"/>
      <c r="EW576" s="151"/>
      <c r="EX576" s="151"/>
      <c r="EY576" s="151"/>
      <c r="EZ576" s="151"/>
      <c r="FA576" s="151"/>
      <c r="FB576" s="151"/>
      <c r="FC576" s="151"/>
      <c r="FD576" s="151"/>
      <c r="FE576" s="151"/>
      <c r="FF576" s="151"/>
      <c r="FG576" s="151"/>
      <c r="FH576" s="151"/>
      <c r="FI576" s="151"/>
      <c r="FJ576" s="151"/>
      <c r="FK576" s="151"/>
      <c r="FL576" s="151"/>
      <c r="FM576" s="151"/>
      <c r="FN576" s="151"/>
      <c r="FO576" s="151"/>
      <c r="FP576" s="151"/>
      <c r="FQ576" s="151"/>
      <c r="FR576" s="151"/>
      <c r="FS576" s="151"/>
      <c r="FT576" s="151"/>
      <c r="FU576" s="151"/>
      <c r="FV576" s="151"/>
      <c r="FW576" s="151"/>
      <c r="FX576" s="151"/>
      <c r="FY576" s="151"/>
      <c r="FZ576" s="151"/>
      <c r="GA576" s="151"/>
      <c r="GB576" s="151"/>
      <c r="GC576" s="151"/>
      <c r="GD576" s="151"/>
      <c r="GE576" s="151"/>
      <c r="GF576" s="151"/>
      <c r="GG576" s="152"/>
    </row>
    <row r="577" spans="1:189" x14ac:dyDescent="0.35">
      <c r="A577" s="269"/>
      <c r="B577" s="83"/>
      <c r="C577" s="83"/>
      <c r="D577" s="85"/>
      <c r="E577" s="83"/>
      <c r="F577" s="83"/>
      <c r="G577" s="43"/>
      <c r="H577" s="233"/>
      <c r="I577" s="42"/>
      <c r="J577" s="42"/>
      <c r="K577" s="42"/>
      <c r="L577" s="44"/>
      <c r="M577" s="44"/>
      <c r="N577" s="44"/>
      <c r="O577" s="44"/>
      <c r="P577" s="44"/>
      <c r="Q577" s="227"/>
      <c r="R577" s="228"/>
      <c r="S577" s="228"/>
      <c r="T577" s="228"/>
      <c r="U577" s="191">
        <f t="shared" si="512"/>
        <v>0</v>
      </c>
      <c r="V577" s="86"/>
      <c r="W577" s="45"/>
      <c r="X577" s="46"/>
      <c r="Y577" s="167">
        <f t="shared" si="513"/>
        <v>0</v>
      </c>
      <c r="Z577" s="167">
        <f t="shared" si="514"/>
        <v>0</v>
      </c>
      <c r="AA577" s="167">
        <f t="shared" si="515"/>
        <v>0</v>
      </c>
      <c r="AB577" s="167">
        <f t="shared" si="516"/>
        <v>0</v>
      </c>
      <c r="AC577" s="167">
        <f t="shared" si="517"/>
        <v>0</v>
      </c>
      <c r="AD577" s="167">
        <f t="shared" si="518"/>
        <v>0</v>
      </c>
      <c r="AF577" s="47">
        <f t="shared" si="510"/>
        <v>0</v>
      </c>
      <c r="AG577" s="202" t="str">
        <f t="shared" si="511"/>
        <v xml:space="preserve"> </v>
      </c>
      <c r="AH577" s="150"/>
      <c r="AI577" s="151"/>
      <c r="AJ577" s="151"/>
      <c r="AK577" s="151"/>
      <c r="AL577" s="151"/>
      <c r="AM577" s="151"/>
      <c r="AN577" s="151"/>
      <c r="AO577" s="151"/>
      <c r="AP577" s="151"/>
      <c r="AQ577" s="151"/>
      <c r="AR577" s="151"/>
      <c r="AS577" s="151"/>
      <c r="AT577" s="151"/>
      <c r="AU577" s="151"/>
      <c r="AV577" s="151"/>
      <c r="AW577" s="151"/>
      <c r="AX577" s="151"/>
      <c r="AY577" s="151"/>
      <c r="AZ577" s="151"/>
      <c r="BA577" s="151"/>
      <c r="BB577" s="151"/>
      <c r="BC577" s="151"/>
      <c r="BD577" s="151"/>
      <c r="BE577" s="151"/>
      <c r="BF577" s="151"/>
      <c r="BG577" s="151"/>
      <c r="BH577" s="151"/>
      <c r="BI577" s="151"/>
      <c r="BJ577" s="151"/>
      <c r="BK577" s="151"/>
      <c r="BL577" s="151"/>
      <c r="BM577" s="151"/>
      <c r="BN577" s="151"/>
      <c r="BO577" s="151"/>
      <c r="BP577" s="151"/>
      <c r="BQ577" s="151"/>
      <c r="BR577" s="151"/>
      <c r="BS577" s="151"/>
      <c r="BT577" s="151"/>
      <c r="BU577" s="151"/>
      <c r="BV577" s="151"/>
      <c r="BW577" s="151"/>
      <c r="BX577" s="151"/>
      <c r="BY577" s="151"/>
      <c r="BZ577" s="151"/>
      <c r="CA577" s="151"/>
      <c r="CB577" s="151"/>
      <c r="CC577" s="151"/>
      <c r="CD577" s="151"/>
      <c r="CE577" s="151"/>
      <c r="CF577" s="151"/>
      <c r="CG577" s="151"/>
      <c r="CH577" s="151"/>
      <c r="CI577" s="151"/>
      <c r="CJ577" s="151"/>
      <c r="CK577" s="151"/>
      <c r="CL577" s="151"/>
      <c r="CM577" s="151"/>
      <c r="CN577" s="151"/>
      <c r="CO577" s="151"/>
      <c r="CP577" s="151"/>
      <c r="CQ577" s="151"/>
      <c r="CR577" s="151"/>
      <c r="CS577" s="151"/>
      <c r="CT577" s="151"/>
      <c r="CU577" s="151"/>
      <c r="CV577" s="151"/>
      <c r="CW577" s="151"/>
      <c r="CX577" s="151"/>
      <c r="CY577" s="151"/>
      <c r="CZ577" s="151"/>
      <c r="DA577" s="151"/>
      <c r="DB577" s="151"/>
      <c r="DC577" s="151"/>
      <c r="DD577" s="151"/>
      <c r="DE577" s="151"/>
      <c r="DF577" s="151"/>
      <c r="DG577" s="151"/>
      <c r="DH577" s="151"/>
      <c r="DI577" s="151"/>
      <c r="DJ577" s="151"/>
      <c r="DK577" s="151"/>
      <c r="DL577" s="151"/>
      <c r="DM577" s="151"/>
      <c r="DN577" s="151"/>
      <c r="DO577" s="151"/>
      <c r="DP577" s="151"/>
      <c r="DQ577" s="151"/>
      <c r="DR577" s="151"/>
      <c r="DS577" s="151"/>
      <c r="DT577" s="151"/>
      <c r="DU577" s="151"/>
      <c r="DV577" s="151"/>
      <c r="DW577" s="151"/>
      <c r="DX577" s="151"/>
      <c r="DY577" s="151"/>
      <c r="DZ577" s="151"/>
      <c r="EA577" s="151"/>
      <c r="EB577" s="151"/>
      <c r="EC577" s="151"/>
      <c r="ED577" s="151"/>
      <c r="EE577" s="151"/>
      <c r="EF577" s="151"/>
      <c r="EG577" s="151"/>
      <c r="EH577" s="151"/>
      <c r="EI577" s="151"/>
      <c r="EJ577" s="151"/>
      <c r="EK577" s="151"/>
      <c r="EL577" s="151"/>
      <c r="EM577" s="151"/>
      <c r="EN577" s="151"/>
      <c r="EO577" s="151"/>
      <c r="EP577" s="151"/>
      <c r="EQ577" s="151"/>
      <c r="ER577" s="151"/>
      <c r="ES577" s="151"/>
      <c r="ET577" s="151"/>
      <c r="EU577" s="151"/>
      <c r="EV577" s="151"/>
      <c r="EW577" s="151"/>
      <c r="EX577" s="151"/>
      <c r="EY577" s="151"/>
      <c r="EZ577" s="151"/>
      <c r="FA577" s="151"/>
      <c r="FB577" s="151"/>
      <c r="FC577" s="151"/>
      <c r="FD577" s="151"/>
      <c r="FE577" s="151"/>
      <c r="FF577" s="151"/>
      <c r="FG577" s="151"/>
      <c r="FH577" s="151"/>
      <c r="FI577" s="151"/>
      <c r="FJ577" s="151"/>
      <c r="FK577" s="151"/>
      <c r="FL577" s="151"/>
      <c r="FM577" s="151"/>
      <c r="FN577" s="151"/>
      <c r="FO577" s="151"/>
      <c r="FP577" s="151"/>
      <c r="FQ577" s="151"/>
      <c r="FR577" s="151"/>
      <c r="FS577" s="151"/>
      <c r="FT577" s="151"/>
      <c r="FU577" s="151"/>
      <c r="FV577" s="151"/>
      <c r="FW577" s="151"/>
      <c r="FX577" s="151"/>
      <c r="FY577" s="151"/>
      <c r="FZ577" s="151"/>
      <c r="GA577" s="151"/>
      <c r="GB577" s="151"/>
      <c r="GC577" s="151"/>
      <c r="GD577" s="151"/>
      <c r="GE577" s="151"/>
      <c r="GF577" s="151"/>
      <c r="GG577" s="152"/>
    </row>
    <row r="578" spans="1:189" x14ac:dyDescent="0.35">
      <c r="A578" s="269"/>
      <c r="B578" s="83"/>
      <c r="C578" s="83"/>
      <c r="D578" s="85"/>
      <c r="E578" s="83"/>
      <c r="F578" s="83"/>
      <c r="G578" s="43"/>
      <c r="H578" s="233"/>
      <c r="I578" s="42"/>
      <c r="J578" s="42"/>
      <c r="K578" s="42"/>
      <c r="L578" s="44"/>
      <c r="M578" s="44"/>
      <c r="N578" s="44"/>
      <c r="O578" s="44"/>
      <c r="P578" s="44"/>
      <c r="Q578" s="227"/>
      <c r="R578" s="228"/>
      <c r="S578" s="228"/>
      <c r="T578" s="228"/>
      <c r="U578" s="191">
        <f t="shared" si="512"/>
        <v>0</v>
      </c>
      <c r="V578" s="86"/>
      <c r="W578" s="45"/>
      <c r="X578" s="46"/>
      <c r="Y578" s="167">
        <f t="shared" si="513"/>
        <v>0</v>
      </c>
      <c r="Z578" s="167">
        <f t="shared" si="514"/>
        <v>0</v>
      </c>
      <c r="AA578" s="167">
        <f t="shared" si="515"/>
        <v>0</v>
      </c>
      <c r="AB578" s="167">
        <f t="shared" si="516"/>
        <v>0</v>
      </c>
      <c r="AC578" s="167">
        <f t="shared" si="517"/>
        <v>0</v>
      </c>
      <c r="AD578" s="167">
        <f t="shared" si="518"/>
        <v>0</v>
      </c>
      <c r="AF578" s="47">
        <f t="shared" si="510"/>
        <v>0</v>
      </c>
      <c r="AG578" s="202" t="str">
        <f t="shared" si="511"/>
        <v xml:space="preserve"> </v>
      </c>
      <c r="AH578" s="150"/>
      <c r="AI578" s="151"/>
      <c r="AJ578" s="151"/>
      <c r="AK578" s="151"/>
      <c r="AL578" s="151"/>
      <c r="AM578" s="151"/>
      <c r="AN578" s="151"/>
      <c r="AO578" s="151"/>
      <c r="AP578" s="151"/>
      <c r="AQ578" s="151"/>
      <c r="AR578" s="151"/>
      <c r="AS578" s="151"/>
      <c r="AT578" s="151"/>
      <c r="AU578" s="151"/>
      <c r="AV578" s="151"/>
      <c r="AW578" s="151"/>
      <c r="AX578" s="151"/>
      <c r="AY578" s="151"/>
      <c r="AZ578" s="151"/>
      <c r="BA578" s="151"/>
      <c r="BB578" s="151"/>
      <c r="BC578" s="151"/>
      <c r="BD578" s="151"/>
      <c r="BE578" s="151"/>
      <c r="BF578" s="151"/>
      <c r="BG578" s="151"/>
      <c r="BH578" s="151"/>
      <c r="BI578" s="151"/>
      <c r="BJ578" s="151"/>
      <c r="BK578" s="151"/>
      <c r="BL578" s="151"/>
      <c r="BM578" s="151"/>
      <c r="BN578" s="151"/>
      <c r="BO578" s="151"/>
      <c r="BP578" s="151"/>
      <c r="BQ578" s="151"/>
      <c r="BR578" s="151"/>
      <c r="BS578" s="151"/>
      <c r="BT578" s="151"/>
      <c r="BU578" s="151"/>
      <c r="BV578" s="151"/>
      <c r="BW578" s="151"/>
      <c r="BX578" s="151"/>
      <c r="BY578" s="151"/>
      <c r="BZ578" s="151"/>
      <c r="CA578" s="151"/>
      <c r="CB578" s="151"/>
      <c r="CC578" s="151"/>
      <c r="CD578" s="151"/>
      <c r="CE578" s="151"/>
      <c r="CF578" s="151"/>
      <c r="CG578" s="151"/>
      <c r="CH578" s="151"/>
      <c r="CI578" s="151"/>
      <c r="CJ578" s="151"/>
      <c r="CK578" s="151"/>
      <c r="CL578" s="151"/>
      <c r="CM578" s="151"/>
      <c r="CN578" s="151"/>
      <c r="CO578" s="151"/>
      <c r="CP578" s="151"/>
      <c r="CQ578" s="151"/>
      <c r="CR578" s="151"/>
      <c r="CS578" s="151"/>
      <c r="CT578" s="151"/>
      <c r="CU578" s="151"/>
      <c r="CV578" s="151"/>
      <c r="CW578" s="151"/>
      <c r="CX578" s="151"/>
      <c r="CY578" s="151"/>
      <c r="CZ578" s="151"/>
      <c r="DA578" s="151"/>
      <c r="DB578" s="151"/>
      <c r="DC578" s="151"/>
      <c r="DD578" s="151"/>
      <c r="DE578" s="151"/>
      <c r="DF578" s="151"/>
      <c r="DG578" s="151"/>
      <c r="DH578" s="151"/>
      <c r="DI578" s="151"/>
      <c r="DJ578" s="151"/>
      <c r="DK578" s="151"/>
      <c r="DL578" s="151"/>
      <c r="DM578" s="151"/>
      <c r="DN578" s="151"/>
      <c r="DO578" s="151"/>
      <c r="DP578" s="151"/>
      <c r="DQ578" s="151"/>
      <c r="DR578" s="151"/>
      <c r="DS578" s="151"/>
      <c r="DT578" s="151"/>
      <c r="DU578" s="151"/>
      <c r="DV578" s="151"/>
      <c r="DW578" s="151"/>
      <c r="DX578" s="151"/>
      <c r="DY578" s="151"/>
      <c r="DZ578" s="151"/>
      <c r="EA578" s="151"/>
      <c r="EB578" s="151"/>
      <c r="EC578" s="151"/>
      <c r="ED578" s="151"/>
      <c r="EE578" s="151"/>
      <c r="EF578" s="151"/>
      <c r="EG578" s="151"/>
      <c r="EH578" s="151"/>
      <c r="EI578" s="151"/>
      <c r="EJ578" s="151"/>
      <c r="EK578" s="151"/>
      <c r="EL578" s="151"/>
      <c r="EM578" s="151"/>
      <c r="EN578" s="151"/>
      <c r="EO578" s="151"/>
      <c r="EP578" s="151"/>
      <c r="EQ578" s="151"/>
      <c r="ER578" s="151"/>
      <c r="ES578" s="151"/>
      <c r="ET578" s="151"/>
      <c r="EU578" s="151"/>
      <c r="EV578" s="151"/>
      <c r="EW578" s="151"/>
      <c r="EX578" s="151"/>
      <c r="EY578" s="151"/>
      <c r="EZ578" s="151"/>
      <c r="FA578" s="151"/>
      <c r="FB578" s="151"/>
      <c r="FC578" s="151"/>
      <c r="FD578" s="151"/>
      <c r="FE578" s="151"/>
      <c r="FF578" s="151"/>
      <c r="FG578" s="151"/>
      <c r="FH578" s="151"/>
      <c r="FI578" s="151"/>
      <c r="FJ578" s="151"/>
      <c r="FK578" s="151"/>
      <c r="FL578" s="151"/>
      <c r="FM578" s="151"/>
      <c r="FN578" s="151"/>
      <c r="FO578" s="151"/>
      <c r="FP578" s="151"/>
      <c r="FQ578" s="151"/>
      <c r="FR578" s="151"/>
      <c r="FS578" s="151"/>
      <c r="FT578" s="151"/>
      <c r="FU578" s="151"/>
      <c r="FV578" s="151"/>
      <c r="FW578" s="151"/>
      <c r="FX578" s="151"/>
      <c r="FY578" s="151"/>
      <c r="FZ578" s="151"/>
      <c r="GA578" s="151"/>
      <c r="GB578" s="151"/>
      <c r="GC578" s="151"/>
      <c r="GD578" s="151"/>
      <c r="GE578" s="151"/>
      <c r="GF578" s="151"/>
      <c r="GG578" s="152"/>
    </row>
    <row r="579" spans="1:189" x14ac:dyDescent="0.35">
      <c r="A579" s="269"/>
      <c r="B579" s="83"/>
      <c r="C579" s="83"/>
      <c r="D579" s="85"/>
      <c r="E579" s="83"/>
      <c r="F579" s="83"/>
      <c r="G579" s="43"/>
      <c r="H579" s="233"/>
      <c r="I579" s="42"/>
      <c r="J579" s="42"/>
      <c r="K579" s="42"/>
      <c r="L579" s="44"/>
      <c r="M579" s="44"/>
      <c r="N579" s="44"/>
      <c r="O579" s="44"/>
      <c r="P579" s="44"/>
      <c r="Q579" s="227"/>
      <c r="R579" s="228"/>
      <c r="S579" s="228"/>
      <c r="T579" s="228"/>
      <c r="U579" s="191">
        <f t="shared" si="512"/>
        <v>0</v>
      </c>
      <c r="V579" s="86"/>
      <c r="W579" s="45"/>
      <c r="X579" s="46"/>
      <c r="Y579" s="167">
        <f t="shared" si="513"/>
        <v>0</v>
      </c>
      <c r="Z579" s="167">
        <f t="shared" si="514"/>
        <v>0</v>
      </c>
      <c r="AA579" s="167">
        <f t="shared" si="515"/>
        <v>0</v>
      </c>
      <c r="AB579" s="167">
        <f t="shared" si="516"/>
        <v>0</v>
      </c>
      <c r="AC579" s="167">
        <f t="shared" si="517"/>
        <v>0</v>
      </c>
      <c r="AD579" s="167">
        <f t="shared" si="518"/>
        <v>0</v>
      </c>
      <c r="AF579" s="47">
        <f t="shared" si="510"/>
        <v>0</v>
      </c>
      <c r="AG579" s="202" t="str">
        <f t="shared" si="511"/>
        <v xml:space="preserve"> </v>
      </c>
      <c r="AH579" s="147"/>
      <c r="AI579" s="148"/>
      <c r="AJ579" s="148"/>
      <c r="AK579" s="148"/>
      <c r="AL579" s="148"/>
      <c r="AM579" s="148"/>
      <c r="AN579" s="148"/>
      <c r="AO579" s="148"/>
      <c r="AP579" s="148"/>
      <c r="AQ579" s="148"/>
      <c r="AR579" s="148"/>
      <c r="AS579" s="148"/>
      <c r="AT579" s="148"/>
      <c r="AU579" s="148"/>
      <c r="AV579" s="148"/>
      <c r="AW579" s="148"/>
      <c r="AX579" s="148"/>
      <c r="AY579" s="148"/>
      <c r="AZ579" s="148"/>
      <c r="BA579" s="148"/>
      <c r="BB579" s="148"/>
      <c r="BC579" s="148"/>
      <c r="BD579" s="148"/>
      <c r="BE579" s="148"/>
      <c r="BF579" s="148"/>
      <c r="BG579" s="148"/>
      <c r="BH579" s="148"/>
      <c r="BI579" s="148"/>
      <c r="BJ579" s="148"/>
      <c r="BK579" s="148"/>
      <c r="BL579" s="148"/>
      <c r="BM579" s="148"/>
      <c r="BN579" s="148"/>
      <c r="BO579" s="148"/>
      <c r="BP579" s="148"/>
      <c r="BQ579" s="148"/>
      <c r="BR579" s="148"/>
      <c r="BS579" s="148"/>
      <c r="BT579" s="148"/>
      <c r="BU579" s="148"/>
      <c r="BV579" s="148"/>
      <c r="BW579" s="148"/>
      <c r="BX579" s="148"/>
      <c r="BY579" s="148"/>
      <c r="BZ579" s="148"/>
      <c r="CA579" s="148"/>
      <c r="CB579" s="148"/>
      <c r="CC579" s="148"/>
      <c r="CD579" s="148"/>
      <c r="CE579" s="148"/>
      <c r="CF579" s="148"/>
      <c r="CG579" s="148"/>
      <c r="CH579" s="148"/>
      <c r="CI579" s="148"/>
      <c r="CJ579" s="148"/>
      <c r="CK579" s="148"/>
      <c r="CL579" s="148"/>
      <c r="CM579" s="148"/>
      <c r="CN579" s="148"/>
      <c r="CO579" s="148"/>
      <c r="CP579" s="148"/>
      <c r="CQ579" s="148"/>
      <c r="CR579" s="148"/>
      <c r="CS579" s="148"/>
      <c r="CT579" s="148"/>
      <c r="CU579" s="148"/>
      <c r="CV579" s="148"/>
      <c r="CW579" s="148"/>
      <c r="CX579" s="148"/>
      <c r="CY579" s="148"/>
      <c r="CZ579" s="148"/>
      <c r="DA579" s="148"/>
      <c r="DB579" s="148"/>
      <c r="DC579" s="148"/>
      <c r="DD579" s="148"/>
      <c r="DE579" s="148"/>
      <c r="DF579" s="148"/>
      <c r="DG579" s="148"/>
      <c r="DH579" s="148"/>
      <c r="DI579" s="148"/>
      <c r="DJ579" s="148"/>
      <c r="DK579" s="148"/>
      <c r="DL579" s="148"/>
      <c r="DM579" s="148"/>
      <c r="DN579" s="148"/>
      <c r="DO579" s="148"/>
      <c r="DP579" s="148"/>
      <c r="DQ579" s="148"/>
      <c r="DR579" s="148"/>
      <c r="DS579" s="148"/>
      <c r="DT579" s="148"/>
      <c r="DU579" s="148"/>
      <c r="DV579" s="148"/>
      <c r="DW579" s="148"/>
      <c r="DX579" s="148"/>
      <c r="DY579" s="148"/>
      <c r="DZ579" s="148"/>
      <c r="EA579" s="148"/>
      <c r="EB579" s="148"/>
      <c r="EC579" s="148"/>
      <c r="ED579" s="148"/>
      <c r="EE579" s="148"/>
      <c r="EF579" s="148"/>
      <c r="EG579" s="148"/>
      <c r="EH579" s="148"/>
      <c r="EI579" s="148"/>
      <c r="EJ579" s="148"/>
      <c r="EK579" s="148"/>
      <c r="EL579" s="148"/>
      <c r="EM579" s="148"/>
      <c r="EN579" s="148"/>
      <c r="EO579" s="148"/>
      <c r="EP579" s="148"/>
      <c r="EQ579" s="148"/>
      <c r="ER579" s="148"/>
      <c r="ES579" s="148"/>
      <c r="ET579" s="148"/>
      <c r="EU579" s="148"/>
      <c r="EV579" s="148"/>
      <c r="EW579" s="148"/>
      <c r="EX579" s="148"/>
      <c r="EY579" s="148"/>
      <c r="EZ579" s="148"/>
      <c r="FA579" s="148"/>
      <c r="FB579" s="148"/>
      <c r="FC579" s="148"/>
      <c r="FD579" s="148"/>
      <c r="FE579" s="148"/>
      <c r="FF579" s="148"/>
      <c r="FG579" s="148"/>
      <c r="FH579" s="148"/>
      <c r="FI579" s="148"/>
      <c r="FJ579" s="148"/>
      <c r="FK579" s="148"/>
      <c r="FL579" s="148"/>
      <c r="FM579" s="148"/>
      <c r="FN579" s="148"/>
      <c r="FO579" s="148"/>
      <c r="FP579" s="148"/>
      <c r="FQ579" s="148"/>
      <c r="FR579" s="148"/>
      <c r="FS579" s="148"/>
      <c r="FT579" s="148"/>
      <c r="FU579" s="148"/>
      <c r="FV579" s="148"/>
      <c r="FW579" s="148"/>
      <c r="FX579" s="148"/>
      <c r="FY579" s="148"/>
      <c r="FZ579" s="148"/>
      <c r="GA579" s="148"/>
      <c r="GB579" s="148"/>
      <c r="GC579" s="148"/>
      <c r="GD579" s="148"/>
      <c r="GE579" s="148"/>
      <c r="GF579" s="148"/>
      <c r="GG579" s="149"/>
    </row>
    <row r="580" spans="1:189" x14ac:dyDescent="0.35">
      <c r="A580" s="269"/>
      <c r="B580" s="83"/>
      <c r="C580" s="83"/>
      <c r="D580" s="85"/>
      <c r="E580" s="83"/>
      <c r="F580" s="83"/>
      <c r="G580" s="43"/>
      <c r="H580" s="233"/>
      <c r="I580" s="42"/>
      <c r="J580" s="42"/>
      <c r="K580" s="42"/>
      <c r="L580" s="44"/>
      <c r="M580" s="44"/>
      <c r="N580" s="44"/>
      <c r="O580" s="44"/>
      <c r="P580" s="44"/>
      <c r="Q580" s="227"/>
      <c r="R580" s="228"/>
      <c r="S580" s="228"/>
      <c r="T580" s="228"/>
      <c r="U580" s="191">
        <f t="shared" si="512"/>
        <v>0</v>
      </c>
      <c r="V580" s="86"/>
      <c r="W580" s="45"/>
      <c r="X580" s="46"/>
      <c r="Y580" s="167">
        <f t="shared" si="513"/>
        <v>0</v>
      </c>
      <c r="Z580" s="167">
        <f t="shared" si="514"/>
        <v>0</v>
      </c>
      <c r="AA580" s="167">
        <f t="shared" si="515"/>
        <v>0</v>
      </c>
      <c r="AB580" s="167">
        <f t="shared" si="516"/>
        <v>0</v>
      </c>
      <c r="AC580" s="167">
        <f t="shared" si="517"/>
        <v>0</v>
      </c>
      <c r="AD580" s="167">
        <f t="shared" si="518"/>
        <v>0</v>
      </c>
      <c r="AF580" s="47">
        <f t="shared" si="510"/>
        <v>0</v>
      </c>
      <c r="AG580" s="202" t="str">
        <f t="shared" si="511"/>
        <v xml:space="preserve"> </v>
      </c>
      <c r="AH580" s="150"/>
      <c r="AI580" s="151"/>
      <c r="AJ580" s="151"/>
      <c r="AK580" s="151"/>
      <c r="AL580" s="151"/>
      <c r="AM580" s="151"/>
      <c r="AN580" s="151"/>
      <c r="AO580" s="151"/>
      <c r="AP580" s="151"/>
      <c r="AQ580" s="151"/>
      <c r="AR580" s="151"/>
      <c r="AS580" s="151"/>
      <c r="AT580" s="151"/>
      <c r="AU580" s="151"/>
      <c r="AV580" s="151"/>
      <c r="AW580" s="151"/>
      <c r="AX580" s="151"/>
      <c r="AY580" s="151"/>
      <c r="AZ580" s="151"/>
      <c r="BA580" s="151"/>
      <c r="BB580" s="151"/>
      <c r="BC580" s="151"/>
      <c r="BD580" s="151"/>
      <c r="BE580" s="151"/>
      <c r="BF580" s="151"/>
      <c r="BG580" s="151"/>
      <c r="BH580" s="151"/>
      <c r="BI580" s="151"/>
      <c r="BJ580" s="151"/>
      <c r="BK580" s="151"/>
      <c r="BL580" s="151"/>
      <c r="BM580" s="151"/>
      <c r="BN580" s="151"/>
      <c r="BO580" s="151"/>
      <c r="BP580" s="151"/>
      <c r="BQ580" s="151"/>
      <c r="BR580" s="151"/>
      <c r="BS580" s="151"/>
      <c r="BT580" s="151"/>
      <c r="BU580" s="151"/>
      <c r="BV580" s="151"/>
      <c r="BW580" s="151"/>
      <c r="BX580" s="151"/>
      <c r="BY580" s="151"/>
      <c r="BZ580" s="151"/>
      <c r="CA580" s="151"/>
      <c r="CB580" s="151"/>
      <c r="CC580" s="151"/>
      <c r="CD580" s="151"/>
      <c r="CE580" s="151"/>
      <c r="CF580" s="151"/>
      <c r="CG580" s="151"/>
      <c r="CH580" s="151"/>
      <c r="CI580" s="151"/>
      <c r="CJ580" s="151"/>
      <c r="CK580" s="151"/>
      <c r="CL580" s="151"/>
      <c r="CM580" s="151"/>
      <c r="CN580" s="151"/>
      <c r="CO580" s="151"/>
      <c r="CP580" s="151"/>
      <c r="CQ580" s="151"/>
      <c r="CR580" s="151"/>
      <c r="CS580" s="151"/>
      <c r="CT580" s="151"/>
      <c r="CU580" s="151"/>
      <c r="CV580" s="151"/>
      <c r="CW580" s="151"/>
      <c r="CX580" s="151"/>
      <c r="CY580" s="151"/>
      <c r="CZ580" s="151"/>
      <c r="DA580" s="151"/>
      <c r="DB580" s="151"/>
      <c r="DC580" s="151"/>
      <c r="DD580" s="151"/>
      <c r="DE580" s="151"/>
      <c r="DF580" s="151"/>
      <c r="DG580" s="151"/>
      <c r="DH580" s="151"/>
      <c r="DI580" s="151"/>
      <c r="DJ580" s="151"/>
      <c r="DK580" s="151"/>
      <c r="DL580" s="151"/>
      <c r="DM580" s="151"/>
      <c r="DN580" s="151"/>
      <c r="DO580" s="151"/>
      <c r="DP580" s="151"/>
      <c r="DQ580" s="151"/>
      <c r="DR580" s="151"/>
      <c r="DS580" s="151"/>
      <c r="DT580" s="151"/>
      <c r="DU580" s="151"/>
      <c r="DV580" s="151"/>
      <c r="DW580" s="151"/>
      <c r="DX580" s="151"/>
      <c r="DY580" s="151"/>
      <c r="DZ580" s="151"/>
      <c r="EA580" s="151"/>
      <c r="EB580" s="151"/>
      <c r="EC580" s="151"/>
      <c r="ED580" s="151"/>
      <c r="EE580" s="151"/>
      <c r="EF580" s="151"/>
      <c r="EG580" s="151"/>
      <c r="EH580" s="151"/>
      <c r="EI580" s="151"/>
      <c r="EJ580" s="151"/>
      <c r="EK580" s="151"/>
      <c r="EL580" s="151"/>
      <c r="EM580" s="151"/>
      <c r="EN580" s="151"/>
      <c r="EO580" s="151"/>
      <c r="EP580" s="151"/>
      <c r="EQ580" s="151"/>
      <c r="ER580" s="151"/>
      <c r="ES580" s="151"/>
      <c r="ET580" s="151"/>
      <c r="EU580" s="151"/>
      <c r="EV580" s="151"/>
      <c r="EW580" s="151"/>
      <c r="EX580" s="151"/>
      <c r="EY580" s="151"/>
      <c r="EZ580" s="151"/>
      <c r="FA580" s="151"/>
      <c r="FB580" s="151"/>
      <c r="FC580" s="151"/>
      <c r="FD580" s="151"/>
      <c r="FE580" s="151"/>
      <c r="FF580" s="151"/>
      <c r="FG580" s="151"/>
      <c r="FH580" s="151"/>
      <c r="FI580" s="151"/>
      <c r="FJ580" s="151"/>
      <c r="FK580" s="151"/>
      <c r="FL580" s="151"/>
      <c r="FM580" s="151"/>
      <c r="FN580" s="151"/>
      <c r="FO580" s="151"/>
      <c r="FP580" s="151"/>
      <c r="FQ580" s="151"/>
      <c r="FR580" s="151"/>
      <c r="FS580" s="151"/>
      <c r="FT580" s="151"/>
      <c r="FU580" s="151"/>
      <c r="FV580" s="151"/>
      <c r="FW580" s="151"/>
      <c r="FX580" s="151"/>
      <c r="FY580" s="151"/>
      <c r="FZ580" s="151"/>
      <c r="GA580" s="151"/>
      <c r="GB580" s="151"/>
      <c r="GC580" s="151"/>
      <c r="GD580" s="151"/>
      <c r="GE580" s="151"/>
      <c r="GF580" s="151"/>
      <c r="GG580" s="152"/>
    </row>
    <row r="581" spans="1:189" x14ac:dyDescent="0.35">
      <c r="A581" s="269"/>
      <c r="B581" s="83"/>
      <c r="C581" s="83"/>
      <c r="D581" s="85"/>
      <c r="E581" s="83"/>
      <c r="F581" s="83"/>
      <c r="G581" s="43"/>
      <c r="H581" s="233"/>
      <c r="I581" s="42"/>
      <c r="J581" s="42"/>
      <c r="K581" s="42"/>
      <c r="L581" s="44"/>
      <c r="M581" s="44"/>
      <c r="N581" s="44"/>
      <c r="O581" s="44"/>
      <c r="P581" s="44"/>
      <c r="Q581" s="227"/>
      <c r="R581" s="228"/>
      <c r="S581" s="228"/>
      <c r="T581" s="228"/>
      <c r="U581" s="191">
        <f t="shared" si="512"/>
        <v>0</v>
      </c>
      <c r="V581" s="86"/>
      <c r="W581" s="45"/>
      <c r="X581" s="46"/>
      <c r="Y581" s="167">
        <f t="shared" si="513"/>
        <v>0</v>
      </c>
      <c r="Z581" s="167">
        <f t="shared" si="514"/>
        <v>0</v>
      </c>
      <c r="AA581" s="167">
        <f t="shared" si="515"/>
        <v>0</v>
      </c>
      <c r="AB581" s="167">
        <f t="shared" si="516"/>
        <v>0</v>
      </c>
      <c r="AC581" s="167">
        <f t="shared" si="517"/>
        <v>0</v>
      </c>
      <c r="AD581" s="167">
        <f t="shared" si="518"/>
        <v>0</v>
      </c>
      <c r="AF581" s="47">
        <f t="shared" si="510"/>
        <v>0</v>
      </c>
      <c r="AG581" s="202" t="str">
        <f t="shared" si="511"/>
        <v xml:space="preserve"> </v>
      </c>
      <c r="AH581" s="150"/>
      <c r="AI581" s="151"/>
      <c r="AJ581" s="151"/>
      <c r="AK581" s="151"/>
      <c r="AL581" s="151"/>
      <c r="AM581" s="151"/>
      <c r="AN581" s="151"/>
      <c r="AO581" s="151"/>
      <c r="AP581" s="151"/>
      <c r="AQ581" s="151"/>
      <c r="AR581" s="151"/>
      <c r="AS581" s="151"/>
      <c r="AT581" s="151"/>
      <c r="AU581" s="151"/>
      <c r="AV581" s="151"/>
      <c r="AW581" s="151"/>
      <c r="AX581" s="151"/>
      <c r="AY581" s="151"/>
      <c r="AZ581" s="151"/>
      <c r="BA581" s="151"/>
      <c r="BB581" s="151"/>
      <c r="BC581" s="151"/>
      <c r="BD581" s="151"/>
      <c r="BE581" s="151"/>
      <c r="BF581" s="151"/>
      <c r="BG581" s="151"/>
      <c r="BH581" s="151"/>
      <c r="BI581" s="151"/>
      <c r="BJ581" s="151"/>
      <c r="BK581" s="151"/>
      <c r="BL581" s="151"/>
      <c r="BM581" s="151"/>
      <c r="BN581" s="151"/>
      <c r="BO581" s="151"/>
      <c r="BP581" s="151"/>
      <c r="BQ581" s="151"/>
      <c r="BR581" s="151"/>
      <c r="BS581" s="151"/>
      <c r="BT581" s="151"/>
      <c r="BU581" s="151"/>
      <c r="BV581" s="151"/>
      <c r="BW581" s="151"/>
      <c r="BX581" s="151"/>
      <c r="BY581" s="151"/>
      <c r="BZ581" s="151"/>
      <c r="CA581" s="151"/>
      <c r="CB581" s="151"/>
      <c r="CC581" s="151"/>
      <c r="CD581" s="151"/>
      <c r="CE581" s="151"/>
      <c r="CF581" s="151"/>
      <c r="CG581" s="151"/>
      <c r="CH581" s="151"/>
      <c r="CI581" s="151"/>
      <c r="CJ581" s="151"/>
      <c r="CK581" s="151"/>
      <c r="CL581" s="151"/>
      <c r="CM581" s="151"/>
      <c r="CN581" s="151"/>
      <c r="CO581" s="151"/>
      <c r="CP581" s="151"/>
      <c r="CQ581" s="151"/>
      <c r="CR581" s="151"/>
      <c r="CS581" s="151"/>
      <c r="CT581" s="151"/>
      <c r="CU581" s="151"/>
      <c r="CV581" s="151"/>
      <c r="CW581" s="151"/>
      <c r="CX581" s="151"/>
      <c r="CY581" s="151"/>
      <c r="CZ581" s="151"/>
      <c r="DA581" s="151"/>
      <c r="DB581" s="151"/>
      <c r="DC581" s="151"/>
      <c r="DD581" s="151"/>
      <c r="DE581" s="151"/>
      <c r="DF581" s="151"/>
      <c r="DG581" s="151"/>
      <c r="DH581" s="151"/>
      <c r="DI581" s="151"/>
      <c r="DJ581" s="151"/>
      <c r="DK581" s="151"/>
      <c r="DL581" s="151"/>
      <c r="DM581" s="151"/>
      <c r="DN581" s="151"/>
      <c r="DO581" s="151"/>
      <c r="DP581" s="151"/>
      <c r="DQ581" s="151"/>
      <c r="DR581" s="151"/>
      <c r="DS581" s="151"/>
      <c r="DT581" s="151"/>
      <c r="DU581" s="151"/>
      <c r="DV581" s="151"/>
      <c r="DW581" s="151"/>
      <c r="DX581" s="151"/>
      <c r="DY581" s="151"/>
      <c r="DZ581" s="151"/>
      <c r="EA581" s="151"/>
      <c r="EB581" s="151"/>
      <c r="EC581" s="151"/>
      <c r="ED581" s="151"/>
      <c r="EE581" s="151"/>
      <c r="EF581" s="151"/>
      <c r="EG581" s="151"/>
      <c r="EH581" s="151"/>
      <c r="EI581" s="151"/>
      <c r="EJ581" s="151"/>
      <c r="EK581" s="151"/>
      <c r="EL581" s="151"/>
      <c r="EM581" s="151"/>
      <c r="EN581" s="151"/>
      <c r="EO581" s="151"/>
      <c r="EP581" s="151"/>
      <c r="EQ581" s="151"/>
      <c r="ER581" s="151"/>
      <c r="ES581" s="151"/>
      <c r="ET581" s="151"/>
      <c r="EU581" s="151"/>
      <c r="EV581" s="151"/>
      <c r="EW581" s="151"/>
      <c r="EX581" s="151"/>
      <c r="EY581" s="151"/>
      <c r="EZ581" s="151"/>
      <c r="FA581" s="151"/>
      <c r="FB581" s="151"/>
      <c r="FC581" s="151"/>
      <c r="FD581" s="151"/>
      <c r="FE581" s="151"/>
      <c r="FF581" s="151"/>
      <c r="FG581" s="151"/>
      <c r="FH581" s="151"/>
      <c r="FI581" s="151"/>
      <c r="FJ581" s="151"/>
      <c r="FK581" s="151"/>
      <c r="FL581" s="151"/>
      <c r="FM581" s="151"/>
      <c r="FN581" s="151"/>
      <c r="FO581" s="151"/>
      <c r="FP581" s="151"/>
      <c r="FQ581" s="151"/>
      <c r="FR581" s="151"/>
      <c r="FS581" s="151"/>
      <c r="FT581" s="151"/>
      <c r="FU581" s="151"/>
      <c r="FV581" s="151"/>
      <c r="FW581" s="151"/>
      <c r="FX581" s="151"/>
      <c r="FY581" s="151"/>
      <c r="FZ581" s="151"/>
      <c r="GA581" s="151"/>
      <c r="GB581" s="151"/>
      <c r="GC581" s="151"/>
      <c r="GD581" s="151"/>
      <c r="GE581" s="151"/>
      <c r="GF581" s="151"/>
      <c r="GG581" s="152"/>
    </row>
    <row r="582" spans="1:189" x14ac:dyDescent="0.35">
      <c r="A582" s="269"/>
      <c r="B582" s="83"/>
      <c r="C582" s="83"/>
      <c r="D582" s="85"/>
      <c r="E582" s="83"/>
      <c r="F582" s="83"/>
      <c r="G582" s="43"/>
      <c r="H582" s="233"/>
      <c r="I582" s="42"/>
      <c r="J582" s="42"/>
      <c r="K582" s="42"/>
      <c r="L582" s="44"/>
      <c r="M582" s="44"/>
      <c r="N582" s="44"/>
      <c r="O582" s="44"/>
      <c r="P582" s="44"/>
      <c r="Q582" s="227"/>
      <c r="R582" s="228"/>
      <c r="S582" s="228"/>
      <c r="T582" s="228"/>
      <c r="U582" s="191">
        <f t="shared" si="512"/>
        <v>0</v>
      </c>
      <c r="V582" s="86"/>
      <c r="W582" s="45"/>
      <c r="X582" s="46"/>
      <c r="Y582" s="167">
        <f t="shared" si="513"/>
        <v>0</v>
      </c>
      <c r="Z582" s="167">
        <f t="shared" si="514"/>
        <v>0</v>
      </c>
      <c r="AA582" s="167">
        <f t="shared" si="515"/>
        <v>0</v>
      </c>
      <c r="AB582" s="167">
        <f t="shared" si="516"/>
        <v>0</v>
      </c>
      <c r="AC582" s="167">
        <f t="shared" si="517"/>
        <v>0</v>
      </c>
      <c r="AD582" s="167">
        <f t="shared" si="518"/>
        <v>0</v>
      </c>
      <c r="AF582" s="47">
        <f t="shared" si="510"/>
        <v>0</v>
      </c>
      <c r="AG582" s="202" t="str">
        <f t="shared" si="511"/>
        <v xml:space="preserve"> </v>
      </c>
      <c r="AH582" s="150"/>
      <c r="AI582" s="151"/>
      <c r="AJ582" s="151"/>
      <c r="AK582" s="151"/>
      <c r="AL582" s="151"/>
      <c r="AM582" s="151"/>
      <c r="AN582" s="151"/>
      <c r="AO582" s="151"/>
      <c r="AP582" s="151"/>
      <c r="AQ582" s="151"/>
      <c r="AR582" s="151"/>
      <c r="AS582" s="151"/>
      <c r="AT582" s="151"/>
      <c r="AU582" s="151"/>
      <c r="AV582" s="151"/>
      <c r="AW582" s="151"/>
      <c r="AX582" s="151"/>
      <c r="AY582" s="151"/>
      <c r="AZ582" s="151"/>
      <c r="BA582" s="151"/>
      <c r="BB582" s="151"/>
      <c r="BC582" s="151"/>
      <c r="BD582" s="151"/>
      <c r="BE582" s="151"/>
      <c r="BF582" s="151"/>
      <c r="BG582" s="151"/>
      <c r="BH582" s="151"/>
      <c r="BI582" s="151"/>
      <c r="BJ582" s="151"/>
      <c r="BK582" s="151"/>
      <c r="BL582" s="151"/>
      <c r="BM582" s="151"/>
      <c r="BN582" s="151"/>
      <c r="BO582" s="151"/>
      <c r="BP582" s="151"/>
      <c r="BQ582" s="151"/>
      <c r="BR582" s="151"/>
      <c r="BS582" s="151"/>
      <c r="BT582" s="151"/>
      <c r="BU582" s="151"/>
      <c r="BV582" s="151"/>
      <c r="BW582" s="151"/>
      <c r="BX582" s="151"/>
      <c r="BY582" s="151"/>
      <c r="BZ582" s="151"/>
      <c r="CA582" s="151"/>
      <c r="CB582" s="151"/>
      <c r="CC582" s="151"/>
      <c r="CD582" s="151"/>
      <c r="CE582" s="151"/>
      <c r="CF582" s="151"/>
      <c r="CG582" s="151"/>
      <c r="CH582" s="151"/>
      <c r="CI582" s="151"/>
      <c r="CJ582" s="151"/>
      <c r="CK582" s="151"/>
      <c r="CL582" s="151"/>
      <c r="CM582" s="151"/>
      <c r="CN582" s="151"/>
      <c r="CO582" s="151"/>
      <c r="CP582" s="151"/>
      <c r="CQ582" s="151"/>
      <c r="CR582" s="151"/>
      <c r="CS582" s="151"/>
      <c r="CT582" s="151"/>
      <c r="CU582" s="151"/>
      <c r="CV582" s="151"/>
      <c r="CW582" s="151"/>
      <c r="CX582" s="151"/>
      <c r="CY582" s="151"/>
      <c r="CZ582" s="151"/>
      <c r="DA582" s="151"/>
      <c r="DB582" s="151"/>
      <c r="DC582" s="151"/>
      <c r="DD582" s="151"/>
      <c r="DE582" s="151"/>
      <c r="DF582" s="151"/>
      <c r="DG582" s="151"/>
      <c r="DH582" s="151"/>
      <c r="DI582" s="151"/>
      <c r="DJ582" s="151"/>
      <c r="DK582" s="151"/>
      <c r="DL582" s="151"/>
      <c r="DM582" s="151"/>
      <c r="DN582" s="151"/>
      <c r="DO582" s="151"/>
      <c r="DP582" s="151"/>
      <c r="DQ582" s="151"/>
      <c r="DR582" s="151"/>
      <c r="DS582" s="151"/>
      <c r="DT582" s="151"/>
      <c r="DU582" s="151"/>
      <c r="DV582" s="151"/>
      <c r="DW582" s="151"/>
      <c r="DX582" s="151"/>
      <c r="DY582" s="151"/>
      <c r="DZ582" s="151"/>
      <c r="EA582" s="151"/>
      <c r="EB582" s="151"/>
      <c r="EC582" s="151"/>
      <c r="ED582" s="151"/>
      <c r="EE582" s="151"/>
      <c r="EF582" s="151"/>
      <c r="EG582" s="151"/>
      <c r="EH582" s="151"/>
      <c r="EI582" s="151"/>
      <c r="EJ582" s="151"/>
      <c r="EK582" s="151"/>
      <c r="EL582" s="151"/>
      <c r="EM582" s="151"/>
      <c r="EN582" s="151"/>
      <c r="EO582" s="151"/>
      <c r="EP582" s="151"/>
      <c r="EQ582" s="151"/>
      <c r="ER582" s="151"/>
      <c r="ES582" s="151"/>
      <c r="ET582" s="151"/>
      <c r="EU582" s="151"/>
      <c r="EV582" s="151"/>
      <c r="EW582" s="151"/>
      <c r="EX582" s="151"/>
      <c r="EY582" s="151"/>
      <c r="EZ582" s="151"/>
      <c r="FA582" s="151"/>
      <c r="FB582" s="151"/>
      <c r="FC582" s="151"/>
      <c r="FD582" s="151"/>
      <c r="FE582" s="151"/>
      <c r="FF582" s="151"/>
      <c r="FG582" s="151"/>
      <c r="FH582" s="151"/>
      <c r="FI582" s="151"/>
      <c r="FJ582" s="151"/>
      <c r="FK582" s="151"/>
      <c r="FL582" s="151"/>
      <c r="FM582" s="151"/>
      <c r="FN582" s="151"/>
      <c r="FO582" s="151"/>
      <c r="FP582" s="151"/>
      <c r="FQ582" s="151"/>
      <c r="FR582" s="151"/>
      <c r="FS582" s="151"/>
      <c r="FT582" s="151"/>
      <c r="FU582" s="151"/>
      <c r="FV582" s="151"/>
      <c r="FW582" s="151"/>
      <c r="FX582" s="151"/>
      <c r="FY582" s="151"/>
      <c r="FZ582" s="151"/>
      <c r="GA582" s="151"/>
      <c r="GB582" s="151"/>
      <c r="GC582" s="151"/>
      <c r="GD582" s="151"/>
      <c r="GE582" s="151"/>
      <c r="GF582" s="151"/>
      <c r="GG582" s="152"/>
    </row>
    <row r="583" spans="1:189" x14ac:dyDescent="0.35">
      <c r="A583" s="269"/>
      <c r="B583" s="83"/>
      <c r="C583" s="83"/>
      <c r="D583" s="85"/>
      <c r="E583" s="83"/>
      <c r="F583" s="83"/>
      <c r="G583" s="43"/>
      <c r="H583" s="233"/>
      <c r="I583" s="42"/>
      <c r="J583" s="42"/>
      <c r="K583" s="42"/>
      <c r="L583" s="44"/>
      <c r="M583" s="44"/>
      <c r="N583" s="44"/>
      <c r="O583" s="44"/>
      <c r="P583" s="44"/>
      <c r="Q583" s="227"/>
      <c r="R583" s="228"/>
      <c r="S583" s="228"/>
      <c r="T583" s="228"/>
      <c r="U583" s="191">
        <f t="shared" si="512"/>
        <v>0</v>
      </c>
      <c r="V583" s="86"/>
      <c r="W583" s="45"/>
      <c r="X583" s="46"/>
      <c r="Y583" s="167">
        <f t="shared" si="513"/>
        <v>0</v>
      </c>
      <c r="Z583" s="167">
        <f t="shared" si="514"/>
        <v>0</v>
      </c>
      <c r="AA583" s="167">
        <f t="shared" si="515"/>
        <v>0</v>
      </c>
      <c r="AB583" s="167">
        <f t="shared" si="516"/>
        <v>0</v>
      </c>
      <c r="AC583" s="167">
        <f t="shared" si="517"/>
        <v>0</v>
      </c>
      <c r="AD583" s="167">
        <f t="shared" si="518"/>
        <v>0</v>
      </c>
      <c r="AF583" s="47">
        <f t="shared" si="510"/>
        <v>0</v>
      </c>
      <c r="AG583" s="202" t="str">
        <f t="shared" si="511"/>
        <v xml:space="preserve"> </v>
      </c>
      <c r="AH583" s="147"/>
      <c r="AI583" s="148"/>
      <c r="AJ583" s="148"/>
      <c r="AK583" s="148"/>
      <c r="AL583" s="148"/>
      <c r="AM583" s="148"/>
      <c r="AN583" s="148"/>
      <c r="AO583" s="148"/>
      <c r="AP583" s="148"/>
      <c r="AQ583" s="148"/>
      <c r="AR583" s="148"/>
      <c r="AS583" s="148"/>
      <c r="AT583" s="148"/>
      <c r="AU583" s="148"/>
      <c r="AV583" s="148"/>
      <c r="AW583" s="148"/>
      <c r="AX583" s="148"/>
      <c r="AY583" s="148"/>
      <c r="AZ583" s="148"/>
      <c r="BA583" s="148"/>
      <c r="BB583" s="148"/>
      <c r="BC583" s="148"/>
      <c r="BD583" s="148"/>
      <c r="BE583" s="148"/>
      <c r="BF583" s="148"/>
      <c r="BG583" s="148"/>
      <c r="BH583" s="148"/>
      <c r="BI583" s="148"/>
      <c r="BJ583" s="148"/>
      <c r="BK583" s="148"/>
      <c r="BL583" s="148"/>
      <c r="BM583" s="148"/>
      <c r="BN583" s="148"/>
      <c r="BO583" s="148"/>
      <c r="BP583" s="148"/>
      <c r="BQ583" s="148"/>
      <c r="BR583" s="148"/>
      <c r="BS583" s="148"/>
      <c r="BT583" s="148"/>
      <c r="BU583" s="148"/>
      <c r="BV583" s="148"/>
      <c r="BW583" s="148"/>
      <c r="BX583" s="148"/>
      <c r="BY583" s="148"/>
      <c r="BZ583" s="148"/>
      <c r="CA583" s="148"/>
      <c r="CB583" s="148"/>
      <c r="CC583" s="148"/>
      <c r="CD583" s="148"/>
      <c r="CE583" s="148"/>
      <c r="CF583" s="148"/>
      <c r="CG583" s="148"/>
      <c r="CH583" s="148"/>
      <c r="CI583" s="148"/>
      <c r="CJ583" s="148"/>
      <c r="CK583" s="148"/>
      <c r="CL583" s="148"/>
      <c r="CM583" s="148"/>
      <c r="CN583" s="148"/>
      <c r="CO583" s="148"/>
      <c r="CP583" s="148"/>
      <c r="CQ583" s="148"/>
      <c r="CR583" s="148"/>
      <c r="CS583" s="148"/>
      <c r="CT583" s="148"/>
      <c r="CU583" s="148"/>
      <c r="CV583" s="148"/>
      <c r="CW583" s="148"/>
      <c r="CX583" s="148"/>
      <c r="CY583" s="148"/>
      <c r="CZ583" s="148"/>
      <c r="DA583" s="148"/>
      <c r="DB583" s="148"/>
      <c r="DC583" s="148"/>
      <c r="DD583" s="148"/>
      <c r="DE583" s="148"/>
      <c r="DF583" s="148"/>
      <c r="DG583" s="148"/>
      <c r="DH583" s="148"/>
      <c r="DI583" s="148"/>
      <c r="DJ583" s="148"/>
      <c r="DK583" s="148"/>
      <c r="DL583" s="148"/>
      <c r="DM583" s="148"/>
      <c r="DN583" s="148"/>
      <c r="DO583" s="148"/>
      <c r="DP583" s="148"/>
      <c r="DQ583" s="148"/>
      <c r="DR583" s="148"/>
      <c r="DS583" s="148"/>
      <c r="DT583" s="148"/>
      <c r="DU583" s="148"/>
      <c r="DV583" s="148"/>
      <c r="DW583" s="148"/>
      <c r="DX583" s="148"/>
      <c r="DY583" s="148"/>
      <c r="DZ583" s="148"/>
      <c r="EA583" s="148"/>
      <c r="EB583" s="148"/>
      <c r="EC583" s="148"/>
      <c r="ED583" s="148"/>
      <c r="EE583" s="148"/>
      <c r="EF583" s="148"/>
      <c r="EG583" s="148"/>
      <c r="EH583" s="148"/>
      <c r="EI583" s="148"/>
      <c r="EJ583" s="148"/>
      <c r="EK583" s="148"/>
      <c r="EL583" s="148"/>
      <c r="EM583" s="148"/>
      <c r="EN583" s="148"/>
      <c r="EO583" s="148"/>
      <c r="EP583" s="148"/>
      <c r="EQ583" s="148"/>
      <c r="ER583" s="148"/>
      <c r="ES583" s="148"/>
      <c r="ET583" s="148"/>
      <c r="EU583" s="148"/>
      <c r="EV583" s="148"/>
      <c r="EW583" s="148"/>
      <c r="EX583" s="148"/>
      <c r="EY583" s="148"/>
      <c r="EZ583" s="148"/>
      <c r="FA583" s="148"/>
      <c r="FB583" s="148"/>
      <c r="FC583" s="148"/>
      <c r="FD583" s="148"/>
      <c r="FE583" s="148"/>
      <c r="FF583" s="148"/>
      <c r="FG583" s="148"/>
      <c r="FH583" s="148"/>
      <c r="FI583" s="148"/>
      <c r="FJ583" s="148"/>
      <c r="FK583" s="148"/>
      <c r="FL583" s="148"/>
      <c r="FM583" s="148"/>
      <c r="FN583" s="148"/>
      <c r="FO583" s="148"/>
      <c r="FP583" s="148"/>
      <c r="FQ583" s="148"/>
      <c r="FR583" s="148"/>
      <c r="FS583" s="148"/>
      <c r="FT583" s="148"/>
      <c r="FU583" s="148"/>
      <c r="FV583" s="148"/>
      <c r="FW583" s="148"/>
      <c r="FX583" s="148"/>
      <c r="FY583" s="148"/>
      <c r="FZ583" s="148"/>
      <c r="GA583" s="148"/>
      <c r="GB583" s="148"/>
      <c r="GC583" s="148"/>
      <c r="GD583" s="148"/>
      <c r="GE583" s="148"/>
      <c r="GF583" s="148"/>
      <c r="GG583" s="149"/>
    </row>
    <row r="584" spans="1:189" x14ac:dyDescent="0.35">
      <c r="A584" s="269"/>
      <c r="B584" s="83"/>
      <c r="C584" s="83"/>
      <c r="D584" s="85"/>
      <c r="E584" s="83"/>
      <c r="F584" s="83"/>
      <c r="G584" s="43"/>
      <c r="H584" s="233"/>
      <c r="I584" s="42"/>
      <c r="J584" s="42"/>
      <c r="K584" s="42"/>
      <c r="L584" s="44"/>
      <c r="M584" s="44"/>
      <c r="N584" s="44"/>
      <c r="O584" s="44"/>
      <c r="P584" s="44"/>
      <c r="Q584" s="227"/>
      <c r="R584" s="228"/>
      <c r="S584" s="228"/>
      <c r="T584" s="228"/>
      <c r="U584" s="191">
        <f t="shared" si="512"/>
        <v>0</v>
      </c>
      <c r="V584" s="86"/>
      <c r="W584" s="45"/>
      <c r="X584" s="46"/>
      <c r="Y584" s="167">
        <f t="shared" si="513"/>
        <v>0</v>
      </c>
      <c r="Z584" s="167">
        <f t="shared" si="514"/>
        <v>0</v>
      </c>
      <c r="AA584" s="167">
        <f t="shared" si="515"/>
        <v>0</v>
      </c>
      <c r="AB584" s="167">
        <f t="shared" si="516"/>
        <v>0</v>
      </c>
      <c r="AC584" s="167">
        <f t="shared" si="517"/>
        <v>0</v>
      </c>
      <c r="AD584" s="167">
        <f t="shared" si="518"/>
        <v>0</v>
      </c>
      <c r="AF584" s="47">
        <f t="shared" si="510"/>
        <v>0</v>
      </c>
      <c r="AG584" s="202" t="str">
        <f t="shared" si="511"/>
        <v xml:space="preserve"> </v>
      </c>
      <c r="AH584" s="153"/>
      <c r="AI584" s="154"/>
      <c r="AJ584" s="154"/>
      <c r="AK584" s="154"/>
      <c r="AL584" s="154"/>
      <c r="AM584" s="154"/>
      <c r="AN584" s="154"/>
      <c r="AO584" s="154"/>
      <c r="AP584" s="154"/>
      <c r="AQ584" s="154"/>
      <c r="AR584" s="154"/>
      <c r="AS584" s="154"/>
      <c r="AT584" s="154"/>
      <c r="AU584" s="154"/>
      <c r="AV584" s="154"/>
      <c r="AW584" s="154"/>
      <c r="AX584" s="154"/>
      <c r="AY584" s="154"/>
      <c r="AZ584" s="154"/>
      <c r="BA584" s="154"/>
      <c r="BB584" s="154"/>
      <c r="BC584" s="154"/>
      <c r="BD584" s="154"/>
      <c r="BE584" s="154"/>
      <c r="BF584" s="154"/>
      <c r="BG584" s="154"/>
      <c r="BH584" s="154"/>
      <c r="BI584" s="154"/>
      <c r="BJ584" s="154"/>
      <c r="BK584" s="154"/>
      <c r="BL584" s="154"/>
      <c r="BM584" s="154"/>
      <c r="BN584" s="154"/>
      <c r="BO584" s="154"/>
      <c r="BP584" s="154"/>
      <c r="BQ584" s="154"/>
      <c r="BR584" s="154"/>
      <c r="BS584" s="154"/>
      <c r="BT584" s="154"/>
      <c r="BU584" s="154"/>
      <c r="BV584" s="154"/>
      <c r="BW584" s="154"/>
      <c r="BX584" s="154"/>
      <c r="BY584" s="154"/>
      <c r="BZ584" s="154"/>
      <c r="CA584" s="154"/>
      <c r="CB584" s="154"/>
      <c r="CC584" s="154"/>
      <c r="CD584" s="154"/>
      <c r="CE584" s="154"/>
      <c r="CF584" s="154"/>
      <c r="CG584" s="154"/>
      <c r="CH584" s="154"/>
      <c r="CI584" s="154"/>
      <c r="CJ584" s="154"/>
      <c r="CK584" s="154"/>
      <c r="CL584" s="154"/>
      <c r="CM584" s="154"/>
      <c r="CN584" s="154"/>
      <c r="CO584" s="154"/>
      <c r="CP584" s="154"/>
      <c r="CQ584" s="154"/>
      <c r="CR584" s="154"/>
      <c r="CS584" s="154"/>
      <c r="CT584" s="154"/>
      <c r="CU584" s="154"/>
      <c r="CV584" s="154"/>
      <c r="CW584" s="154"/>
      <c r="CX584" s="154"/>
      <c r="CY584" s="154"/>
      <c r="CZ584" s="154"/>
      <c r="DA584" s="154"/>
      <c r="DB584" s="154"/>
      <c r="DC584" s="154"/>
      <c r="DD584" s="154"/>
      <c r="DE584" s="154"/>
      <c r="DF584" s="154"/>
      <c r="DG584" s="154"/>
      <c r="DH584" s="154"/>
      <c r="DI584" s="154"/>
      <c r="DJ584" s="154"/>
      <c r="DK584" s="154"/>
      <c r="DL584" s="154"/>
      <c r="DM584" s="154"/>
      <c r="DN584" s="154"/>
      <c r="DO584" s="154"/>
      <c r="DP584" s="154"/>
      <c r="DQ584" s="154"/>
      <c r="DR584" s="154"/>
      <c r="DS584" s="154"/>
      <c r="DT584" s="154"/>
      <c r="DU584" s="154"/>
      <c r="DV584" s="154"/>
      <c r="DW584" s="154"/>
      <c r="DX584" s="154"/>
      <c r="DY584" s="154"/>
      <c r="DZ584" s="154"/>
      <c r="EA584" s="154"/>
      <c r="EB584" s="154"/>
      <c r="EC584" s="154"/>
      <c r="ED584" s="154"/>
      <c r="EE584" s="154"/>
      <c r="EF584" s="154"/>
      <c r="EG584" s="154"/>
      <c r="EH584" s="154"/>
      <c r="EI584" s="154"/>
      <c r="EJ584" s="154"/>
      <c r="EK584" s="154"/>
      <c r="EL584" s="154"/>
      <c r="EM584" s="154"/>
      <c r="EN584" s="154"/>
      <c r="EO584" s="154"/>
      <c r="EP584" s="154"/>
      <c r="EQ584" s="154"/>
      <c r="ER584" s="154"/>
      <c r="ES584" s="154"/>
      <c r="ET584" s="154"/>
      <c r="EU584" s="154"/>
      <c r="EV584" s="154"/>
      <c r="EW584" s="154"/>
      <c r="EX584" s="154"/>
      <c r="EY584" s="154"/>
      <c r="EZ584" s="154"/>
      <c r="FA584" s="154"/>
      <c r="FB584" s="154"/>
      <c r="FC584" s="154"/>
      <c r="FD584" s="154"/>
      <c r="FE584" s="154"/>
      <c r="FF584" s="154"/>
      <c r="FG584" s="154"/>
      <c r="FH584" s="154"/>
      <c r="FI584" s="154"/>
      <c r="FJ584" s="154"/>
      <c r="FK584" s="154"/>
      <c r="FL584" s="154"/>
      <c r="FM584" s="154"/>
      <c r="FN584" s="154"/>
      <c r="FO584" s="154"/>
      <c r="FP584" s="154"/>
      <c r="FQ584" s="154"/>
      <c r="FR584" s="154"/>
      <c r="FS584" s="154"/>
      <c r="FT584" s="154"/>
      <c r="FU584" s="154"/>
      <c r="FV584" s="154"/>
      <c r="FW584" s="154"/>
      <c r="FX584" s="154"/>
      <c r="FY584" s="154"/>
      <c r="FZ584" s="154"/>
      <c r="GA584" s="154"/>
      <c r="GB584" s="154"/>
      <c r="GC584" s="154"/>
      <c r="GD584" s="154"/>
      <c r="GE584" s="154"/>
      <c r="GF584" s="154"/>
      <c r="GG584" s="156"/>
    </row>
    <row r="585" spans="1:189" x14ac:dyDescent="0.35">
      <c r="A585" s="269"/>
      <c r="B585" s="83"/>
      <c r="C585" s="83"/>
      <c r="D585" s="85"/>
      <c r="E585" s="83"/>
      <c r="F585" s="83"/>
      <c r="G585" s="43"/>
      <c r="H585" s="233"/>
      <c r="I585" s="42"/>
      <c r="J585" s="42"/>
      <c r="K585" s="42"/>
      <c r="L585" s="44"/>
      <c r="M585" s="44"/>
      <c r="N585" s="44"/>
      <c r="O585" s="44"/>
      <c r="P585" s="44"/>
      <c r="Q585" s="227"/>
      <c r="R585" s="228"/>
      <c r="S585" s="228"/>
      <c r="T585" s="228"/>
      <c r="U585" s="191">
        <f t="shared" si="512"/>
        <v>0</v>
      </c>
      <c r="V585" s="86"/>
      <c r="W585" s="45"/>
      <c r="X585" s="46"/>
      <c r="Y585" s="167">
        <f t="shared" si="513"/>
        <v>0</v>
      </c>
      <c r="Z585" s="167">
        <f t="shared" si="514"/>
        <v>0</v>
      </c>
      <c r="AA585" s="167">
        <f t="shared" si="515"/>
        <v>0</v>
      </c>
      <c r="AB585" s="167">
        <f t="shared" si="516"/>
        <v>0</v>
      </c>
      <c r="AC585" s="167">
        <f t="shared" si="517"/>
        <v>0</v>
      </c>
      <c r="AD585" s="167">
        <f t="shared" si="518"/>
        <v>0</v>
      </c>
      <c r="AF585" s="47">
        <f t="shared" si="510"/>
        <v>0</v>
      </c>
      <c r="AG585" s="202" t="str">
        <f t="shared" si="511"/>
        <v xml:space="preserve"> </v>
      </c>
      <c r="AH585" s="153"/>
      <c r="AI585" s="154"/>
      <c r="AJ585" s="154"/>
      <c r="AK585" s="154"/>
      <c r="AL585" s="154"/>
      <c r="AM585" s="154"/>
      <c r="AN585" s="154"/>
      <c r="AO585" s="154"/>
      <c r="AP585" s="154"/>
      <c r="AQ585" s="154"/>
      <c r="AR585" s="154"/>
      <c r="AS585" s="154"/>
      <c r="AT585" s="154"/>
      <c r="AU585" s="154"/>
      <c r="AV585" s="154"/>
      <c r="AW585" s="154"/>
      <c r="AX585" s="154"/>
      <c r="AY585" s="154"/>
      <c r="AZ585" s="154"/>
      <c r="BA585" s="154"/>
      <c r="BB585" s="154"/>
      <c r="BC585" s="154"/>
      <c r="BD585" s="154"/>
      <c r="BE585" s="154"/>
      <c r="BF585" s="154"/>
      <c r="BG585" s="154"/>
      <c r="BH585" s="154"/>
      <c r="BI585" s="154"/>
      <c r="BJ585" s="154"/>
      <c r="BK585" s="154"/>
      <c r="BL585" s="154"/>
      <c r="BM585" s="154"/>
      <c r="BN585" s="154"/>
      <c r="BO585" s="154"/>
      <c r="BP585" s="154"/>
      <c r="BQ585" s="154"/>
      <c r="BR585" s="154"/>
      <c r="BS585" s="154"/>
      <c r="BT585" s="154"/>
      <c r="BU585" s="154"/>
      <c r="BV585" s="154"/>
      <c r="BW585" s="154"/>
      <c r="BX585" s="154"/>
      <c r="BY585" s="154"/>
      <c r="BZ585" s="154"/>
      <c r="CA585" s="154"/>
      <c r="CB585" s="154"/>
      <c r="CC585" s="154"/>
      <c r="CD585" s="154"/>
      <c r="CE585" s="154"/>
      <c r="CF585" s="154"/>
      <c r="CG585" s="154"/>
      <c r="CH585" s="154"/>
      <c r="CI585" s="154"/>
      <c r="CJ585" s="154"/>
      <c r="CK585" s="154"/>
      <c r="CL585" s="154"/>
      <c r="CM585" s="154"/>
      <c r="CN585" s="154"/>
      <c r="CO585" s="154"/>
      <c r="CP585" s="154"/>
      <c r="CQ585" s="154"/>
      <c r="CR585" s="154"/>
      <c r="CS585" s="154"/>
      <c r="CT585" s="154"/>
      <c r="CU585" s="154"/>
      <c r="CV585" s="154"/>
      <c r="CW585" s="154"/>
      <c r="CX585" s="154"/>
      <c r="CY585" s="154"/>
      <c r="CZ585" s="154"/>
      <c r="DA585" s="154"/>
      <c r="DB585" s="154"/>
      <c r="DC585" s="154"/>
      <c r="DD585" s="154"/>
      <c r="DE585" s="154"/>
      <c r="DF585" s="154"/>
      <c r="DG585" s="154"/>
      <c r="DH585" s="154"/>
      <c r="DI585" s="154"/>
      <c r="DJ585" s="154"/>
      <c r="DK585" s="154"/>
      <c r="DL585" s="154"/>
      <c r="DM585" s="154"/>
      <c r="DN585" s="154"/>
      <c r="DO585" s="154"/>
      <c r="DP585" s="154"/>
      <c r="DQ585" s="154"/>
      <c r="DR585" s="154"/>
      <c r="DS585" s="154"/>
      <c r="DT585" s="154"/>
      <c r="DU585" s="154"/>
      <c r="DV585" s="154"/>
      <c r="DW585" s="154"/>
      <c r="DX585" s="154"/>
      <c r="DY585" s="154"/>
      <c r="DZ585" s="154"/>
      <c r="EA585" s="154"/>
      <c r="EB585" s="154"/>
      <c r="EC585" s="154"/>
      <c r="ED585" s="154"/>
      <c r="EE585" s="154"/>
      <c r="EF585" s="154"/>
      <c r="EG585" s="154"/>
      <c r="EH585" s="154"/>
      <c r="EI585" s="154"/>
      <c r="EJ585" s="154"/>
      <c r="EK585" s="154"/>
      <c r="EL585" s="154"/>
      <c r="EM585" s="154"/>
      <c r="EN585" s="154"/>
      <c r="EO585" s="154"/>
      <c r="EP585" s="154"/>
      <c r="EQ585" s="154"/>
      <c r="ER585" s="154"/>
      <c r="ES585" s="154"/>
      <c r="ET585" s="154"/>
      <c r="EU585" s="154"/>
      <c r="EV585" s="154"/>
      <c r="EW585" s="154"/>
      <c r="EX585" s="154"/>
      <c r="EY585" s="154"/>
      <c r="EZ585" s="154"/>
      <c r="FA585" s="154"/>
      <c r="FB585" s="154"/>
      <c r="FC585" s="154"/>
      <c r="FD585" s="154"/>
      <c r="FE585" s="154"/>
      <c r="FF585" s="154"/>
      <c r="FG585" s="154"/>
      <c r="FH585" s="154"/>
      <c r="FI585" s="154"/>
      <c r="FJ585" s="154"/>
      <c r="FK585" s="154"/>
      <c r="FL585" s="154"/>
      <c r="FM585" s="154"/>
      <c r="FN585" s="154"/>
      <c r="FO585" s="154"/>
      <c r="FP585" s="154"/>
      <c r="FQ585" s="154"/>
      <c r="FR585" s="154"/>
      <c r="FS585" s="154"/>
      <c r="FT585" s="154"/>
      <c r="FU585" s="154"/>
      <c r="FV585" s="154"/>
      <c r="FW585" s="154"/>
      <c r="FX585" s="154"/>
      <c r="FY585" s="154"/>
      <c r="FZ585" s="154"/>
      <c r="GA585" s="154"/>
      <c r="GB585" s="154"/>
      <c r="GC585" s="154"/>
      <c r="GD585" s="154"/>
      <c r="GE585" s="154"/>
      <c r="GF585" s="154"/>
      <c r="GG585" s="156"/>
    </row>
    <row r="586" spans="1:189" x14ac:dyDescent="0.35">
      <c r="A586" s="269"/>
      <c r="B586" s="83"/>
      <c r="C586" s="83"/>
      <c r="D586" s="85"/>
      <c r="E586" s="83"/>
      <c r="F586" s="83"/>
      <c r="G586" s="43"/>
      <c r="H586" s="233"/>
      <c r="I586" s="42"/>
      <c r="J586" s="42"/>
      <c r="K586" s="42"/>
      <c r="L586" s="44"/>
      <c r="M586" s="44"/>
      <c r="N586" s="44"/>
      <c r="O586" s="44"/>
      <c r="P586" s="44"/>
      <c r="Q586" s="227"/>
      <c r="R586" s="228"/>
      <c r="S586" s="228"/>
      <c r="T586" s="228"/>
      <c r="U586" s="191">
        <f t="shared" si="512"/>
        <v>0</v>
      </c>
      <c r="V586" s="86"/>
      <c r="W586" s="45"/>
      <c r="X586" s="46"/>
      <c r="Y586" s="167">
        <f t="shared" si="513"/>
        <v>0</v>
      </c>
      <c r="Z586" s="167">
        <f t="shared" si="514"/>
        <v>0</v>
      </c>
      <c r="AA586" s="167">
        <f t="shared" si="515"/>
        <v>0</v>
      </c>
      <c r="AB586" s="167">
        <f t="shared" si="516"/>
        <v>0</v>
      </c>
      <c r="AC586" s="167">
        <f t="shared" si="517"/>
        <v>0</v>
      </c>
      <c r="AD586" s="167">
        <f t="shared" si="518"/>
        <v>0</v>
      </c>
      <c r="AF586" s="47">
        <f t="shared" si="510"/>
        <v>0</v>
      </c>
      <c r="AG586" s="202" t="str">
        <f t="shared" si="511"/>
        <v xml:space="preserve"> </v>
      </c>
      <c r="AH586" s="153"/>
      <c r="AI586" s="154"/>
      <c r="AJ586" s="154"/>
      <c r="AK586" s="154"/>
      <c r="AL586" s="154"/>
      <c r="AM586" s="154"/>
      <c r="AN586" s="154"/>
      <c r="AO586" s="154"/>
      <c r="AP586" s="154"/>
      <c r="AQ586" s="154"/>
      <c r="AR586" s="154"/>
      <c r="AS586" s="154"/>
      <c r="AT586" s="154"/>
      <c r="AU586" s="154"/>
      <c r="AV586" s="154"/>
      <c r="AW586" s="154"/>
      <c r="AX586" s="154"/>
      <c r="AY586" s="154"/>
      <c r="AZ586" s="154"/>
      <c r="BA586" s="154"/>
      <c r="BB586" s="154"/>
      <c r="BC586" s="154"/>
      <c r="BD586" s="154"/>
      <c r="BE586" s="154"/>
      <c r="BF586" s="154"/>
      <c r="BG586" s="154"/>
      <c r="BH586" s="154"/>
      <c r="BI586" s="154"/>
      <c r="BJ586" s="154"/>
      <c r="BK586" s="154"/>
      <c r="BL586" s="154"/>
      <c r="BM586" s="154"/>
      <c r="BN586" s="154"/>
      <c r="BO586" s="154"/>
      <c r="BP586" s="154"/>
      <c r="BQ586" s="154"/>
      <c r="BR586" s="154"/>
      <c r="BS586" s="154"/>
      <c r="BT586" s="154"/>
      <c r="BU586" s="154"/>
      <c r="BV586" s="154"/>
      <c r="BW586" s="154"/>
      <c r="BX586" s="154"/>
      <c r="BY586" s="154"/>
      <c r="BZ586" s="154"/>
      <c r="CA586" s="154"/>
      <c r="CB586" s="154"/>
      <c r="CC586" s="154"/>
      <c r="CD586" s="154"/>
      <c r="CE586" s="154"/>
      <c r="CF586" s="154"/>
      <c r="CG586" s="154"/>
      <c r="CH586" s="154"/>
      <c r="CI586" s="154"/>
      <c r="CJ586" s="154"/>
      <c r="CK586" s="154"/>
      <c r="CL586" s="154"/>
      <c r="CM586" s="154"/>
      <c r="CN586" s="154"/>
      <c r="CO586" s="154"/>
      <c r="CP586" s="154"/>
      <c r="CQ586" s="154"/>
      <c r="CR586" s="154"/>
      <c r="CS586" s="154"/>
      <c r="CT586" s="154"/>
      <c r="CU586" s="154"/>
      <c r="CV586" s="154"/>
      <c r="CW586" s="154"/>
      <c r="CX586" s="154"/>
      <c r="CY586" s="154"/>
      <c r="CZ586" s="154"/>
      <c r="DA586" s="154"/>
      <c r="DB586" s="154"/>
      <c r="DC586" s="154"/>
      <c r="DD586" s="154"/>
      <c r="DE586" s="154"/>
      <c r="DF586" s="154"/>
      <c r="DG586" s="154"/>
      <c r="DH586" s="154"/>
      <c r="DI586" s="154"/>
      <c r="DJ586" s="154"/>
      <c r="DK586" s="154"/>
      <c r="DL586" s="154"/>
      <c r="DM586" s="154"/>
      <c r="DN586" s="154"/>
      <c r="DO586" s="154"/>
      <c r="DP586" s="154"/>
      <c r="DQ586" s="154"/>
      <c r="DR586" s="154"/>
      <c r="DS586" s="154"/>
      <c r="DT586" s="154"/>
      <c r="DU586" s="154"/>
      <c r="DV586" s="154"/>
      <c r="DW586" s="154"/>
      <c r="DX586" s="154"/>
      <c r="DY586" s="154"/>
      <c r="DZ586" s="154"/>
      <c r="EA586" s="154"/>
      <c r="EB586" s="154"/>
      <c r="EC586" s="154"/>
      <c r="ED586" s="154"/>
      <c r="EE586" s="154"/>
      <c r="EF586" s="154"/>
      <c r="EG586" s="154"/>
      <c r="EH586" s="154"/>
      <c r="EI586" s="154"/>
      <c r="EJ586" s="154"/>
      <c r="EK586" s="154"/>
      <c r="EL586" s="154"/>
      <c r="EM586" s="154"/>
      <c r="EN586" s="154"/>
      <c r="EO586" s="154"/>
      <c r="EP586" s="154"/>
      <c r="EQ586" s="154"/>
      <c r="ER586" s="154"/>
      <c r="ES586" s="154"/>
      <c r="ET586" s="154"/>
      <c r="EU586" s="154"/>
      <c r="EV586" s="154"/>
      <c r="EW586" s="154"/>
      <c r="EX586" s="154"/>
      <c r="EY586" s="154"/>
      <c r="EZ586" s="154"/>
      <c r="FA586" s="154"/>
      <c r="FB586" s="154"/>
      <c r="FC586" s="154"/>
      <c r="FD586" s="154"/>
      <c r="FE586" s="154"/>
      <c r="FF586" s="154"/>
      <c r="FG586" s="154"/>
      <c r="FH586" s="154"/>
      <c r="FI586" s="154"/>
      <c r="FJ586" s="154"/>
      <c r="FK586" s="154"/>
      <c r="FL586" s="154"/>
      <c r="FM586" s="154"/>
      <c r="FN586" s="154"/>
      <c r="FO586" s="154"/>
      <c r="FP586" s="154"/>
      <c r="FQ586" s="154"/>
      <c r="FR586" s="154"/>
      <c r="FS586" s="154"/>
      <c r="FT586" s="154"/>
      <c r="FU586" s="154"/>
      <c r="FV586" s="154"/>
      <c r="FW586" s="154"/>
      <c r="FX586" s="154"/>
      <c r="FY586" s="154"/>
      <c r="FZ586" s="154"/>
      <c r="GA586" s="154"/>
      <c r="GB586" s="154"/>
      <c r="GC586" s="154"/>
      <c r="GD586" s="154"/>
      <c r="GE586" s="154"/>
      <c r="GF586" s="154"/>
      <c r="GG586" s="156"/>
    </row>
    <row r="587" spans="1:189" x14ac:dyDescent="0.35">
      <c r="A587" s="269"/>
      <c r="B587" s="83"/>
      <c r="C587" s="83"/>
      <c r="D587" s="85"/>
      <c r="E587" s="83"/>
      <c r="F587" s="83"/>
      <c r="G587" s="43"/>
      <c r="H587" s="233"/>
      <c r="I587" s="42"/>
      <c r="J587" s="42"/>
      <c r="K587" s="42"/>
      <c r="L587" s="44"/>
      <c r="M587" s="44"/>
      <c r="N587" s="44"/>
      <c r="O587" s="44"/>
      <c r="P587" s="44"/>
      <c r="Q587" s="227"/>
      <c r="R587" s="228"/>
      <c r="S587" s="228"/>
      <c r="T587" s="228"/>
      <c r="U587" s="191">
        <f t="shared" si="512"/>
        <v>0</v>
      </c>
      <c r="V587" s="86"/>
      <c r="W587" s="45"/>
      <c r="X587" s="46"/>
      <c r="Y587" s="167">
        <f t="shared" si="513"/>
        <v>0</v>
      </c>
      <c r="Z587" s="167">
        <f t="shared" si="514"/>
        <v>0</v>
      </c>
      <c r="AA587" s="167">
        <f t="shared" si="515"/>
        <v>0</v>
      </c>
      <c r="AB587" s="167">
        <f t="shared" si="516"/>
        <v>0</v>
      </c>
      <c r="AC587" s="167">
        <f t="shared" si="517"/>
        <v>0</v>
      </c>
      <c r="AD587" s="167">
        <f t="shared" si="518"/>
        <v>0</v>
      </c>
      <c r="AF587" s="47">
        <f t="shared" si="510"/>
        <v>0</v>
      </c>
      <c r="AG587" s="202" t="str">
        <f t="shared" si="511"/>
        <v xml:space="preserve"> </v>
      </c>
      <c r="AH587" s="147"/>
      <c r="AI587" s="148"/>
      <c r="AJ587" s="148"/>
      <c r="AK587" s="148"/>
      <c r="AL587" s="148"/>
      <c r="AM587" s="148"/>
      <c r="AN587" s="148"/>
      <c r="AO587" s="148"/>
      <c r="AP587" s="148"/>
      <c r="AQ587" s="148"/>
      <c r="AR587" s="148"/>
      <c r="AS587" s="148"/>
      <c r="AT587" s="148"/>
      <c r="AU587" s="148"/>
      <c r="AV587" s="148"/>
      <c r="AW587" s="148"/>
      <c r="AX587" s="148"/>
      <c r="AY587" s="148"/>
      <c r="AZ587" s="148"/>
      <c r="BA587" s="148"/>
      <c r="BB587" s="148"/>
      <c r="BC587" s="148"/>
      <c r="BD587" s="148"/>
      <c r="BE587" s="148"/>
      <c r="BF587" s="148"/>
      <c r="BG587" s="148"/>
      <c r="BH587" s="148"/>
      <c r="BI587" s="148"/>
      <c r="BJ587" s="148"/>
      <c r="BK587" s="148"/>
      <c r="BL587" s="148"/>
      <c r="BM587" s="148"/>
      <c r="BN587" s="148"/>
      <c r="BO587" s="148"/>
      <c r="BP587" s="148"/>
      <c r="BQ587" s="148"/>
      <c r="BR587" s="148"/>
      <c r="BS587" s="148"/>
      <c r="BT587" s="148"/>
      <c r="BU587" s="148"/>
      <c r="BV587" s="148"/>
      <c r="BW587" s="148"/>
      <c r="BX587" s="148"/>
      <c r="BY587" s="148"/>
      <c r="BZ587" s="148"/>
      <c r="CA587" s="148"/>
      <c r="CB587" s="148"/>
      <c r="CC587" s="148"/>
      <c r="CD587" s="148"/>
      <c r="CE587" s="148"/>
      <c r="CF587" s="148"/>
      <c r="CG587" s="148"/>
      <c r="CH587" s="148"/>
      <c r="CI587" s="148"/>
      <c r="CJ587" s="148"/>
      <c r="CK587" s="148"/>
      <c r="CL587" s="148"/>
      <c r="CM587" s="148"/>
      <c r="CN587" s="148"/>
      <c r="CO587" s="148"/>
      <c r="CP587" s="148"/>
      <c r="CQ587" s="148"/>
      <c r="CR587" s="148"/>
      <c r="CS587" s="148"/>
      <c r="CT587" s="148"/>
      <c r="CU587" s="148"/>
      <c r="CV587" s="148"/>
      <c r="CW587" s="148"/>
      <c r="CX587" s="148"/>
      <c r="CY587" s="148"/>
      <c r="CZ587" s="148"/>
      <c r="DA587" s="148"/>
      <c r="DB587" s="148"/>
      <c r="DC587" s="148"/>
      <c r="DD587" s="148"/>
      <c r="DE587" s="148"/>
      <c r="DF587" s="148"/>
      <c r="DG587" s="148"/>
      <c r="DH587" s="148"/>
      <c r="DI587" s="148"/>
      <c r="DJ587" s="148"/>
      <c r="DK587" s="148"/>
      <c r="DL587" s="148"/>
      <c r="DM587" s="148"/>
      <c r="DN587" s="148"/>
      <c r="DO587" s="148"/>
      <c r="DP587" s="148"/>
      <c r="DQ587" s="148"/>
      <c r="DR587" s="148"/>
      <c r="DS587" s="148"/>
      <c r="DT587" s="148"/>
      <c r="DU587" s="148"/>
      <c r="DV587" s="148"/>
      <c r="DW587" s="148"/>
      <c r="DX587" s="148"/>
      <c r="DY587" s="148"/>
      <c r="DZ587" s="148"/>
      <c r="EA587" s="148"/>
      <c r="EB587" s="148"/>
      <c r="EC587" s="148"/>
      <c r="ED587" s="148"/>
      <c r="EE587" s="148"/>
      <c r="EF587" s="148"/>
      <c r="EG587" s="148"/>
      <c r="EH587" s="148"/>
      <c r="EI587" s="148"/>
      <c r="EJ587" s="148"/>
      <c r="EK587" s="148"/>
      <c r="EL587" s="148"/>
      <c r="EM587" s="148"/>
      <c r="EN587" s="148"/>
      <c r="EO587" s="148"/>
      <c r="EP587" s="148"/>
      <c r="EQ587" s="148"/>
      <c r="ER587" s="148"/>
      <c r="ES587" s="148"/>
      <c r="ET587" s="148"/>
      <c r="EU587" s="148"/>
      <c r="EV587" s="148"/>
      <c r="EW587" s="148"/>
      <c r="EX587" s="148"/>
      <c r="EY587" s="148"/>
      <c r="EZ587" s="148"/>
      <c r="FA587" s="148"/>
      <c r="FB587" s="148"/>
      <c r="FC587" s="148"/>
      <c r="FD587" s="148"/>
      <c r="FE587" s="148"/>
      <c r="FF587" s="148"/>
      <c r="FG587" s="148"/>
      <c r="FH587" s="148"/>
      <c r="FI587" s="148"/>
      <c r="FJ587" s="148"/>
      <c r="FK587" s="148"/>
      <c r="FL587" s="148"/>
      <c r="FM587" s="148"/>
      <c r="FN587" s="148"/>
      <c r="FO587" s="148"/>
      <c r="FP587" s="148"/>
      <c r="FQ587" s="148"/>
      <c r="FR587" s="148"/>
      <c r="FS587" s="148"/>
      <c r="FT587" s="148"/>
      <c r="FU587" s="148"/>
      <c r="FV587" s="148"/>
      <c r="FW587" s="148"/>
      <c r="FX587" s="148"/>
      <c r="FY587" s="148"/>
      <c r="FZ587" s="148"/>
      <c r="GA587" s="148"/>
      <c r="GB587" s="148"/>
      <c r="GC587" s="148"/>
      <c r="GD587" s="148"/>
      <c r="GE587" s="148"/>
      <c r="GF587" s="148"/>
      <c r="GG587" s="149"/>
    </row>
    <row r="588" spans="1:189" x14ac:dyDescent="0.35">
      <c r="A588" s="269"/>
      <c r="B588" s="83"/>
      <c r="C588" s="83"/>
      <c r="D588" s="85"/>
      <c r="E588" s="83"/>
      <c r="F588" s="83"/>
      <c r="G588" s="43"/>
      <c r="H588" s="233"/>
      <c r="I588" s="42"/>
      <c r="J588" s="42"/>
      <c r="K588" s="42"/>
      <c r="L588" s="44"/>
      <c r="M588" s="44"/>
      <c r="N588" s="44"/>
      <c r="O588" s="44"/>
      <c r="P588" s="44"/>
      <c r="Q588" s="227"/>
      <c r="R588" s="228"/>
      <c r="S588" s="228"/>
      <c r="T588" s="228"/>
      <c r="U588" s="191">
        <f t="shared" si="512"/>
        <v>0</v>
      </c>
      <c r="V588" s="86"/>
      <c r="W588" s="45"/>
      <c r="X588" s="46"/>
      <c r="Y588" s="167">
        <f t="shared" si="513"/>
        <v>0</v>
      </c>
      <c r="Z588" s="167">
        <f t="shared" si="514"/>
        <v>0</v>
      </c>
      <c r="AA588" s="167">
        <f t="shared" si="515"/>
        <v>0</v>
      </c>
      <c r="AB588" s="167">
        <f t="shared" si="516"/>
        <v>0</v>
      </c>
      <c r="AC588" s="167">
        <f t="shared" si="517"/>
        <v>0</v>
      </c>
      <c r="AD588" s="167">
        <f t="shared" si="518"/>
        <v>0</v>
      </c>
      <c r="AF588" s="47">
        <f t="shared" si="510"/>
        <v>0</v>
      </c>
      <c r="AG588" s="202" t="str">
        <f t="shared" si="511"/>
        <v xml:space="preserve"> </v>
      </c>
      <c r="AH588" s="150"/>
      <c r="AI588" s="151"/>
      <c r="AJ588" s="151"/>
      <c r="AK588" s="151"/>
      <c r="AL588" s="151"/>
      <c r="AM588" s="151"/>
      <c r="AN588" s="151"/>
      <c r="AO588" s="151"/>
      <c r="AP588" s="151"/>
      <c r="AQ588" s="151"/>
      <c r="AR588" s="151"/>
      <c r="AS588" s="151"/>
      <c r="AT588" s="151"/>
      <c r="AU588" s="151"/>
      <c r="AV588" s="151"/>
      <c r="AW588" s="151"/>
      <c r="AX588" s="151"/>
      <c r="AY588" s="151"/>
      <c r="AZ588" s="151"/>
      <c r="BA588" s="151"/>
      <c r="BB588" s="151"/>
      <c r="BC588" s="151"/>
      <c r="BD588" s="151"/>
      <c r="BE588" s="151"/>
      <c r="BF588" s="151"/>
      <c r="BG588" s="151"/>
      <c r="BH588" s="151"/>
      <c r="BI588" s="151"/>
      <c r="BJ588" s="151"/>
      <c r="BK588" s="151"/>
      <c r="BL588" s="151"/>
      <c r="BM588" s="151"/>
      <c r="BN588" s="151"/>
      <c r="BO588" s="151"/>
      <c r="BP588" s="151"/>
      <c r="BQ588" s="151"/>
      <c r="BR588" s="151"/>
      <c r="BS588" s="151"/>
      <c r="BT588" s="151"/>
      <c r="BU588" s="151"/>
      <c r="BV588" s="151"/>
      <c r="BW588" s="151"/>
      <c r="BX588" s="151"/>
      <c r="BY588" s="151"/>
      <c r="BZ588" s="151"/>
      <c r="CA588" s="151"/>
      <c r="CB588" s="151"/>
      <c r="CC588" s="151"/>
      <c r="CD588" s="151"/>
      <c r="CE588" s="151"/>
      <c r="CF588" s="151"/>
      <c r="CG588" s="151"/>
      <c r="CH588" s="151"/>
      <c r="CI588" s="151"/>
      <c r="CJ588" s="151"/>
      <c r="CK588" s="151"/>
      <c r="CL588" s="151"/>
      <c r="CM588" s="151"/>
      <c r="CN588" s="151"/>
      <c r="CO588" s="151"/>
      <c r="CP588" s="151"/>
      <c r="CQ588" s="151"/>
      <c r="CR588" s="151"/>
      <c r="CS588" s="151"/>
      <c r="CT588" s="151"/>
      <c r="CU588" s="151"/>
      <c r="CV588" s="151"/>
      <c r="CW588" s="151"/>
      <c r="CX588" s="151"/>
      <c r="CY588" s="151"/>
      <c r="CZ588" s="151"/>
      <c r="DA588" s="151"/>
      <c r="DB588" s="151"/>
      <c r="DC588" s="151"/>
      <c r="DD588" s="151"/>
      <c r="DE588" s="151"/>
      <c r="DF588" s="151"/>
      <c r="DG588" s="151"/>
      <c r="DH588" s="151"/>
      <c r="DI588" s="151"/>
      <c r="DJ588" s="151"/>
      <c r="DK588" s="151"/>
      <c r="DL588" s="151"/>
      <c r="DM588" s="151"/>
      <c r="DN588" s="151"/>
      <c r="DO588" s="151"/>
      <c r="DP588" s="151"/>
      <c r="DQ588" s="151"/>
      <c r="DR588" s="151"/>
      <c r="DS588" s="151"/>
      <c r="DT588" s="151"/>
      <c r="DU588" s="151"/>
      <c r="DV588" s="151"/>
      <c r="DW588" s="151"/>
      <c r="DX588" s="151"/>
      <c r="DY588" s="151"/>
      <c r="DZ588" s="151"/>
      <c r="EA588" s="151"/>
      <c r="EB588" s="151"/>
      <c r="EC588" s="151"/>
      <c r="ED588" s="151"/>
      <c r="EE588" s="151"/>
      <c r="EF588" s="151"/>
      <c r="EG588" s="151"/>
      <c r="EH588" s="151"/>
      <c r="EI588" s="151"/>
      <c r="EJ588" s="151"/>
      <c r="EK588" s="151"/>
      <c r="EL588" s="151"/>
      <c r="EM588" s="151"/>
      <c r="EN588" s="151"/>
      <c r="EO588" s="151"/>
      <c r="EP588" s="151"/>
      <c r="EQ588" s="151"/>
      <c r="ER588" s="151"/>
      <c r="ES588" s="151"/>
      <c r="ET588" s="151"/>
      <c r="EU588" s="151"/>
      <c r="EV588" s="151"/>
      <c r="EW588" s="151"/>
      <c r="EX588" s="151"/>
      <c r="EY588" s="151"/>
      <c r="EZ588" s="151"/>
      <c r="FA588" s="151"/>
      <c r="FB588" s="151"/>
      <c r="FC588" s="151"/>
      <c r="FD588" s="151"/>
      <c r="FE588" s="151"/>
      <c r="FF588" s="151"/>
      <c r="FG588" s="151"/>
      <c r="FH588" s="151"/>
      <c r="FI588" s="151"/>
      <c r="FJ588" s="151"/>
      <c r="FK588" s="151"/>
      <c r="FL588" s="151"/>
      <c r="FM588" s="151"/>
      <c r="FN588" s="151"/>
      <c r="FO588" s="151"/>
      <c r="FP588" s="151"/>
      <c r="FQ588" s="151"/>
      <c r="FR588" s="151"/>
      <c r="FS588" s="151"/>
      <c r="FT588" s="151"/>
      <c r="FU588" s="151"/>
      <c r="FV588" s="151"/>
      <c r="FW588" s="151"/>
      <c r="FX588" s="151"/>
      <c r="FY588" s="151"/>
      <c r="FZ588" s="151"/>
      <c r="GA588" s="151"/>
      <c r="GB588" s="151"/>
      <c r="GC588" s="151"/>
      <c r="GD588" s="151"/>
      <c r="GE588" s="151"/>
      <c r="GF588" s="151"/>
      <c r="GG588" s="152"/>
    </row>
    <row r="589" spans="1:189" x14ac:dyDescent="0.35">
      <c r="A589" s="269"/>
      <c r="B589" s="83"/>
      <c r="C589" s="83"/>
      <c r="D589" s="85"/>
      <c r="E589" s="83"/>
      <c r="F589" s="83"/>
      <c r="G589" s="43"/>
      <c r="H589" s="233"/>
      <c r="I589" s="42"/>
      <c r="J589" s="42"/>
      <c r="K589" s="42"/>
      <c r="L589" s="44"/>
      <c r="M589" s="44"/>
      <c r="N589" s="44"/>
      <c r="O589" s="44"/>
      <c r="P589" s="44"/>
      <c r="Q589" s="227"/>
      <c r="R589" s="228"/>
      <c r="S589" s="228"/>
      <c r="T589" s="228"/>
      <c r="U589" s="191">
        <f t="shared" si="512"/>
        <v>0</v>
      </c>
      <c r="V589" s="86"/>
      <c r="W589" s="45"/>
      <c r="X589" s="46"/>
      <c r="Y589" s="167">
        <f t="shared" si="513"/>
        <v>0</v>
      </c>
      <c r="Z589" s="167">
        <f t="shared" si="514"/>
        <v>0</v>
      </c>
      <c r="AA589" s="167">
        <f t="shared" si="515"/>
        <v>0</v>
      </c>
      <c r="AB589" s="167">
        <f t="shared" si="516"/>
        <v>0</v>
      </c>
      <c r="AC589" s="167">
        <f t="shared" si="517"/>
        <v>0</v>
      </c>
      <c r="AD589" s="167">
        <f t="shared" si="518"/>
        <v>0</v>
      </c>
      <c r="AF589" s="47">
        <f t="shared" si="510"/>
        <v>0</v>
      </c>
      <c r="AG589" s="202" t="str">
        <f t="shared" si="511"/>
        <v xml:space="preserve"> </v>
      </c>
      <c r="AH589" s="150"/>
      <c r="AI589" s="151"/>
      <c r="AJ589" s="151"/>
      <c r="AK589" s="151"/>
      <c r="AL589" s="151"/>
      <c r="AM589" s="151"/>
      <c r="AN589" s="151"/>
      <c r="AO589" s="151"/>
      <c r="AP589" s="151"/>
      <c r="AQ589" s="151"/>
      <c r="AR589" s="151"/>
      <c r="AS589" s="151"/>
      <c r="AT589" s="151"/>
      <c r="AU589" s="151"/>
      <c r="AV589" s="151"/>
      <c r="AW589" s="151"/>
      <c r="AX589" s="151"/>
      <c r="AY589" s="151"/>
      <c r="AZ589" s="151"/>
      <c r="BA589" s="151"/>
      <c r="BB589" s="151"/>
      <c r="BC589" s="151"/>
      <c r="BD589" s="151"/>
      <c r="BE589" s="151"/>
      <c r="BF589" s="151"/>
      <c r="BG589" s="151"/>
      <c r="BH589" s="151"/>
      <c r="BI589" s="151"/>
      <c r="BJ589" s="151"/>
      <c r="BK589" s="151"/>
      <c r="BL589" s="151"/>
      <c r="BM589" s="151"/>
      <c r="BN589" s="151"/>
      <c r="BO589" s="151"/>
      <c r="BP589" s="151"/>
      <c r="BQ589" s="151"/>
      <c r="BR589" s="151"/>
      <c r="BS589" s="151"/>
      <c r="BT589" s="151"/>
      <c r="BU589" s="151"/>
      <c r="BV589" s="151"/>
      <c r="BW589" s="151"/>
      <c r="BX589" s="151"/>
      <c r="BY589" s="151"/>
      <c r="BZ589" s="151"/>
      <c r="CA589" s="151"/>
      <c r="CB589" s="151"/>
      <c r="CC589" s="151"/>
      <c r="CD589" s="151"/>
      <c r="CE589" s="151"/>
      <c r="CF589" s="151"/>
      <c r="CG589" s="151"/>
      <c r="CH589" s="151"/>
      <c r="CI589" s="151"/>
      <c r="CJ589" s="151"/>
      <c r="CK589" s="151"/>
      <c r="CL589" s="151"/>
      <c r="CM589" s="151"/>
      <c r="CN589" s="151"/>
      <c r="CO589" s="151"/>
      <c r="CP589" s="151"/>
      <c r="CQ589" s="151"/>
      <c r="CR589" s="151"/>
      <c r="CS589" s="151"/>
      <c r="CT589" s="151"/>
      <c r="CU589" s="151"/>
      <c r="CV589" s="151"/>
      <c r="CW589" s="151"/>
      <c r="CX589" s="151"/>
      <c r="CY589" s="151"/>
      <c r="CZ589" s="151"/>
      <c r="DA589" s="151"/>
      <c r="DB589" s="151"/>
      <c r="DC589" s="151"/>
      <c r="DD589" s="151"/>
      <c r="DE589" s="151"/>
      <c r="DF589" s="151"/>
      <c r="DG589" s="151"/>
      <c r="DH589" s="151"/>
      <c r="DI589" s="151"/>
      <c r="DJ589" s="151"/>
      <c r="DK589" s="151"/>
      <c r="DL589" s="151"/>
      <c r="DM589" s="151"/>
      <c r="DN589" s="151"/>
      <c r="DO589" s="151"/>
      <c r="DP589" s="151"/>
      <c r="DQ589" s="151"/>
      <c r="DR589" s="151"/>
      <c r="DS589" s="151"/>
      <c r="DT589" s="151"/>
      <c r="DU589" s="151"/>
      <c r="DV589" s="151"/>
      <c r="DW589" s="151"/>
      <c r="DX589" s="151"/>
      <c r="DY589" s="151"/>
      <c r="DZ589" s="151"/>
      <c r="EA589" s="151"/>
      <c r="EB589" s="151"/>
      <c r="EC589" s="151"/>
      <c r="ED589" s="151"/>
      <c r="EE589" s="151"/>
      <c r="EF589" s="151"/>
      <c r="EG589" s="151"/>
      <c r="EH589" s="151"/>
      <c r="EI589" s="151"/>
      <c r="EJ589" s="151"/>
      <c r="EK589" s="151"/>
      <c r="EL589" s="151"/>
      <c r="EM589" s="151"/>
      <c r="EN589" s="151"/>
      <c r="EO589" s="151"/>
      <c r="EP589" s="151"/>
      <c r="EQ589" s="151"/>
      <c r="ER589" s="151"/>
      <c r="ES589" s="151"/>
      <c r="ET589" s="151"/>
      <c r="EU589" s="151"/>
      <c r="EV589" s="151"/>
      <c r="EW589" s="151"/>
      <c r="EX589" s="151"/>
      <c r="EY589" s="151"/>
      <c r="EZ589" s="151"/>
      <c r="FA589" s="151"/>
      <c r="FB589" s="151"/>
      <c r="FC589" s="151"/>
      <c r="FD589" s="151"/>
      <c r="FE589" s="151"/>
      <c r="FF589" s="151"/>
      <c r="FG589" s="151"/>
      <c r="FH589" s="151"/>
      <c r="FI589" s="151"/>
      <c r="FJ589" s="151"/>
      <c r="FK589" s="151"/>
      <c r="FL589" s="151"/>
      <c r="FM589" s="151"/>
      <c r="FN589" s="151"/>
      <c r="FO589" s="151"/>
      <c r="FP589" s="151"/>
      <c r="FQ589" s="151"/>
      <c r="FR589" s="151"/>
      <c r="FS589" s="151"/>
      <c r="FT589" s="151"/>
      <c r="FU589" s="151"/>
      <c r="FV589" s="151"/>
      <c r="FW589" s="151"/>
      <c r="FX589" s="151"/>
      <c r="FY589" s="151"/>
      <c r="FZ589" s="151"/>
      <c r="GA589" s="151"/>
      <c r="GB589" s="151"/>
      <c r="GC589" s="151"/>
      <c r="GD589" s="151"/>
      <c r="GE589" s="151"/>
      <c r="GF589" s="151"/>
      <c r="GG589" s="152"/>
    </row>
    <row r="590" spans="1:189" x14ac:dyDescent="0.35">
      <c r="A590" s="269"/>
      <c r="B590" s="83"/>
      <c r="C590" s="83"/>
      <c r="D590" s="85"/>
      <c r="E590" s="83"/>
      <c r="F590" s="83"/>
      <c r="G590" s="43"/>
      <c r="H590" s="233"/>
      <c r="I590" s="42"/>
      <c r="J590" s="42"/>
      <c r="K590" s="42"/>
      <c r="L590" s="44"/>
      <c r="M590" s="44"/>
      <c r="N590" s="44"/>
      <c r="O590" s="44"/>
      <c r="P590" s="44"/>
      <c r="Q590" s="227"/>
      <c r="R590" s="228"/>
      <c r="S590" s="228"/>
      <c r="T590" s="228"/>
      <c r="U590" s="191">
        <f t="shared" si="512"/>
        <v>0</v>
      </c>
      <c r="V590" s="86"/>
      <c r="W590" s="45"/>
      <c r="X590" s="46"/>
      <c r="Y590" s="167">
        <f t="shared" si="513"/>
        <v>0</v>
      </c>
      <c r="Z590" s="167">
        <f t="shared" si="514"/>
        <v>0</v>
      </c>
      <c r="AA590" s="167">
        <f t="shared" si="515"/>
        <v>0</v>
      </c>
      <c r="AB590" s="167">
        <f t="shared" si="516"/>
        <v>0</v>
      </c>
      <c r="AC590" s="167">
        <f t="shared" si="517"/>
        <v>0</v>
      </c>
      <c r="AD590" s="167">
        <f t="shared" si="518"/>
        <v>0</v>
      </c>
      <c r="AF590" s="47">
        <f t="shared" si="510"/>
        <v>0</v>
      </c>
      <c r="AG590" s="202" t="str">
        <f t="shared" si="511"/>
        <v xml:space="preserve"> </v>
      </c>
      <c r="AH590" s="150"/>
      <c r="AI590" s="151"/>
      <c r="AJ590" s="151"/>
      <c r="AK590" s="151"/>
      <c r="AL590" s="151"/>
      <c r="AM590" s="151"/>
      <c r="AN590" s="151"/>
      <c r="AO590" s="151"/>
      <c r="AP590" s="151"/>
      <c r="AQ590" s="151"/>
      <c r="AR590" s="151"/>
      <c r="AS590" s="151"/>
      <c r="AT590" s="151"/>
      <c r="AU590" s="151"/>
      <c r="AV590" s="151"/>
      <c r="AW590" s="151"/>
      <c r="AX590" s="151"/>
      <c r="AY590" s="151"/>
      <c r="AZ590" s="151"/>
      <c r="BA590" s="151"/>
      <c r="BB590" s="151"/>
      <c r="BC590" s="151"/>
      <c r="BD590" s="151"/>
      <c r="BE590" s="151"/>
      <c r="BF590" s="151"/>
      <c r="BG590" s="151"/>
      <c r="BH590" s="151"/>
      <c r="BI590" s="151"/>
      <c r="BJ590" s="151"/>
      <c r="BK590" s="151"/>
      <c r="BL590" s="151"/>
      <c r="BM590" s="151"/>
      <c r="BN590" s="151"/>
      <c r="BO590" s="151"/>
      <c r="BP590" s="151"/>
      <c r="BQ590" s="151"/>
      <c r="BR590" s="151"/>
      <c r="BS590" s="151"/>
      <c r="BT590" s="151"/>
      <c r="BU590" s="151"/>
      <c r="BV590" s="151"/>
      <c r="BW590" s="151"/>
      <c r="BX590" s="151"/>
      <c r="BY590" s="151"/>
      <c r="BZ590" s="151"/>
      <c r="CA590" s="151"/>
      <c r="CB590" s="151"/>
      <c r="CC590" s="151"/>
      <c r="CD590" s="151"/>
      <c r="CE590" s="151"/>
      <c r="CF590" s="151"/>
      <c r="CG590" s="151"/>
      <c r="CH590" s="151"/>
      <c r="CI590" s="151"/>
      <c r="CJ590" s="151"/>
      <c r="CK590" s="151"/>
      <c r="CL590" s="151"/>
      <c r="CM590" s="151"/>
      <c r="CN590" s="151"/>
      <c r="CO590" s="151"/>
      <c r="CP590" s="151"/>
      <c r="CQ590" s="151"/>
      <c r="CR590" s="151"/>
      <c r="CS590" s="151"/>
      <c r="CT590" s="151"/>
      <c r="CU590" s="151"/>
      <c r="CV590" s="151"/>
      <c r="CW590" s="151"/>
      <c r="CX590" s="151"/>
      <c r="CY590" s="151"/>
      <c r="CZ590" s="151"/>
      <c r="DA590" s="151"/>
      <c r="DB590" s="151"/>
      <c r="DC590" s="151"/>
      <c r="DD590" s="151"/>
      <c r="DE590" s="151"/>
      <c r="DF590" s="151"/>
      <c r="DG590" s="151"/>
      <c r="DH590" s="151"/>
      <c r="DI590" s="151"/>
      <c r="DJ590" s="151"/>
      <c r="DK590" s="151"/>
      <c r="DL590" s="151"/>
      <c r="DM590" s="151"/>
      <c r="DN590" s="151"/>
      <c r="DO590" s="151"/>
      <c r="DP590" s="151"/>
      <c r="DQ590" s="151"/>
      <c r="DR590" s="151"/>
      <c r="DS590" s="151"/>
      <c r="DT590" s="151"/>
      <c r="DU590" s="151"/>
      <c r="DV590" s="151"/>
      <c r="DW590" s="151"/>
      <c r="DX590" s="151"/>
      <c r="DY590" s="151"/>
      <c r="DZ590" s="151"/>
      <c r="EA590" s="151"/>
      <c r="EB590" s="151"/>
      <c r="EC590" s="151"/>
      <c r="ED590" s="151"/>
      <c r="EE590" s="151"/>
      <c r="EF590" s="151"/>
      <c r="EG590" s="151"/>
      <c r="EH590" s="151"/>
      <c r="EI590" s="151"/>
      <c r="EJ590" s="151"/>
      <c r="EK590" s="151"/>
      <c r="EL590" s="151"/>
      <c r="EM590" s="151"/>
      <c r="EN590" s="151"/>
      <c r="EO590" s="151"/>
      <c r="EP590" s="151"/>
      <c r="EQ590" s="151"/>
      <c r="ER590" s="151"/>
      <c r="ES590" s="151"/>
      <c r="ET590" s="151"/>
      <c r="EU590" s="151"/>
      <c r="EV590" s="151"/>
      <c r="EW590" s="151"/>
      <c r="EX590" s="151"/>
      <c r="EY590" s="151"/>
      <c r="EZ590" s="151"/>
      <c r="FA590" s="151"/>
      <c r="FB590" s="151"/>
      <c r="FC590" s="151"/>
      <c r="FD590" s="151"/>
      <c r="FE590" s="151"/>
      <c r="FF590" s="151"/>
      <c r="FG590" s="151"/>
      <c r="FH590" s="151"/>
      <c r="FI590" s="151"/>
      <c r="FJ590" s="151"/>
      <c r="FK590" s="151"/>
      <c r="FL590" s="151"/>
      <c r="FM590" s="151"/>
      <c r="FN590" s="151"/>
      <c r="FO590" s="151"/>
      <c r="FP590" s="151"/>
      <c r="FQ590" s="151"/>
      <c r="FR590" s="151"/>
      <c r="FS590" s="151"/>
      <c r="FT590" s="151"/>
      <c r="FU590" s="151"/>
      <c r="FV590" s="151"/>
      <c r="FW590" s="151"/>
      <c r="FX590" s="151"/>
      <c r="FY590" s="151"/>
      <c r="FZ590" s="151"/>
      <c r="GA590" s="151"/>
      <c r="GB590" s="151"/>
      <c r="GC590" s="151"/>
      <c r="GD590" s="151"/>
      <c r="GE590" s="151"/>
      <c r="GF590" s="151"/>
      <c r="GG590" s="152"/>
    </row>
    <row r="591" spans="1:189" x14ac:dyDescent="0.35">
      <c r="A591" s="269"/>
      <c r="B591" s="83"/>
      <c r="C591" s="83"/>
      <c r="D591" s="85"/>
      <c r="E591" s="83"/>
      <c r="F591" s="83"/>
      <c r="G591" s="43"/>
      <c r="H591" s="233"/>
      <c r="I591" s="42"/>
      <c r="J591" s="42"/>
      <c r="K591" s="42"/>
      <c r="L591" s="44"/>
      <c r="M591" s="44"/>
      <c r="N591" s="44"/>
      <c r="O591" s="44"/>
      <c r="P591" s="44"/>
      <c r="Q591" s="227"/>
      <c r="R591" s="228"/>
      <c r="S591" s="228"/>
      <c r="T591" s="228"/>
      <c r="U591" s="191">
        <f t="shared" si="512"/>
        <v>0</v>
      </c>
      <c r="V591" s="86"/>
      <c r="W591" s="45"/>
      <c r="X591" s="46"/>
      <c r="Y591" s="167">
        <f t="shared" si="513"/>
        <v>0</v>
      </c>
      <c r="Z591" s="167">
        <f t="shared" si="514"/>
        <v>0</v>
      </c>
      <c r="AA591" s="167">
        <f t="shared" si="515"/>
        <v>0</v>
      </c>
      <c r="AB591" s="167">
        <f t="shared" si="516"/>
        <v>0</v>
      </c>
      <c r="AC591" s="167">
        <f t="shared" si="517"/>
        <v>0</v>
      </c>
      <c r="AD591" s="167">
        <f t="shared" si="518"/>
        <v>0</v>
      </c>
      <c r="AF591" s="47">
        <f t="shared" si="510"/>
        <v>0</v>
      </c>
      <c r="AG591" s="202" t="str">
        <f t="shared" si="511"/>
        <v xml:space="preserve"> </v>
      </c>
      <c r="AH591" s="147"/>
      <c r="AI591" s="148"/>
      <c r="AJ591" s="148"/>
      <c r="AK591" s="148"/>
      <c r="AL591" s="148"/>
      <c r="AM591" s="148"/>
      <c r="AN591" s="148"/>
      <c r="AO591" s="148"/>
      <c r="AP591" s="148"/>
      <c r="AQ591" s="148"/>
      <c r="AR591" s="148"/>
      <c r="AS591" s="148"/>
      <c r="AT591" s="148"/>
      <c r="AU591" s="148"/>
      <c r="AV591" s="148"/>
      <c r="AW591" s="148"/>
      <c r="AX591" s="148"/>
      <c r="AY591" s="148"/>
      <c r="AZ591" s="148"/>
      <c r="BA591" s="148"/>
      <c r="BB591" s="148"/>
      <c r="BC591" s="148"/>
      <c r="BD591" s="148"/>
      <c r="BE591" s="148"/>
      <c r="BF591" s="148"/>
      <c r="BG591" s="148"/>
      <c r="BH591" s="148"/>
      <c r="BI591" s="148"/>
      <c r="BJ591" s="148"/>
      <c r="BK591" s="148"/>
      <c r="BL591" s="148"/>
      <c r="BM591" s="148"/>
      <c r="BN591" s="148"/>
      <c r="BO591" s="148"/>
      <c r="BP591" s="148"/>
      <c r="BQ591" s="148"/>
      <c r="BR591" s="148"/>
      <c r="BS591" s="148"/>
      <c r="BT591" s="148"/>
      <c r="BU591" s="148"/>
      <c r="BV591" s="148"/>
      <c r="BW591" s="148"/>
      <c r="BX591" s="148"/>
      <c r="BY591" s="148"/>
      <c r="BZ591" s="148"/>
      <c r="CA591" s="148"/>
      <c r="CB591" s="148"/>
      <c r="CC591" s="148"/>
      <c r="CD591" s="148"/>
      <c r="CE591" s="148"/>
      <c r="CF591" s="148"/>
      <c r="CG591" s="148"/>
      <c r="CH591" s="148"/>
      <c r="CI591" s="148"/>
      <c r="CJ591" s="148"/>
      <c r="CK591" s="148"/>
      <c r="CL591" s="148"/>
      <c r="CM591" s="148"/>
      <c r="CN591" s="148"/>
      <c r="CO591" s="148"/>
      <c r="CP591" s="148"/>
      <c r="CQ591" s="148"/>
      <c r="CR591" s="148"/>
      <c r="CS591" s="148"/>
      <c r="CT591" s="148"/>
      <c r="CU591" s="148"/>
      <c r="CV591" s="148"/>
      <c r="CW591" s="148"/>
      <c r="CX591" s="148"/>
      <c r="CY591" s="148"/>
      <c r="CZ591" s="148"/>
      <c r="DA591" s="148"/>
      <c r="DB591" s="148"/>
      <c r="DC591" s="148"/>
      <c r="DD591" s="148"/>
      <c r="DE591" s="148"/>
      <c r="DF591" s="148"/>
      <c r="DG591" s="148"/>
      <c r="DH591" s="148"/>
      <c r="DI591" s="148"/>
      <c r="DJ591" s="148"/>
      <c r="DK591" s="148"/>
      <c r="DL591" s="148"/>
      <c r="DM591" s="148"/>
      <c r="DN591" s="148"/>
      <c r="DO591" s="148"/>
      <c r="DP591" s="148"/>
      <c r="DQ591" s="148"/>
      <c r="DR591" s="148"/>
      <c r="DS591" s="148"/>
      <c r="DT591" s="148"/>
      <c r="DU591" s="148"/>
      <c r="DV591" s="148"/>
      <c r="DW591" s="148"/>
      <c r="DX591" s="148"/>
      <c r="DY591" s="148"/>
      <c r="DZ591" s="148"/>
      <c r="EA591" s="148"/>
      <c r="EB591" s="148"/>
      <c r="EC591" s="148"/>
      <c r="ED591" s="148"/>
      <c r="EE591" s="148"/>
      <c r="EF591" s="148"/>
      <c r="EG591" s="148"/>
      <c r="EH591" s="148"/>
      <c r="EI591" s="148"/>
      <c r="EJ591" s="148"/>
      <c r="EK591" s="148"/>
      <c r="EL591" s="148"/>
      <c r="EM591" s="148"/>
      <c r="EN591" s="148"/>
      <c r="EO591" s="148"/>
      <c r="EP591" s="148"/>
      <c r="EQ591" s="148"/>
      <c r="ER591" s="148"/>
      <c r="ES591" s="148"/>
      <c r="ET591" s="148"/>
      <c r="EU591" s="148"/>
      <c r="EV591" s="148"/>
      <c r="EW591" s="148"/>
      <c r="EX591" s="148"/>
      <c r="EY591" s="148"/>
      <c r="EZ591" s="148"/>
      <c r="FA591" s="148"/>
      <c r="FB591" s="148"/>
      <c r="FC591" s="148"/>
      <c r="FD591" s="148"/>
      <c r="FE591" s="148"/>
      <c r="FF591" s="148"/>
      <c r="FG591" s="148"/>
      <c r="FH591" s="148"/>
      <c r="FI591" s="148"/>
      <c r="FJ591" s="148"/>
      <c r="FK591" s="148"/>
      <c r="FL591" s="148"/>
      <c r="FM591" s="148"/>
      <c r="FN591" s="148"/>
      <c r="FO591" s="148"/>
      <c r="FP591" s="148"/>
      <c r="FQ591" s="148"/>
      <c r="FR591" s="148"/>
      <c r="FS591" s="148"/>
      <c r="FT591" s="148"/>
      <c r="FU591" s="148"/>
      <c r="FV591" s="148"/>
      <c r="FW591" s="148"/>
      <c r="FX591" s="148"/>
      <c r="FY591" s="148"/>
      <c r="FZ591" s="148"/>
      <c r="GA591" s="148"/>
      <c r="GB591" s="148"/>
      <c r="GC591" s="148"/>
      <c r="GD591" s="148"/>
      <c r="GE591" s="148"/>
      <c r="GF591" s="148"/>
      <c r="GG591" s="149"/>
    </row>
    <row r="592" spans="1:189" x14ac:dyDescent="0.35">
      <c r="A592" s="269"/>
      <c r="B592" s="83"/>
      <c r="C592" s="83"/>
      <c r="D592" s="85"/>
      <c r="E592" s="83"/>
      <c r="F592" s="83"/>
      <c r="G592" s="43"/>
      <c r="H592" s="233"/>
      <c r="I592" s="42"/>
      <c r="J592" s="42"/>
      <c r="K592" s="42"/>
      <c r="L592" s="44"/>
      <c r="M592" s="44"/>
      <c r="N592" s="44"/>
      <c r="O592" s="44"/>
      <c r="P592" s="44"/>
      <c r="Q592" s="227"/>
      <c r="R592" s="228"/>
      <c r="S592" s="228"/>
      <c r="T592" s="228"/>
      <c r="U592" s="191">
        <f t="shared" si="512"/>
        <v>0</v>
      </c>
      <c r="V592" s="86"/>
      <c r="W592" s="45"/>
      <c r="X592" s="46"/>
      <c r="Y592" s="167">
        <f t="shared" si="513"/>
        <v>0</v>
      </c>
      <c r="Z592" s="167">
        <f t="shared" si="514"/>
        <v>0</v>
      </c>
      <c r="AA592" s="167">
        <f t="shared" si="515"/>
        <v>0</v>
      </c>
      <c r="AB592" s="167">
        <f t="shared" si="516"/>
        <v>0</v>
      </c>
      <c r="AC592" s="167">
        <f t="shared" si="517"/>
        <v>0</v>
      </c>
      <c r="AD592" s="167">
        <f t="shared" si="518"/>
        <v>0</v>
      </c>
      <c r="AF592" s="47">
        <f t="shared" si="510"/>
        <v>0</v>
      </c>
      <c r="AG592" s="202" t="str">
        <f t="shared" si="511"/>
        <v xml:space="preserve"> </v>
      </c>
      <c r="AH592" s="150"/>
      <c r="AI592" s="151"/>
      <c r="AJ592" s="151"/>
      <c r="AK592" s="151"/>
      <c r="AL592" s="151"/>
      <c r="AM592" s="151"/>
      <c r="AN592" s="151"/>
      <c r="AO592" s="151"/>
      <c r="AP592" s="151"/>
      <c r="AQ592" s="151"/>
      <c r="AR592" s="151"/>
      <c r="AS592" s="151"/>
      <c r="AT592" s="151"/>
      <c r="AU592" s="151"/>
      <c r="AV592" s="151"/>
      <c r="AW592" s="151"/>
      <c r="AX592" s="151"/>
      <c r="AY592" s="151"/>
      <c r="AZ592" s="151"/>
      <c r="BA592" s="151"/>
      <c r="BB592" s="151"/>
      <c r="BC592" s="151"/>
      <c r="BD592" s="151"/>
      <c r="BE592" s="151"/>
      <c r="BF592" s="151"/>
      <c r="BG592" s="151"/>
      <c r="BH592" s="151"/>
      <c r="BI592" s="151"/>
      <c r="BJ592" s="151"/>
      <c r="BK592" s="151"/>
      <c r="BL592" s="151"/>
      <c r="BM592" s="151"/>
      <c r="BN592" s="151"/>
      <c r="BO592" s="151"/>
      <c r="BP592" s="151"/>
      <c r="BQ592" s="151"/>
      <c r="BR592" s="151"/>
      <c r="BS592" s="151"/>
      <c r="BT592" s="151"/>
      <c r="BU592" s="151"/>
      <c r="BV592" s="151"/>
      <c r="BW592" s="151"/>
      <c r="BX592" s="151"/>
      <c r="BY592" s="151"/>
      <c r="BZ592" s="151"/>
      <c r="CA592" s="151"/>
      <c r="CB592" s="151"/>
      <c r="CC592" s="151"/>
      <c r="CD592" s="151"/>
      <c r="CE592" s="151"/>
      <c r="CF592" s="151"/>
      <c r="CG592" s="151"/>
      <c r="CH592" s="151"/>
      <c r="CI592" s="151"/>
      <c r="CJ592" s="151"/>
      <c r="CK592" s="151"/>
      <c r="CL592" s="151"/>
      <c r="CM592" s="151"/>
      <c r="CN592" s="151"/>
      <c r="CO592" s="151"/>
      <c r="CP592" s="151"/>
      <c r="CQ592" s="151"/>
      <c r="CR592" s="151"/>
      <c r="CS592" s="151"/>
      <c r="CT592" s="151"/>
      <c r="CU592" s="151"/>
      <c r="CV592" s="151"/>
      <c r="CW592" s="151"/>
      <c r="CX592" s="151"/>
      <c r="CY592" s="151"/>
      <c r="CZ592" s="151"/>
      <c r="DA592" s="151"/>
      <c r="DB592" s="151"/>
      <c r="DC592" s="151"/>
      <c r="DD592" s="151"/>
      <c r="DE592" s="151"/>
      <c r="DF592" s="151"/>
      <c r="DG592" s="151"/>
      <c r="DH592" s="151"/>
      <c r="DI592" s="151"/>
      <c r="DJ592" s="151"/>
      <c r="DK592" s="151"/>
      <c r="DL592" s="151"/>
      <c r="DM592" s="151"/>
      <c r="DN592" s="151"/>
      <c r="DO592" s="151"/>
      <c r="DP592" s="151"/>
      <c r="DQ592" s="151"/>
      <c r="DR592" s="151"/>
      <c r="DS592" s="151"/>
      <c r="DT592" s="151"/>
      <c r="DU592" s="151"/>
      <c r="DV592" s="151"/>
      <c r="DW592" s="151"/>
      <c r="DX592" s="151"/>
      <c r="DY592" s="151"/>
      <c r="DZ592" s="151"/>
      <c r="EA592" s="151"/>
      <c r="EB592" s="151"/>
      <c r="EC592" s="151"/>
      <c r="ED592" s="151"/>
      <c r="EE592" s="151"/>
      <c r="EF592" s="151"/>
      <c r="EG592" s="151"/>
      <c r="EH592" s="151"/>
      <c r="EI592" s="151"/>
      <c r="EJ592" s="151"/>
      <c r="EK592" s="151"/>
      <c r="EL592" s="151"/>
      <c r="EM592" s="151"/>
      <c r="EN592" s="151"/>
      <c r="EO592" s="151"/>
      <c r="EP592" s="151"/>
      <c r="EQ592" s="151"/>
      <c r="ER592" s="151"/>
      <c r="ES592" s="151"/>
      <c r="ET592" s="151"/>
      <c r="EU592" s="151"/>
      <c r="EV592" s="151"/>
      <c r="EW592" s="151"/>
      <c r="EX592" s="151"/>
      <c r="EY592" s="151"/>
      <c r="EZ592" s="151"/>
      <c r="FA592" s="151"/>
      <c r="FB592" s="151"/>
      <c r="FC592" s="151"/>
      <c r="FD592" s="151"/>
      <c r="FE592" s="151"/>
      <c r="FF592" s="151"/>
      <c r="FG592" s="151"/>
      <c r="FH592" s="151"/>
      <c r="FI592" s="151"/>
      <c r="FJ592" s="151"/>
      <c r="FK592" s="151"/>
      <c r="FL592" s="151"/>
      <c r="FM592" s="151"/>
      <c r="FN592" s="151"/>
      <c r="FO592" s="151"/>
      <c r="FP592" s="151"/>
      <c r="FQ592" s="151"/>
      <c r="FR592" s="151"/>
      <c r="FS592" s="151"/>
      <c r="FT592" s="151"/>
      <c r="FU592" s="151"/>
      <c r="FV592" s="151"/>
      <c r="FW592" s="151"/>
      <c r="FX592" s="151"/>
      <c r="FY592" s="151"/>
      <c r="FZ592" s="151"/>
      <c r="GA592" s="151"/>
      <c r="GB592" s="151"/>
      <c r="GC592" s="151"/>
      <c r="GD592" s="151"/>
      <c r="GE592" s="151"/>
      <c r="GF592" s="151"/>
      <c r="GG592" s="152"/>
    </row>
    <row r="593" spans="1:189" x14ac:dyDescent="0.35">
      <c r="A593" s="269"/>
      <c r="B593" s="83"/>
      <c r="C593" s="83"/>
      <c r="D593" s="85"/>
      <c r="E593" s="83"/>
      <c r="F593" s="83"/>
      <c r="G593" s="43"/>
      <c r="H593" s="233"/>
      <c r="I593" s="42"/>
      <c r="J593" s="42"/>
      <c r="K593" s="42"/>
      <c r="L593" s="44"/>
      <c r="M593" s="44"/>
      <c r="N593" s="44"/>
      <c r="O593" s="44"/>
      <c r="P593" s="44"/>
      <c r="Q593" s="227"/>
      <c r="R593" s="228"/>
      <c r="S593" s="228"/>
      <c r="T593" s="228"/>
      <c r="U593" s="191">
        <f t="shared" si="512"/>
        <v>0</v>
      </c>
      <c r="V593" s="86"/>
      <c r="W593" s="45"/>
      <c r="X593" s="46"/>
      <c r="Y593" s="167">
        <f t="shared" si="513"/>
        <v>0</v>
      </c>
      <c r="Z593" s="167">
        <f t="shared" si="514"/>
        <v>0</v>
      </c>
      <c r="AA593" s="167">
        <f t="shared" si="515"/>
        <v>0</v>
      </c>
      <c r="AB593" s="167">
        <f t="shared" si="516"/>
        <v>0</v>
      </c>
      <c r="AC593" s="167">
        <f t="shared" si="517"/>
        <v>0</v>
      </c>
      <c r="AD593" s="167">
        <f t="shared" si="518"/>
        <v>0</v>
      </c>
      <c r="AF593" s="47">
        <f t="shared" si="510"/>
        <v>0</v>
      </c>
      <c r="AG593" s="202" t="str">
        <f t="shared" si="511"/>
        <v xml:space="preserve"> </v>
      </c>
      <c r="AH593" s="150"/>
      <c r="AI593" s="151"/>
      <c r="AJ593" s="151"/>
      <c r="AK593" s="151"/>
      <c r="AL593" s="151"/>
      <c r="AM593" s="151"/>
      <c r="AN593" s="151"/>
      <c r="AO593" s="151"/>
      <c r="AP593" s="151"/>
      <c r="AQ593" s="151"/>
      <c r="AR593" s="151"/>
      <c r="AS593" s="151"/>
      <c r="AT593" s="151"/>
      <c r="AU593" s="151"/>
      <c r="AV593" s="151"/>
      <c r="AW593" s="151"/>
      <c r="AX593" s="151"/>
      <c r="AY593" s="151"/>
      <c r="AZ593" s="151"/>
      <c r="BA593" s="151"/>
      <c r="BB593" s="151"/>
      <c r="BC593" s="151"/>
      <c r="BD593" s="151"/>
      <c r="BE593" s="151"/>
      <c r="BF593" s="151"/>
      <c r="BG593" s="151"/>
      <c r="BH593" s="151"/>
      <c r="BI593" s="151"/>
      <c r="BJ593" s="151"/>
      <c r="BK593" s="151"/>
      <c r="BL593" s="151"/>
      <c r="BM593" s="151"/>
      <c r="BN593" s="151"/>
      <c r="BO593" s="151"/>
      <c r="BP593" s="151"/>
      <c r="BQ593" s="151"/>
      <c r="BR593" s="151"/>
      <c r="BS593" s="151"/>
      <c r="BT593" s="151"/>
      <c r="BU593" s="151"/>
      <c r="BV593" s="151"/>
      <c r="BW593" s="151"/>
      <c r="BX593" s="151"/>
      <c r="BY593" s="151"/>
      <c r="BZ593" s="151"/>
      <c r="CA593" s="151"/>
      <c r="CB593" s="151"/>
      <c r="CC593" s="151"/>
      <c r="CD593" s="151"/>
      <c r="CE593" s="151"/>
      <c r="CF593" s="151"/>
      <c r="CG593" s="151"/>
      <c r="CH593" s="151"/>
      <c r="CI593" s="151"/>
      <c r="CJ593" s="151"/>
      <c r="CK593" s="151"/>
      <c r="CL593" s="151"/>
      <c r="CM593" s="151"/>
      <c r="CN593" s="151"/>
      <c r="CO593" s="151"/>
      <c r="CP593" s="151"/>
      <c r="CQ593" s="151"/>
      <c r="CR593" s="151"/>
      <c r="CS593" s="151"/>
      <c r="CT593" s="151"/>
      <c r="CU593" s="151"/>
      <c r="CV593" s="151"/>
      <c r="CW593" s="151"/>
      <c r="CX593" s="151"/>
      <c r="CY593" s="151"/>
      <c r="CZ593" s="151"/>
      <c r="DA593" s="151"/>
      <c r="DB593" s="151"/>
      <c r="DC593" s="151"/>
      <c r="DD593" s="151"/>
      <c r="DE593" s="151"/>
      <c r="DF593" s="151"/>
      <c r="DG593" s="151"/>
      <c r="DH593" s="151"/>
      <c r="DI593" s="151"/>
      <c r="DJ593" s="151"/>
      <c r="DK593" s="151"/>
      <c r="DL593" s="151"/>
      <c r="DM593" s="151"/>
      <c r="DN593" s="151"/>
      <c r="DO593" s="151"/>
      <c r="DP593" s="151"/>
      <c r="DQ593" s="151"/>
      <c r="DR593" s="151"/>
      <c r="DS593" s="151"/>
      <c r="DT593" s="151"/>
      <c r="DU593" s="151"/>
      <c r="DV593" s="151"/>
      <c r="DW593" s="151"/>
      <c r="DX593" s="151"/>
      <c r="DY593" s="151"/>
      <c r="DZ593" s="151"/>
      <c r="EA593" s="151"/>
      <c r="EB593" s="151"/>
      <c r="EC593" s="151"/>
      <c r="ED593" s="151"/>
      <c r="EE593" s="151"/>
      <c r="EF593" s="151"/>
      <c r="EG593" s="151"/>
      <c r="EH593" s="151"/>
      <c r="EI593" s="151"/>
      <c r="EJ593" s="151"/>
      <c r="EK593" s="151"/>
      <c r="EL593" s="151"/>
      <c r="EM593" s="151"/>
      <c r="EN593" s="151"/>
      <c r="EO593" s="151"/>
      <c r="EP593" s="151"/>
      <c r="EQ593" s="151"/>
      <c r="ER593" s="151"/>
      <c r="ES593" s="151"/>
      <c r="ET593" s="151"/>
      <c r="EU593" s="151"/>
      <c r="EV593" s="151"/>
      <c r="EW593" s="151"/>
      <c r="EX593" s="151"/>
      <c r="EY593" s="151"/>
      <c r="EZ593" s="151"/>
      <c r="FA593" s="151"/>
      <c r="FB593" s="151"/>
      <c r="FC593" s="151"/>
      <c r="FD593" s="151"/>
      <c r="FE593" s="151"/>
      <c r="FF593" s="151"/>
      <c r="FG593" s="151"/>
      <c r="FH593" s="151"/>
      <c r="FI593" s="151"/>
      <c r="FJ593" s="151"/>
      <c r="FK593" s="151"/>
      <c r="FL593" s="151"/>
      <c r="FM593" s="151"/>
      <c r="FN593" s="151"/>
      <c r="FO593" s="151"/>
      <c r="FP593" s="151"/>
      <c r="FQ593" s="151"/>
      <c r="FR593" s="151"/>
      <c r="FS593" s="151"/>
      <c r="FT593" s="151"/>
      <c r="FU593" s="151"/>
      <c r="FV593" s="151"/>
      <c r="FW593" s="151"/>
      <c r="FX593" s="151"/>
      <c r="FY593" s="151"/>
      <c r="FZ593" s="151"/>
      <c r="GA593" s="151"/>
      <c r="GB593" s="151"/>
      <c r="GC593" s="151"/>
      <c r="GD593" s="151"/>
      <c r="GE593" s="151"/>
      <c r="GF593" s="151"/>
      <c r="GG593" s="152"/>
    </row>
    <row r="594" spans="1:189" x14ac:dyDescent="0.35">
      <c r="A594" s="269"/>
      <c r="B594" s="83"/>
      <c r="C594" s="83"/>
      <c r="D594" s="85"/>
      <c r="E594" s="83"/>
      <c r="F594" s="83"/>
      <c r="G594" s="43"/>
      <c r="H594" s="233"/>
      <c r="I594" s="42"/>
      <c r="J594" s="42"/>
      <c r="K594" s="42"/>
      <c r="L594" s="44"/>
      <c r="M594" s="44"/>
      <c r="N594" s="44"/>
      <c r="O594" s="44"/>
      <c r="P594" s="44"/>
      <c r="Q594" s="227"/>
      <c r="R594" s="228"/>
      <c r="S594" s="228"/>
      <c r="T594" s="228"/>
      <c r="U594" s="191">
        <f t="shared" si="512"/>
        <v>0</v>
      </c>
      <c r="V594" s="86"/>
      <c r="W594" s="45"/>
      <c r="X594" s="46"/>
      <c r="Y594" s="167">
        <f t="shared" si="513"/>
        <v>0</v>
      </c>
      <c r="Z594" s="167">
        <f t="shared" si="514"/>
        <v>0</v>
      </c>
      <c r="AA594" s="167">
        <f t="shared" si="515"/>
        <v>0</v>
      </c>
      <c r="AB594" s="167">
        <f t="shared" si="516"/>
        <v>0</v>
      </c>
      <c r="AC594" s="167">
        <f t="shared" si="517"/>
        <v>0</v>
      </c>
      <c r="AD594" s="167">
        <f t="shared" si="518"/>
        <v>0</v>
      </c>
      <c r="AF594" s="47">
        <f t="shared" si="510"/>
        <v>0</v>
      </c>
      <c r="AG594" s="202" t="str">
        <f t="shared" si="511"/>
        <v xml:space="preserve"> </v>
      </c>
      <c r="AH594" s="150"/>
      <c r="AI594" s="151"/>
      <c r="AJ594" s="151"/>
      <c r="AK594" s="151"/>
      <c r="AL594" s="151"/>
      <c r="AM594" s="151"/>
      <c r="AN594" s="151"/>
      <c r="AO594" s="151"/>
      <c r="AP594" s="151"/>
      <c r="AQ594" s="151"/>
      <c r="AR594" s="151"/>
      <c r="AS594" s="151"/>
      <c r="AT594" s="151"/>
      <c r="AU594" s="151"/>
      <c r="AV594" s="151"/>
      <c r="AW594" s="151"/>
      <c r="AX594" s="151"/>
      <c r="AY594" s="151"/>
      <c r="AZ594" s="151"/>
      <c r="BA594" s="151"/>
      <c r="BB594" s="151"/>
      <c r="BC594" s="151"/>
      <c r="BD594" s="151"/>
      <c r="BE594" s="151"/>
      <c r="BF594" s="151"/>
      <c r="BG594" s="151"/>
      <c r="BH594" s="151"/>
      <c r="BI594" s="151"/>
      <c r="BJ594" s="151"/>
      <c r="BK594" s="151"/>
      <c r="BL594" s="151"/>
      <c r="BM594" s="151"/>
      <c r="BN594" s="151"/>
      <c r="BO594" s="151"/>
      <c r="BP594" s="151"/>
      <c r="BQ594" s="151"/>
      <c r="BR594" s="151"/>
      <c r="BS594" s="151"/>
      <c r="BT594" s="151"/>
      <c r="BU594" s="151"/>
      <c r="BV594" s="151"/>
      <c r="BW594" s="151"/>
      <c r="BX594" s="151"/>
      <c r="BY594" s="151"/>
      <c r="BZ594" s="151"/>
      <c r="CA594" s="151"/>
      <c r="CB594" s="151"/>
      <c r="CC594" s="151"/>
      <c r="CD594" s="151"/>
      <c r="CE594" s="151"/>
      <c r="CF594" s="151"/>
      <c r="CG594" s="151"/>
      <c r="CH594" s="151"/>
      <c r="CI594" s="151"/>
      <c r="CJ594" s="151"/>
      <c r="CK594" s="151"/>
      <c r="CL594" s="151"/>
      <c r="CM594" s="151"/>
      <c r="CN594" s="151"/>
      <c r="CO594" s="151"/>
      <c r="CP594" s="151"/>
      <c r="CQ594" s="151"/>
      <c r="CR594" s="151"/>
      <c r="CS594" s="151"/>
      <c r="CT594" s="151"/>
      <c r="CU594" s="151"/>
      <c r="CV594" s="151"/>
      <c r="CW594" s="151"/>
      <c r="CX594" s="151"/>
      <c r="CY594" s="151"/>
      <c r="CZ594" s="151"/>
      <c r="DA594" s="151"/>
      <c r="DB594" s="151"/>
      <c r="DC594" s="151"/>
      <c r="DD594" s="151"/>
      <c r="DE594" s="151"/>
      <c r="DF594" s="151"/>
      <c r="DG594" s="151"/>
      <c r="DH594" s="151"/>
      <c r="DI594" s="151"/>
      <c r="DJ594" s="151"/>
      <c r="DK594" s="151"/>
      <c r="DL594" s="151"/>
      <c r="DM594" s="151"/>
      <c r="DN594" s="151"/>
      <c r="DO594" s="151"/>
      <c r="DP594" s="151"/>
      <c r="DQ594" s="151"/>
      <c r="DR594" s="151"/>
      <c r="DS594" s="151"/>
      <c r="DT594" s="151"/>
      <c r="DU594" s="151"/>
      <c r="DV594" s="151"/>
      <c r="DW594" s="151"/>
      <c r="DX594" s="151"/>
      <c r="DY594" s="151"/>
      <c r="DZ594" s="151"/>
      <c r="EA594" s="151"/>
      <c r="EB594" s="151"/>
      <c r="EC594" s="151"/>
      <c r="ED594" s="151"/>
      <c r="EE594" s="151"/>
      <c r="EF594" s="151"/>
      <c r="EG594" s="151"/>
      <c r="EH594" s="151"/>
      <c r="EI594" s="151"/>
      <c r="EJ594" s="151"/>
      <c r="EK594" s="151"/>
      <c r="EL594" s="151"/>
      <c r="EM594" s="151"/>
      <c r="EN594" s="151"/>
      <c r="EO594" s="151"/>
      <c r="EP594" s="151"/>
      <c r="EQ594" s="151"/>
      <c r="ER594" s="151"/>
      <c r="ES594" s="151"/>
      <c r="ET594" s="151"/>
      <c r="EU594" s="151"/>
      <c r="EV594" s="151"/>
      <c r="EW594" s="151"/>
      <c r="EX594" s="151"/>
      <c r="EY594" s="151"/>
      <c r="EZ594" s="151"/>
      <c r="FA594" s="151"/>
      <c r="FB594" s="151"/>
      <c r="FC594" s="151"/>
      <c r="FD594" s="151"/>
      <c r="FE594" s="151"/>
      <c r="FF594" s="151"/>
      <c r="FG594" s="151"/>
      <c r="FH594" s="151"/>
      <c r="FI594" s="151"/>
      <c r="FJ594" s="151"/>
      <c r="FK594" s="151"/>
      <c r="FL594" s="151"/>
      <c r="FM594" s="151"/>
      <c r="FN594" s="151"/>
      <c r="FO594" s="151"/>
      <c r="FP594" s="151"/>
      <c r="FQ594" s="151"/>
      <c r="FR594" s="151"/>
      <c r="FS594" s="151"/>
      <c r="FT594" s="151"/>
      <c r="FU594" s="151"/>
      <c r="FV594" s="151"/>
      <c r="FW594" s="151"/>
      <c r="FX594" s="151"/>
      <c r="FY594" s="151"/>
      <c r="FZ594" s="151"/>
      <c r="GA594" s="151"/>
      <c r="GB594" s="151"/>
      <c r="GC594" s="151"/>
      <c r="GD594" s="151"/>
      <c r="GE594" s="151"/>
      <c r="GF594" s="151"/>
      <c r="GG594" s="152"/>
    </row>
    <row r="595" spans="1:189" x14ac:dyDescent="0.35">
      <c r="A595" s="269"/>
      <c r="B595" s="83"/>
      <c r="C595" s="83"/>
      <c r="D595" s="85"/>
      <c r="E595" s="83"/>
      <c r="F595" s="83"/>
      <c r="G595" s="43"/>
      <c r="H595" s="233"/>
      <c r="I595" s="42"/>
      <c r="J595" s="42"/>
      <c r="K595" s="42"/>
      <c r="L595" s="44"/>
      <c r="M595" s="44"/>
      <c r="N595" s="44"/>
      <c r="O595" s="44"/>
      <c r="P595" s="44"/>
      <c r="Q595" s="227"/>
      <c r="R595" s="228"/>
      <c r="S595" s="228"/>
      <c r="T595" s="228"/>
      <c r="U595" s="191">
        <f t="shared" si="512"/>
        <v>0</v>
      </c>
      <c r="V595" s="86"/>
      <c r="W595" s="45"/>
      <c r="X595" s="46"/>
      <c r="Y595" s="167">
        <f t="shared" si="513"/>
        <v>0</v>
      </c>
      <c r="Z595" s="167">
        <f t="shared" si="514"/>
        <v>0</v>
      </c>
      <c r="AA595" s="167">
        <f t="shared" si="515"/>
        <v>0</v>
      </c>
      <c r="AB595" s="167">
        <f t="shared" si="516"/>
        <v>0</v>
      </c>
      <c r="AC595" s="167">
        <f t="shared" si="517"/>
        <v>0</v>
      </c>
      <c r="AD595" s="167">
        <f t="shared" si="518"/>
        <v>0</v>
      </c>
      <c r="AF595" s="47">
        <f t="shared" si="510"/>
        <v>0</v>
      </c>
      <c r="AG595" s="202" t="str">
        <f t="shared" si="511"/>
        <v xml:space="preserve"> </v>
      </c>
      <c r="AH595" s="147"/>
      <c r="AI595" s="148"/>
      <c r="AJ595" s="148"/>
      <c r="AK595" s="148"/>
      <c r="AL595" s="148"/>
      <c r="AM595" s="148"/>
      <c r="AN595" s="148"/>
      <c r="AO595" s="148"/>
      <c r="AP595" s="148"/>
      <c r="AQ595" s="148"/>
      <c r="AR595" s="148"/>
      <c r="AS595" s="148"/>
      <c r="AT595" s="148"/>
      <c r="AU595" s="148"/>
      <c r="AV595" s="148"/>
      <c r="AW595" s="148"/>
      <c r="AX595" s="148"/>
      <c r="AY595" s="148"/>
      <c r="AZ595" s="148"/>
      <c r="BA595" s="148"/>
      <c r="BB595" s="148"/>
      <c r="BC595" s="148"/>
      <c r="BD595" s="148"/>
      <c r="BE595" s="148"/>
      <c r="BF595" s="148"/>
      <c r="BG595" s="148"/>
      <c r="BH595" s="148"/>
      <c r="BI595" s="148"/>
      <c r="BJ595" s="148"/>
      <c r="BK595" s="148"/>
      <c r="BL595" s="148"/>
      <c r="BM595" s="148"/>
      <c r="BN595" s="148"/>
      <c r="BO595" s="148"/>
      <c r="BP595" s="148"/>
      <c r="BQ595" s="148"/>
      <c r="BR595" s="148"/>
      <c r="BS595" s="148"/>
      <c r="BT595" s="148"/>
      <c r="BU595" s="148"/>
      <c r="BV595" s="148"/>
      <c r="BW595" s="148"/>
      <c r="BX595" s="148"/>
      <c r="BY595" s="148"/>
      <c r="BZ595" s="148"/>
      <c r="CA595" s="148"/>
      <c r="CB595" s="148"/>
      <c r="CC595" s="148"/>
      <c r="CD595" s="148"/>
      <c r="CE595" s="148"/>
      <c r="CF595" s="148"/>
      <c r="CG595" s="148"/>
      <c r="CH595" s="148"/>
      <c r="CI595" s="148"/>
      <c r="CJ595" s="148"/>
      <c r="CK595" s="148"/>
      <c r="CL595" s="148"/>
      <c r="CM595" s="148"/>
      <c r="CN595" s="148"/>
      <c r="CO595" s="148"/>
      <c r="CP595" s="148"/>
      <c r="CQ595" s="148"/>
      <c r="CR595" s="148"/>
      <c r="CS595" s="148"/>
      <c r="CT595" s="148"/>
      <c r="CU595" s="148"/>
      <c r="CV595" s="148"/>
      <c r="CW595" s="148"/>
      <c r="CX595" s="148"/>
      <c r="CY595" s="148"/>
      <c r="CZ595" s="148"/>
      <c r="DA595" s="148"/>
      <c r="DB595" s="148"/>
      <c r="DC595" s="148"/>
      <c r="DD595" s="148"/>
      <c r="DE595" s="148"/>
      <c r="DF595" s="148"/>
      <c r="DG595" s="148"/>
      <c r="DH595" s="148"/>
      <c r="DI595" s="148"/>
      <c r="DJ595" s="148"/>
      <c r="DK595" s="148"/>
      <c r="DL595" s="148"/>
      <c r="DM595" s="148"/>
      <c r="DN595" s="148"/>
      <c r="DO595" s="148"/>
      <c r="DP595" s="148"/>
      <c r="DQ595" s="148"/>
      <c r="DR595" s="148"/>
      <c r="DS595" s="148"/>
      <c r="DT595" s="148"/>
      <c r="DU595" s="148"/>
      <c r="DV595" s="148"/>
      <c r="DW595" s="148"/>
      <c r="DX595" s="148"/>
      <c r="DY595" s="148"/>
      <c r="DZ595" s="148"/>
      <c r="EA595" s="148"/>
      <c r="EB595" s="148"/>
      <c r="EC595" s="148"/>
      <c r="ED595" s="148"/>
      <c r="EE595" s="148"/>
      <c r="EF595" s="148"/>
      <c r="EG595" s="148"/>
      <c r="EH595" s="148"/>
      <c r="EI595" s="148"/>
      <c r="EJ595" s="148"/>
      <c r="EK595" s="148"/>
      <c r="EL595" s="148"/>
      <c r="EM595" s="148"/>
      <c r="EN595" s="148"/>
      <c r="EO595" s="148"/>
      <c r="EP595" s="148"/>
      <c r="EQ595" s="148"/>
      <c r="ER595" s="148"/>
      <c r="ES595" s="148"/>
      <c r="ET595" s="148"/>
      <c r="EU595" s="148"/>
      <c r="EV595" s="148"/>
      <c r="EW595" s="148"/>
      <c r="EX595" s="148"/>
      <c r="EY595" s="148"/>
      <c r="EZ595" s="148"/>
      <c r="FA595" s="148"/>
      <c r="FB595" s="148"/>
      <c r="FC595" s="148"/>
      <c r="FD595" s="148"/>
      <c r="FE595" s="148"/>
      <c r="FF595" s="148"/>
      <c r="FG595" s="148"/>
      <c r="FH595" s="148"/>
      <c r="FI595" s="148"/>
      <c r="FJ595" s="148"/>
      <c r="FK595" s="148"/>
      <c r="FL595" s="148"/>
      <c r="FM595" s="148"/>
      <c r="FN595" s="148"/>
      <c r="FO595" s="148"/>
      <c r="FP595" s="148"/>
      <c r="FQ595" s="148"/>
      <c r="FR595" s="148"/>
      <c r="FS595" s="148"/>
      <c r="FT595" s="148"/>
      <c r="FU595" s="148"/>
      <c r="FV595" s="148"/>
      <c r="FW595" s="148"/>
      <c r="FX595" s="148"/>
      <c r="FY595" s="148"/>
      <c r="FZ595" s="148"/>
      <c r="GA595" s="148"/>
      <c r="GB595" s="148"/>
      <c r="GC595" s="148"/>
      <c r="GD595" s="148"/>
      <c r="GE595" s="148"/>
      <c r="GF595" s="148"/>
      <c r="GG595" s="149"/>
    </row>
    <row r="596" spans="1:189" x14ac:dyDescent="0.35">
      <c r="A596" s="269"/>
      <c r="B596" s="83"/>
      <c r="C596" s="83"/>
      <c r="D596" s="85"/>
      <c r="E596" s="83"/>
      <c r="F596" s="83"/>
      <c r="G596" s="43"/>
      <c r="H596" s="233"/>
      <c r="I596" s="42"/>
      <c r="J596" s="42"/>
      <c r="K596" s="42"/>
      <c r="L596" s="44"/>
      <c r="M596" s="44"/>
      <c r="N596" s="44"/>
      <c r="O596" s="44"/>
      <c r="P596" s="44"/>
      <c r="Q596" s="227"/>
      <c r="R596" s="228"/>
      <c r="S596" s="228"/>
      <c r="T596" s="228"/>
      <c r="U596" s="191">
        <f t="shared" si="512"/>
        <v>0</v>
      </c>
      <c r="V596" s="86"/>
      <c r="W596" s="45"/>
      <c r="X596" s="46"/>
      <c r="Y596" s="167">
        <f t="shared" si="513"/>
        <v>0</v>
      </c>
      <c r="Z596" s="167">
        <f t="shared" si="514"/>
        <v>0</v>
      </c>
      <c r="AA596" s="167">
        <f t="shared" si="515"/>
        <v>0</v>
      </c>
      <c r="AB596" s="167">
        <f t="shared" si="516"/>
        <v>0</v>
      </c>
      <c r="AC596" s="167">
        <f t="shared" si="517"/>
        <v>0</v>
      </c>
      <c r="AD596" s="167">
        <f t="shared" si="518"/>
        <v>0</v>
      </c>
      <c r="AF596" s="47">
        <f t="shared" ref="AF596:AF659" si="519">IF(S596&lt;&gt;"",1,0)</f>
        <v>0</v>
      </c>
      <c r="AG596" s="202" t="str">
        <f t="shared" si="511"/>
        <v xml:space="preserve"> </v>
      </c>
      <c r="AH596" s="150"/>
      <c r="AI596" s="151"/>
      <c r="AJ596" s="151"/>
      <c r="AK596" s="151"/>
      <c r="AL596" s="151"/>
      <c r="AM596" s="151"/>
      <c r="AN596" s="151"/>
      <c r="AO596" s="151"/>
      <c r="AP596" s="151"/>
      <c r="AQ596" s="151"/>
      <c r="AR596" s="151"/>
      <c r="AS596" s="151"/>
      <c r="AT596" s="151"/>
      <c r="AU596" s="151"/>
      <c r="AV596" s="151"/>
      <c r="AW596" s="151"/>
      <c r="AX596" s="151"/>
      <c r="AY596" s="151"/>
      <c r="AZ596" s="151"/>
      <c r="BA596" s="151"/>
      <c r="BB596" s="151"/>
      <c r="BC596" s="151"/>
      <c r="BD596" s="151"/>
      <c r="BE596" s="151"/>
      <c r="BF596" s="151"/>
      <c r="BG596" s="151"/>
      <c r="BH596" s="151"/>
      <c r="BI596" s="151"/>
      <c r="BJ596" s="151"/>
      <c r="BK596" s="151"/>
      <c r="BL596" s="151"/>
      <c r="BM596" s="151"/>
      <c r="BN596" s="151"/>
      <c r="BO596" s="151"/>
      <c r="BP596" s="151"/>
      <c r="BQ596" s="151"/>
      <c r="BR596" s="151"/>
      <c r="BS596" s="151"/>
      <c r="BT596" s="151"/>
      <c r="BU596" s="151"/>
      <c r="BV596" s="151"/>
      <c r="BW596" s="151"/>
      <c r="BX596" s="151"/>
      <c r="BY596" s="151"/>
      <c r="BZ596" s="151"/>
      <c r="CA596" s="151"/>
      <c r="CB596" s="151"/>
      <c r="CC596" s="151"/>
      <c r="CD596" s="151"/>
      <c r="CE596" s="151"/>
      <c r="CF596" s="151"/>
      <c r="CG596" s="151"/>
      <c r="CH596" s="151"/>
      <c r="CI596" s="151"/>
      <c r="CJ596" s="151"/>
      <c r="CK596" s="151"/>
      <c r="CL596" s="151"/>
      <c r="CM596" s="151"/>
      <c r="CN596" s="151"/>
      <c r="CO596" s="151"/>
      <c r="CP596" s="151"/>
      <c r="CQ596" s="151"/>
      <c r="CR596" s="151"/>
      <c r="CS596" s="151"/>
      <c r="CT596" s="151"/>
      <c r="CU596" s="151"/>
      <c r="CV596" s="151"/>
      <c r="CW596" s="151"/>
      <c r="CX596" s="151"/>
      <c r="CY596" s="151"/>
      <c r="CZ596" s="151"/>
      <c r="DA596" s="151"/>
      <c r="DB596" s="151"/>
      <c r="DC596" s="151"/>
      <c r="DD596" s="151"/>
      <c r="DE596" s="151"/>
      <c r="DF596" s="151"/>
      <c r="DG596" s="151"/>
      <c r="DH596" s="151"/>
      <c r="DI596" s="151"/>
      <c r="DJ596" s="151"/>
      <c r="DK596" s="151"/>
      <c r="DL596" s="151"/>
      <c r="DM596" s="151"/>
      <c r="DN596" s="151"/>
      <c r="DO596" s="151"/>
      <c r="DP596" s="151"/>
      <c r="DQ596" s="151"/>
      <c r="DR596" s="151"/>
      <c r="DS596" s="151"/>
      <c r="DT596" s="151"/>
      <c r="DU596" s="151"/>
      <c r="DV596" s="151"/>
      <c r="DW596" s="151"/>
      <c r="DX596" s="151"/>
      <c r="DY596" s="151"/>
      <c r="DZ596" s="151"/>
      <c r="EA596" s="151"/>
      <c r="EB596" s="151"/>
      <c r="EC596" s="151"/>
      <c r="ED596" s="151"/>
      <c r="EE596" s="151"/>
      <c r="EF596" s="151"/>
      <c r="EG596" s="151"/>
      <c r="EH596" s="151"/>
      <c r="EI596" s="151"/>
      <c r="EJ596" s="151"/>
      <c r="EK596" s="151"/>
      <c r="EL596" s="151"/>
      <c r="EM596" s="151"/>
      <c r="EN596" s="151"/>
      <c r="EO596" s="151"/>
      <c r="EP596" s="151"/>
      <c r="EQ596" s="151"/>
      <c r="ER596" s="151"/>
      <c r="ES596" s="151"/>
      <c r="ET596" s="151"/>
      <c r="EU596" s="151"/>
      <c r="EV596" s="151"/>
      <c r="EW596" s="151"/>
      <c r="EX596" s="151"/>
      <c r="EY596" s="151"/>
      <c r="EZ596" s="151"/>
      <c r="FA596" s="151"/>
      <c r="FB596" s="151"/>
      <c r="FC596" s="151"/>
      <c r="FD596" s="151"/>
      <c r="FE596" s="151"/>
      <c r="FF596" s="151"/>
      <c r="FG596" s="151"/>
      <c r="FH596" s="151"/>
      <c r="FI596" s="151"/>
      <c r="FJ596" s="151"/>
      <c r="FK596" s="151"/>
      <c r="FL596" s="151"/>
      <c r="FM596" s="151"/>
      <c r="FN596" s="151"/>
      <c r="FO596" s="151"/>
      <c r="FP596" s="151"/>
      <c r="FQ596" s="151"/>
      <c r="FR596" s="151"/>
      <c r="FS596" s="151"/>
      <c r="FT596" s="151"/>
      <c r="FU596" s="151"/>
      <c r="FV596" s="151"/>
      <c r="FW596" s="151"/>
      <c r="FX596" s="151"/>
      <c r="FY596" s="151"/>
      <c r="FZ596" s="151"/>
      <c r="GA596" s="151"/>
      <c r="GB596" s="151"/>
      <c r="GC596" s="151"/>
      <c r="GD596" s="151"/>
      <c r="GE596" s="151"/>
      <c r="GF596" s="151"/>
      <c r="GG596" s="152"/>
    </row>
    <row r="597" spans="1:189" x14ac:dyDescent="0.35">
      <c r="A597" s="269"/>
      <c r="B597" s="83"/>
      <c r="C597" s="83"/>
      <c r="D597" s="85"/>
      <c r="E597" s="83"/>
      <c r="F597" s="83"/>
      <c r="G597" s="43"/>
      <c r="H597" s="233"/>
      <c r="I597" s="42"/>
      <c r="J597" s="42"/>
      <c r="K597" s="42"/>
      <c r="L597" s="44"/>
      <c r="M597" s="44"/>
      <c r="N597" s="44"/>
      <c r="O597" s="44"/>
      <c r="P597" s="44"/>
      <c r="Q597" s="227"/>
      <c r="R597" s="228"/>
      <c r="S597" s="228"/>
      <c r="T597" s="228"/>
      <c r="U597" s="191">
        <f t="shared" si="512"/>
        <v>0</v>
      </c>
      <c r="V597" s="86"/>
      <c r="W597" s="45"/>
      <c r="X597" s="46"/>
      <c r="Y597" s="167">
        <f t="shared" si="513"/>
        <v>0</v>
      </c>
      <c r="Z597" s="167">
        <f t="shared" si="514"/>
        <v>0</v>
      </c>
      <c r="AA597" s="167">
        <f t="shared" si="515"/>
        <v>0</v>
      </c>
      <c r="AB597" s="167">
        <f t="shared" si="516"/>
        <v>0</v>
      </c>
      <c r="AC597" s="167">
        <f t="shared" si="517"/>
        <v>0</v>
      </c>
      <c r="AD597" s="167">
        <f t="shared" si="518"/>
        <v>0</v>
      </c>
      <c r="AF597" s="47">
        <f t="shared" si="519"/>
        <v>0</v>
      </c>
      <c r="AG597" s="202" t="str">
        <f t="shared" si="511"/>
        <v xml:space="preserve"> </v>
      </c>
      <c r="AH597" s="150"/>
      <c r="AI597" s="151"/>
      <c r="AJ597" s="151"/>
      <c r="AK597" s="151"/>
      <c r="AL597" s="151"/>
      <c r="AM597" s="151"/>
      <c r="AN597" s="151"/>
      <c r="AO597" s="151"/>
      <c r="AP597" s="151"/>
      <c r="AQ597" s="151"/>
      <c r="AR597" s="151"/>
      <c r="AS597" s="151"/>
      <c r="AT597" s="151"/>
      <c r="AU597" s="151"/>
      <c r="AV597" s="151"/>
      <c r="AW597" s="151"/>
      <c r="AX597" s="151"/>
      <c r="AY597" s="151"/>
      <c r="AZ597" s="151"/>
      <c r="BA597" s="151"/>
      <c r="BB597" s="151"/>
      <c r="BC597" s="151"/>
      <c r="BD597" s="151"/>
      <c r="BE597" s="151"/>
      <c r="BF597" s="151"/>
      <c r="BG597" s="151"/>
      <c r="BH597" s="151"/>
      <c r="BI597" s="151"/>
      <c r="BJ597" s="151"/>
      <c r="BK597" s="151"/>
      <c r="BL597" s="151"/>
      <c r="BM597" s="151"/>
      <c r="BN597" s="151"/>
      <c r="BO597" s="151"/>
      <c r="BP597" s="151"/>
      <c r="BQ597" s="151"/>
      <c r="BR597" s="151"/>
      <c r="BS597" s="151"/>
      <c r="BT597" s="151"/>
      <c r="BU597" s="151"/>
      <c r="BV597" s="151"/>
      <c r="BW597" s="151"/>
      <c r="BX597" s="151"/>
      <c r="BY597" s="151"/>
      <c r="BZ597" s="151"/>
      <c r="CA597" s="151"/>
      <c r="CB597" s="151"/>
      <c r="CC597" s="151"/>
      <c r="CD597" s="151"/>
      <c r="CE597" s="151"/>
      <c r="CF597" s="151"/>
      <c r="CG597" s="151"/>
      <c r="CH597" s="151"/>
      <c r="CI597" s="151"/>
      <c r="CJ597" s="151"/>
      <c r="CK597" s="151"/>
      <c r="CL597" s="151"/>
      <c r="CM597" s="151"/>
      <c r="CN597" s="151"/>
      <c r="CO597" s="151"/>
      <c r="CP597" s="151"/>
      <c r="CQ597" s="151"/>
      <c r="CR597" s="151"/>
      <c r="CS597" s="151"/>
      <c r="CT597" s="151"/>
      <c r="CU597" s="151"/>
      <c r="CV597" s="151"/>
      <c r="CW597" s="151"/>
      <c r="CX597" s="151"/>
      <c r="CY597" s="151"/>
      <c r="CZ597" s="151"/>
      <c r="DA597" s="151"/>
      <c r="DB597" s="151"/>
      <c r="DC597" s="151"/>
      <c r="DD597" s="151"/>
      <c r="DE597" s="151"/>
      <c r="DF597" s="151"/>
      <c r="DG597" s="151"/>
      <c r="DH597" s="151"/>
      <c r="DI597" s="151"/>
      <c r="DJ597" s="151"/>
      <c r="DK597" s="151"/>
      <c r="DL597" s="151"/>
      <c r="DM597" s="151"/>
      <c r="DN597" s="151"/>
      <c r="DO597" s="151"/>
      <c r="DP597" s="151"/>
      <c r="DQ597" s="151"/>
      <c r="DR597" s="151"/>
      <c r="DS597" s="151"/>
      <c r="DT597" s="151"/>
      <c r="DU597" s="151"/>
      <c r="DV597" s="151"/>
      <c r="DW597" s="151"/>
      <c r="DX597" s="151"/>
      <c r="DY597" s="151"/>
      <c r="DZ597" s="151"/>
      <c r="EA597" s="151"/>
      <c r="EB597" s="151"/>
      <c r="EC597" s="151"/>
      <c r="ED597" s="151"/>
      <c r="EE597" s="151"/>
      <c r="EF597" s="151"/>
      <c r="EG597" s="151"/>
      <c r="EH597" s="151"/>
      <c r="EI597" s="151"/>
      <c r="EJ597" s="151"/>
      <c r="EK597" s="151"/>
      <c r="EL597" s="151"/>
      <c r="EM597" s="151"/>
      <c r="EN597" s="151"/>
      <c r="EO597" s="151"/>
      <c r="EP597" s="151"/>
      <c r="EQ597" s="151"/>
      <c r="ER597" s="151"/>
      <c r="ES597" s="151"/>
      <c r="ET597" s="151"/>
      <c r="EU597" s="151"/>
      <c r="EV597" s="151"/>
      <c r="EW597" s="151"/>
      <c r="EX597" s="151"/>
      <c r="EY597" s="151"/>
      <c r="EZ597" s="151"/>
      <c r="FA597" s="151"/>
      <c r="FB597" s="151"/>
      <c r="FC597" s="151"/>
      <c r="FD597" s="151"/>
      <c r="FE597" s="151"/>
      <c r="FF597" s="151"/>
      <c r="FG597" s="151"/>
      <c r="FH597" s="151"/>
      <c r="FI597" s="151"/>
      <c r="FJ597" s="151"/>
      <c r="FK597" s="151"/>
      <c r="FL597" s="151"/>
      <c r="FM597" s="151"/>
      <c r="FN597" s="151"/>
      <c r="FO597" s="151"/>
      <c r="FP597" s="151"/>
      <c r="FQ597" s="151"/>
      <c r="FR597" s="151"/>
      <c r="FS597" s="151"/>
      <c r="FT597" s="151"/>
      <c r="FU597" s="151"/>
      <c r="FV597" s="151"/>
      <c r="FW597" s="151"/>
      <c r="FX597" s="151"/>
      <c r="FY597" s="151"/>
      <c r="FZ597" s="151"/>
      <c r="GA597" s="151"/>
      <c r="GB597" s="151"/>
      <c r="GC597" s="151"/>
      <c r="GD597" s="151"/>
      <c r="GE597" s="151"/>
      <c r="GF597" s="151"/>
      <c r="GG597" s="152"/>
    </row>
    <row r="598" spans="1:189" x14ac:dyDescent="0.35">
      <c r="A598" s="269"/>
      <c r="B598" s="83"/>
      <c r="C598" s="83"/>
      <c r="D598" s="85"/>
      <c r="E598" s="83"/>
      <c r="F598" s="83"/>
      <c r="G598" s="43"/>
      <c r="H598" s="233"/>
      <c r="I598" s="42"/>
      <c r="J598" s="42"/>
      <c r="K598" s="42"/>
      <c r="L598" s="44"/>
      <c r="M598" s="44"/>
      <c r="N598" s="44"/>
      <c r="O598" s="44"/>
      <c r="P598" s="44"/>
      <c r="Q598" s="227"/>
      <c r="R598" s="228"/>
      <c r="S598" s="228"/>
      <c r="T598" s="228"/>
      <c r="U598" s="191">
        <f t="shared" si="512"/>
        <v>0</v>
      </c>
      <c r="V598" s="86"/>
      <c r="W598" s="45"/>
      <c r="X598" s="46"/>
      <c r="Y598" s="167">
        <f t="shared" si="513"/>
        <v>0</v>
      </c>
      <c r="Z598" s="167">
        <f t="shared" si="514"/>
        <v>0</v>
      </c>
      <c r="AA598" s="167">
        <f t="shared" si="515"/>
        <v>0</v>
      </c>
      <c r="AB598" s="167">
        <f t="shared" si="516"/>
        <v>0</v>
      </c>
      <c r="AC598" s="167">
        <f t="shared" si="517"/>
        <v>0</v>
      </c>
      <c r="AD598" s="167">
        <f t="shared" si="518"/>
        <v>0</v>
      </c>
      <c r="AF598" s="47">
        <f t="shared" si="519"/>
        <v>0</v>
      </c>
      <c r="AG598" s="204" t="str">
        <f t="shared" si="511"/>
        <v xml:space="preserve"> </v>
      </c>
      <c r="AH598" s="157"/>
      <c r="AI598" s="158"/>
      <c r="AJ598" s="158"/>
      <c r="AK598" s="158"/>
      <c r="AL598" s="158"/>
      <c r="AM598" s="158"/>
      <c r="AN598" s="158"/>
      <c r="AO598" s="158"/>
      <c r="AP598" s="158"/>
      <c r="AQ598" s="158"/>
      <c r="AR598" s="158"/>
      <c r="AS598" s="158"/>
      <c r="AT598" s="158"/>
      <c r="AU598" s="158"/>
      <c r="AV598" s="158"/>
      <c r="AW598" s="158"/>
      <c r="AX598" s="158"/>
      <c r="AY598" s="158"/>
      <c r="AZ598" s="158"/>
      <c r="BA598" s="158"/>
      <c r="BB598" s="158"/>
      <c r="BC598" s="158"/>
      <c r="BD598" s="158"/>
      <c r="BE598" s="158"/>
      <c r="BF598" s="158"/>
      <c r="BG598" s="158"/>
      <c r="BH598" s="158"/>
      <c r="BI598" s="158"/>
      <c r="BJ598" s="158"/>
      <c r="BK598" s="158"/>
      <c r="BL598" s="158"/>
      <c r="BM598" s="158"/>
      <c r="BN598" s="158"/>
      <c r="BO598" s="158"/>
      <c r="BP598" s="158"/>
      <c r="BQ598" s="158"/>
      <c r="BR598" s="158"/>
      <c r="BS598" s="158"/>
      <c r="BT598" s="158"/>
      <c r="BU598" s="158"/>
      <c r="BV598" s="158"/>
      <c r="BW598" s="158"/>
      <c r="BX598" s="158"/>
      <c r="BY598" s="158"/>
      <c r="BZ598" s="158"/>
      <c r="CA598" s="158"/>
      <c r="CB598" s="158"/>
      <c r="CC598" s="158"/>
      <c r="CD598" s="158"/>
      <c r="CE598" s="158"/>
      <c r="CF598" s="158"/>
      <c r="CG598" s="158"/>
      <c r="CH598" s="158"/>
      <c r="CI598" s="158"/>
      <c r="CJ598" s="158"/>
      <c r="CK598" s="158"/>
      <c r="CL598" s="158"/>
      <c r="CM598" s="158"/>
      <c r="CN598" s="158"/>
      <c r="CO598" s="158"/>
      <c r="CP598" s="158"/>
      <c r="CQ598" s="158"/>
      <c r="CR598" s="158"/>
      <c r="CS598" s="158"/>
      <c r="CT598" s="158"/>
      <c r="CU598" s="158"/>
      <c r="CV598" s="158"/>
      <c r="CW598" s="158"/>
      <c r="CX598" s="158"/>
      <c r="CY598" s="158"/>
      <c r="CZ598" s="158"/>
      <c r="DA598" s="158"/>
      <c r="DB598" s="158"/>
      <c r="DC598" s="158"/>
      <c r="DD598" s="158"/>
      <c r="DE598" s="158"/>
      <c r="DF598" s="158"/>
      <c r="DG598" s="158"/>
      <c r="DH598" s="158"/>
      <c r="DI598" s="158"/>
      <c r="DJ598" s="158"/>
      <c r="DK598" s="158"/>
      <c r="DL598" s="158"/>
      <c r="DM598" s="158"/>
      <c r="DN598" s="158"/>
      <c r="DO598" s="158"/>
      <c r="DP598" s="158"/>
      <c r="DQ598" s="158"/>
      <c r="DR598" s="158"/>
      <c r="DS598" s="158"/>
      <c r="DT598" s="158"/>
      <c r="DU598" s="158"/>
      <c r="DV598" s="158"/>
      <c r="DW598" s="158"/>
      <c r="DX598" s="158"/>
      <c r="DY598" s="158"/>
      <c r="DZ598" s="158"/>
      <c r="EA598" s="158"/>
      <c r="EB598" s="158"/>
      <c r="EC598" s="158"/>
      <c r="ED598" s="158"/>
      <c r="EE598" s="158"/>
      <c r="EF598" s="158"/>
      <c r="EG598" s="158"/>
      <c r="EH598" s="158"/>
      <c r="EI598" s="158"/>
      <c r="EJ598" s="158"/>
      <c r="EK598" s="158"/>
      <c r="EL598" s="158"/>
      <c r="EM598" s="158"/>
      <c r="EN598" s="158"/>
      <c r="EO598" s="158"/>
      <c r="EP598" s="158"/>
      <c r="EQ598" s="158"/>
      <c r="ER598" s="158"/>
      <c r="ES598" s="158"/>
      <c r="ET598" s="158"/>
      <c r="EU598" s="158"/>
      <c r="EV598" s="158"/>
      <c r="EW598" s="158"/>
      <c r="EX598" s="158"/>
      <c r="EY598" s="158"/>
      <c r="EZ598" s="158"/>
      <c r="FA598" s="158"/>
      <c r="FB598" s="158"/>
      <c r="FC598" s="158"/>
      <c r="FD598" s="158"/>
      <c r="FE598" s="158"/>
      <c r="FF598" s="158"/>
      <c r="FG598" s="158"/>
      <c r="FH598" s="158"/>
      <c r="FI598" s="158"/>
      <c r="FJ598" s="158"/>
      <c r="FK598" s="158"/>
      <c r="FL598" s="158"/>
      <c r="FM598" s="158"/>
      <c r="FN598" s="158"/>
      <c r="FO598" s="158"/>
      <c r="FP598" s="158"/>
      <c r="FQ598" s="158"/>
      <c r="FR598" s="158"/>
      <c r="FS598" s="158"/>
      <c r="FT598" s="158"/>
      <c r="FU598" s="158"/>
      <c r="FV598" s="158"/>
      <c r="FW598" s="158"/>
      <c r="FX598" s="158"/>
      <c r="FY598" s="158"/>
      <c r="FZ598" s="158"/>
      <c r="GA598" s="158"/>
      <c r="GB598" s="158"/>
      <c r="GC598" s="158"/>
      <c r="GD598" s="158"/>
      <c r="GE598" s="158"/>
      <c r="GF598" s="158"/>
      <c r="GG598" s="159"/>
    </row>
    <row r="599" spans="1:189" x14ac:dyDescent="0.35">
      <c r="A599" s="269"/>
      <c r="B599" s="83"/>
      <c r="C599" s="83"/>
      <c r="D599" s="85"/>
      <c r="E599" s="83"/>
      <c r="F599" s="83"/>
      <c r="G599" s="43"/>
      <c r="H599" s="233"/>
      <c r="I599" s="42"/>
      <c r="J599" s="42"/>
      <c r="K599" s="42"/>
      <c r="L599" s="44"/>
      <c r="M599" s="44"/>
      <c r="N599" s="44"/>
      <c r="O599" s="44"/>
      <c r="P599" s="44"/>
      <c r="Q599" s="227"/>
      <c r="R599" s="228"/>
      <c r="S599" s="228"/>
      <c r="T599" s="228"/>
      <c r="U599" s="191">
        <f t="shared" si="512"/>
        <v>0</v>
      </c>
      <c r="V599" s="86"/>
      <c r="W599" s="45"/>
      <c r="X599" s="46"/>
      <c r="Y599" s="167">
        <f t="shared" si="513"/>
        <v>0</v>
      </c>
      <c r="Z599" s="167">
        <f t="shared" si="514"/>
        <v>0</v>
      </c>
      <c r="AA599" s="167">
        <f t="shared" si="515"/>
        <v>0</v>
      </c>
      <c r="AB599" s="167">
        <f t="shared" si="516"/>
        <v>0</v>
      </c>
      <c r="AC599" s="167">
        <f t="shared" si="517"/>
        <v>0</v>
      </c>
      <c r="AD599" s="167">
        <f t="shared" si="518"/>
        <v>0</v>
      </c>
      <c r="AF599" s="47">
        <f t="shared" si="519"/>
        <v>0</v>
      </c>
      <c r="AG599" s="203" t="str">
        <f t="shared" si="511"/>
        <v xml:space="preserve"> </v>
      </c>
      <c r="AH599" s="144"/>
      <c r="AI599" s="145"/>
      <c r="AJ599" s="145"/>
      <c r="AK599" s="145"/>
      <c r="AL599" s="145"/>
      <c r="AM599" s="145"/>
      <c r="AN599" s="145"/>
      <c r="AO599" s="145"/>
      <c r="AP599" s="145"/>
      <c r="AQ599" s="145"/>
      <c r="AR599" s="145"/>
      <c r="AS599" s="145"/>
      <c r="AT599" s="145"/>
      <c r="AU599" s="145"/>
      <c r="AV599" s="145"/>
      <c r="AW599" s="145"/>
      <c r="AX599" s="145"/>
      <c r="AY599" s="145"/>
      <c r="AZ599" s="145"/>
      <c r="BA599" s="145"/>
      <c r="BB599" s="145"/>
      <c r="BC599" s="145"/>
      <c r="BD599" s="145"/>
      <c r="BE599" s="145"/>
      <c r="BF599" s="145"/>
      <c r="BG599" s="145"/>
      <c r="BH599" s="145"/>
      <c r="BI599" s="145"/>
      <c r="BJ599" s="145"/>
      <c r="BK599" s="145"/>
      <c r="BL599" s="145"/>
      <c r="BM599" s="145"/>
      <c r="BN599" s="145"/>
      <c r="BO599" s="145"/>
      <c r="BP599" s="145"/>
      <c r="BQ599" s="145"/>
      <c r="BR599" s="145"/>
      <c r="BS599" s="145"/>
      <c r="BT599" s="145"/>
      <c r="BU599" s="145"/>
      <c r="BV599" s="145"/>
      <c r="BW599" s="145"/>
      <c r="BX599" s="145"/>
      <c r="BY599" s="145"/>
      <c r="BZ599" s="145"/>
      <c r="CA599" s="145"/>
      <c r="CB599" s="145"/>
      <c r="CC599" s="145"/>
      <c r="CD599" s="145"/>
      <c r="CE599" s="145"/>
      <c r="CF599" s="145"/>
      <c r="CG599" s="145"/>
      <c r="CH599" s="145"/>
      <c r="CI599" s="145"/>
      <c r="CJ599" s="145"/>
      <c r="CK599" s="145"/>
      <c r="CL599" s="145"/>
      <c r="CM599" s="145"/>
      <c r="CN599" s="145"/>
      <c r="CO599" s="145"/>
      <c r="CP599" s="145"/>
      <c r="CQ599" s="145"/>
      <c r="CR599" s="145"/>
      <c r="CS599" s="145"/>
      <c r="CT599" s="145"/>
      <c r="CU599" s="145"/>
      <c r="CV599" s="145"/>
      <c r="CW599" s="145"/>
      <c r="CX599" s="145"/>
      <c r="CY599" s="145"/>
      <c r="CZ599" s="145"/>
      <c r="DA599" s="145"/>
      <c r="DB599" s="145"/>
      <c r="DC599" s="145"/>
      <c r="DD599" s="145"/>
      <c r="DE599" s="145"/>
      <c r="DF599" s="145"/>
      <c r="DG599" s="145"/>
      <c r="DH599" s="145"/>
      <c r="DI599" s="145"/>
      <c r="DJ599" s="145"/>
      <c r="DK599" s="145"/>
      <c r="DL599" s="145"/>
      <c r="DM599" s="145"/>
      <c r="DN599" s="145"/>
      <c r="DO599" s="145"/>
      <c r="DP599" s="145"/>
      <c r="DQ599" s="145"/>
      <c r="DR599" s="145"/>
      <c r="DS599" s="145"/>
      <c r="DT599" s="145"/>
      <c r="DU599" s="145"/>
      <c r="DV599" s="145"/>
      <c r="DW599" s="145"/>
      <c r="DX599" s="145"/>
      <c r="DY599" s="145"/>
      <c r="DZ599" s="145"/>
      <c r="EA599" s="145"/>
      <c r="EB599" s="145"/>
      <c r="EC599" s="145"/>
      <c r="ED599" s="145"/>
      <c r="EE599" s="145"/>
      <c r="EF599" s="145"/>
      <c r="EG599" s="145"/>
      <c r="EH599" s="145"/>
      <c r="EI599" s="145"/>
      <c r="EJ599" s="145"/>
      <c r="EK599" s="145"/>
      <c r="EL599" s="145"/>
      <c r="EM599" s="145"/>
      <c r="EN599" s="145"/>
      <c r="EO599" s="145"/>
      <c r="EP599" s="145"/>
      <c r="EQ599" s="145"/>
      <c r="ER599" s="145"/>
      <c r="ES599" s="145"/>
      <c r="ET599" s="145"/>
      <c r="EU599" s="145"/>
      <c r="EV599" s="145"/>
      <c r="EW599" s="145"/>
      <c r="EX599" s="145"/>
      <c r="EY599" s="145"/>
      <c r="EZ599" s="145"/>
      <c r="FA599" s="145"/>
      <c r="FB599" s="145"/>
      <c r="FC599" s="145"/>
      <c r="FD599" s="145"/>
      <c r="FE599" s="145"/>
      <c r="FF599" s="145"/>
      <c r="FG599" s="145"/>
      <c r="FH599" s="145"/>
      <c r="FI599" s="145"/>
      <c r="FJ599" s="145"/>
      <c r="FK599" s="145"/>
      <c r="FL599" s="145"/>
      <c r="FM599" s="145"/>
      <c r="FN599" s="145"/>
      <c r="FO599" s="145"/>
      <c r="FP599" s="145"/>
      <c r="FQ599" s="145"/>
      <c r="FR599" s="145"/>
      <c r="FS599" s="145"/>
      <c r="FT599" s="145"/>
      <c r="FU599" s="145"/>
      <c r="FV599" s="145"/>
      <c r="FW599" s="145"/>
      <c r="FX599" s="145"/>
      <c r="FY599" s="145"/>
      <c r="FZ599" s="145"/>
      <c r="GA599" s="145"/>
      <c r="GB599" s="145"/>
      <c r="GC599" s="145"/>
      <c r="GD599" s="145"/>
      <c r="GE599" s="145"/>
      <c r="GF599" s="145"/>
      <c r="GG599" s="146"/>
    </row>
    <row r="600" spans="1:189" x14ac:dyDescent="0.35">
      <c r="A600" s="269"/>
      <c r="B600" s="83"/>
      <c r="C600" s="83"/>
      <c r="D600" s="85"/>
      <c r="E600" s="83"/>
      <c r="F600" s="83"/>
      <c r="G600" s="43"/>
      <c r="H600" s="233"/>
      <c r="I600" s="42"/>
      <c r="J600" s="42"/>
      <c r="K600" s="42"/>
      <c r="L600" s="44"/>
      <c r="M600" s="44"/>
      <c r="N600" s="44"/>
      <c r="O600" s="44"/>
      <c r="P600" s="44"/>
      <c r="Q600" s="227"/>
      <c r="R600" s="228"/>
      <c r="S600" s="228"/>
      <c r="T600" s="228"/>
      <c r="U600" s="191">
        <f t="shared" si="512"/>
        <v>0</v>
      </c>
      <c r="V600" s="86"/>
      <c r="W600" s="45"/>
      <c r="X600" s="46"/>
      <c r="Y600" s="167">
        <f t="shared" si="513"/>
        <v>0</v>
      </c>
      <c r="Z600" s="167">
        <f t="shared" si="514"/>
        <v>0</v>
      </c>
      <c r="AA600" s="167">
        <f t="shared" si="515"/>
        <v>0</v>
      </c>
      <c r="AB600" s="167">
        <f t="shared" si="516"/>
        <v>0</v>
      </c>
      <c r="AC600" s="167">
        <f t="shared" si="517"/>
        <v>0</v>
      </c>
      <c r="AD600" s="167">
        <f t="shared" si="518"/>
        <v>0</v>
      </c>
      <c r="AF600" s="47">
        <f t="shared" si="519"/>
        <v>0</v>
      </c>
      <c r="AG600" s="202" t="str">
        <f t="shared" si="511"/>
        <v xml:space="preserve"> </v>
      </c>
      <c r="AH600" s="150"/>
      <c r="AI600" s="151"/>
      <c r="AJ600" s="151"/>
      <c r="AK600" s="151"/>
      <c r="AL600" s="151"/>
      <c r="AM600" s="151"/>
      <c r="AN600" s="151"/>
      <c r="AO600" s="151"/>
      <c r="AP600" s="151"/>
      <c r="AQ600" s="151"/>
      <c r="AR600" s="151"/>
      <c r="AS600" s="151"/>
      <c r="AT600" s="151"/>
      <c r="AU600" s="151"/>
      <c r="AV600" s="151"/>
      <c r="AW600" s="151"/>
      <c r="AX600" s="151"/>
      <c r="AY600" s="151"/>
      <c r="AZ600" s="151"/>
      <c r="BA600" s="151"/>
      <c r="BB600" s="151"/>
      <c r="BC600" s="151"/>
      <c r="BD600" s="151"/>
      <c r="BE600" s="151"/>
      <c r="BF600" s="151"/>
      <c r="BG600" s="151"/>
      <c r="BH600" s="151"/>
      <c r="BI600" s="151"/>
      <c r="BJ600" s="151"/>
      <c r="BK600" s="151"/>
      <c r="BL600" s="151"/>
      <c r="BM600" s="151"/>
      <c r="BN600" s="151"/>
      <c r="BO600" s="151"/>
      <c r="BP600" s="151"/>
      <c r="BQ600" s="151"/>
      <c r="BR600" s="151"/>
      <c r="BS600" s="151"/>
      <c r="BT600" s="151"/>
      <c r="BU600" s="151"/>
      <c r="BV600" s="151"/>
      <c r="BW600" s="151"/>
      <c r="BX600" s="151"/>
      <c r="BY600" s="151"/>
      <c r="BZ600" s="151"/>
      <c r="CA600" s="151"/>
      <c r="CB600" s="151"/>
      <c r="CC600" s="151"/>
      <c r="CD600" s="151"/>
      <c r="CE600" s="151"/>
      <c r="CF600" s="151"/>
      <c r="CG600" s="151"/>
      <c r="CH600" s="151"/>
      <c r="CI600" s="151"/>
      <c r="CJ600" s="151"/>
      <c r="CK600" s="151"/>
      <c r="CL600" s="151"/>
      <c r="CM600" s="151"/>
      <c r="CN600" s="151"/>
      <c r="CO600" s="151"/>
      <c r="CP600" s="151"/>
      <c r="CQ600" s="151"/>
      <c r="CR600" s="151"/>
      <c r="CS600" s="151"/>
      <c r="CT600" s="151"/>
      <c r="CU600" s="151"/>
      <c r="CV600" s="151"/>
      <c r="CW600" s="151"/>
      <c r="CX600" s="151"/>
      <c r="CY600" s="151"/>
      <c r="CZ600" s="151"/>
      <c r="DA600" s="151"/>
      <c r="DB600" s="151"/>
      <c r="DC600" s="151"/>
      <c r="DD600" s="151"/>
      <c r="DE600" s="151"/>
      <c r="DF600" s="151"/>
      <c r="DG600" s="151"/>
      <c r="DH600" s="151"/>
      <c r="DI600" s="151"/>
      <c r="DJ600" s="151"/>
      <c r="DK600" s="151"/>
      <c r="DL600" s="151"/>
      <c r="DM600" s="151"/>
      <c r="DN600" s="151"/>
      <c r="DO600" s="151"/>
      <c r="DP600" s="151"/>
      <c r="DQ600" s="151"/>
      <c r="DR600" s="151"/>
      <c r="DS600" s="151"/>
      <c r="DT600" s="151"/>
      <c r="DU600" s="151"/>
      <c r="DV600" s="151"/>
      <c r="DW600" s="151"/>
      <c r="DX600" s="151"/>
      <c r="DY600" s="151"/>
      <c r="DZ600" s="151"/>
      <c r="EA600" s="151"/>
      <c r="EB600" s="151"/>
      <c r="EC600" s="151"/>
      <c r="ED600" s="151"/>
      <c r="EE600" s="151"/>
      <c r="EF600" s="151"/>
      <c r="EG600" s="151"/>
      <c r="EH600" s="151"/>
      <c r="EI600" s="151"/>
      <c r="EJ600" s="151"/>
      <c r="EK600" s="151"/>
      <c r="EL600" s="151"/>
      <c r="EM600" s="151"/>
      <c r="EN600" s="151"/>
      <c r="EO600" s="151"/>
      <c r="EP600" s="151"/>
      <c r="EQ600" s="151"/>
      <c r="ER600" s="151"/>
      <c r="ES600" s="151"/>
      <c r="ET600" s="151"/>
      <c r="EU600" s="151"/>
      <c r="EV600" s="151"/>
      <c r="EW600" s="151"/>
      <c r="EX600" s="151"/>
      <c r="EY600" s="151"/>
      <c r="EZ600" s="151"/>
      <c r="FA600" s="151"/>
      <c r="FB600" s="151"/>
      <c r="FC600" s="151"/>
      <c r="FD600" s="151"/>
      <c r="FE600" s="151"/>
      <c r="FF600" s="151"/>
      <c r="FG600" s="151"/>
      <c r="FH600" s="151"/>
      <c r="FI600" s="151"/>
      <c r="FJ600" s="151"/>
      <c r="FK600" s="151"/>
      <c r="FL600" s="151"/>
      <c r="FM600" s="151"/>
      <c r="FN600" s="151"/>
      <c r="FO600" s="151"/>
      <c r="FP600" s="151"/>
      <c r="FQ600" s="151"/>
      <c r="FR600" s="151"/>
      <c r="FS600" s="151"/>
      <c r="FT600" s="151"/>
      <c r="FU600" s="151"/>
      <c r="FV600" s="151"/>
      <c r="FW600" s="151"/>
      <c r="FX600" s="151"/>
      <c r="FY600" s="151"/>
      <c r="FZ600" s="151"/>
      <c r="GA600" s="151"/>
      <c r="GB600" s="151"/>
      <c r="GC600" s="151"/>
      <c r="GD600" s="151"/>
      <c r="GE600" s="151"/>
      <c r="GF600" s="151"/>
      <c r="GG600" s="152"/>
    </row>
    <row r="601" spans="1:189" x14ac:dyDescent="0.35">
      <c r="A601" s="269"/>
      <c r="B601" s="83"/>
      <c r="C601" s="83"/>
      <c r="D601" s="85"/>
      <c r="E601" s="83"/>
      <c r="F601" s="83"/>
      <c r="G601" s="43"/>
      <c r="H601" s="233"/>
      <c r="I601" s="42"/>
      <c r="J601" s="42"/>
      <c r="K601" s="42"/>
      <c r="L601" s="44"/>
      <c r="M601" s="44"/>
      <c r="N601" s="44"/>
      <c r="O601" s="44"/>
      <c r="P601" s="44"/>
      <c r="Q601" s="227"/>
      <c r="R601" s="228"/>
      <c r="S601" s="228"/>
      <c r="T601" s="228"/>
      <c r="U601" s="191">
        <f t="shared" si="512"/>
        <v>0</v>
      </c>
      <c r="V601" s="86"/>
      <c r="W601" s="45"/>
      <c r="X601" s="46"/>
      <c r="Y601" s="167">
        <f t="shared" si="513"/>
        <v>0</v>
      </c>
      <c r="Z601" s="167">
        <f t="shared" si="514"/>
        <v>0</v>
      </c>
      <c r="AA601" s="167">
        <f t="shared" si="515"/>
        <v>0</v>
      </c>
      <c r="AB601" s="167">
        <f t="shared" si="516"/>
        <v>0</v>
      </c>
      <c r="AC601" s="167">
        <f t="shared" si="517"/>
        <v>0</v>
      </c>
      <c r="AD601" s="167">
        <f t="shared" si="518"/>
        <v>0</v>
      </c>
      <c r="AF601" s="47">
        <f t="shared" si="519"/>
        <v>0</v>
      </c>
      <c r="AG601" s="202" t="str">
        <f t="shared" si="511"/>
        <v xml:space="preserve"> </v>
      </c>
      <c r="AH601" s="150"/>
      <c r="AI601" s="151"/>
      <c r="AJ601" s="151"/>
      <c r="AK601" s="151"/>
      <c r="AL601" s="151"/>
      <c r="AM601" s="151"/>
      <c r="AN601" s="151"/>
      <c r="AO601" s="151"/>
      <c r="AP601" s="151"/>
      <c r="AQ601" s="151"/>
      <c r="AR601" s="151"/>
      <c r="AS601" s="151"/>
      <c r="AT601" s="151"/>
      <c r="AU601" s="151"/>
      <c r="AV601" s="151"/>
      <c r="AW601" s="151"/>
      <c r="AX601" s="151"/>
      <c r="AY601" s="151"/>
      <c r="AZ601" s="151"/>
      <c r="BA601" s="151"/>
      <c r="BB601" s="151"/>
      <c r="BC601" s="151"/>
      <c r="BD601" s="151"/>
      <c r="BE601" s="151"/>
      <c r="BF601" s="151"/>
      <c r="BG601" s="151"/>
      <c r="BH601" s="151"/>
      <c r="BI601" s="151"/>
      <c r="BJ601" s="151"/>
      <c r="BK601" s="151"/>
      <c r="BL601" s="151"/>
      <c r="BM601" s="151"/>
      <c r="BN601" s="151"/>
      <c r="BO601" s="151"/>
      <c r="BP601" s="151"/>
      <c r="BQ601" s="151"/>
      <c r="BR601" s="151"/>
      <c r="BS601" s="151"/>
      <c r="BT601" s="151"/>
      <c r="BU601" s="151"/>
      <c r="BV601" s="151"/>
      <c r="BW601" s="151"/>
      <c r="BX601" s="151"/>
      <c r="BY601" s="151"/>
      <c r="BZ601" s="151"/>
      <c r="CA601" s="151"/>
      <c r="CB601" s="151"/>
      <c r="CC601" s="151"/>
      <c r="CD601" s="151"/>
      <c r="CE601" s="151"/>
      <c r="CF601" s="151"/>
      <c r="CG601" s="151"/>
      <c r="CH601" s="151"/>
      <c r="CI601" s="151"/>
      <c r="CJ601" s="151"/>
      <c r="CK601" s="151"/>
      <c r="CL601" s="151"/>
      <c r="CM601" s="151"/>
      <c r="CN601" s="151"/>
      <c r="CO601" s="151"/>
      <c r="CP601" s="151"/>
      <c r="CQ601" s="151"/>
      <c r="CR601" s="151"/>
      <c r="CS601" s="151"/>
      <c r="CT601" s="151"/>
      <c r="CU601" s="151"/>
      <c r="CV601" s="151"/>
      <c r="CW601" s="151"/>
      <c r="CX601" s="151"/>
      <c r="CY601" s="151"/>
      <c r="CZ601" s="151"/>
      <c r="DA601" s="151"/>
      <c r="DB601" s="151"/>
      <c r="DC601" s="151"/>
      <c r="DD601" s="151"/>
      <c r="DE601" s="151"/>
      <c r="DF601" s="151"/>
      <c r="DG601" s="151"/>
      <c r="DH601" s="151"/>
      <c r="DI601" s="151"/>
      <c r="DJ601" s="151"/>
      <c r="DK601" s="151"/>
      <c r="DL601" s="151"/>
      <c r="DM601" s="151"/>
      <c r="DN601" s="151"/>
      <c r="DO601" s="151"/>
      <c r="DP601" s="151"/>
      <c r="DQ601" s="151"/>
      <c r="DR601" s="151"/>
      <c r="DS601" s="151"/>
      <c r="DT601" s="151"/>
      <c r="DU601" s="151"/>
      <c r="DV601" s="151"/>
      <c r="DW601" s="151"/>
      <c r="DX601" s="151"/>
      <c r="DY601" s="151"/>
      <c r="DZ601" s="151"/>
      <c r="EA601" s="151"/>
      <c r="EB601" s="151"/>
      <c r="EC601" s="151"/>
      <c r="ED601" s="151"/>
      <c r="EE601" s="151"/>
      <c r="EF601" s="151"/>
      <c r="EG601" s="151"/>
      <c r="EH601" s="151"/>
      <c r="EI601" s="151"/>
      <c r="EJ601" s="151"/>
      <c r="EK601" s="151"/>
      <c r="EL601" s="151"/>
      <c r="EM601" s="151"/>
      <c r="EN601" s="151"/>
      <c r="EO601" s="151"/>
      <c r="EP601" s="151"/>
      <c r="EQ601" s="151"/>
      <c r="ER601" s="151"/>
      <c r="ES601" s="151"/>
      <c r="ET601" s="151"/>
      <c r="EU601" s="151"/>
      <c r="EV601" s="151"/>
      <c r="EW601" s="151"/>
      <c r="EX601" s="151"/>
      <c r="EY601" s="151"/>
      <c r="EZ601" s="151"/>
      <c r="FA601" s="151"/>
      <c r="FB601" s="151"/>
      <c r="FC601" s="151"/>
      <c r="FD601" s="151"/>
      <c r="FE601" s="151"/>
      <c r="FF601" s="151"/>
      <c r="FG601" s="151"/>
      <c r="FH601" s="151"/>
      <c r="FI601" s="151"/>
      <c r="FJ601" s="151"/>
      <c r="FK601" s="151"/>
      <c r="FL601" s="151"/>
      <c r="FM601" s="151"/>
      <c r="FN601" s="151"/>
      <c r="FO601" s="151"/>
      <c r="FP601" s="151"/>
      <c r="FQ601" s="151"/>
      <c r="FR601" s="151"/>
      <c r="FS601" s="151"/>
      <c r="FT601" s="151"/>
      <c r="FU601" s="151"/>
      <c r="FV601" s="151"/>
      <c r="FW601" s="151"/>
      <c r="FX601" s="151"/>
      <c r="FY601" s="151"/>
      <c r="FZ601" s="151"/>
      <c r="GA601" s="151"/>
      <c r="GB601" s="151"/>
      <c r="GC601" s="151"/>
      <c r="GD601" s="151"/>
      <c r="GE601" s="151"/>
      <c r="GF601" s="151"/>
      <c r="GG601" s="152"/>
    </row>
    <row r="602" spans="1:189" x14ac:dyDescent="0.35">
      <c r="A602" s="269"/>
      <c r="B602" s="83"/>
      <c r="C602" s="83"/>
      <c r="D602" s="85"/>
      <c r="E602" s="83"/>
      <c r="F602" s="83"/>
      <c r="G602" s="43"/>
      <c r="H602" s="233"/>
      <c r="I602" s="42"/>
      <c r="J602" s="42"/>
      <c r="K602" s="42"/>
      <c r="L602" s="44"/>
      <c r="M602" s="44"/>
      <c r="N602" s="44"/>
      <c r="O602" s="44"/>
      <c r="P602" s="44"/>
      <c r="Q602" s="227"/>
      <c r="R602" s="228"/>
      <c r="S602" s="228"/>
      <c r="T602" s="228"/>
      <c r="U602" s="191">
        <f t="shared" si="512"/>
        <v>0</v>
      </c>
      <c r="V602" s="86"/>
      <c r="W602" s="45"/>
      <c r="X602" s="46"/>
      <c r="Y602" s="167">
        <f t="shared" si="513"/>
        <v>0</v>
      </c>
      <c r="Z602" s="167">
        <f t="shared" si="514"/>
        <v>0</v>
      </c>
      <c r="AA602" s="167">
        <f t="shared" si="515"/>
        <v>0</v>
      </c>
      <c r="AB602" s="167">
        <f t="shared" si="516"/>
        <v>0</v>
      </c>
      <c r="AC602" s="167">
        <f t="shared" si="517"/>
        <v>0</v>
      </c>
      <c r="AD602" s="167">
        <f t="shared" si="518"/>
        <v>0</v>
      </c>
      <c r="AF602" s="47">
        <f t="shared" si="519"/>
        <v>0</v>
      </c>
      <c r="AG602" s="202" t="str">
        <f t="shared" si="511"/>
        <v xml:space="preserve"> </v>
      </c>
      <c r="AH602" s="150"/>
      <c r="AI602" s="151"/>
      <c r="AJ602" s="151"/>
      <c r="AK602" s="151"/>
      <c r="AL602" s="151"/>
      <c r="AM602" s="151"/>
      <c r="AN602" s="151"/>
      <c r="AO602" s="151"/>
      <c r="AP602" s="151"/>
      <c r="AQ602" s="151"/>
      <c r="AR602" s="151"/>
      <c r="AS602" s="151"/>
      <c r="AT602" s="151"/>
      <c r="AU602" s="151"/>
      <c r="AV602" s="151"/>
      <c r="AW602" s="151"/>
      <c r="AX602" s="151"/>
      <c r="AY602" s="151"/>
      <c r="AZ602" s="151"/>
      <c r="BA602" s="151"/>
      <c r="BB602" s="151"/>
      <c r="BC602" s="151"/>
      <c r="BD602" s="151"/>
      <c r="BE602" s="151"/>
      <c r="BF602" s="151"/>
      <c r="BG602" s="151"/>
      <c r="BH602" s="151"/>
      <c r="BI602" s="151"/>
      <c r="BJ602" s="151"/>
      <c r="BK602" s="151"/>
      <c r="BL602" s="151"/>
      <c r="BM602" s="151"/>
      <c r="BN602" s="151"/>
      <c r="BO602" s="151"/>
      <c r="BP602" s="151"/>
      <c r="BQ602" s="151"/>
      <c r="BR602" s="151"/>
      <c r="BS602" s="151"/>
      <c r="BT602" s="151"/>
      <c r="BU602" s="151"/>
      <c r="BV602" s="151"/>
      <c r="BW602" s="151"/>
      <c r="BX602" s="151"/>
      <c r="BY602" s="151"/>
      <c r="BZ602" s="151"/>
      <c r="CA602" s="151"/>
      <c r="CB602" s="151"/>
      <c r="CC602" s="151"/>
      <c r="CD602" s="151"/>
      <c r="CE602" s="151"/>
      <c r="CF602" s="151"/>
      <c r="CG602" s="151"/>
      <c r="CH602" s="151"/>
      <c r="CI602" s="151"/>
      <c r="CJ602" s="151"/>
      <c r="CK602" s="151"/>
      <c r="CL602" s="151"/>
      <c r="CM602" s="151"/>
      <c r="CN602" s="151"/>
      <c r="CO602" s="151"/>
      <c r="CP602" s="151"/>
      <c r="CQ602" s="151"/>
      <c r="CR602" s="151"/>
      <c r="CS602" s="151"/>
      <c r="CT602" s="151"/>
      <c r="CU602" s="151"/>
      <c r="CV602" s="151"/>
      <c r="CW602" s="151"/>
      <c r="CX602" s="151"/>
      <c r="CY602" s="151"/>
      <c r="CZ602" s="151"/>
      <c r="DA602" s="151"/>
      <c r="DB602" s="151"/>
      <c r="DC602" s="151"/>
      <c r="DD602" s="151"/>
      <c r="DE602" s="151"/>
      <c r="DF602" s="151"/>
      <c r="DG602" s="151"/>
      <c r="DH602" s="151"/>
      <c r="DI602" s="151"/>
      <c r="DJ602" s="151"/>
      <c r="DK602" s="151"/>
      <c r="DL602" s="151"/>
      <c r="DM602" s="151"/>
      <c r="DN602" s="151"/>
      <c r="DO602" s="151"/>
      <c r="DP602" s="151"/>
      <c r="DQ602" s="151"/>
      <c r="DR602" s="151"/>
      <c r="DS602" s="151"/>
      <c r="DT602" s="151"/>
      <c r="DU602" s="151"/>
      <c r="DV602" s="151"/>
      <c r="DW602" s="151"/>
      <c r="DX602" s="151"/>
      <c r="DY602" s="151"/>
      <c r="DZ602" s="151"/>
      <c r="EA602" s="151"/>
      <c r="EB602" s="151"/>
      <c r="EC602" s="151"/>
      <c r="ED602" s="151"/>
      <c r="EE602" s="151"/>
      <c r="EF602" s="151"/>
      <c r="EG602" s="151"/>
      <c r="EH602" s="151"/>
      <c r="EI602" s="151"/>
      <c r="EJ602" s="151"/>
      <c r="EK602" s="151"/>
      <c r="EL602" s="151"/>
      <c r="EM602" s="151"/>
      <c r="EN602" s="151"/>
      <c r="EO602" s="151"/>
      <c r="EP602" s="151"/>
      <c r="EQ602" s="151"/>
      <c r="ER602" s="151"/>
      <c r="ES602" s="151"/>
      <c r="ET602" s="151"/>
      <c r="EU602" s="151"/>
      <c r="EV602" s="151"/>
      <c r="EW602" s="151"/>
      <c r="EX602" s="151"/>
      <c r="EY602" s="151"/>
      <c r="EZ602" s="151"/>
      <c r="FA602" s="151"/>
      <c r="FB602" s="151"/>
      <c r="FC602" s="151"/>
      <c r="FD602" s="151"/>
      <c r="FE602" s="151"/>
      <c r="FF602" s="151"/>
      <c r="FG602" s="151"/>
      <c r="FH602" s="151"/>
      <c r="FI602" s="151"/>
      <c r="FJ602" s="151"/>
      <c r="FK602" s="151"/>
      <c r="FL602" s="151"/>
      <c r="FM602" s="151"/>
      <c r="FN602" s="151"/>
      <c r="FO602" s="151"/>
      <c r="FP602" s="151"/>
      <c r="FQ602" s="151"/>
      <c r="FR602" s="151"/>
      <c r="FS602" s="151"/>
      <c r="FT602" s="151"/>
      <c r="FU602" s="151"/>
      <c r="FV602" s="151"/>
      <c r="FW602" s="151"/>
      <c r="FX602" s="151"/>
      <c r="FY602" s="151"/>
      <c r="FZ602" s="151"/>
      <c r="GA602" s="151"/>
      <c r="GB602" s="151"/>
      <c r="GC602" s="151"/>
      <c r="GD602" s="151"/>
      <c r="GE602" s="151"/>
      <c r="GF602" s="151"/>
      <c r="GG602" s="152"/>
    </row>
    <row r="603" spans="1:189" x14ac:dyDescent="0.35">
      <c r="A603" s="269"/>
      <c r="B603" s="83"/>
      <c r="C603" s="83"/>
      <c r="D603" s="85"/>
      <c r="E603" s="83"/>
      <c r="F603" s="83"/>
      <c r="G603" s="43"/>
      <c r="H603" s="233"/>
      <c r="I603" s="42"/>
      <c r="J603" s="42"/>
      <c r="K603" s="42"/>
      <c r="L603" s="44"/>
      <c r="M603" s="44"/>
      <c r="N603" s="44"/>
      <c r="O603" s="44"/>
      <c r="P603" s="44"/>
      <c r="Q603" s="227"/>
      <c r="R603" s="228"/>
      <c r="S603" s="228"/>
      <c r="T603" s="228"/>
      <c r="U603" s="191">
        <f t="shared" si="512"/>
        <v>0</v>
      </c>
      <c r="V603" s="86"/>
      <c r="W603" s="45"/>
      <c r="X603" s="46"/>
      <c r="Y603" s="167">
        <f t="shared" si="513"/>
        <v>0</v>
      </c>
      <c r="Z603" s="167">
        <f t="shared" si="514"/>
        <v>0</v>
      </c>
      <c r="AA603" s="167">
        <f t="shared" si="515"/>
        <v>0</v>
      </c>
      <c r="AB603" s="167">
        <f t="shared" si="516"/>
        <v>0</v>
      </c>
      <c r="AC603" s="167">
        <f t="shared" si="517"/>
        <v>0</v>
      </c>
      <c r="AD603" s="167">
        <f t="shared" si="518"/>
        <v>0</v>
      </c>
      <c r="AF603" s="47">
        <f t="shared" si="519"/>
        <v>0</v>
      </c>
      <c r="AG603" s="202" t="str">
        <f t="shared" si="511"/>
        <v xml:space="preserve"> </v>
      </c>
      <c r="AH603" s="147"/>
      <c r="AI603" s="148"/>
      <c r="AJ603" s="148"/>
      <c r="AK603" s="148"/>
      <c r="AL603" s="148"/>
      <c r="AM603" s="148"/>
      <c r="AN603" s="148"/>
      <c r="AO603" s="148"/>
      <c r="AP603" s="148"/>
      <c r="AQ603" s="148"/>
      <c r="AR603" s="148"/>
      <c r="AS603" s="148"/>
      <c r="AT603" s="148"/>
      <c r="AU603" s="148"/>
      <c r="AV603" s="148"/>
      <c r="AW603" s="148"/>
      <c r="AX603" s="148"/>
      <c r="AY603" s="148"/>
      <c r="AZ603" s="148"/>
      <c r="BA603" s="148"/>
      <c r="BB603" s="148"/>
      <c r="BC603" s="148"/>
      <c r="BD603" s="148"/>
      <c r="BE603" s="148"/>
      <c r="BF603" s="148"/>
      <c r="BG603" s="148"/>
      <c r="BH603" s="148"/>
      <c r="BI603" s="148"/>
      <c r="BJ603" s="148"/>
      <c r="BK603" s="148"/>
      <c r="BL603" s="148"/>
      <c r="BM603" s="148"/>
      <c r="BN603" s="148"/>
      <c r="BO603" s="148"/>
      <c r="BP603" s="148"/>
      <c r="BQ603" s="148"/>
      <c r="BR603" s="148"/>
      <c r="BS603" s="148"/>
      <c r="BT603" s="148"/>
      <c r="BU603" s="148"/>
      <c r="BV603" s="148"/>
      <c r="BW603" s="148"/>
      <c r="BX603" s="148"/>
      <c r="BY603" s="148"/>
      <c r="BZ603" s="148"/>
      <c r="CA603" s="148"/>
      <c r="CB603" s="148"/>
      <c r="CC603" s="148"/>
      <c r="CD603" s="148"/>
      <c r="CE603" s="148"/>
      <c r="CF603" s="148"/>
      <c r="CG603" s="148"/>
      <c r="CH603" s="148"/>
      <c r="CI603" s="148"/>
      <c r="CJ603" s="148"/>
      <c r="CK603" s="148"/>
      <c r="CL603" s="148"/>
      <c r="CM603" s="148"/>
      <c r="CN603" s="148"/>
      <c r="CO603" s="148"/>
      <c r="CP603" s="148"/>
      <c r="CQ603" s="148"/>
      <c r="CR603" s="148"/>
      <c r="CS603" s="148"/>
      <c r="CT603" s="148"/>
      <c r="CU603" s="148"/>
      <c r="CV603" s="148"/>
      <c r="CW603" s="148"/>
      <c r="CX603" s="148"/>
      <c r="CY603" s="148"/>
      <c r="CZ603" s="148"/>
      <c r="DA603" s="148"/>
      <c r="DB603" s="148"/>
      <c r="DC603" s="148"/>
      <c r="DD603" s="148"/>
      <c r="DE603" s="148"/>
      <c r="DF603" s="148"/>
      <c r="DG603" s="148"/>
      <c r="DH603" s="148"/>
      <c r="DI603" s="148"/>
      <c r="DJ603" s="148"/>
      <c r="DK603" s="148"/>
      <c r="DL603" s="148"/>
      <c r="DM603" s="148"/>
      <c r="DN603" s="148"/>
      <c r="DO603" s="148"/>
      <c r="DP603" s="148"/>
      <c r="DQ603" s="148"/>
      <c r="DR603" s="148"/>
      <c r="DS603" s="148"/>
      <c r="DT603" s="148"/>
      <c r="DU603" s="148"/>
      <c r="DV603" s="148"/>
      <c r="DW603" s="148"/>
      <c r="DX603" s="148"/>
      <c r="DY603" s="148"/>
      <c r="DZ603" s="148"/>
      <c r="EA603" s="148"/>
      <c r="EB603" s="148"/>
      <c r="EC603" s="148"/>
      <c r="ED603" s="148"/>
      <c r="EE603" s="148"/>
      <c r="EF603" s="148"/>
      <c r="EG603" s="148"/>
      <c r="EH603" s="148"/>
      <c r="EI603" s="148"/>
      <c r="EJ603" s="148"/>
      <c r="EK603" s="148"/>
      <c r="EL603" s="148"/>
      <c r="EM603" s="148"/>
      <c r="EN603" s="148"/>
      <c r="EO603" s="148"/>
      <c r="EP603" s="148"/>
      <c r="EQ603" s="148"/>
      <c r="ER603" s="148"/>
      <c r="ES603" s="148"/>
      <c r="ET603" s="148"/>
      <c r="EU603" s="148"/>
      <c r="EV603" s="148"/>
      <c r="EW603" s="148"/>
      <c r="EX603" s="148"/>
      <c r="EY603" s="148"/>
      <c r="EZ603" s="148"/>
      <c r="FA603" s="148"/>
      <c r="FB603" s="148"/>
      <c r="FC603" s="148"/>
      <c r="FD603" s="148"/>
      <c r="FE603" s="148"/>
      <c r="FF603" s="148"/>
      <c r="FG603" s="148"/>
      <c r="FH603" s="148"/>
      <c r="FI603" s="148"/>
      <c r="FJ603" s="148"/>
      <c r="FK603" s="148"/>
      <c r="FL603" s="148"/>
      <c r="FM603" s="148"/>
      <c r="FN603" s="148"/>
      <c r="FO603" s="148"/>
      <c r="FP603" s="148"/>
      <c r="FQ603" s="148"/>
      <c r="FR603" s="148"/>
      <c r="FS603" s="148"/>
      <c r="FT603" s="148"/>
      <c r="FU603" s="148"/>
      <c r="FV603" s="148"/>
      <c r="FW603" s="148"/>
      <c r="FX603" s="148"/>
      <c r="FY603" s="148"/>
      <c r="FZ603" s="148"/>
      <c r="GA603" s="148"/>
      <c r="GB603" s="148"/>
      <c r="GC603" s="148"/>
      <c r="GD603" s="148"/>
      <c r="GE603" s="148"/>
      <c r="GF603" s="148"/>
      <c r="GG603" s="149"/>
    </row>
    <row r="604" spans="1:189" x14ac:dyDescent="0.35">
      <c r="A604" s="269"/>
      <c r="B604" s="83"/>
      <c r="C604" s="83"/>
      <c r="D604" s="85"/>
      <c r="E604" s="83"/>
      <c r="F604" s="83"/>
      <c r="G604" s="43"/>
      <c r="H604" s="233"/>
      <c r="I604" s="42"/>
      <c r="J604" s="42"/>
      <c r="K604" s="42"/>
      <c r="L604" s="44"/>
      <c r="M604" s="44"/>
      <c r="N604" s="44"/>
      <c r="O604" s="44"/>
      <c r="P604" s="44"/>
      <c r="Q604" s="227"/>
      <c r="R604" s="228"/>
      <c r="S604" s="228"/>
      <c r="T604" s="228"/>
      <c r="U604" s="191">
        <f t="shared" si="512"/>
        <v>0</v>
      </c>
      <c r="V604" s="86"/>
      <c r="W604" s="45"/>
      <c r="X604" s="46"/>
      <c r="Y604" s="167">
        <f t="shared" si="513"/>
        <v>0</v>
      </c>
      <c r="Z604" s="167">
        <f t="shared" si="514"/>
        <v>0</v>
      </c>
      <c r="AA604" s="167">
        <f t="shared" si="515"/>
        <v>0</v>
      </c>
      <c r="AB604" s="167">
        <f t="shared" si="516"/>
        <v>0</v>
      </c>
      <c r="AC604" s="167">
        <f t="shared" si="517"/>
        <v>0</v>
      </c>
      <c r="AD604" s="167">
        <f t="shared" si="518"/>
        <v>0</v>
      </c>
      <c r="AF604" s="47">
        <f t="shared" si="519"/>
        <v>0</v>
      </c>
      <c r="AG604" s="202" t="str">
        <f t="shared" si="511"/>
        <v xml:space="preserve"> </v>
      </c>
      <c r="AH604" s="150"/>
      <c r="AI604" s="151"/>
      <c r="AJ604" s="151"/>
      <c r="AK604" s="151"/>
      <c r="AL604" s="151"/>
      <c r="AM604" s="151"/>
      <c r="AN604" s="151"/>
      <c r="AO604" s="151"/>
      <c r="AP604" s="151"/>
      <c r="AQ604" s="151"/>
      <c r="AR604" s="151"/>
      <c r="AS604" s="151"/>
      <c r="AT604" s="151"/>
      <c r="AU604" s="151"/>
      <c r="AV604" s="151"/>
      <c r="AW604" s="151"/>
      <c r="AX604" s="151"/>
      <c r="AY604" s="151"/>
      <c r="AZ604" s="151"/>
      <c r="BA604" s="151"/>
      <c r="BB604" s="151"/>
      <c r="BC604" s="151"/>
      <c r="BD604" s="151"/>
      <c r="BE604" s="151"/>
      <c r="BF604" s="151"/>
      <c r="BG604" s="151"/>
      <c r="BH604" s="151"/>
      <c r="BI604" s="151"/>
      <c r="BJ604" s="151"/>
      <c r="BK604" s="151"/>
      <c r="BL604" s="151"/>
      <c r="BM604" s="151"/>
      <c r="BN604" s="151"/>
      <c r="BO604" s="151"/>
      <c r="BP604" s="151"/>
      <c r="BQ604" s="151"/>
      <c r="BR604" s="151"/>
      <c r="BS604" s="151"/>
      <c r="BT604" s="151"/>
      <c r="BU604" s="151"/>
      <c r="BV604" s="151"/>
      <c r="BW604" s="151"/>
      <c r="BX604" s="151"/>
      <c r="BY604" s="151"/>
      <c r="BZ604" s="151"/>
      <c r="CA604" s="151"/>
      <c r="CB604" s="151"/>
      <c r="CC604" s="151"/>
      <c r="CD604" s="151"/>
      <c r="CE604" s="151"/>
      <c r="CF604" s="151"/>
      <c r="CG604" s="151"/>
      <c r="CH604" s="151"/>
      <c r="CI604" s="151"/>
      <c r="CJ604" s="151"/>
      <c r="CK604" s="151"/>
      <c r="CL604" s="151"/>
      <c r="CM604" s="151"/>
      <c r="CN604" s="151"/>
      <c r="CO604" s="151"/>
      <c r="CP604" s="151"/>
      <c r="CQ604" s="151"/>
      <c r="CR604" s="151"/>
      <c r="CS604" s="151"/>
      <c r="CT604" s="151"/>
      <c r="CU604" s="151"/>
      <c r="CV604" s="151"/>
      <c r="CW604" s="151"/>
      <c r="CX604" s="151"/>
      <c r="CY604" s="151"/>
      <c r="CZ604" s="151"/>
      <c r="DA604" s="151"/>
      <c r="DB604" s="151"/>
      <c r="DC604" s="151"/>
      <c r="DD604" s="151"/>
      <c r="DE604" s="151"/>
      <c r="DF604" s="151"/>
      <c r="DG604" s="151"/>
      <c r="DH604" s="151"/>
      <c r="DI604" s="151"/>
      <c r="DJ604" s="151"/>
      <c r="DK604" s="151"/>
      <c r="DL604" s="151"/>
      <c r="DM604" s="151"/>
      <c r="DN604" s="151"/>
      <c r="DO604" s="151"/>
      <c r="DP604" s="151"/>
      <c r="DQ604" s="151"/>
      <c r="DR604" s="151"/>
      <c r="DS604" s="151"/>
      <c r="DT604" s="151"/>
      <c r="DU604" s="151"/>
      <c r="DV604" s="151"/>
      <c r="DW604" s="151"/>
      <c r="DX604" s="151"/>
      <c r="DY604" s="151"/>
      <c r="DZ604" s="151"/>
      <c r="EA604" s="151"/>
      <c r="EB604" s="151"/>
      <c r="EC604" s="151"/>
      <c r="ED604" s="151"/>
      <c r="EE604" s="151"/>
      <c r="EF604" s="151"/>
      <c r="EG604" s="151"/>
      <c r="EH604" s="151"/>
      <c r="EI604" s="151"/>
      <c r="EJ604" s="151"/>
      <c r="EK604" s="151"/>
      <c r="EL604" s="151"/>
      <c r="EM604" s="151"/>
      <c r="EN604" s="151"/>
      <c r="EO604" s="151"/>
      <c r="EP604" s="151"/>
      <c r="EQ604" s="151"/>
      <c r="ER604" s="151"/>
      <c r="ES604" s="151"/>
      <c r="ET604" s="151"/>
      <c r="EU604" s="151"/>
      <c r="EV604" s="151"/>
      <c r="EW604" s="151"/>
      <c r="EX604" s="151"/>
      <c r="EY604" s="151"/>
      <c r="EZ604" s="151"/>
      <c r="FA604" s="151"/>
      <c r="FB604" s="151"/>
      <c r="FC604" s="151"/>
      <c r="FD604" s="151"/>
      <c r="FE604" s="151"/>
      <c r="FF604" s="151"/>
      <c r="FG604" s="151"/>
      <c r="FH604" s="151"/>
      <c r="FI604" s="151"/>
      <c r="FJ604" s="151"/>
      <c r="FK604" s="151"/>
      <c r="FL604" s="151"/>
      <c r="FM604" s="151"/>
      <c r="FN604" s="151"/>
      <c r="FO604" s="151"/>
      <c r="FP604" s="151"/>
      <c r="FQ604" s="151"/>
      <c r="FR604" s="151"/>
      <c r="FS604" s="151"/>
      <c r="FT604" s="151"/>
      <c r="FU604" s="151"/>
      <c r="FV604" s="151"/>
      <c r="FW604" s="151"/>
      <c r="FX604" s="151"/>
      <c r="FY604" s="151"/>
      <c r="FZ604" s="151"/>
      <c r="GA604" s="151"/>
      <c r="GB604" s="151"/>
      <c r="GC604" s="151"/>
      <c r="GD604" s="151"/>
      <c r="GE604" s="151"/>
      <c r="GF604" s="151"/>
      <c r="GG604" s="152"/>
    </row>
    <row r="605" spans="1:189" x14ac:dyDescent="0.35">
      <c r="A605" s="269"/>
      <c r="B605" s="83"/>
      <c r="C605" s="83"/>
      <c r="D605" s="85"/>
      <c r="E605" s="83"/>
      <c r="F605" s="83"/>
      <c r="G605" s="43"/>
      <c r="H605" s="233"/>
      <c r="I605" s="42"/>
      <c r="J605" s="42"/>
      <c r="K605" s="42"/>
      <c r="L605" s="44"/>
      <c r="M605" s="44"/>
      <c r="N605" s="44"/>
      <c r="O605" s="44"/>
      <c r="P605" s="44"/>
      <c r="Q605" s="227"/>
      <c r="R605" s="228"/>
      <c r="S605" s="228"/>
      <c r="T605" s="228"/>
      <c r="U605" s="191">
        <f t="shared" si="512"/>
        <v>0</v>
      </c>
      <c r="V605" s="86"/>
      <c r="W605" s="45"/>
      <c r="X605" s="46"/>
      <c r="Y605" s="167">
        <f t="shared" si="513"/>
        <v>0</v>
      </c>
      <c r="Z605" s="167">
        <f t="shared" si="514"/>
        <v>0</v>
      </c>
      <c r="AA605" s="167">
        <f t="shared" si="515"/>
        <v>0</v>
      </c>
      <c r="AB605" s="167">
        <f t="shared" si="516"/>
        <v>0</v>
      </c>
      <c r="AC605" s="167">
        <f t="shared" si="517"/>
        <v>0</v>
      </c>
      <c r="AD605" s="167">
        <f t="shared" si="518"/>
        <v>0</v>
      </c>
      <c r="AF605" s="47">
        <f t="shared" si="519"/>
        <v>0</v>
      </c>
      <c r="AG605" s="202" t="str">
        <f t="shared" si="511"/>
        <v xml:space="preserve"> </v>
      </c>
      <c r="AH605" s="150"/>
      <c r="AI605" s="151"/>
      <c r="AJ605" s="151"/>
      <c r="AK605" s="151"/>
      <c r="AL605" s="151"/>
      <c r="AM605" s="151"/>
      <c r="AN605" s="151"/>
      <c r="AO605" s="151"/>
      <c r="AP605" s="151"/>
      <c r="AQ605" s="151"/>
      <c r="AR605" s="151"/>
      <c r="AS605" s="151"/>
      <c r="AT605" s="151"/>
      <c r="AU605" s="151"/>
      <c r="AV605" s="151"/>
      <c r="AW605" s="151"/>
      <c r="AX605" s="151"/>
      <c r="AY605" s="151"/>
      <c r="AZ605" s="151"/>
      <c r="BA605" s="151"/>
      <c r="BB605" s="151"/>
      <c r="BC605" s="151"/>
      <c r="BD605" s="151"/>
      <c r="BE605" s="151"/>
      <c r="BF605" s="151"/>
      <c r="BG605" s="151"/>
      <c r="BH605" s="151"/>
      <c r="BI605" s="151"/>
      <c r="BJ605" s="151"/>
      <c r="BK605" s="151"/>
      <c r="BL605" s="151"/>
      <c r="BM605" s="151"/>
      <c r="BN605" s="151"/>
      <c r="BO605" s="151"/>
      <c r="BP605" s="151"/>
      <c r="BQ605" s="151"/>
      <c r="BR605" s="151"/>
      <c r="BS605" s="151"/>
      <c r="BT605" s="151"/>
      <c r="BU605" s="151"/>
      <c r="BV605" s="151"/>
      <c r="BW605" s="151"/>
      <c r="BX605" s="151"/>
      <c r="BY605" s="151"/>
      <c r="BZ605" s="151"/>
      <c r="CA605" s="151"/>
      <c r="CB605" s="151"/>
      <c r="CC605" s="151"/>
      <c r="CD605" s="151"/>
      <c r="CE605" s="151"/>
      <c r="CF605" s="151"/>
      <c r="CG605" s="151"/>
      <c r="CH605" s="151"/>
      <c r="CI605" s="151"/>
      <c r="CJ605" s="151"/>
      <c r="CK605" s="151"/>
      <c r="CL605" s="151"/>
      <c r="CM605" s="151"/>
      <c r="CN605" s="151"/>
      <c r="CO605" s="151"/>
      <c r="CP605" s="151"/>
      <c r="CQ605" s="151"/>
      <c r="CR605" s="151"/>
      <c r="CS605" s="151"/>
      <c r="CT605" s="151"/>
      <c r="CU605" s="151"/>
      <c r="CV605" s="151"/>
      <c r="CW605" s="151"/>
      <c r="CX605" s="151"/>
      <c r="CY605" s="151"/>
      <c r="CZ605" s="151"/>
      <c r="DA605" s="151"/>
      <c r="DB605" s="151"/>
      <c r="DC605" s="151"/>
      <c r="DD605" s="151"/>
      <c r="DE605" s="151"/>
      <c r="DF605" s="151"/>
      <c r="DG605" s="151"/>
      <c r="DH605" s="151"/>
      <c r="DI605" s="151"/>
      <c r="DJ605" s="151"/>
      <c r="DK605" s="151"/>
      <c r="DL605" s="151"/>
      <c r="DM605" s="151"/>
      <c r="DN605" s="151"/>
      <c r="DO605" s="151"/>
      <c r="DP605" s="151"/>
      <c r="DQ605" s="151"/>
      <c r="DR605" s="151"/>
      <c r="DS605" s="151"/>
      <c r="DT605" s="151"/>
      <c r="DU605" s="151"/>
      <c r="DV605" s="151"/>
      <c r="DW605" s="151"/>
      <c r="DX605" s="151"/>
      <c r="DY605" s="151"/>
      <c r="DZ605" s="151"/>
      <c r="EA605" s="151"/>
      <c r="EB605" s="151"/>
      <c r="EC605" s="151"/>
      <c r="ED605" s="151"/>
      <c r="EE605" s="151"/>
      <c r="EF605" s="151"/>
      <c r="EG605" s="151"/>
      <c r="EH605" s="151"/>
      <c r="EI605" s="151"/>
      <c r="EJ605" s="151"/>
      <c r="EK605" s="151"/>
      <c r="EL605" s="151"/>
      <c r="EM605" s="151"/>
      <c r="EN605" s="151"/>
      <c r="EO605" s="151"/>
      <c r="EP605" s="151"/>
      <c r="EQ605" s="151"/>
      <c r="ER605" s="151"/>
      <c r="ES605" s="151"/>
      <c r="ET605" s="151"/>
      <c r="EU605" s="151"/>
      <c r="EV605" s="151"/>
      <c r="EW605" s="151"/>
      <c r="EX605" s="151"/>
      <c r="EY605" s="151"/>
      <c r="EZ605" s="151"/>
      <c r="FA605" s="151"/>
      <c r="FB605" s="151"/>
      <c r="FC605" s="151"/>
      <c r="FD605" s="151"/>
      <c r="FE605" s="151"/>
      <c r="FF605" s="151"/>
      <c r="FG605" s="151"/>
      <c r="FH605" s="151"/>
      <c r="FI605" s="151"/>
      <c r="FJ605" s="151"/>
      <c r="FK605" s="151"/>
      <c r="FL605" s="151"/>
      <c r="FM605" s="151"/>
      <c r="FN605" s="151"/>
      <c r="FO605" s="151"/>
      <c r="FP605" s="151"/>
      <c r="FQ605" s="151"/>
      <c r="FR605" s="151"/>
      <c r="FS605" s="151"/>
      <c r="FT605" s="151"/>
      <c r="FU605" s="151"/>
      <c r="FV605" s="151"/>
      <c r="FW605" s="151"/>
      <c r="FX605" s="151"/>
      <c r="FY605" s="151"/>
      <c r="FZ605" s="151"/>
      <c r="GA605" s="151"/>
      <c r="GB605" s="151"/>
      <c r="GC605" s="151"/>
      <c r="GD605" s="151"/>
      <c r="GE605" s="151"/>
      <c r="GF605" s="151"/>
      <c r="GG605" s="152"/>
    </row>
    <row r="606" spans="1:189" x14ac:dyDescent="0.35">
      <c r="A606" s="269"/>
      <c r="B606" s="83"/>
      <c r="C606" s="83"/>
      <c r="D606" s="85"/>
      <c r="E606" s="83"/>
      <c r="F606" s="83"/>
      <c r="G606" s="43"/>
      <c r="H606" s="233"/>
      <c r="I606" s="42"/>
      <c r="J606" s="42"/>
      <c r="K606" s="42"/>
      <c r="L606" s="44"/>
      <c r="M606" s="44"/>
      <c r="N606" s="44"/>
      <c r="O606" s="44"/>
      <c r="P606" s="44"/>
      <c r="Q606" s="227"/>
      <c r="R606" s="228"/>
      <c r="S606" s="228"/>
      <c r="T606" s="228"/>
      <c r="U606" s="191">
        <f t="shared" si="512"/>
        <v>0</v>
      </c>
      <c r="V606" s="86"/>
      <c r="W606" s="45"/>
      <c r="X606" s="46"/>
      <c r="Y606" s="167">
        <f t="shared" si="513"/>
        <v>0</v>
      </c>
      <c r="Z606" s="167">
        <f t="shared" si="514"/>
        <v>0</v>
      </c>
      <c r="AA606" s="167">
        <f t="shared" si="515"/>
        <v>0</v>
      </c>
      <c r="AB606" s="167">
        <f t="shared" si="516"/>
        <v>0</v>
      </c>
      <c r="AC606" s="167">
        <f t="shared" si="517"/>
        <v>0</v>
      </c>
      <c r="AD606" s="167">
        <f t="shared" si="518"/>
        <v>0</v>
      </c>
      <c r="AF606" s="47">
        <f t="shared" si="519"/>
        <v>0</v>
      </c>
      <c r="AG606" s="205" t="str">
        <f t="shared" si="511"/>
        <v xml:space="preserve"> </v>
      </c>
      <c r="AH606" s="160"/>
      <c r="AI606" s="161"/>
      <c r="AJ606" s="161"/>
      <c r="AK606" s="161"/>
      <c r="AL606" s="161"/>
      <c r="AM606" s="161"/>
      <c r="AN606" s="161"/>
      <c r="AO606" s="161"/>
      <c r="AP606" s="161"/>
      <c r="AQ606" s="161"/>
      <c r="AR606" s="161"/>
      <c r="AS606" s="161"/>
      <c r="AT606" s="161"/>
      <c r="AU606" s="161"/>
      <c r="AV606" s="161"/>
      <c r="AW606" s="161"/>
      <c r="AX606" s="161"/>
      <c r="AY606" s="161"/>
      <c r="AZ606" s="161"/>
      <c r="BA606" s="161"/>
      <c r="BB606" s="161"/>
      <c r="BC606" s="161"/>
      <c r="BD606" s="161"/>
      <c r="BE606" s="161"/>
      <c r="BF606" s="161"/>
      <c r="BG606" s="161"/>
      <c r="BH606" s="161"/>
      <c r="BI606" s="161"/>
      <c r="BJ606" s="161"/>
      <c r="BK606" s="161"/>
      <c r="BL606" s="161"/>
      <c r="BM606" s="161"/>
      <c r="BN606" s="161"/>
      <c r="BO606" s="161"/>
      <c r="BP606" s="161"/>
      <c r="BQ606" s="161"/>
      <c r="BR606" s="161"/>
      <c r="BS606" s="161"/>
      <c r="BT606" s="161"/>
      <c r="BU606" s="161"/>
      <c r="BV606" s="161"/>
      <c r="BW606" s="161"/>
      <c r="BX606" s="161"/>
      <c r="BY606" s="161"/>
      <c r="BZ606" s="161"/>
      <c r="CA606" s="161"/>
      <c r="CB606" s="161"/>
      <c r="CC606" s="161"/>
      <c r="CD606" s="161"/>
      <c r="CE606" s="161"/>
      <c r="CF606" s="161"/>
      <c r="CG606" s="161"/>
      <c r="CH606" s="161"/>
      <c r="CI606" s="161"/>
      <c r="CJ606" s="161"/>
      <c r="CK606" s="161"/>
      <c r="CL606" s="161"/>
      <c r="CM606" s="161"/>
      <c r="CN606" s="161"/>
      <c r="CO606" s="161"/>
      <c r="CP606" s="161"/>
      <c r="CQ606" s="161"/>
      <c r="CR606" s="161"/>
      <c r="CS606" s="161"/>
      <c r="CT606" s="161"/>
      <c r="CU606" s="161"/>
      <c r="CV606" s="161"/>
      <c r="CW606" s="161"/>
      <c r="CX606" s="161"/>
      <c r="CY606" s="161"/>
      <c r="CZ606" s="161"/>
      <c r="DA606" s="161"/>
      <c r="DB606" s="161"/>
      <c r="DC606" s="161"/>
      <c r="DD606" s="161"/>
      <c r="DE606" s="161"/>
      <c r="DF606" s="161"/>
      <c r="DG606" s="161"/>
      <c r="DH606" s="161"/>
      <c r="DI606" s="161"/>
      <c r="DJ606" s="161"/>
      <c r="DK606" s="161"/>
      <c r="DL606" s="161"/>
      <c r="DM606" s="161"/>
      <c r="DN606" s="161"/>
      <c r="DO606" s="161"/>
      <c r="DP606" s="161"/>
      <c r="DQ606" s="161"/>
      <c r="DR606" s="161"/>
      <c r="DS606" s="161"/>
      <c r="DT606" s="161"/>
      <c r="DU606" s="161"/>
      <c r="DV606" s="161"/>
      <c r="DW606" s="161"/>
      <c r="DX606" s="161"/>
      <c r="DY606" s="161"/>
      <c r="DZ606" s="161"/>
      <c r="EA606" s="161"/>
      <c r="EB606" s="161"/>
      <c r="EC606" s="161"/>
      <c r="ED606" s="161"/>
      <c r="EE606" s="161"/>
      <c r="EF606" s="161"/>
      <c r="EG606" s="161"/>
      <c r="EH606" s="161"/>
      <c r="EI606" s="161"/>
      <c r="EJ606" s="161"/>
      <c r="EK606" s="161"/>
      <c r="EL606" s="161"/>
      <c r="EM606" s="161"/>
      <c r="EN606" s="161"/>
      <c r="EO606" s="161"/>
      <c r="EP606" s="161"/>
      <c r="EQ606" s="161"/>
      <c r="ER606" s="161"/>
      <c r="ES606" s="161"/>
      <c r="ET606" s="161"/>
      <c r="EU606" s="161"/>
      <c r="EV606" s="161"/>
      <c r="EW606" s="161"/>
      <c r="EX606" s="161"/>
      <c r="EY606" s="161"/>
      <c r="EZ606" s="161"/>
      <c r="FA606" s="161"/>
      <c r="FB606" s="161"/>
      <c r="FC606" s="161"/>
      <c r="FD606" s="161"/>
      <c r="FE606" s="161"/>
      <c r="FF606" s="161"/>
      <c r="FG606" s="161"/>
      <c r="FH606" s="161"/>
      <c r="FI606" s="161"/>
      <c r="FJ606" s="161"/>
      <c r="FK606" s="161"/>
      <c r="FL606" s="161"/>
      <c r="FM606" s="161"/>
      <c r="FN606" s="161"/>
      <c r="FO606" s="161"/>
      <c r="FP606" s="161"/>
      <c r="FQ606" s="161"/>
      <c r="FR606" s="161"/>
      <c r="FS606" s="161"/>
      <c r="FT606" s="161"/>
      <c r="FU606" s="161"/>
      <c r="FV606" s="161"/>
      <c r="FW606" s="161"/>
      <c r="FX606" s="161"/>
      <c r="FY606" s="161"/>
      <c r="FZ606" s="161"/>
      <c r="GA606" s="161"/>
      <c r="GB606" s="161"/>
      <c r="GC606" s="161"/>
      <c r="GD606" s="161"/>
      <c r="GE606" s="161"/>
      <c r="GF606" s="161"/>
      <c r="GG606" s="162"/>
    </row>
    <row r="607" spans="1:189" x14ac:dyDescent="0.35">
      <c r="A607" s="269"/>
      <c r="B607" s="83"/>
      <c r="C607" s="83"/>
      <c r="D607" s="85"/>
      <c r="E607" s="83"/>
      <c r="F607" s="83"/>
      <c r="G607" s="43"/>
      <c r="H607" s="233"/>
      <c r="I607" s="42"/>
      <c r="J607" s="42"/>
      <c r="K607" s="42"/>
      <c r="L607" s="44"/>
      <c r="M607" s="44"/>
      <c r="N607" s="44"/>
      <c r="O607" s="44"/>
      <c r="P607" s="44"/>
      <c r="Q607" s="227"/>
      <c r="R607" s="228"/>
      <c r="S607" s="228"/>
      <c r="T607" s="228"/>
      <c r="U607" s="191">
        <f t="shared" si="512"/>
        <v>0</v>
      </c>
      <c r="V607" s="86"/>
      <c r="W607" s="45"/>
      <c r="X607" s="46"/>
      <c r="Y607" s="167">
        <f t="shared" si="513"/>
        <v>0</v>
      </c>
      <c r="Z607" s="167">
        <f t="shared" si="514"/>
        <v>0</v>
      </c>
      <c r="AA607" s="167">
        <f t="shared" si="515"/>
        <v>0</v>
      </c>
      <c r="AB607" s="167">
        <f t="shared" si="516"/>
        <v>0</v>
      </c>
      <c r="AC607" s="167">
        <f t="shared" si="517"/>
        <v>0</v>
      </c>
      <c r="AD607" s="167">
        <f t="shared" si="518"/>
        <v>0</v>
      </c>
      <c r="AF607" s="47">
        <f t="shared" si="519"/>
        <v>0</v>
      </c>
    </row>
    <row r="608" spans="1:189" x14ac:dyDescent="0.35">
      <c r="A608" s="269"/>
      <c r="B608" s="83"/>
      <c r="C608" s="83"/>
      <c r="D608" s="85"/>
      <c r="E608" s="83"/>
      <c r="F608" s="83"/>
      <c r="G608" s="43"/>
      <c r="H608" s="233"/>
      <c r="I608" s="42"/>
      <c r="J608" s="42"/>
      <c r="K608" s="42"/>
      <c r="L608" s="44"/>
      <c r="M608" s="44"/>
      <c r="N608" s="44"/>
      <c r="O608" s="44"/>
      <c r="P608" s="44"/>
      <c r="Q608" s="227"/>
      <c r="R608" s="228"/>
      <c r="S608" s="228"/>
      <c r="T608" s="228"/>
      <c r="U608" s="191">
        <f t="shared" si="512"/>
        <v>0</v>
      </c>
      <c r="V608" s="86"/>
      <c r="W608" s="45"/>
      <c r="X608" s="46"/>
      <c r="Y608" s="167">
        <f t="shared" si="513"/>
        <v>0</v>
      </c>
      <c r="Z608" s="167">
        <f t="shared" si="514"/>
        <v>0</v>
      </c>
      <c r="AA608" s="167">
        <f t="shared" si="515"/>
        <v>0</v>
      </c>
      <c r="AB608" s="167">
        <f t="shared" si="516"/>
        <v>0</v>
      </c>
      <c r="AC608" s="167">
        <f t="shared" si="517"/>
        <v>0</v>
      </c>
      <c r="AD608" s="167">
        <f t="shared" si="518"/>
        <v>0</v>
      </c>
      <c r="AF608" s="47">
        <f t="shared" si="519"/>
        <v>0</v>
      </c>
    </row>
    <row r="609" spans="1:32" x14ac:dyDescent="0.35">
      <c r="A609" s="269"/>
      <c r="B609" s="83"/>
      <c r="C609" s="83"/>
      <c r="D609" s="85"/>
      <c r="E609" s="83"/>
      <c r="F609" s="83"/>
      <c r="G609" s="43"/>
      <c r="H609" s="233"/>
      <c r="I609" s="42"/>
      <c r="J609" s="42"/>
      <c r="K609" s="42"/>
      <c r="L609" s="44"/>
      <c r="M609" s="44"/>
      <c r="N609" s="44"/>
      <c r="O609" s="44"/>
      <c r="P609" s="44"/>
      <c r="Q609" s="227"/>
      <c r="R609" s="228"/>
      <c r="S609" s="228"/>
      <c r="T609" s="228"/>
      <c r="U609" s="191">
        <f t="shared" si="512"/>
        <v>0</v>
      </c>
      <c r="V609" s="86"/>
      <c r="W609" s="45"/>
      <c r="X609" s="46"/>
      <c r="Y609" s="167">
        <f t="shared" si="513"/>
        <v>0</v>
      </c>
      <c r="Z609" s="167">
        <f t="shared" si="514"/>
        <v>0</v>
      </c>
      <c r="AA609" s="167">
        <f t="shared" si="515"/>
        <v>0</v>
      </c>
      <c r="AB609" s="167">
        <f t="shared" si="516"/>
        <v>0</v>
      </c>
      <c r="AC609" s="167">
        <f t="shared" si="517"/>
        <v>0</v>
      </c>
      <c r="AD609" s="167">
        <f t="shared" si="518"/>
        <v>0</v>
      </c>
      <c r="AF609" s="47">
        <f t="shared" si="519"/>
        <v>0</v>
      </c>
    </row>
    <row r="610" spans="1:32" x14ac:dyDescent="0.35">
      <c r="A610" s="269"/>
      <c r="B610" s="83"/>
      <c r="C610" s="83"/>
      <c r="D610" s="85"/>
      <c r="E610" s="83"/>
      <c r="F610" s="83"/>
      <c r="G610" s="43"/>
      <c r="H610" s="233"/>
      <c r="I610" s="42"/>
      <c r="J610" s="42"/>
      <c r="K610" s="42"/>
      <c r="L610" s="44"/>
      <c r="M610" s="44"/>
      <c r="N610" s="44"/>
      <c r="O610" s="44"/>
      <c r="P610" s="44"/>
      <c r="Q610" s="227"/>
      <c r="R610" s="228"/>
      <c r="S610" s="228"/>
      <c r="T610" s="228"/>
      <c r="U610" s="191">
        <f t="shared" si="512"/>
        <v>0</v>
      </c>
      <c r="V610" s="86"/>
      <c r="W610" s="45"/>
      <c r="X610" s="46"/>
      <c r="Y610" s="167">
        <f t="shared" si="513"/>
        <v>0</v>
      </c>
      <c r="Z610" s="167">
        <f t="shared" si="514"/>
        <v>0</v>
      </c>
      <c r="AA610" s="167">
        <f t="shared" si="515"/>
        <v>0</v>
      </c>
      <c r="AB610" s="167">
        <f t="shared" si="516"/>
        <v>0</v>
      </c>
      <c r="AC610" s="167">
        <f t="shared" si="517"/>
        <v>0</v>
      </c>
      <c r="AD610" s="167">
        <f t="shared" si="518"/>
        <v>0</v>
      </c>
      <c r="AF610" s="47">
        <f t="shared" si="519"/>
        <v>0</v>
      </c>
    </row>
    <row r="611" spans="1:32" x14ac:dyDescent="0.35">
      <c r="A611" s="269"/>
      <c r="B611" s="83"/>
      <c r="C611" s="83"/>
      <c r="D611" s="85"/>
      <c r="E611" s="83"/>
      <c r="F611" s="83"/>
      <c r="G611" s="43"/>
      <c r="H611" s="233"/>
      <c r="I611" s="42"/>
      <c r="J611" s="42"/>
      <c r="K611" s="42"/>
      <c r="L611" s="44"/>
      <c r="M611" s="44"/>
      <c r="N611" s="44"/>
      <c r="O611" s="44"/>
      <c r="P611" s="44"/>
      <c r="Q611" s="227"/>
      <c r="R611" s="228"/>
      <c r="S611" s="228"/>
      <c r="T611" s="228"/>
      <c r="U611" s="191">
        <f t="shared" si="512"/>
        <v>0</v>
      </c>
      <c r="V611" s="86"/>
      <c r="W611" s="45"/>
      <c r="X611" s="46"/>
      <c r="Y611" s="167">
        <f t="shared" si="513"/>
        <v>0</v>
      </c>
      <c r="Z611" s="167">
        <f t="shared" si="514"/>
        <v>0</v>
      </c>
      <c r="AA611" s="167">
        <f t="shared" si="515"/>
        <v>0</v>
      </c>
      <c r="AB611" s="167">
        <f t="shared" si="516"/>
        <v>0</v>
      </c>
      <c r="AC611" s="167">
        <f t="shared" si="517"/>
        <v>0</v>
      </c>
      <c r="AD611" s="167">
        <f t="shared" si="518"/>
        <v>0</v>
      </c>
      <c r="AF611" s="47">
        <f t="shared" si="519"/>
        <v>0</v>
      </c>
    </row>
    <row r="612" spans="1:32" x14ac:dyDescent="0.35">
      <c r="A612" s="269"/>
      <c r="B612" s="83"/>
      <c r="C612" s="83"/>
      <c r="D612" s="85"/>
      <c r="E612" s="83"/>
      <c r="F612" s="83"/>
      <c r="G612" s="43"/>
      <c r="H612" s="233"/>
      <c r="I612" s="42"/>
      <c r="J612" s="42"/>
      <c r="K612" s="42"/>
      <c r="L612" s="44"/>
      <c r="M612" s="44"/>
      <c r="N612" s="44"/>
      <c r="O612" s="44"/>
      <c r="P612" s="44"/>
      <c r="Q612" s="227"/>
      <c r="R612" s="228"/>
      <c r="S612" s="228"/>
      <c r="T612" s="228"/>
      <c r="U612" s="191">
        <f t="shared" si="512"/>
        <v>0</v>
      </c>
      <c r="V612" s="86"/>
      <c r="W612" s="45"/>
      <c r="X612" s="46"/>
      <c r="Y612" s="167">
        <f t="shared" si="513"/>
        <v>0</v>
      </c>
      <c r="Z612" s="167">
        <f t="shared" si="514"/>
        <v>0</v>
      </c>
      <c r="AA612" s="167">
        <f t="shared" si="515"/>
        <v>0</v>
      </c>
      <c r="AB612" s="167">
        <f t="shared" si="516"/>
        <v>0</v>
      </c>
      <c r="AC612" s="167">
        <f t="shared" si="517"/>
        <v>0</v>
      </c>
      <c r="AD612" s="167">
        <f t="shared" si="518"/>
        <v>0</v>
      </c>
      <c r="AF612" s="47">
        <f t="shared" si="519"/>
        <v>0</v>
      </c>
    </row>
    <row r="613" spans="1:32" x14ac:dyDescent="0.35">
      <c r="A613" s="269"/>
      <c r="B613" s="83"/>
      <c r="C613" s="83"/>
      <c r="D613" s="85"/>
      <c r="E613" s="83"/>
      <c r="F613" s="83"/>
      <c r="G613" s="43"/>
      <c r="H613" s="233"/>
      <c r="I613" s="42"/>
      <c r="J613" s="42"/>
      <c r="K613" s="42"/>
      <c r="L613" s="44"/>
      <c r="M613" s="44"/>
      <c r="N613" s="44"/>
      <c r="O613" s="44"/>
      <c r="P613" s="44"/>
      <c r="Q613" s="227"/>
      <c r="R613" s="228"/>
      <c r="S613" s="228"/>
      <c r="T613" s="228"/>
      <c r="U613" s="191">
        <f t="shared" si="512"/>
        <v>0</v>
      </c>
      <c r="V613" s="86"/>
      <c r="W613" s="45"/>
      <c r="X613" s="46"/>
      <c r="Y613" s="167">
        <f t="shared" si="513"/>
        <v>0</v>
      </c>
      <c r="Z613" s="167">
        <f t="shared" si="514"/>
        <v>0</v>
      </c>
      <c r="AA613" s="167">
        <f t="shared" si="515"/>
        <v>0</v>
      </c>
      <c r="AB613" s="167">
        <f t="shared" si="516"/>
        <v>0</v>
      </c>
      <c r="AC613" s="167">
        <f t="shared" si="517"/>
        <v>0</v>
      </c>
      <c r="AD613" s="167">
        <f t="shared" si="518"/>
        <v>0</v>
      </c>
      <c r="AF613" s="47">
        <f t="shared" si="519"/>
        <v>0</v>
      </c>
    </row>
    <row r="614" spans="1:32" x14ac:dyDescent="0.35">
      <c r="A614" s="269"/>
      <c r="B614" s="83"/>
      <c r="C614" s="83"/>
      <c r="D614" s="85"/>
      <c r="E614" s="83"/>
      <c r="F614" s="83"/>
      <c r="G614" s="43"/>
      <c r="H614" s="233"/>
      <c r="I614" s="42"/>
      <c r="J614" s="42"/>
      <c r="K614" s="42"/>
      <c r="L614" s="44"/>
      <c r="M614" s="44"/>
      <c r="N614" s="44"/>
      <c r="O614" s="44"/>
      <c r="P614" s="44"/>
      <c r="Q614" s="227"/>
      <c r="R614" s="228"/>
      <c r="S614" s="228"/>
      <c r="T614" s="228"/>
      <c r="U614" s="191">
        <f t="shared" si="512"/>
        <v>0</v>
      </c>
      <c r="V614" s="86"/>
      <c r="W614" s="45"/>
      <c r="X614" s="46"/>
      <c r="Y614" s="167">
        <f t="shared" si="513"/>
        <v>0</v>
      </c>
      <c r="Z614" s="167">
        <f t="shared" si="514"/>
        <v>0</v>
      </c>
      <c r="AA614" s="167">
        <f t="shared" si="515"/>
        <v>0</v>
      </c>
      <c r="AB614" s="167">
        <f t="shared" si="516"/>
        <v>0</v>
      </c>
      <c r="AC614" s="167">
        <f t="shared" si="517"/>
        <v>0</v>
      </c>
      <c r="AD614" s="167">
        <f t="shared" si="518"/>
        <v>0</v>
      </c>
      <c r="AF614" s="47">
        <f t="shared" si="519"/>
        <v>0</v>
      </c>
    </row>
    <row r="615" spans="1:32" x14ac:dyDescent="0.35">
      <c r="A615" s="269"/>
      <c r="B615" s="83"/>
      <c r="C615" s="83"/>
      <c r="D615" s="85"/>
      <c r="E615" s="83"/>
      <c r="F615" s="83"/>
      <c r="G615" s="43"/>
      <c r="H615" s="233"/>
      <c r="I615" s="42"/>
      <c r="J615" s="42"/>
      <c r="K615" s="42"/>
      <c r="L615" s="44"/>
      <c r="M615" s="44"/>
      <c r="N615" s="44"/>
      <c r="O615" s="44"/>
      <c r="P615" s="44"/>
      <c r="Q615" s="227"/>
      <c r="R615" s="228"/>
      <c r="S615" s="228"/>
      <c r="T615" s="228"/>
      <c r="U615" s="191">
        <f t="shared" si="512"/>
        <v>0</v>
      </c>
      <c r="V615" s="86"/>
      <c r="W615" s="45"/>
      <c r="X615" s="46"/>
      <c r="Y615" s="167">
        <f t="shared" si="513"/>
        <v>0</v>
      </c>
      <c r="Z615" s="167">
        <f t="shared" si="514"/>
        <v>0</v>
      </c>
      <c r="AA615" s="167">
        <f t="shared" si="515"/>
        <v>0</v>
      </c>
      <c r="AB615" s="167">
        <f t="shared" si="516"/>
        <v>0</v>
      </c>
      <c r="AC615" s="167">
        <f t="shared" si="517"/>
        <v>0</v>
      </c>
      <c r="AD615" s="167">
        <f t="shared" si="518"/>
        <v>0</v>
      </c>
      <c r="AF615" s="47">
        <f t="shared" si="519"/>
        <v>0</v>
      </c>
    </row>
    <row r="616" spans="1:32" x14ac:dyDescent="0.35">
      <c r="A616" s="269"/>
      <c r="B616" s="83"/>
      <c r="C616" s="83"/>
      <c r="D616" s="85"/>
      <c r="E616" s="83"/>
      <c r="F616" s="83"/>
      <c r="G616" s="43"/>
      <c r="H616" s="233"/>
      <c r="I616" s="42"/>
      <c r="J616" s="42"/>
      <c r="K616" s="42"/>
      <c r="L616" s="44"/>
      <c r="M616" s="44"/>
      <c r="N616" s="44"/>
      <c r="O616" s="44"/>
      <c r="P616" s="44"/>
      <c r="Q616" s="227"/>
      <c r="R616" s="228"/>
      <c r="S616" s="228"/>
      <c r="T616" s="228"/>
      <c r="U616" s="191">
        <f t="shared" si="512"/>
        <v>0</v>
      </c>
      <c r="V616" s="86"/>
      <c r="W616" s="45"/>
      <c r="X616" s="46"/>
      <c r="Y616" s="167">
        <f t="shared" si="513"/>
        <v>0</v>
      </c>
      <c r="Z616" s="167">
        <f t="shared" si="514"/>
        <v>0</v>
      </c>
      <c r="AA616" s="167">
        <f t="shared" si="515"/>
        <v>0</v>
      </c>
      <c r="AB616" s="167">
        <f t="shared" si="516"/>
        <v>0</v>
      </c>
      <c r="AC616" s="167">
        <f t="shared" si="517"/>
        <v>0</v>
      </c>
      <c r="AD616" s="167">
        <f t="shared" si="518"/>
        <v>0</v>
      </c>
      <c r="AF616" s="47">
        <f t="shared" si="519"/>
        <v>0</v>
      </c>
    </row>
    <row r="617" spans="1:32" x14ac:dyDescent="0.35">
      <c r="A617" s="269"/>
      <c r="B617" s="83"/>
      <c r="C617" s="83"/>
      <c r="D617" s="85"/>
      <c r="E617" s="83"/>
      <c r="F617" s="83"/>
      <c r="G617" s="43"/>
      <c r="H617" s="233"/>
      <c r="I617" s="42"/>
      <c r="J617" s="42"/>
      <c r="K617" s="42"/>
      <c r="L617" s="44"/>
      <c r="M617" s="44"/>
      <c r="N617" s="44"/>
      <c r="O617" s="44"/>
      <c r="P617" s="44"/>
      <c r="Q617" s="227"/>
      <c r="R617" s="228"/>
      <c r="S617" s="228"/>
      <c r="T617" s="228"/>
      <c r="U617" s="191">
        <f t="shared" si="512"/>
        <v>0</v>
      </c>
      <c r="V617" s="86"/>
      <c r="W617" s="45"/>
      <c r="X617" s="46"/>
      <c r="Y617" s="167">
        <f t="shared" si="513"/>
        <v>0</v>
      </c>
      <c r="Z617" s="167">
        <f t="shared" si="514"/>
        <v>0</v>
      </c>
      <c r="AA617" s="167">
        <f t="shared" si="515"/>
        <v>0</v>
      </c>
      <c r="AB617" s="167">
        <f t="shared" si="516"/>
        <v>0</v>
      </c>
      <c r="AC617" s="167">
        <f t="shared" si="517"/>
        <v>0</v>
      </c>
      <c r="AD617" s="167">
        <f t="shared" si="518"/>
        <v>0</v>
      </c>
      <c r="AF617" s="47">
        <f t="shared" si="519"/>
        <v>0</v>
      </c>
    </row>
    <row r="618" spans="1:32" x14ac:dyDescent="0.35">
      <c r="A618" s="269"/>
      <c r="B618" s="83"/>
      <c r="C618" s="83"/>
      <c r="D618" s="85"/>
      <c r="E618" s="83"/>
      <c r="F618" s="83"/>
      <c r="G618" s="43"/>
      <c r="H618" s="233"/>
      <c r="I618" s="42"/>
      <c r="J618" s="42"/>
      <c r="K618" s="42"/>
      <c r="L618" s="44"/>
      <c r="M618" s="44"/>
      <c r="N618" s="44"/>
      <c r="O618" s="44"/>
      <c r="P618" s="44"/>
      <c r="Q618" s="227"/>
      <c r="R618" s="228"/>
      <c r="S618" s="228"/>
      <c r="T618" s="228"/>
      <c r="U618" s="191">
        <f t="shared" si="512"/>
        <v>0</v>
      </c>
      <c r="V618" s="86"/>
      <c r="W618" s="45"/>
      <c r="X618" s="46"/>
      <c r="Y618" s="167">
        <f t="shared" si="513"/>
        <v>0</v>
      </c>
      <c r="Z618" s="167">
        <f t="shared" si="514"/>
        <v>0</v>
      </c>
      <c r="AA618" s="167">
        <f t="shared" si="515"/>
        <v>0</v>
      </c>
      <c r="AB618" s="167">
        <f t="shared" si="516"/>
        <v>0</v>
      </c>
      <c r="AC618" s="167">
        <f t="shared" si="517"/>
        <v>0</v>
      </c>
      <c r="AD618" s="167">
        <f t="shared" si="518"/>
        <v>0</v>
      </c>
      <c r="AF618" s="47">
        <f t="shared" si="519"/>
        <v>0</v>
      </c>
    </row>
    <row r="619" spans="1:32" x14ac:dyDescent="0.35">
      <c r="A619" s="269"/>
      <c r="B619" s="83"/>
      <c r="C619" s="83"/>
      <c r="D619" s="85"/>
      <c r="E619" s="83"/>
      <c r="F619" s="83"/>
      <c r="G619" s="43"/>
      <c r="H619" s="233"/>
      <c r="I619" s="42"/>
      <c r="J619" s="42"/>
      <c r="K619" s="42"/>
      <c r="L619" s="44"/>
      <c r="M619" s="44"/>
      <c r="N619" s="44"/>
      <c r="O619" s="44"/>
      <c r="P619" s="44"/>
      <c r="Q619" s="227"/>
      <c r="R619" s="228"/>
      <c r="S619" s="228"/>
      <c r="T619" s="228"/>
      <c r="U619" s="191">
        <f t="shared" si="512"/>
        <v>0</v>
      </c>
      <c r="V619" s="86"/>
      <c r="W619" s="45"/>
      <c r="X619" s="46"/>
      <c r="Y619" s="167">
        <f t="shared" si="513"/>
        <v>0</v>
      </c>
      <c r="Z619" s="167">
        <f t="shared" si="514"/>
        <v>0</v>
      </c>
      <c r="AA619" s="167">
        <f t="shared" si="515"/>
        <v>0</v>
      </c>
      <c r="AB619" s="167">
        <f t="shared" si="516"/>
        <v>0</v>
      </c>
      <c r="AC619" s="167">
        <f t="shared" si="517"/>
        <v>0</v>
      </c>
      <c r="AD619" s="167">
        <f t="shared" si="518"/>
        <v>0</v>
      </c>
      <c r="AF619" s="47">
        <f t="shared" si="519"/>
        <v>0</v>
      </c>
    </row>
    <row r="620" spans="1:32" x14ac:dyDescent="0.35">
      <c r="A620" s="269"/>
      <c r="B620" s="83"/>
      <c r="C620" s="83"/>
      <c r="D620" s="85"/>
      <c r="E620" s="83"/>
      <c r="F620" s="83"/>
      <c r="G620" s="43"/>
      <c r="H620" s="233"/>
      <c r="I620" s="42"/>
      <c r="J620" s="42"/>
      <c r="K620" s="42"/>
      <c r="L620" s="44"/>
      <c r="M620" s="44"/>
      <c r="N620" s="44"/>
      <c r="O620" s="44"/>
      <c r="P620" s="44"/>
      <c r="Q620" s="227"/>
      <c r="R620" s="228"/>
      <c r="S620" s="228"/>
      <c r="T620" s="228"/>
      <c r="U620" s="191">
        <f t="shared" si="512"/>
        <v>0</v>
      </c>
      <c r="V620" s="86"/>
      <c r="W620" s="45"/>
      <c r="X620" s="46"/>
      <c r="Y620" s="167">
        <f t="shared" si="513"/>
        <v>0</v>
      </c>
      <c r="Z620" s="167">
        <f t="shared" si="514"/>
        <v>0</v>
      </c>
      <c r="AA620" s="167">
        <f t="shared" si="515"/>
        <v>0</v>
      </c>
      <c r="AB620" s="167">
        <f t="shared" si="516"/>
        <v>0</v>
      </c>
      <c r="AC620" s="167">
        <f t="shared" si="517"/>
        <v>0</v>
      </c>
      <c r="AD620" s="167">
        <f t="shared" si="518"/>
        <v>0</v>
      </c>
      <c r="AF620" s="47">
        <f t="shared" si="519"/>
        <v>0</v>
      </c>
    </row>
    <row r="621" spans="1:32" x14ac:dyDescent="0.35">
      <c r="A621" s="269"/>
      <c r="B621" s="83"/>
      <c r="C621" s="83"/>
      <c r="D621" s="85"/>
      <c r="E621" s="83"/>
      <c r="F621" s="83"/>
      <c r="G621" s="43"/>
      <c r="H621" s="233"/>
      <c r="I621" s="42"/>
      <c r="J621" s="42"/>
      <c r="K621" s="42"/>
      <c r="L621" s="44"/>
      <c r="M621" s="44"/>
      <c r="N621" s="44"/>
      <c r="O621" s="44"/>
      <c r="P621" s="44"/>
      <c r="Q621" s="227"/>
      <c r="R621" s="228"/>
      <c r="S621" s="228"/>
      <c r="T621" s="228"/>
      <c r="U621" s="191">
        <f t="shared" si="512"/>
        <v>0</v>
      </c>
      <c r="V621" s="86"/>
      <c r="W621" s="45"/>
      <c r="X621" s="46"/>
      <c r="Y621" s="167">
        <f t="shared" si="513"/>
        <v>0</v>
      </c>
      <c r="Z621" s="167">
        <f t="shared" si="514"/>
        <v>0</v>
      </c>
      <c r="AA621" s="167">
        <f t="shared" si="515"/>
        <v>0</v>
      </c>
      <c r="AB621" s="167">
        <f t="shared" si="516"/>
        <v>0</v>
      </c>
      <c r="AC621" s="167">
        <f t="shared" si="517"/>
        <v>0</v>
      </c>
      <c r="AD621" s="167">
        <f t="shared" si="518"/>
        <v>0</v>
      </c>
      <c r="AF621" s="47">
        <f t="shared" si="519"/>
        <v>0</v>
      </c>
    </row>
    <row r="622" spans="1:32" x14ac:dyDescent="0.35">
      <c r="A622" s="269"/>
      <c r="B622" s="83"/>
      <c r="C622" s="83"/>
      <c r="D622" s="85"/>
      <c r="E622" s="83"/>
      <c r="F622" s="83"/>
      <c r="G622" s="43"/>
      <c r="H622" s="233"/>
      <c r="I622" s="42"/>
      <c r="J622" s="42"/>
      <c r="K622" s="42"/>
      <c r="L622" s="44"/>
      <c r="M622" s="44"/>
      <c r="N622" s="44"/>
      <c r="O622" s="44"/>
      <c r="P622" s="44"/>
      <c r="Q622" s="227"/>
      <c r="R622" s="228"/>
      <c r="S622" s="228"/>
      <c r="T622" s="228"/>
      <c r="U622" s="191">
        <f t="shared" si="512"/>
        <v>0</v>
      </c>
      <c r="V622" s="86"/>
      <c r="W622" s="45"/>
      <c r="X622" s="46"/>
      <c r="Y622" s="167">
        <f t="shared" si="513"/>
        <v>0</v>
      </c>
      <c r="Z622" s="167">
        <f t="shared" si="514"/>
        <v>0</v>
      </c>
      <c r="AA622" s="167">
        <f t="shared" si="515"/>
        <v>0</v>
      </c>
      <c r="AB622" s="167">
        <f t="shared" si="516"/>
        <v>0</v>
      </c>
      <c r="AC622" s="167">
        <f t="shared" si="517"/>
        <v>0</v>
      </c>
      <c r="AD622" s="167">
        <f t="shared" si="518"/>
        <v>0</v>
      </c>
      <c r="AF622" s="47">
        <f t="shared" si="519"/>
        <v>0</v>
      </c>
    </row>
    <row r="623" spans="1:32" x14ac:dyDescent="0.35">
      <c r="A623" s="269"/>
      <c r="B623" s="83"/>
      <c r="C623" s="83"/>
      <c r="D623" s="85"/>
      <c r="E623" s="83"/>
      <c r="F623" s="83"/>
      <c r="G623" s="43"/>
      <c r="H623" s="233"/>
      <c r="I623" s="42"/>
      <c r="J623" s="42"/>
      <c r="K623" s="42"/>
      <c r="L623" s="44"/>
      <c r="M623" s="44"/>
      <c r="N623" s="44"/>
      <c r="O623" s="44"/>
      <c r="P623" s="44"/>
      <c r="Q623" s="227"/>
      <c r="R623" s="228"/>
      <c r="S623" s="228"/>
      <c r="T623" s="228"/>
      <c r="U623" s="191">
        <f t="shared" si="512"/>
        <v>0</v>
      </c>
      <c r="V623" s="86"/>
      <c r="W623" s="45"/>
      <c r="X623" s="46"/>
      <c r="Y623" s="167">
        <f t="shared" si="513"/>
        <v>0</v>
      </c>
      <c r="Z623" s="167">
        <f t="shared" si="514"/>
        <v>0</v>
      </c>
      <c r="AA623" s="167">
        <f t="shared" si="515"/>
        <v>0</v>
      </c>
      <c r="AB623" s="167">
        <f t="shared" si="516"/>
        <v>0</v>
      </c>
      <c r="AC623" s="167">
        <f t="shared" si="517"/>
        <v>0</v>
      </c>
      <c r="AD623" s="167">
        <f t="shared" si="518"/>
        <v>0</v>
      </c>
      <c r="AF623" s="47">
        <f t="shared" si="519"/>
        <v>0</v>
      </c>
    </row>
    <row r="624" spans="1:32" x14ac:dyDescent="0.35">
      <c r="A624" s="269"/>
      <c r="B624" s="83"/>
      <c r="C624" s="83"/>
      <c r="D624" s="85"/>
      <c r="E624" s="83"/>
      <c r="F624" s="83"/>
      <c r="G624" s="43"/>
      <c r="H624" s="233"/>
      <c r="I624" s="42"/>
      <c r="J624" s="42"/>
      <c r="K624" s="42"/>
      <c r="L624" s="44"/>
      <c r="M624" s="44"/>
      <c r="N624" s="44"/>
      <c r="O624" s="44"/>
      <c r="P624" s="44"/>
      <c r="Q624" s="227"/>
      <c r="R624" s="228"/>
      <c r="S624" s="228"/>
      <c r="T624" s="228"/>
      <c r="U624" s="191">
        <f t="shared" si="512"/>
        <v>0</v>
      </c>
      <c r="V624" s="86"/>
      <c r="W624" s="45"/>
      <c r="X624" s="46"/>
      <c r="Y624" s="167">
        <f t="shared" si="513"/>
        <v>0</v>
      </c>
      <c r="Z624" s="167">
        <f t="shared" si="514"/>
        <v>0</v>
      </c>
      <c r="AA624" s="167">
        <f t="shared" si="515"/>
        <v>0</v>
      </c>
      <c r="AB624" s="167">
        <f t="shared" si="516"/>
        <v>0</v>
      </c>
      <c r="AC624" s="167">
        <f t="shared" si="517"/>
        <v>0</v>
      </c>
      <c r="AD624" s="167">
        <f t="shared" si="518"/>
        <v>0</v>
      </c>
      <c r="AF624" s="47">
        <f t="shared" si="519"/>
        <v>0</v>
      </c>
    </row>
    <row r="625" spans="1:32" x14ac:dyDescent="0.35">
      <c r="A625" s="269"/>
      <c r="B625" s="83"/>
      <c r="C625" s="83"/>
      <c r="D625" s="85"/>
      <c r="E625" s="83"/>
      <c r="F625" s="83"/>
      <c r="G625" s="43"/>
      <c r="H625" s="233"/>
      <c r="I625" s="42"/>
      <c r="J625" s="42"/>
      <c r="K625" s="42"/>
      <c r="L625" s="44"/>
      <c r="M625" s="44"/>
      <c r="N625" s="44"/>
      <c r="O625" s="44"/>
      <c r="P625" s="44"/>
      <c r="Q625" s="227"/>
      <c r="R625" s="228"/>
      <c r="S625" s="228"/>
      <c r="T625" s="228"/>
      <c r="U625" s="191">
        <f t="shared" si="512"/>
        <v>0</v>
      </c>
      <c r="V625" s="86"/>
      <c r="W625" s="45"/>
      <c r="X625" s="46"/>
      <c r="Y625" s="167">
        <f t="shared" si="513"/>
        <v>0</v>
      </c>
      <c r="Z625" s="167">
        <f t="shared" si="514"/>
        <v>0</v>
      </c>
      <c r="AA625" s="167">
        <f t="shared" si="515"/>
        <v>0</v>
      </c>
      <c r="AB625" s="167">
        <f t="shared" si="516"/>
        <v>0</v>
      </c>
      <c r="AC625" s="167">
        <f t="shared" si="517"/>
        <v>0</v>
      </c>
      <c r="AD625" s="167">
        <f t="shared" si="518"/>
        <v>0</v>
      </c>
      <c r="AF625" s="47">
        <f t="shared" si="519"/>
        <v>0</v>
      </c>
    </row>
    <row r="626" spans="1:32" x14ac:dyDescent="0.35">
      <c r="A626" s="269"/>
      <c r="B626" s="83"/>
      <c r="C626" s="83"/>
      <c r="D626" s="85"/>
      <c r="E626" s="83"/>
      <c r="F626" s="83"/>
      <c r="G626" s="43"/>
      <c r="H626" s="233"/>
      <c r="I626" s="42"/>
      <c r="J626" s="42"/>
      <c r="K626" s="42"/>
      <c r="L626" s="44"/>
      <c r="M626" s="44"/>
      <c r="N626" s="44"/>
      <c r="O626" s="44"/>
      <c r="P626" s="44"/>
      <c r="Q626" s="227"/>
      <c r="R626" s="228"/>
      <c r="S626" s="228"/>
      <c r="T626" s="228"/>
      <c r="U626" s="191">
        <f t="shared" si="512"/>
        <v>0</v>
      </c>
      <c r="V626" s="86"/>
      <c r="W626" s="45"/>
      <c r="X626" s="46"/>
      <c r="Y626" s="167">
        <f t="shared" si="513"/>
        <v>0</v>
      </c>
      <c r="Z626" s="167">
        <f t="shared" si="514"/>
        <v>0</v>
      </c>
      <c r="AA626" s="167">
        <f t="shared" si="515"/>
        <v>0</v>
      </c>
      <c r="AB626" s="167">
        <f t="shared" si="516"/>
        <v>0</v>
      </c>
      <c r="AC626" s="167">
        <f t="shared" si="517"/>
        <v>0</v>
      </c>
      <c r="AD626" s="167">
        <f t="shared" si="518"/>
        <v>0</v>
      </c>
      <c r="AF626" s="47">
        <f t="shared" si="519"/>
        <v>0</v>
      </c>
    </row>
    <row r="627" spans="1:32" x14ac:dyDescent="0.35">
      <c r="A627" s="269"/>
      <c r="B627" s="83"/>
      <c r="C627" s="83"/>
      <c r="D627" s="85"/>
      <c r="E627" s="83"/>
      <c r="F627" s="83"/>
      <c r="G627" s="43"/>
      <c r="H627" s="233"/>
      <c r="I627" s="42"/>
      <c r="J627" s="42"/>
      <c r="K627" s="42"/>
      <c r="L627" s="44"/>
      <c r="M627" s="44"/>
      <c r="N627" s="44"/>
      <c r="O627" s="44"/>
      <c r="P627" s="44"/>
      <c r="Q627" s="227"/>
      <c r="R627" s="228"/>
      <c r="S627" s="228"/>
      <c r="T627" s="228"/>
      <c r="U627" s="191">
        <f t="shared" si="512"/>
        <v>0</v>
      </c>
      <c r="V627" s="86"/>
      <c r="W627" s="45"/>
      <c r="X627" s="46"/>
      <c r="Y627" s="167">
        <f t="shared" si="513"/>
        <v>0</v>
      </c>
      <c r="Z627" s="167">
        <f t="shared" si="514"/>
        <v>0</v>
      </c>
      <c r="AA627" s="167">
        <f t="shared" si="515"/>
        <v>0</v>
      </c>
      <c r="AB627" s="167">
        <f t="shared" si="516"/>
        <v>0</v>
      </c>
      <c r="AC627" s="167">
        <f t="shared" si="517"/>
        <v>0</v>
      </c>
      <c r="AD627" s="167">
        <f t="shared" si="518"/>
        <v>0</v>
      </c>
      <c r="AF627" s="47">
        <f t="shared" si="519"/>
        <v>0</v>
      </c>
    </row>
    <row r="628" spans="1:32" x14ac:dyDescent="0.35">
      <c r="A628" s="269"/>
      <c r="B628" s="83"/>
      <c r="C628" s="83"/>
      <c r="D628" s="85"/>
      <c r="E628" s="83"/>
      <c r="F628" s="83"/>
      <c r="G628" s="43"/>
      <c r="H628" s="233"/>
      <c r="I628" s="42"/>
      <c r="J628" s="42"/>
      <c r="K628" s="42"/>
      <c r="L628" s="44"/>
      <c r="M628" s="44"/>
      <c r="N628" s="44"/>
      <c r="O628" s="44"/>
      <c r="P628" s="44"/>
      <c r="Q628" s="227"/>
      <c r="R628" s="228"/>
      <c r="S628" s="228"/>
      <c r="T628" s="228"/>
      <c r="U628" s="191">
        <f t="shared" si="512"/>
        <v>0</v>
      </c>
      <c r="V628" s="86"/>
      <c r="W628" s="45"/>
      <c r="X628" s="46"/>
      <c r="Y628" s="167">
        <f t="shared" si="513"/>
        <v>0</v>
      </c>
      <c r="Z628" s="167">
        <f t="shared" si="514"/>
        <v>0</v>
      </c>
      <c r="AA628" s="167">
        <f t="shared" si="515"/>
        <v>0</v>
      </c>
      <c r="AB628" s="167">
        <f t="shared" si="516"/>
        <v>0</v>
      </c>
      <c r="AC628" s="167">
        <f t="shared" si="517"/>
        <v>0</v>
      </c>
      <c r="AD628" s="167">
        <f t="shared" si="518"/>
        <v>0</v>
      </c>
      <c r="AF628" s="47">
        <f t="shared" si="519"/>
        <v>0</v>
      </c>
    </row>
    <row r="629" spans="1:32" x14ac:dyDescent="0.35">
      <c r="A629" s="269"/>
      <c r="B629" s="83"/>
      <c r="C629" s="83"/>
      <c r="D629" s="85"/>
      <c r="E629" s="83"/>
      <c r="F629" s="83"/>
      <c r="G629" s="43"/>
      <c r="H629" s="233"/>
      <c r="I629" s="42"/>
      <c r="J629" s="42"/>
      <c r="K629" s="42"/>
      <c r="L629" s="44"/>
      <c r="M629" s="44"/>
      <c r="N629" s="44"/>
      <c r="O629" s="44"/>
      <c r="P629" s="44"/>
      <c r="Q629" s="227"/>
      <c r="R629" s="228"/>
      <c r="S629" s="228"/>
      <c r="T629" s="228"/>
      <c r="U629" s="191">
        <f t="shared" si="512"/>
        <v>0</v>
      </c>
      <c r="V629" s="86"/>
      <c r="W629" s="45"/>
      <c r="X629" s="46"/>
      <c r="Y629" s="167">
        <f t="shared" si="513"/>
        <v>0</v>
      </c>
      <c r="Z629" s="167">
        <f t="shared" si="514"/>
        <v>0</v>
      </c>
      <c r="AA629" s="167">
        <f t="shared" si="515"/>
        <v>0</v>
      </c>
      <c r="AB629" s="167">
        <f t="shared" si="516"/>
        <v>0</v>
      </c>
      <c r="AC629" s="167">
        <f t="shared" si="517"/>
        <v>0</v>
      </c>
      <c r="AD629" s="167">
        <f t="shared" si="518"/>
        <v>0</v>
      </c>
      <c r="AF629" s="47">
        <f t="shared" si="519"/>
        <v>0</v>
      </c>
    </row>
    <row r="630" spans="1:32" x14ac:dyDescent="0.35">
      <c r="A630" s="269"/>
      <c r="B630" s="83"/>
      <c r="C630" s="83"/>
      <c r="D630" s="85"/>
      <c r="E630" s="83"/>
      <c r="F630" s="83"/>
      <c r="G630" s="43"/>
      <c r="H630" s="233"/>
      <c r="I630" s="42"/>
      <c r="J630" s="42"/>
      <c r="K630" s="42"/>
      <c r="L630" s="44"/>
      <c r="M630" s="44"/>
      <c r="N630" s="44"/>
      <c r="O630" s="44"/>
      <c r="P630" s="44"/>
      <c r="Q630" s="227"/>
      <c r="R630" s="228"/>
      <c r="S630" s="228"/>
      <c r="T630" s="228"/>
      <c r="U630" s="191">
        <f t="shared" si="512"/>
        <v>0</v>
      </c>
      <c r="V630" s="86"/>
      <c r="W630" s="45"/>
      <c r="X630" s="46"/>
      <c r="Y630" s="167">
        <f t="shared" si="513"/>
        <v>0</v>
      </c>
      <c r="Z630" s="167">
        <f t="shared" si="514"/>
        <v>0</v>
      </c>
      <c r="AA630" s="167">
        <f t="shared" si="515"/>
        <v>0</v>
      </c>
      <c r="AB630" s="167">
        <f t="shared" si="516"/>
        <v>0</v>
      </c>
      <c r="AC630" s="167">
        <f t="shared" si="517"/>
        <v>0</v>
      </c>
      <c r="AD630" s="167">
        <f t="shared" si="518"/>
        <v>0</v>
      </c>
      <c r="AF630" s="47">
        <f t="shared" si="519"/>
        <v>0</v>
      </c>
    </row>
    <row r="631" spans="1:32" x14ac:dyDescent="0.35">
      <c r="A631" s="269"/>
      <c r="B631" s="83"/>
      <c r="C631" s="83"/>
      <c r="D631" s="85"/>
      <c r="E631" s="83"/>
      <c r="F631" s="83"/>
      <c r="G631" s="43"/>
      <c r="H631" s="233"/>
      <c r="I631" s="42"/>
      <c r="J631" s="42"/>
      <c r="K631" s="42"/>
      <c r="L631" s="44"/>
      <c r="M631" s="44"/>
      <c r="N631" s="44"/>
      <c r="O631" s="44"/>
      <c r="P631" s="44"/>
      <c r="Q631" s="227"/>
      <c r="R631" s="228"/>
      <c r="S631" s="228"/>
      <c r="T631" s="228"/>
      <c r="U631" s="191">
        <f t="shared" si="512"/>
        <v>0</v>
      </c>
      <c r="V631" s="86"/>
      <c r="W631" s="45"/>
      <c r="X631" s="46"/>
      <c r="Y631" s="167">
        <f t="shared" si="513"/>
        <v>0</v>
      </c>
      <c r="Z631" s="167">
        <f t="shared" si="514"/>
        <v>0</v>
      </c>
      <c r="AA631" s="167">
        <f t="shared" si="515"/>
        <v>0</v>
      </c>
      <c r="AB631" s="167">
        <f t="shared" si="516"/>
        <v>0</v>
      </c>
      <c r="AC631" s="167">
        <f t="shared" si="517"/>
        <v>0</v>
      </c>
      <c r="AD631" s="167">
        <f t="shared" si="518"/>
        <v>0</v>
      </c>
      <c r="AF631" s="47">
        <f t="shared" si="519"/>
        <v>0</v>
      </c>
    </row>
    <row r="632" spans="1:32" x14ac:dyDescent="0.35">
      <c r="A632" s="269"/>
      <c r="B632" s="83"/>
      <c r="C632" s="83"/>
      <c r="D632" s="85"/>
      <c r="E632" s="83"/>
      <c r="F632" s="83"/>
      <c r="G632" s="43"/>
      <c r="H632" s="233"/>
      <c r="I632" s="42"/>
      <c r="J632" s="42"/>
      <c r="K632" s="42"/>
      <c r="L632" s="44"/>
      <c r="M632" s="44"/>
      <c r="N632" s="44"/>
      <c r="O632" s="44"/>
      <c r="P632" s="44"/>
      <c r="Q632" s="227"/>
      <c r="R632" s="228"/>
      <c r="S632" s="228"/>
      <c r="T632" s="228"/>
      <c r="U632" s="191">
        <f t="shared" si="512"/>
        <v>0</v>
      </c>
      <c r="V632" s="86"/>
      <c r="W632" s="45"/>
      <c r="X632" s="46"/>
      <c r="Y632" s="167">
        <f t="shared" si="513"/>
        <v>0</v>
      </c>
      <c r="Z632" s="167">
        <f t="shared" si="514"/>
        <v>0</v>
      </c>
      <c r="AA632" s="167">
        <f t="shared" si="515"/>
        <v>0</v>
      </c>
      <c r="AB632" s="167">
        <f t="shared" si="516"/>
        <v>0</v>
      </c>
      <c r="AC632" s="167">
        <f t="shared" si="517"/>
        <v>0</v>
      </c>
      <c r="AD632" s="167">
        <f t="shared" si="518"/>
        <v>0</v>
      </c>
      <c r="AF632" s="47">
        <f t="shared" si="519"/>
        <v>0</v>
      </c>
    </row>
    <row r="633" spans="1:32" x14ac:dyDescent="0.35">
      <c r="A633" s="269"/>
      <c r="B633" s="83"/>
      <c r="C633" s="83"/>
      <c r="D633" s="85"/>
      <c r="E633" s="83"/>
      <c r="F633" s="83"/>
      <c r="G633" s="43"/>
      <c r="H633" s="233"/>
      <c r="I633" s="42"/>
      <c r="J633" s="42"/>
      <c r="K633" s="42"/>
      <c r="L633" s="44"/>
      <c r="M633" s="44"/>
      <c r="N633" s="44"/>
      <c r="O633" s="44"/>
      <c r="P633" s="44"/>
      <c r="Q633" s="227"/>
      <c r="R633" s="228"/>
      <c r="S633" s="228"/>
      <c r="T633" s="228"/>
      <c r="U633" s="191">
        <f t="shared" ref="U633:U696" si="520">IF(Q633="",0,IF(T633="",0,+S633-T633))</f>
        <v>0</v>
      </c>
      <c r="V633" s="86"/>
      <c r="W633" s="45"/>
      <c r="X633" s="46"/>
      <c r="Y633" s="167">
        <f t="shared" ref="Y633:Y696" si="521">IF(G633=2,S633,0)</f>
        <v>0</v>
      </c>
      <c r="Z633" s="167">
        <f t="shared" ref="Z633:Z696" si="522">IF(Q633="",0,IF(G633=2,T633,0))</f>
        <v>0</v>
      </c>
      <c r="AA633" s="167">
        <f t="shared" ref="AA633:AA696" si="523">Y633-Z633</f>
        <v>0</v>
      </c>
      <c r="AB633" s="167">
        <f t="shared" ref="AB633:AB696" si="524">IF(G633=1,S633,0)</f>
        <v>0</v>
      </c>
      <c r="AC633" s="167">
        <f t="shared" ref="AC633:AC696" si="525">IF(Q633="",0,IF(G633=1,T633,0))</f>
        <v>0</v>
      </c>
      <c r="AD633" s="167">
        <f t="shared" ref="AD633:AD696" si="526">AB633-AC633</f>
        <v>0</v>
      </c>
      <c r="AF633" s="47">
        <f t="shared" si="519"/>
        <v>0</v>
      </c>
    </row>
    <row r="634" spans="1:32" x14ac:dyDescent="0.35">
      <c r="A634" s="269"/>
      <c r="B634" s="83"/>
      <c r="C634" s="83"/>
      <c r="D634" s="85"/>
      <c r="E634" s="83"/>
      <c r="F634" s="83"/>
      <c r="G634" s="43"/>
      <c r="H634" s="233"/>
      <c r="I634" s="42"/>
      <c r="J634" s="42"/>
      <c r="K634" s="42"/>
      <c r="L634" s="44"/>
      <c r="M634" s="44"/>
      <c r="N634" s="44"/>
      <c r="O634" s="44"/>
      <c r="P634" s="44"/>
      <c r="Q634" s="227"/>
      <c r="R634" s="228"/>
      <c r="S634" s="228"/>
      <c r="T634" s="228"/>
      <c r="U634" s="191">
        <f t="shared" si="520"/>
        <v>0</v>
      </c>
      <c r="V634" s="86"/>
      <c r="W634" s="45"/>
      <c r="X634" s="46"/>
      <c r="Y634" s="167">
        <f t="shared" si="521"/>
        <v>0</v>
      </c>
      <c r="Z634" s="167">
        <f t="shared" si="522"/>
        <v>0</v>
      </c>
      <c r="AA634" s="167">
        <f t="shared" si="523"/>
        <v>0</v>
      </c>
      <c r="AB634" s="167">
        <f t="shared" si="524"/>
        <v>0</v>
      </c>
      <c r="AC634" s="167">
        <f t="shared" si="525"/>
        <v>0</v>
      </c>
      <c r="AD634" s="167">
        <f t="shared" si="526"/>
        <v>0</v>
      </c>
      <c r="AF634" s="47">
        <f t="shared" si="519"/>
        <v>0</v>
      </c>
    </row>
    <row r="635" spans="1:32" x14ac:dyDescent="0.35">
      <c r="A635" s="269"/>
      <c r="B635" s="83"/>
      <c r="C635" s="83"/>
      <c r="D635" s="85"/>
      <c r="E635" s="83"/>
      <c r="F635" s="83"/>
      <c r="G635" s="43"/>
      <c r="H635" s="233"/>
      <c r="I635" s="42"/>
      <c r="J635" s="42"/>
      <c r="K635" s="42"/>
      <c r="L635" s="44"/>
      <c r="M635" s="44"/>
      <c r="N635" s="44"/>
      <c r="O635" s="44"/>
      <c r="P635" s="44"/>
      <c r="Q635" s="227"/>
      <c r="R635" s="228"/>
      <c r="S635" s="228"/>
      <c r="T635" s="228"/>
      <c r="U635" s="191">
        <f t="shared" si="520"/>
        <v>0</v>
      </c>
      <c r="V635" s="86"/>
      <c r="W635" s="45"/>
      <c r="X635" s="46"/>
      <c r="Y635" s="167">
        <f t="shared" si="521"/>
        <v>0</v>
      </c>
      <c r="Z635" s="167">
        <f t="shared" si="522"/>
        <v>0</v>
      </c>
      <c r="AA635" s="167">
        <f t="shared" si="523"/>
        <v>0</v>
      </c>
      <c r="AB635" s="167">
        <f t="shared" si="524"/>
        <v>0</v>
      </c>
      <c r="AC635" s="167">
        <f t="shared" si="525"/>
        <v>0</v>
      </c>
      <c r="AD635" s="167">
        <f t="shared" si="526"/>
        <v>0</v>
      </c>
      <c r="AF635" s="47">
        <f t="shared" si="519"/>
        <v>0</v>
      </c>
    </row>
    <row r="636" spans="1:32" x14ac:dyDescent="0.35">
      <c r="A636" s="269"/>
      <c r="B636" s="83"/>
      <c r="C636" s="83"/>
      <c r="D636" s="85"/>
      <c r="E636" s="83"/>
      <c r="F636" s="83"/>
      <c r="G636" s="43"/>
      <c r="H636" s="233"/>
      <c r="I636" s="42"/>
      <c r="J636" s="42"/>
      <c r="K636" s="42"/>
      <c r="L636" s="44"/>
      <c r="M636" s="44"/>
      <c r="N636" s="44"/>
      <c r="O636" s="44"/>
      <c r="P636" s="44"/>
      <c r="Q636" s="227"/>
      <c r="R636" s="228"/>
      <c r="S636" s="228"/>
      <c r="T636" s="228"/>
      <c r="U636" s="191">
        <f t="shared" si="520"/>
        <v>0</v>
      </c>
      <c r="V636" s="86"/>
      <c r="W636" s="45"/>
      <c r="X636" s="46"/>
      <c r="Y636" s="167">
        <f t="shared" si="521"/>
        <v>0</v>
      </c>
      <c r="Z636" s="167">
        <f t="shared" si="522"/>
        <v>0</v>
      </c>
      <c r="AA636" s="167">
        <f t="shared" si="523"/>
        <v>0</v>
      </c>
      <c r="AB636" s="167">
        <f t="shared" si="524"/>
        <v>0</v>
      </c>
      <c r="AC636" s="167">
        <f t="shared" si="525"/>
        <v>0</v>
      </c>
      <c r="AD636" s="167">
        <f t="shared" si="526"/>
        <v>0</v>
      </c>
      <c r="AF636" s="47">
        <f t="shared" si="519"/>
        <v>0</v>
      </c>
    </row>
    <row r="637" spans="1:32" x14ac:dyDescent="0.35">
      <c r="A637" s="269"/>
      <c r="B637" s="83"/>
      <c r="C637" s="83"/>
      <c r="D637" s="85"/>
      <c r="E637" s="83"/>
      <c r="F637" s="83"/>
      <c r="G637" s="43"/>
      <c r="H637" s="233"/>
      <c r="I637" s="42"/>
      <c r="J637" s="42"/>
      <c r="K637" s="42"/>
      <c r="L637" s="44"/>
      <c r="M637" s="44"/>
      <c r="N637" s="44"/>
      <c r="O637" s="44"/>
      <c r="P637" s="44"/>
      <c r="Q637" s="227"/>
      <c r="R637" s="228"/>
      <c r="S637" s="228"/>
      <c r="T637" s="228"/>
      <c r="U637" s="191">
        <f t="shared" si="520"/>
        <v>0</v>
      </c>
      <c r="V637" s="86"/>
      <c r="W637" s="45"/>
      <c r="X637" s="46"/>
      <c r="Y637" s="167">
        <f t="shared" si="521"/>
        <v>0</v>
      </c>
      <c r="Z637" s="167">
        <f t="shared" si="522"/>
        <v>0</v>
      </c>
      <c r="AA637" s="167">
        <f t="shared" si="523"/>
        <v>0</v>
      </c>
      <c r="AB637" s="167">
        <f t="shared" si="524"/>
        <v>0</v>
      </c>
      <c r="AC637" s="167">
        <f t="shared" si="525"/>
        <v>0</v>
      </c>
      <c r="AD637" s="167">
        <f t="shared" si="526"/>
        <v>0</v>
      </c>
      <c r="AF637" s="47">
        <f t="shared" si="519"/>
        <v>0</v>
      </c>
    </row>
    <row r="638" spans="1:32" x14ac:dyDescent="0.35">
      <c r="A638" s="269"/>
      <c r="B638" s="83"/>
      <c r="C638" s="83"/>
      <c r="D638" s="85"/>
      <c r="E638" s="83"/>
      <c r="F638" s="83"/>
      <c r="G638" s="43"/>
      <c r="H638" s="233"/>
      <c r="I638" s="42"/>
      <c r="J638" s="42"/>
      <c r="K638" s="42"/>
      <c r="L638" s="44"/>
      <c r="M638" s="44"/>
      <c r="N638" s="44"/>
      <c r="O638" s="44"/>
      <c r="P638" s="44"/>
      <c r="Q638" s="227"/>
      <c r="R638" s="228"/>
      <c r="S638" s="228"/>
      <c r="T638" s="228"/>
      <c r="U638" s="191">
        <f t="shared" si="520"/>
        <v>0</v>
      </c>
      <c r="V638" s="86"/>
      <c r="W638" s="45"/>
      <c r="X638" s="46"/>
      <c r="Y638" s="167">
        <f t="shared" si="521"/>
        <v>0</v>
      </c>
      <c r="Z638" s="167">
        <f t="shared" si="522"/>
        <v>0</v>
      </c>
      <c r="AA638" s="167">
        <f t="shared" si="523"/>
        <v>0</v>
      </c>
      <c r="AB638" s="167">
        <f t="shared" si="524"/>
        <v>0</v>
      </c>
      <c r="AC638" s="167">
        <f t="shared" si="525"/>
        <v>0</v>
      </c>
      <c r="AD638" s="167">
        <f t="shared" si="526"/>
        <v>0</v>
      </c>
      <c r="AF638" s="47">
        <f t="shared" si="519"/>
        <v>0</v>
      </c>
    </row>
    <row r="639" spans="1:32" x14ac:dyDescent="0.35">
      <c r="A639" s="269"/>
      <c r="B639" s="83"/>
      <c r="C639" s="83"/>
      <c r="D639" s="85"/>
      <c r="E639" s="83"/>
      <c r="F639" s="83"/>
      <c r="G639" s="43"/>
      <c r="H639" s="233"/>
      <c r="I639" s="42"/>
      <c r="J639" s="42"/>
      <c r="K639" s="42"/>
      <c r="L639" s="44"/>
      <c r="M639" s="44"/>
      <c r="N639" s="44"/>
      <c r="O639" s="44"/>
      <c r="P639" s="44"/>
      <c r="Q639" s="227"/>
      <c r="R639" s="228"/>
      <c r="S639" s="228"/>
      <c r="T639" s="228"/>
      <c r="U639" s="191">
        <f t="shared" si="520"/>
        <v>0</v>
      </c>
      <c r="V639" s="86"/>
      <c r="W639" s="45"/>
      <c r="X639" s="46"/>
      <c r="Y639" s="167">
        <f t="shared" si="521"/>
        <v>0</v>
      </c>
      <c r="Z639" s="167">
        <f t="shared" si="522"/>
        <v>0</v>
      </c>
      <c r="AA639" s="167">
        <f t="shared" si="523"/>
        <v>0</v>
      </c>
      <c r="AB639" s="167">
        <f t="shared" si="524"/>
        <v>0</v>
      </c>
      <c r="AC639" s="167">
        <f t="shared" si="525"/>
        <v>0</v>
      </c>
      <c r="AD639" s="167">
        <f t="shared" si="526"/>
        <v>0</v>
      </c>
      <c r="AF639" s="47">
        <f t="shared" si="519"/>
        <v>0</v>
      </c>
    </row>
    <row r="640" spans="1:32" x14ac:dyDescent="0.35">
      <c r="A640" s="269"/>
      <c r="B640" s="83"/>
      <c r="C640" s="83"/>
      <c r="D640" s="85"/>
      <c r="E640" s="83"/>
      <c r="F640" s="83"/>
      <c r="G640" s="43"/>
      <c r="H640" s="233"/>
      <c r="I640" s="42"/>
      <c r="J640" s="42"/>
      <c r="K640" s="42"/>
      <c r="L640" s="44"/>
      <c r="M640" s="44"/>
      <c r="N640" s="44"/>
      <c r="O640" s="44"/>
      <c r="P640" s="44"/>
      <c r="Q640" s="227"/>
      <c r="R640" s="228"/>
      <c r="S640" s="228"/>
      <c r="T640" s="228"/>
      <c r="U640" s="191">
        <f t="shared" si="520"/>
        <v>0</v>
      </c>
      <c r="V640" s="86"/>
      <c r="W640" s="45"/>
      <c r="X640" s="46"/>
      <c r="Y640" s="167">
        <f t="shared" si="521"/>
        <v>0</v>
      </c>
      <c r="Z640" s="167">
        <f t="shared" si="522"/>
        <v>0</v>
      </c>
      <c r="AA640" s="167">
        <f t="shared" si="523"/>
        <v>0</v>
      </c>
      <c r="AB640" s="167">
        <f t="shared" si="524"/>
        <v>0</v>
      </c>
      <c r="AC640" s="167">
        <f t="shared" si="525"/>
        <v>0</v>
      </c>
      <c r="AD640" s="167">
        <f t="shared" si="526"/>
        <v>0</v>
      </c>
      <c r="AF640" s="47">
        <f t="shared" si="519"/>
        <v>0</v>
      </c>
    </row>
    <row r="641" spans="1:32" x14ac:dyDescent="0.35">
      <c r="A641" s="269"/>
      <c r="B641" s="83"/>
      <c r="C641" s="83"/>
      <c r="D641" s="85"/>
      <c r="E641" s="83"/>
      <c r="F641" s="83"/>
      <c r="G641" s="43"/>
      <c r="H641" s="233"/>
      <c r="I641" s="42"/>
      <c r="J641" s="42"/>
      <c r="K641" s="42"/>
      <c r="L641" s="44"/>
      <c r="M641" s="44"/>
      <c r="N641" s="44"/>
      <c r="O641" s="44"/>
      <c r="P641" s="44"/>
      <c r="Q641" s="227"/>
      <c r="R641" s="228"/>
      <c r="S641" s="228"/>
      <c r="T641" s="228"/>
      <c r="U641" s="191">
        <f t="shared" si="520"/>
        <v>0</v>
      </c>
      <c r="V641" s="86"/>
      <c r="W641" s="45"/>
      <c r="X641" s="46"/>
      <c r="Y641" s="167">
        <f t="shared" si="521"/>
        <v>0</v>
      </c>
      <c r="Z641" s="167">
        <f t="shared" si="522"/>
        <v>0</v>
      </c>
      <c r="AA641" s="167">
        <f t="shared" si="523"/>
        <v>0</v>
      </c>
      <c r="AB641" s="167">
        <f t="shared" si="524"/>
        <v>0</v>
      </c>
      <c r="AC641" s="167">
        <f t="shared" si="525"/>
        <v>0</v>
      </c>
      <c r="AD641" s="167">
        <f t="shared" si="526"/>
        <v>0</v>
      </c>
      <c r="AF641" s="47">
        <f t="shared" si="519"/>
        <v>0</v>
      </c>
    </row>
    <row r="642" spans="1:32" x14ac:dyDescent="0.35">
      <c r="A642" s="269"/>
      <c r="B642" s="83"/>
      <c r="C642" s="83"/>
      <c r="D642" s="85"/>
      <c r="E642" s="83"/>
      <c r="F642" s="83"/>
      <c r="G642" s="43"/>
      <c r="H642" s="233"/>
      <c r="I642" s="42"/>
      <c r="J642" s="42"/>
      <c r="K642" s="42"/>
      <c r="L642" s="44"/>
      <c r="M642" s="44"/>
      <c r="N642" s="44"/>
      <c r="O642" s="44"/>
      <c r="P642" s="44"/>
      <c r="Q642" s="227"/>
      <c r="R642" s="228"/>
      <c r="S642" s="228"/>
      <c r="T642" s="228"/>
      <c r="U642" s="191">
        <f t="shared" si="520"/>
        <v>0</v>
      </c>
      <c r="V642" s="86"/>
      <c r="W642" s="45"/>
      <c r="X642" s="46"/>
      <c r="Y642" s="167">
        <f t="shared" si="521"/>
        <v>0</v>
      </c>
      <c r="Z642" s="167">
        <f t="shared" si="522"/>
        <v>0</v>
      </c>
      <c r="AA642" s="167">
        <f t="shared" si="523"/>
        <v>0</v>
      </c>
      <c r="AB642" s="167">
        <f t="shared" si="524"/>
        <v>0</v>
      </c>
      <c r="AC642" s="167">
        <f t="shared" si="525"/>
        <v>0</v>
      </c>
      <c r="AD642" s="167">
        <f t="shared" si="526"/>
        <v>0</v>
      </c>
      <c r="AF642" s="47">
        <f t="shared" si="519"/>
        <v>0</v>
      </c>
    </row>
    <row r="643" spans="1:32" x14ac:dyDescent="0.35">
      <c r="A643" s="269"/>
      <c r="B643" s="83"/>
      <c r="C643" s="83"/>
      <c r="D643" s="85"/>
      <c r="E643" s="83"/>
      <c r="F643" s="83"/>
      <c r="G643" s="43"/>
      <c r="H643" s="233"/>
      <c r="I643" s="42"/>
      <c r="J643" s="42"/>
      <c r="K643" s="42"/>
      <c r="L643" s="44"/>
      <c r="M643" s="44"/>
      <c r="N643" s="44"/>
      <c r="O643" s="44"/>
      <c r="P643" s="44"/>
      <c r="Q643" s="227"/>
      <c r="R643" s="228"/>
      <c r="S643" s="228"/>
      <c r="T643" s="228"/>
      <c r="U643" s="191">
        <f t="shared" si="520"/>
        <v>0</v>
      </c>
      <c r="V643" s="86"/>
      <c r="W643" s="45"/>
      <c r="X643" s="46"/>
      <c r="Y643" s="167">
        <f t="shared" si="521"/>
        <v>0</v>
      </c>
      <c r="Z643" s="167">
        <f t="shared" si="522"/>
        <v>0</v>
      </c>
      <c r="AA643" s="167">
        <f t="shared" si="523"/>
        <v>0</v>
      </c>
      <c r="AB643" s="167">
        <f t="shared" si="524"/>
        <v>0</v>
      </c>
      <c r="AC643" s="167">
        <f t="shared" si="525"/>
        <v>0</v>
      </c>
      <c r="AD643" s="167">
        <f t="shared" si="526"/>
        <v>0</v>
      </c>
      <c r="AF643" s="47">
        <f t="shared" si="519"/>
        <v>0</v>
      </c>
    </row>
    <row r="644" spans="1:32" x14ac:dyDescent="0.35">
      <c r="A644" s="269"/>
      <c r="B644" s="83"/>
      <c r="C644" s="83"/>
      <c r="D644" s="85"/>
      <c r="E644" s="83"/>
      <c r="F644" s="83"/>
      <c r="G644" s="43"/>
      <c r="H644" s="233"/>
      <c r="I644" s="42"/>
      <c r="J644" s="42"/>
      <c r="K644" s="42"/>
      <c r="L644" s="44"/>
      <c r="M644" s="44"/>
      <c r="N644" s="44"/>
      <c r="O644" s="44"/>
      <c r="P644" s="44"/>
      <c r="Q644" s="227"/>
      <c r="R644" s="228"/>
      <c r="S644" s="228"/>
      <c r="T644" s="228"/>
      <c r="U644" s="191">
        <f t="shared" si="520"/>
        <v>0</v>
      </c>
      <c r="V644" s="86"/>
      <c r="W644" s="45"/>
      <c r="X644" s="46"/>
      <c r="Y644" s="167">
        <f t="shared" si="521"/>
        <v>0</v>
      </c>
      <c r="Z644" s="167">
        <f t="shared" si="522"/>
        <v>0</v>
      </c>
      <c r="AA644" s="167">
        <f t="shared" si="523"/>
        <v>0</v>
      </c>
      <c r="AB644" s="167">
        <f t="shared" si="524"/>
        <v>0</v>
      </c>
      <c r="AC644" s="167">
        <f t="shared" si="525"/>
        <v>0</v>
      </c>
      <c r="AD644" s="167">
        <f t="shared" si="526"/>
        <v>0</v>
      </c>
      <c r="AF644" s="47">
        <f t="shared" si="519"/>
        <v>0</v>
      </c>
    </row>
    <row r="645" spans="1:32" x14ac:dyDescent="0.35">
      <c r="A645" s="269"/>
      <c r="B645" s="83"/>
      <c r="C645" s="83"/>
      <c r="D645" s="85"/>
      <c r="E645" s="83"/>
      <c r="F645" s="83"/>
      <c r="G645" s="43"/>
      <c r="H645" s="233"/>
      <c r="I645" s="42"/>
      <c r="J645" s="42"/>
      <c r="K645" s="42"/>
      <c r="L645" s="44"/>
      <c r="M645" s="44"/>
      <c r="N645" s="44"/>
      <c r="O645" s="44"/>
      <c r="P645" s="44"/>
      <c r="Q645" s="227"/>
      <c r="R645" s="228"/>
      <c r="S645" s="228"/>
      <c r="T645" s="228"/>
      <c r="U645" s="191">
        <f t="shared" si="520"/>
        <v>0</v>
      </c>
      <c r="V645" s="86"/>
      <c r="W645" s="45"/>
      <c r="X645" s="46"/>
      <c r="Y645" s="167">
        <f t="shared" si="521"/>
        <v>0</v>
      </c>
      <c r="Z645" s="167">
        <f t="shared" si="522"/>
        <v>0</v>
      </c>
      <c r="AA645" s="167">
        <f t="shared" si="523"/>
        <v>0</v>
      </c>
      <c r="AB645" s="167">
        <f t="shared" si="524"/>
        <v>0</v>
      </c>
      <c r="AC645" s="167">
        <f t="shared" si="525"/>
        <v>0</v>
      </c>
      <c r="AD645" s="167">
        <f t="shared" si="526"/>
        <v>0</v>
      </c>
      <c r="AF645" s="47">
        <f t="shared" si="519"/>
        <v>0</v>
      </c>
    </row>
    <row r="646" spans="1:32" x14ac:dyDescent="0.35">
      <c r="A646" s="269"/>
      <c r="B646" s="83"/>
      <c r="C646" s="83"/>
      <c r="D646" s="85"/>
      <c r="E646" s="83"/>
      <c r="F646" s="83"/>
      <c r="G646" s="43"/>
      <c r="H646" s="233"/>
      <c r="I646" s="42"/>
      <c r="J646" s="42"/>
      <c r="K646" s="42"/>
      <c r="L646" s="44"/>
      <c r="M646" s="44"/>
      <c r="N646" s="44"/>
      <c r="O646" s="44"/>
      <c r="P646" s="44"/>
      <c r="Q646" s="227"/>
      <c r="R646" s="228"/>
      <c r="S646" s="228"/>
      <c r="T646" s="228"/>
      <c r="U646" s="191">
        <f t="shared" si="520"/>
        <v>0</v>
      </c>
      <c r="V646" s="86"/>
      <c r="W646" s="45"/>
      <c r="X646" s="46"/>
      <c r="Y646" s="167">
        <f t="shared" si="521"/>
        <v>0</v>
      </c>
      <c r="Z646" s="167">
        <f t="shared" si="522"/>
        <v>0</v>
      </c>
      <c r="AA646" s="167">
        <f t="shared" si="523"/>
        <v>0</v>
      </c>
      <c r="AB646" s="167">
        <f t="shared" si="524"/>
        <v>0</v>
      </c>
      <c r="AC646" s="167">
        <f t="shared" si="525"/>
        <v>0</v>
      </c>
      <c r="AD646" s="167">
        <f t="shared" si="526"/>
        <v>0</v>
      </c>
      <c r="AF646" s="47">
        <f t="shared" si="519"/>
        <v>0</v>
      </c>
    </row>
    <row r="647" spans="1:32" x14ac:dyDescent="0.35">
      <c r="A647" s="269"/>
      <c r="B647" s="83"/>
      <c r="C647" s="83"/>
      <c r="D647" s="85"/>
      <c r="E647" s="83"/>
      <c r="F647" s="83"/>
      <c r="G647" s="43"/>
      <c r="H647" s="233"/>
      <c r="I647" s="42"/>
      <c r="J647" s="42"/>
      <c r="K647" s="42"/>
      <c r="L647" s="44"/>
      <c r="M647" s="44"/>
      <c r="N647" s="44"/>
      <c r="O647" s="44"/>
      <c r="P647" s="44"/>
      <c r="Q647" s="227"/>
      <c r="R647" s="228"/>
      <c r="S647" s="228"/>
      <c r="T647" s="228"/>
      <c r="U647" s="191">
        <f t="shared" si="520"/>
        <v>0</v>
      </c>
      <c r="V647" s="86"/>
      <c r="W647" s="45"/>
      <c r="X647" s="46"/>
      <c r="Y647" s="167">
        <f t="shared" si="521"/>
        <v>0</v>
      </c>
      <c r="Z647" s="167">
        <f t="shared" si="522"/>
        <v>0</v>
      </c>
      <c r="AA647" s="167">
        <f t="shared" si="523"/>
        <v>0</v>
      </c>
      <c r="AB647" s="167">
        <f t="shared" si="524"/>
        <v>0</v>
      </c>
      <c r="AC647" s="167">
        <f t="shared" si="525"/>
        <v>0</v>
      </c>
      <c r="AD647" s="167">
        <f t="shared" si="526"/>
        <v>0</v>
      </c>
      <c r="AF647" s="47">
        <f t="shared" si="519"/>
        <v>0</v>
      </c>
    </row>
    <row r="648" spans="1:32" x14ac:dyDescent="0.35">
      <c r="A648" s="269"/>
      <c r="B648" s="83"/>
      <c r="C648" s="83"/>
      <c r="D648" s="85"/>
      <c r="E648" s="83"/>
      <c r="F648" s="83"/>
      <c r="G648" s="43"/>
      <c r="H648" s="233"/>
      <c r="I648" s="42"/>
      <c r="J648" s="42"/>
      <c r="K648" s="42"/>
      <c r="L648" s="44"/>
      <c r="M648" s="44"/>
      <c r="N648" s="44"/>
      <c r="O648" s="44"/>
      <c r="P648" s="44"/>
      <c r="Q648" s="227"/>
      <c r="R648" s="228"/>
      <c r="S648" s="228"/>
      <c r="T648" s="228"/>
      <c r="U648" s="191">
        <f t="shared" si="520"/>
        <v>0</v>
      </c>
      <c r="V648" s="86"/>
      <c r="W648" s="45"/>
      <c r="X648" s="46"/>
      <c r="Y648" s="167">
        <f t="shared" si="521"/>
        <v>0</v>
      </c>
      <c r="Z648" s="167">
        <f t="shared" si="522"/>
        <v>0</v>
      </c>
      <c r="AA648" s="167">
        <f t="shared" si="523"/>
        <v>0</v>
      </c>
      <c r="AB648" s="167">
        <f t="shared" si="524"/>
        <v>0</v>
      </c>
      <c r="AC648" s="167">
        <f t="shared" si="525"/>
        <v>0</v>
      </c>
      <c r="AD648" s="167">
        <f t="shared" si="526"/>
        <v>0</v>
      </c>
      <c r="AF648" s="47">
        <f t="shared" si="519"/>
        <v>0</v>
      </c>
    </row>
    <row r="649" spans="1:32" x14ac:dyDescent="0.35">
      <c r="A649" s="269"/>
      <c r="B649" s="83"/>
      <c r="C649" s="83"/>
      <c r="D649" s="85"/>
      <c r="E649" s="83"/>
      <c r="F649" s="83"/>
      <c r="G649" s="43"/>
      <c r="H649" s="233"/>
      <c r="I649" s="42"/>
      <c r="J649" s="42"/>
      <c r="K649" s="42"/>
      <c r="L649" s="44"/>
      <c r="M649" s="44"/>
      <c r="N649" s="44"/>
      <c r="O649" s="44"/>
      <c r="P649" s="44"/>
      <c r="Q649" s="227"/>
      <c r="R649" s="228"/>
      <c r="S649" s="228"/>
      <c r="T649" s="228"/>
      <c r="U649" s="191">
        <f t="shared" si="520"/>
        <v>0</v>
      </c>
      <c r="V649" s="86"/>
      <c r="W649" s="45"/>
      <c r="X649" s="46"/>
      <c r="Y649" s="167">
        <f t="shared" si="521"/>
        <v>0</v>
      </c>
      <c r="Z649" s="167">
        <f t="shared" si="522"/>
        <v>0</v>
      </c>
      <c r="AA649" s="167">
        <f t="shared" si="523"/>
        <v>0</v>
      </c>
      <c r="AB649" s="167">
        <f t="shared" si="524"/>
        <v>0</v>
      </c>
      <c r="AC649" s="167">
        <f t="shared" si="525"/>
        <v>0</v>
      </c>
      <c r="AD649" s="167">
        <f t="shared" si="526"/>
        <v>0</v>
      </c>
      <c r="AF649" s="47">
        <f t="shared" si="519"/>
        <v>0</v>
      </c>
    </row>
    <row r="650" spans="1:32" x14ac:dyDescent="0.35">
      <c r="A650" s="269"/>
      <c r="B650" s="83"/>
      <c r="C650" s="83"/>
      <c r="D650" s="85"/>
      <c r="E650" s="83"/>
      <c r="F650" s="83"/>
      <c r="G650" s="43"/>
      <c r="H650" s="233"/>
      <c r="I650" s="42"/>
      <c r="J650" s="42"/>
      <c r="K650" s="42"/>
      <c r="L650" s="44"/>
      <c r="M650" s="44"/>
      <c r="N650" s="44"/>
      <c r="O650" s="44"/>
      <c r="P650" s="44"/>
      <c r="Q650" s="227"/>
      <c r="R650" s="228"/>
      <c r="S650" s="228"/>
      <c r="T650" s="228"/>
      <c r="U650" s="191">
        <f t="shared" si="520"/>
        <v>0</v>
      </c>
      <c r="V650" s="86"/>
      <c r="W650" s="45"/>
      <c r="X650" s="46"/>
      <c r="Y650" s="167">
        <f t="shared" si="521"/>
        <v>0</v>
      </c>
      <c r="Z650" s="167">
        <f t="shared" si="522"/>
        <v>0</v>
      </c>
      <c r="AA650" s="167">
        <f t="shared" si="523"/>
        <v>0</v>
      </c>
      <c r="AB650" s="167">
        <f t="shared" si="524"/>
        <v>0</v>
      </c>
      <c r="AC650" s="167">
        <f t="shared" si="525"/>
        <v>0</v>
      </c>
      <c r="AD650" s="167">
        <f t="shared" si="526"/>
        <v>0</v>
      </c>
      <c r="AF650" s="47">
        <f t="shared" si="519"/>
        <v>0</v>
      </c>
    </row>
    <row r="651" spans="1:32" x14ac:dyDescent="0.35">
      <c r="A651" s="269"/>
      <c r="B651" s="83"/>
      <c r="C651" s="83"/>
      <c r="D651" s="85"/>
      <c r="E651" s="83"/>
      <c r="F651" s="83"/>
      <c r="G651" s="43"/>
      <c r="H651" s="233"/>
      <c r="I651" s="42"/>
      <c r="J651" s="42"/>
      <c r="K651" s="42"/>
      <c r="L651" s="44"/>
      <c r="M651" s="44"/>
      <c r="N651" s="44"/>
      <c r="O651" s="44"/>
      <c r="P651" s="44"/>
      <c r="Q651" s="227"/>
      <c r="R651" s="228"/>
      <c r="S651" s="228"/>
      <c r="T651" s="228"/>
      <c r="U651" s="191">
        <f t="shared" si="520"/>
        <v>0</v>
      </c>
      <c r="V651" s="86"/>
      <c r="W651" s="45"/>
      <c r="X651" s="46"/>
      <c r="Y651" s="167">
        <f t="shared" si="521"/>
        <v>0</v>
      </c>
      <c r="Z651" s="167">
        <f t="shared" si="522"/>
        <v>0</v>
      </c>
      <c r="AA651" s="167">
        <f t="shared" si="523"/>
        <v>0</v>
      </c>
      <c r="AB651" s="167">
        <f t="shared" si="524"/>
        <v>0</v>
      </c>
      <c r="AC651" s="167">
        <f t="shared" si="525"/>
        <v>0</v>
      </c>
      <c r="AD651" s="167">
        <f t="shared" si="526"/>
        <v>0</v>
      </c>
      <c r="AF651" s="47">
        <f t="shared" si="519"/>
        <v>0</v>
      </c>
    </row>
    <row r="652" spans="1:32" x14ac:dyDescent="0.35">
      <c r="A652" s="269"/>
      <c r="B652" s="83"/>
      <c r="C652" s="83"/>
      <c r="D652" s="85"/>
      <c r="E652" s="83"/>
      <c r="F652" s="83"/>
      <c r="G652" s="43"/>
      <c r="H652" s="233"/>
      <c r="I652" s="42"/>
      <c r="J652" s="42"/>
      <c r="K652" s="42"/>
      <c r="L652" s="44"/>
      <c r="M652" s="44"/>
      <c r="N652" s="44"/>
      <c r="O652" s="44"/>
      <c r="P652" s="44"/>
      <c r="Q652" s="227"/>
      <c r="R652" s="228"/>
      <c r="S652" s="228"/>
      <c r="T652" s="228"/>
      <c r="U652" s="191">
        <f t="shared" si="520"/>
        <v>0</v>
      </c>
      <c r="V652" s="86"/>
      <c r="W652" s="45"/>
      <c r="X652" s="46"/>
      <c r="Y652" s="167">
        <f t="shared" si="521"/>
        <v>0</v>
      </c>
      <c r="Z652" s="167">
        <f t="shared" si="522"/>
        <v>0</v>
      </c>
      <c r="AA652" s="167">
        <f t="shared" si="523"/>
        <v>0</v>
      </c>
      <c r="AB652" s="167">
        <f t="shared" si="524"/>
        <v>0</v>
      </c>
      <c r="AC652" s="167">
        <f t="shared" si="525"/>
        <v>0</v>
      </c>
      <c r="AD652" s="167">
        <f t="shared" si="526"/>
        <v>0</v>
      </c>
      <c r="AF652" s="47">
        <f t="shared" si="519"/>
        <v>0</v>
      </c>
    </row>
    <row r="653" spans="1:32" x14ac:dyDescent="0.35">
      <c r="A653" s="269"/>
      <c r="B653" s="83"/>
      <c r="C653" s="83"/>
      <c r="D653" s="85"/>
      <c r="E653" s="83"/>
      <c r="F653" s="83"/>
      <c r="G653" s="43"/>
      <c r="H653" s="233"/>
      <c r="I653" s="42"/>
      <c r="J653" s="42"/>
      <c r="K653" s="42"/>
      <c r="L653" s="44"/>
      <c r="M653" s="44"/>
      <c r="N653" s="44"/>
      <c r="O653" s="44"/>
      <c r="P653" s="44"/>
      <c r="Q653" s="227"/>
      <c r="R653" s="228"/>
      <c r="S653" s="228"/>
      <c r="T653" s="228"/>
      <c r="U653" s="191">
        <f t="shared" si="520"/>
        <v>0</v>
      </c>
      <c r="V653" s="86"/>
      <c r="W653" s="45"/>
      <c r="X653" s="46"/>
      <c r="Y653" s="167">
        <f t="shared" si="521"/>
        <v>0</v>
      </c>
      <c r="Z653" s="167">
        <f t="shared" si="522"/>
        <v>0</v>
      </c>
      <c r="AA653" s="167">
        <f t="shared" si="523"/>
        <v>0</v>
      </c>
      <c r="AB653" s="167">
        <f t="shared" si="524"/>
        <v>0</v>
      </c>
      <c r="AC653" s="167">
        <f t="shared" si="525"/>
        <v>0</v>
      </c>
      <c r="AD653" s="167">
        <f t="shared" si="526"/>
        <v>0</v>
      </c>
      <c r="AF653" s="47">
        <f t="shared" si="519"/>
        <v>0</v>
      </c>
    </row>
    <row r="654" spans="1:32" x14ac:dyDescent="0.35">
      <c r="A654" s="269"/>
      <c r="B654" s="83"/>
      <c r="C654" s="83"/>
      <c r="D654" s="85"/>
      <c r="E654" s="83"/>
      <c r="F654" s="83"/>
      <c r="G654" s="43"/>
      <c r="H654" s="233"/>
      <c r="I654" s="42"/>
      <c r="J654" s="42"/>
      <c r="K654" s="42"/>
      <c r="L654" s="44"/>
      <c r="M654" s="44"/>
      <c r="N654" s="44"/>
      <c r="O654" s="44"/>
      <c r="P654" s="44"/>
      <c r="Q654" s="227"/>
      <c r="R654" s="228"/>
      <c r="S654" s="228"/>
      <c r="T654" s="228"/>
      <c r="U654" s="191">
        <f t="shared" si="520"/>
        <v>0</v>
      </c>
      <c r="V654" s="86"/>
      <c r="W654" s="45"/>
      <c r="X654" s="46"/>
      <c r="Y654" s="167">
        <f t="shared" si="521"/>
        <v>0</v>
      </c>
      <c r="Z654" s="167">
        <f t="shared" si="522"/>
        <v>0</v>
      </c>
      <c r="AA654" s="167">
        <f t="shared" si="523"/>
        <v>0</v>
      </c>
      <c r="AB654" s="167">
        <f t="shared" si="524"/>
        <v>0</v>
      </c>
      <c r="AC654" s="167">
        <f t="shared" si="525"/>
        <v>0</v>
      </c>
      <c r="AD654" s="167">
        <f t="shared" si="526"/>
        <v>0</v>
      </c>
      <c r="AF654" s="47">
        <f t="shared" si="519"/>
        <v>0</v>
      </c>
    </row>
    <row r="655" spans="1:32" x14ac:dyDescent="0.35">
      <c r="A655" s="269"/>
      <c r="B655" s="83"/>
      <c r="C655" s="83"/>
      <c r="D655" s="85"/>
      <c r="E655" s="83"/>
      <c r="F655" s="83"/>
      <c r="G655" s="43"/>
      <c r="H655" s="233"/>
      <c r="I655" s="42"/>
      <c r="J655" s="42"/>
      <c r="K655" s="42"/>
      <c r="L655" s="44"/>
      <c r="M655" s="44"/>
      <c r="N655" s="44"/>
      <c r="O655" s="44"/>
      <c r="P655" s="44"/>
      <c r="Q655" s="227"/>
      <c r="R655" s="228"/>
      <c r="S655" s="228"/>
      <c r="T655" s="228"/>
      <c r="U655" s="191">
        <f t="shared" si="520"/>
        <v>0</v>
      </c>
      <c r="V655" s="86"/>
      <c r="W655" s="45"/>
      <c r="X655" s="46"/>
      <c r="Y655" s="167">
        <f t="shared" si="521"/>
        <v>0</v>
      </c>
      <c r="Z655" s="167">
        <f t="shared" si="522"/>
        <v>0</v>
      </c>
      <c r="AA655" s="167">
        <f t="shared" si="523"/>
        <v>0</v>
      </c>
      <c r="AB655" s="167">
        <f t="shared" si="524"/>
        <v>0</v>
      </c>
      <c r="AC655" s="167">
        <f t="shared" si="525"/>
        <v>0</v>
      </c>
      <c r="AD655" s="167">
        <f t="shared" si="526"/>
        <v>0</v>
      </c>
      <c r="AF655" s="47">
        <f t="shared" si="519"/>
        <v>0</v>
      </c>
    </row>
    <row r="656" spans="1:32" x14ac:dyDescent="0.35">
      <c r="A656" s="269"/>
      <c r="B656" s="83"/>
      <c r="C656" s="83"/>
      <c r="D656" s="85"/>
      <c r="E656" s="83"/>
      <c r="F656" s="83"/>
      <c r="G656" s="43"/>
      <c r="H656" s="233"/>
      <c r="I656" s="42"/>
      <c r="J656" s="42"/>
      <c r="K656" s="42"/>
      <c r="L656" s="44"/>
      <c r="M656" s="44"/>
      <c r="N656" s="44"/>
      <c r="O656" s="44"/>
      <c r="P656" s="44"/>
      <c r="Q656" s="227"/>
      <c r="R656" s="228"/>
      <c r="S656" s="228"/>
      <c r="T656" s="228"/>
      <c r="U656" s="191">
        <f t="shared" si="520"/>
        <v>0</v>
      </c>
      <c r="V656" s="86"/>
      <c r="W656" s="45"/>
      <c r="X656" s="46"/>
      <c r="Y656" s="167">
        <f t="shared" si="521"/>
        <v>0</v>
      </c>
      <c r="Z656" s="167">
        <f t="shared" si="522"/>
        <v>0</v>
      </c>
      <c r="AA656" s="167">
        <f t="shared" si="523"/>
        <v>0</v>
      </c>
      <c r="AB656" s="167">
        <f t="shared" si="524"/>
        <v>0</v>
      </c>
      <c r="AC656" s="167">
        <f t="shared" si="525"/>
        <v>0</v>
      </c>
      <c r="AD656" s="167">
        <f t="shared" si="526"/>
        <v>0</v>
      </c>
      <c r="AF656" s="47">
        <f t="shared" si="519"/>
        <v>0</v>
      </c>
    </row>
    <row r="657" spans="1:32" x14ac:dyDescent="0.35">
      <c r="A657" s="269"/>
      <c r="B657" s="83"/>
      <c r="C657" s="83"/>
      <c r="D657" s="85"/>
      <c r="E657" s="83"/>
      <c r="F657" s="83"/>
      <c r="G657" s="43"/>
      <c r="H657" s="233"/>
      <c r="I657" s="42"/>
      <c r="J657" s="42"/>
      <c r="K657" s="42"/>
      <c r="L657" s="44"/>
      <c r="M657" s="44"/>
      <c r="N657" s="44"/>
      <c r="O657" s="44"/>
      <c r="P657" s="44"/>
      <c r="Q657" s="227"/>
      <c r="R657" s="228"/>
      <c r="S657" s="228"/>
      <c r="T657" s="228"/>
      <c r="U657" s="191">
        <f t="shared" si="520"/>
        <v>0</v>
      </c>
      <c r="V657" s="86"/>
      <c r="W657" s="45"/>
      <c r="X657" s="46"/>
      <c r="Y657" s="167">
        <f t="shared" si="521"/>
        <v>0</v>
      </c>
      <c r="Z657" s="167">
        <f t="shared" si="522"/>
        <v>0</v>
      </c>
      <c r="AA657" s="167">
        <f t="shared" si="523"/>
        <v>0</v>
      </c>
      <c r="AB657" s="167">
        <f t="shared" si="524"/>
        <v>0</v>
      </c>
      <c r="AC657" s="167">
        <f t="shared" si="525"/>
        <v>0</v>
      </c>
      <c r="AD657" s="167">
        <f t="shared" si="526"/>
        <v>0</v>
      </c>
      <c r="AF657" s="47">
        <f t="shared" si="519"/>
        <v>0</v>
      </c>
    </row>
    <row r="658" spans="1:32" x14ac:dyDescent="0.35">
      <c r="A658" s="269"/>
      <c r="B658" s="83"/>
      <c r="C658" s="83"/>
      <c r="D658" s="85"/>
      <c r="E658" s="83"/>
      <c r="F658" s="83"/>
      <c r="G658" s="43"/>
      <c r="H658" s="233"/>
      <c r="I658" s="42"/>
      <c r="J658" s="42"/>
      <c r="K658" s="42"/>
      <c r="L658" s="44"/>
      <c r="M658" s="44"/>
      <c r="N658" s="44"/>
      <c r="O658" s="44"/>
      <c r="P658" s="44"/>
      <c r="Q658" s="227"/>
      <c r="R658" s="228"/>
      <c r="S658" s="228"/>
      <c r="T658" s="228"/>
      <c r="U658" s="191">
        <f t="shared" si="520"/>
        <v>0</v>
      </c>
      <c r="V658" s="86"/>
      <c r="W658" s="45"/>
      <c r="X658" s="46"/>
      <c r="Y658" s="167">
        <f t="shared" si="521"/>
        <v>0</v>
      </c>
      <c r="Z658" s="167">
        <f t="shared" si="522"/>
        <v>0</v>
      </c>
      <c r="AA658" s="167">
        <f t="shared" si="523"/>
        <v>0</v>
      </c>
      <c r="AB658" s="167">
        <f t="shared" si="524"/>
        <v>0</v>
      </c>
      <c r="AC658" s="167">
        <f t="shared" si="525"/>
        <v>0</v>
      </c>
      <c r="AD658" s="167">
        <f t="shared" si="526"/>
        <v>0</v>
      </c>
      <c r="AF658" s="47">
        <f t="shared" si="519"/>
        <v>0</v>
      </c>
    </row>
    <row r="659" spans="1:32" x14ac:dyDescent="0.35">
      <c r="A659" s="269"/>
      <c r="B659" s="83"/>
      <c r="C659" s="83"/>
      <c r="D659" s="85"/>
      <c r="E659" s="83"/>
      <c r="F659" s="83"/>
      <c r="G659" s="43"/>
      <c r="H659" s="233"/>
      <c r="I659" s="42"/>
      <c r="J659" s="42"/>
      <c r="K659" s="42"/>
      <c r="L659" s="44"/>
      <c r="M659" s="44"/>
      <c r="N659" s="44"/>
      <c r="O659" s="44"/>
      <c r="P659" s="44"/>
      <c r="Q659" s="227"/>
      <c r="R659" s="228"/>
      <c r="S659" s="228"/>
      <c r="T659" s="228"/>
      <c r="U659" s="191">
        <f t="shared" si="520"/>
        <v>0</v>
      </c>
      <c r="V659" s="86"/>
      <c r="W659" s="45"/>
      <c r="X659" s="46"/>
      <c r="Y659" s="167">
        <f t="shared" si="521"/>
        <v>0</v>
      </c>
      <c r="Z659" s="167">
        <f t="shared" si="522"/>
        <v>0</v>
      </c>
      <c r="AA659" s="167">
        <f t="shared" si="523"/>
        <v>0</v>
      </c>
      <c r="AB659" s="167">
        <f t="shared" si="524"/>
        <v>0</v>
      </c>
      <c r="AC659" s="167">
        <f t="shared" si="525"/>
        <v>0</v>
      </c>
      <c r="AD659" s="167">
        <f t="shared" si="526"/>
        <v>0</v>
      </c>
      <c r="AF659" s="47">
        <f t="shared" si="519"/>
        <v>0</v>
      </c>
    </row>
    <row r="660" spans="1:32" x14ac:dyDescent="0.35">
      <c r="A660" s="269"/>
      <c r="B660" s="83"/>
      <c r="C660" s="83"/>
      <c r="D660" s="85"/>
      <c r="E660" s="83"/>
      <c r="F660" s="83"/>
      <c r="G660" s="43"/>
      <c r="H660" s="233"/>
      <c r="I660" s="42"/>
      <c r="J660" s="42"/>
      <c r="K660" s="42"/>
      <c r="L660" s="44"/>
      <c r="M660" s="44"/>
      <c r="N660" s="44"/>
      <c r="O660" s="44"/>
      <c r="P660" s="44"/>
      <c r="Q660" s="227"/>
      <c r="R660" s="228"/>
      <c r="S660" s="228"/>
      <c r="T660" s="228"/>
      <c r="U660" s="191">
        <f t="shared" si="520"/>
        <v>0</v>
      </c>
      <c r="V660" s="86"/>
      <c r="W660" s="45"/>
      <c r="X660" s="46"/>
      <c r="Y660" s="167">
        <f t="shared" si="521"/>
        <v>0</v>
      </c>
      <c r="Z660" s="167">
        <f t="shared" si="522"/>
        <v>0</v>
      </c>
      <c r="AA660" s="167">
        <f t="shared" si="523"/>
        <v>0</v>
      </c>
      <c r="AB660" s="167">
        <f t="shared" si="524"/>
        <v>0</v>
      </c>
      <c r="AC660" s="167">
        <f t="shared" si="525"/>
        <v>0</v>
      </c>
      <c r="AD660" s="167">
        <f t="shared" si="526"/>
        <v>0</v>
      </c>
      <c r="AF660" s="47">
        <f t="shared" ref="AF660:AF723" si="527">IF(S660&lt;&gt;"",1,0)</f>
        <v>0</v>
      </c>
    </row>
    <row r="661" spans="1:32" x14ac:dyDescent="0.35">
      <c r="A661" s="269"/>
      <c r="B661" s="83"/>
      <c r="C661" s="83"/>
      <c r="D661" s="85"/>
      <c r="E661" s="83"/>
      <c r="F661" s="83"/>
      <c r="G661" s="43"/>
      <c r="H661" s="233"/>
      <c r="I661" s="42"/>
      <c r="J661" s="42"/>
      <c r="K661" s="42"/>
      <c r="L661" s="44"/>
      <c r="M661" s="44"/>
      <c r="N661" s="44"/>
      <c r="O661" s="44"/>
      <c r="P661" s="44"/>
      <c r="Q661" s="227"/>
      <c r="R661" s="228"/>
      <c r="S661" s="228"/>
      <c r="T661" s="228"/>
      <c r="U661" s="191">
        <f t="shared" si="520"/>
        <v>0</v>
      </c>
      <c r="V661" s="86"/>
      <c r="W661" s="45"/>
      <c r="X661" s="46"/>
      <c r="Y661" s="167">
        <f t="shared" si="521"/>
        <v>0</v>
      </c>
      <c r="Z661" s="167">
        <f t="shared" si="522"/>
        <v>0</v>
      </c>
      <c r="AA661" s="167">
        <f t="shared" si="523"/>
        <v>0</v>
      </c>
      <c r="AB661" s="167">
        <f t="shared" si="524"/>
        <v>0</v>
      </c>
      <c r="AC661" s="167">
        <f t="shared" si="525"/>
        <v>0</v>
      </c>
      <c r="AD661" s="167">
        <f t="shared" si="526"/>
        <v>0</v>
      </c>
      <c r="AF661" s="47">
        <f t="shared" si="527"/>
        <v>0</v>
      </c>
    </row>
    <row r="662" spans="1:32" x14ac:dyDescent="0.35">
      <c r="A662" s="269"/>
      <c r="B662" s="83"/>
      <c r="C662" s="83"/>
      <c r="D662" s="85"/>
      <c r="E662" s="83"/>
      <c r="F662" s="83"/>
      <c r="G662" s="43"/>
      <c r="H662" s="233"/>
      <c r="I662" s="42"/>
      <c r="J662" s="42"/>
      <c r="K662" s="42"/>
      <c r="L662" s="44"/>
      <c r="M662" s="44"/>
      <c r="N662" s="44"/>
      <c r="O662" s="44"/>
      <c r="P662" s="44"/>
      <c r="Q662" s="227"/>
      <c r="R662" s="228"/>
      <c r="S662" s="228"/>
      <c r="T662" s="228"/>
      <c r="U662" s="191">
        <f t="shared" si="520"/>
        <v>0</v>
      </c>
      <c r="V662" s="86"/>
      <c r="W662" s="45"/>
      <c r="X662" s="46"/>
      <c r="Y662" s="167">
        <f t="shared" si="521"/>
        <v>0</v>
      </c>
      <c r="Z662" s="167">
        <f t="shared" si="522"/>
        <v>0</v>
      </c>
      <c r="AA662" s="167">
        <f t="shared" si="523"/>
        <v>0</v>
      </c>
      <c r="AB662" s="167">
        <f t="shared" si="524"/>
        <v>0</v>
      </c>
      <c r="AC662" s="167">
        <f t="shared" si="525"/>
        <v>0</v>
      </c>
      <c r="AD662" s="167">
        <f t="shared" si="526"/>
        <v>0</v>
      </c>
      <c r="AF662" s="47">
        <f t="shared" si="527"/>
        <v>0</v>
      </c>
    </row>
    <row r="663" spans="1:32" x14ac:dyDescent="0.35">
      <c r="A663" s="269"/>
      <c r="B663" s="83"/>
      <c r="C663" s="83"/>
      <c r="D663" s="85"/>
      <c r="E663" s="83"/>
      <c r="F663" s="83"/>
      <c r="G663" s="43"/>
      <c r="H663" s="233"/>
      <c r="I663" s="42"/>
      <c r="J663" s="42"/>
      <c r="K663" s="42"/>
      <c r="L663" s="44"/>
      <c r="M663" s="44"/>
      <c r="N663" s="44"/>
      <c r="O663" s="44"/>
      <c r="P663" s="44"/>
      <c r="Q663" s="227"/>
      <c r="R663" s="228"/>
      <c r="S663" s="228"/>
      <c r="T663" s="228"/>
      <c r="U663" s="191">
        <f t="shared" si="520"/>
        <v>0</v>
      </c>
      <c r="V663" s="86"/>
      <c r="W663" s="45"/>
      <c r="X663" s="46"/>
      <c r="Y663" s="167">
        <f t="shared" si="521"/>
        <v>0</v>
      </c>
      <c r="Z663" s="167">
        <f t="shared" si="522"/>
        <v>0</v>
      </c>
      <c r="AA663" s="167">
        <f t="shared" si="523"/>
        <v>0</v>
      </c>
      <c r="AB663" s="167">
        <f t="shared" si="524"/>
        <v>0</v>
      </c>
      <c r="AC663" s="167">
        <f t="shared" si="525"/>
        <v>0</v>
      </c>
      <c r="AD663" s="167">
        <f t="shared" si="526"/>
        <v>0</v>
      </c>
      <c r="AF663" s="47">
        <f t="shared" si="527"/>
        <v>0</v>
      </c>
    </row>
    <row r="664" spans="1:32" x14ac:dyDescent="0.35">
      <c r="A664" s="269"/>
      <c r="B664" s="83"/>
      <c r="C664" s="83"/>
      <c r="D664" s="85"/>
      <c r="E664" s="83"/>
      <c r="F664" s="83"/>
      <c r="G664" s="43"/>
      <c r="H664" s="233"/>
      <c r="I664" s="42"/>
      <c r="J664" s="42"/>
      <c r="K664" s="42"/>
      <c r="L664" s="44"/>
      <c r="M664" s="44"/>
      <c r="N664" s="44"/>
      <c r="O664" s="44"/>
      <c r="P664" s="44"/>
      <c r="Q664" s="227"/>
      <c r="R664" s="228"/>
      <c r="S664" s="228"/>
      <c r="T664" s="228"/>
      <c r="U664" s="191">
        <f t="shared" si="520"/>
        <v>0</v>
      </c>
      <c r="V664" s="86"/>
      <c r="W664" s="45"/>
      <c r="X664" s="46"/>
      <c r="Y664" s="167">
        <f t="shared" si="521"/>
        <v>0</v>
      </c>
      <c r="Z664" s="167">
        <f t="shared" si="522"/>
        <v>0</v>
      </c>
      <c r="AA664" s="167">
        <f t="shared" si="523"/>
        <v>0</v>
      </c>
      <c r="AB664" s="167">
        <f t="shared" si="524"/>
        <v>0</v>
      </c>
      <c r="AC664" s="167">
        <f t="shared" si="525"/>
        <v>0</v>
      </c>
      <c r="AD664" s="167">
        <f t="shared" si="526"/>
        <v>0</v>
      </c>
      <c r="AF664" s="47">
        <f t="shared" si="527"/>
        <v>0</v>
      </c>
    </row>
    <row r="665" spans="1:32" x14ac:dyDescent="0.35">
      <c r="A665" s="269"/>
      <c r="B665" s="83"/>
      <c r="C665" s="83"/>
      <c r="D665" s="85"/>
      <c r="E665" s="83"/>
      <c r="F665" s="83"/>
      <c r="G665" s="43"/>
      <c r="H665" s="233"/>
      <c r="I665" s="42"/>
      <c r="J665" s="42"/>
      <c r="K665" s="42"/>
      <c r="L665" s="44"/>
      <c r="M665" s="44"/>
      <c r="N665" s="44"/>
      <c r="O665" s="44"/>
      <c r="P665" s="44"/>
      <c r="Q665" s="227"/>
      <c r="R665" s="228"/>
      <c r="S665" s="228"/>
      <c r="T665" s="228"/>
      <c r="U665" s="191">
        <f t="shared" si="520"/>
        <v>0</v>
      </c>
      <c r="V665" s="86"/>
      <c r="W665" s="45"/>
      <c r="X665" s="46"/>
      <c r="Y665" s="167">
        <f t="shared" si="521"/>
        <v>0</v>
      </c>
      <c r="Z665" s="167">
        <f t="shared" si="522"/>
        <v>0</v>
      </c>
      <c r="AA665" s="167">
        <f t="shared" si="523"/>
        <v>0</v>
      </c>
      <c r="AB665" s="167">
        <f t="shared" si="524"/>
        <v>0</v>
      </c>
      <c r="AC665" s="167">
        <f t="shared" si="525"/>
        <v>0</v>
      </c>
      <c r="AD665" s="167">
        <f t="shared" si="526"/>
        <v>0</v>
      </c>
      <c r="AF665" s="47">
        <f t="shared" si="527"/>
        <v>0</v>
      </c>
    </row>
    <row r="666" spans="1:32" x14ac:dyDescent="0.35">
      <c r="A666" s="269"/>
      <c r="B666" s="83"/>
      <c r="C666" s="83"/>
      <c r="D666" s="85"/>
      <c r="E666" s="83"/>
      <c r="F666" s="83"/>
      <c r="G666" s="43"/>
      <c r="H666" s="233"/>
      <c r="I666" s="42"/>
      <c r="J666" s="42"/>
      <c r="K666" s="42"/>
      <c r="L666" s="44"/>
      <c r="M666" s="44"/>
      <c r="N666" s="44"/>
      <c r="O666" s="44"/>
      <c r="P666" s="44"/>
      <c r="Q666" s="227"/>
      <c r="R666" s="228"/>
      <c r="S666" s="228"/>
      <c r="T666" s="228"/>
      <c r="U666" s="191">
        <f t="shared" si="520"/>
        <v>0</v>
      </c>
      <c r="V666" s="86"/>
      <c r="W666" s="45"/>
      <c r="X666" s="46"/>
      <c r="Y666" s="167">
        <f t="shared" si="521"/>
        <v>0</v>
      </c>
      <c r="Z666" s="167">
        <f t="shared" si="522"/>
        <v>0</v>
      </c>
      <c r="AA666" s="167">
        <f t="shared" si="523"/>
        <v>0</v>
      </c>
      <c r="AB666" s="167">
        <f t="shared" si="524"/>
        <v>0</v>
      </c>
      <c r="AC666" s="167">
        <f t="shared" si="525"/>
        <v>0</v>
      </c>
      <c r="AD666" s="167">
        <f t="shared" si="526"/>
        <v>0</v>
      </c>
      <c r="AF666" s="47">
        <f t="shared" si="527"/>
        <v>0</v>
      </c>
    </row>
    <row r="667" spans="1:32" x14ac:dyDescent="0.35">
      <c r="A667" s="269"/>
      <c r="B667" s="83"/>
      <c r="C667" s="83"/>
      <c r="D667" s="85"/>
      <c r="E667" s="83"/>
      <c r="F667" s="83"/>
      <c r="G667" s="43"/>
      <c r="H667" s="233"/>
      <c r="I667" s="42"/>
      <c r="J667" s="42"/>
      <c r="K667" s="42"/>
      <c r="L667" s="44"/>
      <c r="M667" s="44"/>
      <c r="N667" s="44"/>
      <c r="O667" s="44"/>
      <c r="P667" s="44"/>
      <c r="Q667" s="227"/>
      <c r="R667" s="228"/>
      <c r="S667" s="228"/>
      <c r="T667" s="228"/>
      <c r="U667" s="191">
        <f t="shared" si="520"/>
        <v>0</v>
      </c>
      <c r="V667" s="86"/>
      <c r="W667" s="45"/>
      <c r="X667" s="46"/>
      <c r="Y667" s="167">
        <f t="shared" si="521"/>
        <v>0</v>
      </c>
      <c r="Z667" s="167">
        <f t="shared" si="522"/>
        <v>0</v>
      </c>
      <c r="AA667" s="167">
        <f t="shared" si="523"/>
        <v>0</v>
      </c>
      <c r="AB667" s="167">
        <f t="shared" si="524"/>
        <v>0</v>
      </c>
      <c r="AC667" s="167">
        <f t="shared" si="525"/>
        <v>0</v>
      </c>
      <c r="AD667" s="167">
        <f t="shared" si="526"/>
        <v>0</v>
      </c>
      <c r="AF667" s="47">
        <f t="shared" si="527"/>
        <v>0</v>
      </c>
    </row>
    <row r="668" spans="1:32" x14ac:dyDescent="0.35">
      <c r="A668" s="269"/>
      <c r="B668" s="83"/>
      <c r="C668" s="83"/>
      <c r="D668" s="85"/>
      <c r="E668" s="83"/>
      <c r="F668" s="83"/>
      <c r="G668" s="43"/>
      <c r="H668" s="233"/>
      <c r="I668" s="42"/>
      <c r="J668" s="42"/>
      <c r="K668" s="42"/>
      <c r="L668" s="44"/>
      <c r="M668" s="44"/>
      <c r="N668" s="44"/>
      <c r="O668" s="44"/>
      <c r="P668" s="44"/>
      <c r="Q668" s="227"/>
      <c r="R668" s="228"/>
      <c r="S668" s="228"/>
      <c r="T668" s="228"/>
      <c r="U668" s="191">
        <f t="shared" si="520"/>
        <v>0</v>
      </c>
      <c r="V668" s="86"/>
      <c r="W668" s="45"/>
      <c r="X668" s="46"/>
      <c r="Y668" s="167">
        <f t="shared" si="521"/>
        <v>0</v>
      </c>
      <c r="Z668" s="167">
        <f t="shared" si="522"/>
        <v>0</v>
      </c>
      <c r="AA668" s="167">
        <f t="shared" si="523"/>
        <v>0</v>
      </c>
      <c r="AB668" s="167">
        <f t="shared" si="524"/>
        <v>0</v>
      </c>
      <c r="AC668" s="167">
        <f t="shared" si="525"/>
        <v>0</v>
      </c>
      <c r="AD668" s="167">
        <f t="shared" si="526"/>
        <v>0</v>
      </c>
      <c r="AF668" s="47">
        <f t="shared" si="527"/>
        <v>0</v>
      </c>
    </row>
    <row r="669" spans="1:32" x14ac:dyDescent="0.35">
      <c r="A669" s="269"/>
      <c r="B669" s="83"/>
      <c r="C669" s="83"/>
      <c r="D669" s="85"/>
      <c r="E669" s="83"/>
      <c r="F669" s="83"/>
      <c r="G669" s="43"/>
      <c r="H669" s="233"/>
      <c r="I669" s="42"/>
      <c r="J669" s="42"/>
      <c r="K669" s="42"/>
      <c r="L669" s="44"/>
      <c r="M669" s="44"/>
      <c r="N669" s="44"/>
      <c r="O669" s="44"/>
      <c r="P669" s="44"/>
      <c r="Q669" s="227"/>
      <c r="R669" s="228"/>
      <c r="S669" s="228"/>
      <c r="T669" s="228"/>
      <c r="U669" s="191">
        <f t="shared" si="520"/>
        <v>0</v>
      </c>
      <c r="V669" s="86"/>
      <c r="W669" s="45"/>
      <c r="X669" s="46"/>
      <c r="Y669" s="167">
        <f t="shared" si="521"/>
        <v>0</v>
      </c>
      <c r="Z669" s="167">
        <f t="shared" si="522"/>
        <v>0</v>
      </c>
      <c r="AA669" s="167">
        <f t="shared" si="523"/>
        <v>0</v>
      </c>
      <c r="AB669" s="167">
        <f t="shared" si="524"/>
        <v>0</v>
      </c>
      <c r="AC669" s="167">
        <f t="shared" si="525"/>
        <v>0</v>
      </c>
      <c r="AD669" s="167">
        <f t="shared" si="526"/>
        <v>0</v>
      </c>
      <c r="AF669" s="47">
        <f t="shared" si="527"/>
        <v>0</v>
      </c>
    </row>
    <row r="670" spans="1:32" x14ac:dyDescent="0.35">
      <c r="A670" s="269"/>
      <c r="B670" s="83"/>
      <c r="C670" s="83"/>
      <c r="D670" s="85"/>
      <c r="E670" s="83"/>
      <c r="F670" s="83"/>
      <c r="G670" s="43"/>
      <c r="H670" s="233"/>
      <c r="I670" s="42"/>
      <c r="J670" s="42"/>
      <c r="K670" s="42"/>
      <c r="L670" s="44"/>
      <c r="M670" s="44"/>
      <c r="N670" s="44"/>
      <c r="O670" s="44"/>
      <c r="P670" s="44"/>
      <c r="Q670" s="227"/>
      <c r="R670" s="228"/>
      <c r="S670" s="228"/>
      <c r="T670" s="228"/>
      <c r="U670" s="191">
        <f t="shared" si="520"/>
        <v>0</v>
      </c>
      <c r="V670" s="86"/>
      <c r="W670" s="45"/>
      <c r="X670" s="46"/>
      <c r="Y670" s="167">
        <f t="shared" si="521"/>
        <v>0</v>
      </c>
      <c r="Z670" s="167">
        <f t="shared" si="522"/>
        <v>0</v>
      </c>
      <c r="AA670" s="167">
        <f t="shared" si="523"/>
        <v>0</v>
      </c>
      <c r="AB670" s="167">
        <f t="shared" si="524"/>
        <v>0</v>
      </c>
      <c r="AC670" s="167">
        <f t="shared" si="525"/>
        <v>0</v>
      </c>
      <c r="AD670" s="167">
        <f t="shared" si="526"/>
        <v>0</v>
      </c>
      <c r="AF670" s="47">
        <f t="shared" si="527"/>
        <v>0</v>
      </c>
    </row>
    <row r="671" spans="1:32" x14ac:dyDescent="0.35">
      <c r="A671" s="269"/>
      <c r="B671" s="83"/>
      <c r="C671" s="83"/>
      <c r="D671" s="85"/>
      <c r="E671" s="83"/>
      <c r="F671" s="83"/>
      <c r="G671" s="43"/>
      <c r="H671" s="233"/>
      <c r="I671" s="42"/>
      <c r="J671" s="42"/>
      <c r="K671" s="42"/>
      <c r="L671" s="44"/>
      <c r="M671" s="44"/>
      <c r="N671" s="44"/>
      <c r="O671" s="44"/>
      <c r="P671" s="44"/>
      <c r="Q671" s="227"/>
      <c r="R671" s="228"/>
      <c r="S671" s="228"/>
      <c r="T671" s="228"/>
      <c r="U671" s="191">
        <f t="shared" si="520"/>
        <v>0</v>
      </c>
      <c r="V671" s="86"/>
      <c r="W671" s="45"/>
      <c r="X671" s="46"/>
      <c r="Y671" s="167">
        <f t="shared" si="521"/>
        <v>0</v>
      </c>
      <c r="Z671" s="167">
        <f t="shared" si="522"/>
        <v>0</v>
      </c>
      <c r="AA671" s="167">
        <f t="shared" si="523"/>
        <v>0</v>
      </c>
      <c r="AB671" s="167">
        <f t="shared" si="524"/>
        <v>0</v>
      </c>
      <c r="AC671" s="167">
        <f t="shared" si="525"/>
        <v>0</v>
      </c>
      <c r="AD671" s="167">
        <f t="shared" si="526"/>
        <v>0</v>
      </c>
      <c r="AF671" s="47">
        <f t="shared" si="527"/>
        <v>0</v>
      </c>
    </row>
    <row r="672" spans="1:32" x14ac:dyDescent="0.35">
      <c r="A672" s="269"/>
      <c r="B672" s="83"/>
      <c r="C672" s="83"/>
      <c r="D672" s="85"/>
      <c r="E672" s="83"/>
      <c r="F672" s="83"/>
      <c r="G672" s="43"/>
      <c r="H672" s="233"/>
      <c r="I672" s="42"/>
      <c r="J672" s="42"/>
      <c r="K672" s="42"/>
      <c r="L672" s="44"/>
      <c r="M672" s="44"/>
      <c r="N672" s="44"/>
      <c r="O672" s="44"/>
      <c r="P672" s="44"/>
      <c r="Q672" s="227"/>
      <c r="R672" s="228"/>
      <c r="S672" s="228"/>
      <c r="T672" s="228"/>
      <c r="U672" s="191">
        <f t="shared" si="520"/>
        <v>0</v>
      </c>
      <c r="V672" s="86"/>
      <c r="W672" s="45"/>
      <c r="X672" s="46"/>
      <c r="Y672" s="167">
        <f t="shared" si="521"/>
        <v>0</v>
      </c>
      <c r="Z672" s="167">
        <f t="shared" si="522"/>
        <v>0</v>
      </c>
      <c r="AA672" s="167">
        <f t="shared" si="523"/>
        <v>0</v>
      </c>
      <c r="AB672" s="167">
        <f t="shared" si="524"/>
        <v>0</v>
      </c>
      <c r="AC672" s="167">
        <f t="shared" si="525"/>
        <v>0</v>
      </c>
      <c r="AD672" s="167">
        <f t="shared" si="526"/>
        <v>0</v>
      </c>
      <c r="AF672" s="47">
        <f t="shared" si="527"/>
        <v>0</v>
      </c>
    </row>
    <row r="673" spans="1:32" x14ac:dyDescent="0.35">
      <c r="A673" s="269"/>
      <c r="B673" s="83"/>
      <c r="C673" s="83"/>
      <c r="D673" s="85"/>
      <c r="E673" s="83"/>
      <c r="F673" s="83"/>
      <c r="G673" s="43"/>
      <c r="H673" s="233"/>
      <c r="I673" s="42"/>
      <c r="J673" s="42"/>
      <c r="K673" s="42"/>
      <c r="L673" s="44"/>
      <c r="M673" s="44"/>
      <c r="N673" s="44"/>
      <c r="O673" s="44"/>
      <c r="P673" s="44"/>
      <c r="Q673" s="227"/>
      <c r="R673" s="228"/>
      <c r="S673" s="228"/>
      <c r="T673" s="228"/>
      <c r="U673" s="191">
        <f t="shared" si="520"/>
        <v>0</v>
      </c>
      <c r="V673" s="86"/>
      <c r="W673" s="45"/>
      <c r="X673" s="46"/>
      <c r="Y673" s="167">
        <f t="shared" si="521"/>
        <v>0</v>
      </c>
      <c r="Z673" s="167">
        <f t="shared" si="522"/>
        <v>0</v>
      </c>
      <c r="AA673" s="167">
        <f t="shared" si="523"/>
        <v>0</v>
      </c>
      <c r="AB673" s="167">
        <f t="shared" si="524"/>
        <v>0</v>
      </c>
      <c r="AC673" s="167">
        <f t="shared" si="525"/>
        <v>0</v>
      </c>
      <c r="AD673" s="167">
        <f t="shared" si="526"/>
        <v>0</v>
      </c>
      <c r="AF673" s="47">
        <f t="shared" si="527"/>
        <v>0</v>
      </c>
    </row>
    <row r="674" spans="1:32" x14ac:dyDescent="0.35">
      <c r="A674" s="269"/>
      <c r="B674" s="83"/>
      <c r="C674" s="83"/>
      <c r="D674" s="85"/>
      <c r="E674" s="83"/>
      <c r="F674" s="83"/>
      <c r="G674" s="43"/>
      <c r="H674" s="233"/>
      <c r="I674" s="42"/>
      <c r="J674" s="42"/>
      <c r="K674" s="42"/>
      <c r="L674" s="44"/>
      <c r="M674" s="44"/>
      <c r="N674" s="44"/>
      <c r="O674" s="44"/>
      <c r="P674" s="44"/>
      <c r="Q674" s="227"/>
      <c r="R674" s="228"/>
      <c r="S674" s="228"/>
      <c r="T674" s="228"/>
      <c r="U674" s="191">
        <f t="shared" si="520"/>
        <v>0</v>
      </c>
      <c r="V674" s="86"/>
      <c r="W674" s="45"/>
      <c r="X674" s="46"/>
      <c r="Y674" s="167">
        <f t="shared" si="521"/>
        <v>0</v>
      </c>
      <c r="Z674" s="167">
        <f t="shared" si="522"/>
        <v>0</v>
      </c>
      <c r="AA674" s="167">
        <f t="shared" si="523"/>
        <v>0</v>
      </c>
      <c r="AB674" s="167">
        <f t="shared" si="524"/>
        <v>0</v>
      </c>
      <c r="AC674" s="167">
        <f t="shared" si="525"/>
        <v>0</v>
      </c>
      <c r="AD674" s="167">
        <f t="shared" si="526"/>
        <v>0</v>
      </c>
      <c r="AF674" s="47">
        <f t="shared" si="527"/>
        <v>0</v>
      </c>
    </row>
    <row r="675" spans="1:32" x14ac:dyDescent="0.35">
      <c r="A675" s="269"/>
      <c r="B675" s="83"/>
      <c r="C675" s="83"/>
      <c r="D675" s="85"/>
      <c r="E675" s="83"/>
      <c r="F675" s="83"/>
      <c r="G675" s="43"/>
      <c r="H675" s="233"/>
      <c r="I675" s="42"/>
      <c r="J675" s="42"/>
      <c r="K675" s="42"/>
      <c r="L675" s="44"/>
      <c r="M675" s="44"/>
      <c r="N675" s="44"/>
      <c r="O675" s="44"/>
      <c r="P675" s="44"/>
      <c r="Q675" s="227"/>
      <c r="R675" s="228"/>
      <c r="S675" s="228"/>
      <c r="T675" s="228"/>
      <c r="U675" s="191">
        <f t="shared" si="520"/>
        <v>0</v>
      </c>
      <c r="V675" s="86"/>
      <c r="W675" s="45"/>
      <c r="X675" s="46"/>
      <c r="Y675" s="167">
        <f t="shared" si="521"/>
        <v>0</v>
      </c>
      <c r="Z675" s="167">
        <f t="shared" si="522"/>
        <v>0</v>
      </c>
      <c r="AA675" s="167">
        <f t="shared" si="523"/>
        <v>0</v>
      </c>
      <c r="AB675" s="167">
        <f t="shared" si="524"/>
        <v>0</v>
      </c>
      <c r="AC675" s="167">
        <f t="shared" si="525"/>
        <v>0</v>
      </c>
      <c r="AD675" s="167">
        <f t="shared" si="526"/>
        <v>0</v>
      </c>
      <c r="AF675" s="47">
        <f t="shared" si="527"/>
        <v>0</v>
      </c>
    </row>
    <row r="676" spans="1:32" x14ac:dyDescent="0.35">
      <c r="A676" s="269"/>
      <c r="B676" s="83"/>
      <c r="C676" s="83"/>
      <c r="D676" s="85"/>
      <c r="E676" s="83"/>
      <c r="F676" s="83"/>
      <c r="G676" s="43"/>
      <c r="H676" s="233"/>
      <c r="I676" s="42"/>
      <c r="J676" s="42"/>
      <c r="K676" s="42"/>
      <c r="L676" s="44"/>
      <c r="M676" s="44"/>
      <c r="N676" s="44"/>
      <c r="O676" s="44"/>
      <c r="P676" s="44"/>
      <c r="Q676" s="227"/>
      <c r="R676" s="228"/>
      <c r="S676" s="228"/>
      <c r="T676" s="228"/>
      <c r="U676" s="191">
        <f t="shared" si="520"/>
        <v>0</v>
      </c>
      <c r="V676" s="86"/>
      <c r="W676" s="45"/>
      <c r="X676" s="46"/>
      <c r="Y676" s="167">
        <f t="shared" si="521"/>
        <v>0</v>
      </c>
      <c r="Z676" s="167">
        <f t="shared" si="522"/>
        <v>0</v>
      </c>
      <c r="AA676" s="167">
        <f t="shared" si="523"/>
        <v>0</v>
      </c>
      <c r="AB676" s="167">
        <f t="shared" si="524"/>
        <v>0</v>
      </c>
      <c r="AC676" s="167">
        <f t="shared" si="525"/>
        <v>0</v>
      </c>
      <c r="AD676" s="167">
        <f t="shared" si="526"/>
        <v>0</v>
      </c>
      <c r="AF676" s="47">
        <f t="shared" si="527"/>
        <v>0</v>
      </c>
    </row>
    <row r="677" spans="1:32" x14ac:dyDescent="0.35">
      <c r="A677" s="269"/>
      <c r="B677" s="83"/>
      <c r="C677" s="83"/>
      <c r="D677" s="85"/>
      <c r="E677" s="83"/>
      <c r="F677" s="83"/>
      <c r="G677" s="43"/>
      <c r="H677" s="233"/>
      <c r="I677" s="42"/>
      <c r="J677" s="42"/>
      <c r="K677" s="42"/>
      <c r="L677" s="44"/>
      <c r="M677" s="44"/>
      <c r="N677" s="44"/>
      <c r="O677" s="44"/>
      <c r="P677" s="44"/>
      <c r="Q677" s="227"/>
      <c r="R677" s="228"/>
      <c r="S677" s="228"/>
      <c r="T677" s="228"/>
      <c r="U677" s="191">
        <f t="shared" si="520"/>
        <v>0</v>
      </c>
      <c r="V677" s="86"/>
      <c r="W677" s="45"/>
      <c r="X677" s="46"/>
      <c r="Y677" s="167">
        <f t="shared" si="521"/>
        <v>0</v>
      </c>
      <c r="Z677" s="167">
        <f t="shared" si="522"/>
        <v>0</v>
      </c>
      <c r="AA677" s="167">
        <f t="shared" si="523"/>
        <v>0</v>
      </c>
      <c r="AB677" s="167">
        <f t="shared" si="524"/>
        <v>0</v>
      </c>
      <c r="AC677" s="167">
        <f t="shared" si="525"/>
        <v>0</v>
      </c>
      <c r="AD677" s="167">
        <f t="shared" si="526"/>
        <v>0</v>
      </c>
      <c r="AF677" s="47">
        <f t="shared" si="527"/>
        <v>0</v>
      </c>
    </row>
    <row r="678" spans="1:32" x14ac:dyDescent="0.35">
      <c r="A678" s="269"/>
      <c r="B678" s="83"/>
      <c r="C678" s="83"/>
      <c r="D678" s="85"/>
      <c r="E678" s="83"/>
      <c r="F678" s="83"/>
      <c r="G678" s="43"/>
      <c r="H678" s="233"/>
      <c r="I678" s="42"/>
      <c r="J678" s="42"/>
      <c r="K678" s="42"/>
      <c r="L678" s="44"/>
      <c r="M678" s="44"/>
      <c r="N678" s="44"/>
      <c r="O678" s="44"/>
      <c r="P678" s="44"/>
      <c r="Q678" s="227"/>
      <c r="R678" s="228"/>
      <c r="S678" s="228"/>
      <c r="T678" s="228"/>
      <c r="U678" s="191">
        <f t="shared" si="520"/>
        <v>0</v>
      </c>
      <c r="V678" s="86"/>
      <c r="W678" s="45"/>
      <c r="X678" s="46"/>
      <c r="Y678" s="167">
        <f t="shared" si="521"/>
        <v>0</v>
      </c>
      <c r="Z678" s="167">
        <f t="shared" si="522"/>
        <v>0</v>
      </c>
      <c r="AA678" s="167">
        <f t="shared" si="523"/>
        <v>0</v>
      </c>
      <c r="AB678" s="167">
        <f t="shared" si="524"/>
        <v>0</v>
      </c>
      <c r="AC678" s="167">
        <f t="shared" si="525"/>
        <v>0</v>
      </c>
      <c r="AD678" s="167">
        <f t="shared" si="526"/>
        <v>0</v>
      </c>
      <c r="AF678" s="47">
        <f t="shared" si="527"/>
        <v>0</v>
      </c>
    </row>
    <row r="679" spans="1:32" x14ac:dyDescent="0.35">
      <c r="A679" s="269"/>
      <c r="B679" s="83"/>
      <c r="C679" s="83"/>
      <c r="D679" s="85"/>
      <c r="E679" s="83"/>
      <c r="F679" s="83"/>
      <c r="G679" s="43"/>
      <c r="H679" s="233"/>
      <c r="I679" s="42"/>
      <c r="J679" s="42"/>
      <c r="K679" s="42"/>
      <c r="L679" s="44"/>
      <c r="M679" s="44"/>
      <c r="N679" s="44"/>
      <c r="O679" s="44"/>
      <c r="P679" s="44"/>
      <c r="Q679" s="227"/>
      <c r="R679" s="228"/>
      <c r="S679" s="228"/>
      <c r="T679" s="228"/>
      <c r="U679" s="191">
        <f t="shared" si="520"/>
        <v>0</v>
      </c>
      <c r="V679" s="86"/>
      <c r="W679" s="45"/>
      <c r="X679" s="46"/>
      <c r="Y679" s="167">
        <f t="shared" si="521"/>
        <v>0</v>
      </c>
      <c r="Z679" s="167">
        <f t="shared" si="522"/>
        <v>0</v>
      </c>
      <c r="AA679" s="167">
        <f t="shared" si="523"/>
        <v>0</v>
      </c>
      <c r="AB679" s="167">
        <f t="shared" si="524"/>
        <v>0</v>
      </c>
      <c r="AC679" s="167">
        <f t="shared" si="525"/>
        <v>0</v>
      </c>
      <c r="AD679" s="167">
        <f t="shared" si="526"/>
        <v>0</v>
      </c>
      <c r="AF679" s="47">
        <f t="shared" si="527"/>
        <v>0</v>
      </c>
    </row>
    <row r="680" spans="1:32" x14ac:dyDescent="0.35">
      <c r="A680" s="269"/>
      <c r="B680" s="83"/>
      <c r="C680" s="83"/>
      <c r="D680" s="85"/>
      <c r="E680" s="83"/>
      <c r="F680" s="83"/>
      <c r="G680" s="43"/>
      <c r="H680" s="233"/>
      <c r="I680" s="42"/>
      <c r="J680" s="42"/>
      <c r="K680" s="42"/>
      <c r="L680" s="44"/>
      <c r="M680" s="44"/>
      <c r="N680" s="44"/>
      <c r="O680" s="44"/>
      <c r="P680" s="44"/>
      <c r="Q680" s="227"/>
      <c r="R680" s="228"/>
      <c r="S680" s="228"/>
      <c r="T680" s="228"/>
      <c r="U680" s="191">
        <f t="shared" si="520"/>
        <v>0</v>
      </c>
      <c r="V680" s="86"/>
      <c r="W680" s="45"/>
      <c r="X680" s="46"/>
      <c r="Y680" s="167">
        <f t="shared" si="521"/>
        <v>0</v>
      </c>
      <c r="Z680" s="167">
        <f t="shared" si="522"/>
        <v>0</v>
      </c>
      <c r="AA680" s="167">
        <f t="shared" si="523"/>
        <v>0</v>
      </c>
      <c r="AB680" s="167">
        <f t="shared" si="524"/>
        <v>0</v>
      </c>
      <c r="AC680" s="167">
        <f t="shared" si="525"/>
        <v>0</v>
      </c>
      <c r="AD680" s="167">
        <f t="shared" si="526"/>
        <v>0</v>
      </c>
      <c r="AF680" s="47">
        <f t="shared" si="527"/>
        <v>0</v>
      </c>
    </row>
    <row r="681" spans="1:32" x14ac:dyDescent="0.35">
      <c r="A681" s="269"/>
      <c r="B681" s="83"/>
      <c r="C681" s="83"/>
      <c r="D681" s="85"/>
      <c r="E681" s="83"/>
      <c r="F681" s="83"/>
      <c r="G681" s="43"/>
      <c r="H681" s="233"/>
      <c r="I681" s="42"/>
      <c r="J681" s="42"/>
      <c r="K681" s="42"/>
      <c r="L681" s="44"/>
      <c r="M681" s="44"/>
      <c r="N681" s="44"/>
      <c r="O681" s="44"/>
      <c r="P681" s="44"/>
      <c r="Q681" s="227"/>
      <c r="R681" s="228"/>
      <c r="S681" s="228"/>
      <c r="T681" s="228"/>
      <c r="U681" s="191">
        <f t="shared" si="520"/>
        <v>0</v>
      </c>
      <c r="V681" s="86"/>
      <c r="W681" s="45"/>
      <c r="X681" s="46"/>
      <c r="Y681" s="167">
        <f t="shared" si="521"/>
        <v>0</v>
      </c>
      <c r="Z681" s="167">
        <f t="shared" si="522"/>
        <v>0</v>
      </c>
      <c r="AA681" s="167">
        <f t="shared" si="523"/>
        <v>0</v>
      </c>
      <c r="AB681" s="167">
        <f t="shared" si="524"/>
        <v>0</v>
      </c>
      <c r="AC681" s="167">
        <f t="shared" si="525"/>
        <v>0</v>
      </c>
      <c r="AD681" s="167">
        <f t="shared" si="526"/>
        <v>0</v>
      </c>
      <c r="AF681" s="47">
        <f t="shared" si="527"/>
        <v>0</v>
      </c>
    </row>
    <row r="682" spans="1:32" x14ac:dyDescent="0.35">
      <c r="A682" s="269"/>
      <c r="B682" s="83"/>
      <c r="C682" s="83"/>
      <c r="D682" s="85"/>
      <c r="E682" s="83"/>
      <c r="F682" s="83"/>
      <c r="G682" s="43"/>
      <c r="H682" s="233"/>
      <c r="I682" s="42"/>
      <c r="J682" s="42"/>
      <c r="K682" s="42"/>
      <c r="L682" s="44"/>
      <c r="M682" s="44"/>
      <c r="N682" s="44"/>
      <c r="O682" s="44"/>
      <c r="P682" s="44"/>
      <c r="Q682" s="227"/>
      <c r="R682" s="228"/>
      <c r="S682" s="228"/>
      <c r="T682" s="228"/>
      <c r="U682" s="191">
        <f t="shared" si="520"/>
        <v>0</v>
      </c>
      <c r="V682" s="86"/>
      <c r="W682" s="45"/>
      <c r="X682" s="46"/>
      <c r="Y682" s="167">
        <f t="shared" si="521"/>
        <v>0</v>
      </c>
      <c r="Z682" s="167">
        <f t="shared" si="522"/>
        <v>0</v>
      </c>
      <c r="AA682" s="167">
        <f t="shared" si="523"/>
        <v>0</v>
      </c>
      <c r="AB682" s="167">
        <f t="shared" si="524"/>
        <v>0</v>
      </c>
      <c r="AC682" s="167">
        <f t="shared" si="525"/>
        <v>0</v>
      </c>
      <c r="AD682" s="167">
        <f t="shared" si="526"/>
        <v>0</v>
      </c>
      <c r="AF682" s="47">
        <f t="shared" si="527"/>
        <v>0</v>
      </c>
    </row>
    <row r="683" spans="1:32" x14ac:dyDescent="0.35">
      <c r="A683" s="269"/>
      <c r="B683" s="83"/>
      <c r="C683" s="83"/>
      <c r="D683" s="85"/>
      <c r="E683" s="83"/>
      <c r="F683" s="83"/>
      <c r="G683" s="43"/>
      <c r="H683" s="233"/>
      <c r="I683" s="42"/>
      <c r="J683" s="42"/>
      <c r="K683" s="42"/>
      <c r="L683" s="44"/>
      <c r="M683" s="44"/>
      <c r="N683" s="44"/>
      <c r="O683" s="44"/>
      <c r="P683" s="44"/>
      <c r="Q683" s="227"/>
      <c r="R683" s="228"/>
      <c r="S683" s="228"/>
      <c r="T683" s="228"/>
      <c r="U683" s="191">
        <f t="shared" si="520"/>
        <v>0</v>
      </c>
      <c r="V683" s="86"/>
      <c r="W683" s="45"/>
      <c r="X683" s="46"/>
      <c r="Y683" s="167">
        <f t="shared" si="521"/>
        <v>0</v>
      </c>
      <c r="Z683" s="167">
        <f t="shared" si="522"/>
        <v>0</v>
      </c>
      <c r="AA683" s="167">
        <f t="shared" si="523"/>
        <v>0</v>
      </c>
      <c r="AB683" s="167">
        <f t="shared" si="524"/>
        <v>0</v>
      </c>
      <c r="AC683" s="167">
        <f t="shared" si="525"/>
        <v>0</v>
      </c>
      <c r="AD683" s="167">
        <f t="shared" si="526"/>
        <v>0</v>
      </c>
      <c r="AF683" s="47">
        <f t="shared" si="527"/>
        <v>0</v>
      </c>
    </row>
    <row r="684" spans="1:32" x14ac:dyDescent="0.35">
      <c r="A684" s="269"/>
      <c r="B684" s="83"/>
      <c r="C684" s="83"/>
      <c r="D684" s="85"/>
      <c r="E684" s="83"/>
      <c r="F684" s="83"/>
      <c r="G684" s="43"/>
      <c r="H684" s="233"/>
      <c r="I684" s="42"/>
      <c r="J684" s="42"/>
      <c r="K684" s="42"/>
      <c r="L684" s="44"/>
      <c r="M684" s="44"/>
      <c r="N684" s="44"/>
      <c r="O684" s="44"/>
      <c r="P684" s="44"/>
      <c r="Q684" s="227"/>
      <c r="R684" s="228"/>
      <c r="S684" s="228"/>
      <c r="T684" s="228"/>
      <c r="U684" s="191">
        <f t="shared" si="520"/>
        <v>0</v>
      </c>
      <c r="V684" s="86"/>
      <c r="W684" s="45"/>
      <c r="X684" s="46"/>
      <c r="Y684" s="167">
        <f t="shared" si="521"/>
        <v>0</v>
      </c>
      <c r="Z684" s="167">
        <f t="shared" si="522"/>
        <v>0</v>
      </c>
      <c r="AA684" s="167">
        <f t="shared" si="523"/>
        <v>0</v>
      </c>
      <c r="AB684" s="167">
        <f t="shared" si="524"/>
        <v>0</v>
      </c>
      <c r="AC684" s="167">
        <f t="shared" si="525"/>
        <v>0</v>
      </c>
      <c r="AD684" s="167">
        <f t="shared" si="526"/>
        <v>0</v>
      </c>
      <c r="AF684" s="47">
        <f t="shared" si="527"/>
        <v>0</v>
      </c>
    </row>
    <row r="685" spans="1:32" x14ac:dyDescent="0.35">
      <c r="A685" s="269"/>
      <c r="B685" s="83"/>
      <c r="C685" s="83"/>
      <c r="D685" s="85"/>
      <c r="E685" s="83"/>
      <c r="F685" s="83"/>
      <c r="G685" s="43"/>
      <c r="H685" s="233"/>
      <c r="I685" s="42"/>
      <c r="J685" s="42"/>
      <c r="K685" s="42"/>
      <c r="L685" s="44"/>
      <c r="M685" s="44"/>
      <c r="N685" s="44"/>
      <c r="O685" s="44"/>
      <c r="P685" s="44"/>
      <c r="Q685" s="227"/>
      <c r="R685" s="228"/>
      <c r="S685" s="228"/>
      <c r="T685" s="228"/>
      <c r="U685" s="191">
        <f t="shared" si="520"/>
        <v>0</v>
      </c>
      <c r="V685" s="86"/>
      <c r="W685" s="45"/>
      <c r="X685" s="46"/>
      <c r="Y685" s="167">
        <f t="shared" si="521"/>
        <v>0</v>
      </c>
      <c r="Z685" s="167">
        <f t="shared" si="522"/>
        <v>0</v>
      </c>
      <c r="AA685" s="167">
        <f t="shared" si="523"/>
        <v>0</v>
      </c>
      <c r="AB685" s="167">
        <f t="shared" si="524"/>
        <v>0</v>
      </c>
      <c r="AC685" s="167">
        <f t="shared" si="525"/>
        <v>0</v>
      </c>
      <c r="AD685" s="167">
        <f t="shared" si="526"/>
        <v>0</v>
      </c>
      <c r="AF685" s="47">
        <f t="shared" si="527"/>
        <v>0</v>
      </c>
    </row>
    <row r="686" spans="1:32" x14ac:dyDescent="0.35">
      <c r="A686" s="269"/>
      <c r="B686" s="83"/>
      <c r="C686" s="83"/>
      <c r="D686" s="85"/>
      <c r="E686" s="83"/>
      <c r="F686" s="83"/>
      <c r="G686" s="43"/>
      <c r="H686" s="233"/>
      <c r="I686" s="42"/>
      <c r="J686" s="42"/>
      <c r="K686" s="42"/>
      <c r="L686" s="44"/>
      <c r="M686" s="44"/>
      <c r="N686" s="44"/>
      <c r="O686" s="44"/>
      <c r="P686" s="44"/>
      <c r="Q686" s="227"/>
      <c r="R686" s="228"/>
      <c r="S686" s="228"/>
      <c r="T686" s="228"/>
      <c r="U686" s="191">
        <f t="shared" si="520"/>
        <v>0</v>
      </c>
      <c r="V686" s="86"/>
      <c r="W686" s="45"/>
      <c r="X686" s="46"/>
      <c r="Y686" s="167">
        <f t="shared" si="521"/>
        <v>0</v>
      </c>
      <c r="Z686" s="167">
        <f t="shared" si="522"/>
        <v>0</v>
      </c>
      <c r="AA686" s="167">
        <f t="shared" si="523"/>
        <v>0</v>
      </c>
      <c r="AB686" s="167">
        <f t="shared" si="524"/>
        <v>0</v>
      </c>
      <c r="AC686" s="167">
        <f t="shared" si="525"/>
        <v>0</v>
      </c>
      <c r="AD686" s="167">
        <f t="shared" si="526"/>
        <v>0</v>
      </c>
      <c r="AF686" s="47">
        <f t="shared" si="527"/>
        <v>0</v>
      </c>
    </row>
    <row r="687" spans="1:32" x14ac:dyDescent="0.35">
      <c r="A687" s="269"/>
      <c r="B687" s="83"/>
      <c r="C687" s="83"/>
      <c r="D687" s="85"/>
      <c r="E687" s="83"/>
      <c r="F687" s="83"/>
      <c r="G687" s="43"/>
      <c r="H687" s="233"/>
      <c r="I687" s="42"/>
      <c r="J687" s="42"/>
      <c r="K687" s="42"/>
      <c r="L687" s="44"/>
      <c r="M687" s="44"/>
      <c r="N687" s="44"/>
      <c r="O687" s="44"/>
      <c r="P687" s="44"/>
      <c r="Q687" s="227"/>
      <c r="R687" s="228"/>
      <c r="S687" s="228"/>
      <c r="T687" s="228"/>
      <c r="U687" s="191">
        <f t="shared" si="520"/>
        <v>0</v>
      </c>
      <c r="V687" s="86"/>
      <c r="W687" s="45"/>
      <c r="X687" s="46"/>
      <c r="Y687" s="167">
        <f t="shared" si="521"/>
        <v>0</v>
      </c>
      <c r="Z687" s="167">
        <f t="shared" si="522"/>
        <v>0</v>
      </c>
      <c r="AA687" s="167">
        <f t="shared" si="523"/>
        <v>0</v>
      </c>
      <c r="AB687" s="167">
        <f t="shared" si="524"/>
        <v>0</v>
      </c>
      <c r="AC687" s="167">
        <f t="shared" si="525"/>
        <v>0</v>
      </c>
      <c r="AD687" s="167">
        <f t="shared" si="526"/>
        <v>0</v>
      </c>
      <c r="AF687" s="47">
        <f t="shared" si="527"/>
        <v>0</v>
      </c>
    </row>
    <row r="688" spans="1:32" x14ac:dyDescent="0.35">
      <c r="A688" s="269"/>
      <c r="B688" s="83"/>
      <c r="C688" s="83"/>
      <c r="D688" s="85"/>
      <c r="E688" s="83"/>
      <c r="F688" s="83"/>
      <c r="G688" s="43"/>
      <c r="H688" s="233"/>
      <c r="I688" s="42"/>
      <c r="J688" s="42"/>
      <c r="K688" s="42"/>
      <c r="L688" s="44"/>
      <c r="M688" s="44"/>
      <c r="N688" s="44"/>
      <c r="O688" s="44"/>
      <c r="P688" s="44"/>
      <c r="Q688" s="227"/>
      <c r="R688" s="228"/>
      <c r="S688" s="228"/>
      <c r="T688" s="228"/>
      <c r="U688" s="191">
        <f t="shared" si="520"/>
        <v>0</v>
      </c>
      <c r="V688" s="86"/>
      <c r="W688" s="45"/>
      <c r="X688" s="46"/>
      <c r="Y688" s="167">
        <f t="shared" si="521"/>
        <v>0</v>
      </c>
      <c r="Z688" s="167">
        <f t="shared" si="522"/>
        <v>0</v>
      </c>
      <c r="AA688" s="167">
        <f t="shared" si="523"/>
        <v>0</v>
      </c>
      <c r="AB688" s="167">
        <f t="shared" si="524"/>
        <v>0</v>
      </c>
      <c r="AC688" s="167">
        <f t="shared" si="525"/>
        <v>0</v>
      </c>
      <c r="AD688" s="167">
        <f t="shared" si="526"/>
        <v>0</v>
      </c>
      <c r="AF688" s="47">
        <f t="shared" si="527"/>
        <v>0</v>
      </c>
    </row>
    <row r="689" spans="1:32" x14ac:dyDescent="0.35">
      <c r="A689" s="269"/>
      <c r="B689" s="83"/>
      <c r="C689" s="83"/>
      <c r="D689" s="85"/>
      <c r="E689" s="83"/>
      <c r="F689" s="83"/>
      <c r="G689" s="43"/>
      <c r="H689" s="233"/>
      <c r="I689" s="42"/>
      <c r="J689" s="42"/>
      <c r="K689" s="42"/>
      <c r="L689" s="44"/>
      <c r="M689" s="44"/>
      <c r="N689" s="44"/>
      <c r="O689" s="44"/>
      <c r="P689" s="44"/>
      <c r="Q689" s="227"/>
      <c r="R689" s="228"/>
      <c r="S689" s="228"/>
      <c r="T689" s="228"/>
      <c r="U689" s="191">
        <f t="shared" si="520"/>
        <v>0</v>
      </c>
      <c r="V689" s="86"/>
      <c r="W689" s="45"/>
      <c r="X689" s="46"/>
      <c r="Y689" s="167">
        <f t="shared" si="521"/>
        <v>0</v>
      </c>
      <c r="Z689" s="167">
        <f t="shared" si="522"/>
        <v>0</v>
      </c>
      <c r="AA689" s="167">
        <f t="shared" si="523"/>
        <v>0</v>
      </c>
      <c r="AB689" s="167">
        <f t="shared" si="524"/>
        <v>0</v>
      </c>
      <c r="AC689" s="167">
        <f t="shared" si="525"/>
        <v>0</v>
      </c>
      <c r="AD689" s="167">
        <f t="shared" si="526"/>
        <v>0</v>
      </c>
      <c r="AF689" s="47">
        <f t="shared" si="527"/>
        <v>0</v>
      </c>
    </row>
    <row r="690" spans="1:32" x14ac:dyDescent="0.35">
      <c r="A690" s="269"/>
      <c r="B690" s="83"/>
      <c r="C690" s="83"/>
      <c r="D690" s="85"/>
      <c r="E690" s="83"/>
      <c r="F690" s="83"/>
      <c r="G690" s="43"/>
      <c r="H690" s="233"/>
      <c r="I690" s="42"/>
      <c r="J690" s="42"/>
      <c r="K690" s="42"/>
      <c r="L690" s="44"/>
      <c r="M690" s="44"/>
      <c r="N690" s="44"/>
      <c r="O690" s="44"/>
      <c r="P690" s="44"/>
      <c r="Q690" s="227"/>
      <c r="R690" s="228"/>
      <c r="S690" s="228"/>
      <c r="T690" s="228"/>
      <c r="U690" s="191">
        <f t="shared" si="520"/>
        <v>0</v>
      </c>
      <c r="V690" s="86"/>
      <c r="W690" s="45"/>
      <c r="X690" s="46"/>
      <c r="Y690" s="167">
        <f t="shared" si="521"/>
        <v>0</v>
      </c>
      <c r="Z690" s="167">
        <f t="shared" si="522"/>
        <v>0</v>
      </c>
      <c r="AA690" s="167">
        <f t="shared" si="523"/>
        <v>0</v>
      </c>
      <c r="AB690" s="167">
        <f t="shared" si="524"/>
        <v>0</v>
      </c>
      <c r="AC690" s="167">
        <f t="shared" si="525"/>
        <v>0</v>
      </c>
      <c r="AD690" s="167">
        <f t="shared" si="526"/>
        <v>0</v>
      </c>
      <c r="AF690" s="47">
        <f t="shared" si="527"/>
        <v>0</v>
      </c>
    </row>
    <row r="691" spans="1:32" x14ac:dyDescent="0.35">
      <c r="A691" s="269"/>
      <c r="B691" s="83"/>
      <c r="C691" s="83"/>
      <c r="D691" s="85"/>
      <c r="E691" s="83"/>
      <c r="F691" s="83"/>
      <c r="G691" s="43"/>
      <c r="H691" s="233"/>
      <c r="I691" s="42"/>
      <c r="J691" s="42"/>
      <c r="K691" s="42"/>
      <c r="L691" s="44"/>
      <c r="M691" s="44"/>
      <c r="N691" s="44"/>
      <c r="O691" s="44"/>
      <c r="P691" s="44"/>
      <c r="Q691" s="227"/>
      <c r="R691" s="228"/>
      <c r="S691" s="228"/>
      <c r="T691" s="228"/>
      <c r="U691" s="191">
        <f t="shared" si="520"/>
        <v>0</v>
      </c>
      <c r="V691" s="86"/>
      <c r="W691" s="45"/>
      <c r="X691" s="46"/>
      <c r="Y691" s="167">
        <f t="shared" si="521"/>
        <v>0</v>
      </c>
      <c r="Z691" s="167">
        <f t="shared" si="522"/>
        <v>0</v>
      </c>
      <c r="AA691" s="167">
        <f t="shared" si="523"/>
        <v>0</v>
      </c>
      <c r="AB691" s="167">
        <f t="shared" si="524"/>
        <v>0</v>
      </c>
      <c r="AC691" s="167">
        <f t="shared" si="525"/>
        <v>0</v>
      </c>
      <c r="AD691" s="167">
        <f t="shared" si="526"/>
        <v>0</v>
      </c>
      <c r="AF691" s="47">
        <f t="shared" si="527"/>
        <v>0</v>
      </c>
    </row>
    <row r="692" spans="1:32" x14ac:dyDescent="0.35">
      <c r="A692" s="269"/>
      <c r="B692" s="83"/>
      <c r="C692" s="83"/>
      <c r="D692" s="85"/>
      <c r="E692" s="83"/>
      <c r="F692" s="83"/>
      <c r="G692" s="43"/>
      <c r="H692" s="233"/>
      <c r="I692" s="42"/>
      <c r="J692" s="42"/>
      <c r="K692" s="42"/>
      <c r="L692" s="44"/>
      <c r="M692" s="44"/>
      <c r="N692" s="44"/>
      <c r="O692" s="44"/>
      <c r="P692" s="44"/>
      <c r="Q692" s="227"/>
      <c r="R692" s="228"/>
      <c r="S692" s="228"/>
      <c r="T692" s="228"/>
      <c r="U692" s="191">
        <f t="shared" si="520"/>
        <v>0</v>
      </c>
      <c r="V692" s="86"/>
      <c r="W692" s="45"/>
      <c r="X692" s="46"/>
      <c r="Y692" s="167">
        <f t="shared" si="521"/>
        <v>0</v>
      </c>
      <c r="Z692" s="167">
        <f t="shared" si="522"/>
        <v>0</v>
      </c>
      <c r="AA692" s="167">
        <f t="shared" si="523"/>
        <v>0</v>
      </c>
      <c r="AB692" s="167">
        <f t="shared" si="524"/>
        <v>0</v>
      </c>
      <c r="AC692" s="167">
        <f t="shared" si="525"/>
        <v>0</v>
      </c>
      <c r="AD692" s="167">
        <f t="shared" si="526"/>
        <v>0</v>
      </c>
      <c r="AF692" s="47">
        <f t="shared" si="527"/>
        <v>0</v>
      </c>
    </row>
    <row r="693" spans="1:32" x14ac:dyDescent="0.35">
      <c r="A693" s="269"/>
      <c r="B693" s="83"/>
      <c r="C693" s="83"/>
      <c r="D693" s="85"/>
      <c r="E693" s="83"/>
      <c r="F693" s="83"/>
      <c r="G693" s="43"/>
      <c r="H693" s="233"/>
      <c r="I693" s="42"/>
      <c r="J693" s="42"/>
      <c r="K693" s="42"/>
      <c r="L693" s="44"/>
      <c r="M693" s="44"/>
      <c r="N693" s="44"/>
      <c r="O693" s="44"/>
      <c r="P693" s="44"/>
      <c r="Q693" s="227"/>
      <c r="R693" s="228"/>
      <c r="S693" s="228"/>
      <c r="T693" s="228"/>
      <c r="U693" s="191">
        <f t="shared" si="520"/>
        <v>0</v>
      </c>
      <c r="V693" s="86"/>
      <c r="W693" s="45"/>
      <c r="X693" s="46"/>
      <c r="Y693" s="167">
        <f t="shared" si="521"/>
        <v>0</v>
      </c>
      <c r="Z693" s="167">
        <f t="shared" si="522"/>
        <v>0</v>
      </c>
      <c r="AA693" s="167">
        <f t="shared" si="523"/>
        <v>0</v>
      </c>
      <c r="AB693" s="167">
        <f t="shared" si="524"/>
        <v>0</v>
      </c>
      <c r="AC693" s="167">
        <f t="shared" si="525"/>
        <v>0</v>
      </c>
      <c r="AD693" s="167">
        <f t="shared" si="526"/>
        <v>0</v>
      </c>
      <c r="AF693" s="47">
        <f t="shared" si="527"/>
        <v>0</v>
      </c>
    </row>
    <row r="694" spans="1:32" x14ac:dyDescent="0.35">
      <c r="A694" s="269"/>
      <c r="B694" s="83"/>
      <c r="C694" s="83"/>
      <c r="D694" s="85"/>
      <c r="E694" s="83"/>
      <c r="F694" s="83"/>
      <c r="G694" s="43"/>
      <c r="H694" s="233"/>
      <c r="I694" s="42"/>
      <c r="J694" s="42"/>
      <c r="K694" s="42"/>
      <c r="L694" s="44"/>
      <c r="M694" s="44"/>
      <c r="N694" s="44"/>
      <c r="O694" s="44"/>
      <c r="P694" s="44"/>
      <c r="Q694" s="227"/>
      <c r="R694" s="228"/>
      <c r="S694" s="228"/>
      <c r="T694" s="228"/>
      <c r="U694" s="191">
        <f t="shared" si="520"/>
        <v>0</v>
      </c>
      <c r="V694" s="86"/>
      <c r="W694" s="45"/>
      <c r="X694" s="46"/>
      <c r="Y694" s="167">
        <f t="shared" si="521"/>
        <v>0</v>
      </c>
      <c r="Z694" s="167">
        <f t="shared" si="522"/>
        <v>0</v>
      </c>
      <c r="AA694" s="167">
        <f t="shared" si="523"/>
        <v>0</v>
      </c>
      <c r="AB694" s="167">
        <f t="shared" si="524"/>
        <v>0</v>
      </c>
      <c r="AC694" s="167">
        <f t="shared" si="525"/>
        <v>0</v>
      </c>
      <c r="AD694" s="167">
        <f t="shared" si="526"/>
        <v>0</v>
      </c>
      <c r="AF694" s="47">
        <f t="shared" si="527"/>
        <v>0</v>
      </c>
    </row>
    <row r="695" spans="1:32" x14ac:dyDescent="0.35">
      <c r="A695" s="269"/>
      <c r="B695" s="83"/>
      <c r="C695" s="83"/>
      <c r="D695" s="85"/>
      <c r="E695" s="83"/>
      <c r="F695" s="83"/>
      <c r="G695" s="43"/>
      <c r="H695" s="233"/>
      <c r="I695" s="42"/>
      <c r="J695" s="42"/>
      <c r="K695" s="42"/>
      <c r="L695" s="44"/>
      <c r="M695" s="44"/>
      <c r="N695" s="44"/>
      <c r="O695" s="44"/>
      <c r="P695" s="44"/>
      <c r="Q695" s="227"/>
      <c r="R695" s="228"/>
      <c r="S695" s="228"/>
      <c r="T695" s="228"/>
      <c r="U695" s="191">
        <f t="shared" si="520"/>
        <v>0</v>
      </c>
      <c r="V695" s="86"/>
      <c r="W695" s="45"/>
      <c r="X695" s="46"/>
      <c r="Y695" s="167">
        <f t="shared" si="521"/>
        <v>0</v>
      </c>
      <c r="Z695" s="167">
        <f t="shared" si="522"/>
        <v>0</v>
      </c>
      <c r="AA695" s="167">
        <f t="shared" si="523"/>
        <v>0</v>
      </c>
      <c r="AB695" s="167">
        <f t="shared" si="524"/>
        <v>0</v>
      </c>
      <c r="AC695" s="167">
        <f t="shared" si="525"/>
        <v>0</v>
      </c>
      <c r="AD695" s="167">
        <f t="shared" si="526"/>
        <v>0</v>
      </c>
      <c r="AF695" s="47">
        <f t="shared" si="527"/>
        <v>0</v>
      </c>
    </row>
    <row r="696" spans="1:32" x14ac:dyDescent="0.35">
      <c r="A696" s="269"/>
      <c r="B696" s="83"/>
      <c r="C696" s="83"/>
      <c r="D696" s="85"/>
      <c r="E696" s="83"/>
      <c r="F696" s="83"/>
      <c r="G696" s="43"/>
      <c r="H696" s="233"/>
      <c r="I696" s="42"/>
      <c r="J696" s="42"/>
      <c r="K696" s="42"/>
      <c r="L696" s="44"/>
      <c r="M696" s="44"/>
      <c r="N696" s="44"/>
      <c r="O696" s="44"/>
      <c r="P696" s="44"/>
      <c r="Q696" s="227"/>
      <c r="R696" s="228"/>
      <c r="S696" s="228"/>
      <c r="T696" s="228"/>
      <c r="U696" s="191">
        <f t="shared" si="520"/>
        <v>0</v>
      </c>
      <c r="V696" s="86"/>
      <c r="W696" s="45"/>
      <c r="X696" s="46"/>
      <c r="Y696" s="167">
        <f t="shared" si="521"/>
        <v>0</v>
      </c>
      <c r="Z696" s="167">
        <f t="shared" si="522"/>
        <v>0</v>
      </c>
      <c r="AA696" s="167">
        <f t="shared" si="523"/>
        <v>0</v>
      </c>
      <c r="AB696" s="167">
        <f t="shared" si="524"/>
        <v>0</v>
      </c>
      <c r="AC696" s="167">
        <f t="shared" si="525"/>
        <v>0</v>
      </c>
      <c r="AD696" s="167">
        <f t="shared" si="526"/>
        <v>0</v>
      </c>
      <c r="AF696" s="47">
        <f t="shared" si="527"/>
        <v>0</v>
      </c>
    </row>
    <row r="697" spans="1:32" x14ac:dyDescent="0.35">
      <c r="A697" s="269"/>
      <c r="B697" s="83"/>
      <c r="C697" s="83"/>
      <c r="D697" s="85"/>
      <c r="E697" s="83"/>
      <c r="F697" s="83"/>
      <c r="G697" s="43"/>
      <c r="H697" s="233"/>
      <c r="I697" s="42"/>
      <c r="J697" s="42"/>
      <c r="K697" s="42"/>
      <c r="L697" s="44"/>
      <c r="M697" s="44"/>
      <c r="N697" s="44"/>
      <c r="O697" s="44"/>
      <c r="P697" s="44"/>
      <c r="Q697" s="227"/>
      <c r="R697" s="228"/>
      <c r="S697" s="228"/>
      <c r="T697" s="228"/>
      <c r="U697" s="191">
        <f t="shared" ref="U697:U760" si="528">IF(Q697="",0,IF(T697="",0,+S697-T697))</f>
        <v>0</v>
      </c>
      <c r="V697" s="86"/>
      <c r="W697" s="45"/>
      <c r="X697" s="46"/>
      <c r="Y697" s="167">
        <f t="shared" ref="Y697:Y760" si="529">IF(G697=2,S697,0)</f>
        <v>0</v>
      </c>
      <c r="Z697" s="167">
        <f t="shared" ref="Z697:Z760" si="530">IF(Q697="",0,IF(G697=2,T697,0))</f>
        <v>0</v>
      </c>
      <c r="AA697" s="167">
        <f t="shared" ref="AA697:AA760" si="531">Y697-Z697</f>
        <v>0</v>
      </c>
      <c r="AB697" s="167">
        <f t="shared" ref="AB697:AB760" si="532">IF(G697=1,S697,0)</f>
        <v>0</v>
      </c>
      <c r="AC697" s="167">
        <f t="shared" ref="AC697:AC760" si="533">IF(Q697="",0,IF(G697=1,T697,0))</f>
        <v>0</v>
      </c>
      <c r="AD697" s="167">
        <f t="shared" ref="AD697:AD760" si="534">AB697-AC697</f>
        <v>0</v>
      </c>
      <c r="AF697" s="47">
        <f t="shared" si="527"/>
        <v>0</v>
      </c>
    </row>
    <row r="698" spans="1:32" x14ac:dyDescent="0.35">
      <c r="A698" s="269"/>
      <c r="B698" s="83"/>
      <c r="C698" s="83"/>
      <c r="D698" s="85"/>
      <c r="E698" s="83"/>
      <c r="F698" s="83"/>
      <c r="G698" s="43"/>
      <c r="H698" s="233"/>
      <c r="I698" s="42"/>
      <c r="J698" s="42"/>
      <c r="K698" s="42"/>
      <c r="L698" s="44"/>
      <c r="M698" s="44"/>
      <c r="N698" s="44"/>
      <c r="O698" s="44"/>
      <c r="P698" s="44"/>
      <c r="Q698" s="227"/>
      <c r="R698" s="228"/>
      <c r="S698" s="228"/>
      <c r="T698" s="228"/>
      <c r="U698" s="191">
        <f t="shared" si="528"/>
        <v>0</v>
      </c>
      <c r="V698" s="86"/>
      <c r="W698" s="45"/>
      <c r="X698" s="46"/>
      <c r="Y698" s="167">
        <f t="shared" si="529"/>
        <v>0</v>
      </c>
      <c r="Z698" s="167">
        <f t="shared" si="530"/>
        <v>0</v>
      </c>
      <c r="AA698" s="167">
        <f t="shared" si="531"/>
        <v>0</v>
      </c>
      <c r="AB698" s="167">
        <f t="shared" si="532"/>
        <v>0</v>
      </c>
      <c r="AC698" s="167">
        <f t="shared" si="533"/>
        <v>0</v>
      </c>
      <c r="AD698" s="167">
        <f t="shared" si="534"/>
        <v>0</v>
      </c>
      <c r="AF698" s="47">
        <f t="shared" si="527"/>
        <v>0</v>
      </c>
    </row>
    <row r="699" spans="1:32" x14ac:dyDescent="0.35">
      <c r="A699" s="269"/>
      <c r="B699" s="83"/>
      <c r="C699" s="83"/>
      <c r="D699" s="85"/>
      <c r="E699" s="83"/>
      <c r="F699" s="83"/>
      <c r="G699" s="43"/>
      <c r="H699" s="233"/>
      <c r="I699" s="42"/>
      <c r="J699" s="42"/>
      <c r="K699" s="42"/>
      <c r="L699" s="44"/>
      <c r="M699" s="44"/>
      <c r="N699" s="44"/>
      <c r="O699" s="44"/>
      <c r="P699" s="44"/>
      <c r="Q699" s="227"/>
      <c r="R699" s="228"/>
      <c r="S699" s="228"/>
      <c r="T699" s="228"/>
      <c r="U699" s="191">
        <f t="shared" si="528"/>
        <v>0</v>
      </c>
      <c r="V699" s="86"/>
      <c r="W699" s="45"/>
      <c r="X699" s="46"/>
      <c r="Y699" s="167">
        <f t="shared" si="529"/>
        <v>0</v>
      </c>
      <c r="Z699" s="167">
        <f t="shared" si="530"/>
        <v>0</v>
      </c>
      <c r="AA699" s="167">
        <f t="shared" si="531"/>
        <v>0</v>
      </c>
      <c r="AB699" s="167">
        <f t="shared" si="532"/>
        <v>0</v>
      </c>
      <c r="AC699" s="167">
        <f t="shared" si="533"/>
        <v>0</v>
      </c>
      <c r="AD699" s="167">
        <f t="shared" si="534"/>
        <v>0</v>
      </c>
      <c r="AF699" s="47">
        <f t="shared" si="527"/>
        <v>0</v>
      </c>
    </row>
    <row r="700" spans="1:32" x14ac:dyDescent="0.35">
      <c r="A700" s="269"/>
      <c r="B700" s="83"/>
      <c r="C700" s="83"/>
      <c r="D700" s="85"/>
      <c r="E700" s="83"/>
      <c r="F700" s="83"/>
      <c r="G700" s="43"/>
      <c r="H700" s="233"/>
      <c r="I700" s="42"/>
      <c r="J700" s="42"/>
      <c r="K700" s="42"/>
      <c r="L700" s="44"/>
      <c r="M700" s="44"/>
      <c r="N700" s="44"/>
      <c r="O700" s="44"/>
      <c r="P700" s="44"/>
      <c r="Q700" s="227"/>
      <c r="R700" s="228"/>
      <c r="S700" s="228"/>
      <c r="T700" s="228"/>
      <c r="U700" s="191">
        <f t="shared" si="528"/>
        <v>0</v>
      </c>
      <c r="V700" s="86"/>
      <c r="W700" s="45"/>
      <c r="X700" s="46"/>
      <c r="Y700" s="167">
        <f t="shared" si="529"/>
        <v>0</v>
      </c>
      <c r="Z700" s="167">
        <f t="shared" si="530"/>
        <v>0</v>
      </c>
      <c r="AA700" s="167">
        <f t="shared" si="531"/>
        <v>0</v>
      </c>
      <c r="AB700" s="167">
        <f t="shared" si="532"/>
        <v>0</v>
      </c>
      <c r="AC700" s="167">
        <f t="shared" si="533"/>
        <v>0</v>
      </c>
      <c r="AD700" s="167">
        <f t="shared" si="534"/>
        <v>0</v>
      </c>
      <c r="AF700" s="47">
        <f t="shared" si="527"/>
        <v>0</v>
      </c>
    </row>
    <row r="701" spans="1:32" x14ac:dyDescent="0.35">
      <c r="A701" s="269"/>
      <c r="B701" s="83"/>
      <c r="C701" s="83"/>
      <c r="D701" s="85"/>
      <c r="E701" s="83"/>
      <c r="F701" s="83"/>
      <c r="G701" s="43"/>
      <c r="H701" s="233"/>
      <c r="I701" s="42"/>
      <c r="J701" s="42"/>
      <c r="K701" s="42"/>
      <c r="L701" s="44"/>
      <c r="M701" s="44"/>
      <c r="N701" s="44"/>
      <c r="O701" s="44"/>
      <c r="P701" s="44"/>
      <c r="Q701" s="227"/>
      <c r="R701" s="228"/>
      <c r="S701" s="228"/>
      <c r="T701" s="228"/>
      <c r="U701" s="191">
        <f t="shared" si="528"/>
        <v>0</v>
      </c>
      <c r="V701" s="86"/>
      <c r="W701" s="45"/>
      <c r="X701" s="46"/>
      <c r="Y701" s="167">
        <f t="shared" si="529"/>
        <v>0</v>
      </c>
      <c r="Z701" s="167">
        <f t="shared" si="530"/>
        <v>0</v>
      </c>
      <c r="AA701" s="167">
        <f t="shared" si="531"/>
        <v>0</v>
      </c>
      <c r="AB701" s="167">
        <f t="shared" si="532"/>
        <v>0</v>
      </c>
      <c r="AC701" s="167">
        <f t="shared" si="533"/>
        <v>0</v>
      </c>
      <c r="AD701" s="167">
        <f t="shared" si="534"/>
        <v>0</v>
      </c>
      <c r="AF701" s="47">
        <f t="shared" si="527"/>
        <v>0</v>
      </c>
    </row>
    <row r="702" spans="1:32" x14ac:dyDescent="0.35">
      <c r="A702" s="269"/>
      <c r="B702" s="83"/>
      <c r="C702" s="83"/>
      <c r="D702" s="85"/>
      <c r="E702" s="83"/>
      <c r="F702" s="83"/>
      <c r="G702" s="43"/>
      <c r="H702" s="233"/>
      <c r="I702" s="42"/>
      <c r="J702" s="42"/>
      <c r="K702" s="42"/>
      <c r="L702" s="44"/>
      <c r="M702" s="44"/>
      <c r="N702" s="44"/>
      <c r="O702" s="44"/>
      <c r="P702" s="44"/>
      <c r="Q702" s="227"/>
      <c r="R702" s="228"/>
      <c r="S702" s="228"/>
      <c r="T702" s="228"/>
      <c r="U702" s="191">
        <f t="shared" si="528"/>
        <v>0</v>
      </c>
      <c r="V702" s="86"/>
      <c r="W702" s="45"/>
      <c r="X702" s="46"/>
      <c r="Y702" s="167">
        <f t="shared" si="529"/>
        <v>0</v>
      </c>
      <c r="Z702" s="167">
        <f t="shared" si="530"/>
        <v>0</v>
      </c>
      <c r="AA702" s="167">
        <f t="shared" si="531"/>
        <v>0</v>
      </c>
      <c r="AB702" s="167">
        <f t="shared" si="532"/>
        <v>0</v>
      </c>
      <c r="AC702" s="167">
        <f t="shared" si="533"/>
        <v>0</v>
      </c>
      <c r="AD702" s="167">
        <f t="shared" si="534"/>
        <v>0</v>
      </c>
      <c r="AF702" s="47">
        <f t="shared" si="527"/>
        <v>0</v>
      </c>
    </row>
    <row r="703" spans="1:32" x14ac:dyDescent="0.35">
      <c r="A703" s="269"/>
      <c r="B703" s="83"/>
      <c r="C703" s="83"/>
      <c r="D703" s="85"/>
      <c r="E703" s="83"/>
      <c r="F703" s="83"/>
      <c r="G703" s="43"/>
      <c r="H703" s="233"/>
      <c r="I703" s="42"/>
      <c r="J703" s="42"/>
      <c r="K703" s="42"/>
      <c r="L703" s="44"/>
      <c r="M703" s="44"/>
      <c r="N703" s="44"/>
      <c r="O703" s="44"/>
      <c r="P703" s="44"/>
      <c r="Q703" s="227"/>
      <c r="R703" s="228"/>
      <c r="S703" s="228"/>
      <c r="T703" s="228"/>
      <c r="U703" s="191">
        <f t="shared" si="528"/>
        <v>0</v>
      </c>
      <c r="V703" s="86"/>
      <c r="W703" s="45"/>
      <c r="X703" s="46"/>
      <c r="Y703" s="167">
        <f t="shared" si="529"/>
        <v>0</v>
      </c>
      <c r="Z703" s="167">
        <f t="shared" si="530"/>
        <v>0</v>
      </c>
      <c r="AA703" s="167">
        <f t="shared" si="531"/>
        <v>0</v>
      </c>
      <c r="AB703" s="167">
        <f t="shared" si="532"/>
        <v>0</v>
      </c>
      <c r="AC703" s="167">
        <f t="shared" si="533"/>
        <v>0</v>
      </c>
      <c r="AD703" s="167">
        <f t="shared" si="534"/>
        <v>0</v>
      </c>
      <c r="AF703" s="47">
        <f t="shared" si="527"/>
        <v>0</v>
      </c>
    </row>
    <row r="704" spans="1:32" x14ac:dyDescent="0.35">
      <c r="A704" s="269"/>
      <c r="B704" s="83"/>
      <c r="C704" s="83"/>
      <c r="D704" s="85"/>
      <c r="E704" s="83"/>
      <c r="F704" s="83"/>
      <c r="G704" s="43"/>
      <c r="H704" s="233"/>
      <c r="I704" s="42"/>
      <c r="J704" s="42"/>
      <c r="K704" s="42"/>
      <c r="L704" s="44"/>
      <c r="M704" s="44"/>
      <c r="N704" s="44"/>
      <c r="O704" s="44"/>
      <c r="P704" s="44"/>
      <c r="Q704" s="227"/>
      <c r="R704" s="228"/>
      <c r="S704" s="228"/>
      <c r="T704" s="228"/>
      <c r="U704" s="191">
        <f t="shared" si="528"/>
        <v>0</v>
      </c>
      <c r="V704" s="86"/>
      <c r="W704" s="45"/>
      <c r="X704" s="46"/>
      <c r="Y704" s="167">
        <f t="shared" si="529"/>
        <v>0</v>
      </c>
      <c r="Z704" s="167">
        <f t="shared" si="530"/>
        <v>0</v>
      </c>
      <c r="AA704" s="167">
        <f t="shared" si="531"/>
        <v>0</v>
      </c>
      <c r="AB704" s="167">
        <f t="shared" si="532"/>
        <v>0</v>
      </c>
      <c r="AC704" s="167">
        <f t="shared" si="533"/>
        <v>0</v>
      </c>
      <c r="AD704" s="167">
        <f t="shared" si="534"/>
        <v>0</v>
      </c>
      <c r="AF704" s="47">
        <f t="shared" si="527"/>
        <v>0</v>
      </c>
    </row>
    <row r="705" spans="1:32" x14ac:dyDescent="0.35">
      <c r="A705" s="269"/>
      <c r="B705" s="83"/>
      <c r="C705" s="83"/>
      <c r="D705" s="85"/>
      <c r="E705" s="83"/>
      <c r="F705" s="83"/>
      <c r="G705" s="43"/>
      <c r="H705" s="233"/>
      <c r="I705" s="42"/>
      <c r="J705" s="42"/>
      <c r="K705" s="42"/>
      <c r="L705" s="44"/>
      <c r="M705" s="44"/>
      <c r="N705" s="44"/>
      <c r="O705" s="44"/>
      <c r="P705" s="44"/>
      <c r="Q705" s="227"/>
      <c r="R705" s="228"/>
      <c r="S705" s="228"/>
      <c r="T705" s="228"/>
      <c r="U705" s="191">
        <f t="shared" si="528"/>
        <v>0</v>
      </c>
      <c r="V705" s="86"/>
      <c r="W705" s="45"/>
      <c r="X705" s="46"/>
      <c r="Y705" s="167">
        <f t="shared" si="529"/>
        <v>0</v>
      </c>
      <c r="Z705" s="167">
        <f t="shared" si="530"/>
        <v>0</v>
      </c>
      <c r="AA705" s="167">
        <f t="shared" si="531"/>
        <v>0</v>
      </c>
      <c r="AB705" s="167">
        <f t="shared" si="532"/>
        <v>0</v>
      </c>
      <c r="AC705" s="167">
        <f t="shared" si="533"/>
        <v>0</v>
      </c>
      <c r="AD705" s="167">
        <f t="shared" si="534"/>
        <v>0</v>
      </c>
      <c r="AF705" s="47">
        <f t="shared" si="527"/>
        <v>0</v>
      </c>
    </row>
    <row r="706" spans="1:32" x14ac:dyDescent="0.35">
      <c r="A706" s="269"/>
      <c r="B706" s="83"/>
      <c r="C706" s="83"/>
      <c r="D706" s="85"/>
      <c r="E706" s="83"/>
      <c r="F706" s="83"/>
      <c r="G706" s="43"/>
      <c r="H706" s="233"/>
      <c r="I706" s="42"/>
      <c r="J706" s="42"/>
      <c r="K706" s="42"/>
      <c r="L706" s="44"/>
      <c r="M706" s="44"/>
      <c r="N706" s="44"/>
      <c r="O706" s="44"/>
      <c r="P706" s="44"/>
      <c r="Q706" s="227"/>
      <c r="R706" s="228"/>
      <c r="S706" s="228"/>
      <c r="T706" s="228"/>
      <c r="U706" s="191">
        <f t="shared" si="528"/>
        <v>0</v>
      </c>
      <c r="V706" s="86"/>
      <c r="W706" s="45"/>
      <c r="X706" s="46"/>
      <c r="Y706" s="167">
        <f t="shared" si="529"/>
        <v>0</v>
      </c>
      <c r="Z706" s="167">
        <f t="shared" si="530"/>
        <v>0</v>
      </c>
      <c r="AA706" s="167">
        <f t="shared" si="531"/>
        <v>0</v>
      </c>
      <c r="AB706" s="167">
        <f t="shared" si="532"/>
        <v>0</v>
      </c>
      <c r="AC706" s="167">
        <f t="shared" si="533"/>
        <v>0</v>
      </c>
      <c r="AD706" s="167">
        <f t="shared" si="534"/>
        <v>0</v>
      </c>
      <c r="AF706" s="47">
        <f t="shared" si="527"/>
        <v>0</v>
      </c>
    </row>
    <row r="707" spans="1:32" x14ac:dyDescent="0.35">
      <c r="A707" s="269"/>
      <c r="B707" s="83"/>
      <c r="C707" s="83"/>
      <c r="D707" s="85"/>
      <c r="E707" s="83"/>
      <c r="F707" s="83"/>
      <c r="G707" s="43"/>
      <c r="H707" s="233"/>
      <c r="I707" s="42"/>
      <c r="J707" s="42"/>
      <c r="K707" s="42"/>
      <c r="L707" s="44"/>
      <c r="M707" s="44"/>
      <c r="N707" s="44"/>
      <c r="O707" s="44"/>
      <c r="P707" s="44"/>
      <c r="Q707" s="227"/>
      <c r="R707" s="228"/>
      <c r="S707" s="228"/>
      <c r="T707" s="228"/>
      <c r="U707" s="191">
        <f t="shared" si="528"/>
        <v>0</v>
      </c>
      <c r="V707" s="86"/>
      <c r="W707" s="45"/>
      <c r="X707" s="46"/>
      <c r="Y707" s="167">
        <f t="shared" si="529"/>
        <v>0</v>
      </c>
      <c r="Z707" s="167">
        <f t="shared" si="530"/>
        <v>0</v>
      </c>
      <c r="AA707" s="167">
        <f t="shared" si="531"/>
        <v>0</v>
      </c>
      <c r="AB707" s="167">
        <f t="shared" si="532"/>
        <v>0</v>
      </c>
      <c r="AC707" s="167">
        <f t="shared" si="533"/>
        <v>0</v>
      </c>
      <c r="AD707" s="167">
        <f t="shared" si="534"/>
        <v>0</v>
      </c>
      <c r="AF707" s="47">
        <f t="shared" si="527"/>
        <v>0</v>
      </c>
    </row>
    <row r="708" spans="1:32" x14ac:dyDescent="0.35">
      <c r="A708" s="269"/>
      <c r="B708" s="83"/>
      <c r="C708" s="83"/>
      <c r="D708" s="85"/>
      <c r="E708" s="83"/>
      <c r="F708" s="83"/>
      <c r="G708" s="43"/>
      <c r="H708" s="233"/>
      <c r="I708" s="42"/>
      <c r="J708" s="42"/>
      <c r="K708" s="42"/>
      <c r="L708" s="44"/>
      <c r="M708" s="44"/>
      <c r="N708" s="44"/>
      <c r="O708" s="44"/>
      <c r="P708" s="44"/>
      <c r="Q708" s="227"/>
      <c r="R708" s="228"/>
      <c r="S708" s="228"/>
      <c r="T708" s="228"/>
      <c r="U708" s="191">
        <f t="shared" si="528"/>
        <v>0</v>
      </c>
      <c r="V708" s="86"/>
      <c r="W708" s="45"/>
      <c r="X708" s="46"/>
      <c r="Y708" s="167">
        <f t="shared" si="529"/>
        <v>0</v>
      </c>
      <c r="Z708" s="167">
        <f t="shared" si="530"/>
        <v>0</v>
      </c>
      <c r="AA708" s="167">
        <f t="shared" si="531"/>
        <v>0</v>
      </c>
      <c r="AB708" s="167">
        <f t="shared" si="532"/>
        <v>0</v>
      </c>
      <c r="AC708" s="167">
        <f t="shared" si="533"/>
        <v>0</v>
      </c>
      <c r="AD708" s="167">
        <f t="shared" si="534"/>
        <v>0</v>
      </c>
      <c r="AF708" s="47">
        <f t="shared" si="527"/>
        <v>0</v>
      </c>
    </row>
    <row r="709" spans="1:32" x14ac:dyDescent="0.35">
      <c r="A709" s="269"/>
      <c r="B709" s="83"/>
      <c r="C709" s="83"/>
      <c r="D709" s="85"/>
      <c r="E709" s="83"/>
      <c r="F709" s="83"/>
      <c r="G709" s="43"/>
      <c r="H709" s="233"/>
      <c r="I709" s="42"/>
      <c r="J709" s="42"/>
      <c r="K709" s="42"/>
      <c r="L709" s="44"/>
      <c r="M709" s="44"/>
      <c r="N709" s="44"/>
      <c r="O709" s="44"/>
      <c r="P709" s="44"/>
      <c r="Q709" s="227"/>
      <c r="R709" s="228"/>
      <c r="S709" s="228"/>
      <c r="T709" s="228"/>
      <c r="U709" s="191">
        <f t="shared" si="528"/>
        <v>0</v>
      </c>
      <c r="V709" s="86"/>
      <c r="W709" s="45"/>
      <c r="X709" s="46"/>
      <c r="Y709" s="167">
        <f t="shared" si="529"/>
        <v>0</v>
      </c>
      <c r="Z709" s="167">
        <f t="shared" si="530"/>
        <v>0</v>
      </c>
      <c r="AA709" s="167">
        <f t="shared" si="531"/>
        <v>0</v>
      </c>
      <c r="AB709" s="167">
        <f t="shared" si="532"/>
        <v>0</v>
      </c>
      <c r="AC709" s="167">
        <f t="shared" si="533"/>
        <v>0</v>
      </c>
      <c r="AD709" s="167">
        <f t="shared" si="534"/>
        <v>0</v>
      </c>
      <c r="AF709" s="47">
        <f t="shared" si="527"/>
        <v>0</v>
      </c>
    </row>
    <row r="710" spans="1:32" x14ac:dyDescent="0.35">
      <c r="A710" s="269"/>
      <c r="B710" s="83"/>
      <c r="C710" s="83"/>
      <c r="D710" s="85"/>
      <c r="E710" s="83"/>
      <c r="F710" s="83"/>
      <c r="G710" s="43"/>
      <c r="H710" s="233"/>
      <c r="I710" s="42"/>
      <c r="J710" s="42"/>
      <c r="K710" s="42"/>
      <c r="L710" s="44"/>
      <c r="M710" s="44"/>
      <c r="N710" s="44"/>
      <c r="O710" s="44"/>
      <c r="P710" s="44"/>
      <c r="Q710" s="227"/>
      <c r="R710" s="228"/>
      <c r="S710" s="228"/>
      <c r="T710" s="228"/>
      <c r="U710" s="191">
        <f t="shared" si="528"/>
        <v>0</v>
      </c>
      <c r="V710" s="86"/>
      <c r="W710" s="45"/>
      <c r="X710" s="46"/>
      <c r="Y710" s="167">
        <f t="shared" si="529"/>
        <v>0</v>
      </c>
      <c r="Z710" s="167">
        <f t="shared" si="530"/>
        <v>0</v>
      </c>
      <c r="AA710" s="167">
        <f t="shared" si="531"/>
        <v>0</v>
      </c>
      <c r="AB710" s="167">
        <f t="shared" si="532"/>
        <v>0</v>
      </c>
      <c r="AC710" s="167">
        <f t="shared" si="533"/>
        <v>0</v>
      </c>
      <c r="AD710" s="167">
        <f t="shared" si="534"/>
        <v>0</v>
      </c>
      <c r="AF710" s="47">
        <f t="shared" si="527"/>
        <v>0</v>
      </c>
    </row>
    <row r="711" spans="1:32" x14ac:dyDescent="0.35">
      <c r="A711" s="269"/>
      <c r="B711" s="83"/>
      <c r="C711" s="83"/>
      <c r="D711" s="85"/>
      <c r="E711" s="83"/>
      <c r="F711" s="83"/>
      <c r="G711" s="43"/>
      <c r="H711" s="233"/>
      <c r="I711" s="42"/>
      <c r="J711" s="42"/>
      <c r="K711" s="42"/>
      <c r="L711" s="44"/>
      <c r="M711" s="44"/>
      <c r="N711" s="44"/>
      <c r="O711" s="44"/>
      <c r="P711" s="44"/>
      <c r="Q711" s="227"/>
      <c r="R711" s="228"/>
      <c r="S711" s="228"/>
      <c r="T711" s="228"/>
      <c r="U711" s="191">
        <f t="shared" si="528"/>
        <v>0</v>
      </c>
      <c r="V711" s="86"/>
      <c r="W711" s="45"/>
      <c r="X711" s="46"/>
      <c r="Y711" s="167">
        <f t="shared" si="529"/>
        <v>0</v>
      </c>
      <c r="Z711" s="167">
        <f t="shared" si="530"/>
        <v>0</v>
      </c>
      <c r="AA711" s="167">
        <f t="shared" si="531"/>
        <v>0</v>
      </c>
      <c r="AB711" s="167">
        <f t="shared" si="532"/>
        <v>0</v>
      </c>
      <c r="AC711" s="167">
        <f t="shared" si="533"/>
        <v>0</v>
      </c>
      <c r="AD711" s="167">
        <f t="shared" si="534"/>
        <v>0</v>
      </c>
      <c r="AF711" s="47">
        <f t="shared" si="527"/>
        <v>0</v>
      </c>
    </row>
    <row r="712" spans="1:32" x14ac:dyDescent="0.35">
      <c r="A712" s="269"/>
      <c r="B712" s="83"/>
      <c r="C712" s="83"/>
      <c r="D712" s="85"/>
      <c r="E712" s="83"/>
      <c r="F712" s="83"/>
      <c r="G712" s="43"/>
      <c r="H712" s="233"/>
      <c r="I712" s="42"/>
      <c r="J712" s="42"/>
      <c r="K712" s="42"/>
      <c r="L712" s="44"/>
      <c r="M712" s="44"/>
      <c r="N712" s="44"/>
      <c r="O712" s="44"/>
      <c r="P712" s="44"/>
      <c r="Q712" s="227"/>
      <c r="R712" s="228"/>
      <c r="S712" s="228"/>
      <c r="T712" s="228"/>
      <c r="U712" s="191">
        <f t="shared" si="528"/>
        <v>0</v>
      </c>
      <c r="V712" s="86"/>
      <c r="W712" s="45"/>
      <c r="X712" s="46"/>
      <c r="Y712" s="167">
        <f t="shared" si="529"/>
        <v>0</v>
      </c>
      <c r="Z712" s="167">
        <f t="shared" si="530"/>
        <v>0</v>
      </c>
      <c r="AA712" s="167">
        <f t="shared" si="531"/>
        <v>0</v>
      </c>
      <c r="AB712" s="167">
        <f t="shared" si="532"/>
        <v>0</v>
      </c>
      <c r="AC712" s="167">
        <f t="shared" si="533"/>
        <v>0</v>
      </c>
      <c r="AD712" s="167">
        <f t="shared" si="534"/>
        <v>0</v>
      </c>
      <c r="AF712" s="47">
        <f t="shared" si="527"/>
        <v>0</v>
      </c>
    </row>
    <row r="713" spans="1:32" x14ac:dyDescent="0.35">
      <c r="A713" s="269"/>
      <c r="B713" s="83"/>
      <c r="C713" s="83"/>
      <c r="D713" s="85"/>
      <c r="E713" s="83"/>
      <c r="F713" s="83"/>
      <c r="G713" s="43"/>
      <c r="H713" s="233"/>
      <c r="I713" s="42"/>
      <c r="J713" s="42"/>
      <c r="K713" s="42"/>
      <c r="L713" s="44"/>
      <c r="M713" s="44"/>
      <c r="N713" s="44"/>
      <c r="O713" s="44"/>
      <c r="P713" s="44"/>
      <c r="Q713" s="227"/>
      <c r="R713" s="228"/>
      <c r="S713" s="228"/>
      <c r="T713" s="228"/>
      <c r="U713" s="191">
        <f t="shared" si="528"/>
        <v>0</v>
      </c>
      <c r="V713" s="86"/>
      <c r="W713" s="45"/>
      <c r="X713" s="46"/>
      <c r="Y713" s="167">
        <f t="shared" si="529"/>
        <v>0</v>
      </c>
      <c r="Z713" s="167">
        <f t="shared" si="530"/>
        <v>0</v>
      </c>
      <c r="AA713" s="167">
        <f t="shared" si="531"/>
        <v>0</v>
      </c>
      <c r="AB713" s="167">
        <f t="shared" si="532"/>
        <v>0</v>
      </c>
      <c r="AC713" s="167">
        <f t="shared" si="533"/>
        <v>0</v>
      </c>
      <c r="AD713" s="167">
        <f t="shared" si="534"/>
        <v>0</v>
      </c>
      <c r="AF713" s="47">
        <f t="shared" si="527"/>
        <v>0</v>
      </c>
    </row>
    <row r="714" spans="1:32" x14ac:dyDescent="0.35">
      <c r="A714" s="269"/>
      <c r="B714" s="83"/>
      <c r="C714" s="83"/>
      <c r="D714" s="85"/>
      <c r="E714" s="83"/>
      <c r="F714" s="83"/>
      <c r="G714" s="43"/>
      <c r="H714" s="233"/>
      <c r="I714" s="42"/>
      <c r="J714" s="42"/>
      <c r="K714" s="42"/>
      <c r="L714" s="44"/>
      <c r="M714" s="44"/>
      <c r="N714" s="44"/>
      <c r="O714" s="44"/>
      <c r="P714" s="44"/>
      <c r="Q714" s="227"/>
      <c r="R714" s="228"/>
      <c r="S714" s="228"/>
      <c r="T714" s="228"/>
      <c r="U714" s="191">
        <f t="shared" si="528"/>
        <v>0</v>
      </c>
      <c r="V714" s="86"/>
      <c r="W714" s="45"/>
      <c r="X714" s="46"/>
      <c r="Y714" s="167">
        <f t="shared" si="529"/>
        <v>0</v>
      </c>
      <c r="Z714" s="167">
        <f t="shared" si="530"/>
        <v>0</v>
      </c>
      <c r="AA714" s="167">
        <f t="shared" si="531"/>
        <v>0</v>
      </c>
      <c r="AB714" s="167">
        <f t="shared" si="532"/>
        <v>0</v>
      </c>
      <c r="AC714" s="167">
        <f t="shared" si="533"/>
        <v>0</v>
      </c>
      <c r="AD714" s="167">
        <f t="shared" si="534"/>
        <v>0</v>
      </c>
      <c r="AF714" s="47">
        <f t="shared" si="527"/>
        <v>0</v>
      </c>
    </row>
    <row r="715" spans="1:32" x14ac:dyDescent="0.35">
      <c r="A715" s="269"/>
      <c r="B715" s="83"/>
      <c r="C715" s="83"/>
      <c r="D715" s="85"/>
      <c r="E715" s="83"/>
      <c r="F715" s="83"/>
      <c r="G715" s="43"/>
      <c r="H715" s="233"/>
      <c r="I715" s="42"/>
      <c r="J715" s="42"/>
      <c r="K715" s="42"/>
      <c r="L715" s="44"/>
      <c r="M715" s="44"/>
      <c r="N715" s="44"/>
      <c r="O715" s="44"/>
      <c r="P715" s="44"/>
      <c r="Q715" s="227"/>
      <c r="R715" s="228"/>
      <c r="S715" s="228"/>
      <c r="T715" s="228"/>
      <c r="U715" s="191">
        <f t="shared" si="528"/>
        <v>0</v>
      </c>
      <c r="V715" s="86"/>
      <c r="W715" s="45"/>
      <c r="X715" s="46"/>
      <c r="Y715" s="167">
        <f t="shared" si="529"/>
        <v>0</v>
      </c>
      <c r="Z715" s="167">
        <f t="shared" si="530"/>
        <v>0</v>
      </c>
      <c r="AA715" s="167">
        <f t="shared" si="531"/>
        <v>0</v>
      </c>
      <c r="AB715" s="167">
        <f t="shared" si="532"/>
        <v>0</v>
      </c>
      <c r="AC715" s="167">
        <f t="shared" si="533"/>
        <v>0</v>
      </c>
      <c r="AD715" s="167">
        <f t="shared" si="534"/>
        <v>0</v>
      </c>
      <c r="AF715" s="47">
        <f t="shared" si="527"/>
        <v>0</v>
      </c>
    </row>
    <row r="716" spans="1:32" x14ac:dyDescent="0.35">
      <c r="A716" s="269"/>
      <c r="B716" s="83"/>
      <c r="C716" s="83"/>
      <c r="D716" s="85"/>
      <c r="E716" s="83"/>
      <c r="F716" s="83"/>
      <c r="G716" s="43"/>
      <c r="H716" s="233"/>
      <c r="I716" s="42"/>
      <c r="J716" s="42"/>
      <c r="K716" s="42"/>
      <c r="L716" s="44"/>
      <c r="M716" s="44"/>
      <c r="N716" s="44"/>
      <c r="O716" s="44"/>
      <c r="P716" s="44"/>
      <c r="Q716" s="227"/>
      <c r="R716" s="228"/>
      <c r="S716" s="228"/>
      <c r="T716" s="228"/>
      <c r="U716" s="191">
        <f t="shared" si="528"/>
        <v>0</v>
      </c>
      <c r="V716" s="86"/>
      <c r="W716" s="45"/>
      <c r="X716" s="46"/>
      <c r="Y716" s="167">
        <f t="shared" si="529"/>
        <v>0</v>
      </c>
      <c r="Z716" s="167">
        <f t="shared" si="530"/>
        <v>0</v>
      </c>
      <c r="AA716" s="167">
        <f t="shared" si="531"/>
        <v>0</v>
      </c>
      <c r="AB716" s="167">
        <f t="shared" si="532"/>
        <v>0</v>
      </c>
      <c r="AC716" s="167">
        <f t="shared" si="533"/>
        <v>0</v>
      </c>
      <c r="AD716" s="167">
        <f t="shared" si="534"/>
        <v>0</v>
      </c>
      <c r="AF716" s="47">
        <f t="shared" si="527"/>
        <v>0</v>
      </c>
    </row>
    <row r="717" spans="1:32" x14ac:dyDescent="0.35">
      <c r="A717" s="269"/>
      <c r="B717" s="83"/>
      <c r="C717" s="83"/>
      <c r="D717" s="85"/>
      <c r="E717" s="83"/>
      <c r="F717" s="83"/>
      <c r="G717" s="43"/>
      <c r="H717" s="233"/>
      <c r="I717" s="42"/>
      <c r="J717" s="42"/>
      <c r="K717" s="42"/>
      <c r="L717" s="44"/>
      <c r="M717" s="44"/>
      <c r="N717" s="44"/>
      <c r="O717" s="44"/>
      <c r="P717" s="44"/>
      <c r="Q717" s="227"/>
      <c r="R717" s="228"/>
      <c r="S717" s="228"/>
      <c r="T717" s="228"/>
      <c r="U717" s="191">
        <f t="shared" si="528"/>
        <v>0</v>
      </c>
      <c r="V717" s="86"/>
      <c r="W717" s="45"/>
      <c r="X717" s="46"/>
      <c r="Y717" s="167">
        <f t="shared" si="529"/>
        <v>0</v>
      </c>
      <c r="Z717" s="167">
        <f t="shared" si="530"/>
        <v>0</v>
      </c>
      <c r="AA717" s="167">
        <f t="shared" si="531"/>
        <v>0</v>
      </c>
      <c r="AB717" s="167">
        <f t="shared" si="532"/>
        <v>0</v>
      </c>
      <c r="AC717" s="167">
        <f t="shared" si="533"/>
        <v>0</v>
      </c>
      <c r="AD717" s="167">
        <f t="shared" si="534"/>
        <v>0</v>
      </c>
      <c r="AF717" s="47">
        <f t="shared" si="527"/>
        <v>0</v>
      </c>
    </row>
    <row r="718" spans="1:32" x14ac:dyDescent="0.35">
      <c r="A718" s="269"/>
      <c r="B718" s="83"/>
      <c r="C718" s="83"/>
      <c r="D718" s="85"/>
      <c r="E718" s="83"/>
      <c r="F718" s="83"/>
      <c r="G718" s="43"/>
      <c r="H718" s="233"/>
      <c r="I718" s="42"/>
      <c r="J718" s="42"/>
      <c r="K718" s="42"/>
      <c r="L718" s="44"/>
      <c r="M718" s="44"/>
      <c r="N718" s="44"/>
      <c r="O718" s="44"/>
      <c r="P718" s="44"/>
      <c r="Q718" s="227"/>
      <c r="R718" s="228"/>
      <c r="S718" s="228"/>
      <c r="T718" s="228"/>
      <c r="U718" s="191">
        <f t="shared" si="528"/>
        <v>0</v>
      </c>
      <c r="V718" s="86"/>
      <c r="W718" s="45"/>
      <c r="X718" s="46"/>
      <c r="Y718" s="167">
        <f t="shared" si="529"/>
        <v>0</v>
      </c>
      <c r="Z718" s="167">
        <f t="shared" si="530"/>
        <v>0</v>
      </c>
      <c r="AA718" s="167">
        <f t="shared" si="531"/>
        <v>0</v>
      </c>
      <c r="AB718" s="167">
        <f t="shared" si="532"/>
        <v>0</v>
      </c>
      <c r="AC718" s="167">
        <f t="shared" si="533"/>
        <v>0</v>
      </c>
      <c r="AD718" s="167">
        <f t="shared" si="534"/>
        <v>0</v>
      </c>
      <c r="AF718" s="47">
        <f t="shared" si="527"/>
        <v>0</v>
      </c>
    </row>
    <row r="719" spans="1:32" x14ac:dyDescent="0.35">
      <c r="A719" s="269"/>
      <c r="B719" s="83"/>
      <c r="C719" s="83"/>
      <c r="D719" s="85"/>
      <c r="E719" s="83"/>
      <c r="F719" s="83"/>
      <c r="G719" s="43"/>
      <c r="H719" s="233"/>
      <c r="I719" s="42"/>
      <c r="J719" s="42"/>
      <c r="K719" s="42"/>
      <c r="L719" s="44"/>
      <c r="M719" s="44"/>
      <c r="N719" s="44"/>
      <c r="O719" s="44"/>
      <c r="P719" s="44"/>
      <c r="Q719" s="227"/>
      <c r="R719" s="228"/>
      <c r="S719" s="228"/>
      <c r="T719" s="228"/>
      <c r="U719" s="191">
        <f t="shared" si="528"/>
        <v>0</v>
      </c>
      <c r="V719" s="86"/>
      <c r="W719" s="45"/>
      <c r="X719" s="46"/>
      <c r="Y719" s="167">
        <f t="shared" si="529"/>
        <v>0</v>
      </c>
      <c r="Z719" s="167">
        <f t="shared" si="530"/>
        <v>0</v>
      </c>
      <c r="AA719" s="167">
        <f t="shared" si="531"/>
        <v>0</v>
      </c>
      <c r="AB719" s="167">
        <f t="shared" si="532"/>
        <v>0</v>
      </c>
      <c r="AC719" s="167">
        <f t="shared" si="533"/>
        <v>0</v>
      </c>
      <c r="AD719" s="167">
        <f t="shared" si="534"/>
        <v>0</v>
      </c>
      <c r="AF719" s="47">
        <f t="shared" si="527"/>
        <v>0</v>
      </c>
    </row>
    <row r="720" spans="1:32" x14ac:dyDescent="0.35">
      <c r="A720" s="269"/>
      <c r="B720" s="83"/>
      <c r="C720" s="83"/>
      <c r="D720" s="85"/>
      <c r="E720" s="83"/>
      <c r="F720" s="83"/>
      <c r="G720" s="43"/>
      <c r="H720" s="233"/>
      <c r="I720" s="42"/>
      <c r="J720" s="42"/>
      <c r="K720" s="42"/>
      <c r="L720" s="44"/>
      <c r="M720" s="44"/>
      <c r="N720" s="44"/>
      <c r="O720" s="44"/>
      <c r="P720" s="44"/>
      <c r="Q720" s="227"/>
      <c r="R720" s="228"/>
      <c r="S720" s="228"/>
      <c r="T720" s="228"/>
      <c r="U720" s="191">
        <f t="shared" si="528"/>
        <v>0</v>
      </c>
      <c r="V720" s="86"/>
      <c r="W720" s="45"/>
      <c r="X720" s="46"/>
      <c r="Y720" s="167">
        <f t="shared" si="529"/>
        <v>0</v>
      </c>
      <c r="Z720" s="167">
        <f t="shared" si="530"/>
        <v>0</v>
      </c>
      <c r="AA720" s="167">
        <f t="shared" si="531"/>
        <v>0</v>
      </c>
      <c r="AB720" s="167">
        <f t="shared" si="532"/>
        <v>0</v>
      </c>
      <c r="AC720" s="167">
        <f t="shared" si="533"/>
        <v>0</v>
      </c>
      <c r="AD720" s="167">
        <f t="shared" si="534"/>
        <v>0</v>
      </c>
      <c r="AF720" s="47">
        <f t="shared" si="527"/>
        <v>0</v>
      </c>
    </row>
    <row r="721" spans="1:32" x14ac:dyDescent="0.35">
      <c r="A721" s="269"/>
      <c r="B721" s="83"/>
      <c r="C721" s="83"/>
      <c r="D721" s="85"/>
      <c r="E721" s="83"/>
      <c r="F721" s="83"/>
      <c r="G721" s="43"/>
      <c r="H721" s="233"/>
      <c r="I721" s="42"/>
      <c r="J721" s="42"/>
      <c r="K721" s="42"/>
      <c r="L721" s="44"/>
      <c r="M721" s="44"/>
      <c r="N721" s="44"/>
      <c r="O721" s="44"/>
      <c r="P721" s="44"/>
      <c r="Q721" s="227"/>
      <c r="R721" s="228"/>
      <c r="S721" s="228"/>
      <c r="T721" s="228"/>
      <c r="U721" s="191">
        <f t="shared" si="528"/>
        <v>0</v>
      </c>
      <c r="V721" s="86"/>
      <c r="W721" s="45"/>
      <c r="X721" s="46"/>
      <c r="Y721" s="167">
        <f t="shared" si="529"/>
        <v>0</v>
      </c>
      <c r="Z721" s="167">
        <f t="shared" si="530"/>
        <v>0</v>
      </c>
      <c r="AA721" s="167">
        <f t="shared" si="531"/>
        <v>0</v>
      </c>
      <c r="AB721" s="167">
        <f t="shared" si="532"/>
        <v>0</v>
      </c>
      <c r="AC721" s="167">
        <f t="shared" si="533"/>
        <v>0</v>
      </c>
      <c r="AD721" s="167">
        <f t="shared" si="534"/>
        <v>0</v>
      </c>
      <c r="AF721" s="47">
        <f t="shared" si="527"/>
        <v>0</v>
      </c>
    </row>
    <row r="722" spans="1:32" x14ac:dyDescent="0.35">
      <c r="A722" s="269"/>
      <c r="B722" s="83"/>
      <c r="C722" s="83"/>
      <c r="D722" s="85"/>
      <c r="E722" s="83"/>
      <c r="F722" s="83"/>
      <c r="G722" s="43"/>
      <c r="H722" s="233"/>
      <c r="I722" s="42"/>
      <c r="J722" s="42"/>
      <c r="K722" s="42"/>
      <c r="L722" s="44"/>
      <c r="M722" s="44"/>
      <c r="N722" s="44"/>
      <c r="O722" s="44"/>
      <c r="P722" s="44"/>
      <c r="Q722" s="227"/>
      <c r="R722" s="228"/>
      <c r="S722" s="228"/>
      <c r="T722" s="228"/>
      <c r="U722" s="191">
        <f t="shared" si="528"/>
        <v>0</v>
      </c>
      <c r="V722" s="86"/>
      <c r="W722" s="45"/>
      <c r="X722" s="46"/>
      <c r="Y722" s="167">
        <f t="shared" si="529"/>
        <v>0</v>
      </c>
      <c r="Z722" s="167">
        <f t="shared" si="530"/>
        <v>0</v>
      </c>
      <c r="AA722" s="167">
        <f t="shared" si="531"/>
        <v>0</v>
      </c>
      <c r="AB722" s="167">
        <f t="shared" si="532"/>
        <v>0</v>
      </c>
      <c r="AC722" s="167">
        <f t="shared" si="533"/>
        <v>0</v>
      </c>
      <c r="AD722" s="167">
        <f t="shared" si="534"/>
        <v>0</v>
      </c>
      <c r="AF722" s="47">
        <f t="shared" si="527"/>
        <v>0</v>
      </c>
    </row>
    <row r="723" spans="1:32" x14ac:dyDescent="0.35">
      <c r="A723" s="269"/>
      <c r="B723" s="83"/>
      <c r="C723" s="83"/>
      <c r="D723" s="85"/>
      <c r="E723" s="83"/>
      <c r="F723" s="83"/>
      <c r="G723" s="43"/>
      <c r="H723" s="233"/>
      <c r="I723" s="42"/>
      <c r="J723" s="42"/>
      <c r="K723" s="42"/>
      <c r="L723" s="44"/>
      <c r="M723" s="44"/>
      <c r="N723" s="44"/>
      <c r="O723" s="44"/>
      <c r="P723" s="44"/>
      <c r="Q723" s="227"/>
      <c r="R723" s="228"/>
      <c r="S723" s="228"/>
      <c r="T723" s="228"/>
      <c r="U723" s="191">
        <f t="shared" si="528"/>
        <v>0</v>
      </c>
      <c r="V723" s="86"/>
      <c r="W723" s="45"/>
      <c r="X723" s="46"/>
      <c r="Y723" s="167">
        <f t="shared" si="529"/>
        <v>0</v>
      </c>
      <c r="Z723" s="167">
        <f t="shared" si="530"/>
        <v>0</v>
      </c>
      <c r="AA723" s="167">
        <f t="shared" si="531"/>
        <v>0</v>
      </c>
      <c r="AB723" s="167">
        <f t="shared" si="532"/>
        <v>0</v>
      </c>
      <c r="AC723" s="167">
        <f t="shared" si="533"/>
        <v>0</v>
      </c>
      <c r="AD723" s="167">
        <f t="shared" si="534"/>
        <v>0</v>
      </c>
      <c r="AF723" s="47">
        <f t="shared" si="527"/>
        <v>0</v>
      </c>
    </row>
    <row r="724" spans="1:32" x14ac:dyDescent="0.35">
      <c r="A724" s="269"/>
      <c r="B724" s="83"/>
      <c r="C724" s="83"/>
      <c r="D724" s="85"/>
      <c r="E724" s="83"/>
      <c r="F724" s="83"/>
      <c r="G724" s="43"/>
      <c r="H724" s="233"/>
      <c r="I724" s="42"/>
      <c r="J724" s="42"/>
      <c r="K724" s="42"/>
      <c r="L724" s="44"/>
      <c r="M724" s="44"/>
      <c r="N724" s="44"/>
      <c r="O724" s="44"/>
      <c r="P724" s="44"/>
      <c r="Q724" s="227"/>
      <c r="R724" s="228"/>
      <c r="S724" s="228"/>
      <c r="T724" s="228"/>
      <c r="U724" s="191">
        <f t="shared" si="528"/>
        <v>0</v>
      </c>
      <c r="V724" s="86"/>
      <c r="W724" s="45"/>
      <c r="X724" s="46"/>
      <c r="Y724" s="167">
        <f t="shared" si="529"/>
        <v>0</v>
      </c>
      <c r="Z724" s="167">
        <f t="shared" si="530"/>
        <v>0</v>
      </c>
      <c r="AA724" s="167">
        <f t="shared" si="531"/>
        <v>0</v>
      </c>
      <c r="AB724" s="167">
        <f t="shared" si="532"/>
        <v>0</v>
      </c>
      <c r="AC724" s="167">
        <f t="shared" si="533"/>
        <v>0</v>
      </c>
      <c r="AD724" s="167">
        <f t="shared" si="534"/>
        <v>0</v>
      </c>
      <c r="AF724" s="47">
        <f t="shared" ref="AF724:AF787" si="535">IF(S724&lt;&gt;"",1,0)</f>
        <v>0</v>
      </c>
    </row>
    <row r="725" spans="1:32" x14ac:dyDescent="0.35">
      <c r="A725" s="269"/>
      <c r="B725" s="83"/>
      <c r="C725" s="83"/>
      <c r="D725" s="85"/>
      <c r="E725" s="83"/>
      <c r="F725" s="83"/>
      <c r="G725" s="43"/>
      <c r="H725" s="233"/>
      <c r="I725" s="42"/>
      <c r="J725" s="42"/>
      <c r="K725" s="42"/>
      <c r="L725" s="44"/>
      <c r="M725" s="44"/>
      <c r="N725" s="44"/>
      <c r="O725" s="44"/>
      <c r="P725" s="44"/>
      <c r="Q725" s="227"/>
      <c r="R725" s="228"/>
      <c r="S725" s="228"/>
      <c r="T725" s="228"/>
      <c r="U725" s="191">
        <f t="shared" si="528"/>
        <v>0</v>
      </c>
      <c r="V725" s="86"/>
      <c r="W725" s="45"/>
      <c r="X725" s="46"/>
      <c r="Y725" s="167">
        <f t="shared" si="529"/>
        <v>0</v>
      </c>
      <c r="Z725" s="167">
        <f t="shared" si="530"/>
        <v>0</v>
      </c>
      <c r="AA725" s="167">
        <f t="shared" si="531"/>
        <v>0</v>
      </c>
      <c r="AB725" s="167">
        <f t="shared" si="532"/>
        <v>0</v>
      </c>
      <c r="AC725" s="167">
        <f t="shared" si="533"/>
        <v>0</v>
      </c>
      <c r="AD725" s="167">
        <f t="shared" si="534"/>
        <v>0</v>
      </c>
      <c r="AF725" s="47">
        <f t="shared" si="535"/>
        <v>0</v>
      </c>
    </row>
    <row r="726" spans="1:32" x14ac:dyDescent="0.35">
      <c r="A726" s="269"/>
      <c r="B726" s="83"/>
      <c r="C726" s="83"/>
      <c r="D726" s="85"/>
      <c r="E726" s="83"/>
      <c r="F726" s="83"/>
      <c r="G726" s="43"/>
      <c r="H726" s="233"/>
      <c r="I726" s="42"/>
      <c r="J726" s="42"/>
      <c r="K726" s="42"/>
      <c r="L726" s="44"/>
      <c r="M726" s="44"/>
      <c r="N726" s="44"/>
      <c r="O726" s="44"/>
      <c r="P726" s="44"/>
      <c r="Q726" s="227"/>
      <c r="R726" s="228"/>
      <c r="S726" s="228"/>
      <c r="T726" s="228"/>
      <c r="U726" s="191">
        <f t="shared" si="528"/>
        <v>0</v>
      </c>
      <c r="V726" s="86"/>
      <c r="W726" s="45"/>
      <c r="X726" s="46"/>
      <c r="Y726" s="167">
        <f t="shared" si="529"/>
        <v>0</v>
      </c>
      <c r="Z726" s="167">
        <f t="shared" si="530"/>
        <v>0</v>
      </c>
      <c r="AA726" s="167">
        <f t="shared" si="531"/>
        <v>0</v>
      </c>
      <c r="AB726" s="167">
        <f t="shared" si="532"/>
        <v>0</v>
      </c>
      <c r="AC726" s="167">
        <f t="shared" si="533"/>
        <v>0</v>
      </c>
      <c r="AD726" s="167">
        <f t="shared" si="534"/>
        <v>0</v>
      </c>
      <c r="AF726" s="47">
        <f t="shared" si="535"/>
        <v>0</v>
      </c>
    </row>
    <row r="727" spans="1:32" x14ac:dyDescent="0.35">
      <c r="A727" s="269"/>
      <c r="B727" s="83"/>
      <c r="C727" s="83"/>
      <c r="D727" s="85"/>
      <c r="E727" s="83"/>
      <c r="F727" s="83"/>
      <c r="G727" s="43"/>
      <c r="H727" s="233"/>
      <c r="I727" s="42"/>
      <c r="J727" s="42"/>
      <c r="K727" s="42"/>
      <c r="L727" s="44"/>
      <c r="M727" s="44"/>
      <c r="N727" s="44"/>
      <c r="O727" s="44"/>
      <c r="P727" s="44"/>
      <c r="Q727" s="227"/>
      <c r="R727" s="228"/>
      <c r="S727" s="228"/>
      <c r="T727" s="228"/>
      <c r="U727" s="191">
        <f t="shared" si="528"/>
        <v>0</v>
      </c>
      <c r="V727" s="86"/>
      <c r="W727" s="45"/>
      <c r="X727" s="46"/>
      <c r="Y727" s="167">
        <f t="shared" si="529"/>
        <v>0</v>
      </c>
      <c r="Z727" s="167">
        <f t="shared" si="530"/>
        <v>0</v>
      </c>
      <c r="AA727" s="167">
        <f t="shared" si="531"/>
        <v>0</v>
      </c>
      <c r="AB727" s="167">
        <f t="shared" si="532"/>
        <v>0</v>
      </c>
      <c r="AC727" s="167">
        <f t="shared" si="533"/>
        <v>0</v>
      </c>
      <c r="AD727" s="167">
        <f t="shared" si="534"/>
        <v>0</v>
      </c>
      <c r="AF727" s="47">
        <f t="shared" si="535"/>
        <v>0</v>
      </c>
    </row>
    <row r="728" spans="1:32" x14ac:dyDescent="0.35">
      <c r="A728" s="269"/>
      <c r="B728" s="83"/>
      <c r="C728" s="83"/>
      <c r="D728" s="85"/>
      <c r="E728" s="83"/>
      <c r="F728" s="83"/>
      <c r="G728" s="43"/>
      <c r="H728" s="233"/>
      <c r="I728" s="42"/>
      <c r="J728" s="42"/>
      <c r="K728" s="42"/>
      <c r="L728" s="44"/>
      <c r="M728" s="44"/>
      <c r="N728" s="44"/>
      <c r="O728" s="44"/>
      <c r="P728" s="44"/>
      <c r="Q728" s="227"/>
      <c r="R728" s="228"/>
      <c r="S728" s="228"/>
      <c r="T728" s="228"/>
      <c r="U728" s="191">
        <f t="shared" si="528"/>
        <v>0</v>
      </c>
      <c r="V728" s="86"/>
      <c r="W728" s="45"/>
      <c r="X728" s="46"/>
      <c r="Y728" s="167">
        <f t="shared" si="529"/>
        <v>0</v>
      </c>
      <c r="Z728" s="167">
        <f t="shared" si="530"/>
        <v>0</v>
      </c>
      <c r="AA728" s="167">
        <f t="shared" si="531"/>
        <v>0</v>
      </c>
      <c r="AB728" s="167">
        <f t="shared" si="532"/>
        <v>0</v>
      </c>
      <c r="AC728" s="167">
        <f t="shared" si="533"/>
        <v>0</v>
      </c>
      <c r="AD728" s="167">
        <f t="shared" si="534"/>
        <v>0</v>
      </c>
      <c r="AF728" s="47">
        <f t="shared" si="535"/>
        <v>0</v>
      </c>
    </row>
    <row r="729" spans="1:32" x14ac:dyDescent="0.35">
      <c r="A729" s="269"/>
      <c r="B729" s="83"/>
      <c r="C729" s="83"/>
      <c r="D729" s="85"/>
      <c r="E729" s="83"/>
      <c r="F729" s="83"/>
      <c r="G729" s="43"/>
      <c r="H729" s="233"/>
      <c r="I729" s="42"/>
      <c r="J729" s="42"/>
      <c r="K729" s="42"/>
      <c r="L729" s="44"/>
      <c r="M729" s="44"/>
      <c r="N729" s="44"/>
      <c r="O729" s="44"/>
      <c r="P729" s="44"/>
      <c r="Q729" s="227"/>
      <c r="R729" s="228"/>
      <c r="S729" s="228"/>
      <c r="T729" s="228"/>
      <c r="U729" s="191">
        <f t="shared" si="528"/>
        <v>0</v>
      </c>
      <c r="V729" s="86"/>
      <c r="W729" s="45"/>
      <c r="X729" s="46"/>
      <c r="Y729" s="167">
        <f t="shared" si="529"/>
        <v>0</v>
      </c>
      <c r="Z729" s="167">
        <f t="shared" si="530"/>
        <v>0</v>
      </c>
      <c r="AA729" s="167">
        <f t="shared" si="531"/>
        <v>0</v>
      </c>
      <c r="AB729" s="167">
        <f t="shared" si="532"/>
        <v>0</v>
      </c>
      <c r="AC729" s="167">
        <f t="shared" si="533"/>
        <v>0</v>
      </c>
      <c r="AD729" s="167">
        <f t="shared" si="534"/>
        <v>0</v>
      </c>
      <c r="AF729" s="47">
        <f t="shared" si="535"/>
        <v>0</v>
      </c>
    </row>
    <row r="730" spans="1:32" x14ac:dyDescent="0.35">
      <c r="A730" s="269"/>
      <c r="B730" s="83"/>
      <c r="C730" s="83"/>
      <c r="D730" s="85"/>
      <c r="E730" s="83"/>
      <c r="F730" s="83"/>
      <c r="G730" s="43"/>
      <c r="H730" s="233"/>
      <c r="I730" s="42"/>
      <c r="J730" s="42"/>
      <c r="K730" s="42"/>
      <c r="L730" s="44"/>
      <c r="M730" s="44"/>
      <c r="N730" s="44"/>
      <c r="O730" s="44"/>
      <c r="P730" s="44"/>
      <c r="Q730" s="227"/>
      <c r="R730" s="228"/>
      <c r="S730" s="228"/>
      <c r="T730" s="228"/>
      <c r="U730" s="191">
        <f t="shared" si="528"/>
        <v>0</v>
      </c>
      <c r="V730" s="86"/>
      <c r="W730" s="45"/>
      <c r="X730" s="46"/>
      <c r="Y730" s="167">
        <f t="shared" si="529"/>
        <v>0</v>
      </c>
      <c r="Z730" s="167">
        <f t="shared" si="530"/>
        <v>0</v>
      </c>
      <c r="AA730" s="167">
        <f t="shared" si="531"/>
        <v>0</v>
      </c>
      <c r="AB730" s="167">
        <f t="shared" si="532"/>
        <v>0</v>
      </c>
      <c r="AC730" s="167">
        <f t="shared" si="533"/>
        <v>0</v>
      </c>
      <c r="AD730" s="167">
        <f t="shared" si="534"/>
        <v>0</v>
      </c>
      <c r="AF730" s="47">
        <f t="shared" si="535"/>
        <v>0</v>
      </c>
    </row>
    <row r="731" spans="1:32" x14ac:dyDescent="0.35">
      <c r="A731" s="269"/>
      <c r="B731" s="83"/>
      <c r="C731" s="83"/>
      <c r="D731" s="85"/>
      <c r="E731" s="83"/>
      <c r="F731" s="83"/>
      <c r="G731" s="43"/>
      <c r="H731" s="233"/>
      <c r="I731" s="42"/>
      <c r="J731" s="42"/>
      <c r="K731" s="42"/>
      <c r="L731" s="44"/>
      <c r="M731" s="44"/>
      <c r="N731" s="44"/>
      <c r="O731" s="44"/>
      <c r="P731" s="44"/>
      <c r="Q731" s="227"/>
      <c r="R731" s="228"/>
      <c r="S731" s="228"/>
      <c r="T731" s="228"/>
      <c r="U731" s="191">
        <f t="shared" si="528"/>
        <v>0</v>
      </c>
      <c r="V731" s="86"/>
      <c r="W731" s="45"/>
      <c r="X731" s="46"/>
      <c r="Y731" s="167">
        <f t="shared" si="529"/>
        <v>0</v>
      </c>
      <c r="Z731" s="167">
        <f t="shared" si="530"/>
        <v>0</v>
      </c>
      <c r="AA731" s="167">
        <f t="shared" si="531"/>
        <v>0</v>
      </c>
      <c r="AB731" s="167">
        <f t="shared" si="532"/>
        <v>0</v>
      </c>
      <c r="AC731" s="167">
        <f t="shared" si="533"/>
        <v>0</v>
      </c>
      <c r="AD731" s="167">
        <f t="shared" si="534"/>
        <v>0</v>
      </c>
      <c r="AF731" s="47">
        <f t="shared" si="535"/>
        <v>0</v>
      </c>
    </row>
    <row r="732" spans="1:32" x14ac:dyDescent="0.35">
      <c r="A732" s="269"/>
      <c r="B732" s="83"/>
      <c r="C732" s="83"/>
      <c r="D732" s="85"/>
      <c r="E732" s="83"/>
      <c r="F732" s="83"/>
      <c r="G732" s="43"/>
      <c r="H732" s="233"/>
      <c r="I732" s="42"/>
      <c r="J732" s="42"/>
      <c r="K732" s="42"/>
      <c r="L732" s="44"/>
      <c r="M732" s="44"/>
      <c r="N732" s="44"/>
      <c r="O732" s="44"/>
      <c r="P732" s="44"/>
      <c r="Q732" s="227"/>
      <c r="R732" s="228"/>
      <c r="S732" s="228"/>
      <c r="T732" s="228"/>
      <c r="U732" s="191">
        <f t="shared" si="528"/>
        <v>0</v>
      </c>
      <c r="V732" s="86"/>
      <c r="W732" s="45"/>
      <c r="X732" s="46"/>
      <c r="Y732" s="167">
        <f t="shared" si="529"/>
        <v>0</v>
      </c>
      <c r="Z732" s="167">
        <f t="shared" si="530"/>
        <v>0</v>
      </c>
      <c r="AA732" s="167">
        <f t="shared" si="531"/>
        <v>0</v>
      </c>
      <c r="AB732" s="167">
        <f t="shared" si="532"/>
        <v>0</v>
      </c>
      <c r="AC732" s="167">
        <f t="shared" si="533"/>
        <v>0</v>
      </c>
      <c r="AD732" s="167">
        <f t="shared" si="534"/>
        <v>0</v>
      </c>
      <c r="AF732" s="47">
        <f t="shared" si="535"/>
        <v>0</v>
      </c>
    </row>
    <row r="733" spans="1:32" x14ac:dyDescent="0.35">
      <c r="A733" s="269"/>
      <c r="B733" s="83"/>
      <c r="C733" s="83"/>
      <c r="D733" s="85"/>
      <c r="E733" s="83"/>
      <c r="F733" s="83"/>
      <c r="G733" s="43"/>
      <c r="H733" s="233"/>
      <c r="I733" s="42"/>
      <c r="J733" s="42"/>
      <c r="K733" s="42"/>
      <c r="L733" s="44"/>
      <c r="M733" s="44"/>
      <c r="N733" s="44"/>
      <c r="O733" s="44"/>
      <c r="P733" s="44"/>
      <c r="Q733" s="227"/>
      <c r="R733" s="228"/>
      <c r="S733" s="228"/>
      <c r="T733" s="228"/>
      <c r="U733" s="191">
        <f t="shared" si="528"/>
        <v>0</v>
      </c>
      <c r="V733" s="86"/>
      <c r="W733" s="45"/>
      <c r="X733" s="46"/>
      <c r="Y733" s="167">
        <f t="shared" si="529"/>
        <v>0</v>
      </c>
      <c r="Z733" s="167">
        <f t="shared" si="530"/>
        <v>0</v>
      </c>
      <c r="AA733" s="167">
        <f t="shared" si="531"/>
        <v>0</v>
      </c>
      <c r="AB733" s="167">
        <f t="shared" si="532"/>
        <v>0</v>
      </c>
      <c r="AC733" s="167">
        <f t="shared" si="533"/>
        <v>0</v>
      </c>
      <c r="AD733" s="167">
        <f t="shared" si="534"/>
        <v>0</v>
      </c>
      <c r="AF733" s="47">
        <f t="shared" si="535"/>
        <v>0</v>
      </c>
    </row>
    <row r="734" spans="1:32" x14ac:dyDescent="0.35">
      <c r="A734" s="269"/>
      <c r="B734" s="83"/>
      <c r="C734" s="83"/>
      <c r="D734" s="85"/>
      <c r="E734" s="83"/>
      <c r="F734" s="83"/>
      <c r="G734" s="43"/>
      <c r="H734" s="233"/>
      <c r="I734" s="42"/>
      <c r="J734" s="42"/>
      <c r="K734" s="42"/>
      <c r="L734" s="44"/>
      <c r="M734" s="44"/>
      <c r="N734" s="44"/>
      <c r="O734" s="44"/>
      <c r="P734" s="44"/>
      <c r="Q734" s="227"/>
      <c r="R734" s="228"/>
      <c r="S734" s="228"/>
      <c r="T734" s="228"/>
      <c r="U734" s="191">
        <f t="shared" si="528"/>
        <v>0</v>
      </c>
      <c r="V734" s="86"/>
      <c r="W734" s="45"/>
      <c r="X734" s="46"/>
      <c r="Y734" s="167">
        <f t="shared" si="529"/>
        <v>0</v>
      </c>
      <c r="Z734" s="167">
        <f t="shared" si="530"/>
        <v>0</v>
      </c>
      <c r="AA734" s="167">
        <f t="shared" si="531"/>
        <v>0</v>
      </c>
      <c r="AB734" s="167">
        <f t="shared" si="532"/>
        <v>0</v>
      </c>
      <c r="AC734" s="167">
        <f t="shared" si="533"/>
        <v>0</v>
      </c>
      <c r="AD734" s="167">
        <f t="shared" si="534"/>
        <v>0</v>
      </c>
      <c r="AF734" s="47">
        <f t="shared" si="535"/>
        <v>0</v>
      </c>
    </row>
    <row r="735" spans="1:32" x14ac:dyDescent="0.35">
      <c r="A735" s="269"/>
      <c r="B735" s="83"/>
      <c r="C735" s="83"/>
      <c r="D735" s="85"/>
      <c r="E735" s="83"/>
      <c r="F735" s="83"/>
      <c r="G735" s="43"/>
      <c r="H735" s="233"/>
      <c r="I735" s="42"/>
      <c r="J735" s="42"/>
      <c r="K735" s="42"/>
      <c r="L735" s="44"/>
      <c r="M735" s="44"/>
      <c r="N735" s="44"/>
      <c r="O735" s="44"/>
      <c r="P735" s="44"/>
      <c r="Q735" s="227"/>
      <c r="R735" s="228"/>
      <c r="S735" s="228"/>
      <c r="T735" s="228"/>
      <c r="U735" s="191">
        <f t="shared" si="528"/>
        <v>0</v>
      </c>
      <c r="V735" s="86"/>
      <c r="W735" s="45"/>
      <c r="X735" s="46"/>
      <c r="Y735" s="167">
        <f t="shared" si="529"/>
        <v>0</v>
      </c>
      <c r="Z735" s="167">
        <f t="shared" si="530"/>
        <v>0</v>
      </c>
      <c r="AA735" s="167">
        <f t="shared" si="531"/>
        <v>0</v>
      </c>
      <c r="AB735" s="167">
        <f t="shared" si="532"/>
        <v>0</v>
      </c>
      <c r="AC735" s="167">
        <f t="shared" si="533"/>
        <v>0</v>
      </c>
      <c r="AD735" s="167">
        <f t="shared" si="534"/>
        <v>0</v>
      </c>
      <c r="AF735" s="47">
        <f t="shared" si="535"/>
        <v>0</v>
      </c>
    </row>
    <row r="736" spans="1:32" x14ac:dyDescent="0.35">
      <c r="A736" s="269"/>
      <c r="B736" s="83"/>
      <c r="C736" s="83"/>
      <c r="D736" s="85"/>
      <c r="E736" s="83"/>
      <c r="F736" s="83"/>
      <c r="G736" s="43"/>
      <c r="H736" s="233"/>
      <c r="I736" s="42"/>
      <c r="J736" s="42"/>
      <c r="K736" s="42"/>
      <c r="L736" s="44"/>
      <c r="M736" s="44"/>
      <c r="N736" s="44"/>
      <c r="O736" s="44"/>
      <c r="P736" s="44"/>
      <c r="Q736" s="227"/>
      <c r="R736" s="228"/>
      <c r="S736" s="228"/>
      <c r="T736" s="228"/>
      <c r="U736" s="191">
        <f t="shared" si="528"/>
        <v>0</v>
      </c>
      <c r="V736" s="86"/>
      <c r="W736" s="45"/>
      <c r="X736" s="46"/>
      <c r="Y736" s="167">
        <f t="shared" si="529"/>
        <v>0</v>
      </c>
      <c r="Z736" s="167">
        <f t="shared" si="530"/>
        <v>0</v>
      </c>
      <c r="AA736" s="167">
        <f t="shared" si="531"/>
        <v>0</v>
      </c>
      <c r="AB736" s="167">
        <f t="shared" si="532"/>
        <v>0</v>
      </c>
      <c r="AC736" s="167">
        <f t="shared" si="533"/>
        <v>0</v>
      </c>
      <c r="AD736" s="167">
        <f t="shared" si="534"/>
        <v>0</v>
      </c>
      <c r="AF736" s="47">
        <f t="shared" si="535"/>
        <v>0</v>
      </c>
    </row>
    <row r="737" spans="1:32" x14ac:dyDescent="0.35">
      <c r="A737" s="269"/>
      <c r="B737" s="83"/>
      <c r="C737" s="83"/>
      <c r="D737" s="85"/>
      <c r="E737" s="83"/>
      <c r="F737" s="83"/>
      <c r="G737" s="43"/>
      <c r="H737" s="233"/>
      <c r="I737" s="42"/>
      <c r="J737" s="42"/>
      <c r="K737" s="42"/>
      <c r="L737" s="44"/>
      <c r="M737" s="44"/>
      <c r="N737" s="44"/>
      <c r="O737" s="44"/>
      <c r="P737" s="44"/>
      <c r="Q737" s="227"/>
      <c r="R737" s="228"/>
      <c r="S737" s="228"/>
      <c r="T737" s="228"/>
      <c r="U737" s="191">
        <f t="shared" si="528"/>
        <v>0</v>
      </c>
      <c r="V737" s="86"/>
      <c r="W737" s="45"/>
      <c r="X737" s="46"/>
      <c r="Y737" s="167">
        <f t="shared" si="529"/>
        <v>0</v>
      </c>
      <c r="Z737" s="167">
        <f t="shared" si="530"/>
        <v>0</v>
      </c>
      <c r="AA737" s="167">
        <f t="shared" si="531"/>
        <v>0</v>
      </c>
      <c r="AB737" s="167">
        <f t="shared" si="532"/>
        <v>0</v>
      </c>
      <c r="AC737" s="167">
        <f t="shared" si="533"/>
        <v>0</v>
      </c>
      <c r="AD737" s="167">
        <f t="shared" si="534"/>
        <v>0</v>
      </c>
      <c r="AF737" s="47">
        <f t="shared" si="535"/>
        <v>0</v>
      </c>
    </row>
    <row r="738" spans="1:32" x14ac:dyDescent="0.35">
      <c r="A738" s="269"/>
      <c r="B738" s="83"/>
      <c r="C738" s="83"/>
      <c r="D738" s="85"/>
      <c r="E738" s="83"/>
      <c r="F738" s="83"/>
      <c r="G738" s="43"/>
      <c r="H738" s="233"/>
      <c r="I738" s="42"/>
      <c r="J738" s="42"/>
      <c r="K738" s="42"/>
      <c r="L738" s="44"/>
      <c r="M738" s="44"/>
      <c r="N738" s="44"/>
      <c r="O738" s="44"/>
      <c r="P738" s="44"/>
      <c r="Q738" s="227"/>
      <c r="R738" s="228"/>
      <c r="S738" s="228"/>
      <c r="T738" s="228"/>
      <c r="U738" s="191">
        <f t="shared" si="528"/>
        <v>0</v>
      </c>
      <c r="V738" s="86"/>
      <c r="W738" s="45"/>
      <c r="X738" s="46"/>
      <c r="Y738" s="167">
        <f t="shared" si="529"/>
        <v>0</v>
      </c>
      <c r="Z738" s="167">
        <f t="shared" si="530"/>
        <v>0</v>
      </c>
      <c r="AA738" s="167">
        <f t="shared" si="531"/>
        <v>0</v>
      </c>
      <c r="AB738" s="167">
        <f t="shared" si="532"/>
        <v>0</v>
      </c>
      <c r="AC738" s="167">
        <f t="shared" si="533"/>
        <v>0</v>
      </c>
      <c r="AD738" s="167">
        <f t="shared" si="534"/>
        <v>0</v>
      </c>
      <c r="AF738" s="47">
        <f t="shared" si="535"/>
        <v>0</v>
      </c>
    </row>
    <row r="739" spans="1:32" x14ac:dyDescent="0.35">
      <c r="A739" s="269"/>
      <c r="B739" s="83"/>
      <c r="C739" s="83"/>
      <c r="D739" s="85"/>
      <c r="E739" s="83"/>
      <c r="F739" s="83"/>
      <c r="G739" s="43"/>
      <c r="H739" s="233"/>
      <c r="I739" s="42"/>
      <c r="J739" s="42"/>
      <c r="K739" s="42"/>
      <c r="L739" s="44"/>
      <c r="M739" s="44"/>
      <c r="N739" s="44"/>
      <c r="O739" s="44"/>
      <c r="P739" s="44"/>
      <c r="Q739" s="227"/>
      <c r="R739" s="228"/>
      <c r="S739" s="228"/>
      <c r="T739" s="228"/>
      <c r="U739" s="191">
        <f t="shared" si="528"/>
        <v>0</v>
      </c>
      <c r="V739" s="86"/>
      <c r="W739" s="45"/>
      <c r="X739" s="46"/>
      <c r="Y739" s="167">
        <f t="shared" si="529"/>
        <v>0</v>
      </c>
      <c r="Z739" s="167">
        <f t="shared" si="530"/>
        <v>0</v>
      </c>
      <c r="AA739" s="167">
        <f t="shared" si="531"/>
        <v>0</v>
      </c>
      <c r="AB739" s="167">
        <f t="shared" si="532"/>
        <v>0</v>
      </c>
      <c r="AC739" s="167">
        <f t="shared" si="533"/>
        <v>0</v>
      </c>
      <c r="AD739" s="167">
        <f t="shared" si="534"/>
        <v>0</v>
      </c>
      <c r="AF739" s="47">
        <f t="shared" si="535"/>
        <v>0</v>
      </c>
    </row>
    <row r="740" spans="1:32" x14ac:dyDescent="0.35">
      <c r="A740" s="269"/>
      <c r="B740" s="83"/>
      <c r="C740" s="83"/>
      <c r="D740" s="85"/>
      <c r="E740" s="83"/>
      <c r="F740" s="83"/>
      <c r="G740" s="43"/>
      <c r="H740" s="233"/>
      <c r="I740" s="42"/>
      <c r="J740" s="42"/>
      <c r="K740" s="42"/>
      <c r="L740" s="44"/>
      <c r="M740" s="44"/>
      <c r="N740" s="44"/>
      <c r="O740" s="44"/>
      <c r="P740" s="44"/>
      <c r="Q740" s="227"/>
      <c r="R740" s="228"/>
      <c r="S740" s="228"/>
      <c r="T740" s="228"/>
      <c r="U740" s="191">
        <f t="shared" si="528"/>
        <v>0</v>
      </c>
      <c r="V740" s="86"/>
      <c r="W740" s="45"/>
      <c r="X740" s="46"/>
      <c r="Y740" s="167">
        <f t="shared" si="529"/>
        <v>0</v>
      </c>
      <c r="Z740" s="167">
        <f t="shared" si="530"/>
        <v>0</v>
      </c>
      <c r="AA740" s="167">
        <f t="shared" si="531"/>
        <v>0</v>
      </c>
      <c r="AB740" s="167">
        <f t="shared" si="532"/>
        <v>0</v>
      </c>
      <c r="AC740" s="167">
        <f t="shared" si="533"/>
        <v>0</v>
      </c>
      <c r="AD740" s="167">
        <f t="shared" si="534"/>
        <v>0</v>
      </c>
      <c r="AF740" s="47">
        <f t="shared" si="535"/>
        <v>0</v>
      </c>
    </row>
    <row r="741" spans="1:32" x14ac:dyDescent="0.35">
      <c r="A741" s="269"/>
      <c r="B741" s="83"/>
      <c r="C741" s="83"/>
      <c r="D741" s="85"/>
      <c r="E741" s="83"/>
      <c r="F741" s="83"/>
      <c r="G741" s="43"/>
      <c r="H741" s="233"/>
      <c r="I741" s="42"/>
      <c r="J741" s="42"/>
      <c r="K741" s="42"/>
      <c r="L741" s="44"/>
      <c r="M741" s="44"/>
      <c r="N741" s="44"/>
      <c r="O741" s="44"/>
      <c r="P741" s="44"/>
      <c r="Q741" s="227"/>
      <c r="R741" s="228"/>
      <c r="S741" s="228"/>
      <c r="T741" s="228"/>
      <c r="U741" s="191">
        <f t="shared" si="528"/>
        <v>0</v>
      </c>
      <c r="V741" s="86"/>
      <c r="W741" s="45"/>
      <c r="X741" s="46"/>
      <c r="Y741" s="167">
        <f t="shared" si="529"/>
        <v>0</v>
      </c>
      <c r="Z741" s="167">
        <f t="shared" si="530"/>
        <v>0</v>
      </c>
      <c r="AA741" s="167">
        <f t="shared" si="531"/>
        <v>0</v>
      </c>
      <c r="AB741" s="167">
        <f t="shared" si="532"/>
        <v>0</v>
      </c>
      <c r="AC741" s="167">
        <f t="shared" si="533"/>
        <v>0</v>
      </c>
      <c r="AD741" s="167">
        <f t="shared" si="534"/>
        <v>0</v>
      </c>
      <c r="AF741" s="47">
        <f t="shared" si="535"/>
        <v>0</v>
      </c>
    </row>
    <row r="742" spans="1:32" x14ac:dyDescent="0.35">
      <c r="A742" s="269"/>
      <c r="B742" s="83"/>
      <c r="C742" s="83"/>
      <c r="D742" s="85"/>
      <c r="E742" s="83"/>
      <c r="F742" s="83"/>
      <c r="G742" s="43"/>
      <c r="H742" s="233"/>
      <c r="I742" s="42"/>
      <c r="J742" s="42"/>
      <c r="K742" s="42"/>
      <c r="L742" s="44"/>
      <c r="M742" s="44"/>
      <c r="N742" s="44"/>
      <c r="O742" s="44"/>
      <c r="P742" s="44"/>
      <c r="Q742" s="227"/>
      <c r="R742" s="228"/>
      <c r="S742" s="228"/>
      <c r="T742" s="228"/>
      <c r="U742" s="191">
        <f t="shared" si="528"/>
        <v>0</v>
      </c>
      <c r="V742" s="86"/>
      <c r="W742" s="45"/>
      <c r="X742" s="46"/>
      <c r="Y742" s="167">
        <f t="shared" si="529"/>
        <v>0</v>
      </c>
      <c r="Z742" s="167">
        <f t="shared" si="530"/>
        <v>0</v>
      </c>
      <c r="AA742" s="167">
        <f t="shared" si="531"/>
        <v>0</v>
      </c>
      <c r="AB742" s="167">
        <f t="shared" si="532"/>
        <v>0</v>
      </c>
      <c r="AC742" s="167">
        <f t="shared" si="533"/>
        <v>0</v>
      </c>
      <c r="AD742" s="167">
        <f t="shared" si="534"/>
        <v>0</v>
      </c>
      <c r="AF742" s="47">
        <f t="shared" si="535"/>
        <v>0</v>
      </c>
    </row>
    <row r="743" spans="1:32" x14ac:dyDescent="0.35">
      <c r="A743" s="269"/>
      <c r="B743" s="83"/>
      <c r="C743" s="83"/>
      <c r="D743" s="85"/>
      <c r="E743" s="83"/>
      <c r="F743" s="83"/>
      <c r="G743" s="43"/>
      <c r="H743" s="233"/>
      <c r="I743" s="42"/>
      <c r="J743" s="42"/>
      <c r="K743" s="42"/>
      <c r="L743" s="44"/>
      <c r="M743" s="44"/>
      <c r="N743" s="44"/>
      <c r="O743" s="44"/>
      <c r="P743" s="44"/>
      <c r="Q743" s="227"/>
      <c r="R743" s="228"/>
      <c r="S743" s="228"/>
      <c r="T743" s="228"/>
      <c r="U743" s="191">
        <f t="shared" si="528"/>
        <v>0</v>
      </c>
      <c r="V743" s="86"/>
      <c r="W743" s="45"/>
      <c r="X743" s="46"/>
      <c r="Y743" s="167">
        <f t="shared" si="529"/>
        <v>0</v>
      </c>
      <c r="Z743" s="167">
        <f t="shared" si="530"/>
        <v>0</v>
      </c>
      <c r="AA743" s="167">
        <f t="shared" si="531"/>
        <v>0</v>
      </c>
      <c r="AB743" s="167">
        <f t="shared" si="532"/>
        <v>0</v>
      </c>
      <c r="AC743" s="167">
        <f t="shared" si="533"/>
        <v>0</v>
      </c>
      <c r="AD743" s="167">
        <f t="shared" si="534"/>
        <v>0</v>
      </c>
      <c r="AF743" s="47">
        <f t="shared" si="535"/>
        <v>0</v>
      </c>
    </row>
    <row r="744" spans="1:32" x14ac:dyDescent="0.35">
      <c r="A744" s="269"/>
      <c r="B744" s="83"/>
      <c r="C744" s="83"/>
      <c r="D744" s="85"/>
      <c r="E744" s="83"/>
      <c r="F744" s="83"/>
      <c r="G744" s="43"/>
      <c r="H744" s="233"/>
      <c r="I744" s="42"/>
      <c r="J744" s="42"/>
      <c r="K744" s="42"/>
      <c r="L744" s="44"/>
      <c r="M744" s="44"/>
      <c r="N744" s="44"/>
      <c r="O744" s="44"/>
      <c r="P744" s="44"/>
      <c r="Q744" s="227"/>
      <c r="R744" s="228"/>
      <c r="S744" s="228"/>
      <c r="T744" s="228"/>
      <c r="U744" s="191">
        <f t="shared" si="528"/>
        <v>0</v>
      </c>
      <c r="V744" s="86"/>
      <c r="W744" s="45"/>
      <c r="X744" s="46"/>
      <c r="Y744" s="167">
        <f t="shared" si="529"/>
        <v>0</v>
      </c>
      <c r="Z744" s="167">
        <f t="shared" si="530"/>
        <v>0</v>
      </c>
      <c r="AA744" s="167">
        <f t="shared" si="531"/>
        <v>0</v>
      </c>
      <c r="AB744" s="167">
        <f t="shared" si="532"/>
        <v>0</v>
      </c>
      <c r="AC744" s="167">
        <f t="shared" si="533"/>
        <v>0</v>
      </c>
      <c r="AD744" s="167">
        <f t="shared" si="534"/>
        <v>0</v>
      </c>
      <c r="AF744" s="47">
        <f t="shared" si="535"/>
        <v>0</v>
      </c>
    </row>
    <row r="745" spans="1:32" x14ac:dyDescent="0.35">
      <c r="A745" s="269"/>
      <c r="B745" s="83"/>
      <c r="C745" s="83"/>
      <c r="D745" s="85"/>
      <c r="E745" s="83"/>
      <c r="F745" s="83"/>
      <c r="G745" s="43"/>
      <c r="H745" s="233"/>
      <c r="I745" s="42"/>
      <c r="J745" s="42"/>
      <c r="K745" s="42"/>
      <c r="L745" s="44"/>
      <c r="M745" s="44"/>
      <c r="N745" s="44"/>
      <c r="O745" s="44"/>
      <c r="P745" s="44"/>
      <c r="Q745" s="227"/>
      <c r="R745" s="228"/>
      <c r="S745" s="228"/>
      <c r="T745" s="228"/>
      <c r="U745" s="191">
        <f t="shared" si="528"/>
        <v>0</v>
      </c>
      <c r="V745" s="86"/>
      <c r="W745" s="45"/>
      <c r="X745" s="46"/>
      <c r="Y745" s="167">
        <f t="shared" si="529"/>
        <v>0</v>
      </c>
      <c r="Z745" s="167">
        <f t="shared" si="530"/>
        <v>0</v>
      </c>
      <c r="AA745" s="167">
        <f t="shared" si="531"/>
        <v>0</v>
      </c>
      <c r="AB745" s="167">
        <f t="shared" si="532"/>
        <v>0</v>
      </c>
      <c r="AC745" s="167">
        <f t="shared" si="533"/>
        <v>0</v>
      </c>
      <c r="AD745" s="167">
        <f t="shared" si="534"/>
        <v>0</v>
      </c>
      <c r="AF745" s="47">
        <f t="shared" si="535"/>
        <v>0</v>
      </c>
    </row>
    <row r="746" spans="1:32" x14ac:dyDescent="0.35">
      <c r="A746" s="269"/>
      <c r="B746" s="83"/>
      <c r="C746" s="83"/>
      <c r="D746" s="85"/>
      <c r="E746" s="83"/>
      <c r="F746" s="83"/>
      <c r="G746" s="43"/>
      <c r="H746" s="233"/>
      <c r="I746" s="42"/>
      <c r="J746" s="42"/>
      <c r="K746" s="42"/>
      <c r="L746" s="44"/>
      <c r="M746" s="44"/>
      <c r="N746" s="44"/>
      <c r="O746" s="44"/>
      <c r="P746" s="44"/>
      <c r="Q746" s="227"/>
      <c r="R746" s="228"/>
      <c r="S746" s="228"/>
      <c r="T746" s="228"/>
      <c r="U746" s="191">
        <f t="shared" si="528"/>
        <v>0</v>
      </c>
      <c r="V746" s="86"/>
      <c r="W746" s="45"/>
      <c r="X746" s="46"/>
      <c r="Y746" s="167">
        <f t="shared" si="529"/>
        <v>0</v>
      </c>
      <c r="Z746" s="167">
        <f t="shared" si="530"/>
        <v>0</v>
      </c>
      <c r="AA746" s="167">
        <f t="shared" si="531"/>
        <v>0</v>
      </c>
      <c r="AB746" s="167">
        <f t="shared" si="532"/>
        <v>0</v>
      </c>
      <c r="AC746" s="167">
        <f t="shared" si="533"/>
        <v>0</v>
      </c>
      <c r="AD746" s="167">
        <f t="shared" si="534"/>
        <v>0</v>
      </c>
      <c r="AF746" s="47">
        <f t="shared" si="535"/>
        <v>0</v>
      </c>
    </row>
    <row r="747" spans="1:32" x14ac:dyDescent="0.35">
      <c r="A747" s="269"/>
      <c r="B747" s="83"/>
      <c r="C747" s="83"/>
      <c r="D747" s="85"/>
      <c r="E747" s="83"/>
      <c r="F747" s="83"/>
      <c r="G747" s="43"/>
      <c r="H747" s="233"/>
      <c r="I747" s="42"/>
      <c r="J747" s="42"/>
      <c r="K747" s="42"/>
      <c r="L747" s="44"/>
      <c r="M747" s="44"/>
      <c r="N747" s="44"/>
      <c r="O747" s="44"/>
      <c r="P747" s="44"/>
      <c r="Q747" s="227"/>
      <c r="R747" s="228"/>
      <c r="S747" s="228"/>
      <c r="T747" s="228"/>
      <c r="U747" s="191">
        <f t="shared" si="528"/>
        <v>0</v>
      </c>
      <c r="V747" s="86"/>
      <c r="W747" s="45"/>
      <c r="X747" s="46"/>
      <c r="Y747" s="167">
        <f t="shared" si="529"/>
        <v>0</v>
      </c>
      <c r="Z747" s="167">
        <f t="shared" si="530"/>
        <v>0</v>
      </c>
      <c r="AA747" s="167">
        <f t="shared" si="531"/>
        <v>0</v>
      </c>
      <c r="AB747" s="167">
        <f t="shared" si="532"/>
        <v>0</v>
      </c>
      <c r="AC747" s="167">
        <f t="shared" si="533"/>
        <v>0</v>
      </c>
      <c r="AD747" s="167">
        <f t="shared" si="534"/>
        <v>0</v>
      </c>
      <c r="AF747" s="47">
        <f t="shared" si="535"/>
        <v>0</v>
      </c>
    </row>
    <row r="748" spans="1:32" x14ac:dyDescent="0.35">
      <c r="A748" s="269"/>
      <c r="B748" s="83"/>
      <c r="C748" s="83"/>
      <c r="D748" s="85"/>
      <c r="E748" s="83"/>
      <c r="F748" s="83"/>
      <c r="G748" s="43"/>
      <c r="H748" s="233"/>
      <c r="I748" s="42"/>
      <c r="J748" s="42"/>
      <c r="K748" s="42"/>
      <c r="L748" s="44"/>
      <c r="M748" s="44"/>
      <c r="N748" s="44"/>
      <c r="O748" s="44"/>
      <c r="P748" s="44"/>
      <c r="Q748" s="227"/>
      <c r="R748" s="228"/>
      <c r="S748" s="228"/>
      <c r="T748" s="228"/>
      <c r="U748" s="191">
        <f t="shared" si="528"/>
        <v>0</v>
      </c>
      <c r="V748" s="86"/>
      <c r="W748" s="45"/>
      <c r="X748" s="46"/>
      <c r="Y748" s="167">
        <f t="shared" si="529"/>
        <v>0</v>
      </c>
      <c r="Z748" s="167">
        <f t="shared" si="530"/>
        <v>0</v>
      </c>
      <c r="AA748" s="167">
        <f t="shared" si="531"/>
        <v>0</v>
      </c>
      <c r="AB748" s="167">
        <f t="shared" si="532"/>
        <v>0</v>
      </c>
      <c r="AC748" s="167">
        <f t="shared" si="533"/>
        <v>0</v>
      </c>
      <c r="AD748" s="167">
        <f t="shared" si="534"/>
        <v>0</v>
      </c>
      <c r="AF748" s="47">
        <f t="shared" si="535"/>
        <v>0</v>
      </c>
    </row>
    <row r="749" spans="1:32" x14ac:dyDescent="0.35">
      <c r="A749" s="269"/>
      <c r="B749" s="83"/>
      <c r="C749" s="83"/>
      <c r="D749" s="85"/>
      <c r="E749" s="83"/>
      <c r="F749" s="83"/>
      <c r="G749" s="43"/>
      <c r="H749" s="233"/>
      <c r="I749" s="42"/>
      <c r="J749" s="42"/>
      <c r="K749" s="42"/>
      <c r="L749" s="44"/>
      <c r="M749" s="44"/>
      <c r="N749" s="44"/>
      <c r="O749" s="44"/>
      <c r="P749" s="44"/>
      <c r="Q749" s="227"/>
      <c r="R749" s="228"/>
      <c r="S749" s="228"/>
      <c r="T749" s="228"/>
      <c r="U749" s="191">
        <f t="shared" si="528"/>
        <v>0</v>
      </c>
      <c r="V749" s="86"/>
      <c r="W749" s="45"/>
      <c r="X749" s="46"/>
      <c r="Y749" s="167">
        <f t="shared" si="529"/>
        <v>0</v>
      </c>
      <c r="Z749" s="167">
        <f t="shared" si="530"/>
        <v>0</v>
      </c>
      <c r="AA749" s="167">
        <f t="shared" si="531"/>
        <v>0</v>
      </c>
      <c r="AB749" s="167">
        <f t="shared" si="532"/>
        <v>0</v>
      </c>
      <c r="AC749" s="167">
        <f t="shared" si="533"/>
        <v>0</v>
      </c>
      <c r="AD749" s="167">
        <f t="shared" si="534"/>
        <v>0</v>
      </c>
      <c r="AF749" s="47">
        <f t="shared" si="535"/>
        <v>0</v>
      </c>
    </row>
    <row r="750" spans="1:32" x14ac:dyDescent="0.35">
      <c r="A750" s="269"/>
      <c r="B750" s="83"/>
      <c r="C750" s="83"/>
      <c r="D750" s="85"/>
      <c r="E750" s="83"/>
      <c r="F750" s="83"/>
      <c r="G750" s="43"/>
      <c r="H750" s="233"/>
      <c r="I750" s="42"/>
      <c r="J750" s="42"/>
      <c r="K750" s="42"/>
      <c r="L750" s="44"/>
      <c r="M750" s="44"/>
      <c r="N750" s="44"/>
      <c r="O750" s="44"/>
      <c r="P750" s="44"/>
      <c r="Q750" s="227"/>
      <c r="R750" s="228"/>
      <c r="S750" s="228"/>
      <c r="T750" s="228"/>
      <c r="U750" s="191">
        <f t="shared" si="528"/>
        <v>0</v>
      </c>
      <c r="V750" s="86"/>
      <c r="W750" s="45"/>
      <c r="X750" s="46"/>
      <c r="Y750" s="167">
        <f t="shared" si="529"/>
        <v>0</v>
      </c>
      <c r="Z750" s="167">
        <f t="shared" si="530"/>
        <v>0</v>
      </c>
      <c r="AA750" s="167">
        <f t="shared" si="531"/>
        <v>0</v>
      </c>
      <c r="AB750" s="167">
        <f t="shared" si="532"/>
        <v>0</v>
      </c>
      <c r="AC750" s="167">
        <f t="shared" si="533"/>
        <v>0</v>
      </c>
      <c r="AD750" s="167">
        <f t="shared" si="534"/>
        <v>0</v>
      </c>
      <c r="AF750" s="47">
        <f t="shared" si="535"/>
        <v>0</v>
      </c>
    </row>
    <row r="751" spans="1:32" x14ac:dyDescent="0.35">
      <c r="A751" s="269"/>
      <c r="B751" s="83"/>
      <c r="C751" s="83"/>
      <c r="D751" s="85"/>
      <c r="E751" s="83"/>
      <c r="F751" s="83"/>
      <c r="G751" s="43"/>
      <c r="H751" s="233"/>
      <c r="I751" s="42"/>
      <c r="J751" s="42"/>
      <c r="K751" s="42"/>
      <c r="L751" s="44"/>
      <c r="M751" s="44"/>
      <c r="N751" s="44"/>
      <c r="O751" s="44"/>
      <c r="P751" s="44"/>
      <c r="Q751" s="227"/>
      <c r="R751" s="228"/>
      <c r="S751" s="228"/>
      <c r="T751" s="228"/>
      <c r="U751" s="191">
        <f t="shared" si="528"/>
        <v>0</v>
      </c>
      <c r="V751" s="86"/>
      <c r="W751" s="45"/>
      <c r="X751" s="46"/>
      <c r="Y751" s="167">
        <f t="shared" si="529"/>
        <v>0</v>
      </c>
      <c r="Z751" s="167">
        <f t="shared" si="530"/>
        <v>0</v>
      </c>
      <c r="AA751" s="167">
        <f t="shared" si="531"/>
        <v>0</v>
      </c>
      <c r="AB751" s="167">
        <f t="shared" si="532"/>
        <v>0</v>
      </c>
      <c r="AC751" s="167">
        <f t="shared" si="533"/>
        <v>0</v>
      </c>
      <c r="AD751" s="167">
        <f t="shared" si="534"/>
        <v>0</v>
      </c>
      <c r="AF751" s="47">
        <f t="shared" si="535"/>
        <v>0</v>
      </c>
    </row>
    <row r="752" spans="1:32" x14ac:dyDescent="0.35">
      <c r="A752" s="269"/>
      <c r="B752" s="83"/>
      <c r="C752" s="83"/>
      <c r="D752" s="85"/>
      <c r="E752" s="83"/>
      <c r="F752" s="83"/>
      <c r="G752" s="43"/>
      <c r="H752" s="233"/>
      <c r="I752" s="42"/>
      <c r="J752" s="42"/>
      <c r="K752" s="42"/>
      <c r="L752" s="44"/>
      <c r="M752" s="44"/>
      <c r="N752" s="44"/>
      <c r="O752" s="44"/>
      <c r="P752" s="44"/>
      <c r="Q752" s="227"/>
      <c r="R752" s="228"/>
      <c r="S752" s="228"/>
      <c r="T752" s="228"/>
      <c r="U752" s="191">
        <f t="shared" si="528"/>
        <v>0</v>
      </c>
      <c r="V752" s="86"/>
      <c r="W752" s="45"/>
      <c r="X752" s="46"/>
      <c r="Y752" s="167">
        <f t="shared" si="529"/>
        <v>0</v>
      </c>
      <c r="Z752" s="167">
        <f t="shared" si="530"/>
        <v>0</v>
      </c>
      <c r="AA752" s="167">
        <f t="shared" si="531"/>
        <v>0</v>
      </c>
      <c r="AB752" s="167">
        <f t="shared" si="532"/>
        <v>0</v>
      </c>
      <c r="AC752" s="167">
        <f t="shared" si="533"/>
        <v>0</v>
      </c>
      <c r="AD752" s="167">
        <f t="shared" si="534"/>
        <v>0</v>
      </c>
      <c r="AF752" s="47">
        <f t="shared" si="535"/>
        <v>0</v>
      </c>
    </row>
    <row r="753" spans="1:32" x14ac:dyDescent="0.35">
      <c r="A753" s="269"/>
      <c r="B753" s="83"/>
      <c r="C753" s="83"/>
      <c r="D753" s="85"/>
      <c r="E753" s="83"/>
      <c r="F753" s="83"/>
      <c r="G753" s="43"/>
      <c r="H753" s="233"/>
      <c r="I753" s="42"/>
      <c r="J753" s="42"/>
      <c r="K753" s="42"/>
      <c r="L753" s="44"/>
      <c r="M753" s="44"/>
      <c r="N753" s="44"/>
      <c r="O753" s="44"/>
      <c r="P753" s="44"/>
      <c r="Q753" s="227"/>
      <c r="R753" s="228"/>
      <c r="S753" s="228"/>
      <c r="T753" s="228"/>
      <c r="U753" s="191">
        <f t="shared" si="528"/>
        <v>0</v>
      </c>
      <c r="V753" s="86"/>
      <c r="W753" s="45"/>
      <c r="X753" s="46"/>
      <c r="Y753" s="167">
        <f t="shared" si="529"/>
        <v>0</v>
      </c>
      <c r="Z753" s="167">
        <f t="shared" si="530"/>
        <v>0</v>
      </c>
      <c r="AA753" s="167">
        <f t="shared" si="531"/>
        <v>0</v>
      </c>
      <c r="AB753" s="167">
        <f t="shared" si="532"/>
        <v>0</v>
      </c>
      <c r="AC753" s="167">
        <f t="shared" si="533"/>
        <v>0</v>
      </c>
      <c r="AD753" s="167">
        <f t="shared" si="534"/>
        <v>0</v>
      </c>
      <c r="AF753" s="47">
        <f t="shared" si="535"/>
        <v>0</v>
      </c>
    </row>
    <row r="754" spans="1:32" x14ac:dyDescent="0.35">
      <c r="A754" s="269"/>
      <c r="B754" s="83"/>
      <c r="C754" s="83"/>
      <c r="D754" s="85"/>
      <c r="E754" s="83"/>
      <c r="F754" s="83"/>
      <c r="G754" s="43"/>
      <c r="H754" s="233"/>
      <c r="I754" s="42"/>
      <c r="J754" s="42"/>
      <c r="K754" s="42"/>
      <c r="L754" s="44"/>
      <c r="M754" s="44"/>
      <c r="N754" s="44"/>
      <c r="O754" s="44"/>
      <c r="P754" s="44"/>
      <c r="Q754" s="227"/>
      <c r="R754" s="228"/>
      <c r="S754" s="228"/>
      <c r="T754" s="228"/>
      <c r="U754" s="191">
        <f t="shared" si="528"/>
        <v>0</v>
      </c>
      <c r="V754" s="86"/>
      <c r="W754" s="45"/>
      <c r="X754" s="46"/>
      <c r="Y754" s="167">
        <f t="shared" si="529"/>
        <v>0</v>
      </c>
      <c r="Z754" s="167">
        <f t="shared" si="530"/>
        <v>0</v>
      </c>
      <c r="AA754" s="167">
        <f t="shared" si="531"/>
        <v>0</v>
      </c>
      <c r="AB754" s="167">
        <f t="shared" si="532"/>
        <v>0</v>
      </c>
      <c r="AC754" s="167">
        <f t="shared" si="533"/>
        <v>0</v>
      </c>
      <c r="AD754" s="167">
        <f t="shared" si="534"/>
        <v>0</v>
      </c>
      <c r="AF754" s="47">
        <f t="shared" si="535"/>
        <v>0</v>
      </c>
    </row>
    <row r="755" spans="1:32" x14ac:dyDescent="0.35">
      <c r="A755" s="269"/>
      <c r="B755" s="83"/>
      <c r="C755" s="83"/>
      <c r="D755" s="85"/>
      <c r="E755" s="83"/>
      <c r="F755" s="83"/>
      <c r="G755" s="43"/>
      <c r="H755" s="233"/>
      <c r="I755" s="42"/>
      <c r="J755" s="42"/>
      <c r="K755" s="42"/>
      <c r="L755" s="44"/>
      <c r="M755" s="44"/>
      <c r="N755" s="44"/>
      <c r="O755" s="44"/>
      <c r="P755" s="44"/>
      <c r="Q755" s="227"/>
      <c r="R755" s="228"/>
      <c r="S755" s="228"/>
      <c r="T755" s="228"/>
      <c r="U755" s="191">
        <f t="shared" si="528"/>
        <v>0</v>
      </c>
      <c r="V755" s="86"/>
      <c r="W755" s="45"/>
      <c r="X755" s="46"/>
      <c r="Y755" s="167">
        <f t="shared" si="529"/>
        <v>0</v>
      </c>
      <c r="Z755" s="167">
        <f t="shared" si="530"/>
        <v>0</v>
      </c>
      <c r="AA755" s="167">
        <f t="shared" si="531"/>
        <v>0</v>
      </c>
      <c r="AB755" s="167">
        <f t="shared" si="532"/>
        <v>0</v>
      </c>
      <c r="AC755" s="167">
        <f t="shared" si="533"/>
        <v>0</v>
      </c>
      <c r="AD755" s="167">
        <f t="shared" si="534"/>
        <v>0</v>
      </c>
      <c r="AF755" s="47">
        <f t="shared" si="535"/>
        <v>0</v>
      </c>
    </row>
    <row r="756" spans="1:32" x14ac:dyDescent="0.35">
      <c r="A756" s="269"/>
      <c r="B756" s="83"/>
      <c r="C756" s="83"/>
      <c r="D756" s="85"/>
      <c r="E756" s="83"/>
      <c r="F756" s="83"/>
      <c r="G756" s="43"/>
      <c r="H756" s="233"/>
      <c r="I756" s="42"/>
      <c r="J756" s="42"/>
      <c r="K756" s="42"/>
      <c r="L756" s="44"/>
      <c r="M756" s="44"/>
      <c r="N756" s="44"/>
      <c r="O756" s="44"/>
      <c r="P756" s="44"/>
      <c r="Q756" s="227"/>
      <c r="R756" s="228"/>
      <c r="S756" s="228"/>
      <c r="T756" s="228"/>
      <c r="U756" s="191">
        <f t="shared" si="528"/>
        <v>0</v>
      </c>
      <c r="V756" s="86"/>
      <c r="W756" s="45"/>
      <c r="X756" s="46"/>
      <c r="Y756" s="167">
        <f t="shared" si="529"/>
        <v>0</v>
      </c>
      <c r="Z756" s="167">
        <f t="shared" si="530"/>
        <v>0</v>
      </c>
      <c r="AA756" s="167">
        <f t="shared" si="531"/>
        <v>0</v>
      </c>
      <c r="AB756" s="167">
        <f t="shared" si="532"/>
        <v>0</v>
      </c>
      <c r="AC756" s="167">
        <f t="shared" si="533"/>
        <v>0</v>
      </c>
      <c r="AD756" s="167">
        <f t="shared" si="534"/>
        <v>0</v>
      </c>
      <c r="AF756" s="47">
        <f t="shared" si="535"/>
        <v>0</v>
      </c>
    </row>
    <row r="757" spans="1:32" x14ac:dyDescent="0.35">
      <c r="A757" s="269"/>
      <c r="B757" s="83"/>
      <c r="C757" s="83"/>
      <c r="D757" s="85"/>
      <c r="E757" s="83"/>
      <c r="F757" s="83"/>
      <c r="G757" s="43"/>
      <c r="H757" s="233"/>
      <c r="I757" s="42"/>
      <c r="J757" s="42"/>
      <c r="K757" s="42"/>
      <c r="L757" s="44"/>
      <c r="M757" s="44"/>
      <c r="N757" s="44"/>
      <c r="O757" s="44"/>
      <c r="P757" s="44"/>
      <c r="Q757" s="227"/>
      <c r="R757" s="228"/>
      <c r="S757" s="228"/>
      <c r="T757" s="228"/>
      <c r="U757" s="191">
        <f t="shared" si="528"/>
        <v>0</v>
      </c>
      <c r="V757" s="86"/>
      <c r="W757" s="45"/>
      <c r="X757" s="46"/>
      <c r="Y757" s="167">
        <f t="shared" si="529"/>
        <v>0</v>
      </c>
      <c r="Z757" s="167">
        <f t="shared" si="530"/>
        <v>0</v>
      </c>
      <c r="AA757" s="167">
        <f t="shared" si="531"/>
        <v>0</v>
      </c>
      <c r="AB757" s="167">
        <f t="shared" si="532"/>
        <v>0</v>
      </c>
      <c r="AC757" s="167">
        <f t="shared" si="533"/>
        <v>0</v>
      </c>
      <c r="AD757" s="167">
        <f t="shared" si="534"/>
        <v>0</v>
      </c>
      <c r="AF757" s="47">
        <f t="shared" si="535"/>
        <v>0</v>
      </c>
    </row>
    <row r="758" spans="1:32" x14ac:dyDescent="0.35">
      <c r="A758" s="269"/>
      <c r="B758" s="83"/>
      <c r="C758" s="83"/>
      <c r="D758" s="85"/>
      <c r="E758" s="83"/>
      <c r="F758" s="83"/>
      <c r="G758" s="43"/>
      <c r="H758" s="233"/>
      <c r="I758" s="42"/>
      <c r="J758" s="42"/>
      <c r="K758" s="42"/>
      <c r="L758" s="44"/>
      <c r="M758" s="44"/>
      <c r="N758" s="44"/>
      <c r="O758" s="44"/>
      <c r="P758" s="44"/>
      <c r="Q758" s="227"/>
      <c r="R758" s="228"/>
      <c r="S758" s="228"/>
      <c r="T758" s="228"/>
      <c r="U758" s="191">
        <f t="shared" si="528"/>
        <v>0</v>
      </c>
      <c r="V758" s="86"/>
      <c r="W758" s="45"/>
      <c r="X758" s="46"/>
      <c r="Y758" s="167">
        <f t="shared" si="529"/>
        <v>0</v>
      </c>
      <c r="Z758" s="167">
        <f t="shared" si="530"/>
        <v>0</v>
      </c>
      <c r="AA758" s="167">
        <f t="shared" si="531"/>
        <v>0</v>
      </c>
      <c r="AB758" s="167">
        <f t="shared" si="532"/>
        <v>0</v>
      </c>
      <c r="AC758" s="167">
        <f t="shared" si="533"/>
        <v>0</v>
      </c>
      <c r="AD758" s="167">
        <f t="shared" si="534"/>
        <v>0</v>
      </c>
      <c r="AF758" s="47">
        <f t="shared" si="535"/>
        <v>0</v>
      </c>
    </row>
    <row r="759" spans="1:32" x14ac:dyDescent="0.35">
      <c r="A759" s="269"/>
      <c r="B759" s="83"/>
      <c r="C759" s="83"/>
      <c r="D759" s="85"/>
      <c r="E759" s="83"/>
      <c r="F759" s="83"/>
      <c r="G759" s="43"/>
      <c r="H759" s="233"/>
      <c r="I759" s="42"/>
      <c r="J759" s="42"/>
      <c r="K759" s="42"/>
      <c r="L759" s="44"/>
      <c r="M759" s="44"/>
      <c r="N759" s="44"/>
      <c r="O759" s="44"/>
      <c r="P759" s="44"/>
      <c r="Q759" s="227"/>
      <c r="R759" s="228"/>
      <c r="S759" s="228"/>
      <c r="T759" s="228"/>
      <c r="U759" s="191">
        <f t="shared" si="528"/>
        <v>0</v>
      </c>
      <c r="V759" s="86"/>
      <c r="W759" s="45"/>
      <c r="X759" s="46"/>
      <c r="Y759" s="167">
        <f t="shared" si="529"/>
        <v>0</v>
      </c>
      <c r="Z759" s="167">
        <f t="shared" si="530"/>
        <v>0</v>
      </c>
      <c r="AA759" s="167">
        <f t="shared" si="531"/>
        <v>0</v>
      </c>
      <c r="AB759" s="167">
        <f t="shared" si="532"/>
        <v>0</v>
      </c>
      <c r="AC759" s="167">
        <f t="shared" si="533"/>
        <v>0</v>
      </c>
      <c r="AD759" s="167">
        <f t="shared" si="534"/>
        <v>0</v>
      </c>
      <c r="AF759" s="47">
        <f t="shared" si="535"/>
        <v>0</v>
      </c>
    </row>
    <row r="760" spans="1:32" x14ac:dyDescent="0.35">
      <c r="A760" s="269"/>
      <c r="B760" s="83"/>
      <c r="C760" s="83"/>
      <c r="D760" s="85"/>
      <c r="E760" s="83"/>
      <c r="F760" s="83"/>
      <c r="G760" s="43"/>
      <c r="H760" s="233"/>
      <c r="I760" s="42"/>
      <c r="J760" s="42"/>
      <c r="K760" s="42"/>
      <c r="L760" s="44"/>
      <c r="M760" s="44"/>
      <c r="N760" s="44"/>
      <c r="O760" s="44"/>
      <c r="P760" s="44"/>
      <c r="Q760" s="227"/>
      <c r="R760" s="228"/>
      <c r="S760" s="228"/>
      <c r="T760" s="228"/>
      <c r="U760" s="191">
        <f t="shared" si="528"/>
        <v>0</v>
      </c>
      <c r="V760" s="86"/>
      <c r="W760" s="45"/>
      <c r="X760" s="46"/>
      <c r="Y760" s="167">
        <f t="shared" si="529"/>
        <v>0</v>
      </c>
      <c r="Z760" s="167">
        <f t="shared" si="530"/>
        <v>0</v>
      </c>
      <c r="AA760" s="167">
        <f t="shared" si="531"/>
        <v>0</v>
      </c>
      <c r="AB760" s="167">
        <f t="shared" si="532"/>
        <v>0</v>
      </c>
      <c r="AC760" s="167">
        <f t="shared" si="533"/>
        <v>0</v>
      </c>
      <c r="AD760" s="167">
        <f t="shared" si="534"/>
        <v>0</v>
      </c>
      <c r="AF760" s="47">
        <f t="shared" si="535"/>
        <v>0</v>
      </c>
    </row>
    <row r="761" spans="1:32" x14ac:dyDescent="0.35">
      <c r="A761" s="269"/>
      <c r="B761" s="83"/>
      <c r="C761" s="83"/>
      <c r="D761" s="85"/>
      <c r="E761" s="83"/>
      <c r="F761" s="83"/>
      <c r="G761" s="43"/>
      <c r="H761" s="233"/>
      <c r="I761" s="42"/>
      <c r="J761" s="42"/>
      <c r="K761" s="42"/>
      <c r="L761" s="44"/>
      <c r="M761" s="44"/>
      <c r="N761" s="44"/>
      <c r="O761" s="44"/>
      <c r="P761" s="44"/>
      <c r="Q761" s="227"/>
      <c r="R761" s="228"/>
      <c r="S761" s="228"/>
      <c r="T761" s="228"/>
      <c r="U761" s="191">
        <f t="shared" ref="U761:U824" si="536">IF(Q761="",0,IF(T761="",0,+S761-T761))</f>
        <v>0</v>
      </c>
      <c r="V761" s="86"/>
      <c r="W761" s="45"/>
      <c r="X761" s="46"/>
      <c r="Y761" s="167">
        <f t="shared" ref="Y761:Y824" si="537">IF(G761=2,S761,0)</f>
        <v>0</v>
      </c>
      <c r="Z761" s="167">
        <f t="shared" ref="Z761:Z824" si="538">IF(Q761="",0,IF(G761=2,T761,0))</f>
        <v>0</v>
      </c>
      <c r="AA761" s="167">
        <f t="shared" ref="AA761:AA824" si="539">Y761-Z761</f>
        <v>0</v>
      </c>
      <c r="AB761" s="167">
        <f t="shared" ref="AB761:AB824" si="540">IF(G761=1,S761,0)</f>
        <v>0</v>
      </c>
      <c r="AC761" s="167">
        <f t="shared" ref="AC761:AC824" si="541">IF(Q761="",0,IF(G761=1,T761,0))</f>
        <v>0</v>
      </c>
      <c r="AD761" s="167">
        <f t="shared" ref="AD761:AD824" si="542">AB761-AC761</f>
        <v>0</v>
      </c>
      <c r="AF761" s="47">
        <f t="shared" si="535"/>
        <v>0</v>
      </c>
    </row>
    <row r="762" spans="1:32" x14ac:dyDescent="0.35">
      <c r="A762" s="269"/>
      <c r="B762" s="83"/>
      <c r="C762" s="83"/>
      <c r="D762" s="85"/>
      <c r="E762" s="83"/>
      <c r="F762" s="83"/>
      <c r="G762" s="43"/>
      <c r="H762" s="233"/>
      <c r="I762" s="42"/>
      <c r="J762" s="42"/>
      <c r="K762" s="42"/>
      <c r="L762" s="44"/>
      <c r="M762" s="44"/>
      <c r="N762" s="44"/>
      <c r="O762" s="44"/>
      <c r="P762" s="44"/>
      <c r="Q762" s="227"/>
      <c r="R762" s="228"/>
      <c r="S762" s="228"/>
      <c r="T762" s="228"/>
      <c r="U762" s="191">
        <f t="shared" si="536"/>
        <v>0</v>
      </c>
      <c r="V762" s="86"/>
      <c r="W762" s="45"/>
      <c r="X762" s="46"/>
      <c r="Y762" s="167">
        <f t="shared" si="537"/>
        <v>0</v>
      </c>
      <c r="Z762" s="167">
        <f t="shared" si="538"/>
        <v>0</v>
      </c>
      <c r="AA762" s="167">
        <f t="shared" si="539"/>
        <v>0</v>
      </c>
      <c r="AB762" s="167">
        <f t="shared" si="540"/>
        <v>0</v>
      </c>
      <c r="AC762" s="167">
        <f t="shared" si="541"/>
        <v>0</v>
      </c>
      <c r="AD762" s="167">
        <f t="shared" si="542"/>
        <v>0</v>
      </c>
      <c r="AF762" s="47">
        <f t="shared" si="535"/>
        <v>0</v>
      </c>
    </row>
    <row r="763" spans="1:32" x14ac:dyDescent="0.35">
      <c r="A763" s="269"/>
      <c r="B763" s="83"/>
      <c r="C763" s="83"/>
      <c r="D763" s="85"/>
      <c r="E763" s="83"/>
      <c r="F763" s="83"/>
      <c r="G763" s="43"/>
      <c r="H763" s="233"/>
      <c r="I763" s="42"/>
      <c r="J763" s="42"/>
      <c r="K763" s="42"/>
      <c r="L763" s="44"/>
      <c r="M763" s="44"/>
      <c r="N763" s="44"/>
      <c r="O763" s="44"/>
      <c r="P763" s="44"/>
      <c r="Q763" s="227"/>
      <c r="R763" s="228"/>
      <c r="S763" s="228"/>
      <c r="T763" s="228"/>
      <c r="U763" s="191">
        <f t="shared" si="536"/>
        <v>0</v>
      </c>
      <c r="V763" s="86"/>
      <c r="W763" s="45"/>
      <c r="X763" s="46"/>
      <c r="Y763" s="167">
        <f t="shared" si="537"/>
        <v>0</v>
      </c>
      <c r="Z763" s="167">
        <f t="shared" si="538"/>
        <v>0</v>
      </c>
      <c r="AA763" s="167">
        <f t="shared" si="539"/>
        <v>0</v>
      </c>
      <c r="AB763" s="167">
        <f t="shared" si="540"/>
        <v>0</v>
      </c>
      <c r="AC763" s="167">
        <f t="shared" si="541"/>
        <v>0</v>
      </c>
      <c r="AD763" s="167">
        <f t="shared" si="542"/>
        <v>0</v>
      </c>
      <c r="AF763" s="47">
        <f t="shared" si="535"/>
        <v>0</v>
      </c>
    </row>
    <row r="764" spans="1:32" x14ac:dyDescent="0.35">
      <c r="A764" s="269"/>
      <c r="B764" s="83"/>
      <c r="C764" s="83"/>
      <c r="D764" s="85"/>
      <c r="E764" s="83"/>
      <c r="F764" s="83"/>
      <c r="G764" s="43"/>
      <c r="H764" s="233"/>
      <c r="I764" s="42"/>
      <c r="J764" s="42"/>
      <c r="K764" s="42"/>
      <c r="L764" s="44"/>
      <c r="M764" s="44"/>
      <c r="N764" s="44"/>
      <c r="O764" s="44"/>
      <c r="P764" s="44"/>
      <c r="Q764" s="227"/>
      <c r="R764" s="228"/>
      <c r="S764" s="228"/>
      <c r="T764" s="228"/>
      <c r="U764" s="191">
        <f t="shared" si="536"/>
        <v>0</v>
      </c>
      <c r="V764" s="86"/>
      <c r="W764" s="45"/>
      <c r="X764" s="46"/>
      <c r="Y764" s="167">
        <f t="shared" si="537"/>
        <v>0</v>
      </c>
      <c r="Z764" s="167">
        <f t="shared" si="538"/>
        <v>0</v>
      </c>
      <c r="AA764" s="167">
        <f t="shared" si="539"/>
        <v>0</v>
      </c>
      <c r="AB764" s="167">
        <f t="shared" si="540"/>
        <v>0</v>
      </c>
      <c r="AC764" s="167">
        <f t="shared" si="541"/>
        <v>0</v>
      </c>
      <c r="AD764" s="167">
        <f t="shared" si="542"/>
        <v>0</v>
      </c>
      <c r="AF764" s="47">
        <f t="shared" si="535"/>
        <v>0</v>
      </c>
    </row>
    <row r="765" spans="1:32" x14ac:dyDescent="0.35">
      <c r="A765" s="269"/>
      <c r="B765" s="83"/>
      <c r="C765" s="83"/>
      <c r="D765" s="85"/>
      <c r="E765" s="83"/>
      <c r="F765" s="83"/>
      <c r="G765" s="43"/>
      <c r="H765" s="233"/>
      <c r="I765" s="42"/>
      <c r="J765" s="42"/>
      <c r="K765" s="42"/>
      <c r="L765" s="44"/>
      <c r="M765" s="44"/>
      <c r="N765" s="44"/>
      <c r="O765" s="44"/>
      <c r="P765" s="44"/>
      <c r="Q765" s="227"/>
      <c r="R765" s="228"/>
      <c r="S765" s="228"/>
      <c r="T765" s="228"/>
      <c r="U765" s="191">
        <f t="shared" si="536"/>
        <v>0</v>
      </c>
      <c r="V765" s="86"/>
      <c r="W765" s="45"/>
      <c r="X765" s="46"/>
      <c r="Y765" s="167">
        <f t="shared" si="537"/>
        <v>0</v>
      </c>
      <c r="Z765" s="167">
        <f t="shared" si="538"/>
        <v>0</v>
      </c>
      <c r="AA765" s="167">
        <f t="shared" si="539"/>
        <v>0</v>
      </c>
      <c r="AB765" s="167">
        <f t="shared" si="540"/>
        <v>0</v>
      </c>
      <c r="AC765" s="167">
        <f t="shared" si="541"/>
        <v>0</v>
      </c>
      <c r="AD765" s="167">
        <f t="shared" si="542"/>
        <v>0</v>
      </c>
      <c r="AF765" s="47">
        <f t="shared" si="535"/>
        <v>0</v>
      </c>
    </row>
    <row r="766" spans="1:32" x14ac:dyDescent="0.35">
      <c r="A766" s="269"/>
      <c r="B766" s="83"/>
      <c r="C766" s="83"/>
      <c r="D766" s="85"/>
      <c r="E766" s="83"/>
      <c r="F766" s="83"/>
      <c r="G766" s="43"/>
      <c r="H766" s="233"/>
      <c r="I766" s="42"/>
      <c r="J766" s="42"/>
      <c r="K766" s="42"/>
      <c r="L766" s="44"/>
      <c r="M766" s="44"/>
      <c r="N766" s="44"/>
      <c r="O766" s="44"/>
      <c r="P766" s="44"/>
      <c r="Q766" s="227"/>
      <c r="R766" s="228"/>
      <c r="S766" s="228"/>
      <c r="T766" s="228"/>
      <c r="U766" s="191">
        <f t="shared" si="536"/>
        <v>0</v>
      </c>
      <c r="V766" s="86"/>
      <c r="W766" s="45"/>
      <c r="X766" s="46"/>
      <c r="Y766" s="167">
        <f t="shared" si="537"/>
        <v>0</v>
      </c>
      <c r="Z766" s="167">
        <f t="shared" si="538"/>
        <v>0</v>
      </c>
      <c r="AA766" s="167">
        <f t="shared" si="539"/>
        <v>0</v>
      </c>
      <c r="AB766" s="167">
        <f t="shared" si="540"/>
        <v>0</v>
      </c>
      <c r="AC766" s="167">
        <f t="shared" si="541"/>
        <v>0</v>
      </c>
      <c r="AD766" s="167">
        <f t="shared" si="542"/>
        <v>0</v>
      </c>
      <c r="AF766" s="47">
        <f t="shared" si="535"/>
        <v>0</v>
      </c>
    </row>
    <row r="767" spans="1:32" x14ac:dyDescent="0.35">
      <c r="A767" s="269"/>
      <c r="B767" s="83"/>
      <c r="C767" s="83"/>
      <c r="D767" s="85"/>
      <c r="E767" s="83"/>
      <c r="F767" s="83"/>
      <c r="G767" s="43"/>
      <c r="H767" s="233"/>
      <c r="I767" s="42"/>
      <c r="J767" s="42"/>
      <c r="K767" s="42"/>
      <c r="L767" s="44"/>
      <c r="M767" s="44"/>
      <c r="N767" s="44"/>
      <c r="O767" s="44"/>
      <c r="P767" s="44"/>
      <c r="Q767" s="227"/>
      <c r="R767" s="228"/>
      <c r="S767" s="228"/>
      <c r="T767" s="228"/>
      <c r="U767" s="191">
        <f t="shared" si="536"/>
        <v>0</v>
      </c>
      <c r="V767" s="86"/>
      <c r="W767" s="45"/>
      <c r="X767" s="46"/>
      <c r="Y767" s="167">
        <f t="shared" si="537"/>
        <v>0</v>
      </c>
      <c r="Z767" s="167">
        <f t="shared" si="538"/>
        <v>0</v>
      </c>
      <c r="AA767" s="167">
        <f t="shared" si="539"/>
        <v>0</v>
      </c>
      <c r="AB767" s="167">
        <f t="shared" si="540"/>
        <v>0</v>
      </c>
      <c r="AC767" s="167">
        <f t="shared" si="541"/>
        <v>0</v>
      </c>
      <c r="AD767" s="167">
        <f t="shared" si="542"/>
        <v>0</v>
      </c>
      <c r="AF767" s="47">
        <f t="shared" si="535"/>
        <v>0</v>
      </c>
    </row>
    <row r="768" spans="1:32" x14ac:dyDescent="0.35">
      <c r="A768" s="269"/>
      <c r="B768" s="83"/>
      <c r="C768" s="83"/>
      <c r="D768" s="85"/>
      <c r="E768" s="83"/>
      <c r="F768" s="83"/>
      <c r="G768" s="43"/>
      <c r="H768" s="233"/>
      <c r="I768" s="42"/>
      <c r="J768" s="42"/>
      <c r="K768" s="42"/>
      <c r="L768" s="44"/>
      <c r="M768" s="44"/>
      <c r="N768" s="44"/>
      <c r="O768" s="44"/>
      <c r="P768" s="44"/>
      <c r="Q768" s="227"/>
      <c r="R768" s="228"/>
      <c r="S768" s="228"/>
      <c r="T768" s="228"/>
      <c r="U768" s="191">
        <f t="shared" si="536"/>
        <v>0</v>
      </c>
      <c r="V768" s="86"/>
      <c r="W768" s="45"/>
      <c r="X768" s="46"/>
      <c r="Y768" s="167">
        <f t="shared" si="537"/>
        <v>0</v>
      </c>
      <c r="Z768" s="167">
        <f t="shared" si="538"/>
        <v>0</v>
      </c>
      <c r="AA768" s="167">
        <f t="shared" si="539"/>
        <v>0</v>
      </c>
      <c r="AB768" s="167">
        <f t="shared" si="540"/>
        <v>0</v>
      </c>
      <c r="AC768" s="167">
        <f t="shared" si="541"/>
        <v>0</v>
      </c>
      <c r="AD768" s="167">
        <f t="shared" si="542"/>
        <v>0</v>
      </c>
      <c r="AF768" s="47">
        <f t="shared" si="535"/>
        <v>0</v>
      </c>
    </row>
    <row r="769" spans="1:32" x14ac:dyDescent="0.35">
      <c r="A769" s="269"/>
      <c r="B769" s="83"/>
      <c r="C769" s="83"/>
      <c r="D769" s="85"/>
      <c r="E769" s="83"/>
      <c r="F769" s="83"/>
      <c r="G769" s="43"/>
      <c r="H769" s="233"/>
      <c r="I769" s="42"/>
      <c r="J769" s="42"/>
      <c r="K769" s="42"/>
      <c r="L769" s="44"/>
      <c r="M769" s="44"/>
      <c r="N769" s="44"/>
      <c r="O769" s="44"/>
      <c r="P769" s="44"/>
      <c r="Q769" s="227"/>
      <c r="R769" s="228"/>
      <c r="S769" s="228"/>
      <c r="T769" s="228"/>
      <c r="U769" s="191">
        <f t="shared" si="536"/>
        <v>0</v>
      </c>
      <c r="V769" s="86"/>
      <c r="W769" s="45"/>
      <c r="X769" s="46"/>
      <c r="Y769" s="167">
        <f t="shared" si="537"/>
        <v>0</v>
      </c>
      <c r="Z769" s="167">
        <f t="shared" si="538"/>
        <v>0</v>
      </c>
      <c r="AA769" s="167">
        <f t="shared" si="539"/>
        <v>0</v>
      </c>
      <c r="AB769" s="167">
        <f t="shared" si="540"/>
        <v>0</v>
      </c>
      <c r="AC769" s="167">
        <f t="shared" si="541"/>
        <v>0</v>
      </c>
      <c r="AD769" s="167">
        <f t="shared" si="542"/>
        <v>0</v>
      </c>
      <c r="AF769" s="47">
        <f t="shared" si="535"/>
        <v>0</v>
      </c>
    </row>
    <row r="770" spans="1:32" x14ac:dyDescent="0.35">
      <c r="A770" s="269"/>
      <c r="B770" s="83"/>
      <c r="C770" s="83"/>
      <c r="D770" s="85"/>
      <c r="E770" s="83"/>
      <c r="F770" s="83"/>
      <c r="G770" s="43"/>
      <c r="H770" s="233"/>
      <c r="I770" s="42"/>
      <c r="J770" s="42"/>
      <c r="K770" s="42"/>
      <c r="L770" s="44"/>
      <c r="M770" s="44"/>
      <c r="N770" s="44"/>
      <c r="O770" s="44"/>
      <c r="P770" s="44"/>
      <c r="Q770" s="227"/>
      <c r="R770" s="228"/>
      <c r="S770" s="228"/>
      <c r="T770" s="228"/>
      <c r="U770" s="191">
        <f t="shared" si="536"/>
        <v>0</v>
      </c>
      <c r="V770" s="86"/>
      <c r="W770" s="45"/>
      <c r="X770" s="46"/>
      <c r="Y770" s="167">
        <f t="shared" si="537"/>
        <v>0</v>
      </c>
      <c r="Z770" s="167">
        <f t="shared" si="538"/>
        <v>0</v>
      </c>
      <c r="AA770" s="167">
        <f t="shared" si="539"/>
        <v>0</v>
      </c>
      <c r="AB770" s="167">
        <f t="shared" si="540"/>
        <v>0</v>
      </c>
      <c r="AC770" s="167">
        <f t="shared" si="541"/>
        <v>0</v>
      </c>
      <c r="AD770" s="167">
        <f t="shared" si="542"/>
        <v>0</v>
      </c>
      <c r="AF770" s="47">
        <f t="shared" si="535"/>
        <v>0</v>
      </c>
    </row>
    <row r="771" spans="1:32" x14ac:dyDescent="0.35">
      <c r="A771" s="269"/>
      <c r="B771" s="83"/>
      <c r="C771" s="83"/>
      <c r="D771" s="85"/>
      <c r="E771" s="83"/>
      <c r="F771" s="83"/>
      <c r="G771" s="43"/>
      <c r="H771" s="233"/>
      <c r="I771" s="42"/>
      <c r="J771" s="42"/>
      <c r="K771" s="42"/>
      <c r="L771" s="44"/>
      <c r="M771" s="44"/>
      <c r="N771" s="44"/>
      <c r="O771" s="44"/>
      <c r="P771" s="44"/>
      <c r="Q771" s="227"/>
      <c r="R771" s="228"/>
      <c r="S771" s="228"/>
      <c r="T771" s="228"/>
      <c r="U771" s="191">
        <f t="shared" si="536"/>
        <v>0</v>
      </c>
      <c r="V771" s="86"/>
      <c r="W771" s="45"/>
      <c r="X771" s="46"/>
      <c r="Y771" s="167">
        <f t="shared" si="537"/>
        <v>0</v>
      </c>
      <c r="Z771" s="167">
        <f t="shared" si="538"/>
        <v>0</v>
      </c>
      <c r="AA771" s="167">
        <f t="shared" si="539"/>
        <v>0</v>
      </c>
      <c r="AB771" s="167">
        <f t="shared" si="540"/>
        <v>0</v>
      </c>
      <c r="AC771" s="167">
        <f t="shared" si="541"/>
        <v>0</v>
      </c>
      <c r="AD771" s="167">
        <f t="shared" si="542"/>
        <v>0</v>
      </c>
      <c r="AF771" s="47">
        <f t="shared" si="535"/>
        <v>0</v>
      </c>
    </row>
    <row r="772" spans="1:32" x14ac:dyDescent="0.35">
      <c r="A772" s="269"/>
      <c r="B772" s="83"/>
      <c r="C772" s="83"/>
      <c r="D772" s="85"/>
      <c r="E772" s="83"/>
      <c r="F772" s="83"/>
      <c r="G772" s="43"/>
      <c r="H772" s="233"/>
      <c r="I772" s="42"/>
      <c r="J772" s="42"/>
      <c r="K772" s="42"/>
      <c r="L772" s="44"/>
      <c r="M772" s="44"/>
      <c r="N772" s="44"/>
      <c r="O772" s="44"/>
      <c r="P772" s="44"/>
      <c r="Q772" s="227"/>
      <c r="R772" s="228"/>
      <c r="S772" s="228"/>
      <c r="T772" s="228"/>
      <c r="U772" s="191">
        <f t="shared" si="536"/>
        <v>0</v>
      </c>
      <c r="V772" s="86"/>
      <c r="W772" s="45"/>
      <c r="X772" s="46"/>
      <c r="Y772" s="167">
        <f t="shared" si="537"/>
        <v>0</v>
      </c>
      <c r="Z772" s="167">
        <f t="shared" si="538"/>
        <v>0</v>
      </c>
      <c r="AA772" s="167">
        <f t="shared" si="539"/>
        <v>0</v>
      </c>
      <c r="AB772" s="167">
        <f t="shared" si="540"/>
        <v>0</v>
      </c>
      <c r="AC772" s="167">
        <f t="shared" si="541"/>
        <v>0</v>
      </c>
      <c r="AD772" s="167">
        <f t="shared" si="542"/>
        <v>0</v>
      </c>
      <c r="AF772" s="47">
        <f t="shared" si="535"/>
        <v>0</v>
      </c>
    </row>
    <row r="773" spans="1:32" x14ac:dyDescent="0.35">
      <c r="A773" s="269"/>
      <c r="B773" s="83"/>
      <c r="C773" s="83"/>
      <c r="D773" s="85"/>
      <c r="E773" s="83"/>
      <c r="F773" s="83"/>
      <c r="G773" s="43"/>
      <c r="H773" s="233"/>
      <c r="I773" s="42"/>
      <c r="J773" s="42"/>
      <c r="K773" s="42"/>
      <c r="L773" s="44"/>
      <c r="M773" s="44"/>
      <c r="N773" s="44"/>
      <c r="O773" s="44"/>
      <c r="P773" s="44"/>
      <c r="Q773" s="227"/>
      <c r="R773" s="228"/>
      <c r="S773" s="228"/>
      <c r="T773" s="228"/>
      <c r="U773" s="191">
        <f t="shared" si="536"/>
        <v>0</v>
      </c>
      <c r="V773" s="86"/>
      <c r="W773" s="45"/>
      <c r="X773" s="46"/>
      <c r="Y773" s="167">
        <f t="shared" si="537"/>
        <v>0</v>
      </c>
      <c r="Z773" s="167">
        <f t="shared" si="538"/>
        <v>0</v>
      </c>
      <c r="AA773" s="167">
        <f t="shared" si="539"/>
        <v>0</v>
      </c>
      <c r="AB773" s="167">
        <f t="shared" si="540"/>
        <v>0</v>
      </c>
      <c r="AC773" s="167">
        <f t="shared" si="541"/>
        <v>0</v>
      </c>
      <c r="AD773" s="167">
        <f t="shared" si="542"/>
        <v>0</v>
      </c>
      <c r="AF773" s="47">
        <f t="shared" si="535"/>
        <v>0</v>
      </c>
    </row>
    <row r="774" spans="1:32" x14ac:dyDescent="0.35">
      <c r="A774" s="269"/>
      <c r="B774" s="83"/>
      <c r="C774" s="83"/>
      <c r="D774" s="85"/>
      <c r="E774" s="83"/>
      <c r="F774" s="83"/>
      <c r="G774" s="43"/>
      <c r="H774" s="233"/>
      <c r="I774" s="42"/>
      <c r="J774" s="42"/>
      <c r="K774" s="42"/>
      <c r="L774" s="44"/>
      <c r="M774" s="44"/>
      <c r="N774" s="44"/>
      <c r="O774" s="44"/>
      <c r="P774" s="44"/>
      <c r="Q774" s="227"/>
      <c r="R774" s="228"/>
      <c r="S774" s="228"/>
      <c r="T774" s="228"/>
      <c r="U774" s="191">
        <f t="shared" si="536"/>
        <v>0</v>
      </c>
      <c r="V774" s="86"/>
      <c r="W774" s="45"/>
      <c r="X774" s="46"/>
      <c r="Y774" s="167">
        <f t="shared" si="537"/>
        <v>0</v>
      </c>
      <c r="Z774" s="167">
        <f t="shared" si="538"/>
        <v>0</v>
      </c>
      <c r="AA774" s="167">
        <f t="shared" si="539"/>
        <v>0</v>
      </c>
      <c r="AB774" s="167">
        <f t="shared" si="540"/>
        <v>0</v>
      </c>
      <c r="AC774" s="167">
        <f t="shared" si="541"/>
        <v>0</v>
      </c>
      <c r="AD774" s="167">
        <f t="shared" si="542"/>
        <v>0</v>
      </c>
      <c r="AF774" s="47">
        <f t="shared" si="535"/>
        <v>0</v>
      </c>
    </row>
    <row r="775" spans="1:32" x14ac:dyDescent="0.35">
      <c r="A775" s="269"/>
      <c r="B775" s="83"/>
      <c r="C775" s="83"/>
      <c r="D775" s="85"/>
      <c r="E775" s="83"/>
      <c r="F775" s="83"/>
      <c r="G775" s="43"/>
      <c r="H775" s="233"/>
      <c r="I775" s="42"/>
      <c r="J775" s="42"/>
      <c r="K775" s="42"/>
      <c r="L775" s="44"/>
      <c r="M775" s="44"/>
      <c r="N775" s="44"/>
      <c r="O775" s="44"/>
      <c r="P775" s="44"/>
      <c r="Q775" s="227"/>
      <c r="R775" s="228"/>
      <c r="S775" s="228"/>
      <c r="T775" s="228"/>
      <c r="U775" s="191">
        <f t="shared" si="536"/>
        <v>0</v>
      </c>
      <c r="V775" s="86"/>
      <c r="W775" s="45"/>
      <c r="X775" s="46"/>
      <c r="Y775" s="167">
        <f t="shared" si="537"/>
        <v>0</v>
      </c>
      <c r="Z775" s="167">
        <f t="shared" si="538"/>
        <v>0</v>
      </c>
      <c r="AA775" s="167">
        <f t="shared" si="539"/>
        <v>0</v>
      </c>
      <c r="AB775" s="167">
        <f t="shared" si="540"/>
        <v>0</v>
      </c>
      <c r="AC775" s="167">
        <f t="shared" si="541"/>
        <v>0</v>
      </c>
      <c r="AD775" s="167">
        <f t="shared" si="542"/>
        <v>0</v>
      </c>
      <c r="AF775" s="47">
        <f t="shared" si="535"/>
        <v>0</v>
      </c>
    </row>
    <row r="776" spans="1:32" x14ac:dyDescent="0.35">
      <c r="A776" s="269"/>
      <c r="B776" s="83"/>
      <c r="C776" s="83"/>
      <c r="D776" s="85"/>
      <c r="E776" s="83"/>
      <c r="F776" s="83"/>
      <c r="G776" s="43"/>
      <c r="H776" s="233"/>
      <c r="I776" s="42"/>
      <c r="J776" s="42"/>
      <c r="K776" s="42"/>
      <c r="L776" s="44"/>
      <c r="M776" s="44"/>
      <c r="N776" s="44"/>
      <c r="O776" s="44"/>
      <c r="P776" s="44"/>
      <c r="Q776" s="227"/>
      <c r="R776" s="228"/>
      <c r="S776" s="228"/>
      <c r="T776" s="228"/>
      <c r="U776" s="191">
        <f t="shared" si="536"/>
        <v>0</v>
      </c>
      <c r="V776" s="86"/>
      <c r="W776" s="45"/>
      <c r="X776" s="46"/>
      <c r="Y776" s="167">
        <f t="shared" si="537"/>
        <v>0</v>
      </c>
      <c r="Z776" s="167">
        <f t="shared" si="538"/>
        <v>0</v>
      </c>
      <c r="AA776" s="167">
        <f t="shared" si="539"/>
        <v>0</v>
      </c>
      <c r="AB776" s="167">
        <f t="shared" si="540"/>
        <v>0</v>
      </c>
      <c r="AC776" s="167">
        <f t="shared" si="541"/>
        <v>0</v>
      </c>
      <c r="AD776" s="167">
        <f t="shared" si="542"/>
        <v>0</v>
      </c>
      <c r="AF776" s="47">
        <f t="shared" si="535"/>
        <v>0</v>
      </c>
    </row>
    <row r="777" spans="1:32" x14ac:dyDescent="0.35">
      <c r="A777" s="269"/>
      <c r="B777" s="83"/>
      <c r="C777" s="83"/>
      <c r="D777" s="85"/>
      <c r="E777" s="83"/>
      <c r="F777" s="83"/>
      <c r="G777" s="43"/>
      <c r="H777" s="233"/>
      <c r="I777" s="42"/>
      <c r="J777" s="42"/>
      <c r="K777" s="42"/>
      <c r="L777" s="44"/>
      <c r="M777" s="44"/>
      <c r="N777" s="44"/>
      <c r="O777" s="44"/>
      <c r="P777" s="44"/>
      <c r="Q777" s="227"/>
      <c r="R777" s="228"/>
      <c r="S777" s="228"/>
      <c r="T777" s="228"/>
      <c r="U777" s="191">
        <f t="shared" si="536"/>
        <v>0</v>
      </c>
      <c r="V777" s="86"/>
      <c r="W777" s="45"/>
      <c r="X777" s="46"/>
      <c r="Y777" s="167">
        <f t="shared" si="537"/>
        <v>0</v>
      </c>
      <c r="Z777" s="167">
        <f t="shared" si="538"/>
        <v>0</v>
      </c>
      <c r="AA777" s="167">
        <f t="shared" si="539"/>
        <v>0</v>
      </c>
      <c r="AB777" s="167">
        <f t="shared" si="540"/>
        <v>0</v>
      </c>
      <c r="AC777" s="167">
        <f t="shared" si="541"/>
        <v>0</v>
      </c>
      <c r="AD777" s="167">
        <f t="shared" si="542"/>
        <v>0</v>
      </c>
      <c r="AF777" s="47">
        <f t="shared" si="535"/>
        <v>0</v>
      </c>
    </row>
    <row r="778" spans="1:32" x14ac:dyDescent="0.35">
      <c r="A778" s="269"/>
      <c r="B778" s="83"/>
      <c r="C778" s="83"/>
      <c r="D778" s="85"/>
      <c r="E778" s="83"/>
      <c r="F778" s="83"/>
      <c r="G778" s="43"/>
      <c r="H778" s="233"/>
      <c r="I778" s="42"/>
      <c r="J778" s="42"/>
      <c r="K778" s="42"/>
      <c r="L778" s="44"/>
      <c r="M778" s="44"/>
      <c r="N778" s="44"/>
      <c r="O778" s="44"/>
      <c r="P778" s="44"/>
      <c r="Q778" s="227"/>
      <c r="R778" s="228"/>
      <c r="S778" s="228"/>
      <c r="T778" s="228"/>
      <c r="U778" s="191">
        <f t="shared" si="536"/>
        <v>0</v>
      </c>
      <c r="V778" s="86"/>
      <c r="W778" s="45"/>
      <c r="X778" s="46"/>
      <c r="Y778" s="167">
        <f t="shared" si="537"/>
        <v>0</v>
      </c>
      <c r="Z778" s="167">
        <f t="shared" si="538"/>
        <v>0</v>
      </c>
      <c r="AA778" s="167">
        <f t="shared" si="539"/>
        <v>0</v>
      </c>
      <c r="AB778" s="167">
        <f t="shared" si="540"/>
        <v>0</v>
      </c>
      <c r="AC778" s="167">
        <f t="shared" si="541"/>
        <v>0</v>
      </c>
      <c r="AD778" s="167">
        <f t="shared" si="542"/>
        <v>0</v>
      </c>
      <c r="AF778" s="47">
        <f t="shared" si="535"/>
        <v>0</v>
      </c>
    </row>
    <row r="779" spans="1:32" x14ac:dyDescent="0.35">
      <c r="A779" s="269"/>
      <c r="B779" s="83"/>
      <c r="C779" s="83"/>
      <c r="D779" s="85"/>
      <c r="E779" s="83"/>
      <c r="F779" s="83"/>
      <c r="G779" s="43"/>
      <c r="H779" s="233"/>
      <c r="I779" s="42"/>
      <c r="J779" s="42"/>
      <c r="K779" s="42"/>
      <c r="L779" s="44"/>
      <c r="M779" s="44"/>
      <c r="N779" s="44"/>
      <c r="O779" s="44"/>
      <c r="P779" s="44"/>
      <c r="Q779" s="227"/>
      <c r="R779" s="228"/>
      <c r="S779" s="228"/>
      <c r="T779" s="228"/>
      <c r="U779" s="191">
        <f t="shared" si="536"/>
        <v>0</v>
      </c>
      <c r="V779" s="86"/>
      <c r="W779" s="45"/>
      <c r="X779" s="46"/>
      <c r="Y779" s="167">
        <f t="shared" si="537"/>
        <v>0</v>
      </c>
      <c r="Z779" s="167">
        <f t="shared" si="538"/>
        <v>0</v>
      </c>
      <c r="AA779" s="167">
        <f t="shared" si="539"/>
        <v>0</v>
      </c>
      <c r="AB779" s="167">
        <f t="shared" si="540"/>
        <v>0</v>
      </c>
      <c r="AC779" s="167">
        <f t="shared" si="541"/>
        <v>0</v>
      </c>
      <c r="AD779" s="167">
        <f t="shared" si="542"/>
        <v>0</v>
      </c>
      <c r="AF779" s="47">
        <f t="shared" si="535"/>
        <v>0</v>
      </c>
    </row>
    <row r="780" spans="1:32" x14ac:dyDescent="0.35">
      <c r="A780" s="269"/>
      <c r="B780" s="83"/>
      <c r="C780" s="83"/>
      <c r="D780" s="85"/>
      <c r="E780" s="83"/>
      <c r="F780" s="83"/>
      <c r="G780" s="43"/>
      <c r="H780" s="233"/>
      <c r="I780" s="42"/>
      <c r="J780" s="42"/>
      <c r="K780" s="42"/>
      <c r="L780" s="44"/>
      <c r="M780" s="44"/>
      <c r="N780" s="44"/>
      <c r="O780" s="44"/>
      <c r="P780" s="44"/>
      <c r="Q780" s="227"/>
      <c r="R780" s="228"/>
      <c r="S780" s="228"/>
      <c r="T780" s="228"/>
      <c r="U780" s="191">
        <f t="shared" si="536"/>
        <v>0</v>
      </c>
      <c r="V780" s="86"/>
      <c r="W780" s="45"/>
      <c r="X780" s="46"/>
      <c r="Y780" s="167">
        <f t="shared" si="537"/>
        <v>0</v>
      </c>
      <c r="Z780" s="167">
        <f t="shared" si="538"/>
        <v>0</v>
      </c>
      <c r="AA780" s="167">
        <f t="shared" si="539"/>
        <v>0</v>
      </c>
      <c r="AB780" s="167">
        <f t="shared" si="540"/>
        <v>0</v>
      </c>
      <c r="AC780" s="167">
        <f t="shared" si="541"/>
        <v>0</v>
      </c>
      <c r="AD780" s="167">
        <f t="shared" si="542"/>
        <v>0</v>
      </c>
      <c r="AF780" s="47">
        <f t="shared" si="535"/>
        <v>0</v>
      </c>
    </row>
    <row r="781" spans="1:32" x14ac:dyDescent="0.35">
      <c r="A781" s="269"/>
      <c r="B781" s="83"/>
      <c r="C781" s="83"/>
      <c r="D781" s="85"/>
      <c r="E781" s="83"/>
      <c r="F781" s="83"/>
      <c r="G781" s="43"/>
      <c r="H781" s="233"/>
      <c r="I781" s="42"/>
      <c r="J781" s="42"/>
      <c r="K781" s="42"/>
      <c r="L781" s="44"/>
      <c r="M781" s="44"/>
      <c r="N781" s="44"/>
      <c r="O781" s="44"/>
      <c r="P781" s="44"/>
      <c r="Q781" s="227"/>
      <c r="R781" s="228"/>
      <c r="S781" s="228"/>
      <c r="T781" s="228"/>
      <c r="U781" s="191">
        <f t="shared" si="536"/>
        <v>0</v>
      </c>
      <c r="V781" s="86"/>
      <c r="W781" s="45"/>
      <c r="X781" s="46"/>
      <c r="Y781" s="167">
        <f t="shared" si="537"/>
        <v>0</v>
      </c>
      <c r="Z781" s="167">
        <f t="shared" si="538"/>
        <v>0</v>
      </c>
      <c r="AA781" s="167">
        <f t="shared" si="539"/>
        <v>0</v>
      </c>
      <c r="AB781" s="167">
        <f t="shared" si="540"/>
        <v>0</v>
      </c>
      <c r="AC781" s="167">
        <f t="shared" si="541"/>
        <v>0</v>
      </c>
      <c r="AD781" s="167">
        <f t="shared" si="542"/>
        <v>0</v>
      </c>
      <c r="AF781" s="47">
        <f t="shared" si="535"/>
        <v>0</v>
      </c>
    </row>
    <row r="782" spans="1:32" x14ac:dyDescent="0.35">
      <c r="A782" s="269"/>
      <c r="B782" s="83"/>
      <c r="C782" s="83"/>
      <c r="D782" s="85"/>
      <c r="E782" s="83"/>
      <c r="F782" s="83"/>
      <c r="G782" s="43"/>
      <c r="H782" s="233"/>
      <c r="I782" s="42"/>
      <c r="J782" s="42"/>
      <c r="K782" s="42"/>
      <c r="L782" s="44"/>
      <c r="M782" s="44"/>
      <c r="N782" s="44"/>
      <c r="O782" s="44"/>
      <c r="P782" s="44"/>
      <c r="Q782" s="227"/>
      <c r="R782" s="228"/>
      <c r="S782" s="228"/>
      <c r="T782" s="228"/>
      <c r="U782" s="191">
        <f t="shared" si="536"/>
        <v>0</v>
      </c>
      <c r="V782" s="86"/>
      <c r="W782" s="45"/>
      <c r="X782" s="46"/>
      <c r="Y782" s="167">
        <f t="shared" si="537"/>
        <v>0</v>
      </c>
      <c r="Z782" s="167">
        <f t="shared" si="538"/>
        <v>0</v>
      </c>
      <c r="AA782" s="167">
        <f t="shared" si="539"/>
        <v>0</v>
      </c>
      <c r="AB782" s="167">
        <f t="shared" si="540"/>
        <v>0</v>
      </c>
      <c r="AC782" s="167">
        <f t="shared" si="541"/>
        <v>0</v>
      </c>
      <c r="AD782" s="167">
        <f t="shared" si="542"/>
        <v>0</v>
      </c>
      <c r="AF782" s="47">
        <f t="shared" si="535"/>
        <v>0</v>
      </c>
    </row>
    <row r="783" spans="1:32" x14ac:dyDescent="0.35">
      <c r="A783" s="269"/>
      <c r="B783" s="83"/>
      <c r="C783" s="83"/>
      <c r="D783" s="85"/>
      <c r="E783" s="83"/>
      <c r="F783" s="83"/>
      <c r="G783" s="43"/>
      <c r="H783" s="233"/>
      <c r="I783" s="42"/>
      <c r="J783" s="42"/>
      <c r="K783" s="42"/>
      <c r="L783" s="44"/>
      <c r="M783" s="44"/>
      <c r="N783" s="44"/>
      <c r="O783" s="44"/>
      <c r="P783" s="44"/>
      <c r="Q783" s="227"/>
      <c r="R783" s="228"/>
      <c r="S783" s="228"/>
      <c r="T783" s="228"/>
      <c r="U783" s="191">
        <f t="shared" si="536"/>
        <v>0</v>
      </c>
      <c r="V783" s="86"/>
      <c r="W783" s="45"/>
      <c r="X783" s="46"/>
      <c r="Y783" s="167">
        <f t="shared" si="537"/>
        <v>0</v>
      </c>
      <c r="Z783" s="167">
        <f t="shared" si="538"/>
        <v>0</v>
      </c>
      <c r="AA783" s="167">
        <f t="shared" si="539"/>
        <v>0</v>
      </c>
      <c r="AB783" s="167">
        <f t="shared" si="540"/>
        <v>0</v>
      </c>
      <c r="AC783" s="167">
        <f t="shared" si="541"/>
        <v>0</v>
      </c>
      <c r="AD783" s="167">
        <f t="shared" si="542"/>
        <v>0</v>
      </c>
      <c r="AF783" s="47">
        <f t="shared" si="535"/>
        <v>0</v>
      </c>
    </row>
    <row r="784" spans="1:32" x14ac:dyDescent="0.35">
      <c r="A784" s="269"/>
      <c r="B784" s="83"/>
      <c r="C784" s="83"/>
      <c r="D784" s="85"/>
      <c r="E784" s="83"/>
      <c r="F784" s="83"/>
      <c r="G784" s="43"/>
      <c r="H784" s="233"/>
      <c r="I784" s="42"/>
      <c r="J784" s="42"/>
      <c r="K784" s="42"/>
      <c r="L784" s="44"/>
      <c r="M784" s="44"/>
      <c r="N784" s="44"/>
      <c r="O784" s="44"/>
      <c r="P784" s="44"/>
      <c r="Q784" s="227"/>
      <c r="R784" s="228"/>
      <c r="S784" s="228"/>
      <c r="T784" s="228"/>
      <c r="U784" s="191">
        <f t="shared" si="536"/>
        <v>0</v>
      </c>
      <c r="V784" s="86"/>
      <c r="W784" s="45"/>
      <c r="X784" s="46"/>
      <c r="Y784" s="167">
        <f t="shared" si="537"/>
        <v>0</v>
      </c>
      <c r="Z784" s="167">
        <f t="shared" si="538"/>
        <v>0</v>
      </c>
      <c r="AA784" s="167">
        <f t="shared" si="539"/>
        <v>0</v>
      </c>
      <c r="AB784" s="167">
        <f t="shared" si="540"/>
        <v>0</v>
      </c>
      <c r="AC784" s="167">
        <f t="shared" si="541"/>
        <v>0</v>
      </c>
      <c r="AD784" s="167">
        <f t="shared" si="542"/>
        <v>0</v>
      </c>
      <c r="AF784" s="47">
        <f t="shared" si="535"/>
        <v>0</v>
      </c>
    </row>
    <row r="785" spans="1:32" x14ac:dyDescent="0.35">
      <c r="A785" s="269"/>
      <c r="B785" s="83"/>
      <c r="C785" s="83"/>
      <c r="D785" s="85"/>
      <c r="E785" s="83"/>
      <c r="F785" s="83"/>
      <c r="G785" s="43"/>
      <c r="H785" s="233"/>
      <c r="I785" s="42"/>
      <c r="J785" s="42"/>
      <c r="K785" s="42"/>
      <c r="L785" s="44"/>
      <c r="M785" s="44"/>
      <c r="N785" s="44"/>
      <c r="O785" s="44"/>
      <c r="P785" s="44"/>
      <c r="Q785" s="227"/>
      <c r="R785" s="228"/>
      <c r="S785" s="228"/>
      <c r="T785" s="228"/>
      <c r="U785" s="191">
        <f t="shared" si="536"/>
        <v>0</v>
      </c>
      <c r="V785" s="86"/>
      <c r="W785" s="45"/>
      <c r="X785" s="46"/>
      <c r="Y785" s="167">
        <f t="shared" si="537"/>
        <v>0</v>
      </c>
      <c r="Z785" s="167">
        <f t="shared" si="538"/>
        <v>0</v>
      </c>
      <c r="AA785" s="167">
        <f t="shared" si="539"/>
        <v>0</v>
      </c>
      <c r="AB785" s="167">
        <f t="shared" si="540"/>
        <v>0</v>
      </c>
      <c r="AC785" s="167">
        <f t="shared" si="541"/>
        <v>0</v>
      </c>
      <c r="AD785" s="167">
        <f t="shared" si="542"/>
        <v>0</v>
      </c>
      <c r="AF785" s="47">
        <f t="shared" si="535"/>
        <v>0</v>
      </c>
    </row>
    <row r="786" spans="1:32" x14ac:dyDescent="0.35">
      <c r="A786" s="269"/>
      <c r="B786" s="83"/>
      <c r="C786" s="83"/>
      <c r="D786" s="85"/>
      <c r="E786" s="83"/>
      <c r="F786" s="83"/>
      <c r="G786" s="43"/>
      <c r="H786" s="233"/>
      <c r="I786" s="42"/>
      <c r="J786" s="42"/>
      <c r="K786" s="42"/>
      <c r="L786" s="44"/>
      <c r="M786" s="44"/>
      <c r="N786" s="44"/>
      <c r="O786" s="44"/>
      <c r="P786" s="44"/>
      <c r="Q786" s="227"/>
      <c r="R786" s="228"/>
      <c r="S786" s="228"/>
      <c r="T786" s="228"/>
      <c r="U786" s="191">
        <f t="shared" si="536"/>
        <v>0</v>
      </c>
      <c r="V786" s="86"/>
      <c r="W786" s="45"/>
      <c r="X786" s="46"/>
      <c r="Y786" s="167">
        <f t="shared" si="537"/>
        <v>0</v>
      </c>
      <c r="Z786" s="167">
        <f t="shared" si="538"/>
        <v>0</v>
      </c>
      <c r="AA786" s="167">
        <f t="shared" si="539"/>
        <v>0</v>
      </c>
      <c r="AB786" s="167">
        <f t="shared" si="540"/>
        <v>0</v>
      </c>
      <c r="AC786" s="167">
        <f t="shared" si="541"/>
        <v>0</v>
      </c>
      <c r="AD786" s="167">
        <f t="shared" si="542"/>
        <v>0</v>
      </c>
      <c r="AF786" s="47">
        <f t="shared" si="535"/>
        <v>0</v>
      </c>
    </row>
    <row r="787" spans="1:32" x14ac:dyDescent="0.35">
      <c r="A787" s="269"/>
      <c r="B787" s="83"/>
      <c r="C787" s="83"/>
      <c r="D787" s="85"/>
      <c r="E787" s="83"/>
      <c r="F787" s="83"/>
      <c r="G787" s="43"/>
      <c r="H787" s="233"/>
      <c r="I787" s="42"/>
      <c r="J787" s="42"/>
      <c r="K787" s="42"/>
      <c r="L787" s="44"/>
      <c r="M787" s="44"/>
      <c r="N787" s="44"/>
      <c r="O787" s="44"/>
      <c r="P787" s="44"/>
      <c r="Q787" s="227"/>
      <c r="R787" s="228"/>
      <c r="S787" s="228"/>
      <c r="T787" s="228"/>
      <c r="U787" s="191">
        <f t="shared" si="536"/>
        <v>0</v>
      </c>
      <c r="V787" s="86"/>
      <c r="W787" s="45"/>
      <c r="X787" s="46"/>
      <c r="Y787" s="167">
        <f t="shared" si="537"/>
        <v>0</v>
      </c>
      <c r="Z787" s="167">
        <f t="shared" si="538"/>
        <v>0</v>
      </c>
      <c r="AA787" s="167">
        <f t="shared" si="539"/>
        <v>0</v>
      </c>
      <c r="AB787" s="167">
        <f t="shared" si="540"/>
        <v>0</v>
      </c>
      <c r="AC787" s="167">
        <f t="shared" si="541"/>
        <v>0</v>
      </c>
      <c r="AD787" s="167">
        <f t="shared" si="542"/>
        <v>0</v>
      </c>
      <c r="AF787" s="47">
        <f t="shared" si="535"/>
        <v>0</v>
      </c>
    </row>
    <row r="788" spans="1:32" x14ac:dyDescent="0.35">
      <c r="A788" s="269"/>
      <c r="B788" s="83"/>
      <c r="C788" s="83"/>
      <c r="D788" s="85"/>
      <c r="E788" s="83"/>
      <c r="F788" s="83"/>
      <c r="G788" s="43"/>
      <c r="H788" s="233"/>
      <c r="I788" s="42"/>
      <c r="J788" s="42"/>
      <c r="K788" s="42"/>
      <c r="L788" s="44"/>
      <c r="M788" s="44"/>
      <c r="N788" s="44"/>
      <c r="O788" s="44"/>
      <c r="P788" s="44"/>
      <c r="Q788" s="227"/>
      <c r="R788" s="228"/>
      <c r="S788" s="228"/>
      <c r="T788" s="228"/>
      <c r="U788" s="191">
        <f t="shared" si="536"/>
        <v>0</v>
      </c>
      <c r="V788" s="86"/>
      <c r="W788" s="45"/>
      <c r="X788" s="46"/>
      <c r="Y788" s="167">
        <f t="shared" si="537"/>
        <v>0</v>
      </c>
      <c r="Z788" s="167">
        <f t="shared" si="538"/>
        <v>0</v>
      </c>
      <c r="AA788" s="167">
        <f t="shared" si="539"/>
        <v>0</v>
      </c>
      <c r="AB788" s="167">
        <f t="shared" si="540"/>
        <v>0</v>
      </c>
      <c r="AC788" s="167">
        <f t="shared" si="541"/>
        <v>0</v>
      </c>
      <c r="AD788" s="167">
        <f t="shared" si="542"/>
        <v>0</v>
      </c>
      <c r="AF788" s="47">
        <f t="shared" ref="AF788:AF851" si="543">IF(S788&lt;&gt;"",1,0)</f>
        <v>0</v>
      </c>
    </row>
    <row r="789" spans="1:32" x14ac:dyDescent="0.35">
      <c r="A789" s="269"/>
      <c r="B789" s="83"/>
      <c r="C789" s="83"/>
      <c r="D789" s="85"/>
      <c r="E789" s="83"/>
      <c r="F789" s="83"/>
      <c r="G789" s="43"/>
      <c r="H789" s="233"/>
      <c r="I789" s="42"/>
      <c r="J789" s="42"/>
      <c r="K789" s="42"/>
      <c r="L789" s="44"/>
      <c r="M789" s="44"/>
      <c r="N789" s="44"/>
      <c r="O789" s="44"/>
      <c r="P789" s="44"/>
      <c r="Q789" s="227"/>
      <c r="R789" s="228"/>
      <c r="S789" s="228"/>
      <c r="T789" s="228"/>
      <c r="U789" s="191">
        <f t="shared" si="536"/>
        <v>0</v>
      </c>
      <c r="V789" s="86"/>
      <c r="W789" s="45"/>
      <c r="X789" s="46"/>
      <c r="Y789" s="167">
        <f t="shared" si="537"/>
        <v>0</v>
      </c>
      <c r="Z789" s="167">
        <f t="shared" si="538"/>
        <v>0</v>
      </c>
      <c r="AA789" s="167">
        <f t="shared" si="539"/>
        <v>0</v>
      </c>
      <c r="AB789" s="167">
        <f t="shared" si="540"/>
        <v>0</v>
      </c>
      <c r="AC789" s="167">
        <f t="shared" si="541"/>
        <v>0</v>
      </c>
      <c r="AD789" s="167">
        <f t="shared" si="542"/>
        <v>0</v>
      </c>
      <c r="AF789" s="47">
        <f t="shared" si="543"/>
        <v>0</v>
      </c>
    </row>
    <row r="790" spans="1:32" x14ac:dyDescent="0.35">
      <c r="A790" s="269"/>
      <c r="B790" s="83"/>
      <c r="C790" s="83"/>
      <c r="D790" s="85"/>
      <c r="E790" s="83"/>
      <c r="F790" s="83"/>
      <c r="G790" s="43"/>
      <c r="H790" s="233"/>
      <c r="I790" s="42"/>
      <c r="J790" s="42"/>
      <c r="K790" s="42"/>
      <c r="L790" s="44"/>
      <c r="M790" s="44"/>
      <c r="N790" s="44"/>
      <c r="O790" s="44"/>
      <c r="P790" s="44"/>
      <c r="Q790" s="227"/>
      <c r="R790" s="228"/>
      <c r="S790" s="228"/>
      <c r="T790" s="228"/>
      <c r="U790" s="191">
        <f t="shared" si="536"/>
        <v>0</v>
      </c>
      <c r="V790" s="86"/>
      <c r="W790" s="45"/>
      <c r="X790" s="46"/>
      <c r="Y790" s="167">
        <f t="shared" si="537"/>
        <v>0</v>
      </c>
      <c r="Z790" s="167">
        <f t="shared" si="538"/>
        <v>0</v>
      </c>
      <c r="AA790" s="167">
        <f t="shared" si="539"/>
        <v>0</v>
      </c>
      <c r="AB790" s="167">
        <f t="shared" si="540"/>
        <v>0</v>
      </c>
      <c r="AC790" s="167">
        <f t="shared" si="541"/>
        <v>0</v>
      </c>
      <c r="AD790" s="167">
        <f t="shared" si="542"/>
        <v>0</v>
      </c>
      <c r="AF790" s="47">
        <f t="shared" si="543"/>
        <v>0</v>
      </c>
    </row>
    <row r="791" spans="1:32" x14ac:dyDescent="0.35">
      <c r="A791" s="269"/>
      <c r="B791" s="83"/>
      <c r="C791" s="83"/>
      <c r="D791" s="85"/>
      <c r="E791" s="83"/>
      <c r="F791" s="83"/>
      <c r="G791" s="43"/>
      <c r="H791" s="233"/>
      <c r="I791" s="42"/>
      <c r="J791" s="42"/>
      <c r="K791" s="42"/>
      <c r="L791" s="44"/>
      <c r="M791" s="44"/>
      <c r="N791" s="44"/>
      <c r="O791" s="44"/>
      <c r="P791" s="44"/>
      <c r="Q791" s="227"/>
      <c r="R791" s="228"/>
      <c r="S791" s="228"/>
      <c r="T791" s="228"/>
      <c r="U791" s="191">
        <f t="shared" si="536"/>
        <v>0</v>
      </c>
      <c r="V791" s="86"/>
      <c r="W791" s="45"/>
      <c r="X791" s="46"/>
      <c r="Y791" s="167">
        <f t="shared" si="537"/>
        <v>0</v>
      </c>
      <c r="Z791" s="167">
        <f t="shared" si="538"/>
        <v>0</v>
      </c>
      <c r="AA791" s="167">
        <f t="shared" si="539"/>
        <v>0</v>
      </c>
      <c r="AB791" s="167">
        <f t="shared" si="540"/>
        <v>0</v>
      </c>
      <c r="AC791" s="167">
        <f t="shared" si="541"/>
        <v>0</v>
      </c>
      <c r="AD791" s="167">
        <f t="shared" si="542"/>
        <v>0</v>
      </c>
      <c r="AF791" s="47">
        <f t="shared" si="543"/>
        <v>0</v>
      </c>
    </row>
    <row r="792" spans="1:32" x14ac:dyDescent="0.35">
      <c r="A792" s="269"/>
      <c r="B792" s="83"/>
      <c r="C792" s="83"/>
      <c r="D792" s="85"/>
      <c r="E792" s="83"/>
      <c r="F792" s="83"/>
      <c r="G792" s="43"/>
      <c r="H792" s="233"/>
      <c r="I792" s="42"/>
      <c r="J792" s="42"/>
      <c r="K792" s="42"/>
      <c r="L792" s="44"/>
      <c r="M792" s="44"/>
      <c r="N792" s="44"/>
      <c r="O792" s="44"/>
      <c r="P792" s="44"/>
      <c r="Q792" s="227"/>
      <c r="R792" s="228"/>
      <c r="S792" s="228"/>
      <c r="T792" s="228"/>
      <c r="U792" s="191">
        <f t="shared" si="536"/>
        <v>0</v>
      </c>
      <c r="V792" s="86"/>
      <c r="W792" s="45"/>
      <c r="X792" s="46"/>
      <c r="Y792" s="167">
        <f t="shared" si="537"/>
        <v>0</v>
      </c>
      <c r="Z792" s="167">
        <f t="shared" si="538"/>
        <v>0</v>
      </c>
      <c r="AA792" s="167">
        <f t="shared" si="539"/>
        <v>0</v>
      </c>
      <c r="AB792" s="167">
        <f t="shared" si="540"/>
        <v>0</v>
      </c>
      <c r="AC792" s="167">
        <f t="shared" si="541"/>
        <v>0</v>
      </c>
      <c r="AD792" s="167">
        <f t="shared" si="542"/>
        <v>0</v>
      </c>
      <c r="AF792" s="47">
        <f t="shared" si="543"/>
        <v>0</v>
      </c>
    </row>
    <row r="793" spans="1:32" x14ac:dyDescent="0.35">
      <c r="A793" s="269"/>
      <c r="B793" s="83"/>
      <c r="C793" s="83"/>
      <c r="D793" s="85"/>
      <c r="E793" s="83"/>
      <c r="F793" s="83"/>
      <c r="G793" s="43"/>
      <c r="H793" s="233"/>
      <c r="I793" s="42"/>
      <c r="J793" s="42"/>
      <c r="K793" s="42"/>
      <c r="L793" s="44"/>
      <c r="M793" s="44"/>
      <c r="N793" s="44"/>
      <c r="O793" s="44"/>
      <c r="P793" s="44"/>
      <c r="Q793" s="227"/>
      <c r="R793" s="228"/>
      <c r="S793" s="228"/>
      <c r="T793" s="228"/>
      <c r="U793" s="191">
        <f t="shared" si="536"/>
        <v>0</v>
      </c>
      <c r="V793" s="86"/>
      <c r="W793" s="45"/>
      <c r="X793" s="46"/>
      <c r="Y793" s="167">
        <f t="shared" si="537"/>
        <v>0</v>
      </c>
      <c r="Z793" s="167">
        <f t="shared" si="538"/>
        <v>0</v>
      </c>
      <c r="AA793" s="167">
        <f t="shared" si="539"/>
        <v>0</v>
      </c>
      <c r="AB793" s="167">
        <f t="shared" si="540"/>
        <v>0</v>
      </c>
      <c r="AC793" s="167">
        <f t="shared" si="541"/>
        <v>0</v>
      </c>
      <c r="AD793" s="167">
        <f t="shared" si="542"/>
        <v>0</v>
      </c>
      <c r="AF793" s="47">
        <f t="shared" si="543"/>
        <v>0</v>
      </c>
    </row>
    <row r="794" spans="1:32" x14ac:dyDescent="0.35">
      <c r="A794" s="269"/>
      <c r="B794" s="83"/>
      <c r="C794" s="83"/>
      <c r="D794" s="85"/>
      <c r="E794" s="83"/>
      <c r="F794" s="83"/>
      <c r="G794" s="43"/>
      <c r="H794" s="233"/>
      <c r="I794" s="42"/>
      <c r="J794" s="42"/>
      <c r="K794" s="42"/>
      <c r="L794" s="44"/>
      <c r="M794" s="44"/>
      <c r="N794" s="44"/>
      <c r="O794" s="44"/>
      <c r="P794" s="44"/>
      <c r="Q794" s="227"/>
      <c r="R794" s="228"/>
      <c r="S794" s="228"/>
      <c r="T794" s="228"/>
      <c r="U794" s="191">
        <f t="shared" si="536"/>
        <v>0</v>
      </c>
      <c r="V794" s="86"/>
      <c r="W794" s="45"/>
      <c r="X794" s="46"/>
      <c r="Y794" s="167">
        <f t="shared" si="537"/>
        <v>0</v>
      </c>
      <c r="Z794" s="167">
        <f t="shared" si="538"/>
        <v>0</v>
      </c>
      <c r="AA794" s="167">
        <f t="shared" si="539"/>
        <v>0</v>
      </c>
      <c r="AB794" s="167">
        <f t="shared" si="540"/>
        <v>0</v>
      </c>
      <c r="AC794" s="167">
        <f t="shared" si="541"/>
        <v>0</v>
      </c>
      <c r="AD794" s="167">
        <f t="shared" si="542"/>
        <v>0</v>
      </c>
      <c r="AF794" s="47">
        <f t="shared" si="543"/>
        <v>0</v>
      </c>
    </row>
    <row r="795" spans="1:32" x14ac:dyDescent="0.35">
      <c r="A795" s="269"/>
      <c r="B795" s="83"/>
      <c r="C795" s="83"/>
      <c r="D795" s="85"/>
      <c r="E795" s="83"/>
      <c r="F795" s="83"/>
      <c r="G795" s="43"/>
      <c r="H795" s="233"/>
      <c r="I795" s="42"/>
      <c r="J795" s="42"/>
      <c r="K795" s="42"/>
      <c r="L795" s="44"/>
      <c r="M795" s="44"/>
      <c r="N795" s="44"/>
      <c r="O795" s="44"/>
      <c r="P795" s="44"/>
      <c r="Q795" s="227"/>
      <c r="R795" s="228"/>
      <c r="S795" s="228"/>
      <c r="T795" s="228"/>
      <c r="U795" s="191">
        <f t="shared" si="536"/>
        <v>0</v>
      </c>
      <c r="V795" s="86"/>
      <c r="W795" s="45"/>
      <c r="X795" s="46"/>
      <c r="Y795" s="167">
        <f t="shared" si="537"/>
        <v>0</v>
      </c>
      <c r="Z795" s="167">
        <f t="shared" si="538"/>
        <v>0</v>
      </c>
      <c r="AA795" s="167">
        <f t="shared" si="539"/>
        <v>0</v>
      </c>
      <c r="AB795" s="167">
        <f t="shared" si="540"/>
        <v>0</v>
      </c>
      <c r="AC795" s="167">
        <f t="shared" si="541"/>
        <v>0</v>
      </c>
      <c r="AD795" s="167">
        <f t="shared" si="542"/>
        <v>0</v>
      </c>
      <c r="AF795" s="47">
        <f t="shared" si="543"/>
        <v>0</v>
      </c>
    </row>
    <row r="796" spans="1:32" x14ac:dyDescent="0.35">
      <c r="A796" s="269"/>
      <c r="B796" s="83"/>
      <c r="C796" s="83"/>
      <c r="D796" s="85"/>
      <c r="E796" s="83"/>
      <c r="F796" s="83"/>
      <c r="G796" s="43"/>
      <c r="H796" s="233"/>
      <c r="I796" s="42"/>
      <c r="J796" s="42"/>
      <c r="K796" s="42"/>
      <c r="L796" s="44"/>
      <c r="M796" s="44"/>
      <c r="N796" s="44"/>
      <c r="O796" s="44"/>
      <c r="P796" s="44"/>
      <c r="Q796" s="227"/>
      <c r="R796" s="228"/>
      <c r="S796" s="228"/>
      <c r="T796" s="228"/>
      <c r="U796" s="191">
        <f t="shared" si="536"/>
        <v>0</v>
      </c>
      <c r="V796" s="86"/>
      <c r="W796" s="45"/>
      <c r="X796" s="46"/>
      <c r="Y796" s="167">
        <f t="shared" si="537"/>
        <v>0</v>
      </c>
      <c r="Z796" s="167">
        <f t="shared" si="538"/>
        <v>0</v>
      </c>
      <c r="AA796" s="167">
        <f t="shared" si="539"/>
        <v>0</v>
      </c>
      <c r="AB796" s="167">
        <f t="shared" si="540"/>
        <v>0</v>
      </c>
      <c r="AC796" s="167">
        <f t="shared" si="541"/>
        <v>0</v>
      </c>
      <c r="AD796" s="167">
        <f t="shared" si="542"/>
        <v>0</v>
      </c>
      <c r="AF796" s="47">
        <f t="shared" si="543"/>
        <v>0</v>
      </c>
    </row>
    <row r="797" spans="1:32" x14ac:dyDescent="0.35">
      <c r="A797" s="269"/>
      <c r="B797" s="83"/>
      <c r="C797" s="83"/>
      <c r="D797" s="85"/>
      <c r="E797" s="83"/>
      <c r="F797" s="83"/>
      <c r="G797" s="43"/>
      <c r="H797" s="233"/>
      <c r="I797" s="42"/>
      <c r="J797" s="42"/>
      <c r="K797" s="42"/>
      <c r="L797" s="44"/>
      <c r="M797" s="44"/>
      <c r="N797" s="44"/>
      <c r="O797" s="44"/>
      <c r="P797" s="44"/>
      <c r="Q797" s="227"/>
      <c r="R797" s="228"/>
      <c r="S797" s="228"/>
      <c r="T797" s="228"/>
      <c r="U797" s="191">
        <f t="shared" si="536"/>
        <v>0</v>
      </c>
      <c r="V797" s="86"/>
      <c r="W797" s="45"/>
      <c r="X797" s="46"/>
      <c r="Y797" s="167">
        <f t="shared" si="537"/>
        <v>0</v>
      </c>
      <c r="Z797" s="167">
        <f t="shared" si="538"/>
        <v>0</v>
      </c>
      <c r="AA797" s="167">
        <f t="shared" si="539"/>
        <v>0</v>
      </c>
      <c r="AB797" s="167">
        <f t="shared" si="540"/>
        <v>0</v>
      </c>
      <c r="AC797" s="167">
        <f t="shared" si="541"/>
        <v>0</v>
      </c>
      <c r="AD797" s="167">
        <f t="shared" si="542"/>
        <v>0</v>
      </c>
      <c r="AF797" s="47">
        <f t="shared" si="543"/>
        <v>0</v>
      </c>
    </row>
    <row r="798" spans="1:32" x14ac:dyDescent="0.35">
      <c r="A798" s="269"/>
      <c r="B798" s="83"/>
      <c r="C798" s="83"/>
      <c r="D798" s="85"/>
      <c r="E798" s="83"/>
      <c r="F798" s="83"/>
      <c r="G798" s="43"/>
      <c r="H798" s="233"/>
      <c r="I798" s="42"/>
      <c r="J798" s="42"/>
      <c r="K798" s="42"/>
      <c r="L798" s="44"/>
      <c r="M798" s="44"/>
      <c r="N798" s="44"/>
      <c r="O798" s="44"/>
      <c r="P798" s="44"/>
      <c r="Q798" s="227"/>
      <c r="R798" s="228"/>
      <c r="S798" s="228"/>
      <c r="T798" s="228"/>
      <c r="U798" s="191">
        <f t="shared" si="536"/>
        <v>0</v>
      </c>
      <c r="V798" s="86"/>
      <c r="W798" s="45"/>
      <c r="X798" s="46"/>
      <c r="Y798" s="167">
        <f t="shared" si="537"/>
        <v>0</v>
      </c>
      <c r="Z798" s="167">
        <f t="shared" si="538"/>
        <v>0</v>
      </c>
      <c r="AA798" s="167">
        <f t="shared" si="539"/>
        <v>0</v>
      </c>
      <c r="AB798" s="167">
        <f t="shared" si="540"/>
        <v>0</v>
      </c>
      <c r="AC798" s="167">
        <f t="shared" si="541"/>
        <v>0</v>
      </c>
      <c r="AD798" s="167">
        <f t="shared" si="542"/>
        <v>0</v>
      </c>
      <c r="AF798" s="47">
        <f t="shared" si="543"/>
        <v>0</v>
      </c>
    </row>
    <row r="799" spans="1:32" x14ac:dyDescent="0.35">
      <c r="A799" s="269"/>
      <c r="B799" s="83"/>
      <c r="C799" s="83"/>
      <c r="D799" s="85"/>
      <c r="E799" s="83"/>
      <c r="F799" s="83"/>
      <c r="G799" s="43"/>
      <c r="H799" s="233"/>
      <c r="I799" s="42"/>
      <c r="J799" s="42"/>
      <c r="K799" s="42"/>
      <c r="L799" s="44"/>
      <c r="M799" s="44"/>
      <c r="N799" s="44"/>
      <c r="O799" s="44"/>
      <c r="P799" s="44"/>
      <c r="Q799" s="227"/>
      <c r="R799" s="228"/>
      <c r="S799" s="228"/>
      <c r="T799" s="228"/>
      <c r="U799" s="191">
        <f t="shared" si="536"/>
        <v>0</v>
      </c>
      <c r="V799" s="86"/>
      <c r="W799" s="45"/>
      <c r="X799" s="46"/>
      <c r="Y799" s="167">
        <f t="shared" si="537"/>
        <v>0</v>
      </c>
      <c r="Z799" s="167">
        <f t="shared" si="538"/>
        <v>0</v>
      </c>
      <c r="AA799" s="167">
        <f t="shared" si="539"/>
        <v>0</v>
      </c>
      <c r="AB799" s="167">
        <f t="shared" si="540"/>
        <v>0</v>
      </c>
      <c r="AC799" s="167">
        <f t="shared" si="541"/>
        <v>0</v>
      </c>
      <c r="AD799" s="167">
        <f t="shared" si="542"/>
        <v>0</v>
      </c>
      <c r="AF799" s="47">
        <f t="shared" si="543"/>
        <v>0</v>
      </c>
    </row>
    <row r="800" spans="1:32" x14ac:dyDescent="0.35">
      <c r="A800" s="269"/>
      <c r="B800" s="83"/>
      <c r="C800" s="83"/>
      <c r="D800" s="85"/>
      <c r="E800" s="83"/>
      <c r="F800" s="83"/>
      <c r="G800" s="43"/>
      <c r="H800" s="233"/>
      <c r="I800" s="42"/>
      <c r="J800" s="42"/>
      <c r="K800" s="42"/>
      <c r="L800" s="44"/>
      <c r="M800" s="44"/>
      <c r="N800" s="44"/>
      <c r="O800" s="44"/>
      <c r="P800" s="44"/>
      <c r="Q800" s="227"/>
      <c r="R800" s="228"/>
      <c r="S800" s="228"/>
      <c r="T800" s="228"/>
      <c r="U800" s="191">
        <f t="shared" si="536"/>
        <v>0</v>
      </c>
      <c r="V800" s="86"/>
      <c r="W800" s="45"/>
      <c r="X800" s="46"/>
      <c r="Y800" s="167">
        <f t="shared" si="537"/>
        <v>0</v>
      </c>
      <c r="Z800" s="167">
        <f t="shared" si="538"/>
        <v>0</v>
      </c>
      <c r="AA800" s="167">
        <f t="shared" si="539"/>
        <v>0</v>
      </c>
      <c r="AB800" s="167">
        <f t="shared" si="540"/>
        <v>0</v>
      </c>
      <c r="AC800" s="167">
        <f t="shared" si="541"/>
        <v>0</v>
      </c>
      <c r="AD800" s="167">
        <f t="shared" si="542"/>
        <v>0</v>
      </c>
      <c r="AF800" s="47">
        <f t="shared" si="543"/>
        <v>0</v>
      </c>
    </row>
    <row r="801" spans="1:32" x14ac:dyDescent="0.35">
      <c r="A801" s="269"/>
      <c r="B801" s="83"/>
      <c r="C801" s="83"/>
      <c r="D801" s="85"/>
      <c r="E801" s="83"/>
      <c r="F801" s="83"/>
      <c r="G801" s="43"/>
      <c r="H801" s="233"/>
      <c r="I801" s="42"/>
      <c r="J801" s="42"/>
      <c r="K801" s="42"/>
      <c r="L801" s="44"/>
      <c r="M801" s="44"/>
      <c r="N801" s="44"/>
      <c r="O801" s="44"/>
      <c r="P801" s="44"/>
      <c r="Q801" s="227"/>
      <c r="R801" s="228"/>
      <c r="S801" s="228"/>
      <c r="T801" s="228"/>
      <c r="U801" s="191">
        <f t="shared" si="536"/>
        <v>0</v>
      </c>
      <c r="V801" s="86"/>
      <c r="W801" s="45"/>
      <c r="X801" s="46"/>
      <c r="Y801" s="167">
        <f t="shared" si="537"/>
        <v>0</v>
      </c>
      <c r="Z801" s="167">
        <f t="shared" si="538"/>
        <v>0</v>
      </c>
      <c r="AA801" s="167">
        <f t="shared" si="539"/>
        <v>0</v>
      </c>
      <c r="AB801" s="167">
        <f t="shared" si="540"/>
        <v>0</v>
      </c>
      <c r="AC801" s="167">
        <f t="shared" si="541"/>
        <v>0</v>
      </c>
      <c r="AD801" s="167">
        <f t="shared" si="542"/>
        <v>0</v>
      </c>
      <c r="AF801" s="47">
        <f t="shared" si="543"/>
        <v>0</v>
      </c>
    </row>
    <row r="802" spans="1:32" x14ac:dyDescent="0.35">
      <c r="A802" s="269"/>
      <c r="B802" s="83"/>
      <c r="C802" s="83"/>
      <c r="D802" s="85"/>
      <c r="E802" s="83"/>
      <c r="F802" s="83"/>
      <c r="G802" s="43"/>
      <c r="H802" s="233"/>
      <c r="I802" s="42"/>
      <c r="J802" s="42"/>
      <c r="K802" s="42"/>
      <c r="L802" s="44"/>
      <c r="M802" s="44"/>
      <c r="N802" s="44"/>
      <c r="O802" s="44"/>
      <c r="P802" s="44"/>
      <c r="Q802" s="227"/>
      <c r="R802" s="228"/>
      <c r="S802" s="228"/>
      <c r="T802" s="228"/>
      <c r="U802" s="191">
        <f t="shared" si="536"/>
        <v>0</v>
      </c>
      <c r="V802" s="86"/>
      <c r="W802" s="45"/>
      <c r="X802" s="46"/>
      <c r="Y802" s="167">
        <f t="shared" si="537"/>
        <v>0</v>
      </c>
      <c r="Z802" s="167">
        <f t="shared" si="538"/>
        <v>0</v>
      </c>
      <c r="AA802" s="167">
        <f t="shared" si="539"/>
        <v>0</v>
      </c>
      <c r="AB802" s="167">
        <f t="shared" si="540"/>
        <v>0</v>
      </c>
      <c r="AC802" s="167">
        <f t="shared" si="541"/>
        <v>0</v>
      </c>
      <c r="AD802" s="167">
        <f t="shared" si="542"/>
        <v>0</v>
      </c>
      <c r="AF802" s="47">
        <f t="shared" si="543"/>
        <v>0</v>
      </c>
    </row>
    <row r="803" spans="1:32" x14ac:dyDescent="0.35">
      <c r="A803" s="269"/>
      <c r="B803" s="83"/>
      <c r="C803" s="83"/>
      <c r="D803" s="85"/>
      <c r="E803" s="83"/>
      <c r="F803" s="83"/>
      <c r="G803" s="43"/>
      <c r="H803" s="233"/>
      <c r="I803" s="42"/>
      <c r="J803" s="42"/>
      <c r="K803" s="42"/>
      <c r="L803" s="44"/>
      <c r="M803" s="44"/>
      <c r="N803" s="44"/>
      <c r="O803" s="44"/>
      <c r="P803" s="44"/>
      <c r="Q803" s="227"/>
      <c r="R803" s="228"/>
      <c r="S803" s="228"/>
      <c r="T803" s="228"/>
      <c r="U803" s="191">
        <f t="shared" si="536"/>
        <v>0</v>
      </c>
      <c r="V803" s="86"/>
      <c r="W803" s="45"/>
      <c r="X803" s="46"/>
      <c r="Y803" s="167">
        <f t="shared" si="537"/>
        <v>0</v>
      </c>
      <c r="Z803" s="167">
        <f t="shared" si="538"/>
        <v>0</v>
      </c>
      <c r="AA803" s="167">
        <f t="shared" si="539"/>
        <v>0</v>
      </c>
      <c r="AB803" s="167">
        <f t="shared" si="540"/>
        <v>0</v>
      </c>
      <c r="AC803" s="167">
        <f t="shared" si="541"/>
        <v>0</v>
      </c>
      <c r="AD803" s="167">
        <f t="shared" si="542"/>
        <v>0</v>
      </c>
      <c r="AF803" s="47">
        <f t="shared" si="543"/>
        <v>0</v>
      </c>
    </row>
    <row r="804" spans="1:32" x14ac:dyDescent="0.35">
      <c r="A804" s="269"/>
      <c r="B804" s="83"/>
      <c r="C804" s="83"/>
      <c r="D804" s="85"/>
      <c r="E804" s="83"/>
      <c r="F804" s="83"/>
      <c r="G804" s="43"/>
      <c r="H804" s="233"/>
      <c r="I804" s="42"/>
      <c r="J804" s="42"/>
      <c r="K804" s="42"/>
      <c r="L804" s="44"/>
      <c r="M804" s="44"/>
      <c r="N804" s="44"/>
      <c r="O804" s="44"/>
      <c r="P804" s="44"/>
      <c r="Q804" s="227"/>
      <c r="R804" s="228"/>
      <c r="S804" s="228"/>
      <c r="T804" s="228"/>
      <c r="U804" s="191">
        <f t="shared" si="536"/>
        <v>0</v>
      </c>
      <c r="V804" s="86"/>
      <c r="W804" s="45"/>
      <c r="X804" s="46"/>
      <c r="Y804" s="167">
        <f t="shared" si="537"/>
        <v>0</v>
      </c>
      <c r="Z804" s="167">
        <f t="shared" si="538"/>
        <v>0</v>
      </c>
      <c r="AA804" s="167">
        <f t="shared" si="539"/>
        <v>0</v>
      </c>
      <c r="AB804" s="167">
        <f t="shared" si="540"/>
        <v>0</v>
      </c>
      <c r="AC804" s="167">
        <f t="shared" si="541"/>
        <v>0</v>
      </c>
      <c r="AD804" s="167">
        <f t="shared" si="542"/>
        <v>0</v>
      </c>
      <c r="AF804" s="47">
        <f t="shared" si="543"/>
        <v>0</v>
      </c>
    </row>
    <row r="805" spans="1:32" x14ac:dyDescent="0.35">
      <c r="A805" s="269"/>
      <c r="B805" s="83"/>
      <c r="C805" s="83"/>
      <c r="D805" s="85"/>
      <c r="E805" s="83"/>
      <c r="F805" s="83"/>
      <c r="G805" s="43"/>
      <c r="H805" s="233"/>
      <c r="I805" s="42"/>
      <c r="J805" s="42"/>
      <c r="K805" s="42"/>
      <c r="L805" s="44"/>
      <c r="M805" s="44"/>
      <c r="N805" s="44"/>
      <c r="O805" s="44"/>
      <c r="P805" s="44"/>
      <c r="Q805" s="227"/>
      <c r="R805" s="228"/>
      <c r="S805" s="228"/>
      <c r="T805" s="228"/>
      <c r="U805" s="191">
        <f t="shared" si="536"/>
        <v>0</v>
      </c>
      <c r="V805" s="86"/>
      <c r="W805" s="45"/>
      <c r="X805" s="46"/>
      <c r="Y805" s="167">
        <f t="shared" si="537"/>
        <v>0</v>
      </c>
      <c r="Z805" s="167">
        <f t="shared" si="538"/>
        <v>0</v>
      </c>
      <c r="AA805" s="167">
        <f t="shared" si="539"/>
        <v>0</v>
      </c>
      <c r="AB805" s="167">
        <f t="shared" si="540"/>
        <v>0</v>
      </c>
      <c r="AC805" s="167">
        <f t="shared" si="541"/>
        <v>0</v>
      </c>
      <c r="AD805" s="167">
        <f t="shared" si="542"/>
        <v>0</v>
      </c>
      <c r="AF805" s="47">
        <f t="shared" si="543"/>
        <v>0</v>
      </c>
    </row>
    <row r="806" spans="1:32" x14ac:dyDescent="0.35">
      <c r="A806" s="269"/>
      <c r="B806" s="83"/>
      <c r="C806" s="83"/>
      <c r="D806" s="85"/>
      <c r="E806" s="83"/>
      <c r="F806" s="83"/>
      <c r="G806" s="43"/>
      <c r="H806" s="233"/>
      <c r="I806" s="42"/>
      <c r="J806" s="42"/>
      <c r="K806" s="42"/>
      <c r="L806" s="44"/>
      <c r="M806" s="44"/>
      <c r="N806" s="44"/>
      <c r="O806" s="44"/>
      <c r="P806" s="44"/>
      <c r="Q806" s="227"/>
      <c r="R806" s="228"/>
      <c r="S806" s="228"/>
      <c r="T806" s="228"/>
      <c r="U806" s="191">
        <f t="shared" si="536"/>
        <v>0</v>
      </c>
      <c r="V806" s="86"/>
      <c r="W806" s="45"/>
      <c r="X806" s="46"/>
      <c r="Y806" s="167">
        <f t="shared" si="537"/>
        <v>0</v>
      </c>
      <c r="Z806" s="167">
        <f t="shared" si="538"/>
        <v>0</v>
      </c>
      <c r="AA806" s="167">
        <f t="shared" si="539"/>
        <v>0</v>
      </c>
      <c r="AB806" s="167">
        <f t="shared" si="540"/>
        <v>0</v>
      </c>
      <c r="AC806" s="167">
        <f t="shared" si="541"/>
        <v>0</v>
      </c>
      <c r="AD806" s="167">
        <f t="shared" si="542"/>
        <v>0</v>
      </c>
      <c r="AF806" s="47">
        <f t="shared" si="543"/>
        <v>0</v>
      </c>
    </row>
    <row r="807" spans="1:32" x14ac:dyDescent="0.35">
      <c r="A807" s="269"/>
      <c r="B807" s="83"/>
      <c r="C807" s="83"/>
      <c r="D807" s="85"/>
      <c r="E807" s="83"/>
      <c r="F807" s="83"/>
      <c r="G807" s="43"/>
      <c r="H807" s="233"/>
      <c r="I807" s="42"/>
      <c r="J807" s="42"/>
      <c r="K807" s="42"/>
      <c r="L807" s="44"/>
      <c r="M807" s="44"/>
      <c r="N807" s="44"/>
      <c r="O807" s="44"/>
      <c r="P807" s="44"/>
      <c r="Q807" s="227"/>
      <c r="R807" s="228"/>
      <c r="S807" s="228"/>
      <c r="T807" s="228"/>
      <c r="U807" s="191">
        <f t="shared" si="536"/>
        <v>0</v>
      </c>
      <c r="V807" s="86"/>
      <c r="W807" s="45"/>
      <c r="X807" s="46"/>
      <c r="Y807" s="167">
        <f t="shared" si="537"/>
        <v>0</v>
      </c>
      <c r="Z807" s="167">
        <f t="shared" si="538"/>
        <v>0</v>
      </c>
      <c r="AA807" s="167">
        <f t="shared" si="539"/>
        <v>0</v>
      </c>
      <c r="AB807" s="167">
        <f t="shared" si="540"/>
        <v>0</v>
      </c>
      <c r="AC807" s="167">
        <f t="shared" si="541"/>
        <v>0</v>
      </c>
      <c r="AD807" s="167">
        <f t="shared" si="542"/>
        <v>0</v>
      </c>
      <c r="AF807" s="47">
        <f t="shared" si="543"/>
        <v>0</v>
      </c>
    </row>
    <row r="808" spans="1:32" x14ac:dyDescent="0.35">
      <c r="A808" s="269"/>
      <c r="B808" s="83"/>
      <c r="C808" s="83"/>
      <c r="D808" s="85"/>
      <c r="E808" s="83"/>
      <c r="F808" s="83"/>
      <c r="G808" s="43"/>
      <c r="H808" s="233"/>
      <c r="I808" s="42"/>
      <c r="J808" s="42"/>
      <c r="K808" s="42"/>
      <c r="L808" s="44"/>
      <c r="M808" s="44"/>
      <c r="N808" s="44"/>
      <c r="O808" s="44"/>
      <c r="P808" s="44"/>
      <c r="Q808" s="227"/>
      <c r="R808" s="228"/>
      <c r="S808" s="228"/>
      <c r="T808" s="228"/>
      <c r="U808" s="191">
        <f t="shared" si="536"/>
        <v>0</v>
      </c>
      <c r="V808" s="86"/>
      <c r="W808" s="45"/>
      <c r="X808" s="46"/>
      <c r="Y808" s="167">
        <f t="shared" si="537"/>
        <v>0</v>
      </c>
      <c r="Z808" s="167">
        <f t="shared" si="538"/>
        <v>0</v>
      </c>
      <c r="AA808" s="167">
        <f t="shared" si="539"/>
        <v>0</v>
      </c>
      <c r="AB808" s="167">
        <f t="shared" si="540"/>
        <v>0</v>
      </c>
      <c r="AC808" s="167">
        <f t="shared" si="541"/>
        <v>0</v>
      </c>
      <c r="AD808" s="167">
        <f t="shared" si="542"/>
        <v>0</v>
      </c>
      <c r="AF808" s="47">
        <f t="shared" si="543"/>
        <v>0</v>
      </c>
    </row>
    <row r="809" spans="1:32" x14ac:dyDescent="0.35">
      <c r="A809" s="269"/>
      <c r="B809" s="83"/>
      <c r="C809" s="83"/>
      <c r="D809" s="85"/>
      <c r="E809" s="83"/>
      <c r="F809" s="83"/>
      <c r="G809" s="43"/>
      <c r="H809" s="233"/>
      <c r="I809" s="42"/>
      <c r="J809" s="42"/>
      <c r="K809" s="42"/>
      <c r="L809" s="44"/>
      <c r="M809" s="44"/>
      <c r="N809" s="44"/>
      <c r="O809" s="44"/>
      <c r="P809" s="44"/>
      <c r="Q809" s="227"/>
      <c r="R809" s="228"/>
      <c r="S809" s="228"/>
      <c r="T809" s="228"/>
      <c r="U809" s="191">
        <f t="shared" si="536"/>
        <v>0</v>
      </c>
      <c r="V809" s="86"/>
      <c r="W809" s="45"/>
      <c r="X809" s="46"/>
      <c r="Y809" s="167">
        <f t="shared" si="537"/>
        <v>0</v>
      </c>
      <c r="Z809" s="167">
        <f t="shared" si="538"/>
        <v>0</v>
      </c>
      <c r="AA809" s="167">
        <f t="shared" si="539"/>
        <v>0</v>
      </c>
      <c r="AB809" s="167">
        <f t="shared" si="540"/>
        <v>0</v>
      </c>
      <c r="AC809" s="167">
        <f t="shared" si="541"/>
        <v>0</v>
      </c>
      <c r="AD809" s="167">
        <f t="shared" si="542"/>
        <v>0</v>
      </c>
      <c r="AF809" s="47">
        <f t="shared" si="543"/>
        <v>0</v>
      </c>
    </row>
    <row r="810" spans="1:32" x14ac:dyDescent="0.35">
      <c r="A810" s="269"/>
      <c r="B810" s="83"/>
      <c r="C810" s="83"/>
      <c r="D810" s="85"/>
      <c r="E810" s="83"/>
      <c r="F810" s="83"/>
      <c r="G810" s="43"/>
      <c r="H810" s="233"/>
      <c r="I810" s="42"/>
      <c r="J810" s="42"/>
      <c r="K810" s="42"/>
      <c r="L810" s="44"/>
      <c r="M810" s="44"/>
      <c r="N810" s="44"/>
      <c r="O810" s="44"/>
      <c r="P810" s="44"/>
      <c r="Q810" s="227"/>
      <c r="R810" s="228"/>
      <c r="S810" s="228"/>
      <c r="T810" s="228"/>
      <c r="U810" s="191">
        <f t="shared" si="536"/>
        <v>0</v>
      </c>
      <c r="V810" s="86"/>
      <c r="W810" s="45"/>
      <c r="X810" s="46"/>
      <c r="Y810" s="167">
        <f t="shared" si="537"/>
        <v>0</v>
      </c>
      <c r="Z810" s="167">
        <f t="shared" si="538"/>
        <v>0</v>
      </c>
      <c r="AA810" s="167">
        <f t="shared" si="539"/>
        <v>0</v>
      </c>
      <c r="AB810" s="167">
        <f t="shared" si="540"/>
        <v>0</v>
      </c>
      <c r="AC810" s="167">
        <f t="shared" si="541"/>
        <v>0</v>
      </c>
      <c r="AD810" s="167">
        <f t="shared" si="542"/>
        <v>0</v>
      </c>
      <c r="AF810" s="47">
        <f t="shared" si="543"/>
        <v>0</v>
      </c>
    </row>
    <row r="811" spans="1:32" x14ac:dyDescent="0.35">
      <c r="A811" s="269"/>
      <c r="B811" s="83"/>
      <c r="C811" s="83"/>
      <c r="D811" s="85"/>
      <c r="E811" s="83"/>
      <c r="F811" s="83"/>
      <c r="G811" s="43"/>
      <c r="H811" s="233"/>
      <c r="I811" s="42"/>
      <c r="J811" s="42"/>
      <c r="K811" s="42"/>
      <c r="L811" s="44"/>
      <c r="M811" s="44"/>
      <c r="N811" s="44"/>
      <c r="O811" s="44"/>
      <c r="P811" s="44"/>
      <c r="Q811" s="227"/>
      <c r="R811" s="228"/>
      <c r="S811" s="228"/>
      <c r="T811" s="228"/>
      <c r="U811" s="191">
        <f t="shared" si="536"/>
        <v>0</v>
      </c>
      <c r="V811" s="86"/>
      <c r="W811" s="45"/>
      <c r="X811" s="46"/>
      <c r="Y811" s="167">
        <f t="shared" si="537"/>
        <v>0</v>
      </c>
      <c r="Z811" s="167">
        <f t="shared" si="538"/>
        <v>0</v>
      </c>
      <c r="AA811" s="167">
        <f t="shared" si="539"/>
        <v>0</v>
      </c>
      <c r="AB811" s="167">
        <f t="shared" si="540"/>
        <v>0</v>
      </c>
      <c r="AC811" s="167">
        <f t="shared" si="541"/>
        <v>0</v>
      </c>
      <c r="AD811" s="167">
        <f t="shared" si="542"/>
        <v>0</v>
      </c>
      <c r="AF811" s="47">
        <f t="shared" si="543"/>
        <v>0</v>
      </c>
    </row>
    <row r="812" spans="1:32" x14ac:dyDescent="0.35">
      <c r="A812" s="269"/>
      <c r="B812" s="83"/>
      <c r="C812" s="83"/>
      <c r="D812" s="85"/>
      <c r="E812" s="83"/>
      <c r="F812" s="83"/>
      <c r="G812" s="43"/>
      <c r="H812" s="233"/>
      <c r="I812" s="42"/>
      <c r="J812" s="42"/>
      <c r="K812" s="42"/>
      <c r="L812" s="44"/>
      <c r="M812" s="44"/>
      <c r="N812" s="44"/>
      <c r="O812" s="44"/>
      <c r="P812" s="44"/>
      <c r="Q812" s="227"/>
      <c r="R812" s="228"/>
      <c r="S812" s="228"/>
      <c r="T812" s="228"/>
      <c r="U812" s="191">
        <f t="shared" si="536"/>
        <v>0</v>
      </c>
      <c r="V812" s="86"/>
      <c r="W812" s="45"/>
      <c r="X812" s="46"/>
      <c r="Y812" s="167">
        <f t="shared" si="537"/>
        <v>0</v>
      </c>
      <c r="Z812" s="167">
        <f t="shared" si="538"/>
        <v>0</v>
      </c>
      <c r="AA812" s="167">
        <f t="shared" si="539"/>
        <v>0</v>
      </c>
      <c r="AB812" s="167">
        <f t="shared" si="540"/>
        <v>0</v>
      </c>
      <c r="AC812" s="167">
        <f t="shared" si="541"/>
        <v>0</v>
      </c>
      <c r="AD812" s="167">
        <f t="shared" si="542"/>
        <v>0</v>
      </c>
      <c r="AF812" s="47">
        <f t="shared" si="543"/>
        <v>0</v>
      </c>
    </row>
    <row r="813" spans="1:32" x14ac:dyDescent="0.35">
      <c r="A813" s="269"/>
      <c r="B813" s="83"/>
      <c r="C813" s="83"/>
      <c r="D813" s="85"/>
      <c r="E813" s="83"/>
      <c r="F813" s="83"/>
      <c r="G813" s="43"/>
      <c r="H813" s="233"/>
      <c r="I813" s="42"/>
      <c r="J813" s="42"/>
      <c r="K813" s="42"/>
      <c r="L813" s="44"/>
      <c r="M813" s="44"/>
      <c r="N813" s="44"/>
      <c r="O813" s="44"/>
      <c r="P813" s="44"/>
      <c r="Q813" s="227"/>
      <c r="R813" s="228"/>
      <c r="S813" s="228"/>
      <c r="T813" s="228"/>
      <c r="U813" s="191">
        <f t="shared" si="536"/>
        <v>0</v>
      </c>
      <c r="V813" s="86"/>
      <c r="W813" s="45"/>
      <c r="X813" s="46"/>
      <c r="Y813" s="167">
        <f t="shared" si="537"/>
        <v>0</v>
      </c>
      <c r="Z813" s="167">
        <f t="shared" si="538"/>
        <v>0</v>
      </c>
      <c r="AA813" s="167">
        <f t="shared" si="539"/>
        <v>0</v>
      </c>
      <c r="AB813" s="167">
        <f t="shared" si="540"/>
        <v>0</v>
      </c>
      <c r="AC813" s="167">
        <f t="shared" si="541"/>
        <v>0</v>
      </c>
      <c r="AD813" s="167">
        <f t="shared" si="542"/>
        <v>0</v>
      </c>
      <c r="AF813" s="47">
        <f t="shared" si="543"/>
        <v>0</v>
      </c>
    </row>
    <row r="814" spans="1:32" x14ac:dyDescent="0.35">
      <c r="A814" s="269"/>
      <c r="B814" s="83"/>
      <c r="C814" s="83"/>
      <c r="D814" s="85"/>
      <c r="E814" s="83"/>
      <c r="F814" s="83"/>
      <c r="G814" s="43"/>
      <c r="H814" s="233"/>
      <c r="I814" s="42"/>
      <c r="J814" s="42"/>
      <c r="K814" s="42"/>
      <c r="L814" s="44"/>
      <c r="M814" s="44"/>
      <c r="N814" s="44"/>
      <c r="O814" s="44"/>
      <c r="P814" s="44"/>
      <c r="Q814" s="227"/>
      <c r="R814" s="228"/>
      <c r="S814" s="228"/>
      <c r="T814" s="228"/>
      <c r="U814" s="191">
        <f t="shared" si="536"/>
        <v>0</v>
      </c>
      <c r="V814" s="86"/>
      <c r="W814" s="45"/>
      <c r="X814" s="46"/>
      <c r="Y814" s="167">
        <f t="shared" si="537"/>
        <v>0</v>
      </c>
      <c r="Z814" s="167">
        <f t="shared" si="538"/>
        <v>0</v>
      </c>
      <c r="AA814" s="167">
        <f t="shared" si="539"/>
        <v>0</v>
      </c>
      <c r="AB814" s="167">
        <f t="shared" si="540"/>
        <v>0</v>
      </c>
      <c r="AC814" s="167">
        <f t="shared" si="541"/>
        <v>0</v>
      </c>
      <c r="AD814" s="167">
        <f t="shared" si="542"/>
        <v>0</v>
      </c>
      <c r="AF814" s="47">
        <f t="shared" si="543"/>
        <v>0</v>
      </c>
    </row>
    <row r="815" spans="1:32" x14ac:dyDescent="0.35">
      <c r="A815" s="269"/>
      <c r="B815" s="83"/>
      <c r="C815" s="83"/>
      <c r="D815" s="85"/>
      <c r="E815" s="83"/>
      <c r="F815" s="83"/>
      <c r="G815" s="43"/>
      <c r="H815" s="233"/>
      <c r="I815" s="42"/>
      <c r="J815" s="42"/>
      <c r="K815" s="42"/>
      <c r="L815" s="44"/>
      <c r="M815" s="44"/>
      <c r="N815" s="44"/>
      <c r="O815" s="44"/>
      <c r="P815" s="44"/>
      <c r="Q815" s="227"/>
      <c r="R815" s="228"/>
      <c r="S815" s="228"/>
      <c r="T815" s="228"/>
      <c r="U815" s="191">
        <f t="shared" si="536"/>
        <v>0</v>
      </c>
      <c r="V815" s="86"/>
      <c r="W815" s="45"/>
      <c r="X815" s="46"/>
      <c r="Y815" s="167">
        <f t="shared" si="537"/>
        <v>0</v>
      </c>
      <c r="Z815" s="167">
        <f t="shared" si="538"/>
        <v>0</v>
      </c>
      <c r="AA815" s="167">
        <f t="shared" si="539"/>
        <v>0</v>
      </c>
      <c r="AB815" s="167">
        <f t="shared" si="540"/>
        <v>0</v>
      </c>
      <c r="AC815" s="167">
        <f t="shared" si="541"/>
        <v>0</v>
      </c>
      <c r="AD815" s="167">
        <f t="shared" si="542"/>
        <v>0</v>
      </c>
      <c r="AF815" s="47">
        <f t="shared" si="543"/>
        <v>0</v>
      </c>
    </row>
    <row r="816" spans="1:32" x14ac:dyDescent="0.35">
      <c r="A816" s="269"/>
      <c r="B816" s="83"/>
      <c r="C816" s="83"/>
      <c r="D816" s="85"/>
      <c r="E816" s="83"/>
      <c r="F816" s="83"/>
      <c r="G816" s="43"/>
      <c r="H816" s="233"/>
      <c r="I816" s="42"/>
      <c r="J816" s="42"/>
      <c r="K816" s="42"/>
      <c r="L816" s="44"/>
      <c r="M816" s="44"/>
      <c r="N816" s="44"/>
      <c r="O816" s="44"/>
      <c r="P816" s="44"/>
      <c r="Q816" s="227"/>
      <c r="R816" s="228"/>
      <c r="S816" s="228"/>
      <c r="T816" s="228"/>
      <c r="U816" s="191">
        <f t="shared" si="536"/>
        <v>0</v>
      </c>
      <c r="V816" s="86"/>
      <c r="W816" s="45"/>
      <c r="X816" s="46"/>
      <c r="Y816" s="167">
        <f t="shared" si="537"/>
        <v>0</v>
      </c>
      <c r="Z816" s="167">
        <f t="shared" si="538"/>
        <v>0</v>
      </c>
      <c r="AA816" s="167">
        <f t="shared" si="539"/>
        <v>0</v>
      </c>
      <c r="AB816" s="167">
        <f t="shared" si="540"/>
        <v>0</v>
      </c>
      <c r="AC816" s="167">
        <f t="shared" si="541"/>
        <v>0</v>
      </c>
      <c r="AD816" s="167">
        <f t="shared" si="542"/>
        <v>0</v>
      </c>
      <c r="AF816" s="47">
        <f t="shared" si="543"/>
        <v>0</v>
      </c>
    </row>
    <row r="817" spans="1:32" x14ac:dyDescent="0.35">
      <c r="A817" s="269"/>
      <c r="B817" s="83"/>
      <c r="C817" s="83"/>
      <c r="D817" s="85"/>
      <c r="E817" s="83"/>
      <c r="F817" s="83"/>
      <c r="G817" s="43"/>
      <c r="H817" s="233"/>
      <c r="I817" s="42"/>
      <c r="J817" s="42"/>
      <c r="K817" s="42"/>
      <c r="L817" s="44"/>
      <c r="M817" s="44"/>
      <c r="N817" s="44"/>
      <c r="O817" s="44"/>
      <c r="P817" s="44"/>
      <c r="Q817" s="227"/>
      <c r="R817" s="228"/>
      <c r="S817" s="228"/>
      <c r="T817" s="228"/>
      <c r="U817" s="191">
        <f t="shared" si="536"/>
        <v>0</v>
      </c>
      <c r="V817" s="86"/>
      <c r="W817" s="45"/>
      <c r="X817" s="46"/>
      <c r="Y817" s="167">
        <f t="shared" si="537"/>
        <v>0</v>
      </c>
      <c r="Z817" s="167">
        <f t="shared" si="538"/>
        <v>0</v>
      </c>
      <c r="AA817" s="167">
        <f t="shared" si="539"/>
        <v>0</v>
      </c>
      <c r="AB817" s="167">
        <f t="shared" si="540"/>
        <v>0</v>
      </c>
      <c r="AC817" s="167">
        <f t="shared" si="541"/>
        <v>0</v>
      </c>
      <c r="AD817" s="167">
        <f t="shared" si="542"/>
        <v>0</v>
      </c>
      <c r="AF817" s="47">
        <f t="shared" si="543"/>
        <v>0</v>
      </c>
    </row>
    <row r="818" spans="1:32" x14ac:dyDescent="0.35">
      <c r="A818" s="269"/>
      <c r="B818" s="83"/>
      <c r="C818" s="83"/>
      <c r="D818" s="85"/>
      <c r="E818" s="83"/>
      <c r="F818" s="83"/>
      <c r="G818" s="43"/>
      <c r="H818" s="233"/>
      <c r="I818" s="42"/>
      <c r="J818" s="42"/>
      <c r="K818" s="42"/>
      <c r="L818" s="44"/>
      <c r="M818" s="44"/>
      <c r="N818" s="44"/>
      <c r="O818" s="44"/>
      <c r="P818" s="44"/>
      <c r="Q818" s="227"/>
      <c r="R818" s="228"/>
      <c r="S818" s="228"/>
      <c r="T818" s="228"/>
      <c r="U818" s="191">
        <f t="shared" si="536"/>
        <v>0</v>
      </c>
      <c r="V818" s="86"/>
      <c r="W818" s="45"/>
      <c r="X818" s="46"/>
      <c r="Y818" s="167">
        <f t="shared" si="537"/>
        <v>0</v>
      </c>
      <c r="Z818" s="167">
        <f t="shared" si="538"/>
        <v>0</v>
      </c>
      <c r="AA818" s="167">
        <f t="shared" si="539"/>
        <v>0</v>
      </c>
      <c r="AB818" s="167">
        <f t="shared" si="540"/>
        <v>0</v>
      </c>
      <c r="AC818" s="167">
        <f t="shared" si="541"/>
        <v>0</v>
      </c>
      <c r="AD818" s="167">
        <f t="shared" si="542"/>
        <v>0</v>
      </c>
      <c r="AF818" s="47">
        <f t="shared" si="543"/>
        <v>0</v>
      </c>
    </row>
    <row r="819" spans="1:32" x14ac:dyDescent="0.35">
      <c r="A819" s="269"/>
      <c r="B819" s="83"/>
      <c r="C819" s="83"/>
      <c r="D819" s="85"/>
      <c r="E819" s="83"/>
      <c r="F819" s="83"/>
      <c r="G819" s="43"/>
      <c r="H819" s="233"/>
      <c r="I819" s="42"/>
      <c r="J819" s="42"/>
      <c r="K819" s="42"/>
      <c r="L819" s="44"/>
      <c r="M819" s="44"/>
      <c r="N819" s="44"/>
      <c r="O819" s="44"/>
      <c r="P819" s="44"/>
      <c r="Q819" s="227"/>
      <c r="R819" s="228"/>
      <c r="S819" s="228"/>
      <c r="T819" s="228"/>
      <c r="U819" s="191">
        <f t="shared" si="536"/>
        <v>0</v>
      </c>
      <c r="V819" s="86"/>
      <c r="W819" s="45"/>
      <c r="X819" s="46"/>
      <c r="Y819" s="167">
        <f t="shared" si="537"/>
        <v>0</v>
      </c>
      <c r="Z819" s="167">
        <f t="shared" si="538"/>
        <v>0</v>
      </c>
      <c r="AA819" s="167">
        <f t="shared" si="539"/>
        <v>0</v>
      </c>
      <c r="AB819" s="167">
        <f t="shared" si="540"/>
        <v>0</v>
      </c>
      <c r="AC819" s="167">
        <f t="shared" si="541"/>
        <v>0</v>
      </c>
      <c r="AD819" s="167">
        <f t="shared" si="542"/>
        <v>0</v>
      </c>
      <c r="AF819" s="47">
        <f t="shared" si="543"/>
        <v>0</v>
      </c>
    </row>
    <row r="820" spans="1:32" x14ac:dyDescent="0.35">
      <c r="A820" s="269"/>
      <c r="B820" s="83"/>
      <c r="C820" s="83"/>
      <c r="D820" s="85"/>
      <c r="E820" s="83"/>
      <c r="F820" s="83"/>
      <c r="G820" s="43"/>
      <c r="H820" s="233"/>
      <c r="I820" s="42"/>
      <c r="J820" s="42"/>
      <c r="K820" s="42"/>
      <c r="L820" s="44"/>
      <c r="M820" s="44"/>
      <c r="N820" s="44"/>
      <c r="O820" s="44"/>
      <c r="P820" s="44"/>
      <c r="Q820" s="227"/>
      <c r="R820" s="228"/>
      <c r="S820" s="228"/>
      <c r="T820" s="228"/>
      <c r="U820" s="191">
        <f t="shared" si="536"/>
        <v>0</v>
      </c>
      <c r="V820" s="86"/>
      <c r="W820" s="45"/>
      <c r="X820" s="46"/>
      <c r="Y820" s="167">
        <f t="shared" si="537"/>
        <v>0</v>
      </c>
      <c r="Z820" s="167">
        <f t="shared" si="538"/>
        <v>0</v>
      </c>
      <c r="AA820" s="167">
        <f t="shared" si="539"/>
        <v>0</v>
      </c>
      <c r="AB820" s="167">
        <f t="shared" si="540"/>
        <v>0</v>
      </c>
      <c r="AC820" s="167">
        <f t="shared" si="541"/>
        <v>0</v>
      </c>
      <c r="AD820" s="167">
        <f t="shared" si="542"/>
        <v>0</v>
      </c>
      <c r="AF820" s="47">
        <f t="shared" si="543"/>
        <v>0</v>
      </c>
    </row>
    <row r="821" spans="1:32" x14ac:dyDescent="0.35">
      <c r="A821" s="269"/>
      <c r="B821" s="83"/>
      <c r="C821" s="83"/>
      <c r="D821" s="85"/>
      <c r="E821" s="83"/>
      <c r="F821" s="83"/>
      <c r="G821" s="43"/>
      <c r="H821" s="233"/>
      <c r="I821" s="42"/>
      <c r="J821" s="42"/>
      <c r="K821" s="42"/>
      <c r="L821" s="44"/>
      <c r="M821" s="44"/>
      <c r="N821" s="44"/>
      <c r="O821" s="44"/>
      <c r="P821" s="44"/>
      <c r="Q821" s="227"/>
      <c r="R821" s="228"/>
      <c r="S821" s="228"/>
      <c r="T821" s="228"/>
      <c r="U821" s="191">
        <f t="shared" si="536"/>
        <v>0</v>
      </c>
      <c r="V821" s="86"/>
      <c r="W821" s="45"/>
      <c r="X821" s="46"/>
      <c r="Y821" s="167">
        <f t="shared" si="537"/>
        <v>0</v>
      </c>
      <c r="Z821" s="167">
        <f t="shared" si="538"/>
        <v>0</v>
      </c>
      <c r="AA821" s="167">
        <f t="shared" si="539"/>
        <v>0</v>
      </c>
      <c r="AB821" s="167">
        <f t="shared" si="540"/>
        <v>0</v>
      </c>
      <c r="AC821" s="167">
        <f t="shared" si="541"/>
        <v>0</v>
      </c>
      <c r="AD821" s="167">
        <f t="shared" si="542"/>
        <v>0</v>
      </c>
      <c r="AF821" s="47">
        <f t="shared" si="543"/>
        <v>0</v>
      </c>
    </row>
    <row r="822" spans="1:32" x14ac:dyDescent="0.35">
      <c r="A822" s="269"/>
      <c r="B822" s="83"/>
      <c r="C822" s="83"/>
      <c r="D822" s="85"/>
      <c r="E822" s="83"/>
      <c r="F822" s="83"/>
      <c r="G822" s="43"/>
      <c r="H822" s="233"/>
      <c r="I822" s="42"/>
      <c r="J822" s="42"/>
      <c r="K822" s="42"/>
      <c r="L822" s="44"/>
      <c r="M822" s="44"/>
      <c r="N822" s="44"/>
      <c r="O822" s="44"/>
      <c r="P822" s="44"/>
      <c r="Q822" s="227"/>
      <c r="R822" s="228"/>
      <c r="S822" s="228"/>
      <c r="T822" s="228"/>
      <c r="U822" s="191">
        <f t="shared" si="536"/>
        <v>0</v>
      </c>
      <c r="V822" s="86"/>
      <c r="W822" s="45"/>
      <c r="X822" s="46"/>
      <c r="Y822" s="167">
        <f t="shared" si="537"/>
        <v>0</v>
      </c>
      <c r="Z822" s="167">
        <f t="shared" si="538"/>
        <v>0</v>
      </c>
      <c r="AA822" s="167">
        <f t="shared" si="539"/>
        <v>0</v>
      </c>
      <c r="AB822" s="167">
        <f t="shared" si="540"/>
        <v>0</v>
      </c>
      <c r="AC822" s="167">
        <f t="shared" si="541"/>
        <v>0</v>
      </c>
      <c r="AD822" s="167">
        <f t="shared" si="542"/>
        <v>0</v>
      </c>
      <c r="AF822" s="47">
        <f t="shared" si="543"/>
        <v>0</v>
      </c>
    </row>
    <row r="823" spans="1:32" x14ac:dyDescent="0.35">
      <c r="A823" s="269"/>
      <c r="B823" s="83"/>
      <c r="C823" s="83"/>
      <c r="D823" s="85"/>
      <c r="E823" s="83"/>
      <c r="F823" s="83"/>
      <c r="G823" s="43"/>
      <c r="H823" s="233"/>
      <c r="I823" s="42"/>
      <c r="J823" s="42"/>
      <c r="K823" s="42"/>
      <c r="L823" s="44"/>
      <c r="M823" s="44"/>
      <c r="N823" s="44"/>
      <c r="O823" s="44"/>
      <c r="P823" s="44"/>
      <c r="Q823" s="227"/>
      <c r="R823" s="228"/>
      <c r="S823" s="228"/>
      <c r="T823" s="228"/>
      <c r="U823" s="191">
        <f t="shared" si="536"/>
        <v>0</v>
      </c>
      <c r="V823" s="86"/>
      <c r="W823" s="45"/>
      <c r="X823" s="46"/>
      <c r="Y823" s="167">
        <f t="shared" si="537"/>
        <v>0</v>
      </c>
      <c r="Z823" s="167">
        <f t="shared" si="538"/>
        <v>0</v>
      </c>
      <c r="AA823" s="167">
        <f t="shared" si="539"/>
        <v>0</v>
      </c>
      <c r="AB823" s="167">
        <f t="shared" si="540"/>
        <v>0</v>
      </c>
      <c r="AC823" s="167">
        <f t="shared" si="541"/>
        <v>0</v>
      </c>
      <c r="AD823" s="167">
        <f t="shared" si="542"/>
        <v>0</v>
      </c>
      <c r="AF823" s="47">
        <f t="shared" si="543"/>
        <v>0</v>
      </c>
    </row>
    <row r="824" spans="1:32" x14ac:dyDescent="0.35">
      <c r="A824" s="269"/>
      <c r="B824" s="83"/>
      <c r="C824" s="83"/>
      <c r="D824" s="85"/>
      <c r="E824" s="83"/>
      <c r="F824" s="83"/>
      <c r="G824" s="43"/>
      <c r="H824" s="233"/>
      <c r="I824" s="42"/>
      <c r="J824" s="42"/>
      <c r="K824" s="42"/>
      <c r="L824" s="44"/>
      <c r="M824" s="44"/>
      <c r="N824" s="44"/>
      <c r="O824" s="44"/>
      <c r="P824" s="44"/>
      <c r="Q824" s="227"/>
      <c r="R824" s="228"/>
      <c r="S824" s="228"/>
      <c r="T824" s="228"/>
      <c r="U824" s="191">
        <f t="shared" si="536"/>
        <v>0</v>
      </c>
      <c r="V824" s="86"/>
      <c r="W824" s="45"/>
      <c r="X824" s="46"/>
      <c r="Y824" s="167">
        <f t="shared" si="537"/>
        <v>0</v>
      </c>
      <c r="Z824" s="167">
        <f t="shared" si="538"/>
        <v>0</v>
      </c>
      <c r="AA824" s="167">
        <f t="shared" si="539"/>
        <v>0</v>
      </c>
      <c r="AB824" s="167">
        <f t="shared" si="540"/>
        <v>0</v>
      </c>
      <c r="AC824" s="167">
        <f t="shared" si="541"/>
        <v>0</v>
      </c>
      <c r="AD824" s="167">
        <f t="shared" si="542"/>
        <v>0</v>
      </c>
      <c r="AF824" s="47">
        <f t="shared" si="543"/>
        <v>0</v>
      </c>
    </row>
    <row r="825" spans="1:32" x14ac:dyDescent="0.35">
      <c r="A825" s="269"/>
      <c r="B825" s="83"/>
      <c r="C825" s="83"/>
      <c r="D825" s="85"/>
      <c r="E825" s="83"/>
      <c r="F825" s="83"/>
      <c r="G825" s="43"/>
      <c r="H825" s="233"/>
      <c r="I825" s="42"/>
      <c r="J825" s="42"/>
      <c r="K825" s="42"/>
      <c r="L825" s="44"/>
      <c r="M825" s="44"/>
      <c r="N825" s="44"/>
      <c r="O825" s="44"/>
      <c r="P825" s="44"/>
      <c r="Q825" s="227"/>
      <c r="R825" s="228"/>
      <c r="S825" s="228"/>
      <c r="T825" s="228"/>
      <c r="U825" s="191">
        <f t="shared" ref="U825:U888" si="544">IF(Q825="",0,IF(T825="",0,+S825-T825))</f>
        <v>0</v>
      </c>
      <c r="V825" s="86"/>
      <c r="W825" s="45"/>
      <c r="X825" s="46"/>
      <c r="Y825" s="167">
        <f t="shared" ref="Y825:Y888" si="545">IF(G825=2,S825,0)</f>
        <v>0</v>
      </c>
      <c r="Z825" s="167">
        <f t="shared" ref="Z825:Z888" si="546">IF(Q825="",0,IF(G825=2,T825,0))</f>
        <v>0</v>
      </c>
      <c r="AA825" s="167">
        <f t="shared" ref="AA825:AA888" si="547">Y825-Z825</f>
        <v>0</v>
      </c>
      <c r="AB825" s="167">
        <f t="shared" ref="AB825:AB888" si="548">IF(G825=1,S825,0)</f>
        <v>0</v>
      </c>
      <c r="AC825" s="167">
        <f t="shared" ref="AC825:AC888" si="549">IF(Q825="",0,IF(G825=1,T825,0))</f>
        <v>0</v>
      </c>
      <c r="AD825" s="167">
        <f t="shared" ref="AD825:AD888" si="550">AB825-AC825</f>
        <v>0</v>
      </c>
      <c r="AF825" s="47">
        <f t="shared" si="543"/>
        <v>0</v>
      </c>
    </row>
    <row r="826" spans="1:32" x14ac:dyDescent="0.35">
      <c r="A826" s="269"/>
      <c r="B826" s="83"/>
      <c r="C826" s="83"/>
      <c r="D826" s="85"/>
      <c r="E826" s="83"/>
      <c r="F826" s="83"/>
      <c r="G826" s="43"/>
      <c r="H826" s="233"/>
      <c r="I826" s="42"/>
      <c r="J826" s="42"/>
      <c r="K826" s="42"/>
      <c r="L826" s="44"/>
      <c r="M826" s="44"/>
      <c r="N826" s="44"/>
      <c r="O826" s="44"/>
      <c r="P826" s="44"/>
      <c r="Q826" s="227"/>
      <c r="R826" s="228"/>
      <c r="S826" s="228"/>
      <c r="T826" s="228"/>
      <c r="U826" s="191">
        <f t="shared" si="544"/>
        <v>0</v>
      </c>
      <c r="V826" s="86"/>
      <c r="W826" s="45"/>
      <c r="X826" s="46"/>
      <c r="Y826" s="167">
        <f t="shared" si="545"/>
        <v>0</v>
      </c>
      <c r="Z826" s="167">
        <f t="shared" si="546"/>
        <v>0</v>
      </c>
      <c r="AA826" s="167">
        <f t="shared" si="547"/>
        <v>0</v>
      </c>
      <c r="AB826" s="167">
        <f t="shared" si="548"/>
        <v>0</v>
      </c>
      <c r="AC826" s="167">
        <f t="shared" si="549"/>
        <v>0</v>
      </c>
      <c r="AD826" s="167">
        <f t="shared" si="550"/>
        <v>0</v>
      </c>
      <c r="AF826" s="47">
        <f t="shared" si="543"/>
        <v>0</v>
      </c>
    </row>
    <row r="827" spans="1:32" x14ac:dyDescent="0.35">
      <c r="A827" s="269"/>
      <c r="B827" s="83"/>
      <c r="C827" s="83"/>
      <c r="D827" s="85"/>
      <c r="E827" s="83"/>
      <c r="F827" s="83"/>
      <c r="G827" s="43"/>
      <c r="H827" s="233"/>
      <c r="I827" s="42"/>
      <c r="J827" s="42"/>
      <c r="K827" s="42"/>
      <c r="L827" s="44"/>
      <c r="M827" s="44"/>
      <c r="N827" s="44"/>
      <c r="O827" s="44"/>
      <c r="P827" s="44"/>
      <c r="Q827" s="227"/>
      <c r="R827" s="228"/>
      <c r="S827" s="228"/>
      <c r="T827" s="228"/>
      <c r="U827" s="191">
        <f t="shared" si="544"/>
        <v>0</v>
      </c>
      <c r="V827" s="86"/>
      <c r="W827" s="45"/>
      <c r="X827" s="46"/>
      <c r="Y827" s="167">
        <f t="shared" si="545"/>
        <v>0</v>
      </c>
      <c r="Z827" s="167">
        <f t="shared" si="546"/>
        <v>0</v>
      </c>
      <c r="AA827" s="167">
        <f t="shared" si="547"/>
        <v>0</v>
      </c>
      <c r="AB827" s="167">
        <f t="shared" si="548"/>
        <v>0</v>
      </c>
      <c r="AC827" s="167">
        <f t="shared" si="549"/>
        <v>0</v>
      </c>
      <c r="AD827" s="167">
        <f t="shared" si="550"/>
        <v>0</v>
      </c>
      <c r="AF827" s="47">
        <f t="shared" si="543"/>
        <v>0</v>
      </c>
    </row>
    <row r="828" spans="1:32" x14ac:dyDescent="0.35">
      <c r="A828" s="269"/>
      <c r="B828" s="83"/>
      <c r="C828" s="83"/>
      <c r="D828" s="85"/>
      <c r="E828" s="83"/>
      <c r="F828" s="83"/>
      <c r="G828" s="43"/>
      <c r="H828" s="233"/>
      <c r="I828" s="42"/>
      <c r="J828" s="42"/>
      <c r="K828" s="42"/>
      <c r="L828" s="44"/>
      <c r="M828" s="44"/>
      <c r="N828" s="44"/>
      <c r="O828" s="44"/>
      <c r="P828" s="44"/>
      <c r="Q828" s="227"/>
      <c r="R828" s="228"/>
      <c r="S828" s="228"/>
      <c r="T828" s="228"/>
      <c r="U828" s="191">
        <f t="shared" si="544"/>
        <v>0</v>
      </c>
      <c r="V828" s="86"/>
      <c r="W828" s="45"/>
      <c r="X828" s="46"/>
      <c r="Y828" s="167">
        <f t="shared" si="545"/>
        <v>0</v>
      </c>
      <c r="Z828" s="167">
        <f t="shared" si="546"/>
        <v>0</v>
      </c>
      <c r="AA828" s="167">
        <f t="shared" si="547"/>
        <v>0</v>
      </c>
      <c r="AB828" s="167">
        <f t="shared" si="548"/>
        <v>0</v>
      </c>
      <c r="AC828" s="167">
        <f t="shared" si="549"/>
        <v>0</v>
      </c>
      <c r="AD828" s="167">
        <f t="shared" si="550"/>
        <v>0</v>
      </c>
      <c r="AF828" s="47">
        <f t="shared" si="543"/>
        <v>0</v>
      </c>
    </row>
    <row r="829" spans="1:32" x14ac:dyDescent="0.35">
      <c r="A829" s="269"/>
      <c r="B829" s="83"/>
      <c r="C829" s="83"/>
      <c r="D829" s="85"/>
      <c r="E829" s="83"/>
      <c r="F829" s="83"/>
      <c r="G829" s="43"/>
      <c r="H829" s="233"/>
      <c r="I829" s="42"/>
      <c r="J829" s="42"/>
      <c r="K829" s="42"/>
      <c r="L829" s="44"/>
      <c r="M829" s="44"/>
      <c r="N829" s="44"/>
      <c r="O829" s="44"/>
      <c r="P829" s="44"/>
      <c r="Q829" s="227"/>
      <c r="R829" s="228"/>
      <c r="S829" s="228"/>
      <c r="T829" s="228"/>
      <c r="U829" s="191">
        <f t="shared" si="544"/>
        <v>0</v>
      </c>
      <c r="V829" s="86"/>
      <c r="W829" s="45"/>
      <c r="X829" s="46"/>
      <c r="Y829" s="167">
        <f t="shared" si="545"/>
        <v>0</v>
      </c>
      <c r="Z829" s="167">
        <f t="shared" si="546"/>
        <v>0</v>
      </c>
      <c r="AA829" s="167">
        <f t="shared" si="547"/>
        <v>0</v>
      </c>
      <c r="AB829" s="167">
        <f t="shared" si="548"/>
        <v>0</v>
      </c>
      <c r="AC829" s="167">
        <f t="shared" si="549"/>
        <v>0</v>
      </c>
      <c r="AD829" s="167">
        <f t="shared" si="550"/>
        <v>0</v>
      </c>
      <c r="AF829" s="47">
        <f t="shared" si="543"/>
        <v>0</v>
      </c>
    </row>
    <row r="830" spans="1:32" x14ac:dyDescent="0.35">
      <c r="A830" s="269"/>
      <c r="B830" s="83"/>
      <c r="C830" s="83"/>
      <c r="D830" s="85"/>
      <c r="E830" s="83"/>
      <c r="F830" s="83"/>
      <c r="G830" s="43"/>
      <c r="H830" s="233"/>
      <c r="I830" s="42"/>
      <c r="J830" s="42"/>
      <c r="K830" s="42"/>
      <c r="L830" s="44"/>
      <c r="M830" s="44"/>
      <c r="N830" s="44"/>
      <c r="O830" s="44"/>
      <c r="P830" s="44"/>
      <c r="Q830" s="227"/>
      <c r="R830" s="228"/>
      <c r="S830" s="228"/>
      <c r="T830" s="228"/>
      <c r="U830" s="191">
        <f t="shared" si="544"/>
        <v>0</v>
      </c>
      <c r="V830" s="86"/>
      <c r="W830" s="45"/>
      <c r="X830" s="46"/>
      <c r="Y830" s="167">
        <f t="shared" si="545"/>
        <v>0</v>
      </c>
      <c r="Z830" s="167">
        <f t="shared" si="546"/>
        <v>0</v>
      </c>
      <c r="AA830" s="167">
        <f t="shared" si="547"/>
        <v>0</v>
      </c>
      <c r="AB830" s="167">
        <f t="shared" si="548"/>
        <v>0</v>
      </c>
      <c r="AC830" s="167">
        <f t="shared" si="549"/>
        <v>0</v>
      </c>
      <c r="AD830" s="167">
        <f t="shared" si="550"/>
        <v>0</v>
      </c>
      <c r="AF830" s="47">
        <f t="shared" si="543"/>
        <v>0</v>
      </c>
    </row>
    <row r="831" spans="1:32" x14ac:dyDescent="0.35">
      <c r="A831" s="269"/>
      <c r="B831" s="83"/>
      <c r="C831" s="83"/>
      <c r="D831" s="85"/>
      <c r="E831" s="83"/>
      <c r="F831" s="83"/>
      <c r="G831" s="43"/>
      <c r="H831" s="233"/>
      <c r="I831" s="42"/>
      <c r="J831" s="42"/>
      <c r="K831" s="42"/>
      <c r="L831" s="44"/>
      <c r="M831" s="44"/>
      <c r="N831" s="44"/>
      <c r="O831" s="44"/>
      <c r="P831" s="44"/>
      <c r="Q831" s="227"/>
      <c r="R831" s="228"/>
      <c r="S831" s="228"/>
      <c r="T831" s="228"/>
      <c r="U831" s="191">
        <f t="shared" si="544"/>
        <v>0</v>
      </c>
      <c r="V831" s="86"/>
      <c r="W831" s="45"/>
      <c r="X831" s="46"/>
      <c r="Y831" s="167">
        <f t="shared" si="545"/>
        <v>0</v>
      </c>
      <c r="Z831" s="167">
        <f t="shared" si="546"/>
        <v>0</v>
      </c>
      <c r="AA831" s="167">
        <f t="shared" si="547"/>
        <v>0</v>
      </c>
      <c r="AB831" s="167">
        <f t="shared" si="548"/>
        <v>0</v>
      </c>
      <c r="AC831" s="167">
        <f t="shared" si="549"/>
        <v>0</v>
      </c>
      <c r="AD831" s="167">
        <f t="shared" si="550"/>
        <v>0</v>
      </c>
      <c r="AF831" s="47">
        <f t="shared" si="543"/>
        <v>0</v>
      </c>
    </row>
    <row r="832" spans="1:32" x14ac:dyDescent="0.35">
      <c r="A832" s="269"/>
      <c r="B832" s="83"/>
      <c r="C832" s="83"/>
      <c r="D832" s="85"/>
      <c r="E832" s="83"/>
      <c r="F832" s="83"/>
      <c r="G832" s="43"/>
      <c r="H832" s="233"/>
      <c r="I832" s="42"/>
      <c r="J832" s="42"/>
      <c r="K832" s="42"/>
      <c r="L832" s="44"/>
      <c r="M832" s="44"/>
      <c r="N832" s="44"/>
      <c r="O832" s="44"/>
      <c r="P832" s="44"/>
      <c r="Q832" s="227"/>
      <c r="R832" s="228"/>
      <c r="S832" s="228"/>
      <c r="T832" s="228"/>
      <c r="U832" s="191">
        <f t="shared" si="544"/>
        <v>0</v>
      </c>
      <c r="V832" s="86"/>
      <c r="W832" s="45"/>
      <c r="X832" s="46"/>
      <c r="Y832" s="167">
        <f t="shared" si="545"/>
        <v>0</v>
      </c>
      <c r="Z832" s="167">
        <f t="shared" si="546"/>
        <v>0</v>
      </c>
      <c r="AA832" s="167">
        <f t="shared" si="547"/>
        <v>0</v>
      </c>
      <c r="AB832" s="167">
        <f t="shared" si="548"/>
        <v>0</v>
      </c>
      <c r="AC832" s="167">
        <f t="shared" si="549"/>
        <v>0</v>
      </c>
      <c r="AD832" s="167">
        <f t="shared" si="550"/>
        <v>0</v>
      </c>
      <c r="AF832" s="47">
        <f t="shared" si="543"/>
        <v>0</v>
      </c>
    </row>
    <row r="833" spans="1:32" x14ac:dyDescent="0.35">
      <c r="A833" s="269"/>
      <c r="B833" s="83"/>
      <c r="C833" s="83"/>
      <c r="D833" s="85"/>
      <c r="E833" s="83"/>
      <c r="F833" s="83"/>
      <c r="G833" s="43"/>
      <c r="H833" s="233"/>
      <c r="I833" s="42"/>
      <c r="J833" s="42"/>
      <c r="K833" s="42"/>
      <c r="L833" s="44"/>
      <c r="M833" s="44"/>
      <c r="N833" s="44"/>
      <c r="O833" s="44"/>
      <c r="P833" s="44"/>
      <c r="Q833" s="227"/>
      <c r="R833" s="228"/>
      <c r="S833" s="228"/>
      <c r="T833" s="228"/>
      <c r="U833" s="191">
        <f t="shared" si="544"/>
        <v>0</v>
      </c>
      <c r="V833" s="86"/>
      <c r="W833" s="45"/>
      <c r="X833" s="46"/>
      <c r="Y833" s="167">
        <f t="shared" si="545"/>
        <v>0</v>
      </c>
      <c r="Z833" s="167">
        <f t="shared" si="546"/>
        <v>0</v>
      </c>
      <c r="AA833" s="167">
        <f t="shared" si="547"/>
        <v>0</v>
      </c>
      <c r="AB833" s="167">
        <f t="shared" si="548"/>
        <v>0</v>
      </c>
      <c r="AC833" s="167">
        <f t="shared" si="549"/>
        <v>0</v>
      </c>
      <c r="AD833" s="167">
        <f t="shared" si="550"/>
        <v>0</v>
      </c>
      <c r="AF833" s="47">
        <f t="shared" si="543"/>
        <v>0</v>
      </c>
    </row>
    <row r="834" spans="1:32" x14ac:dyDescent="0.35">
      <c r="A834" s="269"/>
      <c r="B834" s="83"/>
      <c r="C834" s="83"/>
      <c r="D834" s="85"/>
      <c r="E834" s="83"/>
      <c r="F834" s="83"/>
      <c r="G834" s="43"/>
      <c r="H834" s="233"/>
      <c r="I834" s="42"/>
      <c r="J834" s="42"/>
      <c r="K834" s="42"/>
      <c r="L834" s="44"/>
      <c r="M834" s="44"/>
      <c r="N834" s="44"/>
      <c r="O834" s="44"/>
      <c r="P834" s="44"/>
      <c r="Q834" s="227"/>
      <c r="R834" s="228"/>
      <c r="S834" s="228"/>
      <c r="T834" s="228"/>
      <c r="U834" s="191">
        <f t="shared" si="544"/>
        <v>0</v>
      </c>
      <c r="V834" s="86"/>
      <c r="W834" s="45"/>
      <c r="X834" s="46"/>
      <c r="Y834" s="167">
        <f t="shared" si="545"/>
        <v>0</v>
      </c>
      <c r="Z834" s="167">
        <f t="shared" si="546"/>
        <v>0</v>
      </c>
      <c r="AA834" s="167">
        <f t="shared" si="547"/>
        <v>0</v>
      </c>
      <c r="AB834" s="167">
        <f t="shared" si="548"/>
        <v>0</v>
      </c>
      <c r="AC834" s="167">
        <f t="shared" si="549"/>
        <v>0</v>
      </c>
      <c r="AD834" s="167">
        <f t="shared" si="550"/>
        <v>0</v>
      </c>
      <c r="AF834" s="47">
        <f t="shared" si="543"/>
        <v>0</v>
      </c>
    </row>
    <row r="835" spans="1:32" x14ac:dyDescent="0.35">
      <c r="A835" s="269"/>
      <c r="B835" s="83"/>
      <c r="C835" s="83"/>
      <c r="D835" s="85"/>
      <c r="E835" s="83"/>
      <c r="F835" s="83"/>
      <c r="G835" s="43"/>
      <c r="H835" s="233"/>
      <c r="I835" s="42"/>
      <c r="J835" s="42"/>
      <c r="K835" s="42"/>
      <c r="L835" s="44"/>
      <c r="M835" s="44"/>
      <c r="N835" s="44"/>
      <c r="O835" s="44"/>
      <c r="P835" s="44"/>
      <c r="Q835" s="227"/>
      <c r="R835" s="228"/>
      <c r="S835" s="228"/>
      <c r="T835" s="228"/>
      <c r="U835" s="191">
        <f t="shared" si="544"/>
        <v>0</v>
      </c>
      <c r="V835" s="86"/>
      <c r="W835" s="45"/>
      <c r="X835" s="46"/>
      <c r="Y835" s="167">
        <f t="shared" si="545"/>
        <v>0</v>
      </c>
      <c r="Z835" s="167">
        <f t="shared" si="546"/>
        <v>0</v>
      </c>
      <c r="AA835" s="167">
        <f t="shared" si="547"/>
        <v>0</v>
      </c>
      <c r="AB835" s="167">
        <f t="shared" si="548"/>
        <v>0</v>
      </c>
      <c r="AC835" s="167">
        <f t="shared" si="549"/>
        <v>0</v>
      </c>
      <c r="AD835" s="167">
        <f t="shared" si="550"/>
        <v>0</v>
      </c>
      <c r="AF835" s="47">
        <f t="shared" si="543"/>
        <v>0</v>
      </c>
    </row>
    <row r="836" spans="1:32" x14ac:dyDescent="0.35">
      <c r="A836" s="269"/>
      <c r="B836" s="83"/>
      <c r="C836" s="83"/>
      <c r="D836" s="85"/>
      <c r="E836" s="83"/>
      <c r="F836" s="83"/>
      <c r="G836" s="43"/>
      <c r="H836" s="233"/>
      <c r="I836" s="42"/>
      <c r="J836" s="42"/>
      <c r="K836" s="42"/>
      <c r="L836" s="44"/>
      <c r="M836" s="44"/>
      <c r="N836" s="44"/>
      <c r="O836" s="44"/>
      <c r="P836" s="44"/>
      <c r="Q836" s="227"/>
      <c r="R836" s="228"/>
      <c r="S836" s="228"/>
      <c r="T836" s="228"/>
      <c r="U836" s="191">
        <f t="shared" si="544"/>
        <v>0</v>
      </c>
      <c r="V836" s="86"/>
      <c r="W836" s="45"/>
      <c r="X836" s="46"/>
      <c r="Y836" s="167">
        <f t="shared" si="545"/>
        <v>0</v>
      </c>
      <c r="Z836" s="167">
        <f t="shared" si="546"/>
        <v>0</v>
      </c>
      <c r="AA836" s="167">
        <f t="shared" si="547"/>
        <v>0</v>
      </c>
      <c r="AB836" s="167">
        <f t="shared" si="548"/>
        <v>0</v>
      </c>
      <c r="AC836" s="167">
        <f t="shared" si="549"/>
        <v>0</v>
      </c>
      <c r="AD836" s="167">
        <f t="shared" si="550"/>
        <v>0</v>
      </c>
      <c r="AF836" s="47">
        <f t="shared" si="543"/>
        <v>0</v>
      </c>
    </row>
    <row r="837" spans="1:32" x14ac:dyDescent="0.35">
      <c r="A837" s="269"/>
      <c r="B837" s="83"/>
      <c r="C837" s="83"/>
      <c r="D837" s="85"/>
      <c r="E837" s="83"/>
      <c r="F837" s="83"/>
      <c r="G837" s="43"/>
      <c r="H837" s="233"/>
      <c r="I837" s="42"/>
      <c r="J837" s="42"/>
      <c r="K837" s="42"/>
      <c r="L837" s="44"/>
      <c r="M837" s="44"/>
      <c r="N837" s="44"/>
      <c r="O837" s="44"/>
      <c r="P837" s="44"/>
      <c r="Q837" s="227"/>
      <c r="R837" s="228"/>
      <c r="S837" s="228"/>
      <c r="T837" s="228"/>
      <c r="U837" s="191">
        <f t="shared" si="544"/>
        <v>0</v>
      </c>
      <c r="V837" s="86"/>
      <c r="W837" s="45"/>
      <c r="X837" s="46"/>
      <c r="Y837" s="167">
        <f t="shared" si="545"/>
        <v>0</v>
      </c>
      <c r="Z837" s="167">
        <f t="shared" si="546"/>
        <v>0</v>
      </c>
      <c r="AA837" s="167">
        <f t="shared" si="547"/>
        <v>0</v>
      </c>
      <c r="AB837" s="167">
        <f t="shared" si="548"/>
        <v>0</v>
      </c>
      <c r="AC837" s="167">
        <f t="shared" si="549"/>
        <v>0</v>
      </c>
      <c r="AD837" s="167">
        <f t="shared" si="550"/>
        <v>0</v>
      </c>
      <c r="AF837" s="47">
        <f t="shared" si="543"/>
        <v>0</v>
      </c>
    </row>
    <row r="838" spans="1:32" x14ac:dyDescent="0.35">
      <c r="A838" s="269"/>
      <c r="B838" s="83"/>
      <c r="C838" s="83"/>
      <c r="D838" s="85"/>
      <c r="E838" s="83"/>
      <c r="F838" s="83"/>
      <c r="G838" s="43"/>
      <c r="H838" s="233"/>
      <c r="I838" s="42"/>
      <c r="J838" s="42"/>
      <c r="K838" s="42"/>
      <c r="L838" s="44"/>
      <c r="M838" s="44"/>
      <c r="N838" s="44"/>
      <c r="O838" s="44"/>
      <c r="P838" s="44"/>
      <c r="Q838" s="227"/>
      <c r="R838" s="228"/>
      <c r="S838" s="228"/>
      <c r="T838" s="228"/>
      <c r="U838" s="191">
        <f t="shared" si="544"/>
        <v>0</v>
      </c>
      <c r="V838" s="86"/>
      <c r="W838" s="45"/>
      <c r="X838" s="46"/>
      <c r="Y838" s="167">
        <f t="shared" si="545"/>
        <v>0</v>
      </c>
      <c r="Z838" s="167">
        <f t="shared" si="546"/>
        <v>0</v>
      </c>
      <c r="AA838" s="167">
        <f t="shared" si="547"/>
        <v>0</v>
      </c>
      <c r="AB838" s="167">
        <f t="shared" si="548"/>
        <v>0</v>
      </c>
      <c r="AC838" s="167">
        <f t="shared" si="549"/>
        <v>0</v>
      </c>
      <c r="AD838" s="167">
        <f t="shared" si="550"/>
        <v>0</v>
      </c>
      <c r="AF838" s="47">
        <f t="shared" si="543"/>
        <v>0</v>
      </c>
    </row>
    <row r="839" spans="1:32" x14ac:dyDescent="0.35">
      <c r="A839" s="269"/>
      <c r="B839" s="83"/>
      <c r="C839" s="83"/>
      <c r="D839" s="85"/>
      <c r="E839" s="83"/>
      <c r="F839" s="83"/>
      <c r="G839" s="43"/>
      <c r="H839" s="233"/>
      <c r="I839" s="42"/>
      <c r="J839" s="42"/>
      <c r="K839" s="42"/>
      <c r="L839" s="44"/>
      <c r="M839" s="44"/>
      <c r="N839" s="44"/>
      <c r="O839" s="44"/>
      <c r="P839" s="44"/>
      <c r="Q839" s="227"/>
      <c r="R839" s="228"/>
      <c r="S839" s="228"/>
      <c r="T839" s="228"/>
      <c r="U839" s="191">
        <f t="shared" si="544"/>
        <v>0</v>
      </c>
      <c r="V839" s="86"/>
      <c r="W839" s="45"/>
      <c r="X839" s="46"/>
      <c r="Y839" s="167">
        <f t="shared" si="545"/>
        <v>0</v>
      </c>
      <c r="Z839" s="167">
        <f t="shared" si="546"/>
        <v>0</v>
      </c>
      <c r="AA839" s="167">
        <f t="shared" si="547"/>
        <v>0</v>
      </c>
      <c r="AB839" s="167">
        <f t="shared" si="548"/>
        <v>0</v>
      </c>
      <c r="AC839" s="167">
        <f t="shared" si="549"/>
        <v>0</v>
      </c>
      <c r="AD839" s="167">
        <f t="shared" si="550"/>
        <v>0</v>
      </c>
      <c r="AF839" s="47">
        <f t="shared" si="543"/>
        <v>0</v>
      </c>
    </row>
    <row r="840" spans="1:32" x14ac:dyDescent="0.35">
      <c r="A840" s="269"/>
      <c r="B840" s="83"/>
      <c r="C840" s="83"/>
      <c r="D840" s="85"/>
      <c r="E840" s="83"/>
      <c r="F840" s="83"/>
      <c r="G840" s="43"/>
      <c r="H840" s="233"/>
      <c r="I840" s="42"/>
      <c r="J840" s="42"/>
      <c r="K840" s="42"/>
      <c r="L840" s="44"/>
      <c r="M840" s="44"/>
      <c r="N840" s="44"/>
      <c r="O840" s="44"/>
      <c r="P840" s="44"/>
      <c r="Q840" s="227"/>
      <c r="R840" s="228"/>
      <c r="S840" s="228"/>
      <c r="T840" s="228"/>
      <c r="U840" s="191">
        <f t="shared" si="544"/>
        <v>0</v>
      </c>
      <c r="V840" s="86"/>
      <c r="W840" s="45"/>
      <c r="X840" s="46"/>
      <c r="Y840" s="167">
        <f t="shared" si="545"/>
        <v>0</v>
      </c>
      <c r="Z840" s="167">
        <f t="shared" si="546"/>
        <v>0</v>
      </c>
      <c r="AA840" s="167">
        <f t="shared" si="547"/>
        <v>0</v>
      </c>
      <c r="AB840" s="167">
        <f t="shared" si="548"/>
        <v>0</v>
      </c>
      <c r="AC840" s="167">
        <f t="shared" si="549"/>
        <v>0</v>
      </c>
      <c r="AD840" s="167">
        <f t="shared" si="550"/>
        <v>0</v>
      </c>
      <c r="AF840" s="47">
        <f t="shared" si="543"/>
        <v>0</v>
      </c>
    </row>
    <row r="841" spans="1:32" x14ac:dyDescent="0.35">
      <c r="A841" s="269"/>
      <c r="B841" s="83"/>
      <c r="C841" s="83"/>
      <c r="D841" s="85"/>
      <c r="E841" s="83"/>
      <c r="F841" s="83"/>
      <c r="G841" s="43"/>
      <c r="H841" s="233"/>
      <c r="I841" s="42"/>
      <c r="J841" s="42"/>
      <c r="K841" s="42"/>
      <c r="L841" s="44"/>
      <c r="M841" s="44"/>
      <c r="N841" s="44"/>
      <c r="O841" s="44"/>
      <c r="P841" s="44"/>
      <c r="Q841" s="227"/>
      <c r="R841" s="228"/>
      <c r="S841" s="228"/>
      <c r="T841" s="228"/>
      <c r="U841" s="191">
        <f t="shared" si="544"/>
        <v>0</v>
      </c>
      <c r="V841" s="86"/>
      <c r="W841" s="45"/>
      <c r="X841" s="46"/>
      <c r="Y841" s="167">
        <f t="shared" si="545"/>
        <v>0</v>
      </c>
      <c r="Z841" s="167">
        <f t="shared" si="546"/>
        <v>0</v>
      </c>
      <c r="AA841" s="167">
        <f t="shared" si="547"/>
        <v>0</v>
      </c>
      <c r="AB841" s="167">
        <f t="shared" si="548"/>
        <v>0</v>
      </c>
      <c r="AC841" s="167">
        <f t="shared" si="549"/>
        <v>0</v>
      </c>
      <c r="AD841" s="167">
        <f t="shared" si="550"/>
        <v>0</v>
      </c>
      <c r="AF841" s="47">
        <f t="shared" si="543"/>
        <v>0</v>
      </c>
    </row>
    <row r="842" spans="1:32" x14ac:dyDescent="0.35">
      <c r="A842" s="269"/>
      <c r="B842" s="83"/>
      <c r="C842" s="83"/>
      <c r="D842" s="85"/>
      <c r="E842" s="83"/>
      <c r="F842" s="83"/>
      <c r="G842" s="43"/>
      <c r="H842" s="233"/>
      <c r="I842" s="42"/>
      <c r="J842" s="42"/>
      <c r="K842" s="42"/>
      <c r="L842" s="44"/>
      <c r="M842" s="44"/>
      <c r="N842" s="44"/>
      <c r="O842" s="44"/>
      <c r="P842" s="44"/>
      <c r="Q842" s="227"/>
      <c r="R842" s="228"/>
      <c r="S842" s="228"/>
      <c r="T842" s="228"/>
      <c r="U842" s="191">
        <f t="shared" si="544"/>
        <v>0</v>
      </c>
      <c r="V842" s="86"/>
      <c r="W842" s="45"/>
      <c r="X842" s="46"/>
      <c r="Y842" s="167">
        <f t="shared" si="545"/>
        <v>0</v>
      </c>
      <c r="Z842" s="167">
        <f t="shared" si="546"/>
        <v>0</v>
      </c>
      <c r="AA842" s="167">
        <f t="shared" si="547"/>
        <v>0</v>
      </c>
      <c r="AB842" s="167">
        <f t="shared" si="548"/>
        <v>0</v>
      </c>
      <c r="AC842" s="167">
        <f t="shared" si="549"/>
        <v>0</v>
      </c>
      <c r="AD842" s="167">
        <f t="shared" si="550"/>
        <v>0</v>
      </c>
      <c r="AF842" s="47">
        <f t="shared" si="543"/>
        <v>0</v>
      </c>
    </row>
    <row r="843" spans="1:32" x14ac:dyDescent="0.35">
      <c r="A843" s="269"/>
      <c r="B843" s="83"/>
      <c r="C843" s="83"/>
      <c r="D843" s="85"/>
      <c r="E843" s="83"/>
      <c r="F843" s="83"/>
      <c r="G843" s="43"/>
      <c r="H843" s="233"/>
      <c r="I843" s="42"/>
      <c r="J843" s="42"/>
      <c r="K843" s="42"/>
      <c r="L843" s="44"/>
      <c r="M843" s="44"/>
      <c r="N843" s="44"/>
      <c r="O843" s="44"/>
      <c r="P843" s="44"/>
      <c r="Q843" s="227"/>
      <c r="R843" s="228"/>
      <c r="S843" s="228"/>
      <c r="T843" s="228"/>
      <c r="U843" s="191">
        <f t="shared" si="544"/>
        <v>0</v>
      </c>
      <c r="V843" s="86"/>
      <c r="W843" s="45"/>
      <c r="X843" s="46"/>
      <c r="Y843" s="167">
        <f t="shared" si="545"/>
        <v>0</v>
      </c>
      <c r="Z843" s="167">
        <f t="shared" si="546"/>
        <v>0</v>
      </c>
      <c r="AA843" s="167">
        <f t="shared" si="547"/>
        <v>0</v>
      </c>
      <c r="AB843" s="167">
        <f t="shared" si="548"/>
        <v>0</v>
      </c>
      <c r="AC843" s="167">
        <f t="shared" si="549"/>
        <v>0</v>
      </c>
      <c r="AD843" s="167">
        <f t="shared" si="550"/>
        <v>0</v>
      </c>
      <c r="AF843" s="47">
        <f t="shared" si="543"/>
        <v>0</v>
      </c>
    </row>
    <row r="844" spans="1:32" x14ac:dyDescent="0.35">
      <c r="A844" s="269"/>
      <c r="B844" s="83"/>
      <c r="C844" s="83"/>
      <c r="D844" s="85"/>
      <c r="E844" s="83"/>
      <c r="F844" s="83"/>
      <c r="G844" s="43"/>
      <c r="H844" s="233"/>
      <c r="I844" s="42"/>
      <c r="J844" s="42"/>
      <c r="K844" s="42"/>
      <c r="L844" s="44"/>
      <c r="M844" s="44"/>
      <c r="N844" s="44"/>
      <c r="O844" s="44"/>
      <c r="P844" s="44"/>
      <c r="Q844" s="227"/>
      <c r="R844" s="228"/>
      <c r="S844" s="228"/>
      <c r="T844" s="228"/>
      <c r="U844" s="191">
        <f t="shared" si="544"/>
        <v>0</v>
      </c>
      <c r="V844" s="86"/>
      <c r="W844" s="45"/>
      <c r="X844" s="46"/>
      <c r="Y844" s="167">
        <f t="shared" si="545"/>
        <v>0</v>
      </c>
      <c r="Z844" s="167">
        <f t="shared" si="546"/>
        <v>0</v>
      </c>
      <c r="AA844" s="167">
        <f t="shared" si="547"/>
        <v>0</v>
      </c>
      <c r="AB844" s="167">
        <f t="shared" si="548"/>
        <v>0</v>
      </c>
      <c r="AC844" s="167">
        <f t="shared" si="549"/>
        <v>0</v>
      </c>
      <c r="AD844" s="167">
        <f t="shared" si="550"/>
        <v>0</v>
      </c>
      <c r="AF844" s="47">
        <f t="shared" si="543"/>
        <v>0</v>
      </c>
    </row>
    <row r="845" spans="1:32" x14ac:dyDescent="0.35">
      <c r="A845" s="269"/>
      <c r="B845" s="83"/>
      <c r="C845" s="83"/>
      <c r="D845" s="85"/>
      <c r="E845" s="83"/>
      <c r="F845" s="83"/>
      <c r="G845" s="43"/>
      <c r="H845" s="233"/>
      <c r="I845" s="42"/>
      <c r="J845" s="42"/>
      <c r="K845" s="42"/>
      <c r="L845" s="44"/>
      <c r="M845" s="44"/>
      <c r="N845" s="44"/>
      <c r="O845" s="44"/>
      <c r="P845" s="44"/>
      <c r="Q845" s="227"/>
      <c r="R845" s="228"/>
      <c r="S845" s="228"/>
      <c r="T845" s="228"/>
      <c r="U845" s="191">
        <f t="shared" si="544"/>
        <v>0</v>
      </c>
      <c r="V845" s="86"/>
      <c r="W845" s="45"/>
      <c r="X845" s="46"/>
      <c r="Y845" s="167">
        <f t="shared" si="545"/>
        <v>0</v>
      </c>
      <c r="Z845" s="167">
        <f t="shared" si="546"/>
        <v>0</v>
      </c>
      <c r="AA845" s="167">
        <f t="shared" si="547"/>
        <v>0</v>
      </c>
      <c r="AB845" s="167">
        <f t="shared" si="548"/>
        <v>0</v>
      </c>
      <c r="AC845" s="167">
        <f t="shared" si="549"/>
        <v>0</v>
      </c>
      <c r="AD845" s="167">
        <f t="shared" si="550"/>
        <v>0</v>
      </c>
      <c r="AF845" s="47">
        <f t="shared" si="543"/>
        <v>0</v>
      </c>
    </row>
    <row r="846" spans="1:32" x14ac:dyDescent="0.35">
      <c r="A846" s="269"/>
      <c r="B846" s="83"/>
      <c r="C846" s="83"/>
      <c r="D846" s="85"/>
      <c r="E846" s="83"/>
      <c r="F846" s="83"/>
      <c r="G846" s="43"/>
      <c r="H846" s="233"/>
      <c r="I846" s="42"/>
      <c r="J846" s="42"/>
      <c r="K846" s="42"/>
      <c r="L846" s="44"/>
      <c r="M846" s="44"/>
      <c r="N846" s="44"/>
      <c r="O846" s="44"/>
      <c r="P846" s="44"/>
      <c r="Q846" s="227"/>
      <c r="R846" s="228"/>
      <c r="S846" s="228"/>
      <c r="T846" s="228"/>
      <c r="U846" s="191">
        <f t="shared" si="544"/>
        <v>0</v>
      </c>
      <c r="V846" s="86"/>
      <c r="W846" s="45"/>
      <c r="X846" s="46"/>
      <c r="Y846" s="167">
        <f t="shared" si="545"/>
        <v>0</v>
      </c>
      <c r="Z846" s="167">
        <f t="shared" si="546"/>
        <v>0</v>
      </c>
      <c r="AA846" s="167">
        <f t="shared" si="547"/>
        <v>0</v>
      </c>
      <c r="AB846" s="167">
        <f t="shared" si="548"/>
        <v>0</v>
      </c>
      <c r="AC846" s="167">
        <f t="shared" si="549"/>
        <v>0</v>
      </c>
      <c r="AD846" s="167">
        <f t="shared" si="550"/>
        <v>0</v>
      </c>
      <c r="AF846" s="47">
        <f t="shared" si="543"/>
        <v>0</v>
      </c>
    </row>
    <row r="847" spans="1:32" x14ac:dyDescent="0.35">
      <c r="A847" s="269"/>
      <c r="B847" s="83"/>
      <c r="C847" s="83"/>
      <c r="D847" s="85"/>
      <c r="E847" s="83"/>
      <c r="F847" s="83"/>
      <c r="G847" s="43"/>
      <c r="H847" s="233"/>
      <c r="I847" s="42"/>
      <c r="J847" s="42"/>
      <c r="K847" s="42"/>
      <c r="L847" s="44"/>
      <c r="M847" s="44"/>
      <c r="N847" s="44"/>
      <c r="O847" s="44"/>
      <c r="P847" s="44"/>
      <c r="Q847" s="227"/>
      <c r="R847" s="228"/>
      <c r="S847" s="228"/>
      <c r="T847" s="228"/>
      <c r="U847" s="191">
        <f t="shared" si="544"/>
        <v>0</v>
      </c>
      <c r="V847" s="86"/>
      <c r="W847" s="45"/>
      <c r="X847" s="46"/>
      <c r="Y847" s="167">
        <f t="shared" si="545"/>
        <v>0</v>
      </c>
      <c r="Z847" s="167">
        <f t="shared" si="546"/>
        <v>0</v>
      </c>
      <c r="AA847" s="167">
        <f t="shared" si="547"/>
        <v>0</v>
      </c>
      <c r="AB847" s="167">
        <f t="shared" si="548"/>
        <v>0</v>
      </c>
      <c r="AC847" s="167">
        <f t="shared" si="549"/>
        <v>0</v>
      </c>
      <c r="AD847" s="167">
        <f t="shared" si="550"/>
        <v>0</v>
      </c>
      <c r="AF847" s="47">
        <f t="shared" si="543"/>
        <v>0</v>
      </c>
    </row>
    <row r="848" spans="1:32" x14ac:dyDescent="0.35">
      <c r="A848" s="269"/>
      <c r="B848" s="83"/>
      <c r="C848" s="83"/>
      <c r="D848" s="85"/>
      <c r="E848" s="83"/>
      <c r="F848" s="83"/>
      <c r="G848" s="43"/>
      <c r="H848" s="233"/>
      <c r="I848" s="42"/>
      <c r="J848" s="42"/>
      <c r="K848" s="42"/>
      <c r="L848" s="44"/>
      <c r="M848" s="44"/>
      <c r="N848" s="44"/>
      <c r="O848" s="44"/>
      <c r="P848" s="44"/>
      <c r="Q848" s="227"/>
      <c r="R848" s="228"/>
      <c r="S848" s="228"/>
      <c r="T848" s="228"/>
      <c r="U848" s="191">
        <f t="shared" si="544"/>
        <v>0</v>
      </c>
      <c r="V848" s="86"/>
      <c r="W848" s="45"/>
      <c r="X848" s="46"/>
      <c r="Y848" s="167">
        <f t="shared" si="545"/>
        <v>0</v>
      </c>
      <c r="Z848" s="167">
        <f t="shared" si="546"/>
        <v>0</v>
      </c>
      <c r="AA848" s="167">
        <f t="shared" si="547"/>
        <v>0</v>
      </c>
      <c r="AB848" s="167">
        <f t="shared" si="548"/>
        <v>0</v>
      </c>
      <c r="AC848" s="167">
        <f t="shared" si="549"/>
        <v>0</v>
      </c>
      <c r="AD848" s="167">
        <f t="shared" si="550"/>
        <v>0</v>
      </c>
      <c r="AF848" s="47">
        <f t="shared" si="543"/>
        <v>0</v>
      </c>
    </row>
    <row r="849" spans="1:32" x14ac:dyDescent="0.35">
      <c r="A849" s="269"/>
      <c r="B849" s="83"/>
      <c r="C849" s="83"/>
      <c r="D849" s="85"/>
      <c r="E849" s="83"/>
      <c r="F849" s="83"/>
      <c r="G849" s="43"/>
      <c r="H849" s="233"/>
      <c r="I849" s="42"/>
      <c r="J849" s="42"/>
      <c r="K849" s="42"/>
      <c r="L849" s="44"/>
      <c r="M849" s="44"/>
      <c r="N849" s="44"/>
      <c r="O849" s="44"/>
      <c r="P849" s="44"/>
      <c r="Q849" s="227"/>
      <c r="R849" s="228"/>
      <c r="S849" s="228"/>
      <c r="T849" s="228"/>
      <c r="U849" s="191">
        <f t="shared" si="544"/>
        <v>0</v>
      </c>
      <c r="V849" s="86"/>
      <c r="W849" s="45"/>
      <c r="X849" s="46"/>
      <c r="Y849" s="167">
        <f t="shared" si="545"/>
        <v>0</v>
      </c>
      <c r="Z849" s="167">
        <f t="shared" si="546"/>
        <v>0</v>
      </c>
      <c r="AA849" s="167">
        <f t="shared" si="547"/>
        <v>0</v>
      </c>
      <c r="AB849" s="167">
        <f t="shared" si="548"/>
        <v>0</v>
      </c>
      <c r="AC849" s="167">
        <f t="shared" si="549"/>
        <v>0</v>
      </c>
      <c r="AD849" s="167">
        <f t="shared" si="550"/>
        <v>0</v>
      </c>
      <c r="AF849" s="47">
        <f t="shared" si="543"/>
        <v>0</v>
      </c>
    </row>
    <row r="850" spans="1:32" x14ac:dyDescent="0.35">
      <c r="A850" s="269"/>
      <c r="B850" s="83"/>
      <c r="C850" s="83"/>
      <c r="D850" s="85"/>
      <c r="E850" s="83"/>
      <c r="F850" s="83"/>
      <c r="G850" s="43"/>
      <c r="H850" s="233"/>
      <c r="I850" s="42"/>
      <c r="J850" s="42"/>
      <c r="K850" s="42"/>
      <c r="L850" s="44"/>
      <c r="M850" s="44"/>
      <c r="N850" s="44"/>
      <c r="O850" s="44"/>
      <c r="P850" s="44"/>
      <c r="Q850" s="227"/>
      <c r="R850" s="228"/>
      <c r="S850" s="228"/>
      <c r="T850" s="228"/>
      <c r="U850" s="191">
        <f t="shared" si="544"/>
        <v>0</v>
      </c>
      <c r="V850" s="86"/>
      <c r="W850" s="45"/>
      <c r="X850" s="46"/>
      <c r="Y850" s="167">
        <f t="shared" si="545"/>
        <v>0</v>
      </c>
      <c r="Z850" s="167">
        <f t="shared" si="546"/>
        <v>0</v>
      </c>
      <c r="AA850" s="167">
        <f t="shared" si="547"/>
        <v>0</v>
      </c>
      <c r="AB850" s="167">
        <f t="shared" si="548"/>
        <v>0</v>
      </c>
      <c r="AC850" s="167">
        <f t="shared" si="549"/>
        <v>0</v>
      </c>
      <c r="AD850" s="167">
        <f t="shared" si="550"/>
        <v>0</v>
      </c>
      <c r="AF850" s="47">
        <f t="shared" si="543"/>
        <v>0</v>
      </c>
    </row>
    <row r="851" spans="1:32" x14ac:dyDescent="0.35">
      <c r="A851" s="269"/>
      <c r="B851" s="83"/>
      <c r="C851" s="83"/>
      <c r="D851" s="85"/>
      <c r="E851" s="83"/>
      <c r="F851" s="83"/>
      <c r="G851" s="43"/>
      <c r="H851" s="233"/>
      <c r="I851" s="42"/>
      <c r="J851" s="42"/>
      <c r="K851" s="42"/>
      <c r="L851" s="44"/>
      <c r="M851" s="44"/>
      <c r="N851" s="44"/>
      <c r="O851" s="44"/>
      <c r="P851" s="44"/>
      <c r="Q851" s="227"/>
      <c r="R851" s="228"/>
      <c r="S851" s="228"/>
      <c r="T851" s="228"/>
      <c r="U851" s="191">
        <f t="shared" si="544"/>
        <v>0</v>
      </c>
      <c r="V851" s="86"/>
      <c r="W851" s="45"/>
      <c r="X851" s="46"/>
      <c r="Y851" s="167">
        <f t="shared" si="545"/>
        <v>0</v>
      </c>
      <c r="Z851" s="167">
        <f t="shared" si="546"/>
        <v>0</v>
      </c>
      <c r="AA851" s="167">
        <f t="shared" si="547"/>
        <v>0</v>
      </c>
      <c r="AB851" s="167">
        <f t="shared" si="548"/>
        <v>0</v>
      </c>
      <c r="AC851" s="167">
        <f t="shared" si="549"/>
        <v>0</v>
      </c>
      <c r="AD851" s="167">
        <f t="shared" si="550"/>
        <v>0</v>
      </c>
      <c r="AF851" s="47">
        <f t="shared" si="543"/>
        <v>0</v>
      </c>
    </row>
    <row r="852" spans="1:32" x14ac:dyDescent="0.35">
      <c r="A852" s="269"/>
      <c r="B852" s="83"/>
      <c r="C852" s="83"/>
      <c r="D852" s="85"/>
      <c r="E852" s="83"/>
      <c r="F852" s="83"/>
      <c r="G852" s="43"/>
      <c r="H852" s="233"/>
      <c r="I852" s="42"/>
      <c r="J852" s="42"/>
      <c r="K852" s="42"/>
      <c r="L852" s="44"/>
      <c r="M852" s="44"/>
      <c r="N852" s="44"/>
      <c r="O852" s="44"/>
      <c r="P852" s="44"/>
      <c r="Q852" s="227"/>
      <c r="R852" s="228"/>
      <c r="S852" s="228"/>
      <c r="T852" s="228"/>
      <c r="U852" s="191">
        <f t="shared" si="544"/>
        <v>0</v>
      </c>
      <c r="V852" s="86"/>
      <c r="W852" s="45"/>
      <c r="X852" s="46"/>
      <c r="Y852" s="167">
        <f t="shared" si="545"/>
        <v>0</v>
      </c>
      <c r="Z852" s="167">
        <f t="shared" si="546"/>
        <v>0</v>
      </c>
      <c r="AA852" s="167">
        <f t="shared" si="547"/>
        <v>0</v>
      </c>
      <c r="AB852" s="167">
        <f t="shared" si="548"/>
        <v>0</v>
      </c>
      <c r="AC852" s="167">
        <f t="shared" si="549"/>
        <v>0</v>
      </c>
      <c r="AD852" s="167">
        <f t="shared" si="550"/>
        <v>0</v>
      </c>
      <c r="AF852" s="47">
        <f t="shared" ref="AF852:AF915" si="551">IF(S852&lt;&gt;"",1,0)</f>
        <v>0</v>
      </c>
    </row>
    <row r="853" spans="1:32" x14ac:dyDescent="0.35">
      <c r="A853" s="269"/>
      <c r="B853" s="83"/>
      <c r="C853" s="83"/>
      <c r="D853" s="85"/>
      <c r="E853" s="83"/>
      <c r="F853" s="83"/>
      <c r="G853" s="43"/>
      <c r="H853" s="233"/>
      <c r="I853" s="42"/>
      <c r="J853" s="42"/>
      <c r="K853" s="42"/>
      <c r="L853" s="44"/>
      <c r="M853" s="44"/>
      <c r="N853" s="44"/>
      <c r="O853" s="44"/>
      <c r="P853" s="44"/>
      <c r="Q853" s="227"/>
      <c r="R853" s="228"/>
      <c r="S853" s="228"/>
      <c r="T853" s="228"/>
      <c r="U853" s="191">
        <f t="shared" si="544"/>
        <v>0</v>
      </c>
      <c r="V853" s="86"/>
      <c r="W853" s="45"/>
      <c r="X853" s="46"/>
      <c r="Y853" s="167">
        <f t="shared" si="545"/>
        <v>0</v>
      </c>
      <c r="Z853" s="167">
        <f t="shared" si="546"/>
        <v>0</v>
      </c>
      <c r="AA853" s="167">
        <f t="shared" si="547"/>
        <v>0</v>
      </c>
      <c r="AB853" s="167">
        <f t="shared" si="548"/>
        <v>0</v>
      </c>
      <c r="AC853" s="167">
        <f t="shared" si="549"/>
        <v>0</v>
      </c>
      <c r="AD853" s="167">
        <f t="shared" si="550"/>
        <v>0</v>
      </c>
      <c r="AF853" s="47">
        <f t="shared" si="551"/>
        <v>0</v>
      </c>
    </row>
    <row r="854" spans="1:32" x14ac:dyDescent="0.35">
      <c r="A854" s="269"/>
      <c r="B854" s="83"/>
      <c r="C854" s="83"/>
      <c r="D854" s="85"/>
      <c r="E854" s="83"/>
      <c r="F854" s="83"/>
      <c r="G854" s="43"/>
      <c r="H854" s="233"/>
      <c r="I854" s="42"/>
      <c r="J854" s="42"/>
      <c r="K854" s="42"/>
      <c r="L854" s="44"/>
      <c r="M854" s="44"/>
      <c r="N854" s="44"/>
      <c r="O854" s="44"/>
      <c r="P854" s="44"/>
      <c r="Q854" s="227"/>
      <c r="R854" s="228"/>
      <c r="S854" s="228"/>
      <c r="T854" s="228"/>
      <c r="U854" s="191">
        <f t="shared" si="544"/>
        <v>0</v>
      </c>
      <c r="V854" s="86"/>
      <c r="W854" s="45"/>
      <c r="X854" s="46"/>
      <c r="Y854" s="167">
        <f t="shared" si="545"/>
        <v>0</v>
      </c>
      <c r="Z854" s="167">
        <f t="shared" si="546"/>
        <v>0</v>
      </c>
      <c r="AA854" s="167">
        <f t="shared" si="547"/>
        <v>0</v>
      </c>
      <c r="AB854" s="167">
        <f t="shared" si="548"/>
        <v>0</v>
      </c>
      <c r="AC854" s="167">
        <f t="shared" si="549"/>
        <v>0</v>
      </c>
      <c r="AD854" s="167">
        <f t="shared" si="550"/>
        <v>0</v>
      </c>
      <c r="AF854" s="47">
        <f t="shared" si="551"/>
        <v>0</v>
      </c>
    </row>
    <row r="855" spans="1:32" x14ac:dyDescent="0.35">
      <c r="A855" s="269"/>
      <c r="B855" s="83"/>
      <c r="C855" s="83"/>
      <c r="D855" s="85"/>
      <c r="E855" s="83"/>
      <c r="F855" s="83"/>
      <c r="G855" s="43"/>
      <c r="H855" s="233"/>
      <c r="I855" s="42"/>
      <c r="J855" s="42"/>
      <c r="K855" s="42"/>
      <c r="L855" s="44"/>
      <c r="M855" s="44"/>
      <c r="N855" s="44"/>
      <c r="O855" s="44"/>
      <c r="P855" s="44"/>
      <c r="Q855" s="227"/>
      <c r="R855" s="228"/>
      <c r="S855" s="228"/>
      <c r="T855" s="228"/>
      <c r="U855" s="191">
        <f t="shared" si="544"/>
        <v>0</v>
      </c>
      <c r="V855" s="86"/>
      <c r="W855" s="45"/>
      <c r="X855" s="46"/>
      <c r="Y855" s="167">
        <f t="shared" si="545"/>
        <v>0</v>
      </c>
      <c r="Z855" s="167">
        <f t="shared" si="546"/>
        <v>0</v>
      </c>
      <c r="AA855" s="167">
        <f t="shared" si="547"/>
        <v>0</v>
      </c>
      <c r="AB855" s="167">
        <f t="shared" si="548"/>
        <v>0</v>
      </c>
      <c r="AC855" s="167">
        <f t="shared" si="549"/>
        <v>0</v>
      </c>
      <c r="AD855" s="167">
        <f t="shared" si="550"/>
        <v>0</v>
      </c>
      <c r="AF855" s="47">
        <f t="shared" si="551"/>
        <v>0</v>
      </c>
    </row>
    <row r="856" spans="1:32" x14ac:dyDescent="0.35">
      <c r="A856" s="269"/>
      <c r="B856" s="83"/>
      <c r="C856" s="83"/>
      <c r="D856" s="85"/>
      <c r="E856" s="83"/>
      <c r="F856" s="83"/>
      <c r="G856" s="43"/>
      <c r="H856" s="233"/>
      <c r="I856" s="42"/>
      <c r="J856" s="42"/>
      <c r="K856" s="42"/>
      <c r="L856" s="44"/>
      <c r="M856" s="44"/>
      <c r="N856" s="44"/>
      <c r="O856" s="44"/>
      <c r="P856" s="44"/>
      <c r="Q856" s="227"/>
      <c r="R856" s="228"/>
      <c r="S856" s="228"/>
      <c r="T856" s="228"/>
      <c r="U856" s="191">
        <f t="shared" si="544"/>
        <v>0</v>
      </c>
      <c r="V856" s="86"/>
      <c r="W856" s="45"/>
      <c r="X856" s="46"/>
      <c r="Y856" s="167">
        <f t="shared" si="545"/>
        <v>0</v>
      </c>
      <c r="Z856" s="167">
        <f t="shared" si="546"/>
        <v>0</v>
      </c>
      <c r="AA856" s="167">
        <f t="shared" si="547"/>
        <v>0</v>
      </c>
      <c r="AB856" s="167">
        <f t="shared" si="548"/>
        <v>0</v>
      </c>
      <c r="AC856" s="167">
        <f t="shared" si="549"/>
        <v>0</v>
      </c>
      <c r="AD856" s="167">
        <f t="shared" si="550"/>
        <v>0</v>
      </c>
      <c r="AF856" s="47">
        <f t="shared" si="551"/>
        <v>0</v>
      </c>
    </row>
    <row r="857" spans="1:32" x14ac:dyDescent="0.35">
      <c r="A857" s="269"/>
      <c r="B857" s="83"/>
      <c r="C857" s="83"/>
      <c r="D857" s="85"/>
      <c r="E857" s="83"/>
      <c r="F857" s="83"/>
      <c r="G857" s="43"/>
      <c r="H857" s="233"/>
      <c r="I857" s="42"/>
      <c r="J857" s="42"/>
      <c r="K857" s="42"/>
      <c r="L857" s="44"/>
      <c r="M857" s="44"/>
      <c r="N857" s="44"/>
      <c r="O857" s="44"/>
      <c r="P857" s="44"/>
      <c r="Q857" s="227"/>
      <c r="R857" s="228"/>
      <c r="S857" s="228"/>
      <c r="T857" s="228"/>
      <c r="U857" s="191">
        <f t="shared" si="544"/>
        <v>0</v>
      </c>
      <c r="V857" s="86"/>
      <c r="W857" s="45"/>
      <c r="X857" s="46"/>
      <c r="Y857" s="167">
        <f t="shared" si="545"/>
        <v>0</v>
      </c>
      <c r="Z857" s="167">
        <f t="shared" si="546"/>
        <v>0</v>
      </c>
      <c r="AA857" s="167">
        <f t="shared" si="547"/>
        <v>0</v>
      </c>
      <c r="AB857" s="167">
        <f t="shared" si="548"/>
        <v>0</v>
      </c>
      <c r="AC857" s="167">
        <f t="shared" si="549"/>
        <v>0</v>
      </c>
      <c r="AD857" s="167">
        <f t="shared" si="550"/>
        <v>0</v>
      </c>
      <c r="AF857" s="47">
        <f t="shared" si="551"/>
        <v>0</v>
      </c>
    </row>
    <row r="858" spans="1:32" x14ac:dyDescent="0.35">
      <c r="A858" s="269"/>
      <c r="B858" s="83"/>
      <c r="C858" s="83"/>
      <c r="D858" s="85"/>
      <c r="E858" s="83"/>
      <c r="F858" s="83"/>
      <c r="G858" s="43"/>
      <c r="H858" s="233"/>
      <c r="I858" s="42"/>
      <c r="J858" s="42"/>
      <c r="K858" s="42"/>
      <c r="L858" s="44"/>
      <c r="M858" s="44"/>
      <c r="N858" s="44"/>
      <c r="O858" s="44"/>
      <c r="P858" s="44"/>
      <c r="Q858" s="227"/>
      <c r="R858" s="228"/>
      <c r="S858" s="228"/>
      <c r="T858" s="228"/>
      <c r="U858" s="191">
        <f t="shared" si="544"/>
        <v>0</v>
      </c>
      <c r="V858" s="86"/>
      <c r="W858" s="45"/>
      <c r="X858" s="46"/>
      <c r="Y858" s="167">
        <f t="shared" si="545"/>
        <v>0</v>
      </c>
      <c r="Z858" s="167">
        <f t="shared" si="546"/>
        <v>0</v>
      </c>
      <c r="AA858" s="167">
        <f t="shared" si="547"/>
        <v>0</v>
      </c>
      <c r="AB858" s="167">
        <f t="shared" si="548"/>
        <v>0</v>
      </c>
      <c r="AC858" s="167">
        <f t="shared" si="549"/>
        <v>0</v>
      </c>
      <c r="AD858" s="167">
        <f t="shared" si="550"/>
        <v>0</v>
      </c>
      <c r="AF858" s="47">
        <f t="shared" si="551"/>
        <v>0</v>
      </c>
    </row>
    <row r="859" spans="1:32" x14ac:dyDescent="0.35">
      <c r="A859" s="269"/>
      <c r="B859" s="83"/>
      <c r="C859" s="83"/>
      <c r="D859" s="85"/>
      <c r="E859" s="83"/>
      <c r="F859" s="83"/>
      <c r="G859" s="43"/>
      <c r="H859" s="233"/>
      <c r="I859" s="42"/>
      <c r="J859" s="42"/>
      <c r="K859" s="42"/>
      <c r="L859" s="44"/>
      <c r="M859" s="44"/>
      <c r="N859" s="44"/>
      <c r="O859" s="44"/>
      <c r="P859" s="44"/>
      <c r="Q859" s="227"/>
      <c r="R859" s="228"/>
      <c r="S859" s="228"/>
      <c r="T859" s="228"/>
      <c r="U859" s="191">
        <f t="shared" si="544"/>
        <v>0</v>
      </c>
      <c r="V859" s="86"/>
      <c r="W859" s="45"/>
      <c r="X859" s="46"/>
      <c r="Y859" s="167">
        <f t="shared" si="545"/>
        <v>0</v>
      </c>
      <c r="Z859" s="167">
        <f t="shared" si="546"/>
        <v>0</v>
      </c>
      <c r="AA859" s="167">
        <f t="shared" si="547"/>
        <v>0</v>
      </c>
      <c r="AB859" s="167">
        <f t="shared" si="548"/>
        <v>0</v>
      </c>
      <c r="AC859" s="167">
        <f t="shared" si="549"/>
        <v>0</v>
      </c>
      <c r="AD859" s="167">
        <f t="shared" si="550"/>
        <v>0</v>
      </c>
      <c r="AF859" s="47">
        <f t="shared" si="551"/>
        <v>0</v>
      </c>
    </row>
    <row r="860" spans="1:32" x14ac:dyDescent="0.35">
      <c r="A860" s="269"/>
      <c r="B860" s="83"/>
      <c r="C860" s="83"/>
      <c r="D860" s="85"/>
      <c r="E860" s="83"/>
      <c r="F860" s="83"/>
      <c r="G860" s="43"/>
      <c r="H860" s="233"/>
      <c r="I860" s="42"/>
      <c r="J860" s="42"/>
      <c r="K860" s="42"/>
      <c r="L860" s="44"/>
      <c r="M860" s="44"/>
      <c r="N860" s="44"/>
      <c r="O860" s="44"/>
      <c r="P860" s="44"/>
      <c r="Q860" s="227"/>
      <c r="R860" s="228"/>
      <c r="S860" s="228"/>
      <c r="T860" s="228"/>
      <c r="U860" s="191">
        <f t="shared" si="544"/>
        <v>0</v>
      </c>
      <c r="V860" s="86"/>
      <c r="W860" s="45"/>
      <c r="X860" s="46"/>
      <c r="Y860" s="167">
        <f t="shared" si="545"/>
        <v>0</v>
      </c>
      <c r="Z860" s="167">
        <f t="shared" si="546"/>
        <v>0</v>
      </c>
      <c r="AA860" s="167">
        <f t="shared" si="547"/>
        <v>0</v>
      </c>
      <c r="AB860" s="167">
        <f t="shared" si="548"/>
        <v>0</v>
      </c>
      <c r="AC860" s="167">
        <f t="shared" si="549"/>
        <v>0</v>
      </c>
      <c r="AD860" s="167">
        <f t="shared" si="550"/>
        <v>0</v>
      </c>
      <c r="AF860" s="47">
        <f t="shared" si="551"/>
        <v>0</v>
      </c>
    </row>
    <row r="861" spans="1:32" x14ac:dyDescent="0.35">
      <c r="A861" s="269"/>
      <c r="B861" s="83"/>
      <c r="C861" s="83"/>
      <c r="D861" s="85"/>
      <c r="E861" s="83"/>
      <c r="F861" s="83"/>
      <c r="G861" s="43"/>
      <c r="H861" s="233"/>
      <c r="I861" s="42"/>
      <c r="J861" s="42"/>
      <c r="K861" s="42"/>
      <c r="L861" s="44"/>
      <c r="M861" s="44"/>
      <c r="N861" s="44"/>
      <c r="O861" s="44"/>
      <c r="P861" s="44"/>
      <c r="Q861" s="227"/>
      <c r="R861" s="228"/>
      <c r="S861" s="228"/>
      <c r="T861" s="228"/>
      <c r="U861" s="191">
        <f t="shared" si="544"/>
        <v>0</v>
      </c>
      <c r="V861" s="86"/>
      <c r="W861" s="45"/>
      <c r="X861" s="46"/>
      <c r="Y861" s="167">
        <f t="shared" si="545"/>
        <v>0</v>
      </c>
      <c r="Z861" s="167">
        <f t="shared" si="546"/>
        <v>0</v>
      </c>
      <c r="AA861" s="167">
        <f t="shared" si="547"/>
        <v>0</v>
      </c>
      <c r="AB861" s="167">
        <f t="shared" si="548"/>
        <v>0</v>
      </c>
      <c r="AC861" s="167">
        <f t="shared" si="549"/>
        <v>0</v>
      </c>
      <c r="AD861" s="167">
        <f t="shared" si="550"/>
        <v>0</v>
      </c>
      <c r="AF861" s="47">
        <f t="shared" si="551"/>
        <v>0</v>
      </c>
    </row>
    <row r="862" spans="1:32" x14ac:dyDescent="0.35">
      <c r="A862" s="269"/>
      <c r="B862" s="83"/>
      <c r="C862" s="83"/>
      <c r="D862" s="85"/>
      <c r="E862" s="83"/>
      <c r="F862" s="83"/>
      <c r="G862" s="43"/>
      <c r="H862" s="233"/>
      <c r="I862" s="42"/>
      <c r="J862" s="42"/>
      <c r="K862" s="42"/>
      <c r="L862" s="44"/>
      <c r="M862" s="44"/>
      <c r="N862" s="44"/>
      <c r="O862" s="44"/>
      <c r="P862" s="44"/>
      <c r="Q862" s="227"/>
      <c r="R862" s="228"/>
      <c r="S862" s="228"/>
      <c r="T862" s="228"/>
      <c r="U862" s="191">
        <f t="shared" si="544"/>
        <v>0</v>
      </c>
      <c r="V862" s="86"/>
      <c r="W862" s="45"/>
      <c r="X862" s="46"/>
      <c r="Y862" s="167">
        <f t="shared" si="545"/>
        <v>0</v>
      </c>
      <c r="Z862" s="167">
        <f t="shared" si="546"/>
        <v>0</v>
      </c>
      <c r="AA862" s="167">
        <f t="shared" si="547"/>
        <v>0</v>
      </c>
      <c r="AB862" s="167">
        <f t="shared" si="548"/>
        <v>0</v>
      </c>
      <c r="AC862" s="167">
        <f t="shared" si="549"/>
        <v>0</v>
      </c>
      <c r="AD862" s="167">
        <f t="shared" si="550"/>
        <v>0</v>
      </c>
      <c r="AF862" s="47">
        <f t="shared" si="551"/>
        <v>0</v>
      </c>
    </row>
    <row r="863" spans="1:32" x14ac:dyDescent="0.35">
      <c r="A863" s="269"/>
      <c r="B863" s="83"/>
      <c r="C863" s="83"/>
      <c r="D863" s="85"/>
      <c r="E863" s="83"/>
      <c r="F863" s="83"/>
      <c r="G863" s="43"/>
      <c r="H863" s="233"/>
      <c r="I863" s="42"/>
      <c r="J863" s="42"/>
      <c r="K863" s="42"/>
      <c r="L863" s="44"/>
      <c r="M863" s="44"/>
      <c r="N863" s="44"/>
      <c r="O863" s="44"/>
      <c r="P863" s="44"/>
      <c r="Q863" s="227"/>
      <c r="R863" s="228"/>
      <c r="S863" s="228"/>
      <c r="T863" s="228"/>
      <c r="U863" s="191">
        <f t="shared" si="544"/>
        <v>0</v>
      </c>
      <c r="V863" s="86"/>
      <c r="W863" s="45"/>
      <c r="X863" s="46"/>
      <c r="Y863" s="167">
        <f t="shared" si="545"/>
        <v>0</v>
      </c>
      <c r="Z863" s="167">
        <f t="shared" si="546"/>
        <v>0</v>
      </c>
      <c r="AA863" s="167">
        <f t="shared" si="547"/>
        <v>0</v>
      </c>
      <c r="AB863" s="167">
        <f t="shared" si="548"/>
        <v>0</v>
      </c>
      <c r="AC863" s="167">
        <f t="shared" si="549"/>
        <v>0</v>
      </c>
      <c r="AD863" s="167">
        <f t="shared" si="550"/>
        <v>0</v>
      </c>
      <c r="AF863" s="47">
        <f t="shared" si="551"/>
        <v>0</v>
      </c>
    </row>
    <row r="864" spans="1:32" x14ac:dyDescent="0.35">
      <c r="A864" s="269"/>
      <c r="B864" s="83"/>
      <c r="C864" s="83"/>
      <c r="D864" s="85"/>
      <c r="E864" s="83"/>
      <c r="F864" s="83"/>
      <c r="G864" s="43"/>
      <c r="H864" s="233"/>
      <c r="I864" s="42"/>
      <c r="J864" s="42"/>
      <c r="K864" s="42"/>
      <c r="L864" s="44"/>
      <c r="M864" s="44"/>
      <c r="N864" s="44"/>
      <c r="O864" s="44"/>
      <c r="P864" s="44"/>
      <c r="Q864" s="227"/>
      <c r="R864" s="228"/>
      <c r="S864" s="228"/>
      <c r="T864" s="228"/>
      <c r="U864" s="191">
        <f t="shared" si="544"/>
        <v>0</v>
      </c>
      <c r="V864" s="86"/>
      <c r="W864" s="45"/>
      <c r="X864" s="46"/>
      <c r="Y864" s="167">
        <f t="shared" si="545"/>
        <v>0</v>
      </c>
      <c r="Z864" s="167">
        <f t="shared" si="546"/>
        <v>0</v>
      </c>
      <c r="AA864" s="167">
        <f t="shared" si="547"/>
        <v>0</v>
      </c>
      <c r="AB864" s="167">
        <f t="shared" si="548"/>
        <v>0</v>
      </c>
      <c r="AC864" s="167">
        <f t="shared" si="549"/>
        <v>0</v>
      </c>
      <c r="AD864" s="167">
        <f t="shared" si="550"/>
        <v>0</v>
      </c>
      <c r="AF864" s="47">
        <f t="shared" si="551"/>
        <v>0</v>
      </c>
    </row>
    <row r="865" spans="1:32" x14ac:dyDescent="0.35">
      <c r="A865" s="269"/>
      <c r="B865" s="83"/>
      <c r="C865" s="83"/>
      <c r="D865" s="85"/>
      <c r="E865" s="83"/>
      <c r="F865" s="83"/>
      <c r="G865" s="43"/>
      <c r="H865" s="233"/>
      <c r="I865" s="42"/>
      <c r="J865" s="42"/>
      <c r="K865" s="42"/>
      <c r="L865" s="44"/>
      <c r="M865" s="44"/>
      <c r="N865" s="44"/>
      <c r="O865" s="44"/>
      <c r="P865" s="44"/>
      <c r="Q865" s="227"/>
      <c r="R865" s="228"/>
      <c r="S865" s="228"/>
      <c r="T865" s="228"/>
      <c r="U865" s="191">
        <f t="shared" si="544"/>
        <v>0</v>
      </c>
      <c r="V865" s="86"/>
      <c r="W865" s="45"/>
      <c r="X865" s="46"/>
      <c r="Y865" s="167">
        <f t="shared" si="545"/>
        <v>0</v>
      </c>
      <c r="Z865" s="167">
        <f t="shared" si="546"/>
        <v>0</v>
      </c>
      <c r="AA865" s="167">
        <f t="shared" si="547"/>
        <v>0</v>
      </c>
      <c r="AB865" s="167">
        <f t="shared" si="548"/>
        <v>0</v>
      </c>
      <c r="AC865" s="167">
        <f t="shared" si="549"/>
        <v>0</v>
      </c>
      <c r="AD865" s="167">
        <f t="shared" si="550"/>
        <v>0</v>
      </c>
      <c r="AF865" s="47">
        <f t="shared" si="551"/>
        <v>0</v>
      </c>
    </row>
    <row r="866" spans="1:32" x14ac:dyDescent="0.35">
      <c r="A866" s="269"/>
      <c r="B866" s="83"/>
      <c r="C866" s="83"/>
      <c r="D866" s="85"/>
      <c r="E866" s="83"/>
      <c r="F866" s="83"/>
      <c r="G866" s="43"/>
      <c r="H866" s="233"/>
      <c r="I866" s="42"/>
      <c r="J866" s="42"/>
      <c r="K866" s="42"/>
      <c r="L866" s="44"/>
      <c r="M866" s="44"/>
      <c r="N866" s="44"/>
      <c r="O866" s="44"/>
      <c r="P866" s="44"/>
      <c r="Q866" s="227"/>
      <c r="R866" s="228"/>
      <c r="S866" s="228"/>
      <c r="T866" s="228"/>
      <c r="U866" s="191">
        <f t="shared" si="544"/>
        <v>0</v>
      </c>
      <c r="V866" s="86"/>
      <c r="W866" s="45"/>
      <c r="X866" s="46"/>
      <c r="Y866" s="167">
        <f t="shared" si="545"/>
        <v>0</v>
      </c>
      <c r="Z866" s="167">
        <f t="shared" si="546"/>
        <v>0</v>
      </c>
      <c r="AA866" s="167">
        <f t="shared" si="547"/>
        <v>0</v>
      </c>
      <c r="AB866" s="167">
        <f t="shared" si="548"/>
        <v>0</v>
      </c>
      <c r="AC866" s="167">
        <f t="shared" si="549"/>
        <v>0</v>
      </c>
      <c r="AD866" s="167">
        <f t="shared" si="550"/>
        <v>0</v>
      </c>
      <c r="AF866" s="47">
        <f t="shared" si="551"/>
        <v>0</v>
      </c>
    </row>
    <row r="867" spans="1:32" x14ac:dyDescent="0.35">
      <c r="A867" s="269"/>
      <c r="B867" s="83"/>
      <c r="C867" s="83"/>
      <c r="D867" s="85"/>
      <c r="E867" s="83"/>
      <c r="F867" s="83"/>
      <c r="G867" s="43"/>
      <c r="H867" s="233"/>
      <c r="I867" s="42"/>
      <c r="J867" s="42"/>
      <c r="K867" s="42"/>
      <c r="L867" s="44"/>
      <c r="M867" s="44"/>
      <c r="N867" s="44"/>
      <c r="O867" s="44"/>
      <c r="P867" s="44"/>
      <c r="Q867" s="227"/>
      <c r="R867" s="228"/>
      <c r="S867" s="228"/>
      <c r="T867" s="228"/>
      <c r="U867" s="191">
        <f t="shared" si="544"/>
        <v>0</v>
      </c>
      <c r="V867" s="86"/>
      <c r="W867" s="45"/>
      <c r="X867" s="46"/>
      <c r="Y867" s="167">
        <f t="shared" si="545"/>
        <v>0</v>
      </c>
      <c r="Z867" s="167">
        <f t="shared" si="546"/>
        <v>0</v>
      </c>
      <c r="AA867" s="167">
        <f t="shared" si="547"/>
        <v>0</v>
      </c>
      <c r="AB867" s="167">
        <f t="shared" si="548"/>
        <v>0</v>
      </c>
      <c r="AC867" s="167">
        <f t="shared" si="549"/>
        <v>0</v>
      </c>
      <c r="AD867" s="167">
        <f t="shared" si="550"/>
        <v>0</v>
      </c>
      <c r="AF867" s="47">
        <f t="shared" si="551"/>
        <v>0</v>
      </c>
    </row>
    <row r="868" spans="1:32" x14ac:dyDescent="0.35">
      <c r="A868" s="269"/>
      <c r="B868" s="83"/>
      <c r="C868" s="83"/>
      <c r="D868" s="85"/>
      <c r="E868" s="83"/>
      <c r="F868" s="83"/>
      <c r="G868" s="43"/>
      <c r="H868" s="233"/>
      <c r="I868" s="42"/>
      <c r="J868" s="42"/>
      <c r="K868" s="42"/>
      <c r="L868" s="44"/>
      <c r="M868" s="44"/>
      <c r="N868" s="44"/>
      <c r="O868" s="44"/>
      <c r="P868" s="44"/>
      <c r="Q868" s="227"/>
      <c r="R868" s="228"/>
      <c r="S868" s="228"/>
      <c r="T868" s="228"/>
      <c r="U868" s="191">
        <f t="shared" si="544"/>
        <v>0</v>
      </c>
      <c r="V868" s="86"/>
      <c r="W868" s="45"/>
      <c r="X868" s="46"/>
      <c r="Y868" s="167">
        <f t="shared" si="545"/>
        <v>0</v>
      </c>
      <c r="Z868" s="167">
        <f t="shared" si="546"/>
        <v>0</v>
      </c>
      <c r="AA868" s="167">
        <f t="shared" si="547"/>
        <v>0</v>
      </c>
      <c r="AB868" s="167">
        <f t="shared" si="548"/>
        <v>0</v>
      </c>
      <c r="AC868" s="167">
        <f t="shared" si="549"/>
        <v>0</v>
      </c>
      <c r="AD868" s="167">
        <f t="shared" si="550"/>
        <v>0</v>
      </c>
      <c r="AF868" s="47">
        <f t="shared" si="551"/>
        <v>0</v>
      </c>
    </row>
    <row r="869" spans="1:32" x14ac:dyDescent="0.35">
      <c r="A869" s="269"/>
      <c r="B869" s="83"/>
      <c r="C869" s="83"/>
      <c r="D869" s="85"/>
      <c r="E869" s="83"/>
      <c r="F869" s="83"/>
      <c r="G869" s="43"/>
      <c r="H869" s="233"/>
      <c r="I869" s="42"/>
      <c r="J869" s="42"/>
      <c r="K869" s="42"/>
      <c r="L869" s="44"/>
      <c r="M869" s="44"/>
      <c r="N869" s="44"/>
      <c r="O869" s="44"/>
      <c r="P869" s="44"/>
      <c r="Q869" s="227"/>
      <c r="R869" s="228"/>
      <c r="S869" s="228"/>
      <c r="T869" s="228"/>
      <c r="U869" s="191">
        <f t="shared" si="544"/>
        <v>0</v>
      </c>
      <c r="V869" s="86"/>
      <c r="W869" s="45"/>
      <c r="X869" s="46"/>
      <c r="Y869" s="167">
        <f t="shared" si="545"/>
        <v>0</v>
      </c>
      <c r="Z869" s="167">
        <f t="shared" si="546"/>
        <v>0</v>
      </c>
      <c r="AA869" s="167">
        <f t="shared" si="547"/>
        <v>0</v>
      </c>
      <c r="AB869" s="167">
        <f t="shared" si="548"/>
        <v>0</v>
      </c>
      <c r="AC869" s="167">
        <f t="shared" si="549"/>
        <v>0</v>
      </c>
      <c r="AD869" s="167">
        <f t="shared" si="550"/>
        <v>0</v>
      </c>
      <c r="AF869" s="47">
        <f t="shared" si="551"/>
        <v>0</v>
      </c>
    </row>
    <row r="870" spans="1:32" x14ac:dyDescent="0.35">
      <c r="A870" s="269"/>
      <c r="B870" s="83"/>
      <c r="C870" s="83"/>
      <c r="D870" s="85"/>
      <c r="E870" s="83"/>
      <c r="F870" s="83"/>
      <c r="G870" s="43"/>
      <c r="H870" s="233"/>
      <c r="I870" s="42"/>
      <c r="J870" s="42"/>
      <c r="K870" s="42"/>
      <c r="L870" s="44"/>
      <c r="M870" s="44"/>
      <c r="N870" s="44"/>
      <c r="O870" s="44"/>
      <c r="P870" s="44"/>
      <c r="Q870" s="227"/>
      <c r="R870" s="228"/>
      <c r="S870" s="228"/>
      <c r="T870" s="228"/>
      <c r="U870" s="191">
        <f t="shared" si="544"/>
        <v>0</v>
      </c>
      <c r="V870" s="86"/>
      <c r="W870" s="45"/>
      <c r="X870" s="46"/>
      <c r="Y870" s="167">
        <f t="shared" si="545"/>
        <v>0</v>
      </c>
      <c r="Z870" s="167">
        <f t="shared" si="546"/>
        <v>0</v>
      </c>
      <c r="AA870" s="167">
        <f t="shared" si="547"/>
        <v>0</v>
      </c>
      <c r="AB870" s="167">
        <f t="shared" si="548"/>
        <v>0</v>
      </c>
      <c r="AC870" s="167">
        <f t="shared" si="549"/>
        <v>0</v>
      </c>
      <c r="AD870" s="167">
        <f t="shared" si="550"/>
        <v>0</v>
      </c>
      <c r="AF870" s="47">
        <f t="shared" si="551"/>
        <v>0</v>
      </c>
    </row>
    <row r="871" spans="1:32" x14ac:dyDescent="0.35">
      <c r="A871" s="269"/>
      <c r="B871" s="83"/>
      <c r="C871" s="83"/>
      <c r="D871" s="85"/>
      <c r="E871" s="83"/>
      <c r="F871" s="83"/>
      <c r="G871" s="43"/>
      <c r="H871" s="233"/>
      <c r="I871" s="42"/>
      <c r="J871" s="42"/>
      <c r="K871" s="42"/>
      <c r="L871" s="44"/>
      <c r="M871" s="44"/>
      <c r="N871" s="44"/>
      <c r="O871" s="44"/>
      <c r="P871" s="44"/>
      <c r="Q871" s="227"/>
      <c r="R871" s="228"/>
      <c r="S871" s="228"/>
      <c r="T871" s="228"/>
      <c r="U871" s="191">
        <f t="shared" si="544"/>
        <v>0</v>
      </c>
      <c r="V871" s="86"/>
      <c r="W871" s="45"/>
      <c r="X871" s="46"/>
      <c r="Y871" s="167">
        <f t="shared" si="545"/>
        <v>0</v>
      </c>
      <c r="Z871" s="167">
        <f t="shared" si="546"/>
        <v>0</v>
      </c>
      <c r="AA871" s="167">
        <f t="shared" si="547"/>
        <v>0</v>
      </c>
      <c r="AB871" s="167">
        <f t="shared" si="548"/>
        <v>0</v>
      </c>
      <c r="AC871" s="167">
        <f t="shared" si="549"/>
        <v>0</v>
      </c>
      <c r="AD871" s="167">
        <f t="shared" si="550"/>
        <v>0</v>
      </c>
      <c r="AF871" s="47">
        <f t="shared" si="551"/>
        <v>0</v>
      </c>
    </row>
    <row r="872" spans="1:32" x14ac:dyDescent="0.35">
      <c r="A872" s="269"/>
      <c r="B872" s="83"/>
      <c r="C872" s="83"/>
      <c r="D872" s="85"/>
      <c r="E872" s="83"/>
      <c r="F872" s="83"/>
      <c r="G872" s="43"/>
      <c r="H872" s="233"/>
      <c r="I872" s="42"/>
      <c r="J872" s="42"/>
      <c r="K872" s="42"/>
      <c r="L872" s="44"/>
      <c r="M872" s="44"/>
      <c r="N872" s="44"/>
      <c r="O872" s="44"/>
      <c r="P872" s="44"/>
      <c r="Q872" s="227"/>
      <c r="R872" s="228"/>
      <c r="S872" s="228"/>
      <c r="T872" s="228"/>
      <c r="U872" s="191">
        <f t="shared" si="544"/>
        <v>0</v>
      </c>
      <c r="V872" s="86"/>
      <c r="W872" s="45"/>
      <c r="X872" s="46"/>
      <c r="Y872" s="167">
        <f t="shared" si="545"/>
        <v>0</v>
      </c>
      <c r="Z872" s="167">
        <f t="shared" si="546"/>
        <v>0</v>
      </c>
      <c r="AA872" s="167">
        <f t="shared" si="547"/>
        <v>0</v>
      </c>
      <c r="AB872" s="167">
        <f t="shared" si="548"/>
        <v>0</v>
      </c>
      <c r="AC872" s="167">
        <f t="shared" si="549"/>
        <v>0</v>
      </c>
      <c r="AD872" s="167">
        <f t="shared" si="550"/>
        <v>0</v>
      </c>
      <c r="AF872" s="47">
        <f t="shared" si="551"/>
        <v>0</v>
      </c>
    </row>
    <row r="873" spans="1:32" x14ac:dyDescent="0.35">
      <c r="A873" s="269"/>
      <c r="B873" s="83"/>
      <c r="C873" s="83"/>
      <c r="D873" s="85"/>
      <c r="E873" s="83"/>
      <c r="F873" s="83"/>
      <c r="G873" s="43"/>
      <c r="H873" s="233"/>
      <c r="I873" s="42"/>
      <c r="J873" s="42"/>
      <c r="K873" s="42"/>
      <c r="L873" s="44"/>
      <c r="M873" s="44"/>
      <c r="N873" s="44"/>
      <c r="O873" s="44"/>
      <c r="P873" s="44"/>
      <c r="Q873" s="227"/>
      <c r="R873" s="228"/>
      <c r="S873" s="228"/>
      <c r="T873" s="228"/>
      <c r="U873" s="191">
        <f t="shared" si="544"/>
        <v>0</v>
      </c>
      <c r="V873" s="86"/>
      <c r="W873" s="45"/>
      <c r="X873" s="46"/>
      <c r="Y873" s="167">
        <f t="shared" si="545"/>
        <v>0</v>
      </c>
      <c r="Z873" s="167">
        <f t="shared" si="546"/>
        <v>0</v>
      </c>
      <c r="AA873" s="167">
        <f t="shared" si="547"/>
        <v>0</v>
      </c>
      <c r="AB873" s="167">
        <f t="shared" si="548"/>
        <v>0</v>
      </c>
      <c r="AC873" s="167">
        <f t="shared" si="549"/>
        <v>0</v>
      </c>
      <c r="AD873" s="167">
        <f t="shared" si="550"/>
        <v>0</v>
      </c>
      <c r="AF873" s="47">
        <f t="shared" si="551"/>
        <v>0</v>
      </c>
    </row>
    <row r="874" spans="1:32" x14ac:dyDescent="0.35">
      <c r="A874" s="269"/>
      <c r="B874" s="83"/>
      <c r="C874" s="83"/>
      <c r="D874" s="85"/>
      <c r="E874" s="83"/>
      <c r="F874" s="83"/>
      <c r="G874" s="43"/>
      <c r="H874" s="233"/>
      <c r="I874" s="42"/>
      <c r="J874" s="42"/>
      <c r="K874" s="42"/>
      <c r="L874" s="44"/>
      <c r="M874" s="44"/>
      <c r="N874" s="44"/>
      <c r="O874" s="44"/>
      <c r="P874" s="44"/>
      <c r="Q874" s="227"/>
      <c r="R874" s="228"/>
      <c r="S874" s="228"/>
      <c r="T874" s="228"/>
      <c r="U874" s="191">
        <f t="shared" si="544"/>
        <v>0</v>
      </c>
      <c r="V874" s="86"/>
      <c r="W874" s="45"/>
      <c r="X874" s="46"/>
      <c r="Y874" s="167">
        <f t="shared" si="545"/>
        <v>0</v>
      </c>
      <c r="Z874" s="167">
        <f t="shared" si="546"/>
        <v>0</v>
      </c>
      <c r="AA874" s="167">
        <f t="shared" si="547"/>
        <v>0</v>
      </c>
      <c r="AB874" s="167">
        <f t="shared" si="548"/>
        <v>0</v>
      </c>
      <c r="AC874" s="167">
        <f t="shared" si="549"/>
        <v>0</v>
      </c>
      <c r="AD874" s="167">
        <f t="shared" si="550"/>
        <v>0</v>
      </c>
      <c r="AF874" s="47">
        <f t="shared" si="551"/>
        <v>0</v>
      </c>
    </row>
    <row r="875" spans="1:32" x14ac:dyDescent="0.35">
      <c r="A875" s="269"/>
      <c r="B875" s="83"/>
      <c r="C875" s="83"/>
      <c r="D875" s="85"/>
      <c r="E875" s="83"/>
      <c r="F875" s="83"/>
      <c r="G875" s="43"/>
      <c r="H875" s="233"/>
      <c r="I875" s="42"/>
      <c r="J875" s="42"/>
      <c r="K875" s="42"/>
      <c r="L875" s="44"/>
      <c r="M875" s="44"/>
      <c r="N875" s="44"/>
      <c r="O875" s="44"/>
      <c r="P875" s="44"/>
      <c r="Q875" s="227"/>
      <c r="R875" s="228"/>
      <c r="S875" s="228"/>
      <c r="T875" s="228"/>
      <c r="U875" s="191">
        <f t="shared" si="544"/>
        <v>0</v>
      </c>
      <c r="V875" s="86"/>
      <c r="W875" s="45"/>
      <c r="X875" s="46"/>
      <c r="Y875" s="167">
        <f t="shared" si="545"/>
        <v>0</v>
      </c>
      <c r="Z875" s="167">
        <f t="shared" si="546"/>
        <v>0</v>
      </c>
      <c r="AA875" s="167">
        <f t="shared" si="547"/>
        <v>0</v>
      </c>
      <c r="AB875" s="167">
        <f t="shared" si="548"/>
        <v>0</v>
      </c>
      <c r="AC875" s="167">
        <f t="shared" si="549"/>
        <v>0</v>
      </c>
      <c r="AD875" s="167">
        <f t="shared" si="550"/>
        <v>0</v>
      </c>
      <c r="AF875" s="47">
        <f t="shared" si="551"/>
        <v>0</v>
      </c>
    </row>
    <row r="876" spans="1:32" x14ac:dyDescent="0.35">
      <c r="A876" s="269"/>
      <c r="B876" s="83"/>
      <c r="C876" s="83"/>
      <c r="D876" s="85"/>
      <c r="E876" s="83"/>
      <c r="F876" s="83"/>
      <c r="G876" s="43"/>
      <c r="H876" s="233"/>
      <c r="I876" s="42"/>
      <c r="J876" s="42"/>
      <c r="K876" s="42"/>
      <c r="L876" s="44"/>
      <c r="M876" s="44"/>
      <c r="N876" s="44"/>
      <c r="O876" s="44"/>
      <c r="P876" s="44"/>
      <c r="Q876" s="227"/>
      <c r="R876" s="228"/>
      <c r="S876" s="228"/>
      <c r="T876" s="228"/>
      <c r="U876" s="191">
        <f t="shared" si="544"/>
        <v>0</v>
      </c>
      <c r="V876" s="86"/>
      <c r="W876" s="45"/>
      <c r="X876" s="46"/>
      <c r="Y876" s="167">
        <f t="shared" si="545"/>
        <v>0</v>
      </c>
      <c r="Z876" s="167">
        <f t="shared" si="546"/>
        <v>0</v>
      </c>
      <c r="AA876" s="167">
        <f t="shared" si="547"/>
        <v>0</v>
      </c>
      <c r="AB876" s="167">
        <f t="shared" si="548"/>
        <v>0</v>
      </c>
      <c r="AC876" s="167">
        <f t="shared" si="549"/>
        <v>0</v>
      </c>
      <c r="AD876" s="167">
        <f t="shared" si="550"/>
        <v>0</v>
      </c>
      <c r="AF876" s="47">
        <f t="shared" si="551"/>
        <v>0</v>
      </c>
    </row>
    <row r="877" spans="1:32" x14ac:dyDescent="0.35">
      <c r="A877" s="269"/>
      <c r="B877" s="83"/>
      <c r="C877" s="83"/>
      <c r="D877" s="85"/>
      <c r="E877" s="83"/>
      <c r="F877" s="83"/>
      <c r="G877" s="43"/>
      <c r="H877" s="233"/>
      <c r="I877" s="42"/>
      <c r="J877" s="42"/>
      <c r="K877" s="42"/>
      <c r="L877" s="44"/>
      <c r="M877" s="44"/>
      <c r="N877" s="44"/>
      <c r="O877" s="44"/>
      <c r="P877" s="44"/>
      <c r="Q877" s="227"/>
      <c r="R877" s="228"/>
      <c r="S877" s="228"/>
      <c r="T877" s="228"/>
      <c r="U877" s="191">
        <f t="shared" si="544"/>
        <v>0</v>
      </c>
      <c r="V877" s="86"/>
      <c r="W877" s="45"/>
      <c r="X877" s="46"/>
      <c r="Y877" s="167">
        <f t="shared" si="545"/>
        <v>0</v>
      </c>
      <c r="Z877" s="167">
        <f t="shared" si="546"/>
        <v>0</v>
      </c>
      <c r="AA877" s="167">
        <f t="shared" si="547"/>
        <v>0</v>
      </c>
      <c r="AB877" s="167">
        <f t="shared" si="548"/>
        <v>0</v>
      </c>
      <c r="AC877" s="167">
        <f t="shared" si="549"/>
        <v>0</v>
      </c>
      <c r="AD877" s="167">
        <f t="shared" si="550"/>
        <v>0</v>
      </c>
      <c r="AF877" s="47">
        <f t="shared" si="551"/>
        <v>0</v>
      </c>
    </row>
    <row r="878" spans="1:32" x14ac:dyDescent="0.35">
      <c r="A878" s="269"/>
      <c r="B878" s="83"/>
      <c r="C878" s="83"/>
      <c r="D878" s="85"/>
      <c r="E878" s="83"/>
      <c r="F878" s="83"/>
      <c r="G878" s="43"/>
      <c r="H878" s="233"/>
      <c r="I878" s="42"/>
      <c r="J878" s="42"/>
      <c r="K878" s="42"/>
      <c r="L878" s="44"/>
      <c r="M878" s="44"/>
      <c r="N878" s="44"/>
      <c r="O878" s="44"/>
      <c r="P878" s="44"/>
      <c r="Q878" s="227"/>
      <c r="R878" s="228"/>
      <c r="S878" s="228"/>
      <c r="T878" s="228"/>
      <c r="U878" s="191">
        <f t="shared" si="544"/>
        <v>0</v>
      </c>
      <c r="V878" s="86"/>
      <c r="W878" s="45"/>
      <c r="X878" s="46"/>
      <c r="Y878" s="167">
        <f t="shared" si="545"/>
        <v>0</v>
      </c>
      <c r="Z878" s="167">
        <f t="shared" si="546"/>
        <v>0</v>
      </c>
      <c r="AA878" s="167">
        <f t="shared" si="547"/>
        <v>0</v>
      </c>
      <c r="AB878" s="167">
        <f t="shared" si="548"/>
        <v>0</v>
      </c>
      <c r="AC878" s="167">
        <f t="shared" si="549"/>
        <v>0</v>
      </c>
      <c r="AD878" s="167">
        <f t="shared" si="550"/>
        <v>0</v>
      </c>
      <c r="AF878" s="47">
        <f t="shared" si="551"/>
        <v>0</v>
      </c>
    </row>
    <row r="879" spans="1:32" x14ac:dyDescent="0.35">
      <c r="A879" s="269"/>
      <c r="B879" s="83"/>
      <c r="C879" s="83"/>
      <c r="D879" s="85"/>
      <c r="E879" s="83"/>
      <c r="F879" s="83"/>
      <c r="G879" s="43"/>
      <c r="H879" s="233"/>
      <c r="I879" s="42"/>
      <c r="J879" s="42"/>
      <c r="K879" s="42"/>
      <c r="L879" s="44"/>
      <c r="M879" s="44"/>
      <c r="N879" s="44"/>
      <c r="O879" s="44"/>
      <c r="P879" s="44"/>
      <c r="Q879" s="227"/>
      <c r="R879" s="228"/>
      <c r="S879" s="228"/>
      <c r="T879" s="228"/>
      <c r="U879" s="191">
        <f t="shared" si="544"/>
        <v>0</v>
      </c>
      <c r="V879" s="86"/>
      <c r="W879" s="45"/>
      <c r="X879" s="46"/>
      <c r="Y879" s="167">
        <f t="shared" si="545"/>
        <v>0</v>
      </c>
      <c r="Z879" s="167">
        <f t="shared" si="546"/>
        <v>0</v>
      </c>
      <c r="AA879" s="167">
        <f t="shared" si="547"/>
        <v>0</v>
      </c>
      <c r="AB879" s="167">
        <f t="shared" si="548"/>
        <v>0</v>
      </c>
      <c r="AC879" s="167">
        <f t="shared" si="549"/>
        <v>0</v>
      </c>
      <c r="AD879" s="167">
        <f t="shared" si="550"/>
        <v>0</v>
      </c>
      <c r="AF879" s="47">
        <f t="shared" si="551"/>
        <v>0</v>
      </c>
    </row>
    <row r="880" spans="1:32" x14ac:dyDescent="0.35">
      <c r="A880" s="269"/>
      <c r="B880" s="83"/>
      <c r="C880" s="83"/>
      <c r="D880" s="85"/>
      <c r="E880" s="83"/>
      <c r="F880" s="83"/>
      <c r="G880" s="43"/>
      <c r="H880" s="233"/>
      <c r="I880" s="42"/>
      <c r="J880" s="42"/>
      <c r="K880" s="42"/>
      <c r="L880" s="44"/>
      <c r="M880" s="44"/>
      <c r="N880" s="44"/>
      <c r="O880" s="44"/>
      <c r="P880" s="44"/>
      <c r="Q880" s="227"/>
      <c r="R880" s="228"/>
      <c r="S880" s="228"/>
      <c r="T880" s="228"/>
      <c r="U880" s="191">
        <f t="shared" si="544"/>
        <v>0</v>
      </c>
      <c r="V880" s="86"/>
      <c r="W880" s="45"/>
      <c r="X880" s="46"/>
      <c r="Y880" s="167">
        <f t="shared" si="545"/>
        <v>0</v>
      </c>
      <c r="Z880" s="167">
        <f t="shared" si="546"/>
        <v>0</v>
      </c>
      <c r="AA880" s="167">
        <f t="shared" si="547"/>
        <v>0</v>
      </c>
      <c r="AB880" s="167">
        <f t="shared" si="548"/>
        <v>0</v>
      </c>
      <c r="AC880" s="167">
        <f t="shared" si="549"/>
        <v>0</v>
      </c>
      <c r="AD880" s="167">
        <f t="shared" si="550"/>
        <v>0</v>
      </c>
      <c r="AF880" s="47">
        <f t="shared" si="551"/>
        <v>0</v>
      </c>
    </row>
    <row r="881" spans="1:32" x14ac:dyDescent="0.35">
      <c r="A881" s="269"/>
      <c r="B881" s="83"/>
      <c r="C881" s="83"/>
      <c r="D881" s="85"/>
      <c r="E881" s="83"/>
      <c r="F881" s="83"/>
      <c r="G881" s="43"/>
      <c r="H881" s="233"/>
      <c r="I881" s="42"/>
      <c r="J881" s="42"/>
      <c r="K881" s="42"/>
      <c r="L881" s="44"/>
      <c r="M881" s="44"/>
      <c r="N881" s="44"/>
      <c r="O881" s="44"/>
      <c r="P881" s="44"/>
      <c r="Q881" s="227"/>
      <c r="R881" s="228"/>
      <c r="S881" s="228"/>
      <c r="T881" s="228"/>
      <c r="U881" s="191">
        <f t="shared" si="544"/>
        <v>0</v>
      </c>
      <c r="V881" s="86"/>
      <c r="W881" s="45"/>
      <c r="X881" s="46"/>
      <c r="Y881" s="167">
        <f t="shared" si="545"/>
        <v>0</v>
      </c>
      <c r="Z881" s="167">
        <f t="shared" si="546"/>
        <v>0</v>
      </c>
      <c r="AA881" s="167">
        <f t="shared" si="547"/>
        <v>0</v>
      </c>
      <c r="AB881" s="167">
        <f t="shared" si="548"/>
        <v>0</v>
      </c>
      <c r="AC881" s="167">
        <f t="shared" si="549"/>
        <v>0</v>
      </c>
      <c r="AD881" s="167">
        <f t="shared" si="550"/>
        <v>0</v>
      </c>
      <c r="AF881" s="47">
        <f t="shared" si="551"/>
        <v>0</v>
      </c>
    </row>
    <row r="882" spans="1:32" x14ac:dyDescent="0.35">
      <c r="A882" s="269"/>
      <c r="B882" s="83"/>
      <c r="C882" s="83"/>
      <c r="D882" s="85"/>
      <c r="E882" s="83"/>
      <c r="F882" s="83"/>
      <c r="G882" s="43"/>
      <c r="H882" s="233"/>
      <c r="I882" s="42"/>
      <c r="J882" s="42"/>
      <c r="K882" s="42"/>
      <c r="L882" s="44"/>
      <c r="M882" s="44"/>
      <c r="N882" s="44"/>
      <c r="O882" s="44"/>
      <c r="P882" s="44"/>
      <c r="Q882" s="227"/>
      <c r="R882" s="228"/>
      <c r="S882" s="228"/>
      <c r="T882" s="228"/>
      <c r="U882" s="191">
        <f t="shared" si="544"/>
        <v>0</v>
      </c>
      <c r="V882" s="86"/>
      <c r="W882" s="45"/>
      <c r="X882" s="46"/>
      <c r="Y882" s="167">
        <f t="shared" si="545"/>
        <v>0</v>
      </c>
      <c r="Z882" s="167">
        <f t="shared" si="546"/>
        <v>0</v>
      </c>
      <c r="AA882" s="167">
        <f t="shared" si="547"/>
        <v>0</v>
      </c>
      <c r="AB882" s="167">
        <f t="shared" si="548"/>
        <v>0</v>
      </c>
      <c r="AC882" s="167">
        <f t="shared" si="549"/>
        <v>0</v>
      </c>
      <c r="AD882" s="167">
        <f t="shared" si="550"/>
        <v>0</v>
      </c>
      <c r="AF882" s="47">
        <f t="shared" si="551"/>
        <v>0</v>
      </c>
    </row>
    <row r="883" spans="1:32" x14ac:dyDescent="0.35">
      <c r="A883" s="269"/>
      <c r="B883" s="83"/>
      <c r="C883" s="83"/>
      <c r="D883" s="85"/>
      <c r="E883" s="83"/>
      <c r="F883" s="83"/>
      <c r="G883" s="43"/>
      <c r="H883" s="233"/>
      <c r="I883" s="42"/>
      <c r="J883" s="42"/>
      <c r="K883" s="42"/>
      <c r="L883" s="44"/>
      <c r="M883" s="44"/>
      <c r="N883" s="44"/>
      <c r="O883" s="44"/>
      <c r="P883" s="44"/>
      <c r="Q883" s="227"/>
      <c r="R883" s="228"/>
      <c r="S883" s="228"/>
      <c r="T883" s="228"/>
      <c r="U883" s="191">
        <f t="shared" si="544"/>
        <v>0</v>
      </c>
      <c r="V883" s="86"/>
      <c r="W883" s="45"/>
      <c r="X883" s="46"/>
      <c r="Y883" s="167">
        <f t="shared" si="545"/>
        <v>0</v>
      </c>
      <c r="Z883" s="167">
        <f t="shared" si="546"/>
        <v>0</v>
      </c>
      <c r="AA883" s="167">
        <f t="shared" si="547"/>
        <v>0</v>
      </c>
      <c r="AB883" s="167">
        <f t="shared" si="548"/>
        <v>0</v>
      </c>
      <c r="AC883" s="167">
        <f t="shared" si="549"/>
        <v>0</v>
      </c>
      <c r="AD883" s="167">
        <f t="shared" si="550"/>
        <v>0</v>
      </c>
      <c r="AF883" s="47">
        <f t="shared" si="551"/>
        <v>0</v>
      </c>
    </row>
    <row r="884" spans="1:32" x14ac:dyDescent="0.35">
      <c r="A884" s="269"/>
      <c r="B884" s="83"/>
      <c r="C884" s="83"/>
      <c r="D884" s="85"/>
      <c r="E884" s="83"/>
      <c r="F884" s="83"/>
      <c r="G884" s="43"/>
      <c r="H884" s="233"/>
      <c r="I884" s="42"/>
      <c r="J884" s="42"/>
      <c r="K884" s="42"/>
      <c r="L884" s="44"/>
      <c r="M884" s="44"/>
      <c r="N884" s="44"/>
      <c r="O884" s="44"/>
      <c r="P884" s="44"/>
      <c r="Q884" s="227"/>
      <c r="R884" s="228"/>
      <c r="S884" s="228"/>
      <c r="T884" s="228"/>
      <c r="U884" s="191">
        <f t="shared" si="544"/>
        <v>0</v>
      </c>
      <c r="V884" s="86"/>
      <c r="W884" s="45"/>
      <c r="X884" s="46"/>
      <c r="Y884" s="167">
        <f t="shared" si="545"/>
        <v>0</v>
      </c>
      <c r="Z884" s="167">
        <f t="shared" si="546"/>
        <v>0</v>
      </c>
      <c r="AA884" s="167">
        <f t="shared" si="547"/>
        <v>0</v>
      </c>
      <c r="AB884" s="167">
        <f t="shared" si="548"/>
        <v>0</v>
      </c>
      <c r="AC884" s="167">
        <f t="shared" si="549"/>
        <v>0</v>
      </c>
      <c r="AD884" s="167">
        <f t="shared" si="550"/>
        <v>0</v>
      </c>
      <c r="AF884" s="47">
        <f t="shared" si="551"/>
        <v>0</v>
      </c>
    </row>
    <row r="885" spans="1:32" x14ac:dyDescent="0.35">
      <c r="A885" s="269"/>
      <c r="B885" s="83"/>
      <c r="C885" s="83"/>
      <c r="D885" s="85"/>
      <c r="E885" s="83"/>
      <c r="F885" s="83"/>
      <c r="G885" s="43"/>
      <c r="H885" s="233"/>
      <c r="I885" s="42"/>
      <c r="J885" s="42"/>
      <c r="K885" s="42"/>
      <c r="L885" s="44"/>
      <c r="M885" s="44"/>
      <c r="N885" s="44"/>
      <c r="O885" s="44"/>
      <c r="P885" s="44"/>
      <c r="Q885" s="227"/>
      <c r="R885" s="228"/>
      <c r="S885" s="228"/>
      <c r="T885" s="228"/>
      <c r="U885" s="191">
        <f t="shared" si="544"/>
        <v>0</v>
      </c>
      <c r="V885" s="86"/>
      <c r="W885" s="45"/>
      <c r="X885" s="46"/>
      <c r="Y885" s="167">
        <f t="shared" si="545"/>
        <v>0</v>
      </c>
      <c r="Z885" s="167">
        <f t="shared" si="546"/>
        <v>0</v>
      </c>
      <c r="AA885" s="167">
        <f t="shared" si="547"/>
        <v>0</v>
      </c>
      <c r="AB885" s="167">
        <f t="shared" si="548"/>
        <v>0</v>
      </c>
      <c r="AC885" s="167">
        <f t="shared" si="549"/>
        <v>0</v>
      </c>
      <c r="AD885" s="167">
        <f t="shared" si="550"/>
        <v>0</v>
      </c>
      <c r="AF885" s="47">
        <f t="shared" si="551"/>
        <v>0</v>
      </c>
    </row>
    <row r="886" spans="1:32" x14ac:dyDescent="0.35">
      <c r="A886" s="269"/>
      <c r="B886" s="83"/>
      <c r="C886" s="83"/>
      <c r="D886" s="85"/>
      <c r="E886" s="83"/>
      <c r="F886" s="83"/>
      <c r="G886" s="43"/>
      <c r="H886" s="233"/>
      <c r="I886" s="42"/>
      <c r="J886" s="42"/>
      <c r="K886" s="42"/>
      <c r="L886" s="44"/>
      <c r="M886" s="44"/>
      <c r="N886" s="44"/>
      <c r="O886" s="44"/>
      <c r="P886" s="44"/>
      <c r="Q886" s="227"/>
      <c r="R886" s="228"/>
      <c r="S886" s="228"/>
      <c r="T886" s="228"/>
      <c r="U886" s="191">
        <f t="shared" si="544"/>
        <v>0</v>
      </c>
      <c r="V886" s="86"/>
      <c r="W886" s="45"/>
      <c r="X886" s="46"/>
      <c r="Y886" s="167">
        <f t="shared" si="545"/>
        <v>0</v>
      </c>
      <c r="Z886" s="167">
        <f t="shared" si="546"/>
        <v>0</v>
      </c>
      <c r="AA886" s="167">
        <f t="shared" si="547"/>
        <v>0</v>
      </c>
      <c r="AB886" s="167">
        <f t="shared" si="548"/>
        <v>0</v>
      </c>
      <c r="AC886" s="167">
        <f t="shared" si="549"/>
        <v>0</v>
      </c>
      <c r="AD886" s="167">
        <f t="shared" si="550"/>
        <v>0</v>
      </c>
      <c r="AF886" s="47">
        <f t="shared" si="551"/>
        <v>0</v>
      </c>
    </row>
    <row r="887" spans="1:32" x14ac:dyDescent="0.35">
      <c r="A887" s="269"/>
      <c r="B887" s="83"/>
      <c r="C887" s="83"/>
      <c r="D887" s="85"/>
      <c r="E887" s="83"/>
      <c r="F887" s="83"/>
      <c r="G887" s="43"/>
      <c r="H887" s="233"/>
      <c r="I887" s="42"/>
      <c r="J887" s="42"/>
      <c r="K887" s="42"/>
      <c r="L887" s="44"/>
      <c r="M887" s="44"/>
      <c r="N887" s="44"/>
      <c r="O887" s="44"/>
      <c r="P887" s="44"/>
      <c r="Q887" s="227"/>
      <c r="R887" s="228"/>
      <c r="S887" s="228"/>
      <c r="T887" s="228"/>
      <c r="U887" s="191">
        <f t="shared" si="544"/>
        <v>0</v>
      </c>
      <c r="V887" s="86"/>
      <c r="W887" s="45"/>
      <c r="X887" s="46"/>
      <c r="Y887" s="167">
        <f t="shared" si="545"/>
        <v>0</v>
      </c>
      <c r="Z887" s="167">
        <f t="shared" si="546"/>
        <v>0</v>
      </c>
      <c r="AA887" s="167">
        <f t="shared" si="547"/>
        <v>0</v>
      </c>
      <c r="AB887" s="167">
        <f t="shared" si="548"/>
        <v>0</v>
      </c>
      <c r="AC887" s="167">
        <f t="shared" si="549"/>
        <v>0</v>
      </c>
      <c r="AD887" s="167">
        <f t="shared" si="550"/>
        <v>0</v>
      </c>
      <c r="AF887" s="47">
        <f t="shared" si="551"/>
        <v>0</v>
      </c>
    </row>
    <row r="888" spans="1:32" x14ac:dyDescent="0.35">
      <c r="A888" s="269"/>
      <c r="B888" s="83"/>
      <c r="C888" s="83"/>
      <c r="D888" s="85"/>
      <c r="E888" s="83"/>
      <c r="F888" s="83"/>
      <c r="G888" s="43"/>
      <c r="H888" s="233"/>
      <c r="I888" s="42"/>
      <c r="J888" s="42"/>
      <c r="K888" s="42"/>
      <c r="L888" s="44"/>
      <c r="M888" s="44"/>
      <c r="N888" s="44"/>
      <c r="O888" s="44"/>
      <c r="P888" s="44"/>
      <c r="Q888" s="227"/>
      <c r="R888" s="228"/>
      <c r="S888" s="228"/>
      <c r="T888" s="228"/>
      <c r="U888" s="191">
        <f t="shared" si="544"/>
        <v>0</v>
      </c>
      <c r="V888" s="86"/>
      <c r="W888" s="45"/>
      <c r="X888" s="46"/>
      <c r="Y888" s="167">
        <f t="shared" si="545"/>
        <v>0</v>
      </c>
      <c r="Z888" s="167">
        <f t="shared" si="546"/>
        <v>0</v>
      </c>
      <c r="AA888" s="167">
        <f t="shared" si="547"/>
        <v>0</v>
      </c>
      <c r="AB888" s="167">
        <f t="shared" si="548"/>
        <v>0</v>
      </c>
      <c r="AC888" s="167">
        <f t="shared" si="549"/>
        <v>0</v>
      </c>
      <c r="AD888" s="167">
        <f t="shared" si="550"/>
        <v>0</v>
      </c>
      <c r="AF888" s="47">
        <f t="shared" si="551"/>
        <v>0</v>
      </c>
    </row>
    <row r="889" spans="1:32" x14ac:dyDescent="0.35">
      <c r="A889" s="269"/>
      <c r="B889" s="83"/>
      <c r="C889" s="83"/>
      <c r="D889" s="85"/>
      <c r="E889" s="83"/>
      <c r="F889" s="83"/>
      <c r="G889" s="43"/>
      <c r="H889" s="233"/>
      <c r="I889" s="42"/>
      <c r="J889" s="42"/>
      <c r="K889" s="42"/>
      <c r="L889" s="44"/>
      <c r="M889" s="44"/>
      <c r="N889" s="44"/>
      <c r="O889" s="44"/>
      <c r="P889" s="44"/>
      <c r="Q889" s="227"/>
      <c r="R889" s="228"/>
      <c r="S889" s="228"/>
      <c r="T889" s="228"/>
      <c r="U889" s="191">
        <f t="shared" ref="U889:U952" si="552">IF(Q889="",0,IF(T889="",0,+S889-T889))</f>
        <v>0</v>
      </c>
      <c r="V889" s="86"/>
      <c r="W889" s="45"/>
      <c r="X889" s="46"/>
      <c r="Y889" s="167">
        <f t="shared" ref="Y889:Y952" si="553">IF(G889=2,S889,0)</f>
        <v>0</v>
      </c>
      <c r="Z889" s="167">
        <f t="shared" ref="Z889:Z952" si="554">IF(Q889="",0,IF(G889=2,T889,0))</f>
        <v>0</v>
      </c>
      <c r="AA889" s="167">
        <f t="shared" ref="AA889:AA952" si="555">Y889-Z889</f>
        <v>0</v>
      </c>
      <c r="AB889" s="167">
        <f t="shared" ref="AB889:AB952" si="556">IF(G889=1,S889,0)</f>
        <v>0</v>
      </c>
      <c r="AC889" s="167">
        <f t="shared" ref="AC889:AC952" si="557">IF(Q889="",0,IF(G889=1,T889,0))</f>
        <v>0</v>
      </c>
      <c r="AD889" s="167">
        <f t="shared" ref="AD889:AD952" si="558">AB889-AC889</f>
        <v>0</v>
      </c>
      <c r="AF889" s="47">
        <f t="shared" si="551"/>
        <v>0</v>
      </c>
    </row>
    <row r="890" spans="1:32" x14ac:dyDescent="0.35">
      <c r="A890" s="269"/>
      <c r="B890" s="83"/>
      <c r="C890" s="83"/>
      <c r="D890" s="85"/>
      <c r="E890" s="83"/>
      <c r="F890" s="83"/>
      <c r="G890" s="43"/>
      <c r="H890" s="233"/>
      <c r="I890" s="42"/>
      <c r="J890" s="42"/>
      <c r="K890" s="42"/>
      <c r="L890" s="44"/>
      <c r="M890" s="44"/>
      <c r="N890" s="44"/>
      <c r="O890" s="44"/>
      <c r="P890" s="44"/>
      <c r="Q890" s="227"/>
      <c r="R890" s="228"/>
      <c r="S890" s="228"/>
      <c r="T890" s="228"/>
      <c r="U890" s="191">
        <f t="shared" si="552"/>
        <v>0</v>
      </c>
      <c r="V890" s="86"/>
      <c r="W890" s="45"/>
      <c r="X890" s="46"/>
      <c r="Y890" s="167">
        <f t="shared" si="553"/>
        <v>0</v>
      </c>
      <c r="Z890" s="167">
        <f t="shared" si="554"/>
        <v>0</v>
      </c>
      <c r="AA890" s="167">
        <f t="shared" si="555"/>
        <v>0</v>
      </c>
      <c r="AB890" s="167">
        <f t="shared" si="556"/>
        <v>0</v>
      </c>
      <c r="AC890" s="167">
        <f t="shared" si="557"/>
        <v>0</v>
      </c>
      <c r="AD890" s="167">
        <f t="shared" si="558"/>
        <v>0</v>
      </c>
      <c r="AF890" s="47">
        <f t="shared" si="551"/>
        <v>0</v>
      </c>
    </row>
    <row r="891" spans="1:32" x14ac:dyDescent="0.35">
      <c r="A891" s="269"/>
      <c r="B891" s="83"/>
      <c r="C891" s="83"/>
      <c r="D891" s="85"/>
      <c r="E891" s="83"/>
      <c r="F891" s="83"/>
      <c r="G891" s="43"/>
      <c r="H891" s="233"/>
      <c r="I891" s="42"/>
      <c r="J891" s="42"/>
      <c r="K891" s="42"/>
      <c r="L891" s="44"/>
      <c r="M891" s="44"/>
      <c r="N891" s="44"/>
      <c r="O891" s="44"/>
      <c r="P891" s="44"/>
      <c r="Q891" s="227"/>
      <c r="R891" s="228"/>
      <c r="S891" s="228"/>
      <c r="T891" s="228"/>
      <c r="U891" s="191">
        <f t="shared" si="552"/>
        <v>0</v>
      </c>
      <c r="V891" s="86"/>
      <c r="W891" s="45"/>
      <c r="X891" s="46"/>
      <c r="Y891" s="167">
        <f t="shared" si="553"/>
        <v>0</v>
      </c>
      <c r="Z891" s="167">
        <f t="shared" si="554"/>
        <v>0</v>
      </c>
      <c r="AA891" s="167">
        <f t="shared" si="555"/>
        <v>0</v>
      </c>
      <c r="AB891" s="167">
        <f t="shared" si="556"/>
        <v>0</v>
      </c>
      <c r="AC891" s="167">
        <f t="shared" si="557"/>
        <v>0</v>
      </c>
      <c r="AD891" s="167">
        <f t="shared" si="558"/>
        <v>0</v>
      </c>
      <c r="AF891" s="47">
        <f t="shared" si="551"/>
        <v>0</v>
      </c>
    </row>
    <row r="892" spans="1:32" x14ac:dyDescent="0.35">
      <c r="A892" s="269"/>
      <c r="B892" s="83"/>
      <c r="C892" s="83"/>
      <c r="D892" s="85"/>
      <c r="E892" s="83"/>
      <c r="F892" s="83"/>
      <c r="G892" s="43"/>
      <c r="H892" s="233"/>
      <c r="I892" s="42"/>
      <c r="J892" s="42"/>
      <c r="K892" s="42"/>
      <c r="L892" s="44"/>
      <c r="M892" s="44"/>
      <c r="N892" s="44"/>
      <c r="O892" s="44"/>
      <c r="P892" s="44"/>
      <c r="Q892" s="227"/>
      <c r="R892" s="228"/>
      <c r="S892" s="228"/>
      <c r="T892" s="228"/>
      <c r="U892" s="191">
        <f t="shared" si="552"/>
        <v>0</v>
      </c>
      <c r="V892" s="86"/>
      <c r="W892" s="45"/>
      <c r="X892" s="46"/>
      <c r="Y892" s="167">
        <f t="shared" si="553"/>
        <v>0</v>
      </c>
      <c r="Z892" s="167">
        <f t="shared" si="554"/>
        <v>0</v>
      </c>
      <c r="AA892" s="167">
        <f t="shared" si="555"/>
        <v>0</v>
      </c>
      <c r="AB892" s="167">
        <f t="shared" si="556"/>
        <v>0</v>
      </c>
      <c r="AC892" s="167">
        <f t="shared" si="557"/>
        <v>0</v>
      </c>
      <c r="AD892" s="167">
        <f t="shared" si="558"/>
        <v>0</v>
      </c>
      <c r="AF892" s="47">
        <f t="shared" si="551"/>
        <v>0</v>
      </c>
    </row>
    <row r="893" spans="1:32" x14ac:dyDescent="0.35">
      <c r="A893" s="269"/>
      <c r="B893" s="83"/>
      <c r="C893" s="83"/>
      <c r="D893" s="85"/>
      <c r="E893" s="83"/>
      <c r="F893" s="83"/>
      <c r="G893" s="43"/>
      <c r="H893" s="233"/>
      <c r="I893" s="42"/>
      <c r="J893" s="42"/>
      <c r="K893" s="42"/>
      <c r="L893" s="44"/>
      <c r="M893" s="44"/>
      <c r="N893" s="44"/>
      <c r="O893" s="44"/>
      <c r="P893" s="44"/>
      <c r="Q893" s="227"/>
      <c r="R893" s="228"/>
      <c r="S893" s="228"/>
      <c r="T893" s="228"/>
      <c r="U893" s="191">
        <f t="shared" si="552"/>
        <v>0</v>
      </c>
      <c r="V893" s="86"/>
      <c r="W893" s="45"/>
      <c r="X893" s="46"/>
      <c r="Y893" s="167">
        <f t="shared" si="553"/>
        <v>0</v>
      </c>
      <c r="Z893" s="167">
        <f t="shared" si="554"/>
        <v>0</v>
      </c>
      <c r="AA893" s="167">
        <f t="shared" si="555"/>
        <v>0</v>
      </c>
      <c r="AB893" s="167">
        <f t="shared" si="556"/>
        <v>0</v>
      </c>
      <c r="AC893" s="167">
        <f t="shared" si="557"/>
        <v>0</v>
      </c>
      <c r="AD893" s="167">
        <f t="shared" si="558"/>
        <v>0</v>
      </c>
      <c r="AF893" s="47">
        <f t="shared" si="551"/>
        <v>0</v>
      </c>
    </row>
    <row r="894" spans="1:32" x14ac:dyDescent="0.35">
      <c r="A894" s="269"/>
      <c r="B894" s="83"/>
      <c r="C894" s="83"/>
      <c r="D894" s="85"/>
      <c r="E894" s="83"/>
      <c r="F894" s="83"/>
      <c r="G894" s="43"/>
      <c r="H894" s="233"/>
      <c r="I894" s="42"/>
      <c r="J894" s="42"/>
      <c r="K894" s="42"/>
      <c r="L894" s="44"/>
      <c r="M894" s="44"/>
      <c r="N894" s="44"/>
      <c r="O894" s="44"/>
      <c r="P894" s="44"/>
      <c r="Q894" s="227"/>
      <c r="R894" s="228"/>
      <c r="S894" s="228"/>
      <c r="T894" s="228"/>
      <c r="U894" s="191">
        <f t="shared" si="552"/>
        <v>0</v>
      </c>
      <c r="V894" s="86"/>
      <c r="W894" s="45"/>
      <c r="X894" s="46"/>
      <c r="Y894" s="167">
        <f t="shared" si="553"/>
        <v>0</v>
      </c>
      <c r="Z894" s="167">
        <f t="shared" si="554"/>
        <v>0</v>
      </c>
      <c r="AA894" s="167">
        <f t="shared" si="555"/>
        <v>0</v>
      </c>
      <c r="AB894" s="167">
        <f t="shared" si="556"/>
        <v>0</v>
      </c>
      <c r="AC894" s="167">
        <f t="shared" si="557"/>
        <v>0</v>
      </c>
      <c r="AD894" s="167">
        <f t="shared" si="558"/>
        <v>0</v>
      </c>
      <c r="AF894" s="47">
        <f t="shared" si="551"/>
        <v>0</v>
      </c>
    </row>
    <row r="895" spans="1:32" x14ac:dyDescent="0.35">
      <c r="A895" s="269"/>
      <c r="B895" s="83"/>
      <c r="C895" s="83"/>
      <c r="D895" s="85"/>
      <c r="E895" s="83"/>
      <c r="F895" s="83"/>
      <c r="G895" s="43"/>
      <c r="H895" s="233"/>
      <c r="I895" s="42"/>
      <c r="J895" s="42"/>
      <c r="K895" s="42"/>
      <c r="L895" s="44"/>
      <c r="M895" s="44"/>
      <c r="N895" s="44"/>
      <c r="O895" s="44"/>
      <c r="P895" s="44"/>
      <c r="Q895" s="227"/>
      <c r="R895" s="228"/>
      <c r="S895" s="228"/>
      <c r="T895" s="228"/>
      <c r="U895" s="191">
        <f t="shared" si="552"/>
        <v>0</v>
      </c>
      <c r="V895" s="86"/>
      <c r="W895" s="45"/>
      <c r="X895" s="46"/>
      <c r="Y895" s="167">
        <f t="shared" si="553"/>
        <v>0</v>
      </c>
      <c r="Z895" s="167">
        <f t="shared" si="554"/>
        <v>0</v>
      </c>
      <c r="AA895" s="167">
        <f t="shared" si="555"/>
        <v>0</v>
      </c>
      <c r="AB895" s="167">
        <f t="shared" si="556"/>
        <v>0</v>
      </c>
      <c r="AC895" s="167">
        <f t="shared" si="557"/>
        <v>0</v>
      </c>
      <c r="AD895" s="167">
        <f t="shared" si="558"/>
        <v>0</v>
      </c>
      <c r="AF895" s="47">
        <f t="shared" si="551"/>
        <v>0</v>
      </c>
    </row>
    <row r="896" spans="1:32" x14ac:dyDescent="0.35">
      <c r="A896" s="269"/>
      <c r="B896" s="83"/>
      <c r="C896" s="83"/>
      <c r="D896" s="85"/>
      <c r="E896" s="83"/>
      <c r="F896" s="83"/>
      <c r="G896" s="43"/>
      <c r="H896" s="233"/>
      <c r="I896" s="42"/>
      <c r="J896" s="42"/>
      <c r="K896" s="42"/>
      <c r="L896" s="44"/>
      <c r="M896" s="44"/>
      <c r="N896" s="44"/>
      <c r="O896" s="44"/>
      <c r="P896" s="44"/>
      <c r="Q896" s="227"/>
      <c r="R896" s="228"/>
      <c r="S896" s="228"/>
      <c r="T896" s="228"/>
      <c r="U896" s="191">
        <f t="shared" si="552"/>
        <v>0</v>
      </c>
      <c r="V896" s="86"/>
      <c r="W896" s="45"/>
      <c r="X896" s="46"/>
      <c r="Y896" s="167">
        <f t="shared" si="553"/>
        <v>0</v>
      </c>
      <c r="Z896" s="167">
        <f t="shared" si="554"/>
        <v>0</v>
      </c>
      <c r="AA896" s="167">
        <f t="shared" si="555"/>
        <v>0</v>
      </c>
      <c r="AB896" s="167">
        <f t="shared" si="556"/>
        <v>0</v>
      </c>
      <c r="AC896" s="167">
        <f t="shared" si="557"/>
        <v>0</v>
      </c>
      <c r="AD896" s="167">
        <f t="shared" si="558"/>
        <v>0</v>
      </c>
      <c r="AF896" s="47">
        <f t="shared" si="551"/>
        <v>0</v>
      </c>
    </row>
    <row r="897" spans="1:32" x14ac:dyDescent="0.35">
      <c r="A897" s="269"/>
      <c r="B897" s="83"/>
      <c r="C897" s="83"/>
      <c r="D897" s="85"/>
      <c r="E897" s="83"/>
      <c r="F897" s="83"/>
      <c r="G897" s="43"/>
      <c r="H897" s="233"/>
      <c r="I897" s="42"/>
      <c r="J897" s="42"/>
      <c r="K897" s="42"/>
      <c r="L897" s="44"/>
      <c r="M897" s="44"/>
      <c r="N897" s="44"/>
      <c r="O897" s="44"/>
      <c r="P897" s="44"/>
      <c r="Q897" s="227"/>
      <c r="R897" s="228"/>
      <c r="S897" s="228"/>
      <c r="T897" s="228"/>
      <c r="U897" s="191">
        <f t="shared" si="552"/>
        <v>0</v>
      </c>
      <c r="V897" s="86"/>
      <c r="W897" s="45"/>
      <c r="X897" s="46"/>
      <c r="Y897" s="167">
        <f t="shared" si="553"/>
        <v>0</v>
      </c>
      <c r="Z897" s="167">
        <f t="shared" si="554"/>
        <v>0</v>
      </c>
      <c r="AA897" s="167">
        <f t="shared" si="555"/>
        <v>0</v>
      </c>
      <c r="AB897" s="167">
        <f t="shared" si="556"/>
        <v>0</v>
      </c>
      <c r="AC897" s="167">
        <f t="shared" si="557"/>
        <v>0</v>
      </c>
      <c r="AD897" s="167">
        <f t="shared" si="558"/>
        <v>0</v>
      </c>
      <c r="AF897" s="47">
        <f t="shared" si="551"/>
        <v>0</v>
      </c>
    </row>
    <row r="898" spans="1:32" x14ac:dyDescent="0.35">
      <c r="A898" s="269"/>
      <c r="B898" s="83"/>
      <c r="C898" s="83"/>
      <c r="D898" s="85"/>
      <c r="E898" s="83"/>
      <c r="F898" s="83"/>
      <c r="G898" s="43"/>
      <c r="H898" s="233"/>
      <c r="I898" s="42"/>
      <c r="J898" s="42"/>
      <c r="K898" s="42"/>
      <c r="L898" s="44"/>
      <c r="M898" s="44"/>
      <c r="N898" s="44"/>
      <c r="O898" s="44"/>
      <c r="P898" s="44"/>
      <c r="Q898" s="227"/>
      <c r="R898" s="228"/>
      <c r="S898" s="228"/>
      <c r="T898" s="228"/>
      <c r="U898" s="191">
        <f t="shared" si="552"/>
        <v>0</v>
      </c>
      <c r="V898" s="86"/>
      <c r="W898" s="45"/>
      <c r="X898" s="46"/>
      <c r="Y898" s="167">
        <f t="shared" si="553"/>
        <v>0</v>
      </c>
      <c r="Z898" s="167">
        <f t="shared" si="554"/>
        <v>0</v>
      </c>
      <c r="AA898" s="167">
        <f t="shared" si="555"/>
        <v>0</v>
      </c>
      <c r="AB898" s="167">
        <f t="shared" si="556"/>
        <v>0</v>
      </c>
      <c r="AC898" s="167">
        <f t="shared" si="557"/>
        <v>0</v>
      </c>
      <c r="AD898" s="167">
        <f t="shared" si="558"/>
        <v>0</v>
      </c>
      <c r="AF898" s="47">
        <f t="shared" si="551"/>
        <v>0</v>
      </c>
    </row>
    <row r="899" spans="1:32" x14ac:dyDescent="0.35">
      <c r="A899" s="269"/>
      <c r="B899" s="83"/>
      <c r="C899" s="83"/>
      <c r="D899" s="85"/>
      <c r="E899" s="83"/>
      <c r="F899" s="83"/>
      <c r="G899" s="43"/>
      <c r="H899" s="233"/>
      <c r="I899" s="42"/>
      <c r="J899" s="42"/>
      <c r="K899" s="42"/>
      <c r="L899" s="44"/>
      <c r="M899" s="44"/>
      <c r="N899" s="44"/>
      <c r="O899" s="44"/>
      <c r="P899" s="44"/>
      <c r="Q899" s="227"/>
      <c r="R899" s="228"/>
      <c r="S899" s="228"/>
      <c r="T899" s="228"/>
      <c r="U899" s="191">
        <f t="shared" si="552"/>
        <v>0</v>
      </c>
      <c r="V899" s="86"/>
      <c r="W899" s="45"/>
      <c r="X899" s="46"/>
      <c r="Y899" s="167">
        <f t="shared" si="553"/>
        <v>0</v>
      </c>
      <c r="Z899" s="167">
        <f t="shared" si="554"/>
        <v>0</v>
      </c>
      <c r="AA899" s="167">
        <f t="shared" si="555"/>
        <v>0</v>
      </c>
      <c r="AB899" s="167">
        <f t="shared" si="556"/>
        <v>0</v>
      </c>
      <c r="AC899" s="167">
        <f t="shared" si="557"/>
        <v>0</v>
      </c>
      <c r="AD899" s="167">
        <f t="shared" si="558"/>
        <v>0</v>
      </c>
      <c r="AF899" s="47">
        <f t="shared" si="551"/>
        <v>0</v>
      </c>
    </row>
    <row r="900" spans="1:32" x14ac:dyDescent="0.35">
      <c r="A900" s="269"/>
      <c r="B900" s="83"/>
      <c r="C900" s="83"/>
      <c r="D900" s="85"/>
      <c r="E900" s="83"/>
      <c r="F900" s="83"/>
      <c r="G900" s="43"/>
      <c r="H900" s="233"/>
      <c r="I900" s="42"/>
      <c r="J900" s="42"/>
      <c r="K900" s="42"/>
      <c r="L900" s="44"/>
      <c r="M900" s="44"/>
      <c r="N900" s="44"/>
      <c r="O900" s="44"/>
      <c r="P900" s="44"/>
      <c r="Q900" s="227"/>
      <c r="R900" s="228"/>
      <c r="S900" s="228"/>
      <c r="T900" s="228"/>
      <c r="U900" s="191">
        <f t="shared" si="552"/>
        <v>0</v>
      </c>
      <c r="V900" s="86"/>
      <c r="W900" s="45"/>
      <c r="X900" s="46"/>
      <c r="Y900" s="167">
        <f t="shared" si="553"/>
        <v>0</v>
      </c>
      <c r="Z900" s="167">
        <f t="shared" si="554"/>
        <v>0</v>
      </c>
      <c r="AA900" s="167">
        <f t="shared" si="555"/>
        <v>0</v>
      </c>
      <c r="AB900" s="167">
        <f t="shared" si="556"/>
        <v>0</v>
      </c>
      <c r="AC900" s="167">
        <f t="shared" si="557"/>
        <v>0</v>
      </c>
      <c r="AD900" s="167">
        <f t="shared" si="558"/>
        <v>0</v>
      </c>
      <c r="AF900" s="47">
        <f t="shared" si="551"/>
        <v>0</v>
      </c>
    </row>
    <row r="901" spans="1:32" x14ac:dyDescent="0.35">
      <c r="A901" s="269"/>
      <c r="B901" s="83"/>
      <c r="C901" s="83"/>
      <c r="D901" s="85"/>
      <c r="E901" s="83"/>
      <c r="F901" s="83"/>
      <c r="G901" s="43"/>
      <c r="H901" s="233"/>
      <c r="I901" s="42"/>
      <c r="J901" s="42"/>
      <c r="K901" s="42"/>
      <c r="L901" s="44"/>
      <c r="M901" s="44"/>
      <c r="N901" s="44"/>
      <c r="O901" s="44"/>
      <c r="P901" s="44"/>
      <c r="Q901" s="227"/>
      <c r="R901" s="228"/>
      <c r="S901" s="228"/>
      <c r="T901" s="228"/>
      <c r="U901" s="191">
        <f t="shared" si="552"/>
        <v>0</v>
      </c>
      <c r="V901" s="86"/>
      <c r="W901" s="45"/>
      <c r="X901" s="46"/>
      <c r="Y901" s="167">
        <f t="shared" si="553"/>
        <v>0</v>
      </c>
      <c r="Z901" s="167">
        <f t="shared" si="554"/>
        <v>0</v>
      </c>
      <c r="AA901" s="167">
        <f t="shared" si="555"/>
        <v>0</v>
      </c>
      <c r="AB901" s="167">
        <f t="shared" si="556"/>
        <v>0</v>
      </c>
      <c r="AC901" s="167">
        <f t="shared" si="557"/>
        <v>0</v>
      </c>
      <c r="AD901" s="167">
        <f t="shared" si="558"/>
        <v>0</v>
      </c>
      <c r="AF901" s="47">
        <f t="shared" si="551"/>
        <v>0</v>
      </c>
    </row>
    <row r="902" spans="1:32" x14ac:dyDescent="0.35">
      <c r="A902" s="269"/>
      <c r="B902" s="83"/>
      <c r="C902" s="83"/>
      <c r="D902" s="85"/>
      <c r="E902" s="83"/>
      <c r="F902" s="83"/>
      <c r="G902" s="43"/>
      <c r="H902" s="233"/>
      <c r="I902" s="42"/>
      <c r="J902" s="42"/>
      <c r="K902" s="42"/>
      <c r="L902" s="44"/>
      <c r="M902" s="44"/>
      <c r="N902" s="44"/>
      <c r="O902" s="44"/>
      <c r="P902" s="44"/>
      <c r="Q902" s="227"/>
      <c r="R902" s="228"/>
      <c r="S902" s="228"/>
      <c r="T902" s="228"/>
      <c r="U902" s="191">
        <f t="shared" si="552"/>
        <v>0</v>
      </c>
      <c r="V902" s="86"/>
      <c r="W902" s="45"/>
      <c r="X902" s="46"/>
      <c r="Y902" s="167">
        <f t="shared" si="553"/>
        <v>0</v>
      </c>
      <c r="Z902" s="167">
        <f t="shared" si="554"/>
        <v>0</v>
      </c>
      <c r="AA902" s="167">
        <f t="shared" si="555"/>
        <v>0</v>
      </c>
      <c r="AB902" s="167">
        <f t="shared" si="556"/>
        <v>0</v>
      </c>
      <c r="AC902" s="167">
        <f t="shared" si="557"/>
        <v>0</v>
      </c>
      <c r="AD902" s="167">
        <f t="shared" si="558"/>
        <v>0</v>
      </c>
      <c r="AF902" s="47">
        <f t="shared" si="551"/>
        <v>0</v>
      </c>
    </row>
    <row r="903" spans="1:32" x14ac:dyDescent="0.35">
      <c r="A903" s="269"/>
      <c r="B903" s="83"/>
      <c r="C903" s="83"/>
      <c r="D903" s="85"/>
      <c r="E903" s="83"/>
      <c r="F903" s="83"/>
      <c r="G903" s="43"/>
      <c r="H903" s="233"/>
      <c r="I903" s="42"/>
      <c r="J903" s="42"/>
      <c r="K903" s="42"/>
      <c r="L903" s="44"/>
      <c r="M903" s="44"/>
      <c r="N903" s="44"/>
      <c r="O903" s="44"/>
      <c r="P903" s="44"/>
      <c r="Q903" s="227"/>
      <c r="R903" s="228"/>
      <c r="S903" s="228"/>
      <c r="T903" s="228"/>
      <c r="U903" s="191">
        <f t="shared" si="552"/>
        <v>0</v>
      </c>
      <c r="V903" s="86"/>
      <c r="W903" s="45"/>
      <c r="X903" s="46"/>
      <c r="Y903" s="167">
        <f t="shared" si="553"/>
        <v>0</v>
      </c>
      <c r="Z903" s="167">
        <f t="shared" si="554"/>
        <v>0</v>
      </c>
      <c r="AA903" s="167">
        <f t="shared" si="555"/>
        <v>0</v>
      </c>
      <c r="AB903" s="167">
        <f t="shared" si="556"/>
        <v>0</v>
      </c>
      <c r="AC903" s="167">
        <f t="shared" si="557"/>
        <v>0</v>
      </c>
      <c r="AD903" s="167">
        <f t="shared" si="558"/>
        <v>0</v>
      </c>
      <c r="AF903" s="47">
        <f t="shared" si="551"/>
        <v>0</v>
      </c>
    </row>
    <row r="904" spans="1:32" x14ac:dyDescent="0.35">
      <c r="A904" s="269"/>
      <c r="B904" s="83"/>
      <c r="C904" s="83"/>
      <c r="D904" s="85"/>
      <c r="E904" s="83"/>
      <c r="F904" s="83"/>
      <c r="G904" s="43"/>
      <c r="H904" s="233"/>
      <c r="I904" s="42"/>
      <c r="J904" s="42"/>
      <c r="K904" s="42"/>
      <c r="L904" s="44"/>
      <c r="M904" s="44"/>
      <c r="N904" s="44"/>
      <c r="O904" s="44"/>
      <c r="P904" s="44"/>
      <c r="Q904" s="227"/>
      <c r="R904" s="228"/>
      <c r="S904" s="228"/>
      <c r="T904" s="228"/>
      <c r="U904" s="191">
        <f t="shared" si="552"/>
        <v>0</v>
      </c>
      <c r="V904" s="86"/>
      <c r="W904" s="45"/>
      <c r="X904" s="46"/>
      <c r="Y904" s="167">
        <f t="shared" si="553"/>
        <v>0</v>
      </c>
      <c r="Z904" s="167">
        <f t="shared" si="554"/>
        <v>0</v>
      </c>
      <c r="AA904" s="167">
        <f t="shared" si="555"/>
        <v>0</v>
      </c>
      <c r="AB904" s="167">
        <f t="shared" si="556"/>
        <v>0</v>
      </c>
      <c r="AC904" s="167">
        <f t="shared" si="557"/>
        <v>0</v>
      </c>
      <c r="AD904" s="167">
        <f t="shared" si="558"/>
        <v>0</v>
      </c>
      <c r="AF904" s="47">
        <f t="shared" si="551"/>
        <v>0</v>
      </c>
    </row>
    <row r="905" spans="1:32" x14ac:dyDescent="0.35">
      <c r="A905" s="269"/>
      <c r="B905" s="83"/>
      <c r="C905" s="83"/>
      <c r="D905" s="85"/>
      <c r="E905" s="83"/>
      <c r="F905" s="83"/>
      <c r="G905" s="43"/>
      <c r="H905" s="233"/>
      <c r="I905" s="42"/>
      <c r="J905" s="42"/>
      <c r="K905" s="42"/>
      <c r="L905" s="44"/>
      <c r="M905" s="44"/>
      <c r="N905" s="44"/>
      <c r="O905" s="44"/>
      <c r="P905" s="44"/>
      <c r="Q905" s="227"/>
      <c r="R905" s="228"/>
      <c r="S905" s="228"/>
      <c r="T905" s="228"/>
      <c r="U905" s="191">
        <f t="shared" si="552"/>
        <v>0</v>
      </c>
      <c r="V905" s="86"/>
      <c r="W905" s="45"/>
      <c r="X905" s="46"/>
      <c r="Y905" s="167">
        <f t="shared" si="553"/>
        <v>0</v>
      </c>
      <c r="Z905" s="167">
        <f t="shared" si="554"/>
        <v>0</v>
      </c>
      <c r="AA905" s="167">
        <f t="shared" si="555"/>
        <v>0</v>
      </c>
      <c r="AB905" s="167">
        <f t="shared" si="556"/>
        <v>0</v>
      </c>
      <c r="AC905" s="167">
        <f t="shared" si="557"/>
        <v>0</v>
      </c>
      <c r="AD905" s="167">
        <f t="shared" si="558"/>
        <v>0</v>
      </c>
      <c r="AF905" s="47">
        <f t="shared" si="551"/>
        <v>0</v>
      </c>
    </row>
    <row r="906" spans="1:32" x14ac:dyDescent="0.35">
      <c r="A906" s="269"/>
      <c r="B906" s="83"/>
      <c r="C906" s="83"/>
      <c r="D906" s="85"/>
      <c r="E906" s="83"/>
      <c r="F906" s="83"/>
      <c r="G906" s="43"/>
      <c r="H906" s="233"/>
      <c r="I906" s="42"/>
      <c r="J906" s="42"/>
      <c r="K906" s="42"/>
      <c r="L906" s="44"/>
      <c r="M906" s="44"/>
      <c r="N906" s="44"/>
      <c r="O906" s="44"/>
      <c r="P906" s="44"/>
      <c r="Q906" s="227"/>
      <c r="R906" s="228"/>
      <c r="S906" s="228"/>
      <c r="T906" s="228"/>
      <c r="U906" s="191">
        <f t="shared" si="552"/>
        <v>0</v>
      </c>
      <c r="V906" s="86"/>
      <c r="W906" s="45"/>
      <c r="X906" s="46"/>
      <c r="Y906" s="167">
        <f t="shared" si="553"/>
        <v>0</v>
      </c>
      <c r="Z906" s="167">
        <f t="shared" si="554"/>
        <v>0</v>
      </c>
      <c r="AA906" s="167">
        <f t="shared" si="555"/>
        <v>0</v>
      </c>
      <c r="AB906" s="167">
        <f t="shared" si="556"/>
        <v>0</v>
      </c>
      <c r="AC906" s="167">
        <f t="shared" si="557"/>
        <v>0</v>
      </c>
      <c r="AD906" s="167">
        <f t="shared" si="558"/>
        <v>0</v>
      </c>
      <c r="AF906" s="47">
        <f t="shared" si="551"/>
        <v>0</v>
      </c>
    </row>
    <row r="907" spans="1:32" x14ac:dyDescent="0.35">
      <c r="A907" s="269"/>
      <c r="B907" s="83"/>
      <c r="C907" s="83"/>
      <c r="D907" s="85"/>
      <c r="E907" s="83"/>
      <c r="F907" s="83"/>
      <c r="G907" s="43"/>
      <c r="H907" s="233"/>
      <c r="I907" s="42"/>
      <c r="J907" s="42"/>
      <c r="K907" s="42"/>
      <c r="L907" s="44"/>
      <c r="M907" s="44"/>
      <c r="N907" s="44"/>
      <c r="O907" s="44"/>
      <c r="P907" s="44"/>
      <c r="Q907" s="227"/>
      <c r="R907" s="228"/>
      <c r="S907" s="228"/>
      <c r="T907" s="228"/>
      <c r="U907" s="191">
        <f t="shared" si="552"/>
        <v>0</v>
      </c>
      <c r="V907" s="86"/>
      <c r="W907" s="45"/>
      <c r="X907" s="46"/>
      <c r="Y907" s="167">
        <f t="shared" si="553"/>
        <v>0</v>
      </c>
      <c r="Z907" s="167">
        <f t="shared" si="554"/>
        <v>0</v>
      </c>
      <c r="AA907" s="167">
        <f t="shared" si="555"/>
        <v>0</v>
      </c>
      <c r="AB907" s="167">
        <f t="shared" si="556"/>
        <v>0</v>
      </c>
      <c r="AC907" s="167">
        <f t="shared" si="557"/>
        <v>0</v>
      </c>
      <c r="AD907" s="167">
        <f t="shared" si="558"/>
        <v>0</v>
      </c>
      <c r="AF907" s="47">
        <f t="shared" si="551"/>
        <v>0</v>
      </c>
    </row>
    <row r="908" spans="1:32" x14ac:dyDescent="0.35">
      <c r="A908" s="269"/>
      <c r="B908" s="83"/>
      <c r="C908" s="83"/>
      <c r="D908" s="85"/>
      <c r="E908" s="83"/>
      <c r="F908" s="83"/>
      <c r="G908" s="43"/>
      <c r="H908" s="233"/>
      <c r="I908" s="42"/>
      <c r="J908" s="42"/>
      <c r="K908" s="42"/>
      <c r="L908" s="44"/>
      <c r="M908" s="44"/>
      <c r="N908" s="44"/>
      <c r="O908" s="44"/>
      <c r="P908" s="44"/>
      <c r="Q908" s="227"/>
      <c r="R908" s="228"/>
      <c r="S908" s="228"/>
      <c r="T908" s="228"/>
      <c r="U908" s="191">
        <f t="shared" si="552"/>
        <v>0</v>
      </c>
      <c r="V908" s="86"/>
      <c r="W908" s="45"/>
      <c r="X908" s="46"/>
      <c r="Y908" s="167">
        <f t="shared" si="553"/>
        <v>0</v>
      </c>
      <c r="Z908" s="167">
        <f t="shared" si="554"/>
        <v>0</v>
      </c>
      <c r="AA908" s="167">
        <f t="shared" si="555"/>
        <v>0</v>
      </c>
      <c r="AB908" s="167">
        <f t="shared" si="556"/>
        <v>0</v>
      </c>
      <c r="AC908" s="167">
        <f t="shared" si="557"/>
        <v>0</v>
      </c>
      <c r="AD908" s="167">
        <f t="shared" si="558"/>
        <v>0</v>
      </c>
      <c r="AF908" s="47">
        <f t="shared" si="551"/>
        <v>0</v>
      </c>
    </row>
    <row r="909" spans="1:32" x14ac:dyDescent="0.35">
      <c r="A909" s="269"/>
      <c r="B909" s="83"/>
      <c r="C909" s="83"/>
      <c r="D909" s="85"/>
      <c r="E909" s="83"/>
      <c r="F909" s="83"/>
      <c r="G909" s="43"/>
      <c r="H909" s="233"/>
      <c r="I909" s="42"/>
      <c r="J909" s="42"/>
      <c r="K909" s="42"/>
      <c r="L909" s="44"/>
      <c r="M909" s="44"/>
      <c r="N909" s="44"/>
      <c r="O909" s="44"/>
      <c r="P909" s="44"/>
      <c r="Q909" s="227"/>
      <c r="R909" s="228"/>
      <c r="S909" s="228"/>
      <c r="T909" s="228"/>
      <c r="U909" s="191">
        <f t="shared" si="552"/>
        <v>0</v>
      </c>
      <c r="V909" s="86"/>
      <c r="W909" s="45"/>
      <c r="X909" s="46"/>
      <c r="Y909" s="167">
        <f t="shared" si="553"/>
        <v>0</v>
      </c>
      <c r="Z909" s="167">
        <f t="shared" si="554"/>
        <v>0</v>
      </c>
      <c r="AA909" s="167">
        <f t="shared" si="555"/>
        <v>0</v>
      </c>
      <c r="AB909" s="167">
        <f t="shared" si="556"/>
        <v>0</v>
      </c>
      <c r="AC909" s="167">
        <f t="shared" si="557"/>
        <v>0</v>
      </c>
      <c r="AD909" s="167">
        <f t="shared" si="558"/>
        <v>0</v>
      </c>
      <c r="AF909" s="47">
        <f t="shared" si="551"/>
        <v>0</v>
      </c>
    </row>
    <row r="910" spans="1:32" x14ac:dyDescent="0.35">
      <c r="A910" s="269"/>
      <c r="B910" s="83"/>
      <c r="C910" s="83"/>
      <c r="D910" s="85"/>
      <c r="E910" s="83"/>
      <c r="F910" s="83"/>
      <c r="G910" s="43"/>
      <c r="H910" s="233"/>
      <c r="I910" s="42"/>
      <c r="J910" s="42"/>
      <c r="K910" s="42"/>
      <c r="L910" s="44"/>
      <c r="M910" s="44"/>
      <c r="N910" s="44"/>
      <c r="O910" s="44"/>
      <c r="P910" s="44"/>
      <c r="Q910" s="227"/>
      <c r="R910" s="228"/>
      <c r="S910" s="228"/>
      <c r="T910" s="228"/>
      <c r="U910" s="191">
        <f t="shared" si="552"/>
        <v>0</v>
      </c>
      <c r="V910" s="86"/>
      <c r="W910" s="45"/>
      <c r="X910" s="46"/>
      <c r="Y910" s="167">
        <f t="shared" si="553"/>
        <v>0</v>
      </c>
      <c r="Z910" s="167">
        <f t="shared" si="554"/>
        <v>0</v>
      </c>
      <c r="AA910" s="167">
        <f t="shared" si="555"/>
        <v>0</v>
      </c>
      <c r="AB910" s="167">
        <f t="shared" si="556"/>
        <v>0</v>
      </c>
      <c r="AC910" s="167">
        <f t="shared" si="557"/>
        <v>0</v>
      </c>
      <c r="AD910" s="167">
        <f t="shared" si="558"/>
        <v>0</v>
      </c>
      <c r="AF910" s="47">
        <f t="shared" si="551"/>
        <v>0</v>
      </c>
    </row>
    <row r="911" spans="1:32" x14ac:dyDescent="0.35">
      <c r="A911" s="269"/>
      <c r="B911" s="83"/>
      <c r="C911" s="83"/>
      <c r="D911" s="85"/>
      <c r="E911" s="83"/>
      <c r="F911" s="83"/>
      <c r="G911" s="43"/>
      <c r="H911" s="233"/>
      <c r="I911" s="42"/>
      <c r="J911" s="42"/>
      <c r="K911" s="42"/>
      <c r="L911" s="44"/>
      <c r="M911" s="44"/>
      <c r="N911" s="44"/>
      <c r="O911" s="44"/>
      <c r="P911" s="44"/>
      <c r="Q911" s="227"/>
      <c r="R911" s="228"/>
      <c r="S911" s="228"/>
      <c r="T911" s="228"/>
      <c r="U911" s="191">
        <f t="shared" si="552"/>
        <v>0</v>
      </c>
      <c r="V911" s="86"/>
      <c r="W911" s="45"/>
      <c r="X911" s="46"/>
      <c r="Y911" s="167">
        <f t="shared" si="553"/>
        <v>0</v>
      </c>
      <c r="Z911" s="167">
        <f t="shared" si="554"/>
        <v>0</v>
      </c>
      <c r="AA911" s="167">
        <f t="shared" si="555"/>
        <v>0</v>
      </c>
      <c r="AB911" s="167">
        <f t="shared" si="556"/>
        <v>0</v>
      </c>
      <c r="AC911" s="167">
        <f t="shared" si="557"/>
        <v>0</v>
      </c>
      <c r="AD911" s="167">
        <f t="shared" si="558"/>
        <v>0</v>
      </c>
      <c r="AF911" s="47">
        <f t="shared" si="551"/>
        <v>0</v>
      </c>
    </row>
    <row r="912" spans="1:32" x14ac:dyDescent="0.35">
      <c r="A912" s="269"/>
      <c r="B912" s="83"/>
      <c r="C912" s="83"/>
      <c r="D912" s="85"/>
      <c r="E912" s="83"/>
      <c r="F912" s="83"/>
      <c r="G912" s="43"/>
      <c r="H912" s="233"/>
      <c r="I912" s="42"/>
      <c r="J912" s="42"/>
      <c r="K912" s="42"/>
      <c r="L912" s="44"/>
      <c r="M912" s="44"/>
      <c r="N912" s="44"/>
      <c r="O912" s="44"/>
      <c r="P912" s="44"/>
      <c r="Q912" s="227"/>
      <c r="R912" s="228"/>
      <c r="S912" s="228"/>
      <c r="T912" s="228"/>
      <c r="U912" s="191">
        <f t="shared" si="552"/>
        <v>0</v>
      </c>
      <c r="V912" s="86"/>
      <c r="W912" s="45"/>
      <c r="X912" s="46"/>
      <c r="Y912" s="167">
        <f t="shared" si="553"/>
        <v>0</v>
      </c>
      <c r="Z912" s="167">
        <f t="shared" si="554"/>
        <v>0</v>
      </c>
      <c r="AA912" s="167">
        <f t="shared" si="555"/>
        <v>0</v>
      </c>
      <c r="AB912" s="167">
        <f t="shared" si="556"/>
        <v>0</v>
      </c>
      <c r="AC912" s="167">
        <f t="shared" si="557"/>
        <v>0</v>
      </c>
      <c r="AD912" s="167">
        <f t="shared" si="558"/>
        <v>0</v>
      </c>
      <c r="AF912" s="47">
        <f t="shared" si="551"/>
        <v>0</v>
      </c>
    </row>
    <row r="913" spans="1:32" x14ac:dyDescent="0.35">
      <c r="A913" s="269"/>
      <c r="B913" s="83"/>
      <c r="C913" s="83"/>
      <c r="D913" s="85"/>
      <c r="E913" s="83"/>
      <c r="F913" s="83"/>
      <c r="G913" s="43"/>
      <c r="H913" s="233"/>
      <c r="I913" s="42"/>
      <c r="J913" s="42"/>
      <c r="K913" s="42"/>
      <c r="L913" s="44"/>
      <c r="M913" s="44"/>
      <c r="N913" s="44"/>
      <c r="O913" s="44"/>
      <c r="P913" s="44"/>
      <c r="Q913" s="227"/>
      <c r="R913" s="228"/>
      <c r="S913" s="228"/>
      <c r="T913" s="228"/>
      <c r="U913" s="191">
        <f t="shared" si="552"/>
        <v>0</v>
      </c>
      <c r="V913" s="86"/>
      <c r="W913" s="45"/>
      <c r="X913" s="46"/>
      <c r="Y913" s="167">
        <f t="shared" si="553"/>
        <v>0</v>
      </c>
      <c r="Z913" s="167">
        <f t="shared" si="554"/>
        <v>0</v>
      </c>
      <c r="AA913" s="167">
        <f t="shared" si="555"/>
        <v>0</v>
      </c>
      <c r="AB913" s="167">
        <f t="shared" si="556"/>
        <v>0</v>
      </c>
      <c r="AC913" s="167">
        <f t="shared" si="557"/>
        <v>0</v>
      </c>
      <c r="AD913" s="167">
        <f t="shared" si="558"/>
        <v>0</v>
      </c>
      <c r="AF913" s="47">
        <f t="shared" si="551"/>
        <v>0</v>
      </c>
    </row>
    <row r="914" spans="1:32" x14ac:dyDescent="0.35">
      <c r="A914" s="269"/>
      <c r="B914" s="83"/>
      <c r="C914" s="83"/>
      <c r="D914" s="85"/>
      <c r="E914" s="83"/>
      <c r="F914" s="83"/>
      <c r="G914" s="43"/>
      <c r="H914" s="233"/>
      <c r="I914" s="42"/>
      <c r="J914" s="42"/>
      <c r="K914" s="42"/>
      <c r="L914" s="44"/>
      <c r="M914" s="44"/>
      <c r="N914" s="44"/>
      <c r="O914" s="44"/>
      <c r="P914" s="44"/>
      <c r="Q914" s="227"/>
      <c r="R914" s="228"/>
      <c r="S914" s="228"/>
      <c r="T914" s="228"/>
      <c r="U914" s="191">
        <f t="shared" si="552"/>
        <v>0</v>
      </c>
      <c r="V914" s="86"/>
      <c r="W914" s="45"/>
      <c r="X914" s="46"/>
      <c r="Y914" s="167">
        <f t="shared" si="553"/>
        <v>0</v>
      </c>
      <c r="Z914" s="167">
        <f t="shared" si="554"/>
        <v>0</v>
      </c>
      <c r="AA914" s="167">
        <f t="shared" si="555"/>
        <v>0</v>
      </c>
      <c r="AB914" s="167">
        <f t="shared" si="556"/>
        <v>0</v>
      </c>
      <c r="AC914" s="167">
        <f t="shared" si="557"/>
        <v>0</v>
      </c>
      <c r="AD914" s="167">
        <f t="shared" si="558"/>
        <v>0</v>
      </c>
      <c r="AF914" s="47">
        <f t="shared" si="551"/>
        <v>0</v>
      </c>
    </row>
    <row r="915" spans="1:32" x14ac:dyDescent="0.35">
      <c r="A915" s="269"/>
      <c r="B915" s="83"/>
      <c r="C915" s="83"/>
      <c r="D915" s="85"/>
      <c r="E915" s="83"/>
      <c r="F915" s="83"/>
      <c r="G915" s="43"/>
      <c r="H915" s="233"/>
      <c r="I915" s="42"/>
      <c r="J915" s="42"/>
      <c r="K915" s="42"/>
      <c r="L915" s="44"/>
      <c r="M915" s="44"/>
      <c r="N915" s="44"/>
      <c r="O915" s="44"/>
      <c r="P915" s="44"/>
      <c r="Q915" s="227"/>
      <c r="R915" s="228"/>
      <c r="S915" s="228"/>
      <c r="T915" s="228"/>
      <c r="U915" s="191">
        <f t="shared" si="552"/>
        <v>0</v>
      </c>
      <c r="V915" s="86"/>
      <c r="W915" s="45"/>
      <c r="X915" s="46"/>
      <c r="Y915" s="167">
        <f t="shared" si="553"/>
        <v>0</v>
      </c>
      <c r="Z915" s="167">
        <f t="shared" si="554"/>
        <v>0</v>
      </c>
      <c r="AA915" s="167">
        <f t="shared" si="555"/>
        <v>0</v>
      </c>
      <c r="AB915" s="167">
        <f t="shared" si="556"/>
        <v>0</v>
      </c>
      <c r="AC915" s="167">
        <f t="shared" si="557"/>
        <v>0</v>
      </c>
      <c r="AD915" s="167">
        <f t="shared" si="558"/>
        <v>0</v>
      </c>
      <c r="AF915" s="47">
        <f t="shared" si="551"/>
        <v>0</v>
      </c>
    </row>
    <row r="916" spans="1:32" x14ac:dyDescent="0.35">
      <c r="A916" s="269"/>
      <c r="B916" s="83"/>
      <c r="C916" s="83"/>
      <c r="D916" s="85"/>
      <c r="E916" s="83"/>
      <c r="F916" s="83"/>
      <c r="G916" s="43"/>
      <c r="H916" s="233"/>
      <c r="I916" s="42"/>
      <c r="J916" s="42"/>
      <c r="K916" s="42"/>
      <c r="L916" s="44"/>
      <c r="M916" s="44"/>
      <c r="N916" s="44"/>
      <c r="O916" s="44"/>
      <c r="P916" s="44"/>
      <c r="Q916" s="227"/>
      <c r="R916" s="228"/>
      <c r="S916" s="228"/>
      <c r="T916" s="228"/>
      <c r="U916" s="191">
        <f t="shared" si="552"/>
        <v>0</v>
      </c>
      <c r="V916" s="86"/>
      <c r="W916" s="45"/>
      <c r="X916" s="46"/>
      <c r="Y916" s="167">
        <f t="shared" si="553"/>
        <v>0</v>
      </c>
      <c r="Z916" s="167">
        <f t="shared" si="554"/>
        <v>0</v>
      </c>
      <c r="AA916" s="167">
        <f t="shared" si="555"/>
        <v>0</v>
      </c>
      <c r="AB916" s="167">
        <f t="shared" si="556"/>
        <v>0</v>
      </c>
      <c r="AC916" s="167">
        <f t="shared" si="557"/>
        <v>0</v>
      </c>
      <c r="AD916" s="167">
        <f t="shared" si="558"/>
        <v>0</v>
      </c>
      <c r="AF916" s="47">
        <f t="shared" ref="AF916:AF979" si="559">IF(S916&lt;&gt;"",1,0)</f>
        <v>0</v>
      </c>
    </row>
    <row r="917" spans="1:32" x14ac:dyDescent="0.35">
      <c r="A917" s="269"/>
      <c r="B917" s="83"/>
      <c r="C917" s="83"/>
      <c r="D917" s="85"/>
      <c r="E917" s="83"/>
      <c r="F917" s="83"/>
      <c r="G917" s="43"/>
      <c r="H917" s="233"/>
      <c r="I917" s="42"/>
      <c r="J917" s="42"/>
      <c r="K917" s="42"/>
      <c r="L917" s="44"/>
      <c r="M917" s="44"/>
      <c r="N917" s="44"/>
      <c r="O917" s="44"/>
      <c r="P917" s="44"/>
      <c r="Q917" s="227"/>
      <c r="R917" s="228"/>
      <c r="S917" s="228"/>
      <c r="T917" s="228"/>
      <c r="U917" s="191">
        <f t="shared" si="552"/>
        <v>0</v>
      </c>
      <c r="V917" s="86"/>
      <c r="W917" s="45"/>
      <c r="X917" s="46"/>
      <c r="Y917" s="167">
        <f t="shared" si="553"/>
        <v>0</v>
      </c>
      <c r="Z917" s="167">
        <f t="shared" si="554"/>
        <v>0</v>
      </c>
      <c r="AA917" s="167">
        <f t="shared" si="555"/>
        <v>0</v>
      </c>
      <c r="AB917" s="167">
        <f t="shared" si="556"/>
        <v>0</v>
      </c>
      <c r="AC917" s="167">
        <f t="shared" si="557"/>
        <v>0</v>
      </c>
      <c r="AD917" s="167">
        <f t="shared" si="558"/>
        <v>0</v>
      </c>
      <c r="AF917" s="47">
        <f t="shared" si="559"/>
        <v>0</v>
      </c>
    </row>
    <row r="918" spans="1:32" x14ac:dyDescent="0.35">
      <c r="A918" s="269"/>
      <c r="B918" s="83"/>
      <c r="C918" s="83"/>
      <c r="D918" s="85"/>
      <c r="E918" s="83"/>
      <c r="F918" s="83"/>
      <c r="G918" s="43"/>
      <c r="H918" s="233"/>
      <c r="I918" s="42"/>
      <c r="J918" s="42"/>
      <c r="K918" s="42"/>
      <c r="L918" s="44"/>
      <c r="M918" s="44"/>
      <c r="N918" s="44"/>
      <c r="O918" s="44"/>
      <c r="P918" s="44"/>
      <c r="Q918" s="227"/>
      <c r="R918" s="228"/>
      <c r="S918" s="228"/>
      <c r="T918" s="228"/>
      <c r="U918" s="191">
        <f t="shared" si="552"/>
        <v>0</v>
      </c>
      <c r="V918" s="86"/>
      <c r="W918" s="45"/>
      <c r="X918" s="46"/>
      <c r="Y918" s="167">
        <f t="shared" si="553"/>
        <v>0</v>
      </c>
      <c r="Z918" s="167">
        <f t="shared" si="554"/>
        <v>0</v>
      </c>
      <c r="AA918" s="167">
        <f t="shared" si="555"/>
        <v>0</v>
      </c>
      <c r="AB918" s="167">
        <f t="shared" si="556"/>
        <v>0</v>
      </c>
      <c r="AC918" s="167">
        <f t="shared" si="557"/>
        <v>0</v>
      </c>
      <c r="AD918" s="167">
        <f t="shared" si="558"/>
        <v>0</v>
      </c>
      <c r="AF918" s="47">
        <f t="shared" si="559"/>
        <v>0</v>
      </c>
    </row>
    <row r="919" spans="1:32" x14ac:dyDescent="0.35">
      <c r="A919" s="269"/>
      <c r="B919" s="83"/>
      <c r="C919" s="83"/>
      <c r="D919" s="85"/>
      <c r="E919" s="83"/>
      <c r="F919" s="83"/>
      <c r="G919" s="43"/>
      <c r="H919" s="233"/>
      <c r="I919" s="42"/>
      <c r="J919" s="42"/>
      <c r="K919" s="42"/>
      <c r="L919" s="44"/>
      <c r="M919" s="44"/>
      <c r="N919" s="44"/>
      <c r="O919" s="44"/>
      <c r="P919" s="44"/>
      <c r="Q919" s="227"/>
      <c r="R919" s="228"/>
      <c r="S919" s="228"/>
      <c r="T919" s="228"/>
      <c r="U919" s="191">
        <f t="shared" si="552"/>
        <v>0</v>
      </c>
      <c r="V919" s="86"/>
      <c r="W919" s="45"/>
      <c r="X919" s="46"/>
      <c r="Y919" s="167">
        <f t="shared" si="553"/>
        <v>0</v>
      </c>
      <c r="Z919" s="167">
        <f t="shared" si="554"/>
        <v>0</v>
      </c>
      <c r="AA919" s="167">
        <f t="shared" si="555"/>
        <v>0</v>
      </c>
      <c r="AB919" s="167">
        <f t="shared" si="556"/>
        <v>0</v>
      </c>
      <c r="AC919" s="167">
        <f t="shared" si="557"/>
        <v>0</v>
      </c>
      <c r="AD919" s="167">
        <f t="shared" si="558"/>
        <v>0</v>
      </c>
      <c r="AF919" s="47">
        <f t="shared" si="559"/>
        <v>0</v>
      </c>
    </row>
    <row r="920" spans="1:32" x14ac:dyDescent="0.35">
      <c r="A920" s="269"/>
      <c r="B920" s="83"/>
      <c r="C920" s="83"/>
      <c r="D920" s="85"/>
      <c r="E920" s="83"/>
      <c r="F920" s="83"/>
      <c r="G920" s="43"/>
      <c r="H920" s="233"/>
      <c r="I920" s="42"/>
      <c r="J920" s="42"/>
      <c r="K920" s="42"/>
      <c r="L920" s="44"/>
      <c r="M920" s="44"/>
      <c r="N920" s="44"/>
      <c r="O920" s="44"/>
      <c r="P920" s="44"/>
      <c r="Q920" s="227"/>
      <c r="R920" s="228"/>
      <c r="S920" s="228"/>
      <c r="T920" s="228"/>
      <c r="U920" s="191">
        <f t="shared" si="552"/>
        <v>0</v>
      </c>
      <c r="V920" s="86"/>
      <c r="W920" s="45"/>
      <c r="X920" s="46"/>
      <c r="Y920" s="167">
        <f t="shared" si="553"/>
        <v>0</v>
      </c>
      <c r="Z920" s="167">
        <f t="shared" si="554"/>
        <v>0</v>
      </c>
      <c r="AA920" s="167">
        <f t="shared" si="555"/>
        <v>0</v>
      </c>
      <c r="AB920" s="167">
        <f t="shared" si="556"/>
        <v>0</v>
      </c>
      <c r="AC920" s="167">
        <f t="shared" si="557"/>
        <v>0</v>
      </c>
      <c r="AD920" s="167">
        <f t="shared" si="558"/>
        <v>0</v>
      </c>
      <c r="AF920" s="47">
        <f t="shared" si="559"/>
        <v>0</v>
      </c>
    </row>
    <row r="921" spans="1:32" x14ac:dyDescent="0.35">
      <c r="A921" s="269"/>
      <c r="B921" s="83"/>
      <c r="C921" s="83"/>
      <c r="D921" s="85"/>
      <c r="E921" s="83"/>
      <c r="F921" s="83"/>
      <c r="G921" s="43"/>
      <c r="H921" s="233"/>
      <c r="I921" s="42"/>
      <c r="J921" s="42"/>
      <c r="K921" s="42"/>
      <c r="L921" s="44"/>
      <c r="M921" s="44"/>
      <c r="N921" s="44"/>
      <c r="O921" s="44"/>
      <c r="P921" s="44"/>
      <c r="Q921" s="227"/>
      <c r="R921" s="228"/>
      <c r="S921" s="228"/>
      <c r="T921" s="228"/>
      <c r="U921" s="191">
        <f t="shared" si="552"/>
        <v>0</v>
      </c>
      <c r="V921" s="86"/>
      <c r="W921" s="45"/>
      <c r="X921" s="46"/>
      <c r="Y921" s="167">
        <f t="shared" si="553"/>
        <v>0</v>
      </c>
      <c r="Z921" s="167">
        <f t="shared" si="554"/>
        <v>0</v>
      </c>
      <c r="AA921" s="167">
        <f t="shared" si="555"/>
        <v>0</v>
      </c>
      <c r="AB921" s="167">
        <f t="shared" si="556"/>
        <v>0</v>
      </c>
      <c r="AC921" s="167">
        <f t="shared" si="557"/>
        <v>0</v>
      </c>
      <c r="AD921" s="167">
        <f t="shared" si="558"/>
        <v>0</v>
      </c>
      <c r="AF921" s="47">
        <f t="shared" si="559"/>
        <v>0</v>
      </c>
    </row>
    <row r="922" spans="1:32" x14ac:dyDescent="0.35">
      <c r="A922" s="269"/>
      <c r="B922" s="83"/>
      <c r="C922" s="83"/>
      <c r="D922" s="85"/>
      <c r="E922" s="83"/>
      <c r="F922" s="83"/>
      <c r="G922" s="43"/>
      <c r="H922" s="233"/>
      <c r="I922" s="42"/>
      <c r="J922" s="42"/>
      <c r="K922" s="42"/>
      <c r="L922" s="44"/>
      <c r="M922" s="44"/>
      <c r="N922" s="44"/>
      <c r="O922" s="44"/>
      <c r="P922" s="44"/>
      <c r="Q922" s="227"/>
      <c r="R922" s="228"/>
      <c r="S922" s="228"/>
      <c r="T922" s="228"/>
      <c r="U922" s="191">
        <f t="shared" si="552"/>
        <v>0</v>
      </c>
      <c r="V922" s="86"/>
      <c r="W922" s="45"/>
      <c r="X922" s="46"/>
      <c r="Y922" s="167">
        <f t="shared" si="553"/>
        <v>0</v>
      </c>
      <c r="Z922" s="167">
        <f t="shared" si="554"/>
        <v>0</v>
      </c>
      <c r="AA922" s="167">
        <f t="shared" si="555"/>
        <v>0</v>
      </c>
      <c r="AB922" s="167">
        <f t="shared" si="556"/>
        <v>0</v>
      </c>
      <c r="AC922" s="167">
        <f t="shared" si="557"/>
        <v>0</v>
      </c>
      <c r="AD922" s="167">
        <f t="shared" si="558"/>
        <v>0</v>
      </c>
      <c r="AF922" s="47">
        <f t="shared" si="559"/>
        <v>0</v>
      </c>
    </row>
    <row r="923" spans="1:32" x14ac:dyDescent="0.35">
      <c r="A923" s="269"/>
      <c r="B923" s="83"/>
      <c r="C923" s="83"/>
      <c r="D923" s="85"/>
      <c r="E923" s="83"/>
      <c r="F923" s="83"/>
      <c r="G923" s="43"/>
      <c r="H923" s="233"/>
      <c r="I923" s="42"/>
      <c r="J923" s="42"/>
      <c r="K923" s="42"/>
      <c r="L923" s="44"/>
      <c r="M923" s="44"/>
      <c r="N923" s="44"/>
      <c r="O923" s="44"/>
      <c r="P923" s="44"/>
      <c r="Q923" s="227"/>
      <c r="R923" s="228"/>
      <c r="S923" s="228"/>
      <c r="T923" s="228"/>
      <c r="U923" s="191">
        <f t="shared" si="552"/>
        <v>0</v>
      </c>
      <c r="V923" s="86"/>
      <c r="W923" s="45"/>
      <c r="X923" s="46"/>
      <c r="Y923" s="167">
        <f t="shared" si="553"/>
        <v>0</v>
      </c>
      <c r="Z923" s="167">
        <f t="shared" si="554"/>
        <v>0</v>
      </c>
      <c r="AA923" s="167">
        <f t="shared" si="555"/>
        <v>0</v>
      </c>
      <c r="AB923" s="167">
        <f t="shared" si="556"/>
        <v>0</v>
      </c>
      <c r="AC923" s="167">
        <f t="shared" si="557"/>
        <v>0</v>
      </c>
      <c r="AD923" s="167">
        <f t="shared" si="558"/>
        <v>0</v>
      </c>
      <c r="AF923" s="47">
        <f t="shared" si="559"/>
        <v>0</v>
      </c>
    </row>
    <row r="924" spans="1:32" x14ac:dyDescent="0.35">
      <c r="A924" s="269"/>
      <c r="B924" s="83"/>
      <c r="C924" s="83"/>
      <c r="D924" s="85"/>
      <c r="E924" s="83"/>
      <c r="F924" s="83"/>
      <c r="G924" s="43"/>
      <c r="H924" s="233"/>
      <c r="I924" s="42"/>
      <c r="J924" s="42"/>
      <c r="K924" s="42"/>
      <c r="L924" s="44"/>
      <c r="M924" s="44"/>
      <c r="N924" s="44"/>
      <c r="O924" s="44"/>
      <c r="P924" s="44"/>
      <c r="Q924" s="227"/>
      <c r="R924" s="228"/>
      <c r="S924" s="228"/>
      <c r="T924" s="228"/>
      <c r="U924" s="191">
        <f t="shared" si="552"/>
        <v>0</v>
      </c>
      <c r="V924" s="86"/>
      <c r="W924" s="45"/>
      <c r="X924" s="46"/>
      <c r="Y924" s="167">
        <f t="shared" si="553"/>
        <v>0</v>
      </c>
      <c r="Z924" s="167">
        <f t="shared" si="554"/>
        <v>0</v>
      </c>
      <c r="AA924" s="167">
        <f t="shared" si="555"/>
        <v>0</v>
      </c>
      <c r="AB924" s="167">
        <f t="shared" si="556"/>
        <v>0</v>
      </c>
      <c r="AC924" s="167">
        <f t="shared" si="557"/>
        <v>0</v>
      </c>
      <c r="AD924" s="167">
        <f t="shared" si="558"/>
        <v>0</v>
      </c>
      <c r="AF924" s="47">
        <f t="shared" si="559"/>
        <v>0</v>
      </c>
    </row>
    <row r="925" spans="1:32" x14ac:dyDescent="0.35">
      <c r="A925" s="269"/>
      <c r="B925" s="83"/>
      <c r="C925" s="83"/>
      <c r="D925" s="85"/>
      <c r="E925" s="83"/>
      <c r="F925" s="83"/>
      <c r="G925" s="43"/>
      <c r="H925" s="233"/>
      <c r="I925" s="42"/>
      <c r="J925" s="42"/>
      <c r="K925" s="42"/>
      <c r="L925" s="44"/>
      <c r="M925" s="44"/>
      <c r="N925" s="44"/>
      <c r="O925" s="44"/>
      <c r="P925" s="44"/>
      <c r="Q925" s="227"/>
      <c r="R925" s="228"/>
      <c r="S925" s="228"/>
      <c r="T925" s="228"/>
      <c r="U925" s="191">
        <f t="shared" si="552"/>
        <v>0</v>
      </c>
      <c r="V925" s="86"/>
      <c r="W925" s="45"/>
      <c r="X925" s="46"/>
      <c r="Y925" s="167">
        <f t="shared" si="553"/>
        <v>0</v>
      </c>
      <c r="Z925" s="167">
        <f t="shared" si="554"/>
        <v>0</v>
      </c>
      <c r="AA925" s="167">
        <f t="shared" si="555"/>
        <v>0</v>
      </c>
      <c r="AB925" s="167">
        <f t="shared" si="556"/>
        <v>0</v>
      </c>
      <c r="AC925" s="167">
        <f t="shared" si="557"/>
        <v>0</v>
      </c>
      <c r="AD925" s="167">
        <f t="shared" si="558"/>
        <v>0</v>
      </c>
      <c r="AF925" s="47">
        <f t="shared" si="559"/>
        <v>0</v>
      </c>
    </row>
    <row r="926" spans="1:32" x14ac:dyDescent="0.35">
      <c r="A926" s="269"/>
      <c r="B926" s="83"/>
      <c r="C926" s="83"/>
      <c r="D926" s="85"/>
      <c r="E926" s="83"/>
      <c r="F926" s="83"/>
      <c r="G926" s="43"/>
      <c r="H926" s="233"/>
      <c r="I926" s="42"/>
      <c r="J926" s="42"/>
      <c r="K926" s="42"/>
      <c r="L926" s="44"/>
      <c r="M926" s="44"/>
      <c r="N926" s="44"/>
      <c r="O926" s="44"/>
      <c r="P926" s="44"/>
      <c r="Q926" s="227"/>
      <c r="R926" s="228"/>
      <c r="S926" s="228"/>
      <c r="T926" s="228"/>
      <c r="U926" s="191">
        <f t="shared" si="552"/>
        <v>0</v>
      </c>
      <c r="V926" s="86"/>
      <c r="W926" s="45"/>
      <c r="X926" s="46"/>
      <c r="Y926" s="167">
        <f t="shared" si="553"/>
        <v>0</v>
      </c>
      <c r="Z926" s="167">
        <f t="shared" si="554"/>
        <v>0</v>
      </c>
      <c r="AA926" s="167">
        <f t="shared" si="555"/>
        <v>0</v>
      </c>
      <c r="AB926" s="167">
        <f t="shared" si="556"/>
        <v>0</v>
      </c>
      <c r="AC926" s="167">
        <f t="shared" si="557"/>
        <v>0</v>
      </c>
      <c r="AD926" s="167">
        <f t="shared" si="558"/>
        <v>0</v>
      </c>
      <c r="AF926" s="47">
        <f t="shared" si="559"/>
        <v>0</v>
      </c>
    </row>
    <row r="927" spans="1:32" x14ac:dyDescent="0.35">
      <c r="A927" s="269"/>
      <c r="B927" s="83"/>
      <c r="C927" s="83"/>
      <c r="D927" s="85"/>
      <c r="E927" s="83"/>
      <c r="F927" s="83"/>
      <c r="G927" s="43"/>
      <c r="H927" s="233"/>
      <c r="I927" s="42"/>
      <c r="J927" s="42"/>
      <c r="K927" s="42"/>
      <c r="L927" s="44"/>
      <c r="M927" s="44"/>
      <c r="N927" s="44"/>
      <c r="O927" s="44"/>
      <c r="P927" s="44"/>
      <c r="Q927" s="227"/>
      <c r="R927" s="228"/>
      <c r="S927" s="228"/>
      <c r="T927" s="228"/>
      <c r="U927" s="191">
        <f t="shared" si="552"/>
        <v>0</v>
      </c>
      <c r="V927" s="86"/>
      <c r="W927" s="45"/>
      <c r="X927" s="46"/>
      <c r="Y927" s="167">
        <f t="shared" si="553"/>
        <v>0</v>
      </c>
      <c r="Z927" s="167">
        <f t="shared" si="554"/>
        <v>0</v>
      </c>
      <c r="AA927" s="167">
        <f t="shared" si="555"/>
        <v>0</v>
      </c>
      <c r="AB927" s="167">
        <f t="shared" si="556"/>
        <v>0</v>
      </c>
      <c r="AC927" s="167">
        <f t="shared" si="557"/>
        <v>0</v>
      </c>
      <c r="AD927" s="167">
        <f t="shared" si="558"/>
        <v>0</v>
      </c>
      <c r="AF927" s="47">
        <f t="shared" si="559"/>
        <v>0</v>
      </c>
    </row>
    <row r="928" spans="1:32" x14ac:dyDescent="0.35">
      <c r="A928" s="269"/>
      <c r="B928" s="83"/>
      <c r="C928" s="83"/>
      <c r="D928" s="85"/>
      <c r="E928" s="83"/>
      <c r="F928" s="83"/>
      <c r="G928" s="43"/>
      <c r="H928" s="233"/>
      <c r="I928" s="42"/>
      <c r="J928" s="42"/>
      <c r="K928" s="42"/>
      <c r="L928" s="44"/>
      <c r="M928" s="44"/>
      <c r="N928" s="44"/>
      <c r="O928" s="44"/>
      <c r="P928" s="44"/>
      <c r="Q928" s="227"/>
      <c r="R928" s="228"/>
      <c r="S928" s="228"/>
      <c r="T928" s="228"/>
      <c r="U928" s="191">
        <f t="shared" si="552"/>
        <v>0</v>
      </c>
      <c r="V928" s="86"/>
      <c r="W928" s="45"/>
      <c r="X928" s="46"/>
      <c r="Y928" s="167">
        <f t="shared" si="553"/>
        <v>0</v>
      </c>
      <c r="Z928" s="167">
        <f t="shared" si="554"/>
        <v>0</v>
      </c>
      <c r="AA928" s="167">
        <f t="shared" si="555"/>
        <v>0</v>
      </c>
      <c r="AB928" s="167">
        <f t="shared" si="556"/>
        <v>0</v>
      </c>
      <c r="AC928" s="167">
        <f t="shared" si="557"/>
        <v>0</v>
      </c>
      <c r="AD928" s="167">
        <f t="shared" si="558"/>
        <v>0</v>
      </c>
      <c r="AF928" s="47">
        <f t="shared" si="559"/>
        <v>0</v>
      </c>
    </row>
    <row r="929" spans="1:32" x14ac:dyDescent="0.35">
      <c r="A929" s="269"/>
      <c r="B929" s="83"/>
      <c r="C929" s="83"/>
      <c r="D929" s="85"/>
      <c r="E929" s="83"/>
      <c r="F929" s="83"/>
      <c r="G929" s="43"/>
      <c r="H929" s="233"/>
      <c r="I929" s="42"/>
      <c r="J929" s="42"/>
      <c r="K929" s="42"/>
      <c r="L929" s="44"/>
      <c r="M929" s="44"/>
      <c r="N929" s="44"/>
      <c r="O929" s="44"/>
      <c r="P929" s="44"/>
      <c r="Q929" s="227"/>
      <c r="R929" s="228"/>
      <c r="S929" s="228"/>
      <c r="T929" s="228"/>
      <c r="U929" s="191">
        <f t="shared" si="552"/>
        <v>0</v>
      </c>
      <c r="V929" s="86"/>
      <c r="W929" s="45"/>
      <c r="X929" s="46"/>
      <c r="Y929" s="167">
        <f t="shared" si="553"/>
        <v>0</v>
      </c>
      <c r="Z929" s="167">
        <f t="shared" si="554"/>
        <v>0</v>
      </c>
      <c r="AA929" s="167">
        <f t="shared" si="555"/>
        <v>0</v>
      </c>
      <c r="AB929" s="167">
        <f t="shared" si="556"/>
        <v>0</v>
      </c>
      <c r="AC929" s="167">
        <f t="shared" si="557"/>
        <v>0</v>
      </c>
      <c r="AD929" s="167">
        <f t="shared" si="558"/>
        <v>0</v>
      </c>
      <c r="AF929" s="47">
        <f t="shared" si="559"/>
        <v>0</v>
      </c>
    </row>
    <row r="930" spans="1:32" x14ac:dyDescent="0.35">
      <c r="A930" s="269"/>
      <c r="B930" s="83"/>
      <c r="C930" s="83"/>
      <c r="D930" s="85"/>
      <c r="E930" s="83"/>
      <c r="F930" s="83"/>
      <c r="G930" s="43"/>
      <c r="H930" s="233"/>
      <c r="I930" s="42"/>
      <c r="J930" s="42"/>
      <c r="K930" s="42"/>
      <c r="L930" s="44"/>
      <c r="M930" s="44"/>
      <c r="N930" s="44"/>
      <c r="O930" s="44"/>
      <c r="P930" s="44"/>
      <c r="Q930" s="227"/>
      <c r="R930" s="228"/>
      <c r="S930" s="228"/>
      <c r="T930" s="228"/>
      <c r="U930" s="191">
        <f t="shared" si="552"/>
        <v>0</v>
      </c>
      <c r="V930" s="86"/>
      <c r="W930" s="45"/>
      <c r="X930" s="46"/>
      <c r="Y930" s="167">
        <f t="shared" si="553"/>
        <v>0</v>
      </c>
      <c r="Z930" s="167">
        <f t="shared" si="554"/>
        <v>0</v>
      </c>
      <c r="AA930" s="167">
        <f t="shared" si="555"/>
        <v>0</v>
      </c>
      <c r="AB930" s="167">
        <f t="shared" si="556"/>
        <v>0</v>
      </c>
      <c r="AC930" s="167">
        <f t="shared" si="557"/>
        <v>0</v>
      </c>
      <c r="AD930" s="167">
        <f t="shared" si="558"/>
        <v>0</v>
      </c>
      <c r="AF930" s="47">
        <f t="shared" si="559"/>
        <v>0</v>
      </c>
    </row>
    <row r="931" spans="1:32" x14ac:dyDescent="0.35">
      <c r="A931" s="269"/>
      <c r="B931" s="83"/>
      <c r="C931" s="83"/>
      <c r="D931" s="85"/>
      <c r="E931" s="83"/>
      <c r="F931" s="83"/>
      <c r="G931" s="43"/>
      <c r="H931" s="233"/>
      <c r="I931" s="42"/>
      <c r="J931" s="42"/>
      <c r="K931" s="42"/>
      <c r="L931" s="44"/>
      <c r="M931" s="44"/>
      <c r="N931" s="44"/>
      <c r="O931" s="44"/>
      <c r="P931" s="44"/>
      <c r="Q931" s="227"/>
      <c r="R931" s="228"/>
      <c r="S931" s="228"/>
      <c r="T931" s="228"/>
      <c r="U931" s="191">
        <f t="shared" si="552"/>
        <v>0</v>
      </c>
      <c r="V931" s="86"/>
      <c r="W931" s="45"/>
      <c r="X931" s="46"/>
      <c r="Y931" s="167">
        <f t="shared" si="553"/>
        <v>0</v>
      </c>
      <c r="Z931" s="167">
        <f t="shared" si="554"/>
        <v>0</v>
      </c>
      <c r="AA931" s="167">
        <f t="shared" si="555"/>
        <v>0</v>
      </c>
      <c r="AB931" s="167">
        <f t="shared" si="556"/>
        <v>0</v>
      </c>
      <c r="AC931" s="167">
        <f t="shared" si="557"/>
        <v>0</v>
      </c>
      <c r="AD931" s="167">
        <f t="shared" si="558"/>
        <v>0</v>
      </c>
      <c r="AF931" s="47">
        <f t="shared" si="559"/>
        <v>0</v>
      </c>
    </row>
    <row r="932" spans="1:32" x14ac:dyDescent="0.35">
      <c r="A932" s="269"/>
      <c r="B932" s="83"/>
      <c r="C932" s="83"/>
      <c r="D932" s="85"/>
      <c r="E932" s="83"/>
      <c r="F932" s="83"/>
      <c r="G932" s="43"/>
      <c r="H932" s="233"/>
      <c r="I932" s="42"/>
      <c r="J932" s="42"/>
      <c r="K932" s="42"/>
      <c r="L932" s="44"/>
      <c r="M932" s="44"/>
      <c r="N932" s="44"/>
      <c r="O932" s="44"/>
      <c r="P932" s="44"/>
      <c r="Q932" s="227"/>
      <c r="R932" s="228"/>
      <c r="S932" s="228"/>
      <c r="T932" s="228"/>
      <c r="U932" s="191">
        <f t="shared" si="552"/>
        <v>0</v>
      </c>
      <c r="V932" s="86"/>
      <c r="W932" s="45"/>
      <c r="X932" s="46"/>
      <c r="Y932" s="167">
        <f t="shared" si="553"/>
        <v>0</v>
      </c>
      <c r="Z932" s="167">
        <f t="shared" si="554"/>
        <v>0</v>
      </c>
      <c r="AA932" s="167">
        <f t="shared" si="555"/>
        <v>0</v>
      </c>
      <c r="AB932" s="167">
        <f t="shared" si="556"/>
        <v>0</v>
      </c>
      <c r="AC932" s="167">
        <f t="shared" si="557"/>
        <v>0</v>
      </c>
      <c r="AD932" s="167">
        <f t="shared" si="558"/>
        <v>0</v>
      </c>
      <c r="AF932" s="47">
        <f t="shared" si="559"/>
        <v>0</v>
      </c>
    </row>
    <row r="933" spans="1:32" x14ac:dyDescent="0.35">
      <c r="A933" s="269"/>
      <c r="B933" s="83"/>
      <c r="C933" s="83"/>
      <c r="D933" s="85"/>
      <c r="E933" s="83"/>
      <c r="F933" s="83"/>
      <c r="G933" s="43"/>
      <c r="H933" s="233"/>
      <c r="I933" s="42"/>
      <c r="J933" s="42"/>
      <c r="K933" s="42"/>
      <c r="L933" s="44"/>
      <c r="M933" s="44"/>
      <c r="N933" s="44"/>
      <c r="O933" s="44"/>
      <c r="P933" s="44"/>
      <c r="Q933" s="227"/>
      <c r="R933" s="228"/>
      <c r="S933" s="228"/>
      <c r="T933" s="228"/>
      <c r="U933" s="191">
        <f t="shared" si="552"/>
        <v>0</v>
      </c>
      <c r="V933" s="86"/>
      <c r="W933" s="45"/>
      <c r="X933" s="46"/>
      <c r="Y933" s="167">
        <f t="shared" si="553"/>
        <v>0</v>
      </c>
      <c r="Z933" s="167">
        <f t="shared" si="554"/>
        <v>0</v>
      </c>
      <c r="AA933" s="167">
        <f t="shared" si="555"/>
        <v>0</v>
      </c>
      <c r="AB933" s="167">
        <f t="shared" si="556"/>
        <v>0</v>
      </c>
      <c r="AC933" s="167">
        <f t="shared" si="557"/>
        <v>0</v>
      </c>
      <c r="AD933" s="167">
        <f t="shared" si="558"/>
        <v>0</v>
      </c>
      <c r="AF933" s="47">
        <f t="shared" si="559"/>
        <v>0</v>
      </c>
    </row>
    <row r="934" spans="1:32" x14ac:dyDescent="0.35">
      <c r="A934" s="269"/>
      <c r="B934" s="83"/>
      <c r="C934" s="83"/>
      <c r="D934" s="85"/>
      <c r="E934" s="83"/>
      <c r="F934" s="83"/>
      <c r="G934" s="43"/>
      <c r="H934" s="233"/>
      <c r="I934" s="42"/>
      <c r="J934" s="42"/>
      <c r="K934" s="42"/>
      <c r="L934" s="44"/>
      <c r="M934" s="44"/>
      <c r="N934" s="44"/>
      <c r="O934" s="44"/>
      <c r="P934" s="44"/>
      <c r="Q934" s="227"/>
      <c r="R934" s="228"/>
      <c r="S934" s="228"/>
      <c r="T934" s="228"/>
      <c r="U934" s="191">
        <f t="shared" si="552"/>
        <v>0</v>
      </c>
      <c r="V934" s="86"/>
      <c r="W934" s="45"/>
      <c r="X934" s="46"/>
      <c r="Y934" s="167">
        <f t="shared" si="553"/>
        <v>0</v>
      </c>
      <c r="Z934" s="167">
        <f t="shared" si="554"/>
        <v>0</v>
      </c>
      <c r="AA934" s="167">
        <f t="shared" si="555"/>
        <v>0</v>
      </c>
      <c r="AB934" s="167">
        <f t="shared" si="556"/>
        <v>0</v>
      </c>
      <c r="AC934" s="167">
        <f t="shared" si="557"/>
        <v>0</v>
      </c>
      <c r="AD934" s="167">
        <f t="shared" si="558"/>
        <v>0</v>
      </c>
      <c r="AF934" s="47">
        <f t="shared" si="559"/>
        <v>0</v>
      </c>
    </row>
    <row r="935" spans="1:32" x14ac:dyDescent="0.35">
      <c r="A935" s="269"/>
      <c r="B935" s="83"/>
      <c r="C935" s="83"/>
      <c r="D935" s="85"/>
      <c r="E935" s="83"/>
      <c r="F935" s="83"/>
      <c r="G935" s="43"/>
      <c r="H935" s="233"/>
      <c r="I935" s="42"/>
      <c r="J935" s="42"/>
      <c r="K935" s="42"/>
      <c r="L935" s="44"/>
      <c r="M935" s="44"/>
      <c r="N935" s="44"/>
      <c r="O935" s="44"/>
      <c r="P935" s="44"/>
      <c r="Q935" s="227"/>
      <c r="R935" s="228"/>
      <c r="S935" s="228"/>
      <c r="T935" s="228"/>
      <c r="U935" s="191">
        <f t="shared" si="552"/>
        <v>0</v>
      </c>
      <c r="V935" s="86"/>
      <c r="W935" s="45"/>
      <c r="X935" s="46"/>
      <c r="Y935" s="167">
        <f t="shared" si="553"/>
        <v>0</v>
      </c>
      <c r="Z935" s="167">
        <f t="shared" si="554"/>
        <v>0</v>
      </c>
      <c r="AA935" s="167">
        <f t="shared" si="555"/>
        <v>0</v>
      </c>
      <c r="AB935" s="167">
        <f t="shared" si="556"/>
        <v>0</v>
      </c>
      <c r="AC935" s="167">
        <f t="shared" si="557"/>
        <v>0</v>
      </c>
      <c r="AD935" s="167">
        <f t="shared" si="558"/>
        <v>0</v>
      </c>
      <c r="AF935" s="47">
        <f t="shared" si="559"/>
        <v>0</v>
      </c>
    </row>
    <row r="936" spans="1:32" x14ac:dyDescent="0.35">
      <c r="A936" s="269"/>
      <c r="B936" s="83"/>
      <c r="C936" s="83"/>
      <c r="D936" s="85"/>
      <c r="E936" s="83"/>
      <c r="F936" s="83"/>
      <c r="G936" s="43"/>
      <c r="H936" s="233"/>
      <c r="I936" s="42"/>
      <c r="J936" s="42"/>
      <c r="K936" s="42"/>
      <c r="L936" s="44"/>
      <c r="M936" s="44"/>
      <c r="N936" s="44"/>
      <c r="O936" s="44"/>
      <c r="P936" s="44"/>
      <c r="Q936" s="227"/>
      <c r="R936" s="228"/>
      <c r="S936" s="228"/>
      <c r="T936" s="228"/>
      <c r="U936" s="191">
        <f t="shared" si="552"/>
        <v>0</v>
      </c>
      <c r="V936" s="86"/>
      <c r="W936" s="45"/>
      <c r="X936" s="46"/>
      <c r="Y936" s="167">
        <f t="shared" si="553"/>
        <v>0</v>
      </c>
      <c r="Z936" s="167">
        <f t="shared" si="554"/>
        <v>0</v>
      </c>
      <c r="AA936" s="167">
        <f t="shared" si="555"/>
        <v>0</v>
      </c>
      <c r="AB936" s="167">
        <f t="shared" si="556"/>
        <v>0</v>
      </c>
      <c r="AC936" s="167">
        <f t="shared" si="557"/>
        <v>0</v>
      </c>
      <c r="AD936" s="167">
        <f t="shared" si="558"/>
        <v>0</v>
      </c>
      <c r="AF936" s="47">
        <f t="shared" si="559"/>
        <v>0</v>
      </c>
    </row>
    <row r="937" spans="1:32" x14ac:dyDescent="0.35">
      <c r="A937" s="269"/>
      <c r="B937" s="83"/>
      <c r="C937" s="83"/>
      <c r="D937" s="85"/>
      <c r="E937" s="83"/>
      <c r="F937" s="83"/>
      <c r="G937" s="43"/>
      <c r="H937" s="233"/>
      <c r="I937" s="42"/>
      <c r="J937" s="42"/>
      <c r="K937" s="42"/>
      <c r="L937" s="44"/>
      <c r="M937" s="44"/>
      <c r="N937" s="44"/>
      <c r="O937" s="44"/>
      <c r="P937" s="44"/>
      <c r="Q937" s="227"/>
      <c r="R937" s="228"/>
      <c r="S937" s="228"/>
      <c r="T937" s="228"/>
      <c r="U937" s="191">
        <f t="shared" si="552"/>
        <v>0</v>
      </c>
      <c r="V937" s="86"/>
      <c r="W937" s="45"/>
      <c r="X937" s="46"/>
      <c r="Y937" s="167">
        <f t="shared" si="553"/>
        <v>0</v>
      </c>
      <c r="Z937" s="167">
        <f t="shared" si="554"/>
        <v>0</v>
      </c>
      <c r="AA937" s="167">
        <f t="shared" si="555"/>
        <v>0</v>
      </c>
      <c r="AB937" s="167">
        <f t="shared" si="556"/>
        <v>0</v>
      </c>
      <c r="AC937" s="167">
        <f t="shared" si="557"/>
        <v>0</v>
      </c>
      <c r="AD937" s="167">
        <f t="shared" si="558"/>
        <v>0</v>
      </c>
      <c r="AF937" s="47">
        <f t="shared" si="559"/>
        <v>0</v>
      </c>
    </row>
    <row r="938" spans="1:32" x14ac:dyDescent="0.35">
      <c r="A938" s="84"/>
      <c r="B938" s="84"/>
      <c r="C938" s="84"/>
      <c r="D938" s="190"/>
      <c r="E938" s="84"/>
      <c r="F938" s="84"/>
      <c r="G938" s="280"/>
      <c r="H938" s="234"/>
      <c r="I938" s="48"/>
      <c r="J938" s="48"/>
      <c r="K938" s="48"/>
      <c r="L938" s="49"/>
      <c r="M938" s="49"/>
      <c r="N938" s="49"/>
      <c r="O938" s="49"/>
      <c r="P938" s="49"/>
      <c r="Q938" s="227"/>
      <c r="R938" s="228"/>
      <c r="S938" s="228"/>
      <c r="T938" s="228"/>
      <c r="U938" s="191">
        <f t="shared" si="552"/>
        <v>0</v>
      </c>
      <c r="V938" s="87"/>
      <c r="W938" s="50"/>
      <c r="Y938" s="167">
        <f t="shared" si="553"/>
        <v>0</v>
      </c>
      <c r="Z938" s="167">
        <f t="shared" si="554"/>
        <v>0</v>
      </c>
      <c r="AA938" s="167">
        <f t="shared" si="555"/>
        <v>0</v>
      </c>
      <c r="AB938" s="167">
        <f t="shared" si="556"/>
        <v>0</v>
      </c>
      <c r="AC938" s="167">
        <f t="shared" si="557"/>
        <v>0</v>
      </c>
      <c r="AD938" s="167">
        <f t="shared" si="558"/>
        <v>0</v>
      </c>
      <c r="AF938" s="47">
        <f t="shared" si="559"/>
        <v>0</v>
      </c>
    </row>
    <row r="939" spans="1:32" x14ac:dyDescent="0.35">
      <c r="A939" s="84"/>
      <c r="B939" s="84"/>
      <c r="C939" s="84"/>
      <c r="D939" s="190"/>
      <c r="E939" s="84"/>
      <c r="F939" s="84"/>
      <c r="G939" s="280"/>
      <c r="H939" s="234"/>
      <c r="I939" s="48"/>
      <c r="J939" s="48"/>
      <c r="K939" s="48"/>
      <c r="L939" s="49"/>
      <c r="M939" s="49"/>
      <c r="N939" s="49"/>
      <c r="O939" s="49"/>
      <c r="P939" s="49"/>
      <c r="Q939" s="227"/>
      <c r="R939" s="228"/>
      <c r="S939" s="228"/>
      <c r="T939" s="228"/>
      <c r="U939" s="191">
        <f t="shared" si="552"/>
        <v>0</v>
      </c>
      <c r="V939" s="87"/>
      <c r="W939" s="50"/>
      <c r="Y939" s="167">
        <f t="shared" si="553"/>
        <v>0</v>
      </c>
      <c r="Z939" s="167">
        <f t="shared" si="554"/>
        <v>0</v>
      </c>
      <c r="AA939" s="167">
        <f t="shared" si="555"/>
        <v>0</v>
      </c>
      <c r="AB939" s="167">
        <f t="shared" si="556"/>
        <v>0</v>
      </c>
      <c r="AC939" s="167">
        <f t="shared" si="557"/>
        <v>0</v>
      </c>
      <c r="AD939" s="167">
        <f t="shared" si="558"/>
        <v>0</v>
      </c>
      <c r="AF939" s="47">
        <f t="shared" si="559"/>
        <v>0</v>
      </c>
    </row>
    <row r="940" spans="1:32" x14ac:dyDescent="0.35">
      <c r="A940" s="84"/>
      <c r="B940" s="84"/>
      <c r="C940" s="84"/>
      <c r="D940" s="190"/>
      <c r="E940" s="84"/>
      <c r="F940" s="84"/>
      <c r="G940" s="280"/>
      <c r="H940" s="234"/>
      <c r="I940" s="48"/>
      <c r="J940" s="48"/>
      <c r="K940" s="48"/>
      <c r="L940" s="49"/>
      <c r="M940" s="49"/>
      <c r="N940" s="49"/>
      <c r="O940" s="49"/>
      <c r="P940" s="49"/>
      <c r="Q940" s="227"/>
      <c r="R940" s="228"/>
      <c r="S940" s="228"/>
      <c r="T940" s="228"/>
      <c r="U940" s="191">
        <f t="shared" si="552"/>
        <v>0</v>
      </c>
      <c r="V940" s="87"/>
      <c r="W940" s="50"/>
      <c r="Y940" s="167">
        <f t="shared" si="553"/>
        <v>0</v>
      </c>
      <c r="Z940" s="167">
        <f t="shared" si="554"/>
        <v>0</v>
      </c>
      <c r="AA940" s="167">
        <f t="shared" si="555"/>
        <v>0</v>
      </c>
      <c r="AB940" s="167">
        <f t="shared" si="556"/>
        <v>0</v>
      </c>
      <c r="AC940" s="167">
        <f t="shared" si="557"/>
        <v>0</v>
      </c>
      <c r="AD940" s="167">
        <f t="shared" si="558"/>
        <v>0</v>
      </c>
      <c r="AF940" s="47">
        <f t="shared" si="559"/>
        <v>0</v>
      </c>
    </row>
    <row r="941" spans="1:32" x14ac:dyDescent="0.35">
      <c r="A941" s="84"/>
      <c r="B941" s="84"/>
      <c r="C941" s="84"/>
      <c r="D941" s="190"/>
      <c r="E941" s="84"/>
      <c r="F941" s="84"/>
      <c r="G941" s="280"/>
      <c r="H941" s="234"/>
      <c r="I941" s="48"/>
      <c r="J941" s="48"/>
      <c r="K941" s="48"/>
      <c r="L941" s="49"/>
      <c r="M941" s="49"/>
      <c r="N941" s="49"/>
      <c r="O941" s="49"/>
      <c r="P941" s="49"/>
      <c r="Q941" s="227"/>
      <c r="R941" s="228"/>
      <c r="S941" s="228"/>
      <c r="T941" s="228"/>
      <c r="U941" s="191">
        <f t="shared" si="552"/>
        <v>0</v>
      </c>
      <c r="V941" s="87"/>
      <c r="W941" s="50"/>
      <c r="Y941" s="167">
        <f t="shared" si="553"/>
        <v>0</v>
      </c>
      <c r="Z941" s="167">
        <f t="shared" si="554"/>
        <v>0</v>
      </c>
      <c r="AA941" s="167">
        <f t="shared" si="555"/>
        <v>0</v>
      </c>
      <c r="AB941" s="167">
        <f t="shared" si="556"/>
        <v>0</v>
      </c>
      <c r="AC941" s="167">
        <f t="shared" si="557"/>
        <v>0</v>
      </c>
      <c r="AD941" s="167">
        <f t="shared" si="558"/>
        <v>0</v>
      </c>
      <c r="AF941" s="47">
        <f t="shared" si="559"/>
        <v>0</v>
      </c>
    </row>
    <row r="942" spans="1:32" x14ac:dyDescent="0.35">
      <c r="A942" s="84"/>
      <c r="B942" s="84"/>
      <c r="C942" s="84"/>
      <c r="D942" s="190"/>
      <c r="E942" s="84"/>
      <c r="F942" s="84"/>
      <c r="G942" s="280"/>
      <c r="H942" s="234"/>
      <c r="I942" s="48"/>
      <c r="J942" s="48"/>
      <c r="K942" s="48"/>
      <c r="L942" s="49"/>
      <c r="M942" s="49"/>
      <c r="N942" s="49"/>
      <c r="O942" s="49"/>
      <c r="P942" s="49"/>
      <c r="Q942" s="227"/>
      <c r="R942" s="228"/>
      <c r="S942" s="228"/>
      <c r="T942" s="228"/>
      <c r="U942" s="191">
        <f t="shared" si="552"/>
        <v>0</v>
      </c>
      <c r="V942" s="87"/>
      <c r="W942" s="50"/>
      <c r="Y942" s="167">
        <f t="shared" si="553"/>
        <v>0</v>
      </c>
      <c r="Z942" s="167">
        <f t="shared" si="554"/>
        <v>0</v>
      </c>
      <c r="AA942" s="167">
        <f t="shared" si="555"/>
        <v>0</v>
      </c>
      <c r="AB942" s="167">
        <f t="shared" si="556"/>
        <v>0</v>
      </c>
      <c r="AC942" s="167">
        <f t="shared" si="557"/>
        <v>0</v>
      </c>
      <c r="AD942" s="167">
        <f t="shared" si="558"/>
        <v>0</v>
      </c>
      <c r="AF942" s="47">
        <f t="shared" si="559"/>
        <v>0</v>
      </c>
    </row>
    <row r="943" spans="1:32" x14ac:dyDescent="0.35">
      <c r="A943" s="84"/>
      <c r="B943" s="84"/>
      <c r="C943" s="84"/>
      <c r="D943" s="190"/>
      <c r="E943" s="84"/>
      <c r="F943" s="84"/>
      <c r="G943" s="280"/>
      <c r="H943" s="234"/>
      <c r="I943" s="48"/>
      <c r="J943" s="48"/>
      <c r="K943" s="48"/>
      <c r="L943" s="49"/>
      <c r="M943" s="49"/>
      <c r="N943" s="49"/>
      <c r="O943" s="49"/>
      <c r="P943" s="49"/>
      <c r="Q943" s="227"/>
      <c r="R943" s="228"/>
      <c r="S943" s="228"/>
      <c r="T943" s="228"/>
      <c r="U943" s="191">
        <f t="shared" si="552"/>
        <v>0</v>
      </c>
      <c r="V943" s="87"/>
      <c r="W943" s="50"/>
      <c r="Y943" s="167">
        <f t="shared" si="553"/>
        <v>0</v>
      </c>
      <c r="Z943" s="167">
        <f t="shared" si="554"/>
        <v>0</v>
      </c>
      <c r="AA943" s="167">
        <f t="shared" si="555"/>
        <v>0</v>
      </c>
      <c r="AB943" s="167">
        <f t="shared" si="556"/>
        <v>0</v>
      </c>
      <c r="AC943" s="167">
        <f t="shared" si="557"/>
        <v>0</v>
      </c>
      <c r="AD943" s="167">
        <f t="shared" si="558"/>
        <v>0</v>
      </c>
      <c r="AF943" s="47">
        <f t="shared" si="559"/>
        <v>0</v>
      </c>
    </row>
    <row r="944" spans="1:32" x14ac:dyDescent="0.35">
      <c r="A944" s="84"/>
      <c r="B944" s="84"/>
      <c r="C944" s="84"/>
      <c r="D944" s="190"/>
      <c r="E944" s="84"/>
      <c r="F944" s="84"/>
      <c r="G944" s="280"/>
      <c r="H944" s="234"/>
      <c r="I944" s="48"/>
      <c r="J944" s="48"/>
      <c r="K944" s="48"/>
      <c r="L944" s="49"/>
      <c r="M944" s="49"/>
      <c r="N944" s="49"/>
      <c r="O944" s="49"/>
      <c r="P944" s="49"/>
      <c r="Q944" s="227"/>
      <c r="R944" s="228"/>
      <c r="S944" s="228"/>
      <c r="T944" s="228"/>
      <c r="U944" s="191">
        <f t="shared" si="552"/>
        <v>0</v>
      </c>
      <c r="V944" s="87"/>
      <c r="W944" s="50"/>
      <c r="Y944" s="167">
        <f t="shared" si="553"/>
        <v>0</v>
      </c>
      <c r="Z944" s="167">
        <f t="shared" si="554"/>
        <v>0</v>
      </c>
      <c r="AA944" s="167">
        <f t="shared" si="555"/>
        <v>0</v>
      </c>
      <c r="AB944" s="167">
        <f t="shared" si="556"/>
        <v>0</v>
      </c>
      <c r="AC944" s="167">
        <f t="shared" si="557"/>
        <v>0</v>
      </c>
      <c r="AD944" s="167">
        <f t="shared" si="558"/>
        <v>0</v>
      </c>
      <c r="AF944" s="47">
        <f t="shared" si="559"/>
        <v>0</v>
      </c>
    </row>
    <row r="945" spans="1:32" x14ac:dyDescent="0.35">
      <c r="A945" s="84"/>
      <c r="B945" s="84"/>
      <c r="C945" s="84"/>
      <c r="D945" s="190"/>
      <c r="E945" s="84"/>
      <c r="F945" s="84"/>
      <c r="G945" s="280"/>
      <c r="H945" s="234"/>
      <c r="I945" s="48"/>
      <c r="J945" s="48"/>
      <c r="K945" s="48"/>
      <c r="L945" s="49"/>
      <c r="M945" s="49"/>
      <c r="N945" s="49"/>
      <c r="O945" s="49"/>
      <c r="P945" s="49"/>
      <c r="Q945" s="227"/>
      <c r="R945" s="228"/>
      <c r="S945" s="228"/>
      <c r="T945" s="228"/>
      <c r="U945" s="191">
        <f t="shared" si="552"/>
        <v>0</v>
      </c>
      <c r="V945" s="87"/>
      <c r="W945" s="50"/>
      <c r="Y945" s="167">
        <f t="shared" si="553"/>
        <v>0</v>
      </c>
      <c r="Z945" s="167">
        <f t="shared" si="554"/>
        <v>0</v>
      </c>
      <c r="AA945" s="167">
        <f t="shared" si="555"/>
        <v>0</v>
      </c>
      <c r="AB945" s="167">
        <f t="shared" si="556"/>
        <v>0</v>
      </c>
      <c r="AC945" s="167">
        <f t="shared" si="557"/>
        <v>0</v>
      </c>
      <c r="AD945" s="167">
        <f t="shared" si="558"/>
        <v>0</v>
      </c>
      <c r="AF945" s="47">
        <f t="shared" si="559"/>
        <v>0</v>
      </c>
    </row>
    <row r="946" spans="1:32" x14ac:dyDescent="0.35">
      <c r="A946" s="84"/>
      <c r="B946" s="84"/>
      <c r="C946" s="84"/>
      <c r="D946" s="190"/>
      <c r="E946" s="84"/>
      <c r="F946" s="84"/>
      <c r="G946" s="280"/>
      <c r="H946" s="234"/>
      <c r="I946" s="48"/>
      <c r="J946" s="48"/>
      <c r="K946" s="48"/>
      <c r="L946" s="49"/>
      <c r="M946" s="49"/>
      <c r="N946" s="49"/>
      <c r="O946" s="49"/>
      <c r="P946" s="49"/>
      <c r="Q946" s="227"/>
      <c r="R946" s="228"/>
      <c r="S946" s="228"/>
      <c r="T946" s="228"/>
      <c r="U946" s="191">
        <f t="shared" si="552"/>
        <v>0</v>
      </c>
      <c r="V946" s="87"/>
      <c r="W946" s="50"/>
      <c r="Y946" s="167">
        <f t="shared" si="553"/>
        <v>0</v>
      </c>
      <c r="Z946" s="167">
        <f t="shared" si="554"/>
        <v>0</v>
      </c>
      <c r="AA946" s="167">
        <f t="shared" si="555"/>
        <v>0</v>
      </c>
      <c r="AB946" s="167">
        <f t="shared" si="556"/>
        <v>0</v>
      </c>
      <c r="AC946" s="167">
        <f t="shared" si="557"/>
        <v>0</v>
      </c>
      <c r="AD946" s="167">
        <f t="shared" si="558"/>
        <v>0</v>
      </c>
      <c r="AF946" s="47">
        <f t="shared" si="559"/>
        <v>0</v>
      </c>
    </row>
    <row r="947" spans="1:32" x14ac:dyDescent="0.35">
      <c r="A947" s="84"/>
      <c r="B947" s="84"/>
      <c r="C947" s="84"/>
      <c r="D947" s="190"/>
      <c r="E947" s="84"/>
      <c r="F947" s="84"/>
      <c r="G947" s="280"/>
      <c r="H947" s="234"/>
      <c r="I947" s="48"/>
      <c r="J947" s="48"/>
      <c r="K947" s="48"/>
      <c r="L947" s="49"/>
      <c r="M947" s="49"/>
      <c r="N947" s="49"/>
      <c r="O947" s="49"/>
      <c r="P947" s="49"/>
      <c r="Q947" s="227"/>
      <c r="R947" s="228"/>
      <c r="S947" s="228"/>
      <c r="T947" s="228"/>
      <c r="U947" s="191">
        <f t="shared" si="552"/>
        <v>0</v>
      </c>
      <c r="V947" s="87"/>
      <c r="W947" s="50"/>
      <c r="Y947" s="167">
        <f t="shared" si="553"/>
        <v>0</v>
      </c>
      <c r="Z947" s="167">
        <f t="shared" si="554"/>
        <v>0</v>
      </c>
      <c r="AA947" s="167">
        <f t="shared" si="555"/>
        <v>0</v>
      </c>
      <c r="AB947" s="167">
        <f t="shared" si="556"/>
        <v>0</v>
      </c>
      <c r="AC947" s="167">
        <f t="shared" si="557"/>
        <v>0</v>
      </c>
      <c r="AD947" s="167">
        <f t="shared" si="558"/>
        <v>0</v>
      </c>
      <c r="AF947" s="47">
        <f t="shared" si="559"/>
        <v>0</v>
      </c>
    </row>
    <row r="948" spans="1:32" x14ac:dyDescent="0.35">
      <c r="A948" s="84"/>
      <c r="B948" s="84"/>
      <c r="C948" s="84"/>
      <c r="D948" s="190"/>
      <c r="E948" s="84"/>
      <c r="F948" s="84"/>
      <c r="G948" s="280"/>
      <c r="H948" s="234"/>
      <c r="I948" s="48"/>
      <c r="J948" s="48"/>
      <c r="K948" s="48"/>
      <c r="L948" s="49"/>
      <c r="M948" s="49"/>
      <c r="N948" s="49"/>
      <c r="O948" s="49"/>
      <c r="P948" s="49"/>
      <c r="Q948" s="227"/>
      <c r="R948" s="228"/>
      <c r="S948" s="228"/>
      <c r="T948" s="228"/>
      <c r="U948" s="191">
        <f t="shared" si="552"/>
        <v>0</v>
      </c>
      <c r="V948" s="87"/>
      <c r="W948" s="50"/>
      <c r="Y948" s="167">
        <f t="shared" si="553"/>
        <v>0</v>
      </c>
      <c r="Z948" s="167">
        <f t="shared" si="554"/>
        <v>0</v>
      </c>
      <c r="AA948" s="167">
        <f t="shared" si="555"/>
        <v>0</v>
      </c>
      <c r="AB948" s="167">
        <f t="shared" si="556"/>
        <v>0</v>
      </c>
      <c r="AC948" s="167">
        <f t="shared" si="557"/>
        <v>0</v>
      </c>
      <c r="AD948" s="167">
        <f t="shared" si="558"/>
        <v>0</v>
      </c>
      <c r="AF948" s="47">
        <f t="shared" si="559"/>
        <v>0</v>
      </c>
    </row>
    <row r="949" spans="1:32" x14ac:dyDescent="0.35">
      <c r="A949" s="84"/>
      <c r="B949" s="84"/>
      <c r="C949" s="84"/>
      <c r="D949" s="190"/>
      <c r="E949" s="84"/>
      <c r="F949" s="84"/>
      <c r="G949" s="280"/>
      <c r="H949" s="234"/>
      <c r="I949" s="48"/>
      <c r="J949" s="48"/>
      <c r="K949" s="48"/>
      <c r="L949" s="49"/>
      <c r="M949" s="49"/>
      <c r="N949" s="49"/>
      <c r="O949" s="49"/>
      <c r="P949" s="49"/>
      <c r="Q949" s="227"/>
      <c r="R949" s="228"/>
      <c r="S949" s="228"/>
      <c r="T949" s="228"/>
      <c r="U949" s="191">
        <f t="shared" si="552"/>
        <v>0</v>
      </c>
      <c r="V949" s="87"/>
      <c r="W949" s="50"/>
      <c r="Y949" s="167">
        <f t="shared" si="553"/>
        <v>0</v>
      </c>
      <c r="Z949" s="167">
        <f t="shared" si="554"/>
        <v>0</v>
      </c>
      <c r="AA949" s="167">
        <f t="shared" si="555"/>
        <v>0</v>
      </c>
      <c r="AB949" s="167">
        <f t="shared" si="556"/>
        <v>0</v>
      </c>
      <c r="AC949" s="167">
        <f t="shared" si="557"/>
        <v>0</v>
      </c>
      <c r="AD949" s="167">
        <f t="shared" si="558"/>
        <v>0</v>
      </c>
      <c r="AF949" s="47">
        <f t="shared" si="559"/>
        <v>0</v>
      </c>
    </row>
    <row r="950" spans="1:32" x14ac:dyDescent="0.35">
      <c r="A950" s="84"/>
      <c r="B950" s="84"/>
      <c r="C950" s="84"/>
      <c r="D950" s="190"/>
      <c r="E950" s="84"/>
      <c r="F950" s="84"/>
      <c r="G950" s="280"/>
      <c r="H950" s="234"/>
      <c r="I950" s="48"/>
      <c r="J950" s="48"/>
      <c r="K950" s="48"/>
      <c r="L950" s="49"/>
      <c r="M950" s="49"/>
      <c r="N950" s="49"/>
      <c r="O950" s="49"/>
      <c r="P950" s="49"/>
      <c r="Q950" s="227"/>
      <c r="R950" s="228"/>
      <c r="S950" s="228"/>
      <c r="T950" s="228"/>
      <c r="U950" s="191">
        <f t="shared" si="552"/>
        <v>0</v>
      </c>
      <c r="V950" s="87"/>
      <c r="W950" s="50"/>
      <c r="Y950" s="167">
        <f t="shared" si="553"/>
        <v>0</v>
      </c>
      <c r="Z950" s="167">
        <f t="shared" si="554"/>
        <v>0</v>
      </c>
      <c r="AA950" s="167">
        <f t="shared" si="555"/>
        <v>0</v>
      </c>
      <c r="AB950" s="167">
        <f t="shared" si="556"/>
        <v>0</v>
      </c>
      <c r="AC950" s="167">
        <f t="shared" si="557"/>
        <v>0</v>
      </c>
      <c r="AD950" s="167">
        <f t="shared" si="558"/>
        <v>0</v>
      </c>
      <c r="AF950" s="47">
        <f t="shared" si="559"/>
        <v>0</v>
      </c>
    </row>
    <row r="951" spans="1:32" x14ac:dyDescent="0.35">
      <c r="A951" s="84"/>
      <c r="B951" s="84"/>
      <c r="C951" s="84"/>
      <c r="D951" s="190"/>
      <c r="E951" s="84"/>
      <c r="F951" s="84"/>
      <c r="G951" s="280"/>
      <c r="H951" s="234"/>
      <c r="I951" s="48"/>
      <c r="J951" s="48"/>
      <c r="K951" s="48"/>
      <c r="L951" s="49"/>
      <c r="M951" s="49"/>
      <c r="N951" s="49"/>
      <c r="O951" s="49"/>
      <c r="P951" s="49"/>
      <c r="Q951" s="227"/>
      <c r="R951" s="228"/>
      <c r="S951" s="228"/>
      <c r="T951" s="228"/>
      <c r="U951" s="191">
        <f t="shared" si="552"/>
        <v>0</v>
      </c>
      <c r="V951" s="87"/>
      <c r="W951" s="50"/>
      <c r="Y951" s="167">
        <f t="shared" si="553"/>
        <v>0</v>
      </c>
      <c r="Z951" s="167">
        <f t="shared" si="554"/>
        <v>0</v>
      </c>
      <c r="AA951" s="167">
        <f t="shared" si="555"/>
        <v>0</v>
      </c>
      <c r="AB951" s="167">
        <f t="shared" si="556"/>
        <v>0</v>
      </c>
      <c r="AC951" s="167">
        <f t="shared" si="557"/>
        <v>0</v>
      </c>
      <c r="AD951" s="167">
        <f t="shared" si="558"/>
        <v>0</v>
      </c>
      <c r="AF951" s="47">
        <f t="shared" si="559"/>
        <v>0</v>
      </c>
    </row>
    <row r="952" spans="1:32" x14ac:dyDescent="0.35">
      <c r="A952" s="84"/>
      <c r="B952" s="84"/>
      <c r="C952" s="84"/>
      <c r="D952" s="190"/>
      <c r="E952" s="84"/>
      <c r="F952" s="84"/>
      <c r="G952" s="280"/>
      <c r="H952" s="234"/>
      <c r="I952" s="48"/>
      <c r="J952" s="48"/>
      <c r="K952" s="48"/>
      <c r="L952" s="49"/>
      <c r="M952" s="49"/>
      <c r="N952" s="49"/>
      <c r="O952" s="49"/>
      <c r="P952" s="49"/>
      <c r="Q952" s="227"/>
      <c r="R952" s="228"/>
      <c r="S952" s="228"/>
      <c r="T952" s="228"/>
      <c r="U952" s="191">
        <f t="shared" si="552"/>
        <v>0</v>
      </c>
      <c r="V952" s="87"/>
      <c r="W952" s="50"/>
      <c r="Y952" s="167">
        <f t="shared" si="553"/>
        <v>0</v>
      </c>
      <c r="Z952" s="167">
        <f t="shared" si="554"/>
        <v>0</v>
      </c>
      <c r="AA952" s="167">
        <f t="shared" si="555"/>
        <v>0</v>
      </c>
      <c r="AB952" s="167">
        <f t="shared" si="556"/>
        <v>0</v>
      </c>
      <c r="AC952" s="167">
        <f t="shared" si="557"/>
        <v>0</v>
      </c>
      <c r="AD952" s="167">
        <f t="shared" si="558"/>
        <v>0</v>
      </c>
      <c r="AF952" s="47">
        <f t="shared" si="559"/>
        <v>0</v>
      </c>
    </row>
    <row r="953" spans="1:32" x14ac:dyDescent="0.35">
      <c r="A953" s="84"/>
      <c r="B953" s="84"/>
      <c r="C953" s="84"/>
      <c r="D953" s="190"/>
      <c r="E953" s="84"/>
      <c r="F953" s="84"/>
      <c r="G953" s="280"/>
      <c r="H953" s="234"/>
      <c r="I953" s="48"/>
      <c r="J953" s="48"/>
      <c r="K953" s="48"/>
      <c r="L953" s="49"/>
      <c r="M953" s="49"/>
      <c r="N953" s="49"/>
      <c r="O953" s="49"/>
      <c r="P953" s="49"/>
      <c r="Q953" s="227"/>
      <c r="R953" s="228"/>
      <c r="S953" s="228"/>
      <c r="T953" s="228"/>
      <c r="U953" s="191">
        <f t="shared" ref="U953:U1016" si="560">IF(Q953="",0,IF(T953="",0,+S953-T953))</f>
        <v>0</v>
      </c>
      <c r="V953" s="87"/>
      <c r="W953" s="50"/>
      <c r="Y953" s="167">
        <f t="shared" ref="Y953:Y1016" si="561">IF(G953=2,S953,0)</f>
        <v>0</v>
      </c>
      <c r="Z953" s="167">
        <f t="shared" ref="Z953:Z1016" si="562">IF(Q953="",0,IF(G953=2,T953,0))</f>
        <v>0</v>
      </c>
      <c r="AA953" s="167">
        <f t="shared" ref="AA953:AA1016" si="563">Y953-Z953</f>
        <v>0</v>
      </c>
      <c r="AB953" s="167">
        <f t="shared" ref="AB953:AB1016" si="564">IF(G953=1,S953,0)</f>
        <v>0</v>
      </c>
      <c r="AC953" s="167">
        <f t="shared" ref="AC953:AC1016" si="565">IF(Q953="",0,IF(G953=1,T953,0))</f>
        <v>0</v>
      </c>
      <c r="AD953" s="167">
        <f t="shared" ref="AD953:AD1016" si="566">AB953-AC953</f>
        <v>0</v>
      </c>
      <c r="AF953" s="47">
        <f t="shared" si="559"/>
        <v>0</v>
      </c>
    </row>
    <row r="954" spans="1:32" x14ac:dyDescent="0.35">
      <c r="A954" s="84"/>
      <c r="B954" s="84"/>
      <c r="C954" s="84"/>
      <c r="D954" s="190"/>
      <c r="E954" s="84"/>
      <c r="F954" s="84"/>
      <c r="G954" s="280"/>
      <c r="H954" s="234"/>
      <c r="I954" s="48"/>
      <c r="J954" s="48"/>
      <c r="K954" s="48"/>
      <c r="L954" s="49"/>
      <c r="M954" s="49"/>
      <c r="N954" s="49"/>
      <c r="O954" s="49"/>
      <c r="P954" s="49"/>
      <c r="Q954" s="227"/>
      <c r="R954" s="228"/>
      <c r="S954" s="228"/>
      <c r="T954" s="228"/>
      <c r="U954" s="191">
        <f t="shared" si="560"/>
        <v>0</v>
      </c>
      <c r="V954" s="87"/>
      <c r="W954" s="50"/>
      <c r="Y954" s="167">
        <f t="shared" si="561"/>
        <v>0</v>
      </c>
      <c r="Z954" s="167">
        <f t="shared" si="562"/>
        <v>0</v>
      </c>
      <c r="AA954" s="167">
        <f t="shared" si="563"/>
        <v>0</v>
      </c>
      <c r="AB954" s="167">
        <f t="shared" si="564"/>
        <v>0</v>
      </c>
      <c r="AC954" s="167">
        <f t="shared" si="565"/>
        <v>0</v>
      </c>
      <c r="AD954" s="167">
        <f t="shared" si="566"/>
        <v>0</v>
      </c>
      <c r="AF954" s="47">
        <f t="shared" si="559"/>
        <v>0</v>
      </c>
    </row>
    <row r="955" spans="1:32" x14ac:dyDescent="0.35">
      <c r="A955" s="84"/>
      <c r="B955" s="84"/>
      <c r="C955" s="84"/>
      <c r="D955" s="190"/>
      <c r="E955" s="84"/>
      <c r="F955" s="84"/>
      <c r="G955" s="280"/>
      <c r="H955" s="234"/>
      <c r="I955" s="48"/>
      <c r="J955" s="48"/>
      <c r="K955" s="48"/>
      <c r="L955" s="49"/>
      <c r="M955" s="49"/>
      <c r="N955" s="49"/>
      <c r="O955" s="49"/>
      <c r="P955" s="49"/>
      <c r="Q955" s="227"/>
      <c r="R955" s="228"/>
      <c r="S955" s="228"/>
      <c r="T955" s="228"/>
      <c r="U955" s="191">
        <f t="shared" si="560"/>
        <v>0</v>
      </c>
      <c r="V955" s="87"/>
      <c r="W955" s="50"/>
      <c r="Y955" s="167">
        <f t="shared" si="561"/>
        <v>0</v>
      </c>
      <c r="Z955" s="167">
        <f t="shared" si="562"/>
        <v>0</v>
      </c>
      <c r="AA955" s="167">
        <f t="shared" si="563"/>
        <v>0</v>
      </c>
      <c r="AB955" s="167">
        <f t="shared" si="564"/>
        <v>0</v>
      </c>
      <c r="AC955" s="167">
        <f t="shared" si="565"/>
        <v>0</v>
      </c>
      <c r="AD955" s="167">
        <f t="shared" si="566"/>
        <v>0</v>
      </c>
      <c r="AF955" s="47">
        <f t="shared" si="559"/>
        <v>0</v>
      </c>
    </row>
    <row r="956" spans="1:32" x14ac:dyDescent="0.35">
      <c r="A956" s="84"/>
      <c r="B956" s="84"/>
      <c r="C956" s="84"/>
      <c r="D956" s="190"/>
      <c r="E956" s="84"/>
      <c r="F956" s="84"/>
      <c r="G956" s="280"/>
      <c r="H956" s="234"/>
      <c r="I956" s="48"/>
      <c r="J956" s="48"/>
      <c r="K956" s="48"/>
      <c r="L956" s="49"/>
      <c r="M956" s="49"/>
      <c r="N956" s="49"/>
      <c r="O956" s="49"/>
      <c r="P956" s="49"/>
      <c r="Q956" s="227"/>
      <c r="R956" s="228"/>
      <c r="S956" s="228"/>
      <c r="T956" s="228"/>
      <c r="U956" s="191">
        <f t="shared" si="560"/>
        <v>0</v>
      </c>
      <c r="V956" s="87"/>
      <c r="W956" s="50"/>
      <c r="Y956" s="167">
        <f t="shared" si="561"/>
        <v>0</v>
      </c>
      <c r="Z956" s="167">
        <f t="shared" si="562"/>
        <v>0</v>
      </c>
      <c r="AA956" s="167">
        <f t="shared" si="563"/>
        <v>0</v>
      </c>
      <c r="AB956" s="167">
        <f t="shared" si="564"/>
        <v>0</v>
      </c>
      <c r="AC956" s="167">
        <f t="shared" si="565"/>
        <v>0</v>
      </c>
      <c r="AD956" s="167">
        <f t="shared" si="566"/>
        <v>0</v>
      </c>
      <c r="AF956" s="47">
        <f t="shared" si="559"/>
        <v>0</v>
      </c>
    </row>
    <row r="957" spans="1:32" x14ac:dyDescent="0.35">
      <c r="A957" s="84"/>
      <c r="B957" s="84"/>
      <c r="C957" s="84"/>
      <c r="D957" s="190"/>
      <c r="E957" s="84"/>
      <c r="F957" s="84"/>
      <c r="G957" s="280"/>
      <c r="H957" s="234"/>
      <c r="I957" s="48"/>
      <c r="J957" s="48"/>
      <c r="K957" s="48"/>
      <c r="L957" s="49"/>
      <c r="M957" s="49"/>
      <c r="N957" s="49"/>
      <c r="O957" s="49"/>
      <c r="P957" s="49"/>
      <c r="Q957" s="227"/>
      <c r="R957" s="228"/>
      <c r="S957" s="228"/>
      <c r="T957" s="228"/>
      <c r="U957" s="191">
        <f t="shared" si="560"/>
        <v>0</v>
      </c>
      <c r="V957" s="87"/>
      <c r="W957" s="50"/>
      <c r="Y957" s="167">
        <f t="shared" si="561"/>
        <v>0</v>
      </c>
      <c r="Z957" s="167">
        <f t="shared" si="562"/>
        <v>0</v>
      </c>
      <c r="AA957" s="167">
        <f t="shared" si="563"/>
        <v>0</v>
      </c>
      <c r="AB957" s="167">
        <f t="shared" si="564"/>
        <v>0</v>
      </c>
      <c r="AC957" s="167">
        <f t="shared" si="565"/>
        <v>0</v>
      </c>
      <c r="AD957" s="167">
        <f t="shared" si="566"/>
        <v>0</v>
      </c>
      <c r="AF957" s="47">
        <f t="shared" si="559"/>
        <v>0</v>
      </c>
    </row>
    <row r="958" spans="1:32" x14ac:dyDescent="0.35">
      <c r="A958" s="84"/>
      <c r="B958" s="84"/>
      <c r="C958" s="84"/>
      <c r="D958" s="190"/>
      <c r="E958" s="84"/>
      <c r="F958" s="84"/>
      <c r="G958" s="280"/>
      <c r="H958" s="234"/>
      <c r="I958" s="48"/>
      <c r="J958" s="48"/>
      <c r="K958" s="48"/>
      <c r="L958" s="49"/>
      <c r="M958" s="49"/>
      <c r="N958" s="49"/>
      <c r="O958" s="49"/>
      <c r="P958" s="49"/>
      <c r="Q958" s="227"/>
      <c r="R958" s="228"/>
      <c r="S958" s="228"/>
      <c r="T958" s="228"/>
      <c r="U958" s="191">
        <f t="shared" si="560"/>
        <v>0</v>
      </c>
      <c r="V958" s="87"/>
      <c r="W958" s="50"/>
      <c r="Y958" s="167">
        <f t="shared" si="561"/>
        <v>0</v>
      </c>
      <c r="Z958" s="167">
        <f t="shared" si="562"/>
        <v>0</v>
      </c>
      <c r="AA958" s="167">
        <f t="shared" si="563"/>
        <v>0</v>
      </c>
      <c r="AB958" s="167">
        <f t="shared" si="564"/>
        <v>0</v>
      </c>
      <c r="AC958" s="167">
        <f t="shared" si="565"/>
        <v>0</v>
      </c>
      <c r="AD958" s="167">
        <f t="shared" si="566"/>
        <v>0</v>
      </c>
      <c r="AF958" s="47">
        <f t="shared" si="559"/>
        <v>0</v>
      </c>
    </row>
    <row r="959" spans="1:32" x14ac:dyDescent="0.35">
      <c r="A959" s="84"/>
      <c r="B959" s="84"/>
      <c r="C959" s="84"/>
      <c r="D959" s="190"/>
      <c r="E959" s="84"/>
      <c r="F959" s="84"/>
      <c r="G959" s="280"/>
      <c r="H959" s="234"/>
      <c r="I959" s="48"/>
      <c r="J959" s="48"/>
      <c r="K959" s="48"/>
      <c r="L959" s="49"/>
      <c r="M959" s="49"/>
      <c r="N959" s="49"/>
      <c r="O959" s="49"/>
      <c r="P959" s="49"/>
      <c r="Q959" s="227"/>
      <c r="R959" s="228"/>
      <c r="S959" s="228"/>
      <c r="T959" s="228"/>
      <c r="U959" s="191">
        <f t="shared" si="560"/>
        <v>0</v>
      </c>
      <c r="V959" s="87"/>
      <c r="W959" s="50"/>
      <c r="Y959" s="167">
        <f t="shared" si="561"/>
        <v>0</v>
      </c>
      <c r="Z959" s="167">
        <f t="shared" si="562"/>
        <v>0</v>
      </c>
      <c r="AA959" s="167">
        <f t="shared" si="563"/>
        <v>0</v>
      </c>
      <c r="AB959" s="167">
        <f t="shared" si="564"/>
        <v>0</v>
      </c>
      <c r="AC959" s="167">
        <f t="shared" si="565"/>
        <v>0</v>
      </c>
      <c r="AD959" s="167">
        <f t="shared" si="566"/>
        <v>0</v>
      </c>
      <c r="AF959" s="47">
        <f t="shared" si="559"/>
        <v>0</v>
      </c>
    </row>
    <row r="960" spans="1:32" x14ac:dyDescent="0.35">
      <c r="A960" s="84"/>
      <c r="B960" s="84"/>
      <c r="C960" s="84"/>
      <c r="D960" s="190"/>
      <c r="E960" s="84"/>
      <c r="F960" s="84"/>
      <c r="G960" s="280"/>
      <c r="H960" s="234"/>
      <c r="I960" s="48"/>
      <c r="J960" s="48"/>
      <c r="K960" s="48"/>
      <c r="L960" s="49"/>
      <c r="M960" s="49"/>
      <c r="N960" s="49"/>
      <c r="O960" s="49"/>
      <c r="P960" s="49"/>
      <c r="Q960" s="227"/>
      <c r="R960" s="228"/>
      <c r="S960" s="228"/>
      <c r="T960" s="228"/>
      <c r="U960" s="191">
        <f t="shared" si="560"/>
        <v>0</v>
      </c>
      <c r="V960" s="87"/>
      <c r="W960" s="50"/>
      <c r="Y960" s="167">
        <f t="shared" si="561"/>
        <v>0</v>
      </c>
      <c r="Z960" s="167">
        <f t="shared" si="562"/>
        <v>0</v>
      </c>
      <c r="AA960" s="167">
        <f t="shared" si="563"/>
        <v>0</v>
      </c>
      <c r="AB960" s="167">
        <f t="shared" si="564"/>
        <v>0</v>
      </c>
      <c r="AC960" s="167">
        <f t="shared" si="565"/>
        <v>0</v>
      </c>
      <c r="AD960" s="167">
        <f t="shared" si="566"/>
        <v>0</v>
      </c>
      <c r="AF960" s="47">
        <f t="shared" si="559"/>
        <v>0</v>
      </c>
    </row>
    <row r="961" spans="1:32" x14ac:dyDescent="0.35">
      <c r="A961" s="84"/>
      <c r="B961" s="84"/>
      <c r="C961" s="84"/>
      <c r="D961" s="190"/>
      <c r="E961" s="84"/>
      <c r="F961" s="84"/>
      <c r="G961" s="280"/>
      <c r="H961" s="234"/>
      <c r="I961" s="48"/>
      <c r="J961" s="48"/>
      <c r="K961" s="48"/>
      <c r="L961" s="49"/>
      <c r="M961" s="49"/>
      <c r="N961" s="49"/>
      <c r="O961" s="49"/>
      <c r="P961" s="49"/>
      <c r="Q961" s="227"/>
      <c r="R961" s="228"/>
      <c r="S961" s="228"/>
      <c r="T961" s="228"/>
      <c r="U961" s="191">
        <f t="shared" si="560"/>
        <v>0</v>
      </c>
      <c r="V961" s="87"/>
      <c r="W961" s="50"/>
      <c r="Y961" s="167">
        <f t="shared" si="561"/>
        <v>0</v>
      </c>
      <c r="Z961" s="167">
        <f t="shared" si="562"/>
        <v>0</v>
      </c>
      <c r="AA961" s="167">
        <f t="shared" si="563"/>
        <v>0</v>
      </c>
      <c r="AB961" s="167">
        <f t="shared" si="564"/>
        <v>0</v>
      </c>
      <c r="AC961" s="167">
        <f t="shared" si="565"/>
        <v>0</v>
      </c>
      <c r="AD961" s="167">
        <f t="shared" si="566"/>
        <v>0</v>
      </c>
      <c r="AF961" s="47">
        <f t="shared" si="559"/>
        <v>0</v>
      </c>
    </row>
    <row r="962" spans="1:32" x14ac:dyDescent="0.35">
      <c r="A962" s="84"/>
      <c r="B962" s="84"/>
      <c r="C962" s="84"/>
      <c r="D962" s="190"/>
      <c r="E962" s="84"/>
      <c r="F962" s="84"/>
      <c r="G962" s="280"/>
      <c r="H962" s="234"/>
      <c r="I962" s="48"/>
      <c r="J962" s="48"/>
      <c r="K962" s="48"/>
      <c r="L962" s="49"/>
      <c r="M962" s="49"/>
      <c r="N962" s="49"/>
      <c r="O962" s="49"/>
      <c r="P962" s="49"/>
      <c r="Q962" s="227"/>
      <c r="R962" s="228"/>
      <c r="S962" s="228"/>
      <c r="T962" s="228"/>
      <c r="U962" s="191">
        <f t="shared" si="560"/>
        <v>0</v>
      </c>
      <c r="V962" s="87"/>
      <c r="W962" s="50"/>
      <c r="Y962" s="167">
        <f t="shared" si="561"/>
        <v>0</v>
      </c>
      <c r="Z962" s="167">
        <f t="shared" si="562"/>
        <v>0</v>
      </c>
      <c r="AA962" s="167">
        <f t="shared" si="563"/>
        <v>0</v>
      </c>
      <c r="AB962" s="167">
        <f t="shared" si="564"/>
        <v>0</v>
      </c>
      <c r="AC962" s="167">
        <f t="shared" si="565"/>
        <v>0</v>
      </c>
      <c r="AD962" s="167">
        <f t="shared" si="566"/>
        <v>0</v>
      </c>
      <c r="AF962" s="47">
        <f t="shared" si="559"/>
        <v>0</v>
      </c>
    </row>
    <row r="963" spans="1:32" x14ac:dyDescent="0.35">
      <c r="A963" s="84"/>
      <c r="B963" s="84"/>
      <c r="C963" s="84"/>
      <c r="D963" s="190"/>
      <c r="E963" s="84"/>
      <c r="F963" s="84"/>
      <c r="G963" s="280"/>
      <c r="H963" s="234"/>
      <c r="I963" s="48"/>
      <c r="J963" s="48"/>
      <c r="K963" s="48"/>
      <c r="L963" s="49"/>
      <c r="M963" s="49"/>
      <c r="N963" s="49"/>
      <c r="O963" s="49"/>
      <c r="P963" s="49"/>
      <c r="Q963" s="227"/>
      <c r="R963" s="228"/>
      <c r="S963" s="228"/>
      <c r="T963" s="228"/>
      <c r="U963" s="191">
        <f t="shared" si="560"/>
        <v>0</v>
      </c>
      <c r="V963" s="87"/>
      <c r="W963" s="50"/>
      <c r="Y963" s="167">
        <f t="shared" si="561"/>
        <v>0</v>
      </c>
      <c r="Z963" s="167">
        <f t="shared" si="562"/>
        <v>0</v>
      </c>
      <c r="AA963" s="167">
        <f t="shared" si="563"/>
        <v>0</v>
      </c>
      <c r="AB963" s="167">
        <f t="shared" si="564"/>
        <v>0</v>
      </c>
      <c r="AC963" s="167">
        <f t="shared" si="565"/>
        <v>0</v>
      </c>
      <c r="AD963" s="167">
        <f t="shared" si="566"/>
        <v>0</v>
      </c>
      <c r="AF963" s="47">
        <f t="shared" si="559"/>
        <v>0</v>
      </c>
    </row>
    <row r="964" spans="1:32" x14ac:dyDescent="0.35">
      <c r="A964" s="84"/>
      <c r="B964" s="84"/>
      <c r="C964" s="84"/>
      <c r="D964" s="190"/>
      <c r="E964" s="84"/>
      <c r="F964" s="84"/>
      <c r="G964" s="280"/>
      <c r="H964" s="234"/>
      <c r="I964" s="48"/>
      <c r="J964" s="48"/>
      <c r="K964" s="48"/>
      <c r="L964" s="49"/>
      <c r="M964" s="49"/>
      <c r="N964" s="49"/>
      <c r="O964" s="49"/>
      <c r="P964" s="49"/>
      <c r="Q964" s="227"/>
      <c r="R964" s="228"/>
      <c r="S964" s="228"/>
      <c r="T964" s="228"/>
      <c r="U964" s="191">
        <f t="shared" si="560"/>
        <v>0</v>
      </c>
      <c r="V964" s="87"/>
      <c r="W964" s="50"/>
      <c r="Y964" s="167">
        <f t="shared" si="561"/>
        <v>0</v>
      </c>
      <c r="Z964" s="167">
        <f t="shared" si="562"/>
        <v>0</v>
      </c>
      <c r="AA964" s="167">
        <f t="shared" si="563"/>
        <v>0</v>
      </c>
      <c r="AB964" s="167">
        <f t="shared" si="564"/>
        <v>0</v>
      </c>
      <c r="AC964" s="167">
        <f t="shared" si="565"/>
        <v>0</v>
      </c>
      <c r="AD964" s="167">
        <f t="shared" si="566"/>
        <v>0</v>
      </c>
      <c r="AF964" s="47">
        <f t="shared" si="559"/>
        <v>0</v>
      </c>
    </row>
    <row r="965" spans="1:32" x14ac:dyDescent="0.35">
      <c r="A965" s="84"/>
      <c r="B965" s="84"/>
      <c r="C965" s="84"/>
      <c r="D965" s="190"/>
      <c r="E965" s="84"/>
      <c r="F965" s="84"/>
      <c r="G965" s="280"/>
      <c r="H965" s="234"/>
      <c r="I965" s="48"/>
      <c r="J965" s="48"/>
      <c r="K965" s="48"/>
      <c r="L965" s="49"/>
      <c r="M965" s="49"/>
      <c r="N965" s="49"/>
      <c r="O965" s="49"/>
      <c r="P965" s="49"/>
      <c r="Q965" s="227"/>
      <c r="R965" s="228"/>
      <c r="S965" s="228"/>
      <c r="T965" s="228"/>
      <c r="U965" s="191">
        <f t="shared" si="560"/>
        <v>0</v>
      </c>
      <c r="V965" s="87"/>
      <c r="W965" s="50"/>
      <c r="Y965" s="167">
        <f t="shared" si="561"/>
        <v>0</v>
      </c>
      <c r="Z965" s="167">
        <f t="shared" si="562"/>
        <v>0</v>
      </c>
      <c r="AA965" s="167">
        <f t="shared" si="563"/>
        <v>0</v>
      </c>
      <c r="AB965" s="167">
        <f t="shared" si="564"/>
        <v>0</v>
      </c>
      <c r="AC965" s="167">
        <f t="shared" si="565"/>
        <v>0</v>
      </c>
      <c r="AD965" s="167">
        <f t="shared" si="566"/>
        <v>0</v>
      </c>
      <c r="AF965" s="47">
        <f t="shared" si="559"/>
        <v>0</v>
      </c>
    </row>
    <row r="966" spans="1:32" x14ac:dyDescent="0.35">
      <c r="A966" s="84"/>
      <c r="B966" s="84"/>
      <c r="C966" s="84"/>
      <c r="D966" s="190"/>
      <c r="E966" s="84"/>
      <c r="F966" s="84"/>
      <c r="G966" s="280"/>
      <c r="H966" s="234"/>
      <c r="I966" s="48"/>
      <c r="J966" s="48"/>
      <c r="K966" s="48"/>
      <c r="L966" s="49"/>
      <c r="M966" s="49"/>
      <c r="N966" s="49"/>
      <c r="O966" s="49"/>
      <c r="P966" s="49"/>
      <c r="Q966" s="227"/>
      <c r="R966" s="228"/>
      <c r="S966" s="228"/>
      <c r="T966" s="228"/>
      <c r="U966" s="191">
        <f t="shared" si="560"/>
        <v>0</v>
      </c>
      <c r="V966" s="87"/>
      <c r="W966" s="50"/>
      <c r="Y966" s="167">
        <f t="shared" si="561"/>
        <v>0</v>
      </c>
      <c r="Z966" s="167">
        <f t="shared" si="562"/>
        <v>0</v>
      </c>
      <c r="AA966" s="167">
        <f t="shared" si="563"/>
        <v>0</v>
      </c>
      <c r="AB966" s="167">
        <f t="shared" si="564"/>
        <v>0</v>
      </c>
      <c r="AC966" s="167">
        <f t="shared" si="565"/>
        <v>0</v>
      </c>
      <c r="AD966" s="167">
        <f t="shared" si="566"/>
        <v>0</v>
      </c>
      <c r="AF966" s="47">
        <f t="shared" si="559"/>
        <v>0</v>
      </c>
    </row>
    <row r="967" spans="1:32" x14ac:dyDescent="0.35">
      <c r="A967" s="84"/>
      <c r="B967" s="84"/>
      <c r="C967" s="84"/>
      <c r="D967" s="190"/>
      <c r="E967" s="84"/>
      <c r="F967" s="84"/>
      <c r="G967" s="280"/>
      <c r="H967" s="234"/>
      <c r="I967" s="48"/>
      <c r="J967" s="48"/>
      <c r="K967" s="48"/>
      <c r="L967" s="49"/>
      <c r="M967" s="49"/>
      <c r="N967" s="49"/>
      <c r="O967" s="49"/>
      <c r="P967" s="49"/>
      <c r="Q967" s="227"/>
      <c r="R967" s="228"/>
      <c r="S967" s="228"/>
      <c r="T967" s="228"/>
      <c r="U967" s="191">
        <f t="shared" si="560"/>
        <v>0</v>
      </c>
      <c r="V967" s="87"/>
      <c r="W967" s="50"/>
      <c r="Y967" s="167">
        <f t="shared" si="561"/>
        <v>0</v>
      </c>
      <c r="Z967" s="167">
        <f t="shared" si="562"/>
        <v>0</v>
      </c>
      <c r="AA967" s="167">
        <f t="shared" si="563"/>
        <v>0</v>
      </c>
      <c r="AB967" s="167">
        <f t="shared" si="564"/>
        <v>0</v>
      </c>
      <c r="AC967" s="167">
        <f t="shared" si="565"/>
        <v>0</v>
      </c>
      <c r="AD967" s="167">
        <f t="shared" si="566"/>
        <v>0</v>
      </c>
      <c r="AF967" s="47">
        <f t="shared" si="559"/>
        <v>0</v>
      </c>
    </row>
    <row r="968" spans="1:32" x14ac:dyDescent="0.35">
      <c r="A968" s="84"/>
      <c r="B968" s="84"/>
      <c r="C968" s="84"/>
      <c r="D968" s="190"/>
      <c r="E968" s="84"/>
      <c r="F968" s="84"/>
      <c r="G968" s="280"/>
      <c r="H968" s="234"/>
      <c r="I968" s="48"/>
      <c r="J968" s="48"/>
      <c r="K968" s="48"/>
      <c r="L968" s="49"/>
      <c r="M968" s="49"/>
      <c r="N968" s="49"/>
      <c r="O968" s="49"/>
      <c r="P968" s="49"/>
      <c r="Q968" s="227"/>
      <c r="R968" s="228"/>
      <c r="S968" s="228"/>
      <c r="T968" s="228"/>
      <c r="U968" s="191">
        <f t="shared" si="560"/>
        <v>0</v>
      </c>
      <c r="V968" s="87"/>
      <c r="W968" s="50"/>
      <c r="Y968" s="167">
        <f t="shared" si="561"/>
        <v>0</v>
      </c>
      <c r="Z968" s="167">
        <f t="shared" si="562"/>
        <v>0</v>
      </c>
      <c r="AA968" s="167">
        <f t="shared" si="563"/>
        <v>0</v>
      </c>
      <c r="AB968" s="167">
        <f t="shared" si="564"/>
        <v>0</v>
      </c>
      <c r="AC968" s="167">
        <f t="shared" si="565"/>
        <v>0</v>
      </c>
      <c r="AD968" s="167">
        <f t="shared" si="566"/>
        <v>0</v>
      </c>
      <c r="AF968" s="47">
        <f t="shared" si="559"/>
        <v>0</v>
      </c>
    </row>
    <row r="969" spans="1:32" x14ac:dyDescent="0.35">
      <c r="A969" s="84"/>
      <c r="B969" s="84"/>
      <c r="C969" s="84"/>
      <c r="D969" s="190"/>
      <c r="E969" s="84"/>
      <c r="F969" s="84"/>
      <c r="G969" s="280"/>
      <c r="H969" s="234"/>
      <c r="I969" s="48"/>
      <c r="J969" s="48"/>
      <c r="K969" s="48"/>
      <c r="L969" s="49"/>
      <c r="M969" s="49"/>
      <c r="N969" s="49"/>
      <c r="O969" s="49"/>
      <c r="P969" s="49"/>
      <c r="Q969" s="227"/>
      <c r="R969" s="228"/>
      <c r="S969" s="228"/>
      <c r="T969" s="228"/>
      <c r="U969" s="191">
        <f t="shared" si="560"/>
        <v>0</v>
      </c>
      <c r="V969" s="87"/>
      <c r="W969" s="50"/>
      <c r="Y969" s="167">
        <f t="shared" si="561"/>
        <v>0</v>
      </c>
      <c r="Z969" s="167">
        <f t="shared" si="562"/>
        <v>0</v>
      </c>
      <c r="AA969" s="167">
        <f t="shared" si="563"/>
        <v>0</v>
      </c>
      <c r="AB969" s="167">
        <f t="shared" si="564"/>
        <v>0</v>
      </c>
      <c r="AC969" s="167">
        <f t="shared" si="565"/>
        <v>0</v>
      </c>
      <c r="AD969" s="167">
        <f t="shared" si="566"/>
        <v>0</v>
      </c>
      <c r="AF969" s="47">
        <f t="shared" si="559"/>
        <v>0</v>
      </c>
    </row>
    <row r="970" spans="1:32" x14ac:dyDescent="0.35">
      <c r="A970" s="84"/>
      <c r="B970" s="84"/>
      <c r="C970" s="84"/>
      <c r="D970" s="190"/>
      <c r="E970" s="84"/>
      <c r="F970" s="84"/>
      <c r="G970" s="280"/>
      <c r="H970" s="234"/>
      <c r="I970" s="48"/>
      <c r="J970" s="48"/>
      <c r="K970" s="48"/>
      <c r="L970" s="49"/>
      <c r="M970" s="49"/>
      <c r="N970" s="49"/>
      <c r="O970" s="49"/>
      <c r="P970" s="49"/>
      <c r="Q970" s="227"/>
      <c r="R970" s="228"/>
      <c r="S970" s="228"/>
      <c r="T970" s="228"/>
      <c r="U970" s="191">
        <f t="shared" si="560"/>
        <v>0</v>
      </c>
      <c r="V970" s="87"/>
      <c r="W970" s="50"/>
      <c r="Y970" s="167">
        <f t="shared" si="561"/>
        <v>0</v>
      </c>
      <c r="Z970" s="167">
        <f t="shared" si="562"/>
        <v>0</v>
      </c>
      <c r="AA970" s="167">
        <f t="shared" si="563"/>
        <v>0</v>
      </c>
      <c r="AB970" s="167">
        <f t="shared" si="564"/>
        <v>0</v>
      </c>
      <c r="AC970" s="167">
        <f t="shared" si="565"/>
        <v>0</v>
      </c>
      <c r="AD970" s="167">
        <f t="shared" si="566"/>
        <v>0</v>
      </c>
      <c r="AF970" s="47">
        <f t="shared" si="559"/>
        <v>0</v>
      </c>
    </row>
    <row r="971" spans="1:32" x14ac:dyDescent="0.35">
      <c r="A971" s="84"/>
      <c r="B971" s="84"/>
      <c r="C971" s="84"/>
      <c r="D971" s="190"/>
      <c r="E971" s="84"/>
      <c r="F971" s="84"/>
      <c r="G971" s="280"/>
      <c r="H971" s="234"/>
      <c r="I971" s="48"/>
      <c r="J971" s="48"/>
      <c r="K971" s="48"/>
      <c r="L971" s="49"/>
      <c r="M971" s="49"/>
      <c r="N971" s="49"/>
      <c r="O971" s="49"/>
      <c r="P971" s="49"/>
      <c r="Q971" s="227"/>
      <c r="R971" s="228"/>
      <c r="S971" s="228"/>
      <c r="T971" s="228"/>
      <c r="U971" s="191">
        <f t="shared" si="560"/>
        <v>0</v>
      </c>
      <c r="V971" s="87"/>
      <c r="W971" s="50"/>
      <c r="Y971" s="167">
        <f t="shared" si="561"/>
        <v>0</v>
      </c>
      <c r="Z971" s="167">
        <f t="shared" si="562"/>
        <v>0</v>
      </c>
      <c r="AA971" s="167">
        <f t="shared" si="563"/>
        <v>0</v>
      </c>
      <c r="AB971" s="167">
        <f t="shared" si="564"/>
        <v>0</v>
      </c>
      <c r="AC971" s="167">
        <f t="shared" si="565"/>
        <v>0</v>
      </c>
      <c r="AD971" s="167">
        <f t="shared" si="566"/>
        <v>0</v>
      </c>
      <c r="AF971" s="47">
        <f t="shared" si="559"/>
        <v>0</v>
      </c>
    </row>
    <row r="972" spans="1:32" x14ac:dyDescent="0.35">
      <c r="A972" s="84"/>
      <c r="B972" s="84"/>
      <c r="C972" s="84"/>
      <c r="D972" s="190"/>
      <c r="E972" s="84"/>
      <c r="F972" s="84"/>
      <c r="G972" s="280"/>
      <c r="H972" s="234"/>
      <c r="I972" s="48"/>
      <c r="J972" s="48"/>
      <c r="K972" s="48"/>
      <c r="L972" s="49"/>
      <c r="M972" s="49"/>
      <c r="N972" s="49"/>
      <c r="O972" s="49"/>
      <c r="P972" s="49"/>
      <c r="Q972" s="227"/>
      <c r="R972" s="228"/>
      <c r="S972" s="228"/>
      <c r="T972" s="228"/>
      <c r="U972" s="191">
        <f t="shared" si="560"/>
        <v>0</v>
      </c>
      <c r="V972" s="87"/>
      <c r="W972" s="50"/>
      <c r="Y972" s="167">
        <f t="shared" si="561"/>
        <v>0</v>
      </c>
      <c r="Z972" s="167">
        <f t="shared" si="562"/>
        <v>0</v>
      </c>
      <c r="AA972" s="167">
        <f t="shared" si="563"/>
        <v>0</v>
      </c>
      <c r="AB972" s="167">
        <f t="shared" si="564"/>
        <v>0</v>
      </c>
      <c r="AC972" s="167">
        <f t="shared" si="565"/>
        <v>0</v>
      </c>
      <c r="AD972" s="167">
        <f t="shared" si="566"/>
        <v>0</v>
      </c>
      <c r="AF972" s="47">
        <f t="shared" si="559"/>
        <v>0</v>
      </c>
    </row>
    <row r="973" spans="1:32" x14ac:dyDescent="0.35">
      <c r="A973" s="84"/>
      <c r="B973" s="84"/>
      <c r="C973" s="84"/>
      <c r="D973" s="190"/>
      <c r="E973" s="84"/>
      <c r="F973" s="84"/>
      <c r="G973" s="280"/>
      <c r="H973" s="234"/>
      <c r="I973" s="48"/>
      <c r="J973" s="48"/>
      <c r="K973" s="48"/>
      <c r="L973" s="49"/>
      <c r="M973" s="49"/>
      <c r="N973" s="49"/>
      <c r="O973" s="49"/>
      <c r="P973" s="49"/>
      <c r="Q973" s="227"/>
      <c r="R973" s="228"/>
      <c r="S973" s="228"/>
      <c r="T973" s="228"/>
      <c r="U973" s="191">
        <f t="shared" si="560"/>
        <v>0</v>
      </c>
      <c r="V973" s="87"/>
      <c r="W973" s="50"/>
      <c r="Y973" s="167">
        <f t="shared" si="561"/>
        <v>0</v>
      </c>
      <c r="Z973" s="167">
        <f t="shared" si="562"/>
        <v>0</v>
      </c>
      <c r="AA973" s="167">
        <f t="shared" si="563"/>
        <v>0</v>
      </c>
      <c r="AB973" s="167">
        <f t="shared" si="564"/>
        <v>0</v>
      </c>
      <c r="AC973" s="167">
        <f t="shared" si="565"/>
        <v>0</v>
      </c>
      <c r="AD973" s="167">
        <f t="shared" si="566"/>
        <v>0</v>
      </c>
      <c r="AF973" s="47">
        <f t="shared" si="559"/>
        <v>0</v>
      </c>
    </row>
    <row r="974" spans="1:32" x14ac:dyDescent="0.35">
      <c r="A974" s="84"/>
      <c r="B974" s="84"/>
      <c r="C974" s="84"/>
      <c r="D974" s="190"/>
      <c r="E974" s="84"/>
      <c r="F974" s="84"/>
      <c r="G974" s="280"/>
      <c r="H974" s="234"/>
      <c r="I974" s="48"/>
      <c r="J974" s="48"/>
      <c r="K974" s="48"/>
      <c r="L974" s="49"/>
      <c r="M974" s="49"/>
      <c r="N974" s="49"/>
      <c r="O974" s="49"/>
      <c r="P974" s="49"/>
      <c r="Q974" s="227"/>
      <c r="R974" s="228"/>
      <c r="S974" s="228"/>
      <c r="T974" s="228"/>
      <c r="U974" s="191">
        <f t="shared" si="560"/>
        <v>0</v>
      </c>
      <c r="V974" s="87"/>
      <c r="W974" s="50"/>
      <c r="Y974" s="167">
        <f t="shared" si="561"/>
        <v>0</v>
      </c>
      <c r="Z974" s="167">
        <f t="shared" si="562"/>
        <v>0</v>
      </c>
      <c r="AA974" s="167">
        <f t="shared" si="563"/>
        <v>0</v>
      </c>
      <c r="AB974" s="167">
        <f t="shared" si="564"/>
        <v>0</v>
      </c>
      <c r="AC974" s="167">
        <f t="shared" si="565"/>
        <v>0</v>
      </c>
      <c r="AD974" s="167">
        <f t="shared" si="566"/>
        <v>0</v>
      </c>
      <c r="AF974" s="47">
        <f t="shared" si="559"/>
        <v>0</v>
      </c>
    </row>
    <row r="975" spans="1:32" x14ac:dyDescent="0.35">
      <c r="A975" s="84"/>
      <c r="B975" s="84"/>
      <c r="C975" s="84"/>
      <c r="D975" s="190"/>
      <c r="E975" s="84"/>
      <c r="F975" s="84"/>
      <c r="G975" s="280"/>
      <c r="H975" s="234"/>
      <c r="I975" s="48"/>
      <c r="J975" s="48"/>
      <c r="K975" s="48"/>
      <c r="L975" s="49"/>
      <c r="M975" s="49"/>
      <c r="N975" s="49"/>
      <c r="O975" s="49"/>
      <c r="P975" s="49"/>
      <c r="Q975" s="227"/>
      <c r="R975" s="228"/>
      <c r="S975" s="228"/>
      <c r="T975" s="228"/>
      <c r="U975" s="191">
        <f t="shared" si="560"/>
        <v>0</v>
      </c>
      <c r="V975" s="87"/>
      <c r="W975" s="50"/>
      <c r="Y975" s="167">
        <f t="shared" si="561"/>
        <v>0</v>
      </c>
      <c r="Z975" s="167">
        <f t="shared" si="562"/>
        <v>0</v>
      </c>
      <c r="AA975" s="167">
        <f t="shared" si="563"/>
        <v>0</v>
      </c>
      <c r="AB975" s="167">
        <f t="shared" si="564"/>
        <v>0</v>
      </c>
      <c r="AC975" s="167">
        <f t="shared" si="565"/>
        <v>0</v>
      </c>
      <c r="AD975" s="167">
        <f t="shared" si="566"/>
        <v>0</v>
      </c>
      <c r="AF975" s="47">
        <f t="shared" si="559"/>
        <v>0</v>
      </c>
    </row>
    <row r="976" spans="1:32" x14ac:dyDescent="0.35">
      <c r="A976" s="84"/>
      <c r="B976" s="84"/>
      <c r="C976" s="84"/>
      <c r="D976" s="190"/>
      <c r="E976" s="84"/>
      <c r="F976" s="84"/>
      <c r="G976" s="280"/>
      <c r="H976" s="234"/>
      <c r="I976" s="48"/>
      <c r="J976" s="48"/>
      <c r="K976" s="48"/>
      <c r="L976" s="49"/>
      <c r="M976" s="49"/>
      <c r="N976" s="49"/>
      <c r="O976" s="49"/>
      <c r="P976" s="49"/>
      <c r="Q976" s="227"/>
      <c r="R976" s="228"/>
      <c r="S976" s="228"/>
      <c r="T976" s="228"/>
      <c r="U976" s="191">
        <f t="shared" si="560"/>
        <v>0</v>
      </c>
      <c r="V976" s="87"/>
      <c r="W976" s="50"/>
      <c r="Y976" s="167">
        <f t="shared" si="561"/>
        <v>0</v>
      </c>
      <c r="Z976" s="167">
        <f t="shared" si="562"/>
        <v>0</v>
      </c>
      <c r="AA976" s="167">
        <f t="shared" si="563"/>
        <v>0</v>
      </c>
      <c r="AB976" s="167">
        <f t="shared" si="564"/>
        <v>0</v>
      </c>
      <c r="AC976" s="167">
        <f t="shared" si="565"/>
        <v>0</v>
      </c>
      <c r="AD976" s="167">
        <f t="shared" si="566"/>
        <v>0</v>
      </c>
      <c r="AF976" s="47">
        <f t="shared" si="559"/>
        <v>0</v>
      </c>
    </row>
    <row r="977" spans="1:32" x14ac:dyDescent="0.35">
      <c r="A977" s="84"/>
      <c r="B977" s="84"/>
      <c r="C977" s="84"/>
      <c r="D977" s="190"/>
      <c r="E977" s="84"/>
      <c r="F977" s="84"/>
      <c r="G977" s="280"/>
      <c r="H977" s="234"/>
      <c r="I977" s="48"/>
      <c r="J977" s="48"/>
      <c r="K977" s="48"/>
      <c r="L977" s="49"/>
      <c r="M977" s="49"/>
      <c r="N977" s="49"/>
      <c r="O977" s="49"/>
      <c r="P977" s="49"/>
      <c r="Q977" s="227"/>
      <c r="R977" s="228"/>
      <c r="S977" s="228"/>
      <c r="T977" s="228"/>
      <c r="U977" s="191">
        <f t="shared" si="560"/>
        <v>0</v>
      </c>
      <c r="V977" s="87"/>
      <c r="W977" s="50"/>
      <c r="Y977" s="167">
        <f t="shared" si="561"/>
        <v>0</v>
      </c>
      <c r="Z977" s="167">
        <f t="shared" si="562"/>
        <v>0</v>
      </c>
      <c r="AA977" s="167">
        <f t="shared" si="563"/>
        <v>0</v>
      </c>
      <c r="AB977" s="167">
        <f t="shared" si="564"/>
        <v>0</v>
      </c>
      <c r="AC977" s="167">
        <f t="shared" si="565"/>
        <v>0</v>
      </c>
      <c r="AD977" s="167">
        <f t="shared" si="566"/>
        <v>0</v>
      </c>
      <c r="AF977" s="47">
        <f t="shared" si="559"/>
        <v>0</v>
      </c>
    </row>
    <row r="978" spans="1:32" x14ac:dyDescent="0.35">
      <c r="A978" s="84"/>
      <c r="B978" s="84"/>
      <c r="C978" s="84"/>
      <c r="D978" s="190"/>
      <c r="E978" s="84"/>
      <c r="F978" s="84"/>
      <c r="G978" s="280"/>
      <c r="H978" s="234"/>
      <c r="I978" s="48"/>
      <c r="J978" s="48"/>
      <c r="K978" s="48"/>
      <c r="L978" s="49"/>
      <c r="M978" s="49"/>
      <c r="N978" s="49"/>
      <c r="O978" s="49"/>
      <c r="P978" s="49"/>
      <c r="Q978" s="227"/>
      <c r="R978" s="228"/>
      <c r="S978" s="228"/>
      <c r="T978" s="228"/>
      <c r="U978" s="191">
        <f t="shared" si="560"/>
        <v>0</v>
      </c>
      <c r="V978" s="87"/>
      <c r="W978" s="50"/>
      <c r="Y978" s="167">
        <f t="shared" si="561"/>
        <v>0</v>
      </c>
      <c r="Z978" s="167">
        <f t="shared" si="562"/>
        <v>0</v>
      </c>
      <c r="AA978" s="167">
        <f t="shared" si="563"/>
        <v>0</v>
      </c>
      <c r="AB978" s="167">
        <f t="shared" si="564"/>
        <v>0</v>
      </c>
      <c r="AC978" s="167">
        <f t="shared" si="565"/>
        <v>0</v>
      </c>
      <c r="AD978" s="167">
        <f t="shared" si="566"/>
        <v>0</v>
      </c>
      <c r="AF978" s="47">
        <f t="shared" si="559"/>
        <v>0</v>
      </c>
    </row>
    <row r="979" spans="1:32" x14ac:dyDescent="0.35">
      <c r="A979" s="84"/>
      <c r="B979" s="84"/>
      <c r="C979" s="84"/>
      <c r="D979" s="190"/>
      <c r="E979" s="84"/>
      <c r="F979" s="84"/>
      <c r="G979" s="280"/>
      <c r="H979" s="234"/>
      <c r="I979" s="48"/>
      <c r="J979" s="48"/>
      <c r="K979" s="48"/>
      <c r="L979" s="49"/>
      <c r="M979" s="49"/>
      <c r="N979" s="49"/>
      <c r="O979" s="49"/>
      <c r="P979" s="49"/>
      <c r="Q979" s="227"/>
      <c r="R979" s="228"/>
      <c r="S979" s="228"/>
      <c r="T979" s="228"/>
      <c r="U979" s="191">
        <f t="shared" si="560"/>
        <v>0</v>
      </c>
      <c r="V979" s="87"/>
      <c r="W979" s="50"/>
      <c r="Y979" s="167">
        <f t="shared" si="561"/>
        <v>0</v>
      </c>
      <c r="Z979" s="167">
        <f t="shared" si="562"/>
        <v>0</v>
      </c>
      <c r="AA979" s="167">
        <f t="shared" si="563"/>
        <v>0</v>
      </c>
      <c r="AB979" s="167">
        <f t="shared" si="564"/>
        <v>0</v>
      </c>
      <c r="AC979" s="167">
        <f t="shared" si="565"/>
        <v>0</v>
      </c>
      <c r="AD979" s="167">
        <f t="shared" si="566"/>
        <v>0</v>
      </c>
      <c r="AF979" s="47">
        <f t="shared" si="559"/>
        <v>0</v>
      </c>
    </row>
    <row r="980" spans="1:32" x14ac:dyDescent="0.35">
      <c r="A980" s="84"/>
      <c r="B980" s="84"/>
      <c r="C980" s="84"/>
      <c r="D980" s="190"/>
      <c r="E980" s="84"/>
      <c r="F980" s="84"/>
      <c r="G980" s="280"/>
      <c r="H980" s="234"/>
      <c r="I980" s="48"/>
      <c r="J980" s="48"/>
      <c r="K980" s="48"/>
      <c r="L980" s="49"/>
      <c r="M980" s="49"/>
      <c r="N980" s="49"/>
      <c r="O980" s="49"/>
      <c r="P980" s="49"/>
      <c r="Q980" s="227"/>
      <c r="R980" s="228"/>
      <c r="S980" s="228"/>
      <c r="T980" s="228"/>
      <c r="U980" s="191">
        <f t="shared" si="560"/>
        <v>0</v>
      </c>
      <c r="V980" s="87"/>
      <c r="W980" s="50"/>
      <c r="Y980" s="167">
        <f t="shared" si="561"/>
        <v>0</v>
      </c>
      <c r="Z980" s="167">
        <f t="shared" si="562"/>
        <v>0</v>
      </c>
      <c r="AA980" s="167">
        <f t="shared" si="563"/>
        <v>0</v>
      </c>
      <c r="AB980" s="167">
        <f t="shared" si="564"/>
        <v>0</v>
      </c>
      <c r="AC980" s="167">
        <f t="shared" si="565"/>
        <v>0</v>
      </c>
      <c r="AD980" s="167">
        <f t="shared" si="566"/>
        <v>0</v>
      </c>
      <c r="AF980" s="47">
        <f t="shared" ref="AF980:AF1043" si="567">IF(S980&lt;&gt;"",1,0)</f>
        <v>0</v>
      </c>
    </row>
    <row r="981" spans="1:32" x14ac:dyDescent="0.35">
      <c r="A981" s="84"/>
      <c r="B981" s="84"/>
      <c r="C981" s="84"/>
      <c r="D981" s="190"/>
      <c r="E981" s="84"/>
      <c r="F981" s="84"/>
      <c r="G981" s="280"/>
      <c r="H981" s="234"/>
      <c r="I981" s="48"/>
      <c r="J981" s="48"/>
      <c r="K981" s="48"/>
      <c r="L981" s="49"/>
      <c r="M981" s="49"/>
      <c r="N981" s="49"/>
      <c r="O981" s="49"/>
      <c r="P981" s="49"/>
      <c r="Q981" s="227"/>
      <c r="R981" s="228"/>
      <c r="S981" s="228"/>
      <c r="T981" s="228"/>
      <c r="U981" s="191">
        <f t="shared" si="560"/>
        <v>0</v>
      </c>
      <c r="V981" s="87"/>
      <c r="W981" s="50"/>
      <c r="Y981" s="167">
        <f t="shared" si="561"/>
        <v>0</v>
      </c>
      <c r="Z981" s="167">
        <f t="shared" si="562"/>
        <v>0</v>
      </c>
      <c r="AA981" s="167">
        <f t="shared" si="563"/>
        <v>0</v>
      </c>
      <c r="AB981" s="167">
        <f t="shared" si="564"/>
        <v>0</v>
      </c>
      <c r="AC981" s="167">
        <f t="shared" si="565"/>
        <v>0</v>
      </c>
      <c r="AD981" s="167">
        <f t="shared" si="566"/>
        <v>0</v>
      </c>
      <c r="AF981" s="47">
        <f t="shared" si="567"/>
        <v>0</v>
      </c>
    </row>
    <row r="982" spans="1:32" x14ac:dyDescent="0.35">
      <c r="A982" s="84"/>
      <c r="B982" s="84"/>
      <c r="C982" s="84"/>
      <c r="D982" s="190"/>
      <c r="E982" s="84"/>
      <c r="F982" s="84"/>
      <c r="G982" s="280"/>
      <c r="H982" s="234"/>
      <c r="I982" s="48"/>
      <c r="J982" s="48"/>
      <c r="K982" s="48"/>
      <c r="L982" s="49"/>
      <c r="M982" s="49"/>
      <c r="N982" s="49"/>
      <c r="O982" s="49"/>
      <c r="P982" s="49"/>
      <c r="Q982" s="227"/>
      <c r="R982" s="228"/>
      <c r="S982" s="228"/>
      <c r="T982" s="228"/>
      <c r="U982" s="191">
        <f t="shared" si="560"/>
        <v>0</v>
      </c>
      <c r="V982" s="87"/>
      <c r="W982" s="50"/>
      <c r="Y982" s="167">
        <f t="shared" si="561"/>
        <v>0</v>
      </c>
      <c r="Z982" s="167">
        <f t="shared" si="562"/>
        <v>0</v>
      </c>
      <c r="AA982" s="167">
        <f t="shared" si="563"/>
        <v>0</v>
      </c>
      <c r="AB982" s="167">
        <f t="shared" si="564"/>
        <v>0</v>
      </c>
      <c r="AC982" s="167">
        <f t="shared" si="565"/>
        <v>0</v>
      </c>
      <c r="AD982" s="167">
        <f t="shared" si="566"/>
        <v>0</v>
      </c>
      <c r="AF982" s="47">
        <f t="shared" si="567"/>
        <v>0</v>
      </c>
    </row>
    <row r="983" spans="1:32" x14ac:dyDescent="0.35">
      <c r="A983" s="84"/>
      <c r="B983" s="84"/>
      <c r="C983" s="84"/>
      <c r="D983" s="190"/>
      <c r="E983" s="84"/>
      <c r="F983" s="84"/>
      <c r="G983" s="280"/>
      <c r="H983" s="234"/>
      <c r="I983" s="48"/>
      <c r="J983" s="48"/>
      <c r="K983" s="48"/>
      <c r="L983" s="49"/>
      <c r="M983" s="49"/>
      <c r="N983" s="49"/>
      <c r="O983" s="49"/>
      <c r="P983" s="49"/>
      <c r="Q983" s="227"/>
      <c r="R983" s="228"/>
      <c r="S983" s="228"/>
      <c r="T983" s="228"/>
      <c r="U983" s="191">
        <f t="shared" si="560"/>
        <v>0</v>
      </c>
      <c r="V983" s="87"/>
      <c r="W983" s="50"/>
      <c r="Y983" s="167">
        <f t="shared" si="561"/>
        <v>0</v>
      </c>
      <c r="Z983" s="167">
        <f t="shared" si="562"/>
        <v>0</v>
      </c>
      <c r="AA983" s="167">
        <f t="shared" si="563"/>
        <v>0</v>
      </c>
      <c r="AB983" s="167">
        <f t="shared" si="564"/>
        <v>0</v>
      </c>
      <c r="AC983" s="167">
        <f t="shared" si="565"/>
        <v>0</v>
      </c>
      <c r="AD983" s="167">
        <f t="shared" si="566"/>
        <v>0</v>
      </c>
      <c r="AF983" s="47">
        <f t="shared" si="567"/>
        <v>0</v>
      </c>
    </row>
    <row r="984" spans="1:32" x14ac:dyDescent="0.35">
      <c r="A984" s="84"/>
      <c r="B984" s="84"/>
      <c r="C984" s="84"/>
      <c r="D984" s="190"/>
      <c r="E984" s="84"/>
      <c r="F984" s="84"/>
      <c r="G984" s="280"/>
      <c r="H984" s="234"/>
      <c r="I984" s="48"/>
      <c r="J984" s="48"/>
      <c r="K984" s="48"/>
      <c r="L984" s="49"/>
      <c r="M984" s="49"/>
      <c r="N984" s="49"/>
      <c r="O984" s="49"/>
      <c r="P984" s="49"/>
      <c r="Q984" s="227"/>
      <c r="R984" s="228"/>
      <c r="S984" s="228"/>
      <c r="T984" s="228"/>
      <c r="U984" s="191">
        <f t="shared" si="560"/>
        <v>0</v>
      </c>
      <c r="V984" s="87"/>
      <c r="W984" s="50"/>
      <c r="Y984" s="167">
        <f t="shared" si="561"/>
        <v>0</v>
      </c>
      <c r="Z984" s="167">
        <f t="shared" si="562"/>
        <v>0</v>
      </c>
      <c r="AA984" s="167">
        <f t="shared" si="563"/>
        <v>0</v>
      </c>
      <c r="AB984" s="167">
        <f t="shared" si="564"/>
        <v>0</v>
      </c>
      <c r="AC984" s="167">
        <f t="shared" si="565"/>
        <v>0</v>
      </c>
      <c r="AD984" s="167">
        <f t="shared" si="566"/>
        <v>0</v>
      </c>
      <c r="AF984" s="47">
        <f t="shared" si="567"/>
        <v>0</v>
      </c>
    </row>
    <row r="985" spans="1:32" x14ac:dyDescent="0.35">
      <c r="A985" s="84"/>
      <c r="B985" s="84"/>
      <c r="C985" s="84"/>
      <c r="D985" s="190"/>
      <c r="E985" s="84"/>
      <c r="F985" s="84"/>
      <c r="G985" s="280"/>
      <c r="H985" s="234"/>
      <c r="I985" s="48"/>
      <c r="J985" s="48"/>
      <c r="K985" s="48"/>
      <c r="L985" s="49"/>
      <c r="M985" s="49"/>
      <c r="N985" s="49"/>
      <c r="O985" s="49"/>
      <c r="P985" s="49"/>
      <c r="Q985" s="227"/>
      <c r="R985" s="228"/>
      <c r="S985" s="228"/>
      <c r="T985" s="228"/>
      <c r="U985" s="191">
        <f t="shared" si="560"/>
        <v>0</v>
      </c>
      <c r="V985" s="87"/>
      <c r="W985" s="50"/>
      <c r="Y985" s="167">
        <f t="shared" si="561"/>
        <v>0</v>
      </c>
      <c r="Z985" s="167">
        <f t="shared" si="562"/>
        <v>0</v>
      </c>
      <c r="AA985" s="167">
        <f t="shared" si="563"/>
        <v>0</v>
      </c>
      <c r="AB985" s="167">
        <f t="shared" si="564"/>
        <v>0</v>
      </c>
      <c r="AC985" s="167">
        <f t="shared" si="565"/>
        <v>0</v>
      </c>
      <c r="AD985" s="167">
        <f t="shared" si="566"/>
        <v>0</v>
      </c>
      <c r="AF985" s="47">
        <f t="shared" si="567"/>
        <v>0</v>
      </c>
    </row>
    <row r="986" spans="1:32" x14ac:dyDescent="0.35">
      <c r="A986" s="84"/>
      <c r="B986" s="84"/>
      <c r="C986" s="84"/>
      <c r="D986" s="190"/>
      <c r="E986" s="84"/>
      <c r="F986" s="84"/>
      <c r="G986" s="280"/>
      <c r="H986" s="234"/>
      <c r="I986" s="48"/>
      <c r="J986" s="48"/>
      <c r="K986" s="48"/>
      <c r="L986" s="49"/>
      <c r="M986" s="49"/>
      <c r="N986" s="49"/>
      <c r="O986" s="49"/>
      <c r="P986" s="49"/>
      <c r="Q986" s="227"/>
      <c r="R986" s="228"/>
      <c r="S986" s="228"/>
      <c r="T986" s="228"/>
      <c r="U986" s="191">
        <f t="shared" si="560"/>
        <v>0</v>
      </c>
      <c r="V986" s="87"/>
      <c r="W986" s="50"/>
      <c r="Y986" s="167">
        <f t="shared" si="561"/>
        <v>0</v>
      </c>
      <c r="Z986" s="167">
        <f t="shared" si="562"/>
        <v>0</v>
      </c>
      <c r="AA986" s="167">
        <f t="shared" si="563"/>
        <v>0</v>
      </c>
      <c r="AB986" s="167">
        <f t="shared" si="564"/>
        <v>0</v>
      </c>
      <c r="AC986" s="167">
        <f t="shared" si="565"/>
        <v>0</v>
      </c>
      <c r="AD986" s="167">
        <f t="shared" si="566"/>
        <v>0</v>
      </c>
      <c r="AF986" s="47">
        <f t="shared" si="567"/>
        <v>0</v>
      </c>
    </row>
    <row r="987" spans="1:32" x14ac:dyDescent="0.35">
      <c r="A987" s="84"/>
      <c r="B987" s="84"/>
      <c r="C987" s="84"/>
      <c r="D987" s="190"/>
      <c r="E987" s="84"/>
      <c r="F987" s="84"/>
      <c r="G987" s="280"/>
      <c r="H987" s="234"/>
      <c r="I987" s="48"/>
      <c r="J987" s="48"/>
      <c r="K987" s="48"/>
      <c r="L987" s="49"/>
      <c r="M987" s="49"/>
      <c r="N987" s="49"/>
      <c r="O987" s="49"/>
      <c r="P987" s="49"/>
      <c r="Q987" s="227"/>
      <c r="R987" s="228"/>
      <c r="S987" s="228"/>
      <c r="T987" s="228"/>
      <c r="U987" s="191">
        <f t="shared" si="560"/>
        <v>0</v>
      </c>
      <c r="V987" s="87"/>
      <c r="W987" s="50"/>
      <c r="Y987" s="167">
        <f t="shared" si="561"/>
        <v>0</v>
      </c>
      <c r="Z987" s="167">
        <f t="shared" si="562"/>
        <v>0</v>
      </c>
      <c r="AA987" s="167">
        <f t="shared" si="563"/>
        <v>0</v>
      </c>
      <c r="AB987" s="167">
        <f t="shared" si="564"/>
        <v>0</v>
      </c>
      <c r="AC987" s="167">
        <f t="shared" si="565"/>
        <v>0</v>
      </c>
      <c r="AD987" s="167">
        <f t="shared" si="566"/>
        <v>0</v>
      </c>
      <c r="AF987" s="47">
        <f t="shared" si="567"/>
        <v>0</v>
      </c>
    </row>
    <row r="988" spans="1:32" x14ac:dyDescent="0.35">
      <c r="A988" s="84"/>
      <c r="B988" s="84"/>
      <c r="C988" s="84"/>
      <c r="D988" s="190"/>
      <c r="E988" s="84"/>
      <c r="F988" s="84"/>
      <c r="G988" s="280"/>
      <c r="H988" s="234"/>
      <c r="I988" s="48"/>
      <c r="J988" s="48"/>
      <c r="K988" s="48"/>
      <c r="L988" s="49"/>
      <c r="M988" s="49"/>
      <c r="N988" s="49"/>
      <c r="O988" s="49"/>
      <c r="P988" s="49"/>
      <c r="Q988" s="227"/>
      <c r="R988" s="228"/>
      <c r="S988" s="228"/>
      <c r="T988" s="228"/>
      <c r="U988" s="191">
        <f t="shared" si="560"/>
        <v>0</v>
      </c>
      <c r="V988" s="87"/>
      <c r="W988" s="50"/>
      <c r="Y988" s="167">
        <f t="shared" si="561"/>
        <v>0</v>
      </c>
      <c r="Z988" s="167">
        <f t="shared" si="562"/>
        <v>0</v>
      </c>
      <c r="AA988" s="167">
        <f t="shared" si="563"/>
        <v>0</v>
      </c>
      <c r="AB988" s="167">
        <f t="shared" si="564"/>
        <v>0</v>
      </c>
      <c r="AC988" s="167">
        <f t="shared" si="565"/>
        <v>0</v>
      </c>
      <c r="AD988" s="167">
        <f t="shared" si="566"/>
        <v>0</v>
      </c>
      <c r="AF988" s="47">
        <f t="shared" si="567"/>
        <v>0</v>
      </c>
    </row>
    <row r="989" spans="1:32" x14ac:dyDescent="0.35">
      <c r="A989" s="84"/>
      <c r="B989" s="84"/>
      <c r="C989" s="84"/>
      <c r="D989" s="190"/>
      <c r="E989" s="84"/>
      <c r="F989" s="84"/>
      <c r="G989" s="280"/>
      <c r="H989" s="234"/>
      <c r="I989" s="48"/>
      <c r="J989" s="48"/>
      <c r="K989" s="48"/>
      <c r="L989" s="49"/>
      <c r="M989" s="49"/>
      <c r="N989" s="49"/>
      <c r="O989" s="49"/>
      <c r="P989" s="49"/>
      <c r="Q989" s="227"/>
      <c r="R989" s="228"/>
      <c r="S989" s="228"/>
      <c r="T989" s="228"/>
      <c r="U989" s="191">
        <f t="shared" si="560"/>
        <v>0</v>
      </c>
      <c r="V989" s="87"/>
      <c r="W989" s="50"/>
      <c r="Y989" s="167">
        <f t="shared" si="561"/>
        <v>0</v>
      </c>
      <c r="Z989" s="167">
        <f t="shared" si="562"/>
        <v>0</v>
      </c>
      <c r="AA989" s="167">
        <f t="shared" si="563"/>
        <v>0</v>
      </c>
      <c r="AB989" s="167">
        <f t="shared" si="564"/>
        <v>0</v>
      </c>
      <c r="AC989" s="167">
        <f t="shared" si="565"/>
        <v>0</v>
      </c>
      <c r="AD989" s="167">
        <f t="shared" si="566"/>
        <v>0</v>
      </c>
      <c r="AF989" s="47">
        <f t="shared" si="567"/>
        <v>0</v>
      </c>
    </row>
    <row r="990" spans="1:32" x14ac:dyDescent="0.35">
      <c r="A990" s="84"/>
      <c r="B990" s="84"/>
      <c r="C990" s="84"/>
      <c r="D990" s="190"/>
      <c r="E990" s="84"/>
      <c r="F990" s="84"/>
      <c r="G990" s="280"/>
      <c r="H990" s="234"/>
      <c r="I990" s="48"/>
      <c r="J990" s="48"/>
      <c r="K990" s="48"/>
      <c r="L990" s="49"/>
      <c r="M990" s="49"/>
      <c r="N990" s="49"/>
      <c r="O990" s="49"/>
      <c r="P990" s="49"/>
      <c r="Q990" s="227"/>
      <c r="R990" s="228"/>
      <c r="S990" s="228"/>
      <c r="T990" s="228"/>
      <c r="U990" s="191">
        <f t="shared" si="560"/>
        <v>0</v>
      </c>
      <c r="V990" s="87"/>
      <c r="W990" s="50"/>
      <c r="Y990" s="167">
        <f t="shared" si="561"/>
        <v>0</v>
      </c>
      <c r="Z990" s="167">
        <f t="shared" si="562"/>
        <v>0</v>
      </c>
      <c r="AA990" s="167">
        <f t="shared" si="563"/>
        <v>0</v>
      </c>
      <c r="AB990" s="167">
        <f t="shared" si="564"/>
        <v>0</v>
      </c>
      <c r="AC990" s="167">
        <f t="shared" si="565"/>
        <v>0</v>
      </c>
      <c r="AD990" s="167">
        <f t="shared" si="566"/>
        <v>0</v>
      </c>
      <c r="AF990" s="47">
        <f t="shared" si="567"/>
        <v>0</v>
      </c>
    </row>
    <row r="991" spans="1:32" x14ac:dyDescent="0.35">
      <c r="A991" s="84"/>
      <c r="B991" s="84"/>
      <c r="C991" s="84"/>
      <c r="D991" s="190"/>
      <c r="E991" s="84"/>
      <c r="F991" s="84"/>
      <c r="G991" s="280"/>
      <c r="H991" s="234"/>
      <c r="I991" s="48"/>
      <c r="J991" s="48"/>
      <c r="K991" s="48"/>
      <c r="L991" s="49"/>
      <c r="M991" s="49"/>
      <c r="N991" s="49"/>
      <c r="O991" s="49"/>
      <c r="P991" s="49"/>
      <c r="Q991" s="227"/>
      <c r="R991" s="228"/>
      <c r="S991" s="228"/>
      <c r="T991" s="228"/>
      <c r="U991" s="191">
        <f t="shared" si="560"/>
        <v>0</v>
      </c>
      <c r="V991" s="87"/>
      <c r="W991" s="50"/>
      <c r="Y991" s="167">
        <f t="shared" si="561"/>
        <v>0</v>
      </c>
      <c r="Z991" s="167">
        <f t="shared" si="562"/>
        <v>0</v>
      </c>
      <c r="AA991" s="167">
        <f t="shared" si="563"/>
        <v>0</v>
      </c>
      <c r="AB991" s="167">
        <f t="shared" si="564"/>
        <v>0</v>
      </c>
      <c r="AC991" s="167">
        <f t="shared" si="565"/>
        <v>0</v>
      </c>
      <c r="AD991" s="167">
        <f t="shared" si="566"/>
        <v>0</v>
      </c>
      <c r="AF991" s="47">
        <f t="shared" si="567"/>
        <v>0</v>
      </c>
    </row>
    <row r="992" spans="1:32" x14ac:dyDescent="0.35">
      <c r="A992" s="84"/>
      <c r="B992" s="84"/>
      <c r="C992" s="84"/>
      <c r="D992" s="190"/>
      <c r="E992" s="84"/>
      <c r="F992" s="84"/>
      <c r="G992" s="280"/>
      <c r="H992" s="234"/>
      <c r="I992" s="48"/>
      <c r="J992" s="48"/>
      <c r="K992" s="48"/>
      <c r="L992" s="49"/>
      <c r="M992" s="49"/>
      <c r="N992" s="49"/>
      <c r="O992" s="49"/>
      <c r="P992" s="49"/>
      <c r="Q992" s="227"/>
      <c r="R992" s="228"/>
      <c r="S992" s="228"/>
      <c r="T992" s="228"/>
      <c r="U992" s="191">
        <f t="shared" si="560"/>
        <v>0</v>
      </c>
      <c r="V992" s="87"/>
      <c r="W992" s="50"/>
      <c r="Y992" s="167">
        <f t="shared" si="561"/>
        <v>0</v>
      </c>
      <c r="Z992" s="167">
        <f t="shared" si="562"/>
        <v>0</v>
      </c>
      <c r="AA992" s="167">
        <f t="shared" si="563"/>
        <v>0</v>
      </c>
      <c r="AB992" s="167">
        <f t="shared" si="564"/>
        <v>0</v>
      </c>
      <c r="AC992" s="167">
        <f t="shared" si="565"/>
        <v>0</v>
      </c>
      <c r="AD992" s="167">
        <f t="shared" si="566"/>
        <v>0</v>
      </c>
      <c r="AF992" s="47">
        <f t="shared" si="567"/>
        <v>0</v>
      </c>
    </row>
    <row r="993" spans="1:32" x14ac:dyDescent="0.35">
      <c r="A993" s="84"/>
      <c r="B993" s="84"/>
      <c r="C993" s="84"/>
      <c r="D993" s="190"/>
      <c r="E993" s="84"/>
      <c r="F993" s="84"/>
      <c r="G993" s="280"/>
      <c r="H993" s="234"/>
      <c r="I993" s="48"/>
      <c r="J993" s="48"/>
      <c r="K993" s="48"/>
      <c r="L993" s="49"/>
      <c r="M993" s="49"/>
      <c r="N993" s="49"/>
      <c r="O993" s="49"/>
      <c r="P993" s="49"/>
      <c r="Q993" s="227"/>
      <c r="R993" s="228"/>
      <c r="S993" s="228"/>
      <c r="T993" s="228"/>
      <c r="U993" s="191">
        <f t="shared" si="560"/>
        <v>0</v>
      </c>
      <c r="V993" s="87"/>
      <c r="W993" s="50"/>
      <c r="Y993" s="167">
        <f t="shared" si="561"/>
        <v>0</v>
      </c>
      <c r="Z993" s="167">
        <f t="shared" si="562"/>
        <v>0</v>
      </c>
      <c r="AA993" s="167">
        <f t="shared" si="563"/>
        <v>0</v>
      </c>
      <c r="AB993" s="167">
        <f t="shared" si="564"/>
        <v>0</v>
      </c>
      <c r="AC993" s="167">
        <f t="shared" si="565"/>
        <v>0</v>
      </c>
      <c r="AD993" s="167">
        <f t="shared" si="566"/>
        <v>0</v>
      </c>
      <c r="AF993" s="47">
        <f t="shared" si="567"/>
        <v>0</v>
      </c>
    </row>
    <row r="994" spans="1:32" x14ac:dyDescent="0.35">
      <c r="A994" s="84"/>
      <c r="B994" s="84"/>
      <c r="C994" s="84"/>
      <c r="D994" s="190"/>
      <c r="E994" s="84"/>
      <c r="F994" s="84"/>
      <c r="G994" s="280"/>
      <c r="H994" s="234"/>
      <c r="I994" s="48"/>
      <c r="J994" s="48"/>
      <c r="K994" s="48"/>
      <c r="L994" s="49"/>
      <c r="M994" s="49"/>
      <c r="N994" s="49"/>
      <c r="O994" s="49"/>
      <c r="P994" s="49"/>
      <c r="Q994" s="227"/>
      <c r="R994" s="228"/>
      <c r="S994" s="228"/>
      <c r="T994" s="228"/>
      <c r="U994" s="191">
        <f t="shared" si="560"/>
        <v>0</v>
      </c>
      <c r="V994" s="87"/>
      <c r="W994" s="50"/>
      <c r="Y994" s="167">
        <f t="shared" si="561"/>
        <v>0</v>
      </c>
      <c r="Z994" s="167">
        <f t="shared" si="562"/>
        <v>0</v>
      </c>
      <c r="AA994" s="167">
        <f t="shared" si="563"/>
        <v>0</v>
      </c>
      <c r="AB994" s="167">
        <f t="shared" si="564"/>
        <v>0</v>
      </c>
      <c r="AC994" s="167">
        <f t="shared" si="565"/>
        <v>0</v>
      </c>
      <c r="AD994" s="167">
        <f t="shared" si="566"/>
        <v>0</v>
      </c>
      <c r="AF994" s="47">
        <f t="shared" si="567"/>
        <v>0</v>
      </c>
    </row>
    <row r="995" spans="1:32" x14ac:dyDescent="0.35">
      <c r="A995" s="84"/>
      <c r="B995" s="84"/>
      <c r="C995" s="84"/>
      <c r="D995" s="190"/>
      <c r="E995" s="84"/>
      <c r="F995" s="84"/>
      <c r="G995" s="280"/>
      <c r="H995" s="234"/>
      <c r="I995" s="48"/>
      <c r="J995" s="48"/>
      <c r="K995" s="48"/>
      <c r="L995" s="49"/>
      <c r="M995" s="49"/>
      <c r="N995" s="49"/>
      <c r="O995" s="49"/>
      <c r="P995" s="49"/>
      <c r="Q995" s="227"/>
      <c r="R995" s="228"/>
      <c r="S995" s="228"/>
      <c r="T995" s="228"/>
      <c r="U995" s="191">
        <f t="shared" si="560"/>
        <v>0</v>
      </c>
      <c r="V995" s="87"/>
      <c r="W995" s="50"/>
      <c r="Y995" s="167">
        <f t="shared" si="561"/>
        <v>0</v>
      </c>
      <c r="Z995" s="167">
        <f t="shared" si="562"/>
        <v>0</v>
      </c>
      <c r="AA995" s="167">
        <f t="shared" si="563"/>
        <v>0</v>
      </c>
      <c r="AB995" s="167">
        <f t="shared" si="564"/>
        <v>0</v>
      </c>
      <c r="AC995" s="167">
        <f t="shared" si="565"/>
        <v>0</v>
      </c>
      <c r="AD995" s="167">
        <f t="shared" si="566"/>
        <v>0</v>
      </c>
      <c r="AF995" s="47">
        <f t="shared" si="567"/>
        <v>0</v>
      </c>
    </row>
    <row r="996" spans="1:32" x14ac:dyDescent="0.35">
      <c r="A996" s="84"/>
      <c r="B996" s="84"/>
      <c r="C996" s="84"/>
      <c r="D996" s="190"/>
      <c r="E996" s="84"/>
      <c r="F996" s="84"/>
      <c r="G996" s="280"/>
      <c r="H996" s="234"/>
      <c r="I996" s="48"/>
      <c r="J996" s="48"/>
      <c r="K996" s="48"/>
      <c r="L996" s="49"/>
      <c r="M996" s="49"/>
      <c r="N996" s="49"/>
      <c r="O996" s="49"/>
      <c r="P996" s="49"/>
      <c r="Q996" s="227"/>
      <c r="R996" s="228"/>
      <c r="S996" s="228"/>
      <c r="T996" s="228"/>
      <c r="U996" s="191">
        <f t="shared" si="560"/>
        <v>0</v>
      </c>
      <c r="V996" s="87"/>
      <c r="W996" s="50"/>
      <c r="Y996" s="167">
        <f t="shared" si="561"/>
        <v>0</v>
      </c>
      <c r="Z996" s="167">
        <f t="shared" si="562"/>
        <v>0</v>
      </c>
      <c r="AA996" s="167">
        <f t="shared" si="563"/>
        <v>0</v>
      </c>
      <c r="AB996" s="167">
        <f t="shared" si="564"/>
        <v>0</v>
      </c>
      <c r="AC996" s="167">
        <f t="shared" si="565"/>
        <v>0</v>
      </c>
      <c r="AD996" s="167">
        <f t="shared" si="566"/>
        <v>0</v>
      </c>
      <c r="AF996" s="47">
        <f t="shared" si="567"/>
        <v>0</v>
      </c>
    </row>
    <row r="997" spans="1:32" x14ac:dyDescent="0.35">
      <c r="A997" s="84"/>
      <c r="B997" s="84"/>
      <c r="C997" s="84"/>
      <c r="D997" s="190"/>
      <c r="E997" s="84"/>
      <c r="F997" s="84"/>
      <c r="G997" s="280"/>
      <c r="H997" s="234"/>
      <c r="I997" s="48"/>
      <c r="J997" s="48"/>
      <c r="K997" s="48"/>
      <c r="L997" s="49"/>
      <c r="M997" s="49"/>
      <c r="N997" s="49"/>
      <c r="O997" s="49"/>
      <c r="P997" s="49"/>
      <c r="Q997" s="227"/>
      <c r="R997" s="228"/>
      <c r="S997" s="228"/>
      <c r="T997" s="228"/>
      <c r="U997" s="191">
        <f t="shared" si="560"/>
        <v>0</v>
      </c>
      <c r="V997" s="87"/>
      <c r="W997" s="50"/>
      <c r="Y997" s="167">
        <f t="shared" si="561"/>
        <v>0</v>
      </c>
      <c r="Z997" s="167">
        <f t="shared" si="562"/>
        <v>0</v>
      </c>
      <c r="AA997" s="167">
        <f t="shared" si="563"/>
        <v>0</v>
      </c>
      <c r="AB997" s="167">
        <f t="shared" si="564"/>
        <v>0</v>
      </c>
      <c r="AC997" s="167">
        <f t="shared" si="565"/>
        <v>0</v>
      </c>
      <c r="AD997" s="167">
        <f t="shared" si="566"/>
        <v>0</v>
      </c>
      <c r="AF997" s="47">
        <f t="shared" si="567"/>
        <v>0</v>
      </c>
    </row>
    <row r="998" spans="1:32" x14ac:dyDescent="0.35">
      <c r="A998" s="84"/>
      <c r="B998" s="84"/>
      <c r="C998" s="84"/>
      <c r="D998" s="190"/>
      <c r="E998" s="84"/>
      <c r="F998" s="84"/>
      <c r="G998" s="280"/>
      <c r="H998" s="234"/>
      <c r="I998" s="48"/>
      <c r="J998" s="48"/>
      <c r="K998" s="48"/>
      <c r="L998" s="49"/>
      <c r="M998" s="49"/>
      <c r="N998" s="49"/>
      <c r="O998" s="49"/>
      <c r="P998" s="49"/>
      <c r="Q998" s="227"/>
      <c r="R998" s="228"/>
      <c r="S998" s="228"/>
      <c r="T998" s="228"/>
      <c r="U998" s="191">
        <f t="shared" si="560"/>
        <v>0</v>
      </c>
      <c r="V998" s="87"/>
      <c r="W998" s="50"/>
      <c r="Y998" s="167">
        <f t="shared" si="561"/>
        <v>0</v>
      </c>
      <c r="Z998" s="167">
        <f t="shared" si="562"/>
        <v>0</v>
      </c>
      <c r="AA998" s="167">
        <f t="shared" si="563"/>
        <v>0</v>
      </c>
      <c r="AB998" s="167">
        <f t="shared" si="564"/>
        <v>0</v>
      </c>
      <c r="AC998" s="167">
        <f t="shared" si="565"/>
        <v>0</v>
      </c>
      <c r="AD998" s="167">
        <f t="shared" si="566"/>
        <v>0</v>
      </c>
      <c r="AF998" s="47">
        <f t="shared" si="567"/>
        <v>0</v>
      </c>
    </row>
    <row r="999" spans="1:32" x14ac:dyDescent="0.35">
      <c r="A999" s="84"/>
      <c r="B999" s="84"/>
      <c r="C999" s="84"/>
      <c r="D999" s="190"/>
      <c r="E999" s="84"/>
      <c r="F999" s="84"/>
      <c r="G999" s="280"/>
      <c r="H999" s="234"/>
      <c r="I999" s="48"/>
      <c r="J999" s="48"/>
      <c r="K999" s="48"/>
      <c r="L999" s="49"/>
      <c r="M999" s="49"/>
      <c r="N999" s="49"/>
      <c r="O999" s="49"/>
      <c r="P999" s="49"/>
      <c r="Q999" s="227"/>
      <c r="R999" s="228"/>
      <c r="S999" s="228"/>
      <c r="T999" s="228"/>
      <c r="U999" s="191">
        <f t="shared" si="560"/>
        <v>0</v>
      </c>
      <c r="V999" s="87"/>
      <c r="W999" s="50"/>
      <c r="Y999" s="167">
        <f t="shared" si="561"/>
        <v>0</v>
      </c>
      <c r="Z999" s="167">
        <f t="shared" si="562"/>
        <v>0</v>
      </c>
      <c r="AA999" s="167">
        <f t="shared" si="563"/>
        <v>0</v>
      </c>
      <c r="AB999" s="167">
        <f t="shared" si="564"/>
        <v>0</v>
      </c>
      <c r="AC999" s="167">
        <f t="shared" si="565"/>
        <v>0</v>
      </c>
      <c r="AD999" s="167">
        <f t="shared" si="566"/>
        <v>0</v>
      </c>
      <c r="AF999" s="47">
        <f t="shared" si="567"/>
        <v>0</v>
      </c>
    </row>
    <row r="1000" spans="1:32" x14ac:dyDescent="0.35">
      <c r="A1000" s="84"/>
      <c r="B1000" s="84"/>
      <c r="C1000" s="84"/>
      <c r="D1000" s="190"/>
      <c r="E1000" s="84"/>
      <c r="F1000" s="84"/>
      <c r="G1000" s="280"/>
      <c r="H1000" s="234"/>
      <c r="I1000" s="48"/>
      <c r="J1000" s="48"/>
      <c r="K1000" s="48"/>
      <c r="L1000" s="49"/>
      <c r="M1000" s="49"/>
      <c r="N1000" s="49"/>
      <c r="O1000" s="49"/>
      <c r="P1000" s="49"/>
      <c r="Q1000" s="227"/>
      <c r="R1000" s="228"/>
      <c r="S1000" s="228"/>
      <c r="T1000" s="228"/>
      <c r="U1000" s="191">
        <f t="shared" si="560"/>
        <v>0</v>
      </c>
      <c r="V1000" s="87"/>
      <c r="W1000" s="50"/>
      <c r="Y1000" s="167">
        <f t="shared" si="561"/>
        <v>0</v>
      </c>
      <c r="Z1000" s="167">
        <f t="shared" si="562"/>
        <v>0</v>
      </c>
      <c r="AA1000" s="167">
        <f t="shared" si="563"/>
        <v>0</v>
      </c>
      <c r="AB1000" s="167">
        <f t="shared" si="564"/>
        <v>0</v>
      </c>
      <c r="AC1000" s="167">
        <f t="shared" si="565"/>
        <v>0</v>
      </c>
      <c r="AD1000" s="167">
        <f t="shared" si="566"/>
        <v>0</v>
      </c>
      <c r="AF1000" s="47">
        <f t="shared" si="567"/>
        <v>0</v>
      </c>
    </row>
    <row r="1001" spans="1:32" x14ac:dyDescent="0.35">
      <c r="A1001" s="84"/>
      <c r="B1001" s="84"/>
      <c r="C1001" s="84"/>
      <c r="D1001" s="190"/>
      <c r="E1001" s="84"/>
      <c r="F1001" s="84"/>
      <c r="G1001" s="280"/>
      <c r="H1001" s="234"/>
      <c r="I1001" s="48"/>
      <c r="J1001" s="48"/>
      <c r="K1001" s="48"/>
      <c r="L1001" s="49"/>
      <c r="M1001" s="49"/>
      <c r="N1001" s="49"/>
      <c r="O1001" s="49"/>
      <c r="P1001" s="49"/>
      <c r="Q1001" s="227"/>
      <c r="R1001" s="228"/>
      <c r="S1001" s="228"/>
      <c r="T1001" s="228"/>
      <c r="U1001" s="191">
        <f t="shared" si="560"/>
        <v>0</v>
      </c>
      <c r="V1001" s="87"/>
      <c r="W1001" s="50"/>
      <c r="Y1001" s="167">
        <f t="shared" si="561"/>
        <v>0</v>
      </c>
      <c r="Z1001" s="167">
        <f t="shared" si="562"/>
        <v>0</v>
      </c>
      <c r="AA1001" s="167">
        <f t="shared" si="563"/>
        <v>0</v>
      </c>
      <c r="AB1001" s="167">
        <f t="shared" si="564"/>
        <v>0</v>
      </c>
      <c r="AC1001" s="167">
        <f t="shared" si="565"/>
        <v>0</v>
      </c>
      <c r="AD1001" s="167">
        <f t="shared" si="566"/>
        <v>0</v>
      </c>
      <c r="AF1001" s="47">
        <f t="shared" si="567"/>
        <v>0</v>
      </c>
    </row>
    <row r="1002" spans="1:32" x14ac:dyDescent="0.35">
      <c r="A1002" s="84"/>
      <c r="B1002" s="84"/>
      <c r="C1002" s="84"/>
      <c r="D1002" s="190"/>
      <c r="E1002" s="84"/>
      <c r="F1002" s="84"/>
      <c r="G1002" s="280"/>
      <c r="H1002" s="234"/>
      <c r="I1002" s="48"/>
      <c r="J1002" s="48"/>
      <c r="K1002" s="48"/>
      <c r="L1002" s="49"/>
      <c r="M1002" s="49"/>
      <c r="N1002" s="49"/>
      <c r="O1002" s="49"/>
      <c r="P1002" s="49"/>
      <c r="Q1002" s="227"/>
      <c r="R1002" s="228"/>
      <c r="S1002" s="228"/>
      <c r="T1002" s="228"/>
      <c r="U1002" s="191">
        <f t="shared" si="560"/>
        <v>0</v>
      </c>
      <c r="V1002" s="87"/>
      <c r="W1002" s="50"/>
      <c r="Y1002" s="167">
        <f t="shared" si="561"/>
        <v>0</v>
      </c>
      <c r="Z1002" s="167">
        <f t="shared" si="562"/>
        <v>0</v>
      </c>
      <c r="AA1002" s="167">
        <f t="shared" si="563"/>
        <v>0</v>
      </c>
      <c r="AB1002" s="167">
        <f t="shared" si="564"/>
        <v>0</v>
      </c>
      <c r="AC1002" s="167">
        <f t="shared" si="565"/>
        <v>0</v>
      </c>
      <c r="AD1002" s="167">
        <f t="shared" si="566"/>
        <v>0</v>
      </c>
      <c r="AF1002" s="47">
        <f t="shared" si="567"/>
        <v>0</v>
      </c>
    </row>
    <row r="1003" spans="1:32" x14ac:dyDescent="0.35">
      <c r="A1003" s="84"/>
      <c r="B1003" s="84"/>
      <c r="C1003" s="84"/>
      <c r="D1003" s="190"/>
      <c r="E1003" s="84"/>
      <c r="F1003" s="84"/>
      <c r="G1003" s="280"/>
      <c r="H1003" s="234"/>
      <c r="I1003" s="48"/>
      <c r="J1003" s="48"/>
      <c r="K1003" s="48"/>
      <c r="L1003" s="49"/>
      <c r="M1003" s="49"/>
      <c r="N1003" s="49"/>
      <c r="O1003" s="49"/>
      <c r="P1003" s="49"/>
      <c r="Q1003" s="227"/>
      <c r="R1003" s="228"/>
      <c r="S1003" s="228"/>
      <c r="T1003" s="228"/>
      <c r="U1003" s="191">
        <f t="shared" si="560"/>
        <v>0</v>
      </c>
      <c r="V1003" s="87"/>
      <c r="W1003" s="50"/>
      <c r="Y1003" s="167">
        <f t="shared" si="561"/>
        <v>0</v>
      </c>
      <c r="Z1003" s="167">
        <f t="shared" si="562"/>
        <v>0</v>
      </c>
      <c r="AA1003" s="167">
        <f t="shared" si="563"/>
        <v>0</v>
      </c>
      <c r="AB1003" s="167">
        <f t="shared" si="564"/>
        <v>0</v>
      </c>
      <c r="AC1003" s="167">
        <f t="shared" si="565"/>
        <v>0</v>
      </c>
      <c r="AD1003" s="167">
        <f t="shared" si="566"/>
        <v>0</v>
      </c>
      <c r="AF1003" s="47">
        <f t="shared" si="567"/>
        <v>0</v>
      </c>
    </row>
    <row r="1004" spans="1:32" x14ac:dyDescent="0.35">
      <c r="A1004" s="84"/>
      <c r="B1004" s="84"/>
      <c r="C1004" s="84"/>
      <c r="D1004" s="190"/>
      <c r="E1004" s="84"/>
      <c r="F1004" s="84"/>
      <c r="G1004" s="280"/>
      <c r="H1004" s="234"/>
      <c r="I1004" s="48"/>
      <c r="J1004" s="48"/>
      <c r="K1004" s="48"/>
      <c r="L1004" s="49"/>
      <c r="M1004" s="49"/>
      <c r="N1004" s="49"/>
      <c r="O1004" s="49"/>
      <c r="P1004" s="49"/>
      <c r="Q1004" s="227"/>
      <c r="R1004" s="228"/>
      <c r="S1004" s="228"/>
      <c r="T1004" s="228"/>
      <c r="U1004" s="191">
        <f t="shared" si="560"/>
        <v>0</v>
      </c>
      <c r="V1004" s="87"/>
      <c r="W1004" s="50"/>
      <c r="Y1004" s="167">
        <f t="shared" si="561"/>
        <v>0</v>
      </c>
      <c r="Z1004" s="167">
        <f t="shared" si="562"/>
        <v>0</v>
      </c>
      <c r="AA1004" s="167">
        <f t="shared" si="563"/>
        <v>0</v>
      </c>
      <c r="AB1004" s="167">
        <f t="shared" si="564"/>
        <v>0</v>
      </c>
      <c r="AC1004" s="167">
        <f t="shared" si="565"/>
        <v>0</v>
      </c>
      <c r="AD1004" s="167">
        <f t="shared" si="566"/>
        <v>0</v>
      </c>
      <c r="AF1004" s="47">
        <f t="shared" si="567"/>
        <v>0</v>
      </c>
    </row>
    <row r="1005" spans="1:32" x14ac:dyDescent="0.35">
      <c r="A1005" s="84"/>
      <c r="B1005" s="84"/>
      <c r="C1005" s="84"/>
      <c r="D1005" s="190"/>
      <c r="E1005" s="84"/>
      <c r="F1005" s="84"/>
      <c r="G1005" s="280"/>
      <c r="H1005" s="234"/>
      <c r="I1005" s="48"/>
      <c r="J1005" s="48"/>
      <c r="K1005" s="48"/>
      <c r="L1005" s="49"/>
      <c r="M1005" s="49"/>
      <c r="N1005" s="49"/>
      <c r="O1005" s="49"/>
      <c r="P1005" s="49"/>
      <c r="Q1005" s="227"/>
      <c r="R1005" s="228"/>
      <c r="S1005" s="228"/>
      <c r="T1005" s="228"/>
      <c r="U1005" s="191">
        <f t="shared" si="560"/>
        <v>0</v>
      </c>
      <c r="V1005" s="87"/>
      <c r="W1005" s="50"/>
      <c r="Y1005" s="167">
        <f t="shared" si="561"/>
        <v>0</v>
      </c>
      <c r="Z1005" s="167">
        <f t="shared" si="562"/>
        <v>0</v>
      </c>
      <c r="AA1005" s="167">
        <f t="shared" si="563"/>
        <v>0</v>
      </c>
      <c r="AB1005" s="167">
        <f t="shared" si="564"/>
        <v>0</v>
      </c>
      <c r="AC1005" s="167">
        <f t="shared" si="565"/>
        <v>0</v>
      </c>
      <c r="AD1005" s="167">
        <f t="shared" si="566"/>
        <v>0</v>
      </c>
      <c r="AF1005" s="47">
        <f t="shared" si="567"/>
        <v>0</v>
      </c>
    </row>
    <row r="1006" spans="1:32" x14ac:dyDescent="0.35">
      <c r="A1006" s="84"/>
      <c r="B1006" s="84"/>
      <c r="C1006" s="84"/>
      <c r="D1006" s="190"/>
      <c r="E1006" s="84"/>
      <c r="F1006" s="84"/>
      <c r="G1006" s="280"/>
      <c r="H1006" s="234"/>
      <c r="I1006" s="48"/>
      <c r="J1006" s="48"/>
      <c r="K1006" s="48"/>
      <c r="L1006" s="49"/>
      <c r="M1006" s="49"/>
      <c r="N1006" s="49"/>
      <c r="O1006" s="49"/>
      <c r="P1006" s="49"/>
      <c r="Q1006" s="227"/>
      <c r="R1006" s="228"/>
      <c r="S1006" s="228"/>
      <c r="T1006" s="228"/>
      <c r="U1006" s="191">
        <f t="shared" si="560"/>
        <v>0</v>
      </c>
      <c r="V1006" s="87"/>
      <c r="W1006" s="50"/>
      <c r="Y1006" s="167">
        <f t="shared" si="561"/>
        <v>0</v>
      </c>
      <c r="Z1006" s="167">
        <f t="shared" si="562"/>
        <v>0</v>
      </c>
      <c r="AA1006" s="167">
        <f t="shared" si="563"/>
        <v>0</v>
      </c>
      <c r="AB1006" s="167">
        <f t="shared" si="564"/>
        <v>0</v>
      </c>
      <c r="AC1006" s="167">
        <f t="shared" si="565"/>
        <v>0</v>
      </c>
      <c r="AD1006" s="167">
        <f t="shared" si="566"/>
        <v>0</v>
      </c>
      <c r="AF1006" s="47">
        <f t="shared" si="567"/>
        <v>0</v>
      </c>
    </row>
    <row r="1007" spans="1:32" x14ac:dyDescent="0.35">
      <c r="A1007" s="84"/>
      <c r="B1007" s="84"/>
      <c r="C1007" s="84"/>
      <c r="D1007" s="190"/>
      <c r="E1007" s="84"/>
      <c r="F1007" s="84"/>
      <c r="G1007" s="280"/>
      <c r="H1007" s="234"/>
      <c r="I1007" s="48"/>
      <c r="J1007" s="48"/>
      <c r="K1007" s="48"/>
      <c r="L1007" s="49"/>
      <c r="M1007" s="49"/>
      <c r="N1007" s="49"/>
      <c r="O1007" s="49"/>
      <c r="P1007" s="49"/>
      <c r="Q1007" s="227"/>
      <c r="R1007" s="228"/>
      <c r="S1007" s="228"/>
      <c r="T1007" s="228"/>
      <c r="U1007" s="191">
        <f t="shared" si="560"/>
        <v>0</v>
      </c>
      <c r="V1007" s="87"/>
      <c r="W1007" s="50"/>
      <c r="Y1007" s="167">
        <f t="shared" si="561"/>
        <v>0</v>
      </c>
      <c r="Z1007" s="167">
        <f t="shared" si="562"/>
        <v>0</v>
      </c>
      <c r="AA1007" s="167">
        <f t="shared" si="563"/>
        <v>0</v>
      </c>
      <c r="AB1007" s="167">
        <f t="shared" si="564"/>
        <v>0</v>
      </c>
      <c r="AC1007" s="167">
        <f t="shared" si="565"/>
        <v>0</v>
      </c>
      <c r="AD1007" s="167">
        <f t="shared" si="566"/>
        <v>0</v>
      </c>
      <c r="AF1007" s="47">
        <f t="shared" si="567"/>
        <v>0</v>
      </c>
    </row>
    <row r="1008" spans="1:32" x14ac:dyDescent="0.35">
      <c r="A1008" s="84"/>
      <c r="B1008" s="84"/>
      <c r="C1008" s="84"/>
      <c r="D1008" s="190"/>
      <c r="E1008" s="84"/>
      <c r="F1008" s="84"/>
      <c r="G1008" s="280"/>
      <c r="H1008" s="234"/>
      <c r="I1008" s="48"/>
      <c r="J1008" s="48"/>
      <c r="K1008" s="48"/>
      <c r="L1008" s="49"/>
      <c r="M1008" s="49"/>
      <c r="N1008" s="49"/>
      <c r="O1008" s="49"/>
      <c r="P1008" s="49"/>
      <c r="Q1008" s="227"/>
      <c r="R1008" s="228"/>
      <c r="S1008" s="228"/>
      <c r="T1008" s="228"/>
      <c r="U1008" s="191">
        <f t="shared" si="560"/>
        <v>0</v>
      </c>
      <c r="V1008" s="87"/>
      <c r="W1008" s="50"/>
      <c r="Y1008" s="167">
        <f t="shared" si="561"/>
        <v>0</v>
      </c>
      <c r="Z1008" s="167">
        <f t="shared" si="562"/>
        <v>0</v>
      </c>
      <c r="AA1008" s="167">
        <f t="shared" si="563"/>
        <v>0</v>
      </c>
      <c r="AB1008" s="167">
        <f t="shared" si="564"/>
        <v>0</v>
      </c>
      <c r="AC1008" s="167">
        <f t="shared" si="565"/>
        <v>0</v>
      </c>
      <c r="AD1008" s="167">
        <f t="shared" si="566"/>
        <v>0</v>
      </c>
      <c r="AF1008" s="47">
        <f t="shared" si="567"/>
        <v>0</v>
      </c>
    </row>
    <row r="1009" spans="1:32" x14ac:dyDescent="0.35">
      <c r="A1009" s="84"/>
      <c r="B1009" s="84"/>
      <c r="C1009" s="84"/>
      <c r="D1009" s="190"/>
      <c r="E1009" s="84"/>
      <c r="F1009" s="84"/>
      <c r="G1009" s="280"/>
      <c r="H1009" s="234"/>
      <c r="I1009" s="48"/>
      <c r="J1009" s="48"/>
      <c r="K1009" s="48"/>
      <c r="L1009" s="49"/>
      <c r="M1009" s="49"/>
      <c r="N1009" s="49"/>
      <c r="O1009" s="49"/>
      <c r="P1009" s="49"/>
      <c r="Q1009" s="227"/>
      <c r="R1009" s="228"/>
      <c r="S1009" s="228"/>
      <c r="T1009" s="228"/>
      <c r="U1009" s="191">
        <f t="shared" si="560"/>
        <v>0</v>
      </c>
      <c r="V1009" s="87"/>
      <c r="W1009" s="50"/>
      <c r="Y1009" s="167">
        <f t="shared" si="561"/>
        <v>0</v>
      </c>
      <c r="Z1009" s="167">
        <f t="shared" si="562"/>
        <v>0</v>
      </c>
      <c r="AA1009" s="167">
        <f t="shared" si="563"/>
        <v>0</v>
      </c>
      <c r="AB1009" s="167">
        <f t="shared" si="564"/>
        <v>0</v>
      </c>
      <c r="AC1009" s="167">
        <f t="shared" si="565"/>
        <v>0</v>
      </c>
      <c r="AD1009" s="167">
        <f t="shared" si="566"/>
        <v>0</v>
      </c>
      <c r="AF1009" s="47">
        <f t="shared" si="567"/>
        <v>0</v>
      </c>
    </row>
    <row r="1010" spans="1:32" x14ac:dyDescent="0.35">
      <c r="A1010" s="84"/>
      <c r="B1010" s="84"/>
      <c r="C1010" s="84"/>
      <c r="D1010" s="190"/>
      <c r="E1010" s="84"/>
      <c r="F1010" s="84"/>
      <c r="G1010" s="280"/>
      <c r="H1010" s="234"/>
      <c r="I1010" s="48"/>
      <c r="J1010" s="48"/>
      <c r="K1010" s="48"/>
      <c r="L1010" s="49"/>
      <c r="M1010" s="49"/>
      <c r="N1010" s="49"/>
      <c r="O1010" s="49"/>
      <c r="P1010" s="49"/>
      <c r="Q1010" s="227"/>
      <c r="R1010" s="228"/>
      <c r="S1010" s="228"/>
      <c r="T1010" s="228"/>
      <c r="U1010" s="191">
        <f t="shared" si="560"/>
        <v>0</v>
      </c>
      <c r="V1010" s="87"/>
      <c r="W1010" s="50"/>
      <c r="Y1010" s="167">
        <f t="shared" si="561"/>
        <v>0</v>
      </c>
      <c r="Z1010" s="167">
        <f t="shared" si="562"/>
        <v>0</v>
      </c>
      <c r="AA1010" s="167">
        <f t="shared" si="563"/>
        <v>0</v>
      </c>
      <c r="AB1010" s="167">
        <f t="shared" si="564"/>
        <v>0</v>
      </c>
      <c r="AC1010" s="167">
        <f t="shared" si="565"/>
        <v>0</v>
      </c>
      <c r="AD1010" s="167">
        <f t="shared" si="566"/>
        <v>0</v>
      </c>
      <c r="AF1010" s="47">
        <f t="shared" si="567"/>
        <v>0</v>
      </c>
    </row>
    <row r="1011" spans="1:32" x14ac:dyDescent="0.35">
      <c r="A1011" s="84"/>
      <c r="B1011" s="84"/>
      <c r="C1011" s="84"/>
      <c r="D1011" s="190"/>
      <c r="E1011" s="84"/>
      <c r="F1011" s="84"/>
      <c r="G1011" s="280"/>
      <c r="H1011" s="234"/>
      <c r="I1011" s="48"/>
      <c r="J1011" s="48"/>
      <c r="K1011" s="48"/>
      <c r="L1011" s="49"/>
      <c r="M1011" s="49"/>
      <c r="N1011" s="49"/>
      <c r="O1011" s="49"/>
      <c r="P1011" s="49"/>
      <c r="Q1011" s="227"/>
      <c r="R1011" s="228"/>
      <c r="S1011" s="228"/>
      <c r="T1011" s="228"/>
      <c r="U1011" s="191">
        <f t="shared" si="560"/>
        <v>0</v>
      </c>
      <c r="V1011" s="87"/>
      <c r="W1011" s="50"/>
      <c r="Y1011" s="167">
        <f t="shared" si="561"/>
        <v>0</v>
      </c>
      <c r="Z1011" s="167">
        <f t="shared" si="562"/>
        <v>0</v>
      </c>
      <c r="AA1011" s="167">
        <f t="shared" si="563"/>
        <v>0</v>
      </c>
      <c r="AB1011" s="167">
        <f t="shared" si="564"/>
        <v>0</v>
      </c>
      <c r="AC1011" s="167">
        <f t="shared" si="565"/>
        <v>0</v>
      </c>
      <c r="AD1011" s="167">
        <f t="shared" si="566"/>
        <v>0</v>
      </c>
      <c r="AF1011" s="47">
        <f t="shared" si="567"/>
        <v>0</v>
      </c>
    </row>
    <row r="1012" spans="1:32" x14ac:dyDescent="0.35">
      <c r="A1012" s="84"/>
      <c r="B1012" s="84"/>
      <c r="C1012" s="84"/>
      <c r="D1012" s="190"/>
      <c r="E1012" s="84"/>
      <c r="F1012" s="84"/>
      <c r="G1012" s="280"/>
      <c r="H1012" s="234"/>
      <c r="I1012" s="48"/>
      <c r="J1012" s="48"/>
      <c r="K1012" s="48"/>
      <c r="L1012" s="49"/>
      <c r="M1012" s="49"/>
      <c r="N1012" s="49"/>
      <c r="O1012" s="49"/>
      <c r="P1012" s="49"/>
      <c r="Q1012" s="227"/>
      <c r="R1012" s="228"/>
      <c r="S1012" s="228"/>
      <c r="T1012" s="228"/>
      <c r="U1012" s="191">
        <f t="shared" si="560"/>
        <v>0</v>
      </c>
      <c r="V1012" s="87"/>
      <c r="W1012" s="50"/>
      <c r="Y1012" s="167">
        <f t="shared" si="561"/>
        <v>0</v>
      </c>
      <c r="Z1012" s="167">
        <f t="shared" si="562"/>
        <v>0</v>
      </c>
      <c r="AA1012" s="167">
        <f t="shared" si="563"/>
        <v>0</v>
      </c>
      <c r="AB1012" s="167">
        <f t="shared" si="564"/>
        <v>0</v>
      </c>
      <c r="AC1012" s="167">
        <f t="shared" si="565"/>
        <v>0</v>
      </c>
      <c r="AD1012" s="167">
        <f t="shared" si="566"/>
        <v>0</v>
      </c>
      <c r="AF1012" s="47">
        <f t="shared" si="567"/>
        <v>0</v>
      </c>
    </row>
    <row r="1013" spans="1:32" x14ac:dyDescent="0.35">
      <c r="A1013" s="84"/>
      <c r="B1013" s="84"/>
      <c r="C1013" s="84"/>
      <c r="D1013" s="190"/>
      <c r="E1013" s="84"/>
      <c r="F1013" s="84"/>
      <c r="G1013" s="280"/>
      <c r="H1013" s="234"/>
      <c r="I1013" s="48"/>
      <c r="J1013" s="48"/>
      <c r="K1013" s="48"/>
      <c r="L1013" s="49"/>
      <c r="M1013" s="49"/>
      <c r="N1013" s="49"/>
      <c r="O1013" s="49"/>
      <c r="P1013" s="49"/>
      <c r="Q1013" s="227"/>
      <c r="R1013" s="228"/>
      <c r="S1013" s="228"/>
      <c r="T1013" s="228"/>
      <c r="U1013" s="191">
        <f t="shared" si="560"/>
        <v>0</v>
      </c>
      <c r="V1013" s="87"/>
      <c r="W1013" s="50"/>
      <c r="Y1013" s="167">
        <f t="shared" si="561"/>
        <v>0</v>
      </c>
      <c r="Z1013" s="167">
        <f t="shared" si="562"/>
        <v>0</v>
      </c>
      <c r="AA1013" s="167">
        <f t="shared" si="563"/>
        <v>0</v>
      </c>
      <c r="AB1013" s="167">
        <f t="shared" si="564"/>
        <v>0</v>
      </c>
      <c r="AC1013" s="167">
        <f t="shared" si="565"/>
        <v>0</v>
      </c>
      <c r="AD1013" s="167">
        <f t="shared" si="566"/>
        <v>0</v>
      </c>
      <c r="AF1013" s="47">
        <f t="shared" si="567"/>
        <v>0</v>
      </c>
    </row>
    <row r="1014" spans="1:32" x14ac:dyDescent="0.35">
      <c r="A1014" s="84"/>
      <c r="B1014" s="84"/>
      <c r="C1014" s="84"/>
      <c r="D1014" s="190"/>
      <c r="E1014" s="84"/>
      <c r="F1014" s="84"/>
      <c r="G1014" s="280"/>
      <c r="H1014" s="234"/>
      <c r="I1014" s="48"/>
      <c r="J1014" s="48"/>
      <c r="K1014" s="48"/>
      <c r="L1014" s="49"/>
      <c r="M1014" s="49"/>
      <c r="N1014" s="49"/>
      <c r="O1014" s="49"/>
      <c r="P1014" s="49"/>
      <c r="Q1014" s="227"/>
      <c r="R1014" s="228"/>
      <c r="S1014" s="228"/>
      <c r="T1014" s="228"/>
      <c r="U1014" s="191">
        <f t="shared" si="560"/>
        <v>0</v>
      </c>
      <c r="V1014" s="87"/>
      <c r="W1014" s="50"/>
      <c r="Y1014" s="167">
        <f t="shared" si="561"/>
        <v>0</v>
      </c>
      <c r="Z1014" s="167">
        <f t="shared" si="562"/>
        <v>0</v>
      </c>
      <c r="AA1014" s="167">
        <f t="shared" si="563"/>
        <v>0</v>
      </c>
      <c r="AB1014" s="167">
        <f t="shared" si="564"/>
        <v>0</v>
      </c>
      <c r="AC1014" s="167">
        <f t="shared" si="565"/>
        <v>0</v>
      </c>
      <c r="AD1014" s="167">
        <f t="shared" si="566"/>
        <v>0</v>
      </c>
      <c r="AF1014" s="47">
        <f t="shared" si="567"/>
        <v>0</v>
      </c>
    </row>
    <row r="1015" spans="1:32" x14ac:dyDescent="0.35">
      <c r="A1015" s="84"/>
      <c r="B1015" s="84"/>
      <c r="C1015" s="84"/>
      <c r="D1015" s="190"/>
      <c r="E1015" s="84"/>
      <c r="F1015" s="84"/>
      <c r="G1015" s="280"/>
      <c r="H1015" s="234"/>
      <c r="I1015" s="48"/>
      <c r="J1015" s="48"/>
      <c r="K1015" s="48"/>
      <c r="L1015" s="49"/>
      <c r="M1015" s="49"/>
      <c r="N1015" s="49"/>
      <c r="O1015" s="49"/>
      <c r="P1015" s="49"/>
      <c r="Q1015" s="227"/>
      <c r="R1015" s="228"/>
      <c r="S1015" s="228"/>
      <c r="T1015" s="228"/>
      <c r="U1015" s="191">
        <f t="shared" si="560"/>
        <v>0</v>
      </c>
      <c r="V1015" s="87"/>
      <c r="W1015" s="50"/>
      <c r="Y1015" s="167">
        <f t="shared" si="561"/>
        <v>0</v>
      </c>
      <c r="Z1015" s="167">
        <f t="shared" si="562"/>
        <v>0</v>
      </c>
      <c r="AA1015" s="167">
        <f t="shared" si="563"/>
        <v>0</v>
      </c>
      <c r="AB1015" s="167">
        <f t="shared" si="564"/>
        <v>0</v>
      </c>
      <c r="AC1015" s="167">
        <f t="shared" si="565"/>
        <v>0</v>
      </c>
      <c r="AD1015" s="167">
        <f t="shared" si="566"/>
        <v>0</v>
      </c>
      <c r="AF1015" s="47">
        <f t="shared" si="567"/>
        <v>0</v>
      </c>
    </row>
    <row r="1016" spans="1:32" x14ac:dyDescent="0.35">
      <c r="A1016" s="84"/>
      <c r="B1016" s="84"/>
      <c r="C1016" s="84"/>
      <c r="D1016" s="190"/>
      <c r="E1016" s="84"/>
      <c r="F1016" s="84"/>
      <c r="G1016" s="280"/>
      <c r="H1016" s="234"/>
      <c r="I1016" s="48"/>
      <c r="J1016" s="48"/>
      <c r="K1016" s="48"/>
      <c r="L1016" s="49"/>
      <c r="M1016" s="49"/>
      <c r="N1016" s="49"/>
      <c r="O1016" s="49"/>
      <c r="P1016" s="49"/>
      <c r="Q1016" s="227"/>
      <c r="R1016" s="228"/>
      <c r="S1016" s="228"/>
      <c r="T1016" s="228"/>
      <c r="U1016" s="191">
        <f t="shared" si="560"/>
        <v>0</v>
      </c>
      <c r="V1016" s="87"/>
      <c r="W1016" s="50"/>
      <c r="Y1016" s="167">
        <f t="shared" si="561"/>
        <v>0</v>
      </c>
      <c r="Z1016" s="167">
        <f t="shared" si="562"/>
        <v>0</v>
      </c>
      <c r="AA1016" s="167">
        <f t="shared" si="563"/>
        <v>0</v>
      </c>
      <c r="AB1016" s="167">
        <f t="shared" si="564"/>
        <v>0</v>
      </c>
      <c r="AC1016" s="167">
        <f t="shared" si="565"/>
        <v>0</v>
      </c>
      <c r="AD1016" s="167">
        <f t="shared" si="566"/>
        <v>0</v>
      </c>
      <c r="AF1016" s="47">
        <f t="shared" si="567"/>
        <v>0</v>
      </c>
    </row>
    <row r="1017" spans="1:32" x14ac:dyDescent="0.35">
      <c r="A1017" s="84"/>
      <c r="B1017" s="84"/>
      <c r="C1017" s="84"/>
      <c r="D1017" s="190"/>
      <c r="E1017" s="84"/>
      <c r="F1017" s="84"/>
      <c r="G1017" s="280"/>
      <c r="H1017" s="234"/>
      <c r="I1017" s="48"/>
      <c r="J1017" s="48"/>
      <c r="K1017" s="48"/>
      <c r="L1017" s="49"/>
      <c r="M1017" s="49"/>
      <c r="N1017" s="49"/>
      <c r="O1017" s="49"/>
      <c r="P1017" s="49"/>
      <c r="Q1017" s="227"/>
      <c r="R1017" s="228"/>
      <c r="S1017" s="228"/>
      <c r="T1017" s="228"/>
      <c r="U1017" s="191">
        <f t="shared" ref="U1017:U1080" si="568">IF(Q1017="",0,IF(T1017="",0,+S1017-T1017))</f>
        <v>0</v>
      </c>
      <c r="V1017" s="87"/>
      <c r="W1017" s="50"/>
      <c r="Y1017" s="167">
        <f t="shared" ref="Y1017:Y1080" si="569">IF(G1017=2,S1017,0)</f>
        <v>0</v>
      </c>
      <c r="Z1017" s="167">
        <f t="shared" ref="Z1017:Z1080" si="570">IF(Q1017="",0,IF(G1017=2,T1017,0))</f>
        <v>0</v>
      </c>
      <c r="AA1017" s="167">
        <f t="shared" ref="AA1017:AA1080" si="571">Y1017-Z1017</f>
        <v>0</v>
      </c>
      <c r="AB1017" s="167">
        <f t="shared" ref="AB1017:AB1080" si="572">IF(G1017=1,S1017,0)</f>
        <v>0</v>
      </c>
      <c r="AC1017" s="167">
        <f t="shared" ref="AC1017:AC1080" si="573">IF(Q1017="",0,IF(G1017=1,T1017,0))</f>
        <v>0</v>
      </c>
      <c r="AD1017" s="167">
        <f t="shared" ref="AD1017:AD1080" si="574">AB1017-AC1017</f>
        <v>0</v>
      </c>
      <c r="AF1017" s="47">
        <f t="shared" si="567"/>
        <v>0</v>
      </c>
    </row>
    <row r="1018" spans="1:32" x14ac:dyDescent="0.35">
      <c r="A1018" s="84"/>
      <c r="B1018" s="84"/>
      <c r="C1018" s="84"/>
      <c r="D1018" s="190"/>
      <c r="E1018" s="84"/>
      <c r="F1018" s="84"/>
      <c r="G1018" s="280"/>
      <c r="H1018" s="234"/>
      <c r="I1018" s="48"/>
      <c r="J1018" s="48"/>
      <c r="K1018" s="48"/>
      <c r="L1018" s="49"/>
      <c r="M1018" s="49"/>
      <c r="N1018" s="49"/>
      <c r="O1018" s="49"/>
      <c r="P1018" s="49"/>
      <c r="Q1018" s="227"/>
      <c r="R1018" s="228"/>
      <c r="S1018" s="228"/>
      <c r="T1018" s="228"/>
      <c r="U1018" s="191">
        <f t="shared" si="568"/>
        <v>0</v>
      </c>
      <c r="V1018" s="87"/>
      <c r="W1018" s="50"/>
      <c r="Y1018" s="167">
        <f t="shared" si="569"/>
        <v>0</v>
      </c>
      <c r="Z1018" s="167">
        <f t="shared" si="570"/>
        <v>0</v>
      </c>
      <c r="AA1018" s="167">
        <f t="shared" si="571"/>
        <v>0</v>
      </c>
      <c r="AB1018" s="167">
        <f t="shared" si="572"/>
        <v>0</v>
      </c>
      <c r="AC1018" s="167">
        <f t="shared" si="573"/>
        <v>0</v>
      </c>
      <c r="AD1018" s="167">
        <f t="shared" si="574"/>
        <v>0</v>
      </c>
      <c r="AF1018" s="47">
        <f t="shared" si="567"/>
        <v>0</v>
      </c>
    </row>
    <row r="1019" spans="1:32" x14ac:dyDescent="0.35">
      <c r="A1019" s="84"/>
      <c r="B1019" s="84"/>
      <c r="C1019" s="84"/>
      <c r="D1019" s="190"/>
      <c r="E1019" s="84"/>
      <c r="F1019" s="84"/>
      <c r="G1019" s="280"/>
      <c r="H1019" s="234"/>
      <c r="I1019" s="48"/>
      <c r="J1019" s="48"/>
      <c r="K1019" s="48"/>
      <c r="L1019" s="49"/>
      <c r="M1019" s="49"/>
      <c r="N1019" s="49"/>
      <c r="O1019" s="49"/>
      <c r="P1019" s="49"/>
      <c r="Q1019" s="227"/>
      <c r="R1019" s="228"/>
      <c r="S1019" s="228"/>
      <c r="T1019" s="228"/>
      <c r="U1019" s="191">
        <f t="shared" si="568"/>
        <v>0</v>
      </c>
      <c r="V1019" s="87"/>
      <c r="W1019" s="50"/>
      <c r="Y1019" s="167">
        <f t="shared" si="569"/>
        <v>0</v>
      </c>
      <c r="Z1019" s="167">
        <f t="shared" si="570"/>
        <v>0</v>
      </c>
      <c r="AA1019" s="167">
        <f t="shared" si="571"/>
        <v>0</v>
      </c>
      <c r="AB1019" s="167">
        <f t="shared" si="572"/>
        <v>0</v>
      </c>
      <c r="AC1019" s="167">
        <f t="shared" si="573"/>
        <v>0</v>
      </c>
      <c r="AD1019" s="167">
        <f t="shared" si="574"/>
        <v>0</v>
      </c>
      <c r="AF1019" s="47">
        <f t="shared" si="567"/>
        <v>0</v>
      </c>
    </row>
    <row r="1020" spans="1:32" x14ac:dyDescent="0.35">
      <c r="A1020" s="84"/>
      <c r="B1020" s="84"/>
      <c r="C1020" s="84"/>
      <c r="D1020" s="190"/>
      <c r="E1020" s="84"/>
      <c r="F1020" s="84"/>
      <c r="G1020" s="280"/>
      <c r="H1020" s="234"/>
      <c r="I1020" s="48"/>
      <c r="J1020" s="48"/>
      <c r="K1020" s="48"/>
      <c r="L1020" s="49"/>
      <c r="M1020" s="49"/>
      <c r="N1020" s="49"/>
      <c r="O1020" s="49"/>
      <c r="P1020" s="49"/>
      <c r="Q1020" s="227"/>
      <c r="R1020" s="228"/>
      <c r="S1020" s="228"/>
      <c r="T1020" s="228"/>
      <c r="U1020" s="191">
        <f t="shared" si="568"/>
        <v>0</v>
      </c>
      <c r="V1020" s="87"/>
      <c r="W1020" s="50"/>
      <c r="Y1020" s="167">
        <f t="shared" si="569"/>
        <v>0</v>
      </c>
      <c r="Z1020" s="167">
        <f t="shared" si="570"/>
        <v>0</v>
      </c>
      <c r="AA1020" s="167">
        <f t="shared" si="571"/>
        <v>0</v>
      </c>
      <c r="AB1020" s="167">
        <f t="shared" si="572"/>
        <v>0</v>
      </c>
      <c r="AC1020" s="167">
        <f t="shared" si="573"/>
        <v>0</v>
      </c>
      <c r="AD1020" s="167">
        <f t="shared" si="574"/>
        <v>0</v>
      </c>
      <c r="AF1020" s="47">
        <f t="shared" si="567"/>
        <v>0</v>
      </c>
    </row>
    <row r="1021" spans="1:32" x14ac:dyDescent="0.35">
      <c r="A1021" s="84"/>
      <c r="B1021" s="84"/>
      <c r="C1021" s="84"/>
      <c r="D1021" s="190"/>
      <c r="E1021" s="84"/>
      <c r="F1021" s="84"/>
      <c r="G1021" s="280"/>
      <c r="H1021" s="234"/>
      <c r="I1021" s="48"/>
      <c r="J1021" s="48"/>
      <c r="K1021" s="48"/>
      <c r="L1021" s="49"/>
      <c r="M1021" s="49"/>
      <c r="N1021" s="49"/>
      <c r="O1021" s="49"/>
      <c r="P1021" s="49"/>
      <c r="Q1021" s="227"/>
      <c r="R1021" s="228"/>
      <c r="S1021" s="228"/>
      <c r="T1021" s="228"/>
      <c r="U1021" s="191">
        <f t="shared" si="568"/>
        <v>0</v>
      </c>
      <c r="V1021" s="87"/>
      <c r="W1021" s="50"/>
      <c r="Y1021" s="167">
        <f t="shared" si="569"/>
        <v>0</v>
      </c>
      <c r="Z1021" s="167">
        <f t="shared" si="570"/>
        <v>0</v>
      </c>
      <c r="AA1021" s="167">
        <f t="shared" si="571"/>
        <v>0</v>
      </c>
      <c r="AB1021" s="167">
        <f t="shared" si="572"/>
        <v>0</v>
      </c>
      <c r="AC1021" s="167">
        <f t="shared" si="573"/>
        <v>0</v>
      </c>
      <c r="AD1021" s="167">
        <f t="shared" si="574"/>
        <v>0</v>
      </c>
      <c r="AF1021" s="47">
        <f t="shared" si="567"/>
        <v>0</v>
      </c>
    </row>
    <row r="1022" spans="1:32" x14ac:dyDescent="0.35">
      <c r="A1022" s="84"/>
      <c r="B1022" s="84"/>
      <c r="C1022" s="84"/>
      <c r="D1022" s="190"/>
      <c r="E1022" s="84"/>
      <c r="F1022" s="84"/>
      <c r="G1022" s="280"/>
      <c r="H1022" s="234"/>
      <c r="I1022" s="48"/>
      <c r="J1022" s="48"/>
      <c r="K1022" s="48"/>
      <c r="L1022" s="49"/>
      <c r="M1022" s="49"/>
      <c r="N1022" s="49"/>
      <c r="O1022" s="49"/>
      <c r="P1022" s="49"/>
      <c r="Q1022" s="227"/>
      <c r="R1022" s="228"/>
      <c r="S1022" s="228"/>
      <c r="T1022" s="228"/>
      <c r="U1022" s="191">
        <f t="shared" si="568"/>
        <v>0</v>
      </c>
      <c r="V1022" s="87"/>
      <c r="W1022" s="50"/>
      <c r="Y1022" s="167">
        <f t="shared" si="569"/>
        <v>0</v>
      </c>
      <c r="Z1022" s="167">
        <f t="shared" si="570"/>
        <v>0</v>
      </c>
      <c r="AA1022" s="167">
        <f t="shared" si="571"/>
        <v>0</v>
      </c>
      <c r="AB1022" s="167">
        <f t="shared" si="572"/>
        <v>0</v>
      </c>
      <c r="AC1022" s="167">
        <f t="shared" si="573"/>
        <v>0</v>
      </c>
      <c r="AD1022" s="167">
        <f t="shared" si="574"/>
        <v>0</v>
      </c>
      <c r="AF1022" s="47">
        <f t="shared" si="567"/>
        <v>0</v>
      </c>
    </row>
    <row r="1023" spans="1:32" x14ac:dyDescent="0.35">
      <c r="A1023" s="84"/>
      <c r="B1023" s="84"/>
      <c r="C1023" s="84"/>
      <c r="D1023" s="190"/>
      <c r="E1023" s="84"/>
      <c r="F1023" s="84"/>
      <c r="G1023" s="280"/>
      <c r="H1023" s="234"/>
      <c r="I1023" s="48"/>
      <c r="J1023" s="48"/>
      <c r="K1023" s="48"/>
      <c r="L1023" s="49"/>
      <c r="M1023" s="49"/>
      <c r="N1023" s="49"/>
      <c r="O1023" s="49"/>
      <c r="P1023" s="49"/>
      <c r="Q1023" s="227"/>
      <c r="R1023" s="228"/>
      <c r="S1023" s="228"/>
      <c r="T1023" s="228"/>
      <c r="U1023" s="191">
        <f t="shared" si="568"/>
        <v>0</v>
      </c>
      <c r="V1023" s="87"/>
      <c r="W1023" s="50"/>
      <c r="Y1023" s="167">
        <f t="shared" si="569"/>
        <v>0</v>
      </c>
      <c r="Z1023" s="167">
        <f t="shared" si="570"/>
        <v>0</v>
      </c>
      <c r="AA1023" s="167">
        <f t="shared" si="571"/>
        <v>0</v>
      </c>
      <c r="AB1023" s="167">
        <f t="shared" si="572"/>
        <v>0</v>
      </c>
      <c r="AC1023" s="167">
        <f t="shared" si="573"/>
        <v>0</v>
      </c>
      <c r="AD1023" s="167">
        <f t="shared" si="574"/>
        <v>0</v>
      </c>
      <c r="AF1023" s="47">
        <f t="shared" si="567"/>
        <v>0</v>
      </c>
    </row>
    <row r="1024" spans="1:32" x14ac:dyDescent="0.35">
      <c r="A1024" s="84"/>
      <c r="B1024" s="84"/>
      <c r="C1024" s="84"/>
      <c r="D1024" s="190"/>
      <c r="E1024" s="84"/>
      <c r="F1024" s="84"/>
      <c r="G1024" s="280"/>
      <c r="H1024" s="234"/>
      <c r="I1024" s="48"/>
      <c r="J1024" s="48"/>
      <c r="K1024" s="48"/>
      <c r="L1024" s="49"/>
      <c r="M1024" s="49"/>
      <c r="N1024" s="49"/>
      <c r="O1024" s="49"/>
      <c r="P1024" s="49"/>
      <c r="Q1024" s="227"/>
      <c r="R1024" s="228"/>
      <c r="S1024" s="228"/>
      <c r="T1024" s="228"/>
      <c r="U1024" s="191">
        <f t="shared" si="568"/>
        <v>0</v>
      </c>
      <c r="V1024" s="87"/>
      <c r="W1024" s="50"/>
      <c r="Y1024" s="167">
        <f t="shared" si="569"/>
        <v>0</v>
      </c>
      <c r="Z1024" s="167">
        <f t="shared" si="570"/>
        <v>0</v>
      </c>
      <c r="AA1024" s="167">
        <f t="shared" si="571"/>
        <v>0</v>
      </c>
      <c r="AB1024" s="167">
        <f t="shared" si="572"/>
        <v>0</v>
      </c>
      <c r="AC1024" s="167">
        <f t="shared" si="573"/>
        <v>0</v>
      </c>
      <c r="AD1024" s="167">
        <f t="shared" si="574"/>
        <v>0</v>
      </c>
      <c r="AF1024" s="47">
        <f t="shared" si="567"/>
        <v>0</v>
      </c>
    </row>
    <row r="1025" spans="1:32" x14ac:dyDescent="0.35">
      <c r="A1025" s="84"/>
      <c r="B1025" s="84"/>
      <c r="C1025" s="84"/>
      <c r="D1025" s="190"/>
      <c r="E1025" s="84"/>
      <c r="F1025" s="84"/>
      <c r="G1025" s="280"/>
      <c r="H1025" s="234"/>
      <c r="I1025" s="48"/>
      <c r="J1025" s="48"/>
      <c r="K1025" s="48"/>
      <c r="L1025" s="49"/>
      <c r="M1025" s="49"/>
      <c r="N1025" s="49"/>
      <c r="O1025" s="49"/>
      <c r="P1025" s="49"/>
      <c r="Q1025" s="227"/>
      <c r="R1025" s="228"/>
      <c r="S1025" s="228"/>
      <c r="T1025" s="228"/>
      <c r="U1025" s="191">
        <f t="shared" si="568"/>
        <v>0</v>
      </c>
      <c r="V1025" s="87"/>
      <c r="W1025" s="50"/>
      <c r="Y1025" s="167">
        <f t="shared" si="569"/>
        <v>0</v>
      </c>
      <c r="Z1025" s="167">
        <f t="shared" si="570"/>
        <v>0</v>
      </c>
      <c r="AA1025" s="167">
        <f t="shared" si="571"/>
        <v>0</v>
      </c>
      <c r="AB1025" s="167">
        <f t="shared" si="572"/>
        <v>0</v>
      </c>
      <c r="AC1025" s="167">
        <f t="shared" si="573"/>
        <v>0</v>
      </c>
      <c r="AD1025" s="167">
        <f t="shared" si="574"/>
        <v>0</v>
      </c>
      <c r="AF1025" s="47">
        <f t="shared" si="567"/>
        <v>0</v>
      </c>
    </row>
    <row r="1026" spans="1:32" x14ac:dyDescent="0.35">
      <c r="A1026" s="84"/>
      <c r="B1026" s="84"/>
      <c r="C1026" s="84"/>
      <c r="D1026" s="190"/>
      <c r="E1026" s="84"/>
      <c r="F1026" s="84"/>
      <c r="G1026" s="280"/>
      <c r="H1026" s="234"/>
      <c r="I1026" s="48"/>
      <c r="J1026" s="48"/>
      <c r="K1026" s="48"/>
      <c r="L1026" s="49"/>
      <c r="M1026" s="49"/>
      <c r="N1026" s="49"/>
      <c r="O1026" s="49"/>
      <c r="P1026" s="49"/>
      <c r="Q1026" s="227"/>
      <c r="R1026" s="228"/>
      <c r="S1026" s="228"/>
      <c r="T1026" s="228"/>
      <c r="U1026" s="191">
        <f t="shared" si="568"/>
        <v>0</v>
      </c>
      <c r="V1026" s="87"/>
      <c r="W1026" s="50"/>
      <c r="Y1026" s="167">
        <f t="shared" si="569"/>
        <v>0</v>
      </c>
      <c r="Z1026" s="167">
        <f t="shared" si="570"/>
        <v>0</v>
      </c>
      <c r="AA1026" s="167">
        <f t="shared" si="571"/>
        <v>0</v>
      </c>
      <c r="AB1026" s="167">
        <f t="shared" si="572"/>
        <v>0</v>
      </c>
      <c r="AC1026" s="167">
        <f t="shared" si="573"/>
        <v>0</v>
      </c>
      <c r="AD1026" s="167">
        <f t="shared" si="574"/>
        <v>0</v>
      </c>
      <c r="AF1026" s="47">
        <f t="shared" si="567"/>
        <v>0</v>
      </c>
    </row>
    <row r="1027" spans="1:32" x14ac:dyDescent="0.35">
      <c r="A1027" s="84"/>
      <c r="B1027" s="84"/>
      <c r="C1027" s="84"/>
      <c r="D1027" s="190"/>
      <c r="E1027" s="84"/>
      <c r="F1027" s="84"/>
      <c r="G1027" s="280"/>
      <c r="H1027" s="234"/>
      <c r="I1027" s="48"/>
      <c r="J1027" s="48"/>
      <c r="K1027" s="48"/>
      <c r="L1027" s="49"/>
      <c r="M1027" s="49"/>
      <c r="N1027" s="49"/>
      <c r="O1027" s="49"/>
      <c r="P1027" s="49"/>
      <c r="Q1027" s="227"/>
      <c r="R1027" s="228"/>
      <c r="S1027" s="228"/>
      <c r="T1027" s="228"/>
      <c r="U1027" s="191">
        <f t="shared" si="568"/>
        <v>0</v>
      </c>
      <c r="V1027" s="87"/>
      <c r="W1027" s="50"/>
      <c r="Y1027" s="167">
        <f t="shared" si="569"/>
        <v>0</v>
      </c>
      <c r="Z1027" s="167">
        <f t="shared" si="570"/>
        <v>0</v>
      </c>
      <c r="AA1027" s="167">
        <f t="shared" si="571"/>
        <v>0</v>
      </c>
      <c r="AB1027" s="167">
        <f t="shared" si="572"/>
        <v>0</v>
      </c>
      <c r="AC1027" s="167">
        <f t="shared" si="573"/>
        <v>0</v>
      </c>
      <c r="AD1027" s="167">
        <f t="shared" si="574"/>
        <v>0</v>
      </c>
      <c r="AF1027" s="47">
        <f t="shared" si="567"/>
        <v>0</v>
      </c>
    </row>
    <row r="1028" spans="1:32" x14ac:dyDescent="0.35">
      <c r="A1028" s="84"/>
      <c r="B1028" s="84"/>
      <c r="C1028" s="84"/>
      <c r="D1028" s="190"/>
      <c r="E1028" s="84"/>
      <c r="F1028" s="84"/>
      <c r="G1028" s="280"/>
      <c r="H1028" s="234"/>
      <c r="I1028" s="48"/>
      <c r="J1028" s="48"/>
      <c r="K1028" s="48"/>
      <c r="L1028" s="49"/>
      <c r="M1028" s="49"/>
      <c r="N1028" s="49"/>
      <c r="O1028" s="49"/>
      <c r="P1028" s="49"/>
      <c r="Q1028" s="227"/>
      <c r="R1028" s="228"/>
      <c r="S1028" s="228"/>
      <c r="T1028" s="228"/>
      <c r="U1028" s="191">
        <f t="shared" si="568"/>
        <v>0</v>
      </c>
      <c r="V1028" s="87"/>
      <c r="W1028" s="50"/>
      <c r="Y1028" s="167">
        <f t="shared" si="569"/>
        <v>0</v>
      </c>
      <c r="Z1028" s="167">
        <f t="shared" si="570"/>
        <v>0</v>
      </c>
      <c r="AA1028" s="167">
        <f t="shared" si="571"/>
        <v>0</v>
      </c>
      <c r="AB1028" s="167">
        <f t="shared" si="572"/>
        <v>0</v>
      </c>
      <c r="AC1028" s="167">
        <f t="shared" si="573"/>
        <v>0</v>
      </c>
      <c r="AD1028" s="167">
        <f t="shared" si="574"/>
        <v>0</v>
      </c>
      <c r="AF1028" s="47">
        <f t="shared" si="567"/>
        <v>0</v>
      </c>
    </row>
    <row r="1029" spans="1:32" x14ac:dyDescent="0.35">
      <c r="A1029" s="84"/>
      <c r="B1029" s="84"/>
      <c r="C1029" s="84"/>
      <c r="D1029" s="190"/>
      <c r="E1029" s="84"/>
      <c r="F1029" s="84"/>
      <c r="G1029" s="280"/>
      <c r="H1029" s="234"/>
      <c r="I1029" s="48"/>
      <c r="J1029" s="48"/>
      <c r="K1029" s="48"/>
      <c r="L1029" s="49"/>
      <c r="M1029" s="49"/>
      <c r="N1029" s="49"/>
      <c r="O1029" s="49"/>
      <c r="P1029" s="49"/>
      <c r="Q1029" s="227"/>
      <c r="R1029" s="228"/>
      <c r="S1029" s="228"/>
      <c r="T1029" s="228"/>
      <c r="U1029" s="191">
        <f t="shared" si="568"/>
        <v>0</v>
      </c>
      <c r="V1029" s="87"/>
      <c r="W1029" s="50"/>
      <c r="Y1029" s="167">
        <f t="shared" si="569"/>
        <v>0</v>
      </c>
      <c r="Z1029" s="167">
        <f t="shared" si="570"/>
        <v>0</v>
      </c>
      <c r="AA1029" s="167">
        <f t="shared" si="571"/>
        <v>0</v>
      </c>
      <c r="AB1029" s="167">
        <f t="shared" si="572"/>
        <v>0</v>
      </c>
      <c r="AC1029" s="167">
        <f t="shared" si="573"/>
        <v>0</v>
      </c>
      <c r="AD1029" s="167">
        <f t="shared" si="574"/>
        <v>0</v>
      </c>
      <c r="AF1029" s="47">
        <f t="shared" si="567"/>
        <v>0</v>
      </c>
    </row>
    <row r="1030" spans="1:32" x14ac:dyDescent="0.35">
      <c r="A1030" s="84"/>
      <c r="B1030" s="84"/>
      <c r="C1030" s="84"/>
      <c r="D1030" s="190"/>
      <c r="E1030" s="84"/>
      <c r="F1030" s="84"/>
      <c r="G1030" s="280"/>
      <c r="H1030" s="234"/>
      <c r="I1030" s="48"/>
      <c r="J1030" s="48"/>
      <c r="K1030" s="48"/>
      <c r="L1030" s="49"/>
      <c r="M1030" s="49"/>
      <c r="N1030" s="49"/>
      <c r="O1030" s="49"/>
      <c r="P1030" s="49"/>
      <c r="Q1030" s="227"/>
      <c r="R1030" s="228"/>
      <c r="S1030" s="228"/>
      <c r="T1030" s="228"/>
      <c r="U1030" s="191">
        <f t="shared" si="568"/>
        <v>0</v>
      </c>
      <c r="V1030" s="87"/>
      <c r="W1030" s="50"/>
      <c r="Y1030" s="167">
        <f t="shared" si="569"/>
        <v>0</v>
      </c>
      <c r="Z1030" s="167">
        <f t="shared" si="570"/>
        <v>0</v>
      </c>
      <c r="AA1030" s="167">
        <f t="shared" si="571"/>
        <v>0</v>
      </c>
      <c r="AB1030" s="167">
        <f t="shared" si="572"/>
        <v>0</v>
      </c>
      <c r="AC1030" s="167">
        <f t="shared" si="573"/>
        <v>0</v>
      </c>
      <c r="AD1030" s="167">
        <f t="shared" si="574"/>
        <v>0</v>
      </c>
      <c r="AF1030" s="47">
        <f t="shared" si="567"/>
        <v>0</v>
      </c>
    </row>
    <row r="1031" spans="1:32" x14ac:dyDescent="0.35">
      <c r="A1031" s="84"/>
      <c r="B1031" s="84"/>
      <c r="C1031" s="84"/>
      <c r="D1031" s="190"/>
      <c r="E1031" s="84"/>
      <c r="F1031" s="84"/>
      <c r="G1031" s="280"/>
      <c r="H1031" s="234"/>
      <c r="I1031" s="48"/>
      <c r="J1031" s="48"/>
      <c r="K1031" s="48"/>
      <c r="L1031" s="49"/>
      <c r="M1031" s="49"/>
      <c r="N1031" s="49"/>
      <c r="O1031" s="49"/>
      <c r="P1031" s="49"/>
      <c r="Q1031" s="227"/>
      <c r="R1031" s="228"/>
      <c r="S1031" s="228"/>
      <c r="T1031" s="228"/>
      <c r="U1031" s="191">
        <f t="shared" si="568"/>
        <v>0</v>
      </c>
      <c r="V1031" s="87"/>
      <c r="W1031" s="50"/>
      <c r="Y1031" s="167">
        <f t="shared" si="569"/>
        <v>0</v>
      </c>
      <c r="Z1031" s="167">
        <f t="shared" si="570"/>
        <v>0</v>
      </c>
      <c r="AA1031" s="167">
        <f t="shared" si="571"/>
        <v>0</v>
      </c>
      <c r="AB1031" s="167">
        <f t="shared" si="572"/>
        <v>0</v>
      </c>
      <c r="AC1031" s="167">
        <f t="shared" si="573"/>
        <v>0</v>
      </c>
      <c r="AD1031" s="167">
        <f t="shared" si="574"/>
        <v>0</v>
      </c>
      <c r="AF1031" s="47">
        <f t="shared" si="567"/>
        <v>0</v>
      </c>
    </row>
    <row r="1032" spans="1:32" x14ac:dyDescent="0.35">
      <c r="A1032" s="84"/>
      <c r="B1032" s="84"/>
      <c r="C1032" s="84"/>
      <c r="D1032" s="190"/>
      <c r="E1032" s="84"/>
      <c r="F1032" s="84"/>
      <c r="G1032" s="280"/>
      <c r="H1032" s="234"/>
      <c r="I1032" s="48"/>
      <c r="J1032" s="48"/>
      <c r="K1032" s="48"/>
      <c r="L1032" s="49"/>
      <c r="M1032" s="49"/>
      <c r="N1032" s="49"/>
      <c r="O1032" s="49"/>
      <c r="P1032" s="49"/>
      <c r="Q1032" s="227"/>
      <c r="R1032" s="228"/>
      <c r="S1032" s="228"/>
      <c r="T1032" s="228"/>
      <c r="U1032" s="191">
        <f t="shared" si="568"/>
        <v>0</v>
      </c>
      <c r="V1032" s="87"/>
      <c r="W1032" s="50"/>
      <c r="Y1032" s="167">
        <f t="shared" si="569"/>
        <v>0</v>
      </c>
      <c r="Z1032" s="167">
        <f t="shared" si="570"/>
        <v>0</v>
      </c>
      <c r="AA1032" s="167">
        <f t="shared" si="571"/>
        <v>0</v>
      </c>
      <c r="AB1032" s="167">
        <f t="shared" si="572"/>
        <v>0</v>
      </c>
      <c r="AC1032" s="167">
        <f t="shared" si="573"/>
        <v>0</v>
      </c>
      <c r="AD1032" s="167">
        <f t="shared" si="574"/>
        <v>0</v>
      </c>
      <c r="AF1032" s="47">
        <f t="shared" si="567"/>
        <v>0</v>
      </c>
    </row>
    <row r="1033" spans="1:32" x14ac:dyDescent="0.35">
      <c r="A1033" s="84"/>
      <c r="B1033" s="84"/>
      <c r="C1033" s="84"/>
      <c r="D1033" s="190"/>
      <c r="E1033" s="84"/>
      <c r="F1033" s="84"/>
      <c r="G1033" s="280"/>
      <c r="H1033" s="234"/>
      <c r="I1033" s="48"/>
      <c r="J1033" s="48"/>
      <c r="K1033" s="48"/>
      <c r="L1033" s="49"/>
      <c r="M1033" s="49"/>
      <c r="N1033" s="49"/>
      <c r="O1033" s="49"/>
      <c r="P1033" s="49"/>
      <c r="Q1033" s="227"/>
      <c r="R1033" s="228"/>
      <c r="S1033" s="228"/>
      <c r="T1033" s="228"/>
      <c r="U1033" s="191">
        <f t="shared" si="568"/>
        <v>0</v>
      </c>
      <c r="V1033" s="87"/>
      <c r="W1033" s="50"/>
      <c r="Y1033" s="167">
        <f t="shared" si="569"/>
        <v>0</v>
      </c>
      <c r="Z1033" s="167">
        <f t="shared" si="570"/>
        <v>0</v>
      </c>
      <c r="AA1033" s="167">
        <f t="shared" si="571"/>
        <v>0</v>
      </c>
      <c r="AB1033" s="167">
        <f t="shared" si="572"/>
        <v>0</v>
      </c>
      <c r="AC1033" s="167">
        <f t="shared" si="573"/>
        <v>0</v>
      </c>
      <c r="AD1033" s="167">
        <f t="shared" si="574"/>
        <v>0</v>
      </c>
      <c r="AF1033" s="47">
        <f t="shared" si="567"/>
        <v>0</v>
      </c>
    </row>
    <row r="1034" spans="1:32" x14ac:dyDescent="0.35">
      <c r="A1034" s="84"/>
      <c r="B1034" s="84"/>
      <c r="C1034" s="84"/>
      <c r="D1034" s="190"/>
      <c r="E1034" s="84"/>
      <c r="F1034" s="84"/>
      <c r="G1034" s="280"/>
      <c r="H1034" s="234"/>
      <c r="I1034" s="48"/>
      <c r="J1034" s="48"/>
      <c r="K1034" s="48"/>
      <c r="L1034" s="49"/>
      <c r="M1034" s="49"/>
      <c r="N1034" s="49"/>
      <c r="O1034" s="49"/>
      <c r="P1034" s="49"/>
      <c r="Q1034" s="227"/>
      <c r="R1034" s="228"/>
      <c r="S1034" s="228"/>
      <c r="T1034" s="228"/>
      <c r="U1034" s="191">
        <f t="shared" si="568"/>
        <v>0</v>
      </c>
      <c r="V1034" s="87"/>
      <c r="W1034" s="50"/>
      <c r="Y1034" s="167">
        <f t="shared" si="569"/>
        <v>0</v>
      </c>
      <c r="Z1034" s="167">
        <f t="shared" si="570"/>
        <v>0</v>
      </c>
      <c r="AA1034" s="167">
        <f t="shared" si="571"/>
        <v>0</v>
      </c>
      <c r="AB1034" s="167">
        <f t="shared" si="572"/>
        <v>0</v>
      </c>
      <c r="AC1034" s="167">
        <f t="shared" si="573"/>
        <v>0</v>
      </c>
      <c r="AD1034" s="167">
        <f t="shared" si="574"/>
        <v>0</v>
      </c>
      <c r="AF1034" s="47">
        <f t="shared" si="567"/>
        <v>0</v>
      </c>
    </row>
    <row r="1035" spans="1:32" x14ac:dyDescent="0.35">
      <c r="A1035" s="84"/>
      <c r="B1035" s="84"/>
      <c r="C1035" s="84"/>
      <c r="D1035" s="190"/>
      <c r="E1035" s="84"/>
      <c r="F1035" s="84"/>
      <c r="G1035" s="280"/>
      <c r="H1035" s="234"/>
      <c r="I1035" s="48"/>
      <c r="J1035" s="48"/>
      <c r="K1035" s="48"/>
      <c r="L1035" s="49"/>
      <c r="M1035" s="49"/>
      <c r="N1035" s="49"/>
      <c r="O1035" s="49"/>
      <c r="P1035" s="49"/>
      <c r="Q1035" s="227"/>
      <c r="R1035" s="228"/>
      <c r="S1035" s="228"/>
      <c r="T1035" s="228"/>
      <c r="U1035" s="191">
        <f t="shared" si="568"/>
        <v>0</v>
      </c>
      <c r="V1035" s="87"/>
      <c r="W1035" s="50"/>
      <c r="Y1035" s="167">
        <f t="shared" si="569"/>
        <v>0</v>
      </c>
      <c r="Z1035" s="167">
        <f t="shared" si="570"/>
        <v>0</v>
      </c>
      <c r="AA1035" s="167">
        <f t="shared" si="571"/>
        <v>0</v>
      </c>
      <c r="AB1035" s="167">
        <f t="shared" si="572"/>
        <v>0</v>
      </c>
      <c r="AC1035" s="167">
        <f t="shared" si="573"/>
        <v>0</v>
      </c>
      <c r="AD1035" s="167">
        <f t="shared" si="574"/>
        <v>0</v>
      </c>
      <c r="AF1035" s="47">
        <f t="shared" si="567"/>
        <v>0</v>
      </c>
    </row>
    <row r="1036" spans="1:32" x14ac:dyDescent="0.35">
      <c r="A1036" s="84"/>
      <c r="B1036" s="84"/>
      <c r="C1036" s="84"/>
      <c r="D1036" s="190"/>
      <c r="E1036" s="84"/>
      <c r="F1036" s="84"/>
      <c r="G1036" s="280"/>
      <c r="H1036" s="234"/>
      <c r="I1036" s="48"/>
      <c r="J1036" s="48"/>
      <c r="K1036" s="48"/>
      <c r="L1036" s="49"/>
      <c r="M1036" s="49"/>
      <c r="N1036" s="49"/>
      <c r="O1036" s="49"/>
      <c r="P1036" s="49"/>
      <c r="Q1036" s="227"/>
      <c r="R1036" s="228"/>
      <c r="S1036" s="228"/>
      <c r="T1036" s="228"/>
      <c r="U1036" s="191">
        <f t="shared" si="568"/>
        <v>0</v>
      </c>
      <c r="V1036" s="87"/>
      <c r="W1036" s="50"/>
      <c r="Y1036" s="167">
        <f t="shared" si="569"/>
        <v>0</v>
      </c>
      <c r="Z1036" s="167">
        <f t="shared" si="570"/>
        <v>0</v>
      </c>
      <c r="AA1036" s="167">
        <f t="shared" si="571"/>
        <v>0</v>
      </c>
      <c r="AB1036" s="167">
        <f t="shared" si="572"/>
        <v>0</v>
      </c>
      <c r="AC1036" s="167">
        <f t="shared" si="573"/>
        <v>0</v>
      </c>
      <c r="AD1036" s="167">
        <f t="shared" si="574"/>
        <v>0</v>
      </c>
      <c r="AF1036" s="47">
        <f t="shared" si="567"/>
        <v>0</v>
      </c>
    </row>
    <row r="1037" spans="1:32" x14ac:dyDescent="0.35">
      <c r="A1037" s="84"/>
      <c r="B1037" s="84"/>
      <c r="C1037" s="84"/>
      <c r="D1037" s="190"/>
      <c r="E1037" s="84"/>
      <c r="F1037" s="84"/>
      <c r="G1037" s="280"/>
      <c r="H1037" s="234"/>
      <c r="I1037" s="48"/>
      <c r="J1037" s="48"/>
      <c r="K1037" s="48"/>
      <c r="L1037" s="49"/>
      <c r="M1037" s="49"/>
      <c r="N1037" s="49"/>
      <c r="O1037" s="49"/>
      <c r="P1037" s="49"/>
      <c r="Q1037" s="227"/>
      <c r="R1037" s="228"/>
      <c r="S1037" s="228"/>
      <c r="T1037" s="228"/>
      <c r="U1037" s="191">
        <f t="shared" si="568"/>
        <v>0</v>
      </c>
      <c r="V1037" s="87"/>
      <c r="W1037" s="50"/>
      <c r="Y1037" s="167">
        <f t="shared" si="569"/>
        <v>0</v>
      </c>
      <c r="Z1037" s="167">
        <f t="shared" si="570"/>
        <v>0</v>
      </c>
      <c r="AA1037" s="167">
        <f t="shared" si="571"/>
        <v>0</v>
      </c>
      <c r="AB1037" s="167">
        <f t="shared" si="572"/>
        <v>0</v>
      </c>
      <c r="AC1037" s="167">
        <f t="shared" si="573"/>
        <v>0</v>
      </c>
      <c r="AD1037" s="167">
        <f t="shared" si="574"/>
        <v>0</v>
      </c>
      <c r="AF1037" s="47">
        <f t="shared" si="567"/>
        <v>0</v>
      </c>
    </row>
    <row r="1038" spans="1:32" x14ac:dyDescent="0.35">
      <c r="A1038" s="84"/>
      <c r="B1038" s="84"/>
      <c r="C1038" s="84"/>
      <c r="D1038" s="190"/>
      <c r="E1038" s="84"/>
      <c r="F1038" s="84"/>
      <c r="G1038" s="280"/>
      <c r="H1038" s="234"/>
      <c r="I1038" s="48"/>
      <c r="J1038" s="48"/>
      <c r="K1038" s="48"/>
      <c r="L1038" s="49"/>
      <c r="M1038" s="49"/>
      <c r="N1038" s="49"/>
      <c r="O1038" s="49"/>
      <c r="P1038" s="49"/>
      <c r="Q1038" s="227"/>
      <c r="R1038" s="228"/>
      <c r="S1038" s="228"/>
      <c r="T1038" s="228"/>
      <c r="U1038" s="191">
        <f t="shared" si="568"/>
        <v>0</v>
      </c>
      <c r="V1038" s="87"/>
      <c r="W1038" s="50"/>
      <c r="Y1038" s="167">
        <f t="shared" si="569"/>
        <v>0</v>
      </c>
      <c r="Z1038" s="167">
        <f t="shared" si="570"/>
        <v>0</v>
      </c>
      <c r="AA1038" s="167">
        <f t="shared" si="571"/>
        <v>0</v>
      </c>
      <c r="AB1038" s="167">
        <f t="shared" si="572"/>
        <v>0</v>
      </c>
      <c r="AC1038" s="167">
        <f t="shared" si="573"/>
        <v>0</v>
      </c>
      <c r="AD1038" s="167">
        <f t="shared" si="574"/>
        <v>0</v>
      </c>
      <c r="AF1038" s="47">
        <f t="shared" si="567"/>
        <v>0</v>
      </c>
    </row>
    <row r="1039" spans="1:32" x14ac:dyDescent="0.35">
      <c r="A1039" s="84"/>
      <c r="B1039" s="84"/>
      <c r="C1039" s="84"/>
      <c r="D1039" s="190"/>
      <c r="E1039" s="84"/>
      <c r="F1039" s="84"/>
      <c r="G1039" s="280"/>
      <c r="H1039" s="234"/>
      <c r="I1039" s="48"/>
      <c r="J1039" s="48"/>
      <c r="K1039" s="48"/>
      <c r="L1039" s="49"/>
      <c r="M1039" s="49"/>
      <c r="N1039" s="49"/>
      <c r="O1039" s="49"/>
      <c r="P1039" s="49"/>
      <c r="Q1039" s="227"/>
      <c r="R1039" s="228"/>
      <c r="S1039" s="228"/>
      <c r="T1039" s="228"/>
      <c r="U1039" s="191">
        <f t="shared" si="568"/>
        <v>0</v>
      </c>
      <c r="V1039" s="87"/>
      <c r="W1039" s="50"/>
      <c r="Y1039" s="167">
        <f t="shared" si="569"/>
        <v>0</v>
      </c>
      <c r="Z1039" s="167">
        <f t="shared" si="570"/>
        <v>0</v>
      </c>
      <c r="AA1039" s="167">
        <f t="shared" si="571"/>
        <v>0</v>
      </c>
      <c r="AB1039" s="167">
        <f t="shared" si="572"/>
        <v>0</v>
      </c>
      <c r="AC1039" s="167">
        <f t="shared" si="573"/>
        <v>0</v>
      </c>
      <c r="AD1039" s="167">
        <f t="shared" si="574"/>
        <v>0</v>
      </c>
      <c r="AF1039" s="47">
        <f t="shared" si="567"/>
        <v>0</v>
      </c>
    </row>
    <row r="1040" spans="1:32" x14ac:dyDescent="0.35">
      <c r="A1040" s="84"/>
      <c r="B1040" s="84"/>
      <c r="C1040" s="84"/>
      <c r="D1040" s="190"/>
      <c r="E1040" s="84"/>
      <c r="F1040" s="84"/>
      <c r="G1040" s="280"/>
      <c r="H1040" s="234"/>
      <c r="I1040" s="48"/>
      <c r="J1040" s="48"/>
      <c r="K1040" s="48"/>
      <c r="L1040" s="49"/>
      <c r="M1040" s="49"/>
      <c r="N1040" s="49"/>
      <c r="O1040" s="49"/>
      <c r="P1040" s="49"/>
      <c r="Q1040" s="227"/>
      <c r="R1040" s="228"/>
      <c r="S1040" s="228"/>
      <c r="T1040" s="228"/>
      <c r="U1040" s="191">
        <f t="shared" si="568"/>
        <v>0</v>
      </c>
      <c r="V1040" s="87"/>
      <c r="W1040" s="50"/>
      <c r="Y1040" s="167">
        <f t="shared" si="569"/>
        <v>0</v>
      </c>
      <c r="Z1040" s="167">
        <f t="shared" si="570"/>
        <v>0</v>
      </c>
      <c r="AA1040" s="167">
        <f t="shared" si="571"/>
        <v>0</v>
      </c>
      <c r="AB1040" s="167">
        <f t="shared" si="572"/>
        <v>0</v>
      </c>
      <c r="AC1040" s="167">
        <f t="shared" si="573"/>
        <v>0</v>
      </c>
      <c r="AD1040" s="167">
        <f t="shared" si="574"/>
        <v>0</v>
      </c>
      <c r="AF1040" s="47">
        <f t="shared" si="567"/>
        <v>0</v>
      </c>
    </row>
    <row r="1041" spans="1:32" x14ac:dyDescent="0.35">
      <c r="A1041" s="84"/>
      <c r="B1041" s="84"/>
      <c r="C1041" s="84"/>
      <c r="D1041" s="190"/>
      <c r="E1041" s="84"/>
      <c r="F1041" s="84"/>
      <c r="G1041" s="280"/>
      <c r="H1041" s="234"/>
      <c r="I1041" s="48"/>
      <c r="J1041" s="48"/>
      <c r="K1041" s="48"/>
      <c r="L1041" s="49"/>
      <c r="M1041" s="49"/>
      <c r="N1041" s="49"/>
      <c r="O1041" s="49"/>
      <c r="P1041" s="49"/>
      <c r="Q1041" s="227"/>
      <c r="R1041" s="228"/>
      <c r="S1041" s="228"/>
      <c r="T1041" s="228"/>
      <c r="U1041" s="191">
        <f t="shared" si="568"/>
        <v>0</v>
      </c>
      <c r="V1041" s="87"/>
      <c r="W1041" s="50"/>
      <c r="Y1041" s="167">
        <f t="shared" si="569"/>
        <v>0</v>
      </c>
      <c r="Z1041" s="167">
        <f t="shared" si="570"/>
        <v>0</v>
      </c>
      <c r="AA1041" s="167">
        <f t="shared" si="571"/>
        <v>0</v>
      </c>
      <c r="AB1041" s="167">
        <f t="shared" si="572"/>
        <v>0</v>
      </c>
      <c r="AC1041" s="167">
        <f t="shared" si="573"/>
        <v>0</v>
      </c>
      <c r="AD1041" s="167">
        <f t="shared" si="574"/>
        <v>0</v>
      </c>
      <c r="AF1041" s="47">
        <f t="shared" si="567"/>
        <v>0</v>
      </c>
    </row>
    <row r="1042" spans="1:32" x14ac:dyDescent="0.35">
      <c r="A1042" s="84"/>
      <c r="B1042" s="84"/>
      <c r="C1042" s="84"/>
      <c r="D1042" s="190"/>
      <c r="E1042" s="84"/>
      <c r="F1042" s="84"/>
      <c r="G1042" s="280"/>
      <c r="H1042" s="234"/>
      <c r="I1042" s="48"/>
      <c r="J1042" s="48"/>
      <c r="K1042" s="48"/>
      <c r="L1042" s="49"/>
      <c r="M1042" s="49"/>
      <c r="N1042" s="49"/>
      <c r="O1042" s="49"/>
      <c r="P1042" s="49"/>
      <c r="Q1042" s="227"/>
      <c r="R1042" s="228"/>
      <c r="S1042" s="228"/>
      <c r="T1042" s="228"/>
      <c r="U1042" s="191">
        <f t="shared" si="568"/>
        <v>0</v>
      </c>
      <c r="V1042" s="87"/>
      <c r="W1042" s="50"/>
      <c r="Y1042" s="167">
        <f t="shared" si="569"/>
        <v>0</v>
      </c>
      <c r="Z1042" s="167">
        <f t="shared" si="570"/>
        <v>0</v>
      </c>
      <c r="AA1042" s="167">
        <f t="shared" si="571"/>
        <v>0</v>
      </c>
      <c r="AB1042" s="167">
        <f t="shared" si="572"/>
        <v>0</v>
      </c>
      <c r="AC1042" s="167">
        <f t="shared" si="573"/>
        <v>0</v>
      </c>
      <c r="AD1042" s="167">
        <f t="shared" si="574"/>
        <v>0</v>
      </c>
      <c r="AF1042" s="47">
        <f t="shared" si="567"/>
        <v>0</v>
      </c>
    </row>
    <row r="1043" spans="1:32" x14ac:dyDescent="0.35">
      <c r="A1043" s="84"/>
      <c r="B1043" s="84"/>
      <c r="C1043" s="84"/>
      <c r="D1043" s="190"/>
      <c r="E1043" s="84"/>
      <c r="F1043" s="84"/>
      <c r="G1043" s="280"/>
      <c r="H1043" s="234"/>
      <c r="I1043" s="48"/>
      <c r="J1043" s="48"/>
      <c r="K1043" s="48"/>
      <c r="L1043" s="49"/>
      <c r="M1043" s="49"/>
      <c r="N1043" s="49"/>
      <c r="O1043" s="49"/>
      <c r="P1043" s="49"/>
      <c r="Q1043" s="227"/>
      <c r="R1043" s="228"/>
      <c r="S1043" s="228"/>
      <c r="T1043" s="228"/>
      <c r="U1043" s="191">
        <f t="shared" si="568"/>
        <v>0</v>
      </c>
      <c r="V1043" s="87"/>
      <c r="W1043" s="50"/>
      <c r="Y1043" s="167">
        <f t="shared" si="569"/>
        <v>0</v>
      </c>
      <c r="Z1043" s="167">
        <f t="shared" si="570"/>
        <v>0</v>
      </c>
      <c r="AA1043" s="167">
        <f t="shared" si="571"/>
        <v>0</v>
      </c>
      <c r="AB1043" s="167">
        <f t="shared" si="572"/>
        <v>0</v>
      </c>
      <c r="AC1043" s="167">
        <f t="shared" si="573"/>
        <v>0</v>
      </c>
      <c r="AD1043" s="167">
        <f t="shared" si="574"/>
        <v>0</v>
      </c>
      <c r="AF1043" s="47">
        <f t="shared" si="567"/>
        <v>0</v>
      </c>
    </row>
    <row r="1044" spans="1:32" x14ac:dyDescent="0.35">
      <c r="A1044" s="84"/>
      <c r="B1044" s="84"/>
      <c r="C1044" s="84"/>
      <c r="D1044" s="190"/>
      <c r="E1044" s="84"/>
      <c r="F1044" s="84"/>
      <c r="G1044" s="280"/>
      <c r="H1044" s="234"/>
      <c r="I1044" s="48"/>
      <c r="J1044" s="48"/>
      <c r="K1044" s="48"/>
      <c r="L1044" s="49"/>
      <c r="M1044" s="49"/>
      <c r="N1044" s="49"/>
      <c r="O1044" s="49"/>
      <c r="P1044" s="49"/>
      <c r="Q1044" s="227"/>
      <c r="R1044" s="228"/>
      <c r="S1044" s="228"/>
      <c r="T1044" s="228"/>
      <c r="U1044" s="191">
        <f t="shared" si="568"/>
        <v>0</v>
      </c>
      <c r="V1044" s="87"/>
      <c r="W1044" s="50"/>
      <c r="Y1044" s="167">
        <f t="shared" si="569"/>
        <v>0</v>
      </c>
      <c r="Z1044" s="167">
        <f t="shared" si="570"/>
        <v>0</v>
      </c>
      <c r="AA1044" s="167">
        <f t="shared" si="571"/>
        <v>0</v>
      </c>
      <c r="AB1044" s="167">
        <f t="shared" si="572"/>
        <v>0</v>
      </c>
      <c r="AC1044" s="167">
        <f t="shared" si="573"/>
        <v>0</v>
      </c>
      <c r="AD1044" s="167">
        <f t="shared" si="574"/>
        <v>0</v>
      </c>
      <c r="AF1044" s="47">
        <f t="shared" ref="AF1044:AF1103" si="575">IF(S1044&lt;&gt;"",1,0)</f>
        <v>0</v>
      </c>
    </row>
    <row r="1045" spans="1:32" x14ac:dyDescent="0.35">
      <c r="A1045" s="84"/>
      <c r="B1045" s="84"/>
      <c r="C1045" s="84"/>
      <c r="D1045" s="190"/>
      <c r="E1045" s="84"/>
      <c r="F1045" s="84"/>
      <c r="G1045" s="280"/>
      <c r="H1045" s="234"/>
      <c r="I1045" s="48"/>
      <c r="J1045" s="48"/>
      <c r="K1045" s="48"/>
      <c r="L1045" s="49"/>
      <c r="M1045" s="49"/>
      <c r="N1045" s="49"/>
      <c r="O1045" s="49"/>
      <c r="P1045" s="49"/>
      <c r="Q1045" s="227"/>
      <c r="R1045" s="228"/>
      <c r="S1045" s="228"/>
      <c r="T1045" s="228"/>
      <c r="U1045" s="191">
        <f t="shared" si="568"/>
        <v>0</v>
      </c>
      <c r="V1045" s="87"/>
      <c r="W1045" s="50"/>
      <c r="Y1045" s="167">
        <f t="shared" si="569"/>
        <v>0</v>
      </c>
      <c r="Z1045" s="167">
        <f t="shared" si="570"/>
        <v>0</v>
      </c>
      <c r="AA1045" s="167">
        <f t="shared" si="571"/>
        <v>0</v>
      </c>
      <c r="AB1045" s="167">
        <f t="shared" si="572"/>
        <v>0</v>
      </c>
      <c r="AC1045" s="167">
        <f t="shared" si="573"/>
        <v>0</v>
      </c>
      <c r="AD1045" s="167">
        <f t="shared" si="574"/>
        <v>0</v>
      </c>
      <c r="AF1045" s="47">
        <f t="shared" si="575"/>
        <v>0</v>
      </c>
    </row>
    <row r="1046" spans="1:32" x14ac:dyDescent="0.35">
      <c r="A1046" s="84"/>
      <c r="B1046" s="84"/>
      <c r="C1046" s="84"/>
      <c r="D1046" s="190"/>
      <c r="E1046" s="84"/>
      <c r="F1046" s="84"/>
      <c r="G1046" s="280"/>
      <c r="H1046" s="234"/>
      <c r="I1046" s="48"/>
      <c r="J1046" s="48"/>
      <c r="K1046" s="48"/>
      <c r="L1046" s="49"/>
      <c r="M1046" s="49"/>
      <c r="N1046" s="49"/>
      <c r="O1046" s="49"/>
      <c r="P1046" s="49"/>
      <c r="Q1046" s="227"/>
      <c r="R1046" s="228"/>
      <c r="S1046" s="228"/>
      <c r="T1046" s="228"/>
      <c r="U1046" s="191">
        <f t="shared" si="568"/>
        <v>0</v>
      </c>
      <c r="V1046" s="87"/>
      <c r="W1046" s="50"/>
      <c r="Y1046" s="167">
        <f t="shared" si="569"/>
        <v>0</v>
      </c>
      <c r="Z1046" s="167">
        <f t="shared" si="570"/>
        <v>0</v>
      </c>
      <c r="AA1046" s="167">
        <f t="shared" si="571"/>
        <v>0</v>
      </c>
      <c r="AB1046" s="167">
        <f t="shared" si="572"/>
        <v>0</v>
      </c>
      <c r="AC1046" s="167">
        <f t="shared" si="573"/>
        <v>0</v>
      </c>
      <c r="AD1046" s="167">
        <f t="shared" si="574"/>
        <v>0</v>
      </c>
      <c r="AF1046" s="47">
        <f t="shared" si="575"/>
        <v>0</v>
      </c>
    </row>
    <row r="1047" spans="1:32" x14ac:dyDescent="0.35">
      <c r="A1047" s="84"/>
      <c r="B1047" s="84"/>
      <c r="C1047" s="84"/>
      <c r="D1047" s="190"/>
      <c r="E1047" s="84"/>
      <c r="F1047" s="84"/>
      <c r="G1047" s="280"/>
      <c r="H1047" s="234"/>
      <c r="I1047" s="48"/>
      <c r="J1047" s="48"/>
      <c r="K1047" s="48"/>
      <c r="L1047" s="49"/>
      <c r="M1047" s="49"/>
      <c r="N1047" s="49"/>
      <c r="O1047" s="49"/>
      <c r="P1047" s="49"/>
      <c r="Q1047" s="227"/>
      <c r="R1047" s="228"/>
      <c r="S1047" s="228"/>
      <c r="T1047" s="228"/>
      <c r="U1047" s="191">
        <f t="shared" si="568"/>
        <v>0</v>
      </c>
      <c r="V1047" s="87"/>
      <c r="W1047" s="50"/>
      <c r="Y1047" s="167">
        <f t="shared" si="569"/>
        <v>0</v>
      </c>
      <c r="Z1047" s="167">
        <f t="shared" si="570"/>
        <v>0</v>
      </c>
      <c r="AA1047" s="167">
        <f t="shared" si="571"/>
        <v>0</v>
      </c>
      <c r="AB1047" s="167">
        <f t="shared" si="572"/>
        <v>0</v>
      </c>
      <c r="AC1047" s="167">
        <f t="shared" si="573"/>
        <v>0</v>
      </c>
      <c r="AD1047" s="167">
        <f t="shared" si="574"/>
        <v>0</v>
      </c>
      <c r="AF1047" s="47">
        <f t="shared" si="575"/>
        <v>0</v>
      </c>
    </row>
    <row r="1048" spans="1:32" x14ac:dyDescent="0.35">
      <c r="A1048" s="84"/>
      <c r="B1048" s="84"/>
      <c r="C1048" s="84"/>
      <c r="D1048" s="190"/>
      <c r="E1048" s="84"/>
      <c r="F1048" s="84"/>
      <c r="G1048" s="280"/>
      <c r="H1048" s="234"/>
      <c r="I1048" s="48"/>
      <c r="J1048" s="48"/>
      <c r="K1048" s="48"/>
      <c r="L1048" s="49"/>
      <c r="M1048" s="49"/>
      <c r="N1048" s="49"/>
      <c r="O1048" s="49"/>
      <c r="P1048" s="49"/>
      <c r="Q1048" s="227"/>
      <c r="R1048" s="228"/>
      <c r="S1048" s="228"/>
      <c r="T1048" s="228"/>
      <c r="U1048" s="191">
        <f t="shared" si="568"/>
        <v>0</v>
      </c>
      <c r="V1048" s="87"/>
      <c r="W1048" s="50"/>
      <c r="Y1048" s="167">
        <f t="shared" si="569"/>
        <v>0</v>
      </c>
      <c r="Z1048" s="167">
        <f t="shared" si="570"/>
        <v>0</v>
      </c>
      <c r="AA1048" s="167">
        <f t="shared" si="571"/>
        <v>0</v>
      </c>
      <c r="AB1048" s="167">
        <f t="shared" si="572"/>
        <v>0</v>
      </c>
      <c r="AC1048" s="167">
        <f t="shared" si="573"/>
        <v>0</v>
      </c>
      <c r="AD1048" s="167">
        <f t="shared" si="574"/>
        <v>0</v>
      </c>
      <c r="AF1048" s="47">
        <f t="shared" si="575"/>
        <v>0</v>
      </c>
    </row>
    <row r="1049" spans="1:32" x14ac:dyDescent="0.35">
      <c r="A1049" s="84"/>
      <c r="B1049" s="84"/>
      <c r="C1049" s="84"/>
      <c r="D1049" s="190"/>
      <c r="E1049" s="84"/>
      <c r="F1049" s="84"/>
      <c r="G1049" s="280"/>
      <c r="H1049" s="234"/>
      <c r="I1049" s="48"/>
      <c r="J1049" s="48"/>
      <c r="K1049" s="48"/>
      <c r="L1049" s="49"/>
      <c r="M1049" s="49"/>
      <c r="N1049" s="49"/>
      <c r="O1049" s="49"/>
      <c r="P1049" s="49"/>
      <c r="Q1049" s="227"/>
      <c r="R1049" s="228"/>
      <c r="S1049" s="228"/>
      <c r="T1049" s="228"/>
      <c r="U1049" s="191">
        <f t="shared" si="568"/>
        <v>0</v>
      </c>
      <c r="V1049" s="87"/>
      <c r="W1049" s="50"/>
      <c r="Y1049" s="167">
        <f t="shared" si="569"/>
        <v>0</v>
      </c>
      <c r="Z1049" s="167">
        <f t="shared" si="570"/>
        <v>0</v>
      </c>
      <c r="AA1049" s="167">
        <f t="shared" si="571"/>
        <v>0</v>
      </c>
      <c r="AB1049" s="167">
        <f t="shared" si="572"/>
        <v>0</v>
      </c>
      <c r="AC1049" s="167">
        <f t="shared" si="573"/>
        <v>0</v>
      </c>
      <c r="AD1049" s="167">
        <f t="shared" si="574"/>
        <v>0</v>
      </c>
      <c r="AF1049" s="47">
        <f t="shared" si="575"/>
        <v>0</v>
      </c>
    </row>
    <row r="1050" spans="1:32" x14ac:dyDescent="0.35">
      <c r="A1050" s="84"/>
      <c r="B1050" s="84"/>
      <c r="C1050" s="84"/>
      <c r="D1050" s="190"/>
      <c r="E1050" s="84"/>
      <c r="F1050" s="84"/>
      <c r="G1050" s="280"/>
      <c r="H1050" s="234"/>
      <c r="I1050" s="48"/>
      <c r="J1050" s="48"/>
      <c r="K1050" s="48"/>
      <c r="L1050" s="49"/>
      <c r="M1050" s="49"/>
      <c r="N1050" s="49"/>
      <c r="O1050" s="49"/>
      <c r="P1050" s="49"/>
      <c r="Q1050" s="227"/>
      <c r="R1050" s="228"/>
      <c r="S1050" s="228"/>
      <c r="T1050" s="228"/>
      <c r="U1050" s="191">
        <f t="shared" si="568"/>
        <v>0</v>
      </c>
      <c r="V1050" s="87"/>
      <c r="W1050" s="50"/>
      <c r="Y1050" s="167">
        <f t="shared" si="569"/>
        <v>0</v>
      </c>
      <c r="Z1050" s="167">
        <f t="shared" si="570"/>
        <v>0</v>
      </c>
      <c r="AA1050" s="167">
        <f t="shared" si="571"/>
        <v>0</v>
      </c>
      <c r="AB1050" s="167">
        <f t="shared" si="572"/>
        <v>0</v>
      </c>
      <c r="AC1050" s="167">
        <f t="shared" si="573"/>
        <v>0</v>
      </c>
      <c r="AD1050" s="167">
        <f t="shared" si="574"/>
        <v>0</v>
      </c>
      <c r="AF1050" s="47">
        <f t="shared" si="575"/>
        <v>0</v>
      </c>
    </row>
    <row r="1051" spans="1:32" x14ac:dyDescent="0.35">
      <c r="A1051" s="84"/>
      <c r="B1051" s="84"/>
      <c r="C1051" s="84"/>
      <c r="D1051" s="190"/>
      <c r="E1051" s="84"/>
      <c r="F1051" s="84"/>
      <c r="G1051" s="280"/>
      <c r="H1051" s="234"/>
      <c r="I1051" s="48"/>
      <c r="J1051" s="48"/>
      <c r="K1051" s="48"/>
      <c r="L1051" s="49"/>
      <c r="M1051" s="49"/>
      <c r="N1051" s="49"/>
      <c r="O1051" s="49"/>
      <c r="P1051" s="49"/>
      <c r="Q1051" s="227"/>
      <c r="R1051" s="228"/>
      <c r="S1051" s="228"/>
      <c r="T1051" s="228"/>
      <c r="U1051" s="191">
        <f t="shared" si="568"/>
        <v>0</v>
      </c>
      <c r="V1051" s="87"/>
      <c r="W1051" s="50"/>
      <c r="Y1051" s="167">
        <f t="shared" si="569"/>
        <v>0</v>
      </c>
      <c r="Z1051" s="167">
        <f t="shared" si="570"/>
        <v>0</v>
      </c>
      <c r="AA1051" s="167">
        <f t="shared" si="571"/>
        <v>0</v>
      </c>
      <c r="AB1051" s="167">
        <f t="shared" si="572"/>
        <v>0</v>
      </c>
      <c r="AC1051" s="167">
        <f t="shared" si="573"/>
        <v>0</v>
      </c>
      <c r="AD1051" s="167">
        <f t="shared" si="574"/>
        <v>0</v>
      </c>
      <c r="AF1051" s="47">
        <f t="shared" si="575"/>
        <v>0</v>
      </c>
    </row>
    <row r="1052" spans="1:32" x14ac:dyDescent="0.35">
      <c r="A1052" s="84"/>
      <c r="B1052" s="84"/>
      <c r="C1052" s="84"/>
      <c r="D1052" s="190"/>
      <c r="E1052" s="84"/>
      <c r="F1052" s="84"/>
      <c r="G1052" s="280"/>
      <c r="H1052" s="234"/>
      <c r="I1052" s="48"/>
      <c r="J1052" s="48"/>
      <c r="K1052" s="48"/>
      <c r="L1052" s="49"/>
      <c r="M1052" s="49"/>
      <c r="N1052" s="49"/>
      <c r="O1052" s="49"/>
      <c r="P1052" s="49"/>
      <c r="Q1052" s="227"/>
      <c r="R1052" s="228"/>
      <c r="S1052" s="228"/>
      <c r="T1052" s="228"/>
      <c r="U1052" s="191">
        <f t="shared" si="568"/>
        <v>0</v>
      </c>
      <c r="V1052" s="87"/>
      <c r="W1052" s="50"/>
      <c r="Y1052" s="167">
        <f t="shared" si="569"/>
        <v>0</v>
      </c>
      <c r="Z1052" s="167">
        <f t="shared" si="570"/>
        <v>0</v>
      </c>
      <c r="AA1052" s="167">
        <f t="shared" si="571"/>
        <v>0</v>
      </c>
      <c r="AB1052" s="167">
        <f t="shared" si="572"/>
        <v>0</v>
      </c>
      <c r="AC1052" s="167">
        <f t="shared" si="573"/>
        <v>0</v>
      </c>
      <c r="AD1052" s="167">
        <f t="shared" si="574"/>
        <v>0</v>
      </c>
      <c r="AF1052" s="47">
        <f t="shared" si="575"/>
        <v>0</v>
      </c>
    </row>
    <row r="1053" spans="1:32" x14ac:dyDescent="0.35">
      <c r="A1053" s="84"/>
      <c r="B1053" s="84"/>
      <c r="C1053" s="84"/>
      <c r="D1053" s="190"/>
      <c r="E1053" s="84"/>
      <c r="F1053" s="84"/>
      <c r="G1053" s="280"/>
      <c r="H1053" s="234"/>
      <c r="I1053" s="48"/>
      <c r="J1053" s="48"/>
      <c r="K1053" s="48"/>
      <c r="L1053" s="49"/>
      <c r="M1053" s="49"/>
      <c r="N1053" s="49"/>
      <c r="O1053" s="49"/>
      <c r="P1053" s="49"/>
      <c r="Q1053" s="227"/>
      <c r="R1053" s="228"/>
      <c r="S1053" s="228"/>
      <c r="T1053" s="228"/>
      <c r="U1053" s="191">
        <f t="shared" si="568"/>
        <v>0</v>
      </c>
      <c r="V1053" s="87"/>
      <c r="W1053" s="50"/>
      <c r="Y1053" s="167">
        <f t="shared" si="569"/>
        <v>0</v>
      </c>
      <c r="Z1053" s="167">
        <f t="shared" si="570"/>
        <v>0</v>
      </c>
      <c r="AA1053" s="167">
        <f t="shared" si="571"/>
        <v>0</v>
      </c>
      <c r="AB1053" s="167">
        <f t="shared" si="572"/>
        <v>0</v>
      </c>
      <c r="AC1053" s="167">
        <f t="shared" si="573"/>
        <v>0</v>
      </c>
      <c r="AD1053" s="167">
        <f t="shared" si="574"/>
        <v>0</v>
      </c>
      <c r="AF1053" s="47">
        <f t="shared" si="575"/>
        <v>0</v>
      </c>
    </row>
    <row r="1054" spans="1:32" x14ac:dyDescent="0.35">
      <c r="A1054" s="84"/>
      <c r="B1054" s="84"/>
      <c r="C1054" s="84"/>
      <c r="D1054" s="190"/>
      <c r="E1054" s="84"/>
      <c r="F1054" s="84"/>
      <c r="G1054" s="280"/>
      <c r="H1054" s="234"/>
      <c r="I1054" s="48"/>
      <c r="J1054" s="48"/>
      <c r="K1054" s="48"/>
      <c r="L1054" s="49"/>
      <c r="M1054" s="49"/>
      <c r="N1054" s="49"/>
      <c r="O1054" s="49"/>
      <c r="P1054" s="49"/>
      <c r="Q1054" s="227"/>
      <c r="R1054" s="228"/>
      <c r="S1054" s="228"/>
      <c r="T1054" s="228"/>
      <c r="U1054" s="191">
        <f t="shared" si="568"/>
        <v>0</v>
      </c>
      <c r="V1054" s="87"/>
      <c r="W1054" s="50"/>
      <c r="Y1054" s="167">
        <f t="shared" si="569"/>
        <v>0</v>
      </c>
      <c r="Z1054" s="167">
        <f t="shared" si="570"/>
        <v>0</v>
      </c>
      <c r="AA1054" s="167">
        <f t="shared" si="571"/>
        <v>0</v>
      </c>
      <c r="AB1054" s="167">
        <f t="shared" si="572"/>
        <v>0</v>
      </c>
      <c r="AC1054" s="167">
        <f t="shared" si="573"/>
        <v>0</v>
      </c>
      <c r="AD1054" s="167">
        <f t="shared" si="574"/>
        <v>0</v>
      </c>
      <c r="AF1054" s="47">
        <f t="shared" si="575"/>
        <v>0</v>
      </c>
    </row>
    <row r="1055" spans="1:32" x14ac:dyDescent="0.35">
      <c r="A1055" s="84"/>
      <c r="B1055" s="84"/>
      <c r="C1055" s="84"/>
      <c r="D1055" s="190"/>
      <c r="E1055" s="84"/>
      <c r="F1055" s="84"/>
      <c r="G1055" s="280"/>
      <c r="H1055" s="234"/>
      <c r="I1055" s="48"/>
      <c r="J1055" s="48"/>
      <c r="K1055" s="48"/>
      <c r="L1055" s="49"/>
      <c r="M1055" s="49"/>
      <c r="N1055" s="49"/>
      <c r="O1055" s="49"/>
      <c r="P1055" s="49"/>
      <c r="Q1055" s="227"/>
      <c r="R1055" s="228"/>
      <c r="S1055" s="228"/>
      <c r="T1055" s="228"/>
      <c r="U1055" s="191">
        <f t="shared" si="568"/>
        <v>0</v>
      </c>
      <c r="V1055" s="87"/>
      <c r="W1055" s="50"/>
      <c r="Y1055" s="167">
        <f t="shared" si="569"/>
        <v>0</v>
      </c>
      <c r="Z1055" s="167">
        <f t="shared" si="570"/>
        <v>0</v>
      </c>
      <c r="AA1055" s="167">
        <f t="shared" si="571"/>
        <v>0</v>
      </c>
      <c r="AB1055" s="167">
        <f t="shared" si="572"/>
        <v>0</v>
      </c>
      <c r="AC1055" s="167">
        <f t="shared" si="573"/>
        <v>0</v>
      </c>
      <c r="AD1055" s="167">
        <f t="shared" si="574"/>
        <v>0</v>
      </c>
      <c r="AF1055" s="47">
        <f t="shared" si="575"/>
        <v>0</v>
      </c>
    </row>
    <row r="1056" spans="1:32" x14ac:dyDescent="0.35">
      <c r="A1056" s="84"/>
      <c r="B1056" s="84"/>
      <c r="C1056" s="84"/>
      <c r="D1056" s="190"/>
      <c r="E1056" s="84"/>
      <c r="F1056" s="84"/>
      <c r="G1056" s="280"/>
      <c r="H1056" s="234"/>
      <c r="I1056" s="48"/>
      <c r="J1056" s="48"/>
      <c r="K1056" s="48"/>
      <c r="L1056" s="49"/>
      <c r="M1056" s="49"/>
      <c r="N1056" s="49"/>
      <c r="O1056" s="49"/>
      <c r="P1056" s="49"/>
      <c r="Q1056" s="227"/>
      <c r="R1056" s="228"/>
      <c r="S1056" s="228"/>
      <c r="T1056" s="228"/>
      <c r="U1056" s="191">
        <f t="shared" si="568"/>
        <v>0</v>
      </c>
      <c r="V1056" s="87"/>
      <c r="W1056" s="50"/>
      <c r="Y1056" s="167">
        <f t="shared" si="569"/>
        <v>0</v>
      </c>
      <c r="Z1056" s="167">
        <f t="shared" si="570"/>
        <v>0</v>
      </c>
      <c r="AA1056" s="167">
        <f t="shared" si="571"/>
        <v>0</v>
      </c>
      <c r="AB1056" s="167">
        <f t="shared" si="572"/>
        <v>0</v>
      </c>
      <c r="AC1056" s="167">
        <f t="shared" si="573"/>
        <v>0</v>
      </c>
      <c r="AD1056" s="167">
        <f t="shared" si="574"/>
        <v>0</v>
      </c>
      <c r="AF1056" s="47">
        <f t="shared" si="575"/>
        <v>0</v>
      </c>
    </row>
    <row r="1057" spans="1:32" x14ac:dyDescent="0.35">
      <c r="A1057" s="84"/>
      <c r="B1057" s="84"/>
      <c r="C1057" s="84"/>
      <c r="D1057" s="190"/>
      <c r="E1057" s="84"/>
      <c r="F1057" s="84"/>
      <c r="G1057" s="280"/>
      <c r="H1057" s="234"/>
      <c r="I1057" s="48"/>
      <c r="J1057" s="48"/>
      <c r="K1057" s="48"/>
      <c r="L1057" s="49"/>
      <c r="M1057" s="49"/>
      <c r="N1057" s="49"/>
      <c r="O1057" s="49"/>
      <c r="P1057" s="49"/>
      <c r="Q1057" s="227"/>
      <c r="R1057" s="228"/>
      <c r="S1057" s="228"/>
      <c r="T1057" s="228"/>
      <c r="U1057" s="191">
        <f t="shared" si="568"/>
        <v>0</v>
      </c>
      <c r="V1057" s="87"/>
      <c r="W1057" s="50"/>
      <c r="Y1057" s="167">
        <f t="shared" si="569"/>
        <v>0</v>
      </c>
      <c r="Z1057" s="167">
        <f t="shared" si="570"/>
        <v>0</v>
      </c>
      <c r="AA1057" s="167">
        <f t="shared" si="571"/>
        <v>0</v>
      </c>
      <c r="AB1057" s="167">
        <f t="shared" si="572"/>
        <v>0</v>
      </c>
      <c r="AC1057" s="167">
        <f t="shared" si="573"/>
        <v>0</v>
      </c>
      <c r="AD1057" s="167">
        <f t="shared" si="574"/>
        <v>0</v>
      </c>
      <c r="AF1057" s="47">
        <f t="shared" si="575"/>
        <v>0</v>
      </c>
    </row>
    <row r="1058" spans="1:32" x14ac:dyDescent="0.35">
      <c r="A1058" s="84"/>
      <c r="B1058" s="84"/>
      <c r="C1058" s="84"/>
      <c r="D1058" s="190"/>
      <c r="E1058" s="84"/>
      <c r="F1058" s="84"/>
      <c r="G1058" s="280"/>
      <c r="H1058" s="234"/>
      <c r="I1058" s="48"/>
      <c r="J1058" s="48"/>
      <c r="K1058" s="48"/>
      <c r="L1058" s="49"/>
      <c r="M1058" s="49"/>
      <c r="N1058" s="49"/>
      <c r="O1058" s="49"/>
      <c r="P1058" s="49"/>
      <c r="Q1058" s="227"/>
      <c r="R1058" s="228"/>
      <c r="S1058" s="228"/>
      <c r="T1058" s="228"/>
      <c r="U1058" s="191">
        <f t="shared" si="568"/>
        <v>0</v>
      </c>
      <c r="V1058" s="87"/>
      <c r="W1058" s="50"/>
      <c r="Y1058" s="167">
        <f t="shared" si="569"/>
        <v>0</v>
      </c>
      <c r="Z1058" s="167">
        <f t="shared" si="570"/>
        <v>0</v>
      </c>
      <c r="AA1058" s="167">
        <f t="shared" si="571"/>
        <v>0</v>
      </c>
      <c r="AB1058" s="167">
        <f t="shared" si="572"/>
        <v>0</v>
      </c>
      <c r="AC1058" s="167">
        <f t="shared" si="573"/>
        <v>0</v>
      </c>
      <c r="AD1058" s="167">
        <f t="shared" si="574"/>
        <v>0</v>
      </c>
      <c r="AF1058" s="47">
        <f t="shared" si="575"/>
        <v>0</v>
      </c>
    </row>
    <row r="1059" spans="1:32" x14ac:dyDescent="0.35">
      <c r="A1059" s="84"/>
      <c r="B1059" s="84"/>
      <c r="C1059" s="84"/>
      <c r="D1059" s="190"/>
      <c r="E1059" s="84"/>
      <c r="F1059" s="84"/>
      <c r="G1059" s="280"/>
      <c r="H1059" s="234"/>
      <c r="I1059" s="48"/>
      <c r="J1059" s="48"/>
      <c r="K1059" s="48"/>
      <c r="L1059" s="49"/>
      <c r="M1059" s="49"/>
      <c r="N1059" s="49"/>
      <c r="O1059" s="49"/>
      <c r="P1059" s="49"/>
      <c r="Q1059" s="227"/>
      <c r="R1059" s="228"/>
      <c r="S1059" s="228"/>
      <c r="T1059" s="228"/>
      <c r="U1059" s="191">
        <f t="shared" si="568"/>
        <v>0</v>
      </c>
      <c r="V1059" s="87"/>
      <c r="W1059" s="50"/>
      <c r="Y1059" s="167">
        <f t="shared" si="569"/>
        <v>0</v>
      </c>
      <c r="Z1059" s="167">
        <f t="shared" si="570"/>
        <v>0</v>
      </c>
      <c r="AA1059" s="167">
        <f t="shared" si="571"/>
        <v>0</v>
      </c>
      <c r="AB1059" s="167">
        <f t="shared" si="572"/>
        <v>0</v>
      </c>
      <c r="AC1059" s="167">
        <f t="shared" si="573"/>
        <v>0</v>
      </c>
      <c r="AD1059" s="167">
        <f t="shared" si="574"/>
        <v>0</v>
      </c>
      <c r="AF1059" s="47">
        <f t="shared" si="575"/>
        <v>0</v>
      </c>
    </row>
    <row r="1060" spans="1:32" x14ac:dyDescent="0.35">
      <c r="A1060" s="84"/>
      <c r="B1060" s="84"/>
      <c r="C1060" s="84"/>
      <c r="D1060" s="190"/>
      <c r="E1060" s="84"/>
      <c r="F1060" s="84"/>
      <c r="G1060" s="280"/>
      <c r="H1060" s="234"/>
      <c r="I1060" s="48"/>
      <c r="J1060" s="48"/>
      <c r="K1060" s="48"/>
      <c r="L1060" s="49"/>
      <c r="M1060" s="49"/>
      <c r="N1060" s="49"/>
      <c r="O1060" s="49"/>
      <c r="P1060" s="49"/>
      <c r="Q1060" s="227"/>
      <c r="R1060" s="228"/>
      <c r="S1060" s="228"/>
      <c r="T1060" s="228"/>
      <c r="U1060" s="191">
        <f t="shared" si="568"/>
        <v>0</v>
      </c>
      <c r="V1060" s="87"/>
      <c r="W1060" s="50"/>
      <c r="Y1060" s="167">
        <f t="shared" si="569"/>
        <v>0</v>
      </c>
      <c r="Z1060" s="167">
        <f t="shared" si="570"/>
        <v>0</v>
      </c>
      <c r="AA1060" s="167">
        <f t="shared" si="571"/>
        <v>0</v>
      </c>
      <c r="AB1060" s="167">
        <f t="shared" si="572"/>
        <v>0</v>
      </c>
      <c r="AC1060" s="167">
        <f t="shared" si="573"/>
        <v>0</v>
      </c>
      <c r="AD1060" s="167">
        <f t="shared" si="574"/>
        <v>0</v>
      </c>
      <c r="AF1060" s="47">
        <f t="shared" si="575"/>
        <v>0</v>
      </c>
    </row>
    <row r="1061" spans="1:32" x14ac:dyDescent="0.35">
      <c r="A1061" s="84"/>
      <c r="B1061" s="84"/>
      <c r="C1061" s="84"/>
      <c r="D1061" s="190"/>
      <c r="E1061" s="84"/>
      <c r="F1061" s="84"/>
      <c r="G1061" s="280"/>
      <c r="H1061" s="234"/>
      <c r="I1061" s="48"/>
      <c r="J1061" s="48"/>
      <c r="K1061" s="48"/>
      <c r="L1061" s="49"/>
      <c r="M1061" s="49"/>
      <c r="N1061" s="49"/>
      <c r="O1061" s="49"/>
      <c r="P1061" s="49"/>
      <c r="Q1061" s="227"/>
      <c r="R1061" s="228"/>
      <c r="S1061" s="228"/>
      <c r="T1061" s="228"/>
      <c r="U1061" s="191">
        <f t="shared" si="568"/>
        <v>0</v>
      </c>
      <c r="V1061" s="87"/>
      <c r="W1061" s="50"/>
      <c r="Y1061" s="167">
        <f t="shared" si="569"/>
        <v>0</v>
      </c>
      <c r="Z1061" s="167">
        <f t="shared" si="570"/>
        <v>0</v>
      </c>
      <c r="AA1061" s="167">
        <f t="shared" si="571"/>
        <v>0</v>
      </c>
      <c r="AB1061" s="167">
        <f t="shared" si="572"/>
        <v>0</v>
      </c>
      <c r="AC1061" s="167">
        <f t="shared" si="573"/>
        <v>0</v>
      </c>
      <c r="AD1061" s="167">
        <f t="shared" si="574"/>
        <v>0</v>
      </c>
      <c r="AF1061" s="47">
        <f t="shared" si="575"/>
        <v>0</v>
      </c>
    </row>
    <row r="1062" spans="1:32" x14ac:dyDescent="0.35">
      <c r="A1062" s="84"/>
      <c r="B1062" s="84"/>
      <c r="C1062" s="84"/>
      <c r="D1062" s="190"/>
      <c r="E1062" s="84"/>
      <c r="F1062" s="84"/>
      <c r="G1062" s="280"/>
      <c r="H1062" s="234"/>
      <c r="I1062" s="48"/>
      <c r="J1062" s="48"/>
      <c r="K1062" s="48"/>
      <c r="L1062" s="49"/>
      <c r="M1062" s="49"/>
      <c r="N1062" s="49"/>
      <c r="O1062" s="49"/>
      <c r="P1062" s="49"/>
      <c r="Q1062" s="227"/>
      <c r="R1062" s="228"/>
      <c r="S1062" s="228"/>
      <c r="T1062" s="228"/>
      <c r="U1062" s="191">
        <f t="shared" si="568"/>
        <v>0</v>
      </c>
      <c r="V1062" s="87"/>
      <c r="W1062" s="50"/>
      <c r="Y1062" s="167">
        <f t="shared" si="569"/>
        <v>0</v>
      </c>
      <c r="Z1062" s="167">
        <f t="shared" si="570"/>
        <v>0</v>
      </c>
      <c r="AA1062" s="167">
        <f t="shared" si="571"/>
        <v>0</v>
      </c>
      <c r="AB1062" s="167">
        <f t="shared" si="572"/>
        <v>0</v>
      </c>
      <c r="AC1062" s="167">
        <f t="shared" si="573"/>
        <v>0</v>
      </c>
      <c r="AD1062" s="167">
        <f t="shared" si="574"/>
        <v>0</v>
      </c>
      <c r="AF1062" s="47">
        <f t="shared" si="575"/>
        <v>0</v>
      </c>
    </row>
    <row r="1063" spans="1:32" x14ac:dyDescent="0.35">
      <c r="A1063" s="84"/>
      <c r="B1063" s="84"/>
      <c r="C1063" s="84"/>
      <c r="D1063" s="190"/>
      <c r="E1063" s="84"/>
      <c r="F1063" s="84"/>
      <c r="G1063" s="280"/>
      <c r="H1063" s="234"/>
      <c r="I1063" s="48"/>
      <c r="J1063" s="48"/>
      <c r="K1063" s="48"/>
      <c r="L1063" s="49"/>
      <c r="M1063" s="49"/>
      <c r="N1063" s="49"/>
      <c r="O1063" s="49"/>
      <c r="P1063" s="49"/>
      <c r="Q1063" s="227"/>
      <c r="R1063" s="228"/>
      <c r="S1063" s="228"/>
      <c r="T1063" s="228"/>
      <c r="U1063" s="191">
        <f t="shared" si="568"/>
        <v>0</v>
      </c>
      <c r="V1063" s="87"/>
      <c r="W1063" s="50"/>
      <c r="Y1063" s="167">
        <f t="shared" si="569"/>
        <v>0</v>
      </c>
      <c r="Z1063" s="167">
        <f t="shared" si="570"/>
        <v>0</v>
      </c>
      <c r="AA1063" s="167">
        <f t="shared" si="571"/>
        <v>0</v>
      </c>
      <c r="AB1063" s="167">
        <f t="shared" si="572"/>
        <v>0</v>
      </c>
      <c r="AC1063" s="167">
        <f t="shared" si="573"/>
        <v>0</v>
      </c>
      <c r="AD1063" s="167">
        <f t="shared" si="574"/>
        <v>0</v>
      </c>
      <c r="AF1063" s="47">
        <f t="shared" si="575"/>
        <v>0</v>
      </c>
    </row>
    <row r="1064" spans="1:32" x14ac:dyDescent="0.35">
      <c r="A1064" s="84"/>
      <c r="B1064" s="84"/>
      <c r="C1064" s="84"/>
      <c r="D1064" s="190"/>
      <c r="E1064" s="84"/>
      <c r="F1064" s="84"/>
      <c r="G1064" s="280"/>
      <c r="H1064" s="234"/>
      <c r="I1064" s="48"/>
      <c r="J1064" s="48"/>
      <c r="K1064" s="48"/>
      <c r="L1064" s="49"/>
      <c r="M1064" s="49"/>
      <c r="N1064" s="49"/>
      <c r="O1064" s="49"/>
      <c r="P1064" s="49"/>
      <c r="Q1064" s="227"/>
      <c r="R1064" s="228"/>
      <c r="S1064" s="228"/>
      <c r="T1064" s="228"/>
      <c r="U1064" s="191">
        <f t="shared" si="568"/>
        <v>0</v>
      </c>
      <c r="V1064" s="87"/>
      <c r="W1064" s="50"/>
      <c r="Y1064" s="167">
        <f t="shared" si="569"/>
        <v>0</v>
      </c>
      <c r="Z1064" s="167">
        <f t="shared" si="570"/>
        <v>0</v>
      </c>
      <c r="AA1064" s="167">
        <f t="shared" si="571"/>
        <v>0</v>
      </c>
      <c r="AB1064" s="167">
        <f t="shared" si="572"/>
        <v>0</v>
      </c>
      <c r="AC1064" s="167">
        <f t="shared" si="573"/>
        <v>0</v>
      </c>
      <c r="AD1064" s="167">
        <f t="shared" si="574"/>
        <v>0</v>
      </c>
      <c r="AF1064" s="47">
        <f t="shared" si="575"/>
        <v>0</v>
      </c>
    </row>
    <row r="1065" spans="1:32" x14ac:dyDescent="0.35">
      <c r="A1065" s="84"/>
      <c r="B1065" s="84"/>
      <c r="C1065" s="84"/>
      <c r="D1065" s="190"/>
      <c r="E1065" s="84"/>
      <c r="F1065" s="84"/>
      <c r="G1065" s="280"/>
      <c r="H1065" s="234"/>
      <c r="I1065" s="48"/>
      <c r="J1065" s="48"/>
      <c r="K1065" s="48"/>
      <c r="L1065" s="49"/>
      <c r="M1065" s="49"/>
      <c r="N1065" s="49"/>
      <c r="O1065" s="49"/>
      <c r="P1065" s="49"/>
      <c r="Q1065" s="227"/>
      <c r="R1065" s="228"/>
      <c r="S1065" s="228"/>
      <c r="T1065" s="228"/>
      <c r="U1065" s="191">
        <f t="shared" si="568"/>
        <v>0</v>
      </c>
      <c r="V1065" s="87"/>
      <c r="W1065" s="50"/>
      <c r="Y1065" s="167">
        <f t="shared" si="569"/>
        <v>0</v>
      </c>
      <c r="Z1065" s="167">
        <f t="shared" si="570"/>
        <v>0</v>
      </c>
      <c r="AA1065" s="167">
        <f t="shared" si="571"/>
        <v>0</v>
      </c>
      <c r="AB1065" s="167">
        <f t="shared" si="572"/>
        <v>0</v>
      </c>
      <c r="AC1065" s="167">
        <f t="shared" si="573"/>
        <v>0</v>
      </c>
      <c r="AD1065" s="167">
        <f t="shared" si="574"/>
        <v>0</v>
      </c>
      <c r="AF1065" s="47">
        <f t="shared" si="575"/>
        <v>0</v>
      </c>
    </row>
    <row r="1066" spans="1:32" x14ac:dyDescent="0.35">
      <c r="A1066" s="84"/>
      <c r="B1066" s="84"/>
      <c r="C1066" s="84"/>
      <c r="D1066" s="190"/>
      <c r="E1066" s="84"/>
      <c r="F1066" s="84"/>
      <c r="G1066" s="280"/>
      <c r="H1066" s="234"/>
      <c r="I1066" s="48"/>
      <c r="J1066" s="48"/>
      <c r="K1066" s="48"/>
      <c r="L1066" s="49"/>
      <c r="M1066" s="49"/>
      <c r="N1066" s="49"/>
      <c r="O1066" s="49"/>
      <c r="P1066" s="49"/>
      <c r="Q1066" s="227"/>
      <c r="R1066" s="228"/>
      <c r="S1066" s="228"/>
      <c r="T1066" s="228"/>
      <c r="U1066" s="191">
        <f t="shared" si="568"/>
        <v>0</v>
      </c>
      <c r="V1066" s="87"/>
      <c r="W1066" s="50"/>
      <c r="Y1066" s="167">
        <f t="shared" si="569"/>
        <v>0</v>
      </c>
      <c r="Z1066" s="167">
        <f t="shared" si="570"/>
        <v>0</v>
      </c>
      <c r="AA1066" s="167">
        <f t="shared" si="571"/>
        <v>0</v>
      </c>
      <c r="AB1066" s="167">
        <f t="shared" si="572"/>
        <v>0</v>
      </c>
      <c r="AC1066" s="167">
        <f t="shared" si="573"/>
        <v>0</v>
      </c>
      <c r="AD1066" s="167">
        <f t="shared" si="574"/>
        <v>0</v>
      </c>
      <c r="AF1066" s="47">
        <f t="shared" si="575"/>
        <v>0</v>
      </c>
    </row>
    <row r="1067" spans="1:32" x14ac:dyDescent="0.35">
      <c r="A1067" s="84"/>
      <c r="B1067" s="84"/>
      <c r="C1067" s="84"/>
      <c r="D1067" s="190"/>
      <c r="E1067" s="84"/>
      <c r="F1067" s="84"/>
      <c r="G1067" s="280"/>
      <c r="H1067" s="234"/>
      <c r="I1067" s="48"/>
      <c r="J1067" s="48"/>
      <c r="K1067" s="48"/>
      <c r="L1067" s="49"/>
      <c r="M1067" s="49"/>
      <c r="N1067" s="49"/>
      <c r="O1067" s="49"/>
      <c r="P1067" s="49"/>
      <c r="Q1067" s="227"/>
      <c r="R1067" s="228"/>
      <c r="S1067" s="228"/>
      <c r="T1067" s="228"/>
      <c r="U1067" s="191">
        <f t="shared" si="568"/>
        <v>0</v>
      </c>
      <c r="V1067" s="87"/>
      <c r="W1067" s="50"/>
      <c r="Y1067" s="167">
        <f t="shared" si="569"/>
        <v>0</v>
      </c>
      <c r="Z1067" s="167">
        <f t="shared" si="570"/>
        <v>0</v>
      </c>
      <c r="AA1067" s="167">
        <f t="shared" si="571"/>
        <v>0</v>
      </c>
      <c r="AB1067" s="167">
        <f t="shared" si="572"/>
        <v>0</v>
      </c>
      <c r="AC1067" s="167">
        <f t="shared" si="573"/>
        <v>0</v>
      </c>
      <c r="AD1067" s="167">
        <f t="shared" si="574"/>
        <v>0</v>
      </c>
      <c r="AF1067" s="47">
        <f t="shared" si="575"/>
        <v>0</v>
      </c>
    </row>
    <row r="1068" spans="1:32" x14ac:dyDescent="0.35">
      <c r="A1068" s="84"/>
      <c r="B1068" s="84"/>
      <c r="C1068" s="84"/>
      <c r="D1068" s="190"/>
      <c r="E1068" s="84"/>
      <c r="F1068" s="84"/>
      <c r="G1068" s="280"/>
      <c r="H1068" s="234"/>
      <c r="I1068" s="48"/>
      <c r="J1068" s="48"/>
      <c r="K1068" s="48"/>
      <c r="L1068" s="49"/>
      <c r="M1068" s="49"/>
      <c r="N1068" s="49"/>
      <c r="O1068" s="49"/>
      <c r="P1068" s="49"/>
      <c r="Q1068" s="227"/>
      <c r="R1068" s="228"/>
      <c r="S1068" s="228"/>
      <c r="T1068" s="228"/>
      <c r="U1068" s="191">
        <f t="shared" si="568"/>
        <v>0</v>
      </c>
      <c r="V1068" s="87"/>
      <c r="W1068" s="50"/>
      <c r="Y1068" s="167">
        <f t="shared" si="569"/>
        <v>0</v>
      </c>
      <c r="Z1068" s="167">
        <f t="shared" si="570"/>
        <v>0</v>
      </c>
      <c r="AA1068" s="167">
        <f t="shared" si="571"/>
        <v>0</v>
      </c>
      <c r="AB1068" s="167">
        <f t="shared" si="572"/>
        <v>0</v>
      </c>
      <c r="AC1068" s="167">
        <f t="shared" si="573"/>
        <v>0</v>
      </c>
      <c r="AD1068" s="167">
        <f t="shared" si="574"/>
        <v>0</v>
      </c>
      <c r="AF1068" s="47">
        <f t="shared" si="575"/>
        <v>0</v>
      </c>
    </row>
    <row r="1069" spans="1:32" x14ac:dyDescent="0.35">
      <c r="A1069" s="84"/>
      <c r="B1069" s="84"/>
      <c r="C1069" s="84"/>
      <c r="D1069" s="190"/>
      <c r="E1069" s="84"/>
      <c r="F1069" s="84"/>
      <c r="G1069" s="280"/>
      <c r="H1069" s="234"/>
      <c r="I1069" s="48"/>
      <c r="J1069" s="48"/>
      <c r="K1069" s="48"/>
      <c r="L1069" s="49"/>
      <c r="M1069" s="49"/>
      <c r="N1069" s="49"/>
      <c r="O1069" s="49"/>
      <c r="P1069" s="49"/>
      <c r="Q1069" s="227"/>
      <c r="R1069" s="228"/>
      <c r="S1069" s="228"/>
      <c r="T1069" s="228"/>
      <c r="U1069" s="191">
        <f t="shared" si="568"/>
        <v>0</v>
      </c>
      <c r="V1069" s="87"/>
      <c r="W1069" s="50"/>
      <c r="Y1069" s="167">
        <f t="shared" si="569"/>
        <v>0</v>
      </c>
      <c r="Z1069" s="167">
        <f t="shared" si="570"/>
        <v>0</v>
      </c>
      <c r="AA1069" s="167">
        <f t="shared" si="571"/>
        <v>0</v>
      </c>
      <c r="AB1069" s="167">
        <f t="shared" si="572"/>
        <v>0</v>
      </c>
      <c r="AC1069" s="167">
        <f t="shared" si="573"/>
        <v>0</v>
      </c>
      <c r="AD1069" s="167">
        <f t="shared" si="574"/>
        <v>0</v>
      </c>
      <c r="AF1069" s="47">
        <f t="shared" si="575"/>
        <v>0</v>
      </c>
    </row>
    <row r="1070" spans="1:32" x14ac:dyDescent="0.35">
      <c r="A1070" s="84"/>
      <c r="B1070" s="84"/>
      <c r="C1070" s="84"/>
      <c r="D1070" s="190"/>
      <c r="E1070" s="84"/>
      <c r="F1070" s="84"/>
      <c r="G1070" s="280"/>
      <c r="H1070" s="234"/>
      <c r="I1070" s="48"/>
      <c r="J1070" s="48"/>
      <c r="K1070" s="48"/>
      <c r="L1070" s="49"/>
      <c r="M1070" s="49"/>
      <c r="N1070" s="49"/>
      <c r="O1070" s="49"/>
      <c r="P1070" s="49"/>
      <c r="Q1070" s="227"/>
      <c r="R1070" s="228"/>
      <c r="S1070" s="228"/>
      <c r="T1070" s="228"/>
      <c r="U1070" s="191">
        <f t="shared" si="568"/>
        <v>0</v>
      </c>
      <c r="V1070" s="87"/>
      <c r="W1070" s="50"/>
      <c r="Y1070" s="167">
        <f t="shared" si="569"/>
        <v>0</v>
      </c>
      <c r="Z1070" s="167">
        <f t="shared" si="570"/>
        <v>0</v>
      </c>
      <c r="AA1070" s="167">
        <f t="shared" si="571"/>
        <v>0</v>
      </c>
      <c r="AB1070" s="167">
        <f t="shared" si="572"/>
        <v>0</v>
      </c>
      <c r="AC1070" s="167">
        <f t="shared" si="573"/>
        <v>0</v>
      </c>
      <c r="AD1070" s="167">
        <f t="shared" si="574"/>
        <v>0</v>
      </c>
      <c r="AF1070" s="47">
        <f t="shared" si="575"/>
        <v>0</v>
      </c>
    </row>
    <row r="1071" spans="1:32" x14ac:dyDescent="0.35">
      <c r="A1071" s="84"/>
      <c r="B1071" s="84"/>
      <c r="C1071" s="84"/>
      <c r="D1071" s="190"/>
      <c r="E1071" s="84"/>
      <c r="F1071" s="84"/>
      <c r="G1071" s="280"/>
      <c r="H1071" s="234"/>
      <c r="I1071" s="48"/>
      <c r="J1071" s="48"/>
      <c r="K1071" s="48"/>
      <c r="L1071" s="49"/>
      <c r="M1071" s="49"/>
      <c r="N1071" s="49"/>
      <c r="O1071" s="49"/>
      <c r="P1071" s="49"/>
      <c r="Q1071" s="227"/>
      <c r="R1071" s="228"/>
      <c r="S1071" s="228"/>
      <c r="T1071" s="228"/>
      <c r="U1071" s="191">
        <f t="shared" si="568"/>
        <v>0</v>
      </c>
      <c r="V1071" s="87"/>
      <c r="W1071" s="50"/>
      <c r="Y1071" s="167">
        <f t="shared" si="569"/>
        <v>0</v>
      </c>
      <c r="Z1071" s="167">
        <f t="shared" si="570"/>
        <v>0</v>
      </c>
      <c r="AA1071" s="167">
        <f t="shared" si="571"/>
        <v>0</v>
      </c>
      <c r="AB1071" s="167">
        <f t="shared" si="572"/>
        <v>0</v>
      </c>
      <c r="AC1071" s="167">
        <f t="shared" si="573"/>
        <v>0</v>
      </c>
      <c r="AD1071" s="167">
        <f t="shared" si="574"/>
        <v>0</v>
      </c>
      <c r="AF1071" s="47">
        <f t="shared" si="575"/>
        <v>0</v>
      </c>
    </row>
    <row r="1072" spans="1:32" x14ac:dyDescent="0.35">
      <c r="A1072" s="84"/>
      <c r="B1072" s="84"/>
      <c r="C1072" s="84"/>
      <c r="D1072" s="190"/>
      <c r="E1072" s="84"/>
      <c r="F1072" s="84"/>
      <c r="G1072" s="280"/>
      <c r="H1072" s="234"/>
      <c r="I1072" s="48"/>
      <c r="J1072" s="48"/>
      <c r="K1072" s="48"/>
      <c r="L1072" s="49"/>
      <c r="M1072" s="49"/>
      <c r="N1072" s="49"/>
      <c r="O1072" s="49"/>
      <c r="P1072" s="49"/>
      <c r="Q1072" s="227"/>
      <c r="R1072" s="228"/>
      <c r="S1072" s="228"/>
      <c r="T1072" s="228"/>
      <c r="U1072" s="191">
        <f t="shared" si="568"/>
        <v>0</v>
      </c>
      <c r="V1072" s="87"/>
      <c r="W1072" s="50"/>
      <c r="Y1072" s="167">
        <f t="shared" si="569"/>
        <v>0</v>
      </c>
      <c r="Z1072" s="167">
        <f t="shared" si="570"/>
        <v>0</v>
      </c>
      <c r="AA1072" s="167">
        <f t="shared" si="571"/>
        <v>0</v>
      </c>
      <c r="AB1072" s="167">
        <f t="shared" si="572"/>
        <v>0</v>
      </c>
      <c r="AC1072" s="167">
        <f t="shared" si="573"/>
        <v>0</v>
      </c>
      <c r="AD1072" s="167">
        <f t="shared" si="574"/>
        <v>0</v>
      </c>
      <c r="AF1072" s="47">
        <f t="shared" si="575"/>
        <v>0</v>
      </c>
    </row>
    <row r="1073" spans="1:32" x14ac:dyDescent="0.35">
      <c r="A1073" s="84"/>
      <c r="B1073" s="84"/>
      <c r="C1073" s="84"/>
      <c r="D1073" s="190"/>
      <c r="E1073" s="84"/>
      <c r="F1073" s="84"/>
      <c r="G1073" s="280"/>
      <c r="H1073" s="234"/>
      <c r="I1073" s="48"/>
      <c r="J1073" s="48"/>
      <c r="K1073" s="48"/>
      <c r="L1073" s="49"/>
      <c r="M1073" s="49"/>
      <c r="N1073" s="49"/>
      <c r="O1073" s="49"/>
      <c r="P1073" s="49"/>
      <c r="Q1073" s="227"/>
      <c r="R1073" s="228"/>
      <c r="S1073" s="228"/>
      <c r="T1073" s="228"/>
      <c r="U1073" s="191">
        <f t="shared" si="568"/>
        <v>0</v>
      </c>
      <c r="V1073" s="87"/>
      <c r="W1073" s="50"/>
      <c r="Y1073" s="167">
        <f t="shared" si="569"/>
        <v>0</v>
      </c>
      <c r="Z1073" s="167">
        <f t="shared" si="570"/>
        <v>0</v>
      </c>
      <c r="AA1073" s="167">
        <f t="shared" si="571"/>
        <v>0</v>
      </c>
      <c r="AB1073" s="167">
        <f t="shared" si="572"/>
        <v>0</v>
      </c>
      <c r="AC1073" s="167">
        <f t="shared" si="573"/>
        <v>0</v>
      </c>
      <c r="AD1073" s="167">
        <f t="shared" si="574"/>
        <v>0</v>
      </c>
      <c r="AF1073" s="47">
        <f t="shared" si="575"/>
        <v>0</v>
      </c>
    </row>
    <row r="1074" spans="1:32" x14ac:dyDescent="0.35">
      <c r="A1074" s="84"/>
      <c r="B1074" s="84"/>
      <c r="C1074" s="84"/>
      <c r="D1074" s="190"/>
      <c r="E1074" s="84"/>
      <c r="F1074" s="84"/>
      <c r="G1074" s="280"/>
      <c r="H1074" s="234"/>
      <c r="I1074" s="48"/>
      <c r="J1074" s="48"/>
      <c r="K1074" s="48"/>
      <c r="L1074" s="49"/>
      <c r="M1074" s="49"/>
      <c r="N1074" s="49"/>
      <c r="O1074" s="49"/>
      <c r="P1074" s="49"/>
      <c r="Q1074" s="227"/>
      <c r="R1074" s="228"/>
      <c r="S1074" s="228"/>
      <c r="T1074" s="228"/>
      <c r="U1074" s="191">
        <f t="shared" si="568"/>
        <v>0</v>
      </c>
      <c r="V1074" s="87"/>
      <c r="W1074" s="50"/>
      <c r="Y1074" s="167">
        <f t="shared" si="569"/>
        <v>0</v>
      </c>
      <c r="Z1074" s="167">
        <f t="shared" si="570"/>
        <v>0</v>
      </c>
      <c r="AA1074" s="167">
        <f t="shared" si="571"/>
        <v>0</v>
      </c>
      <c r="AB1074" s="167">
        <f t="shared" si="572"/>
        <v>0</v>
      </c>
      <c r="AC1074" s="167">
        <f t="shared" si="573"/>
        <v>0</v>
      </c>
      <c r="AD1074" s="167">
        <f t="shared" si="574"/>
        <v>0</v>
      </c>
      <c r="AF1074" s="47">
        <f t="shared" si="575"/>
        <v>0</v>
      </c>
    </row>
    <row r="1075" spans="1:32" x14ac:dyDescent="0.35">
      <c r="A1075" s="84"/>
      <c r="B1075" s="84"/>
      <c r="C1075" s="84"/>
      <c r="D1075" s="190"/>
      <c r="E1075" s="84"/>
      <c r="F1075" s="84"/>
      <c r="G1075" s="280"/>
      <c r="H1075" s="234"/>
      <c r="I1075" s="48"/>
      <c r="J1075" s="48"/>
      <c r="K1075" s="48"/>
      <c r="L1075" s="49"/>
      <c r="M1075" s="49"/>
      <c r="N1075" s="49"/>
      <c r="O1075" s="49"/>
      <c r="P1075" s="49"/>
      <c r="Q1075" s="227"/>
      <c r="R1075" s="228"/>
      <c r="S1075" s="228"/>
      <c r="T1075" s="228"/>
      <c r="U1075" s="191">
        <f t="shared" si="568"/>
        <v>0</v>
      </c>
      <c r="V1075" s="87"/>
      <c r="W1075" s="50"/>
      <c r="Y1075" s="167">
        <f t="shared" si="569"/>
        <v>0</v>
      </c>
      <c r="Z1075" s="167">
        <f t="shared" si="570"/>
        <v>0</v>
      </c>
      <c r="AA1075" s="167">
        <f t="shared" si="571"/>
        <v>0</v>
      </c>
      <c r="AB1075" s="167">
        <f t="shared" si="572"/>
        <v>0</v>
      </c>
      <c r="AC1075" s="167">
        <f t="shared" si="573"/>
        <v>0</v>
      </c>
      <c r="AD1075" s="167">
        <f t="shared" si="574"/>
        <v>0</v>
      </c>
      <c r="AF1075" s="47">
        <f t="shared" si="575"/>
        <v>0</v>
      </c>
    </row>
    <row r="1076" spans="1:32" x14ac:dyDescent="0.35">
      <c r="A1076" s="84"/>
      <c r="B1076" s="84"/>
      <c r="C1076" s="84"/>
      <c r="D1076" s="190"/>
      <c r="E1076" s="84"/>
      <c r="F1076" s="84"/>
      <c r="G1076" s="280"/>
      <c r="H1076" s="234"/>
      <c r="I1076" s="48"/>
      <c r="J1076" s="48"/>
      <c r="K1076" s="48"/>
      <c r="L1076" s="49"/>
      <c r="M1076" s="49"/>
      <c r="N1076" s="49"/>
      <c r="O1076" s="49"/>
      <c r="P1076" s="49"/>
      <c r="Q1076" s="227"/>
      <c r="R1076" s="228"/>
      <c r="S1076" s="228"/>
      <c r="T1076" s="228"/>
      <c r="U1076" s="191">
        <f t="shared" si="568"/>
        <v>0</v>
      </c>
      <c r="V1076" s="87"/>
      <c r="W1076" s="50"/>
      <c r="Y1076" s="167">
        <f t="shared" si="569"/>
        <v>0</v>
      </c>
      <c r="Z1076" s="167">
        <f t="shared" si="570"/>
        <v>0</v>
      </c>
      <c r="AA1076" s="167">
        <f t="shared" si="571"/>
        <v>0</v>
      </c>
      <c r="AB1076" s="167">
        <f t="shared" si="572"/>
        <v>0</v>
      </c>
      <c r="AC1076" s="167">
        <f t="shared" si="573"/>
        <v>0</v>
      </c>
      <c r="AD1076" s="167">
        <f t="shared" si="574"/>
        <v>0</v>
      </c>
      <c r="AF1076" s="47">
        <f t="shared" si="575"/>
        <v>0</v>
      </c>
    </row>
    <row r="1077" spans="1:32" x14ac:dyDescent="0.35">
      <c r="A1077" s="84"/>
      <c r="B1077" s="84"/>
      <c r="C1077" s="84"/>
      <c r="D1077" s="190"/>
      <c r="E1077" s="84"/>
      <c r="F1077" s="84"/>
      <c r="G1077" s="280"/>
      <c r="H1077" s="234"/>
      <c r="I1077" s="48"/>
      <c r="J1077" s="48"/>
      <c r="K1077" s="48"/>
      <c r="L1077" s="49"/>
      <c r="M1077" s="49"/>
      <c r="N1077" s="49"/>
      <c r="O1077" s="49"/>
      <c r="P1077" s="49"/>
      <c r="Q1077" s="227"/>
      <c r="R1077" s="228"/>
      <c r="S1077" s="228"/>
      <c r="T1077" s="228"/>
      <c r="U1077" s="191">
        <f t="shared" si="568"/>
        <v>0</v>
      </c>
      <c r="V1077" s="87"/>
      <c r="W1077" s="50"/>
      <c r="Y1077" s="167">
        <f t="shared" si="569"/>
        <v>0</v>
      </c>
      <c r="Z1077" s="167">
        <f t="shared" si="570"/>
        <v>0</v>
      </c>
      <c r="AA1077" s="167">
        <f t="shared" si="571"/>
        <v>0</v>
      </c>
      <c r="AB1077" s="167">
        <f t="shared" si="572"/>
        <v>0</v>
      </c>
      <c r="AC1077" s="167">
        <f t="shared" si="573"/>
        <v>0</v>
      </c>
      <c r="AD1077" s="167">
        <f t="shared" si="574"/>
        <v>0</v>
      </c>
      <c r="AF1077" s="47">
        <f t="shared" si="575"/>
        <v>0</v>
      </c>
    </row>
    <row r="1078" spans="1:32" x14ac:dyDescent="0.35">
      <c r="A1078" s="84"/>
      <c r="B1078" s="84"/>
      <c r="C1078" s="84"/>
      <c r="D1078" s="190"/>
      <c r="E1078" s="84"/>
      <c r="F1078" s="84"/>
      <c r="G1078" s="280"/>
      <c r="H1078" s="234"/>
      <c r="I1078" s="48"/>
      <c r="J1078" s="48"/>
      <c r="K1078" s="48"/>
      <c r="L1078" s="49"/>
      <c r="M1078" s="49"/>
      <c r="N1078" s="49"/>
      <c r="O1078" s="49"/>
      <c r="P1078" s="49"/>
      <c r="Q1078" s="227"/>
      <c r="R1078" s="228"/>
      <c r="S1078" s="228"/>
      <c r="T1078" s="228"/>
      <c r="U1078" s="191">
        <f t="shared" si="568"/>
        <v>0</v>
      </c>
      <c r="V1078" s="87"/>
      <c r="W1078" s="50"/>
      <c r="Y1078" s="167">
        <f t="shared" si="569"/>
        <v>0</v>
      </c>
      <c r="Z1078" s="167">
        <f t="shared" si="570"/>
        <v>0</v>
      </c>
      <c r="AA1078" s="167">
        <f t="shared" si="571"/>
        <v>0</v>
      </c>
      <c r="AB1078" s="167">
        <f t="shared" si="572"/>
        <v>0</v>
      </c>
      <c r="AC1078" s="167">
        <f t="shared" si="573"/>
        <v>0</v>
      </c>
      <c r="AD1078" s="167">
        <f t="shared" si="574"/>
        <v>0</v>
      </c>
      <c r="AF1078" s="47">
        <f t="shared" si="575"/>
        <v>0</v>
      </c>
    </row>
    <row r="1079" spans="1:32" x14ac:dyDescent="0.35">
      <c r="A1079" s="84"/>
      <c r="B1079" s="84"/>
      <c r="C1079" s="84"/>
      <c r="D1079" s="190"/>
      <c r="E1079" s="84"/>
      <c r="F1079" s="84"/>
      <c r="G1079" s="280"/>
      <c r="H1079" s="234"/>
      <c r="I1079" s="48"/>
      <c r="J1079" s="48"/>
      <c r="K1079" s="48"/>
      <c r="L1079" s="49"/>
      <c r="M1079" s="49"/>
      <c r="N1079" s="49"/>
      <c r="O1079" s="49"/>
      <c r="P1079" s="49"/>
      <c r="Q1079" s="227"/>
      <c r="R1079" s="228"/>
      <c r="S1079" s="228"/>
      <c r="T1079" s="228"/>
      <c r="U1079" s="191">
        <f t="shared" si="568"/>
        <v>0</v>
      </c>
      <c r="V1079" s="87"/>
      <c r="W1079" s="50"/>
      <c r="Y1079" s="167">
        <f t="shared" si="569"/>
        <v>0</v>
      </c>
      <c r="Z1079" s="167">
        <f t="shared" si="570"/>
        <v>0</v>
      </c>
      <c r="AA1079" s="167">
        <f t="shared" si="571"/>
        <v>0</v>
      </c>
      <c r="AB1079" s="167">
        <f t="shared" si="572"/>
        <v>0</v>
      </c>
      <c r="AC1079" s="167">
        <f t="shared" si="573"/>
        <v>0</v>
      </c>
      <c r="AD1079" s="167">
        <f t="shared" si="574"/>
        <v>0</v>
      </c>
      <c r="AF1079" s="47">
        <f t="shared" si="575"/>
        <v>0</v>
      </c>
    </row>
    <row r="1080" spans="1:32" x14ac:dyDescent="0.35">
      <c r="A1080" s="84"/>
      <c r="B1080" s="84"/>
      <c r="C1080" s="84"/>
      <c r="D1080" s="190"/>
      <c r="E1080" s="84"/>
      <c r="F1080" s="84"/>
      <c r="G1080" s="280"/>
      <c r="H1080" s="234"/>
      <c r="I1080" s="48"/>
      <c r="J1080" s="48"/>
      <c r="K1080" s="48"/>
      <c r="L1080" s="49"/>
      <c r="M1080" s="49"/>
      <c r="N1080" s="49"/>
      <c r="O1080" s="49"/>
      <c r="P1080" s="49"/>
      <c r="Q1080" s="227"/>
      <c r="R1080" s="228"/>
      <c r="S1080" s="228"/>
      <c r="T1080" s="228"/>
      <c r="U1080" s="191">
        <f t="shared" si="568"/>
        <v>0</v>
      </c>
      <c r="V1080" s="87"/>
      <c r="W1080" s="50"/>
      <c r="Y1080" s="167">
        <f t="shared" si="569"/>
        <v>0</v>
      </c>
      <c r="Z1080" s="167">
        <f t="shared" si="570"/>
        <v>0</v>
      </c>
      <c r="AA1080" s="167">
        <f t="shared" si="571"/>
        <v>0</v>
      </c>
      <c r="AB1080" s="167">
        <f t="shared" si="572"/>
        <v>0</v>
      </c>
      <c r="AC1080" s="167">
        <f t="shared" si="573"/>
        <v>0</v>
      </c>
      <c r="AD1080" s="167">
        <f t="shared" si="574"/>
        <v>0</v>
      </c>
      <c r="AF1080" s="47">
        <f t="shared" si="575"/>
        <v>0</v>
      </c>
    </row>
    <row r="1081" spans="1:32" x14ac:dyDescent="0.35">
      <c r="A1081" s="84"/>
      <c r="B1081" s="84"/>
      <c r="C1081" s="84"/>
      <c r="D1081" s="190"/>
      <c r="E1081" s="84"/>
      <c r="F1081" s="84"/>
      <c r="G1081" s="280"/>
      <c r="H1081" s="234"/>
      <c r="I1081" s="48"/>
      <c r="J1081" s="48"/>
      <c r="K1081" s="48"/>
      <c r="L1081" s="49"/>
      <c r="M1081" s="49"/>
      <c r="N1081" s="49"/>
      <c r="O1081" s="49"/>
      <c r="P1081" s="49"/>
      <c r="Q1081" s="227"/>
      <c r="R1081" s="228"/>
      <c r="S1081" s="228"/>
      <c r="T1081" s="228"/>
      <c r="U1081" s="191">
        <f t="shared" ref="U1081:U1103" si="576">IF(Q1081="",0,IF(T1081="",0,+S1081-T1081))</f>
        <v>0</v>
      </c>
      <c r="V1081" s="87"/>
      <c r="W1081" s="50"/>
      <c r="Y1081" s="167">
        <f t="shared" ref="Y1081:Y1103" si="577">IF(G1081=2,S1081,0)</f>
        <v>0</v>
      </c>
      <c r="Z1081" s="167">
        <f t="shared" ref="Z1081:Z1103" si="578">IF(Q1081="",0,IF(G1081=2,T1081,0))</f>
        <v>0</v>
      </c>
      <c r="AA1081" s="167">
        <f t="shared" ref="AA1081:AA1103" si="579">Y1081-Z1081</f>
        <v>0</v>
      </c>
      <c r="AB1081" s="167">
        <f t="shared" ref="AB1081:AB1103" si="580">IF(G1081=1,S1081,0)</f>
        <v>0</v>
      </c>
      <c r="AC1081" s="167">
        <f t="shared" ref="AC1081:AC1103" si="581">IF(Q1081="",0,IF(G1081=1,T1081,0))</f>
        <v>0</v>
      </c>
      <c r="AD1081" s="167">
        <f t="shared" ref="AD1081:AD1103" si="582">AB1081-AC1081</f>
        <v>0</v>
      </c>
      <c r="AF1081" s="47">
        <f t="shared" si="575"/>
        <v>0</v>
      </c>
    </row>
    <row r="1082" spans="1:32" x14ac:dyDescent="0.35">
      <c r="A1082" s="84"/>
      <c r="B1082" s="84"/>
      <c r="C1082" s="84"/>
      <c r="D1082" s="190"/>
      <c r="E1082" s="84"/>
      <c r="F1082" s="84"/>
      <c r="G1082" s="280"/>
      <c r="H1082" s="234"/>
      <c r="I1082" s="48"/>
      <c r="J1082" s="48"/>
      <c r="K1082" s="48"/>
      <c r="L1082" s="49"/>
      <c r="M1082" s="49"/>
      <c r="N1082" s="49"/>
      <c r="O1082" s="49"/>
      <c r="P1082" s="49"/>
      <c r="Q1082" s="227"/>
      <c r="R1082" s="228"/>
      <c r="S1082" s="228"/>
      <c r="T1082" s="228"/>
      <c r="U1082" s="191">
        <f t="shared" si="576"/>
        <v>0</v>
      </c>
      <c r="V1082" s="87"/>
      <c r="W1082" s="50"/>
      <c r="Y1082" s="167">
        <f t="shared" si="577"/>
        <v>0</v>
      </c>
      <c r="Z1082" s="167">
        <f t="shared" si="578"/>
        <v>0</v>
      </c>
      <c r="AA1082" s="167">
        <f t="shared" si="579"/>
        <v>0</v>
      </c>
      <c r="AB1082" s="167">
        <f t="shared" si="580"/>
        <v>0</v>
      </c>
      <c r="AC1082" s="167">
        <f t="shared" si="581"/>
        <v>0</v>
      </c>
      <c r="AD1082" s="167">
        <f t="shared" si="582"/>
        <v>0</v>
      </c>
      <c r="AF1082" s="47">
        <f t="shared" si="575"/>
        <v>0</v>
      </c>
    </row>
    <row r="1083" spans="1:32" x14ac:dyDescent="0.35">
      <c r="A1083" s="84"/>
      <c r="B1083" s="84"/>
      <c r="C1083" s="84"/>
      <c r="D1083" s="190"/>
      <c r="E1083" s="84"/>
      <c r="F1083" s="84"/>
      <c r="G1083" s="280"/>
      <c r="H1083" s="234"/>
      <c r="I1083" s="48"/>
      <c r="J1083" s="48"/>
      <c r="K1083" s="48"/>
      <c r="L1083" s="49"/>
      <c r="M1083" s="49"/>
      <c r="N1083" s="49"/>
      <c r="O1083" s="49"/>
      <c r="P1083" s="49"/>
      <c r="Q1083" s="227"/>
      <c r="R1083" s="228"/>
      <c r="S1083" s="228"/>
      <c r="T1083" s="228"/>
      <c r="U1083" s="191">
        <f t="shared" si="576"/>
        <v>0</v>
      </c>
      <c r="V1083" s="87"/>
      <c r="W1083" s="50"/>
      <c r="Y1083" s="167">
        <f t="shared" si="577"/>
        <v>0</v>
      </c>
      <c r="Z1083" s="167">
        <f t="shared" si="578"/>
        <v>0</v>
      </c>
      <c r="AA1083" s="167">
        <f t="shared" si="579"/>
        <v>0</v>
      </c>
      <c r="AB1083" s="167">
        <f t="shared" si="580"/>
        <v>0</v>
      </c>
      <c r="AC1083" s="167">
        <f t="shared" si="581"/>
        <v>0</v>
      </c>
      <c r="AD1083" s="167">
        <f t="shared" si="582"/>
        <v>0</v>
      </c>
      <c r="AF1083" s="47">
        <f t="shared" si="575"/>
        <v>0</v>
      </c>
    </row>
    <row r="1084" spans="1:32" x14ac:dyDescent="0.35">
      <c r="A1084" s="84"/>
      <c r="B1084" s="84"/>
      <c r="C1084" s="84"/>
      <c r="D1084" s="190"/>
      <c r="E1084" s="84"/>
      <c r="F1084" s="84"/>
      <c r="G1084" s="280"/>
      <c r="H1084" s="234"/>
      <c r="I1084" s="48"/>
      <c r="J1084" s="48"/>
      <c r="K1084" s="48"/>
      <c r="L1084" s="49"/>
      <c r="M1084" s="49"/>
      <c r="N1084" s="49"/>
      <c r="O1084" s="49"/>
      <c r="P1084" s="49"/>
      <c r="Q1084" s="227"/>
      <c r="R1084" s="228"/>
      <c r="S1084" s="228"/>
      <c r="T1084" s="228"/>
      <c r="U1084" s="191">
        <f t="shared" si="576"/>
        <v>0</v>
      </c>
      <c r="V1084" s="87"/>
      <c r="W1084" s="50"/>
      <c r="Y1084" s="167">
        <f t="shared" si="577"/>
        <v>0</v>
      </c>
      <c r="Z1084" s="167">
        <f t="shared" si="578"/>
        <v>0</v>
      </c>
      <c r="AA1084" s="167">
        <f t="shared" si="579"/>
        <v>0</v>
      </c>
      <c r="AB1084" s="167">
        <f t="shared" si="580"/>
        <v>0</v>
      </c>
      <c r="AC1084" s="167">
        <f t="shared" si="581"/>
        <v>0</v>
      </c>
      <c r="AD1084" s="167">
        <f t="shared" si="582"/>
        <v>0</v>
      </c>
      <c r="AF1084" s="47">
        <f t="shared" si="575"/>
        <v>0</v>
      </c>
    </row>
    <row r="1085" spans="1:32" x14ac:dyDescent="0.35">
      <c r="A1085" s="84"/>
      <c r="B1085" s="84"/>
      <c r="C1085" s="84"/>
      <c r="D1085" s="190"/>
      <c r="E1085" s="84"/>
      <c r="F1085" s="84"/>
      <c r="G1085" s="280"/>
      <c r="H1085" s="234"/>
      <c r="I1085" s="48"/>
      <c r="J1085" s="48"/>
      <c r="K1085" s="48"/>
      <c r="L1085" s="49"/>
      <c r="M1085" s="49"/>
      <c r="N1085" s="49"/>
      <c r="O1085" s="49"/>
      <c r="P1085" s="49"/>
      <c r="Q1085" s="227"/>
      <c r="R1085" s="228"/>
      <c r="S1085" s="228"/>
      <c r="T1085" s="228"/>
      <c r="U1085" s="191">
        <f t="shared" si="576"/>
        <v>0</v>
      </c>
      <c r="V1085" s="87"/>
      <c r="W1085" s="50"/>
      <c r="Y1085" s="167">
        <f t="shared" si="577"/>
        <v>0</v>
      </c>
      <c r="Z1085" s="167">
        <f t="shared" si="578"/>
        <v>0</v>
      </c>
      <c r="AA1085" s="167">
        <f t="shared" si="579"/>
        <v>0</v>
      </c>
      <c r="AB1085" s="167">
        <f t="shared" si="580"/>
        <v>0</v>
      </c>
      <c r="AC1085" s="167">
        <f t="shared" si="581"/>
        <v>0</v>
      </c>
      <c r="AD1085" s="167">
        <f t="shared" si="582"/>
        <v>0</v>
      </c>
      <c r="AF1085" s="47">
        <f t="shared" si="575"/>
        <v>0</v>
      </c>
    </row>
    <row r="1086" spans="1:32" x14ac:dyDescent="0.35">
      <c r="A1086" s="84"/>
      <c r="B1086" s="84"/>
      <c r="C1086" s="84"/>
      <c r="D1086" s="190"/>
      <c r="E1086" s="84"/>
      <c r="F1086" s="84"/>
      <c r="G1086" s="280"/>
      <c r="H1086" s="234"/>
      <c r="I1086" s="48"/>
      <c r="J1086" s="48"/>
      <c r="K1086" s="48"/>
      <c r="L1086" s="49"/>
      <c r="M1086" s="49"/>
      <c r="N1086" s="49"/>
      <c r="O1086" s="49"/>
      <c r="P1086" s="49"/>
      <c r="Q1086" s="227"/>
      <c r="R1086" s="228"/>
      <c r="S1086" s="228"/>
      <c r="T1086" s="228"/>
      <c r="U1086" s="191">
        <f t="shared" si="576"/>
        <v>0</v>
      </c>
      <c r="V1086" s="87"/>
      <c r="W1086" s="50"/>
      <c r="Y1086" s="167">
        <f t="shared" si="577"/>
        <v>0</v>
      </c>
      <c r="Z1086" s="167">
        <f t="shared" si="578"/>
        <v>0</v>
      </c>
      <c r="AA1086" s="167">
        <f t="shared" si="579"/>
        <v>0</v>
      </c>
      <c r="AB1086" s="167">
        <f t="shared" si="580"/>
        <v>0</v>
      </c>
      <c r="AC1086" s="167">
        <f t="shared" si="581"/>
        <v>0</v>
      </c>
      <c r="AD1086" s="167">
        <f t="shared" si="582"/>
        <v>0</v>
      </c>
      <c r="AF1086" s="47">
        <f t="shared" si="575"/>
        <v>0</v>
      </c>
    </row>
    <row r="1087" spans="1:32" x14ac:dyDescent="0.35">
      <c r="A1087" s="84"/>
      <c r="B1087" s="84"/>
      <c r="C1087" s="84"/>
      <c r="D1087" s="190"/>
      <c r="E1087" s="84"/>
      <c r="F1087" s="84"/>
      <c r="G1087" s="280"/>
      <c r="H1087" s="234"/>
      <c r="I1087" s="48"/>
      <c r="J1087" s="48"/>
      <c r="K1087" s="48"/>
      <c r="L1087" s="49"/>
      <c r="M1087" s="49"/>
      <c r="N1087" s="49"/>
      <c r="O1087" s="49"/>
      <c r="P1087" s="49"/>
      <c r="Q1087" s="227"/>
      <c r="R1087" s="228"/>
      <c r="S1087" s="228"/>
      <c r="T1087" s="228"/>
      <c r="U1087" s="191">
        <f t="shared" si="576"/>
        <v>0</v>
      </c>
      <c r="V1087" s="87"/>
      <c r="W1087" s="50"/>
      <c r="Y1087" s="167">
        <f t="shared" si="577"/>
        <v>0</v>
      </c>
      <c r="Z1087" s="167">
        <f t="shared" si="578"/>
        <v>0</v>
      </c>
      <c r="AA1087" s="167">
        <f t="shared" si="579"/>
        <v>0</v>
      </c>
      <c r="AB1087" s="167">
        <f t="shared" si="580"/>
        <v>0</v>
      </c>
      <c r="AC1087" s="167">
        <f t="shared" si="581"/>
        <v>0</v>
      </c>
      <c r="AD1087" s="167">
        <f t="shared" si="582"/>
        <v>0</v>
      </c>
      <c r="AF1087" s="47">
        <f t="shared" si="575"/>
        <v>0</v>
      </c>
    </row>
    <row r="1088" spans="1:32" x14ac:dyDescent="0.35">
      <c r="A1088" s="84"/>
      <c r="B1088" s="84"/>
      <c r="C1088" s="84"/>
      <c r="D1088" s="190"/>
      <c r="E1088" s="84"/>
      <c r="F1088" s="84"/>
      <c r="G1088" s="280"/>
      <c r="H1088" s="234"/>
      <c r="I1088" s="48"/>
      <c r="J1088" s="48"/>
      <c r="K1088" s="48"/>
      <c r="L1088" s="49"/>
      <c r="M1088" s="49"/>
      <c r="N1088" s="49"/>
      <c r="O1088" s="49"/>
      <c r="P1088" s="49"/>
      <c r="Q1088" s="227"/>
      <c r="R1088" s="228"/>
      <c r="S1088" s="228"/>
      <c r="T1088" s="228"/>
      <c r="U1088" s="191">
        <f t="shared" si="576"/>
        <v>0</v>
      </c>
      <c r="V1088" s="87"/>
      <c r="W1088" s="50"/>
      <c r="Y1088" s="167">
        <f t="shared" si="577"/>
        <v>0</v>
      </c>
      <c r="Z1088" s="167">
        <f t="shared" si="578"/>
        <v>0</v>
      </c>
      <c r="AA1088" s="167">
        <f t="shared" si="579"/>
        <v>0</v>
      </c>
      <c r="AB1088" s="167">
        <f t="shared" si="580"/>
        <v>0</v>
      </c>
      <c r="AC1088" s="167">
        <f t="shared" si="581"/>
        <v>0</v>
      </c>
      <c r="AD1088" s="167">
        <f t="shared" si="582"/>
        <v>0</v>
      </c>
      <c r="AF1088" s="47">
        <f t="shared" si="575"/>
        <v>0</v>
      </c>
    </row>
    <row r="1089" spans="1:32" x14ac:dyDescent="0.35">
      <c r="A1089" s="84"/>
      <c r="B1089" s="84"/>
      <c r="C1089" s="84"/>
      <c r="D1089" s="190"/>
      <c r="E1089" s="84"/>
      <c r="F1089" s="84"/>
      <c r="G1089" s="280"/>
      <c r="H1089" s="234"/>
      <c r="I1089" s="48"/>
      <c r="J1089" s="48"/>
      <c r="K1089" s="48"/>
      <c r="L1089" s="49"/>
      <c r="M1089" s="49"/>
      <c r="N1089" s="49"/>
      <c r="O1089" s="49"/>
      <c r="P1089" s="49"/>
      <c r="Q1089" s="227"/>
      <c r="R1089" s="228"/>
      <c r="S1089" s="228"/>
      <c r="T1089" s="228"/>
      <c r="U1089" s="191">
        <f t="shared" si="576"/>
        <v>0</v>
      </c>
      <c r="V1089" s="87"/>
      <c r="W1089" s="50"/>
      <c r="Y1089" s="167">
        <f t="shared" si="577"/>
        <v>0</v>
      </c>
      <c r="Z1089" s="167">
        <f t="shared" si="578"/>
        <v>0</v>
      </c>
      <c r="AA1089" s="167">
        <f t="shared" si="579"/>
        <v>0</v>
      </c>
      <c r="AB1089" s="167">
        <f t="shared" si="580"/>
        <v>0</v>
      </c>
      <c r="AC1089" s="167">
        <f t="shared" si="581"/>
        <v>0</v>
      </c>
      <c r="AD1089" s="167">
        <f t="shared" si="582"/>
        <v>0</v>
      </c>
      <c r="AF1089" s="47">
        <f t="shared" si="575"/>
        <v>0</v>
      </c>
    </row>
    <row r="1090" spans="1:32" x14ac:dyDescent="0.35">
      <c r="A1090" s="84"/>
      <c r="B1090" s="84"/>
      <c r="C1090" s="84"/>
      <c r="D1090" s="190"/>
      <c r="E1090" s="84"/>
      <c r="F1090" s="84"/>
      <c r="G1090" s="280"/>
      <c r="H1090" s="234"/>
      <c r="I1090" s="48"/>
      <c r="J1090" s="48"/>
      <c r="K1090" s="48"/>
      <c r="L1090" s="49"/>
      <c r="M1090" s="49"/>
      <c r="N1090" s="49"/>
      <c r="O1090" s="49"/>
      <c r="P1090" s="49"/>
      <c r="Q1090" s="227"/>
      <c r="R1090" s="228"/>
      <c r="S1090" s="228"/>
      <c r="T1090" s="228"/>
      <c r="U1090" s="191">
        <f t="shared" si="576"/>
        <v>0</v>
      </c>
      <c r="V1090" s="87"/>
      <c r="W1090" s="50"/>
      <c r="Y1090" s="167">
        <f t="shared" si="577"/>
        <v>0</v>
      </c>
      <c r="Z1090" s="167">
        <f t="shared" si="578"/>
        <v>0</v>
      </c>
      <c r="AA1090" s="167">
        <f t="shared" si="579"/>
        <v>0</v>
      </c>
      <c r="AB1090" s="167">
        <f t="shared" si="580"/>
        <v>0</v>
      </c>
      <c r="AC1090" s="167">
        <f t="shared" si="581"/>
        <v>0</v>
      </c>
      <c r="AD1090" s="167">
        <f t="shared" si="582"/>
        <v>0</v>
      </c>
      <c r="AF1090" s="47">
        <f t="shared" si="575"/>
        <v>0</v>
      </c>
    </row>
    <row r="1091" spans="1:32" x14ac:dyDescent="0.35">
      <c r="A1091" s="84"/>
      <c r="B1091" s="84"/>
      <c r="C1091" s="84"/>
      <c r="D1091" s="190"/>
      <c r="E1091" s="84"/>
      <c r="F1091" s="84"/>
      <c r="G1091" s="280"/>
      <c r="H1091" s="234"/>
      <c r="I1091" s="48"/>
      <c r="J1091" s="48"/>
      <c r="K1091" s="48"/>
      <c r="L1091" s="49"/>
      <c r="M1091" s="49"/>
      <c r="N1091" s="49"/>
      <c r="O1091" s="49"/>
      <c r="P1091" s="49"/>
      <c r="Q1091" s="227"/>
      <c r="R1091" s="228"/>
      <c r="S1091" s="228"/>
      <c r="T1091" s="228"/>
      <c r="U1091" s="191">
        <f t="shared" si="576"/>
        <v>0</v>
      </c>
      <c r="V1091" s="87"/>
      <c r="W1091" s="50"/>
      <c r="Y1091" s="167">
        <f t="shared" si="577"/>
        <v>0</v>
      </c>
      <c r="Z1091" s="167">
        <f t="shared" si="578"/>
        <v>0</v>
      </c>
      <c r="AA1091" s="167">
        <f t="shared" si="579"/>
        <v>0</v>
      </c>
      <c r="AB1091" s="167">
        <f t="shared" si="580"/>
        <v>0</v>
      </c>
      <c r="AC1091" s="167">
        <f t="shared" si="581"/>
        <v>0</v>
      </c>
      <c r="AD1091" s="167">
        <f t="shared" si="582"/>
        <v>0</v>
      </c>
      <c r="AF1091" s="47">
        <f t="shared" si="575"/>
        <v>0</v>
      </c>
    </row>
    <row r="1092" spans="1:32" x14ac:dyDescent="0.35">
      <c r="A1092" s="84"/>
      <c r="B1092" s="84"/>
      <c r="C1092" s="84"/>
      <c r="D1092" s="190"/>
      <c r="E1092" s="84"/>
      <c r="F1092" s="84"/>
      <c r="G1092" s="280"/>
      <c r="H1092" s="234"/>
      <c r="I1092" s="48"/>
      <c r="J1092" s="48"/>
      <c r="K1092" s="48"/>
      <c r="L1092" s="49"/>
      <c r="M1092" s="49"/>
      <c r="N1092" s="49"/>
      <c r="O1092" s="49"/>
      <c r="P1092" s="49"/>
      <c r="Q1092" s="227"/>
      <c r="R1092" s="228"/>
      <c r="S1092" s="228"/>
      <c r="T1092" s="228"/>
      <c r="U1092" s="191">
        <f t="shared" si="576"/>
        <v>0</v>
      </c>
      <c r="V1092" s="87"/>
      <c r="W1092" s="50"/>
      <c r="Y1092" s="167">
        <f t="shared" si="577"/>
        <v>0</v>
      </c>
      <c r="Z1092" s="167">
        <f t="shared" si="578"/>
        <v>0</v>
      </c>
      <c r="AA1092" s="167">
        <f t="shared" si="579"/>
        <v>0</v>
      </c>
      <c r="AB1092" s="167">
        <f t="shared" si="580"/>
        <v>0</v>
      </c>
      <c r="AC1092" s="167">
        <f t="shared" si="581"/>
        <v>0</v>
      </c>
      <c r="AD1092" s="167">
        <f t="shared" si="582"/>
        <v>0</v>
      </c>
      <c r="AF1092" s="47">
        <f t="shared" si="575"/>
        <v>0</v>
      </c>
    </row>
    <row r="1093" spans="1:32" x14ac:dyDescent="0.35">
      <c r="A1093" s="84"/>
      <c r="B1093" s="84"/>
      <c r="C1093" s="84"/>
      <c r="D1093" s="190"/>
      <c r="E1093" s="84"/>
      <c r="F1093" s="84"/>
      <c r="G1093" s="280"/>
      <c r="H1093" s="234"/>
      <c r="I1093" s="48"/>
      <c r="J1093" s="48"/>
      <c r="K1093" s="48"/>
      <c r="L1093" s="49"/>
      <c r="M1093" s="49"/>
      <c r="N1093" s="49"/>
      <c r="O1093" s="49"/>
      <c r="P1093" s="49"/>
      <c r="Q1093" s="227"/>
      <c r="R1093" s="228"/>
      <c r="S1093" s="228"/>
      <c r="T1093" s="228"/>
      <c r="U1093" s="191">
        <f t="shared" si="576"/>
        <v>0</v>
      </c>
      <c r="V1093" s="87"/>
      <c r="W1093" s="50"/>
      <c r="Y1093" s="167">
        <f t="shared" si="577"/>
        <v>0</v>
      </c>
      <c r="Z1093" s="167">
        <f t="shared" si="578"/>
        <v>0</v>
      </c>
      <c r="AA1093" s="167">
        <f t="shared" si="579"/>
        <v>0</v>
      </c>
      <c r="AB1093" s="167">
        <f t="shared" si="580"/>
        <v>0</v>
      </c>
      <c r="AC1093" s="167">
        <f t="shared" si="581"/>
        <v>0</v>
      </c>
      <c r="AD1093" s="167">
        <f t="shared" si="582"/>
        <v>0</v>
      </c>
      <c r="AF1093" s="47">
        <f t="shared" si="575"/>
        <v>0</v>
      </c>
    </row>
    <row r="1094" spans="1:32" x14ac:dyDescent="0.35">
      <c r="A1094" s="84"/>
      <c r="B1094" s="84"/>
      <c r="C1094" s="84"/>
      <c r="D1094" s="190"/>
      <c r="E1094" s="84"/>
      <c r="F1094" s="84"/>
      <c r="G1094" s="280"/>
      <c r="H1094" s="234"/>
      <c r="I1094" s="48"/>
      <c r="J1094" s="48"/>
      <c r="K1094" s="48"/>
      <c r="L1094" s="49"/>
      <c r="M1094" s="49"/>
      <c r="N1094" s="49"/>
      <c r="O1094" s="49"/>
      <c r="P1094" s="49"/>
      <c r="Q1094" s="227"/>
      <c r="R1094" s="228"/>
      <c r="S1094" s="228"/>
      <c r="T1094" s="228"/>
      <c r="U1094" s="191">
        <f t="shared" si="576"/>
        <v>0</v>
      </c>
      <c r="V1094" s="87"/>
      <c r="W1094" s="50"/>
      <c r="Y1094" s="167">
        <f t="shared" si="577"/>
        <v>0</v>
      </c>
      <c r="Z1094" s="167">
        <f t="shared" si="578"/>
        <v>0</v>
      </c>
      <c r="AA1094" s="167">
        <f t="shared" si="579"/>
        <v>0</v>
      </c>
      <c r="AB1094" s="167">
        <f t="shared" si="580"/>
        <v>0</v>
      </c>
      <c r="AC1094" s="167">
        <f t="shared" si="581"/>
        <v>0</v>
      </c>
      <c r="AD1094" s="167">
        <f t="shared" si="582"/>
        <v>0</v>
      </c>
      <c r="AF1094" s="47">
        <f t="shared" si="575"/>
        <v>0</v>
      </c>
    </row>
    <row r="1095" spans="1:32" x14ac:dyDescent="0.35">
      <c r="A1095" s="84"/>
      <c r="B1095" s="84"/>
      <c r="C1095" s="84"/>
      <c r="D1095" s="190"/>
      <c r="E1095" s="84"/>
      <c r="F1095" s="84"/>
      <c r="G1095" s="280"/>
      <c r="H1095" s="234"/>
      <c r="I1095" s="48"/>
      <c r="J1095" s="48"/>
      <c r="K1095" s="48"/>
      <c r="L1095" s="49"/>
      <c r="M1095" s="49"/>
      <c r="N1095" s="49"/>
      <c r="O1095" s="49"/>
      <c r="P1095" s="49"/>
      <c r="Q1095" s="227"/>
      <c r="R1095" s="228"/>
      <c r="S1095" s="228"/>
      <c r="T1095" s="228"/>
      <c r="U1095" s="191">
        <f t="shared" si="576"/>
        <v>0</v>
      </c>
      <c r="V1095" s="87"/>
      <c r="W1095" s="50"/>
      <c r="Y1095" s="167">
        <f t="shared" si="577"/>
        <v>0</v>
      </c>
      <c r="Z1095" s="167">
        <f t="shared" si="578"/>
        <v>0</v>
      </c>
      <c r="AA1095" s="167">
        <f t="shared" si="579"/>
        <v>0</v>
      </c>
      <c r="AB1095" s="167">
        <f t="shared" si="580"/>
        <v>0</v>
      </c>
      <c r="AC1095" s="167">
        <f t="shared" si="581"/>
        <v>0</v>
      </c>
      <c r="AD1095" s="167">
        <f t="shared" si="582"/>
        <v>0</v>
      </c>
      <c r="AF1095" s="47">
        <f t="shared" si="575"/>
        <v>0</v>
      </c>
    </row>
    <row r="1096" spans="1:32" x14ac:dyDescent="0.35">
      <c r="A1096" s="84"/>
      <c r="B1096" s="84"/>
      <c r="C1096" s="84"/>
      <c r="D1096" s="190"/>
      <c r="E1096" s="84"/>
      <c r="F1096" s="84"/>
      <c r="G1096" s="280"/>
      <c r="H1096" s="234"/>
      <c r="I1096" s="48"/>
      <c r="J1096" s="48"/>
      <c r="K1096" s="48"/>
      <c r="L1096" s="49"/>
      <c r="M1096" s="49"/>
      <c r="N1096" s="49"/>
      <c r="O1096" s="49"/>
      <c r="P1096" s="49"/>
      <c r="Q1096" s="227"/>
      <c r="R1096" s="228"/>
      <c r="S1096" s="228"/>
      <c r="T1096" s="228"/>
      <c r="U1096" s="191">
        <f t="shared" si="576"/>
        <v>0</v>
      </c>
      <c r="V1096" s="87"/>
      <c r="W1096" s="50"/>
      <c r="Y1096" s="167">
        <f t="shared" si="577"/>
        <v>0</v>
      </c>
      <c r="Z1096" s="167">
        <f t="shared" si="578"/>
        <v>0</v>
      </c>
      <c r="AA1096" s="167">
        <f t="shared" si="579"/>
        <v>0</v>
      </c>
      <c r="AB1096" s="167">
        <f t="shared" si="580"/>
        <v>0</v>
      </c>
      <c r="AC1096" s="167">
        <f t="shared" si="581"/>
        <v>0</v>
      </c>
      <c r="AD1096" s="167">
        <f t="shared" si="582"/>
        <v>0</v>
      </c>
      <c r="AF1096" s="47">
        <f t="shared" si="575"/>
        <v>0</v>
      </c>
    </row>
    <row r="1097" spans="1:32" x14ac:dyDescent="0.35">
      <c r="A1097" s="84"/>
      <c r="B1097" s="84"/>
      <c r="C1097" s="84"/>
      <c r="D1097" s="190"/>
      <c r="E1097" s="84"/>
      <c r="F1097" s="84"/>
      <c r="G1097" s="280"/>
      <c r="H1097" s="234"/>
      <c r="I1097" s="48"/>
      <c r="J1097" s="48"/>
      <c r="K1097" s="48"/>
      <c r="L1097" s="49"/>
      <c r="M1097" s="49"/>
      <c r="N1097" s="49"/>
      <c r="O1097" s="49"/>
      <c r="P1097" s="49"/>
      <c r="Q1097" s="227"/>
      <c r="R1097" s="228"/>
      <c r="S1097" s="228"/>
      <c r="T1097" s="228"/>
      <c r="U1097" s="191">
        <f t="shared" si="576"/>
        <v>0</v>
      </c>
      <c r="V1097" s="87"/>
      <c r="W1097" s="50"/>
      <c r="Y1097" s="167">
        <f t="shared" si="577"/>
        <v>0</v>
      </c>
      <c r="Z1097" s="167">
        <f t="shared" si="578"/>
        <v>0</v>
      </c>
      <c r="AA1097" s="167">
        <f t="shared" si="579"/>
        <v>0</v>
      </c>
      <c r="AB1097" s="167">
        <f t="shared" si="580"/>
        <v>0</v>
      </c>
      <c r="AC1097" s="167">
        <f t="shared" si="581"/>
        <v>0</v>
      </c>
      <c r="AD1097" s="167">
        <f t="shared" si="582"/>
        <v>0</v>
      </c>
      <c r="AF1097" s="47">
        <f t="shared" si="575"/>
        <v>0</v>
      </c>
    </row>
    <row r="1098" spans="1:32" x14ac:dyDescent="0.35">
      <c r="A1098" s="84"/>
      <c r="B1098" s="84"/>
      <c r="C1098" s="84"/>
      <c r="D1098" s="190"/>
      <c r="E1098" s="84"/>
      <c r="F1098" s="84"/>
      <c r="G1098" s="280"/>
      <c r="H1098" s="234"/>
      <c r="I1098" s="48"/>
      <c r="J1098" s="48"/>
      <c r="K1098" s="48"/>
      <c r="L1098" s="49"/>
      <c r="M1098" s="49"/>
      <c r="N1098" s="49"/>
      <c r="O1098" s="49"/>
      <c r="P1098" s="49"/>
      <c r="Q1098" s="227"/>
      <c r="R1098" s="228"/>
      <c r="S1098" s="228"/>
      <c r="T1098" s="228"/>
      <c r="U1098" s="191">
        <f t="shared" si="576"/>
        <v>0</v>
      </c>
      <c r="V1098" s="87"/>
      <c r="W1098" s="50"/>
      <c r="Y1098" s="167">
        <f t="shared" si="577"/>
        <v>0</v>
      </c>
      <c r="Z1098" s="167">
        <f t="shared" si="578"/>
        <v>0</v>
      </c>
      <c r="AA1098" s="167">
        <f t="shared" si="579"/>
        <v>0</v>
      </c>
      <c r="AB1098" s="167">
        <f t="shared" si="580"/>
        <v>0</v>
      </c>
      <c r="AC1098" s="167">
        <f t="shared" si="581"/>
        <v>0</v>
      </c>
      <c r="AD1098" s="167">
        <f t="shared" si="582"/>
        <v>0</v>
      </c>
      <c r="AF1098" s="47">
        <f t="shared" si="575"/>
        <v>0</v>
      </c>
    </row>
    <row r="1099" spans="1:32" x14ac:dyDescent="0.35">
      <c r="A1099" s="84"/>
      <c r="B1099" s="84"/>
      <c r="C1099" s="84"/>
      <c r="D1099" s="190"/>
      <c r="E1099" s="84"/>
      <c r="F1099" s="84"/>
      <c r="G1099" s="280"/>
      <c r="H1099" s="234"/>
      <c r="I1099" s="48"/>
      <c r="J1099" s="48"/>
      <c r="K1099" s="48"/>
      <c r="L1099" s="49"/>
      <c r="M1099" s="49"/>
      <c r="N1099" s="49"/>
      <c r="O1099" s="49"/>
      <c r="P1099" s="49"/>
      <c r="Q1099" s="227"/>
      <c r="R1099" s="228"/>
      <c r="S1099" s="228"/>
      <c r="T1099" s="228"/>
      <c r="U1099" s="191">
        <f t="shared" si="576"/>
        <v>0</v>
      </c>
      <c r="V1099" s="87"/>
      <c r="W1099" s="50"/>
      <c r="Y1099" s="167">
        <f t="shared" si="577"/>
        <v>0</v>
      </c>
      <c r="Z1099" s="167">
        <f t="shared" si="578"/>
        <v>0</v>
      </c>
      <c r="AA1099" s="167">
        <f t="shared" si="579"/>
        <v>0</v>
      </c>
      <c r="AB1099" s="167">
        <f t="shared" si="580"/>
        <v>0</v>
      </c>
      <c r="AC1099" s="167">
        <f t="shared" si="581"/>
        <v>0</v>
      </c>
      <c r="AD1099" s="167">
        <f t="shared" si="582"/>
        <v>0</v>
      </c>
      <c r="AF1099" s="47">
        <f t="shared" si="575"/>
        <v>0</v>
      </c>
    </row>
    <row r="1100" spans="1:32" x14ac:dyDescent="0.35">
      <c r="A1100" s="84"/>
      <c r="B1100" s="84"/>
      <c r="C1100" s="84"/>
      <c r="D1100" s="190"/>
      <c r="E1100" s="84"/>
      <c r="F1100" s="84"/>
      <c r="G1100" s="280"/>
      <c r="H1100" s="234"/>
      <c r="I1100" s="48"/>
      <c r="J1100" s="48"/>
      <c r="K1100" s="48"/>
      <c r="L1100" s="49"/>
      <c r="M1100" s="49"/>
      <c r="N1100" s="49"/>
      <c r="O1100" s="49"/>
      <c r="P1100" s="49"/>
      <c r="Q1100" s="227"/>
      <c r="R1100" s="228"/>
      <c r="S1100" s="228"/>
      <c r="T1100" s="228"/>
      <c r="U1100" s="191">
        <f t="shared" si="576"/>
        <v>0</v>
      </c>
      <c r="V1100" s="87"/>
      <c r="W1100" s="50"/>
      <c r="Y1100" s="167">
        <f t="shared" si="577"/>
        <v>0</v>
      </c>
      <c r="Z1100" s="167">
        <f t="shared" si="578"/>
        <v>0</v>
      </c>
      <c r="AA1100" s="167">
        <f t="shared" si="579"/>
        <v>0</v>
      </c>
      <c r="AB1100" s="167">
        <f t="shared" si="580"/>
        <v>0</v>
      </c>
      <c r="AC1100" s="167">
        <f t="shared" si="581"/>
        <v>0</v>
      </c>
      <c r="AD1100" s="167">
        <f t="shared" si="582"/>
        <v>0</v>
      </c>
      <c r="AF1100" s="47">
        <f t="shared" si="575"/>
        <v>0</v>
      </c>
    </row>
    <row r="1101" spans="1:32" x14ac:dyDescent="0.35">
      <c r="A1101" s="84"/>
      <c r="B1101" s="84"/>
      <c r="C1101" s="84"/>
      <c r="D1101" s="190"/>
      <c r="E1101" s="84"/>
      <c r="F1101" s="84"/>
      <c r="G1101" s="280"/>
      <c r="H1101" s="234"/>
      <c r="I1101" s="48"/>
      <c r="J1101" s="48"/>
      <c r="K1101" s="48"/>
      <c r="L1101" s="49"/>
      <c r="M1101" s="49"/>
      <c r="N1101" s="49"/>
      <c r="O1101" s="49"/>
      <c r="P1101" s="49"/>
      <c r="Q1101" s="227"/>
      <c r="R1101" s="228"/>
      <c r="S1101" s="228"/>
      <c r="T1101" s="228"/>
      <c r="U1101" s="191">
        <f t="shared" si="576"/>
        <v>0</v>
      </c>
      <c r="V1101" s="87"/>
      <c r="W1101" s="50"/>
      <c r="Y1101" s="167">
        <f t="shared" si="577"/>
        <v>0</v>
      </c>
      <c r="Z1101" s="167">
        <f t="shared" si="578"/>
        <v>0</v>
      </c>
      <c r="AA1101" s="167">
        <f t="shared" si="579"/>
        <v>0</v>
      </c>
      <c r="AB1101" s="167">
        <f t="shared" si="580"/>
        <v>0</v>
      </c>
      <c r="AC1101" s="167">
        <f t="shared" si="581"/>
        <v>0</v>
      </c>
      <c r="AD1101" s="167">
        <f t="shared" si="582"/>
        <v>0</v>
      </c>
      <c r="AF1101" s="47">
        <f t="shared" si="575"/>
        <v>0</v>
      </c>
    </row>
    <row r="1102" spans="1:32" x14ac:dyDescent="0.35">
      <c r="A1102" s="84"/>
      <c r="B1102" s="84"/>
      <c r="C1102" s="84"/>
      <c r="D1102" s="190"/>
      <c r="E1102" s="84"/>
      <c r="F1102" s="84"/>
      <c r="G1102" s="280"/>
      <c r="H1102" s="234"/>
      <c r="I1102" s="48"/>
      <c r="J1102" s="48"/>
      <c r="K1102" s="48"/>
      <c r="L1102" s="49"/>
      <c r="M1102" s="49"/>
      <c r="N1102" s="49"/>
      <c r="O1102" s="49"/>
      <c r="P1102" s="49"/>
      <c r="Q1102" s="227"/>
      <c r="R1102" s="228"/>
      <c r="S1102" s="228"/>
      <c r="T1102" s="228"/>
      <c r="U1102" s="191">
        <f t="shared" si="576"/>
        <v>0</v>
      </c>
      <c r="V1102" s="87"/>
      <c r="W1102" s="50"/>
      <c r="Y1102" s="167">
        <f t="shared" si="577"/>
        <v>0</v>
      </c>
      <c r="Z1102" s="167">
        <f t="shared" si="578"/>
        <v>0</v>
      </c>
      <c r="AA1102" s="167">
        <f t="shared" si="579"/>
        <v>0</v>
      </c>
      <c r="AB1102" s="167">
        <f t="shared" si="580"/>
        <v>0</v>
      </c>
      <c r="AC1102" s="167">
        <f t="shared" si="581"/>
        <v>0</v>
      </c>
      <c r="AD1102" s="167">
        <f t="shared" si="582"/>
        <v>0</v>
      </c>
      <c r="AF1102" s="47">
        <f t="shared" si="575"/>
        <v>0</v>
      </c>
    </row>
    <row r="1103" spans="1:32" x14ac:dyDescent="0.35">
      <c r="A1103" s="84"/>
      <c r="B1103" s="84"/>
      <c r="C1103" s="84"/>
      <c r="D1103" s="190"/>
      <c r="E1103" s="84"/>
      <c r="F1103" s="84"/>
      <c r="G1103" s="280"/>
      <c r="H1103" s="234"/>
      <c r="I1103" s="48"/>
      <c r="J1103" s="48"/>
      <c r="K1103" s="48"/>
      <c r="L1103" s="49"/>
      <c r="M1103" s="49"/>
      <c r="N1103" s="49"/>
      <c r="O1103" s="49"/>
      <c r="P1103" s="49"/>
      <c r="Q1103" s="227"/>
      <c r="R1103" s="228"/>
      <c r="S1103" s="228"/>
      <c r="T1103" s="228"/>
      <c r="U1103" s="191">
        <f t="shared" si="576"/>
        <v>0</v>
      </c>
      <c r="V1103" s="87"/>
      <c r="W1103" s="50"/>
      <c r="Y1103" s="167">
        <f t="shared" si="577"/>
        <v>0</v>
      </c>
      <c r="Z1103" s="167">
        <f t="shared" si="578"/>
        <v>0</v>
      </c>
      <c r="AA1103" s="167">
        <f t="shared" si="579"/>
        <v>0</v>
      </c>
      <c r="AB1103" s="167">
        <f t="shared" si="580"/>
        <v>0</v>
      </c>
      <c r="AC1103" s="167">
        <f t="shared" si="581"/>
        <v>0</v>
      </c>
      <c r="AD1103" s="167">
        <f t="shared" si="582"/>
        <v>0</v>
      </c>
      <c r="AF1103" s="47">
        <f t="shared" si="575"/>
        <v>0</v>
      </c>
    </row>
  </sheetData>
  <sheetProtection formatCells="0" formatColumns="0" formatRows="0" autoFilter="0"/>
  <autoFilter ref="A17:U1103" xr:uid="{00000000-0009-0000-0000-000000000000}"/>
  <mergeCells count="11">
    <mergeCell ref="G14:H14"/>
    <mergeCell ref="A4:C4"/>
    <mergeCell ref="I15:K15"/>
    <mergeCell ref="AG10:GG12"/>
    <mergeCell ref="K2:L2"/>
    <mergeCell ref="Y15:AA15"/>
    <mergeCell ref="AB15:AD15"/>
    <mergeCell ref="Y2:AA3"/>
    <mergeCell ref="AB2:AD3"/>
    <mergeCell ref="J10:J11"/>
    <mergeCell ref="AJ2:AZ2"/>
  </mergeCells>
  <phoneticPr fontId="32" type="noConversion"/>
  <conditionalFormatting sqref="M18">
    <cfRule type="expression" dxfId="45" priority="58">
      <formula>IF(AND(M18&lt;$L$2,P18=$O$3),TRUE,FALSE)</formula>
    </cfRule>
    <cfRule type="expression" dxfId="44" priority="57">
      <formula>IF(AND(M18&lt;$L$2,P18=$O$4),TRUE,FALSE)</formula>
    </cfRule>
    <cfRule type="expression" dxfId="43" priority="56">
      <formula>IF(AND(M18&lt;$L$2,P18=$O$5),TRUE,FALSE)</formula>
    </cfRule>
  </conditionalFormatting>
  <conditionalFormatting sqref="M21:M30">
    <cfRule type="expression" dxfId="42" priority="67">
      <formula>IF(AND(M21&lt;#REF!,P21=$O$3),TRUE,FALSE)</formula>
    </cfRule>
    <cfRule type="expression" dxfId="41" priority="66">
      <formula>IF(AND(M21&lt;#REF!,P21=$O$4),TRUE,FALSE)</formula>
    </cfRule>
    <cfRule type="expression" dxfId="40" priority="65">
      <formula>IF(AND(M21&lt;#REF!,P21=$O$5),TRUE,FALSE)</formula>
    </cfRule>
  </conditionalFormatting>
  <conditionalFormatting sqref="M40">
    <cfRule type="expression" dxfId="39" priority="33">
      <formula>IF(AND(M40&lt;$L$2,P40=$O$3),TRUE,FALSE)</formula>
    </cfRule>
    <cfRule type="expression" dxfId="38" priority="31">
      <formula>IF(AND(M40&lt;$L$2,P40=$O$5),TRUE,FALSE)</formula>
    </cfRule>
    <cfRule type="expression" dxfId="37" priority="32">
      <formula>IF(AND(M40&lt;$L$2,P40=$O$4),TRUE,FALSE)</formula>
    </cfRule>
  </conditionalFormatting>
  <conditionalFormatting sqref="M135">
    <cfRule type="expression" dxfId="36" priority="30">
      <formula>IF(AND(M135&lt;$L$2,P135=$O$3),TRUE,FALSE)</formula>
    </cfRule>
    <cfRule type="expression" dxfId="35" priority="29">
      <formula>IF(AND(M135&lt;$L$2,P135=$O$4),TRUE,FALSE)</formula>
    </cfRule>
    <cfRule type="expression" dxfId="34" priority="28">
      <formula>IF(AND(M135&lt;$L$2,P135=$O$5),TRUE,FALSE)</formula>
    </cfRule>
  </conditionalFormatting>
  <conditionalFormatting sqref="M152">
    <cfRule type="expression" dxfId="33" priority="25">
      <formula>IF(AND(M152&lt;$L$2,P152=$O$5),TRUE,FALSE)</formula>
    </cfRule>
    <cfRule type="expression" dxfId="32" priority="26">
      <formula>IF(AND(M152&lt;$L$2,P152=$O$4),TRUE,FALSE)</formula>
    </cfRule>
    <cfRule type="expression" dxfId="31" priority="27">
      <formula>IF(AND(M152&lt;$L$2,P152=$O$3),TRUE,FALSE)</formula>
    </cfRule>
  </conditionalFormatting>
  <conditionalFormatting sqref="M175">
    <cfRule type="expression" dxfId="30" priority="24">
      <formula>IF(AND(M175&lt;$L$2,P175=$O$3),TRUE,FALSE)</formula>
    </cfRule>
    <cfRule type="expression" dxfId="29" priority="23">
      <formula>IF(AND(M175&lt;$L$2,P175=$O$4),TRUE,FALSE)</formula>
    </cfRule>
    <cfRule type="expression" dxfId="28" priority="22">
      <formula>IF(AND(M175&lt;$L$2,P175=$O$5),TRUE,FALSE)</formula>
    </cfRule>
  </conditionalFormatting>
  <conditionalFormatting sqref="M249">
    <cfRule type="expression" dxfId="27" priority="21">
      <formula>IF(AND(M249&lt;$L$2,P249=$O$3),TRUE,FALSE)</formula>
    </cfRule>
    <cfRule type="expression" dxfId="26" priority="20">
      <formula>IF(AND(M249&lt;$L$2,P249=$O$4),TRUE,FALSE)</formula>
    </cfRule>
    <cfRule type="expression" dxfId="25" priority="19">
      <formula>IF(AND(M249&lt;$L$2,P249=$O$5),TRUE,FALSE)</formula>
    </cfRule>
  </conditionalFormatting>
  <conditionalFormatting sqref="M268:M269">
    <cfRule type="expression" dxfId="24" priority="18">
      <formula>IF(AND(M268&lt;$L$2,P268=$O$3),TRUE,FALSE)</formula>
    </cfRule>
    <cfRule type="expression" dxfId="23" priority="17">
      <formula>IF(AND(M268&lt;$L$2,P268=$O$4),TRUE,FALSE)</formula>
    </cfRule>
    <cfRule type="expression" dxfId="22" priority="16">
      <formula>IF(AND(M268&lt;$L$2,P268=$O$5),TRUE,FALSE)</formula>
    </cfRule>
  </conditionalFormatting>
  <conditionalFormatting sqref="M370">
    <cfRule type="expression" dxfId="21" priority="6">
      <formula>IF(AND(M370&lt;$L$2,P370=$O$3),TRUE,FALSE)</formula>
    </cfRule>
    <cfRule type="expression" dxfId="20" priority="4">
      <formula>IF(AND(M370&lt;$L$2,P370=$O$5),TRUE,FALSE)</formula>
    </cfRule>
    <cfRule type="expression" dxfId="19" priority="5">
      <formula>IF(AND(M370&lt;$L$2,P370=$O$4),TRUE,FALSE)</formula>
    </cfRule>
  </conditionalFormatting>
  <conditionalFormatting sqref="N30:O30">
    <cfRule type="expression" dxfId="18" priority="2">
      <formula>IF(AND(N30&lt;#REF!,Q30=$O$4),TRUE,FALSE)</formula>
    </cfRule>
    <cfRule type="expression" dxfId="17" priority="3">
      <formula>IF(AND(N30&lt;#REF!,Q30=$O$3),TRUE,FALSE)</formula>
    </cfRule>
    <cfRule type="expression" dxfId="16" priority="1">
      <formula>IF(AND(N30&lt;#REF!,Q30=$O$5),TRUE,FALSE)</formula>
    </cfRule>
  </conditionalFormatting>
  <conditionalFormatting sqref="O22:O23">
    <cfRule type="expression" dxfId="15" priority="10">
      <formula>IF(AND(O22&lt;#REF!,R22=$O$5),TRUE,FALSE)</formula>
    </cfRule>
    <cfRule type="expression" dxfId="14" priority="11">
      <formula>IF(AND(O22&lt;#REF!,R22=$O$4),TRUE,FALSE)</formula>
    </cfRule>
    <cfRule type="expression" dxfId="13" priority="12">
      <formula>IF(AND(O22&lt;#REF!,R22=$O$3),TRUE,FALSE)</formula>
    </cfRule>
  </conditionalFormatting>
  <conditionalFormatting sqref="Q18:Q1103">
    <cfRule type="cellIs" dxfId="12" priority="13" operator="equal">
      <formula>"contract prep."</formula>
    </cfRule>
    <cfRule type="cellIs" dxfId="11" priority="15" operator="equal">
      <formula>"closed"</formula>
    </cfRule>
    <cfRule type="cellIs" dxfId="10" priority="14" operator="equal">
      <formula>"PCT/approval"</formula>
    </cfRule>
  </conditionalFormatting>
  <conditionalFormatting sqref="AH15:GG15">
    <cfRule type="expression" dxfId="9" priority="36">
      <formula>IF(AND($AD$14&lt;=AH$13,$AD$15&gt;AH$13),TRUE,FALSE)</formula>
    </cfRule>
  </conditionalFormatting>
  <conditionalFormatting sqref="AH15:GG606">
    <cfRule type="expression" dxfId="8" priority="34">
      <formula>IF(OR(AH$14=52,AH$14=53),TRUE,FALSE)</formula>
    </cfRule>
    <cfRule type="expression" dxfId="7" priority="35">
      <formula>IF(AND($L$2&gt;=AH$13,$L$2&lt;AI$13),TRUE,FALSE)</formula>
    </cfRule>
  </conditionalFormatting>
  <conditionalFormatting sqref="AH17:GG606">
    <cfRule type="expression" dxfId="6" priority="42">
      <formula>IF(AND($K17&lt;=AH$13,$L17&gt;AH$13,$O17=$O$5,$L17&lt;$L$2),TRUE,FALSE)</formula>
    </cfRule>
    <cfRule type="expression" dxfId="5" priority="43">
      <formula>IF(AND($K17&lt;=AH$13,$L17&gt;AH$13,$O17=$O$4,$L17&lt;$L$2),TRUE,FALSE)</formula>
    </cfRule>
    <cfRule type="expression" dxfId="4" priority="45">
      <formula>IF(AND($K17&lt;=AH$13,$L17&gt;AH$13,$O17=$O$6,$L17&lt;$L$2),TRUE,FALSE)</formula>
    </cfRule>
    <cfRule type="expression" dxfId="3" priority="46">
      <formula>IF(AND($K17&lt;=AH$13,$L17&gt;AH$13,$O17=$O$7,$L17&lt;$L$2),TRUE,FALSE)</formula>
    </cfRule>
    <cfRule type="expression" dxfId="2" priority="48">
      <formula>IF(AND($K17&lt;=AH$13,$L17&gt;AH$13),TRUE,FALSE)</formula>
    </cfRule>
    <cfRule type="expression" dxfId="1" priority="49">
      <formula>IF(AND($M17&lt;=AH$13,$N17&gt;AH$13),TRUE,FALSE)</formula>
    </cfRule>
    <cfRule type="expression" dxfId="0" priority="44">
      <formula>IF(AND($K17&lt;=AH$13,$L17&gt;AH$13,$O17=$O$3,$L17&lt;$L$2),TRUE,FALSE)</formula>
    </cfRule>
  </conditionalFormatting>
  <dataValidations count="5">
    <dataValidation type="list" allowBlank="1" showInputMessage="1" showErrorMessage="1" sqref="B10" xr:uid="{00000000-0002-0000-0000-000000000000}">
      <formula1>"EUR,AED,ALL,BAM,BGN,BYR,CHF,CSD,CZK,GBP,HRK,HUF,LTL,LYD,MKD,NOK,OMR,PLN,QAR,RON,SIT,THB,TRY,UAH"</formula1>
    </dataValidation>
    <dataValidation type="list" allowBlank="1" showInputMessage="1" showErrorMessage="1" sqref="Q1104:Q1048576" xr:uid="{00000000-0002-0000-0000-000001000000}">
      <formula1>"enquiry,negotiation,PCT/approval,contract,closed,backup"</formula1>
    </dataValidation>
    <dataValidation type="list" allowBlank="1" showInputMessage="1" showErrorMessage="1" sqref="G1104:G1048576" xr:uid="{00000000-0002-0000-0000-000003000000}">
      <formula1>"1,2"</formula1>
    </dataValidation>
    <dataValidation type="list" allowBlank="1" showInputMessage="1" showErrorMessage="1" sqref="G18:G1103" xr:uid="{D7EDB875-194B-4B08-A1B7-6AFF727DE281}">
      <formula1>"1,2,3,4"</formula1>
    </dataValidation>
    <dataValidation type="list" allowBlank="1" showInputMessage="1" showErrorMessage="1" sqref="Q18:Q1103" xr:uid="{C41DECCD-37A4-4AC6-8215-8521871BED5E}">
      <formula1>"enquiry,negotiation,PCT/approval,contract prep.,closed,finalized,backup,planned"</formula1>
    </dataValidation>
  </dataValidations>
  <printOptions horizontalCentered="1"/>
  <pageMargins left="0.31496062992125984" right="0.31496062992125984" top="1.1417322834645669" bottom="1.3385826771653544" header="0.31496062992125984" footer="0.31496062992125984"/>
  <pageSetup paperSize="8" scale="3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5D447-A9A3-42C8-B00A-258B8A25141B}">
  <dimension ref="A1:AR1000"/>
  <sheetViews>
    <sheetView showZeros="0" workbookViewId="0">
      <selection activeCell="R31" sqref="I28:R31"/>
    </sheetView>
  </sheetViews>
  <sheetFormatPr defaultColWidth="8.6640625" defaultRowHeight="12.75" x14ac:dyDescent="0.35"/>
  <cols>
    <col min="1" max="1" width="14.46484375" bestFit="1" customWidth="1"/>
    <col min="2" max="2" width="9.86328125" bestFit="1" customWidth="1"/>
    <col min="3" max="3" width="11.6640625" bestFit="1" customWidth="1"/>
    <col min="4" max="4" width="11.86328125" bestFit="1" customWidth="1"/>
    <col min="5" max="5" width="9.86328125" customWidth="1"/>
    <col min="7" max="7" width="18.46484375" bestFit="1" customWidth="1"/>
    <col min="8" max="8" width="9.86328125" bestFit="1" customWidth="1"/>
    <col min="9" max="9" width="11.6640625" bestFit="1" customWidth="1"/>
    <col min="10" max="10" width="11.86328125" bestFit="1" customWidth="1"/>
    <col min="15" max="15" width="18.46484375" bestFit="1" customWidth="1"/>
    <col min="16" max="17" width="11.6640625" bestFit="1" customWidth="1"/>
    <col min="18" max="18" width="11.86328125" bestFit="1" customWidth="1"/>
    <col min="19" max="19" width="11.33203125" bestFit="1" customWidth="1"/>
    <col min="20" max="20" width="11.33203125" style="64" bestFit="1" customWidth="1"/>
    <col min="21" max="21" width="11.33203125" style="64" customWidth="1"/>
    <col min="23" max="23" width="18.46484375" bestFit="1" customWidth="1"/>
    <col min="24" max="24" width="9.86328125" bestFit="1" customWidth="1"/>
    <col min="25" max="25" width="11.6640625" bestFit="1" customWidth="1"/>
    <col min="26" max="26" width="11.86328125" bestFit="1" customWidth="1"/>
    <col min="28" max="28" width="8.6640625" style="64"/>
    <col min="31" max="31" width="9.86328125" bestFit="1" customWidth="1"/>
    <col min="44" max="44" width="9.86328125" bestFit="1" customWidth="1"/>
    <col min="50" max="50" width="61.1328125" bestFit="1" customWidth="1"/>
    <col min="51" max="51" width="11.6640625" bestFit="1" customWidth="1"/>
    <col min="52" max="52" width="6.86328125" bestFit="1" customWidth="1"/>
  </cols>
  <sheetData>
    <row r="1" spans="1:44" ht="89.25" x14ac:dyDescent="0.35">
      <c r="A1" s="55" t="s">
        <v>54</v>
      </c>
      <c r="B1" s="62" t="s">
        <v>67</v>
      </c>
      <c r="C1" s="62" t="s">
        <v>55</v>
      </c>
      <c r="D1" s="62" t="s">
        <v>56</v>
      </c>
      <c r="E1" s="62" t="s">
        <v>57</v>
      </c>
      <c r="F1" s="55"/>
      <c r="G1" s="55" t="s">
        <v>54</v>
      </c>
      <c r="H1" s="62" t="s">
        <v>68</v>
      </c>
      <c r="I1" s="62" t="s">
        <v>55</v>
      </c>
      <c r="J1" s="62" t="s">
        <v>56</v>
      </c>
      <c r="K1" s="62" t="s">
        <v>57</v>
      </c>
      <c r="L1" s="62"/>
      <c r="AI1" t="s">
        <v>69</v>
      </c>
    </row>
    <row r="2" spans="1:44" x14ac:dyDescent="0.35">
      <c r="A2">
        <f>'Procurement Schedule'!R18</f>
        <v>0</v>
      </c>
      <c r="B2" s="63">
        <f>'Procurement Schedule'!M18</f>
        <v>0</v>
      </c>
      <c r="C2">
        <f t="shared" ref="C2:C18" si="0">MONTH(B2)</f>
        <v>1</v>
      </c>
      <c r="D2">
        <f t="shared" ref="D2:D19" si="1">YEAR(B2)</f>
        <v>1900</v>
      </c>
      <c r="E2" t="str">
        <f>C2&amp;"_"&amp;D2</f>
        <v>1_1900</v>
      </c>
      <c r="G2">
        <f>A2</f>
        <v>0</v>
      </c>
      <c r="H2" s="63">
        <f>'Procurement Schedule'!O18</f>
        <v>0</v>
      </c>
      <c r="I2">
        <f t="shared" ref="I2:I19" si="2">MONTH(H2)</f>
        <v>1</v>
      </c>
      <c r="J2">
        <f t="shared" ref="J2:J19" si="3">YEAR(H2)</f>
        <v>1900</v>
      </c>
      <c r="K2" t="str">
        <f>I2&amp;"_"&amp;J2</f>
        <v>1_1900</v>
      </c>
      <c r="O2" s="65" t="s">
        <v>63</v>
      </c>
      <c r="W2" s="65" t="s">
        <v>63</v>
      </c>
      <c r="AM2">
        <v>1</v>
      </c>
      <c r="AN2">
        <v>2020</v>
      </c>
      <c r="AQ2" t="str">
        <f>AM2&amp;"_"&amp;$AN$2</f>
        <v>1_2020</v>
      </c>
      <c r="AR2" s="63">
        <v>43831</v>
      </c>
    </row>
    <row r="3" spans="1:44" x14ac:dyDescent="0.35">
      <c r="A3" t="e">
        <f>'Procurement Schedule'!#REF!</f>
        <v>#REF!</v>
      </c>
      <c r="B3" s="63" t="e">
        <f>'Procurement Schedule'!#REF!</f>
        <v>#REF!</v>
      </c>
      <c r="C3" t="e">
        <f t="shared" si="0"/>
        <v>#REF!</v>
      </c>
      <c r="D3" t="e">
        <f t="shared" si="1"/>
        <v>#REF!</v>
      </c>
      <c r="E3" t="e">
        <f t="shared" ref="E3:E19" si="4">C3&amp;"_"&amp;D3</f>
        <v>#REF!</v>
      </c>
      <c r="G3" t="e">
        <f t="shared" ref="G3:G19" si="5">A3</f>
        <v>#REF!</v>
      </c>
      <c r="H3" s="63" t="e">
        <f>'Procurement Schedule'!#REF!</f>
        <v>#REF!</v>
      </c>
      <c r="I3" t="e">
        <f t="shared" si="2"/>
        <v>#REF!</v>
      </c>
      <c r="J3" t="e">
        <f t="shared" si="3"/>
        <v>#REF!</v>
      </c>
      <c r="K3" t="e">
        <f t="shared" ref="K3:K19" si="6">I3&amp;"_"&amp;J3</f>
        <v>#REF!</v>
      </c>
      <c r="O3" s="65" t="s">
        <v>56</v>
      </c>
      <c r="P3" s="65" t="s">
        <v>55</v>
      </c>
      <c r="Q3" s="65" t="s">
        <v>57</v>
      </c>
      <c r="R3" t="s">
        <v>1414</v>
      </c>
      <c r="W3" s="65" t="s">
        <v>56</v>
      </c>
      <c r="X3" s="65" t="s">
        <v>55</v>
      </c>
      <c r="Y3" s="65" t="s">
        <v>57</v>
      </c>
      <c r="Z3" t="s">
        <v>1414</v>
      </c>
      <c r="AD3" t="s">
        <v>65</v>
      </c>
      <c r="AM3">
        <v>2</v>
      </c>
      <c r="AN3">
        <v>2021</v>
      </c>
      <c r="AQ3" t="str">
        <f t="shared" ref="AQ3:AQ13" si="7">AM3&amp;"_"&amp;$AN$2</f>
        <v>2_2020</v>
      </c>
      <c r="AR3" s="63">
        <f>DATE(YEAR(AR2),MONTH(AR2)+1,DAY(AR2))</f>
        <v>43862</v>
      </c>
    </row>
    <row r="4" spans="1:44" x14ac:dyDescent="0.35">
      <c r="A4" t="e">
        <f>'Procurement Schedule'!#REF!</f>
        <v>#REF!</v>
      </c>
      <c r="B4" s="63" t="e">
        <f>'Procurement Schedule'!#REF!</f>
        <v>#REF!</v>
      </c>
      <c r="C4" t="e">
        <f t="shared" si="0"/>
        <v>#REF!</v>
      </c>
      <c r="D4" t="e">
        <f t="shared" si="1"/>
        <v>#REF!</v>
      </c>
      <c r="E4" t="e">
        <f t="shared" si="4"/>
        <v>#REF!</v>
      </c>
      <c r="G4" t="e">
        <f t="shared" si="5"/>
        <v>#REF!</v>
      </c>
      <c r="H4" s="63" t="e">
        <f>'Procurement Schedule'!#REF!</f>
        <v>#REF!</v>
      </c>
      <c r="I4" t="e">
        <f t="shared" si="2"/>
        <v>#REF!</v>
      </c>
      <c r="J4" t="e">
        <f t="shared" si="3"/>
        <v>#REF!</v>
      </c>
      <c r="K4" t="e">
        <f t="shared" si="6"/>
        <v>#REF!</v>
      </c>
      <c r="O4">
        <v>1900</v>
      </c>
      <c r="P4">
        <v>1</v>
      </c>
      <c r="Q4" t="s">
        <v>65</v>
      </c>
      <c r="R4" s="361">
        <v>116678285.17868666</v>
      </c>
      <c r="S4" t="s">
        <v>198</v>
      </c>
      <c r="T4" s="64" t="s">
        <v>64</v>
      </c>
      <c r="W4">
        <v>1900</v>
      </c>
      <c r="X4">
        <v>1</v>
      </c>
      <c r="Y4" t="s">
        <v>65</v>
      </c>
      <c r="Z4" s="361">
        <v>268781712.57033521</v>
      </c>
      <c r="AA4" t="s">
        <v>198</v>
      </c>
      <c r="AB4" s="64" t="s">
        <v>64</v>
      </c>
      <c r="AD4" t="s">
        <v>70</v>
      </c>
      <c r="AE4" s="63">
        <v>43831</v>
      </c>
      <c r="AM4">
        <v>3</v>
      </c>
      <c r="AN4">
        <v>2022</v>
      </c>
      <c r="AQ4" t="str">
        <f t="shared" si="7"/>
        <v>3_2020</v>
      </c>
      <c r="AR4" s="63">
        <f t="shared" ref="AR4:AR67" si="8">DATE(YEAR(AR3),MONTH(AR3)+1,DAY(AR3))</f>
        <v>43891</v>
      </c>
    </row>
    <row r="5" spans="1:44" x14ac:dyDescent="0.35">
      <c r="A5" t="e">
        <f>'Procurement Schedule'!#REF!</f>
        <v>#REF!</v>
      </c>
      <c r="B5" s="63" t="e">
        <f>'Procurement Schedule'!#REF!</f>
        <v>#REF!</v>
      </c>
      <c r="C5" t="e">
        <f t="shared" si="0"/>
        <v>#REF!</v>
      </c>
      <c r="D5" t="e">
        <f t="shared" si="1"/>
        <v>#REF!</v>
      </c>
      <c r="E5" t="e">
        <f t="shared" si="4"/>
        <v>#REF!</v>
      </c>
      <c r="G5" t="e">
        <f t="shared" si="5"/>
        <v>#REF!</v>
      </c>
      <c r="H5" s="63" t="e">
        <f>'Procurement Schedule'!#REF!</f>
        <v>#REF!</v>
      </c>
      <c r="I5" t="e">
        <f t="shared" si="2"/>
        <v>#REF!</v>
      </c>
      <c r="J5" t="e">
        <f t="shared" si="3"/>
        <v>#REF!</v>
      </c>
      <c r="K5" t="e">
        <f t="shared" si="6"/>
        <v>#REF!</v>
      </c>
      <c r="P5">
        <v>4</v>
      </c>
      <c r="Q5" t="s">
        <v>1421</v>
      </c>
      <c r="R5" s="361">
        <v>285000</v>
      </c>
      <c r="S5">
        <f>R5</f>
        <v>285000</v>
      </c>
      <c r="T5" s="64" t="str">
        <f t="shared" ref="T5:T68" si="9">IFERROR(VLOOKUP(Q5,AD:AE,2,0),"")</f>
        <v/>
      </c>
      <c r="V5" s="64"/>
      <c r="W5">
        <v>2025</v>
      </c>
      <c r="X5">
        <v>12</v>
      </c>
      <c r="Y5" t="s">
        <v>136</v>
      </c>
      <c r="Z5" s="361">
        <v>78385600</v>
      </c>
      <c r="AA5">
        <f>Z5</f>
        <v>78385600</v>
      </c>
      <c r="AB5" s="64">
        <f>IFERROR(VLOOKUP(Y5,AD:AE,2,0),"")</f>
        <v>45992</v>
      </c>
      <c r="AD5" t="s">
        <v>71</v>
      </c>
      <c r="AE5" s="63">
        <v>43862</v>
      </c>
      <c r="AM5">
        <v>4</v>
      </c>
      <c r="AN5">
        <v>2023</v>
      </c>
      <c r="AQ5" t="str">
        <f t="shared" si="7"/>
        <v>4_2020</v>
      </c>
      <c r="AR5" s="63">
        <f t="shared" si="8"/>
        <v>43922</v>
      </c>
    </row>
    <row r="6" spans="1:44" x14ac:dyDescent="0.35">
      <c r="A6" t="e">
        <f>'Procurement Schedule'!#REF!</f>
        <v>#REF!</v>
      </c>
      <c r="B6" s="63" t="e">
        <f>'Procurement Schedule'!#REF!</f>
        <v>#REF!</v>
      </c>
      <c r="C6" t="e">
        <f t="shared" si="0"/>
        <v>#REF!</v>
      </c>
      <c r="D6" t="e">
        <f t="shared" si="1"/>
        <v>#REF!</v>
      </c>
      <c r="E6" t="e">
        <f t="shared" si="4"/>
        <v>#REF!</v>
      </c>
      <c r="G6" t="e">
        <f t="shared" si="5"/>
        <v>#REF!</v>
      </c>
      <c r="H6" s="63" t="e">
        <f>'Procurement Schedule'!#REF!</f>
        <v>#REF!</v>
      </c>
      <c r="I6" t="e">
        <f t="shared" si="2"/>
        <v>#REF!</v>
      </c>
      <c r="J6" t="e">
        <f t="shared" si="3"/>
        <v>#REF!</v>
      </c>
      <c r="K6" t="e">
        <f t="shared" si="6"/>
        <v>#REF!</v>
      </c>
      <c r="O6">
        <v>2025</v>
      </c>
      <c r="P6">
        <v>12</v>
      </c>
      <c r="Q6" t="s">
        <v>136</v>
      </c>
      <c r="R6" s="361">
        <v>5808900</v>
      </c>
      <c r="S6">
        <f>IF(R6="","",S5+R6)</f>
        <v>6093900</v>
      </c>
      <c r="T6" s="64">
        <f t="shared" si="9"/>
        <v>45992</v>
      </c>
      <c r="W6">
        <v>2026</v>
      </c>
      <c r="X6">
        <v>1</v>
      </c>
      <c r="Y6" t="s">
        <v>137</v>
      </c>
      <c r="Z6" s="361">
        <v>2780664.0548568321</v>
      </c>
      <c r="AA6">
        <f>IF(Z6="","",AA5+Z6)</f>
        <v>81166264.054856837</v>
      </c>
      <c r="AB6" s="64">
        <f t="shared" ref="AB6:AB9" si="10">IFERROR(VLOOKUP(Y6,AD:AE,2,0),"")</f>
        <v>46023</v>
      </c>
      <c r="AD6" t="s">
        <v>72</v>
      </c>
      <c r="AE6" s="63">
        <v>43891</v>
      </c>
      <c r="AM6">
        <v>5</v>
      </c>
      <c r="AN6">
        <v>2024</v>
      </c>
      <c r="AQ6" t="str">
        <f t="shared" si="7"/>
        <v>5_2020</v>
      </c>
      <c r="AR6" s="63">
        <f t="shared" si="8"/>
        <v>43952</v>
      </c>
    </row>
    <row r="7" spans="1:44" x14ac:dyDescent="0.35">
      <c r="A7" t="e">
        <f>'Procurement Schedule'!#REF!</f>
        <v>#REF!</v>
      </c>
      <c r="B7" s="63" t="e">
        <f>'Procurement Schedule'!#REF!</f>
        <v>#REF!</v>
      </c>
      <c r="C7" t="e">
        <f t="shared" si="0"/>
        <v>#REF!</v>
      </c>
      <c r="D7" t="e">
        <f t="shared" si="1"/>
        <v>#REF!</v>
      </c>
      <c r="E7" t="e">
        <f t="shared" si="4"/>
        <v>#REF!</v>
      </c>
      <c r="G7" t="e">
        <f t="shared" si="5"/>
        <v>#REF!</v>
      </c>
      <c r="H7" s="63" t="e">
        <f>'Procurement Schedule'!#REF!</f>
        <v>#REF!</v>
      </c>
      <c r="I7" t="e">
        <f t="shared" si="2"/>
        <v>#REF!</v>
      </c>
      <c r="J7" t="e">
        <f t="shared" si="3"/>
        <v>#REF!</v>
      </c>
      <c r="K7" t="e">
        <f t="shared" si="6"/>
        <v>#REF!</v>
      </c>
      <c r="O7">
        <v>2026</v>
      </c>
      <c r="P7">
        <v>1</v>
      </c>
      <c r="Q7" t="s">
        <v>137</v>
      </c>
      <c r="R7" s="361">
        <v>1200781.3999999999</v>
      </c>
      <c r="S7">
        <f>IF(R7="","",S6+R7)</f>
        <v>7294681.4000000004</v>
      </c>
      <c r="T7" s="64">
        <f t="shared" si="9"/>
        <v>46023</v>
      </c>
      <c r="X7">
        <v>2</v>
      </c>
      <c r="Y7" t="s">
        <v>138</v>
      </c>
      <c r="Z7" s="361">
        <v>5973087.0199999996</v>
      </c>
      <c r="AA7">
        <f t="shared" ref="AA7:AA9" si="11">IF(Z7="","",AA6+Z7)</f>
        <v>87139351.074856833</v>
      </c>
      <c r="AB7" s="64">
        <f t="shared" si="10"/>
        <v>46054</v>
      </c>
      <c r="AD7" t="s">
        <v>73</v>
      </c>
      <c r="AE7" s="63">
        <v>43922</v>
      </c>
      <c r="AM7">
        <v>6</v>
      </c>
      <c r="AN7">
        <v>2025</v>
      </c>
      <c r="AQ7" t="str">
        <f t="shared" si="7"/>
        <v>6_2020</v>
      </c>
      <c r="AR7" s="63">
        <f t="shared" si="8"/>
        <v>43983</v>
      </c>
    </row>
    <row r="8" spans="1:44" x14ac:dyDescent="0.35">
      <c r="A8">
        <f>'Procurement Schedule'!R19</f>
        <v>9890000</v>
      </c>
      <c r="B8" s="63">
        <f>'Procurement Schedule'!M19</f>
        <v>46235</v>
      </c>
      <c r="C8">
        <f t="shared" si="0"/>
        <v>8</v>
      </c>
      <c r="D8">
        <f t="shared" si="1"/>
        <v>2026</v>
      </c>
      <c r="E8" t="str">
        <f t="shared" si="4"/>
        <v>8_2026</v>
      </c>
      <c r="G8">
        <f t="shared" si="5"/>
        <v>9890000</v>
      </c>
      <c r="H8" s="63">
        <f>'Procurement Schedule'!N19</f>
        <v>45995</v>
      </c>
      <c r="I8">
        <f t="shared" si="2"/>
        <v>12</v>
      </c>
      <c r="J8">
        <f t="shared" si="3"/>
        <v>2025</v>
      </c>
      <c r="K8" t="str">
        <f t="shared" si="6"/>
        <v>12_2025</v>
      </c>
      <c r="P8">
        <v>2</v>
      </c>
      <c r="Q8" t="s">
        <v>138</v>
      </c>
      <c r="R8" s="361">
        <v>1801400</v>
      </c>
      <c r="S8">
        <f>IF(R8="","",S7+R8)</f>
        <v>9096081.4000000004</v>
      </c>
      <c r="T8" s="64">
        <f t="shared" si="9"/>
        <v>46054</v>
      </c>
      <c r="X8">
        <v>3</v>
      </c>
      <c r="Y8" t="s">
        <v>139</v>
      </c>
      <c r="Z8" s="361">
        <v>250000</v>
      </c>
      <c r="AA8">
        <f t="shared" si="11"/>
        <v>87389351.074856833</v>
      </c>
      <c r="AB8" s="64">
        <f t="shared" si="10"/>
        <v>46082</v>
      </c>
      <c r="AD8" t="s">
        <v>74</v>
      </c>
      <c r="AE8" s="63">
        <v>43952</v>
      </c>
      <c r="AM8">
        <v>7</v>
      </c>
      <c r="AN8">
        <v>2026</v>
      </c>
      <c r="AQ8" t="str">
        <f t="shared" si="7"/>
        <v>7_2020</v>
      </c>
      <c r="AR8" s="63">
        <f t="shared" si="8"/>
        <v>44013</v>
      </c>
    </row>
    <row r="9" spans="1:44" x14ac:dyDescent="0.35">
      <c r="A9">
        <f>'Procurement Schedule'!R20</f>
        <v>0</v>
      </c>
      <c r="B9" s="63">
        <f>'Procurement Schedule'!M20</f>
        <v>0</v>
      </c>
      <c r="C9">
        <f t="shared" si="0"/>
        <v>1</v>
      </c>
      <c r="D9">
        <f t="shared" si="1"/>
        <v>1900</v>
      </c>
      <c r="E9" t="str">
        <f t="shared" si="4"/>
        <v>1_1900</v>
      </c>
      <c r="G9">
        <f t="shared" si="5"/>
        <v>0</v>
      </c>
      <c r="H9" s="63">
        <f>'Procurement Schedule'!N20</f>
        <v>0</v>
      </c>
      <c r="I9">
        <f t="shared" si="2"/>
        <v>1</v>
      </c>
      <c r="J9">
        <f t="shared" si="3"/>
        <v>1900</v>
      </c>
      <c r="K9" t="str">
        <f t="shared" si="6"/>
        <v>1_1900</v>
      </c>
      <c r="P9">
        <v>3</v>
      </c>
      <c r="Q9" t="s">
        <v>139</v>
      </c>
      <c r="R9" s="361">
        <v>57555875.700000003</v>
      </c>
      <c r="S9">
        <f>IF(R9="","",S8+R9)</f>
        <v>66651957.100000001</v>
      </c>
      <c r="T9" s="64">
        <f t="shared" si="9"/>
        <v>46082</v>
      </c>
      <c r="X9">
        <v>4</v>
      </c>
      <c r="Y9" t="s">
        <v>140</v>
      </c>
      <c r="Z9" s="361">
        <v>55893400.401902169</v>
      </c>
      <c r="AA9">
        <f t="shared" si="11"/>
        <v>143282751.47675902</v>
      </c>
      <c r="AB9" s="64">
        <f t="shared" si="10"/>
        <v>46113</v>
      </c>
      <c r="AD9" t="s">
        <v>75</v>
      </c>
      <c r="AE9" s="63">
        <v>43983</v>
      </c>
      <c r="AM9">
        <v>8</v>
      </c>
      <c r="AN9">
        <v>2027</v>
      </c>
      <c r="AQ9" t="str">
        <f t="shared" si="7"/>
        <v>8_2020</v>
      </c>
      <c r="AR9" s="63">
        <f t="shared" si="8"/>
        <v>44044</v>
      </c>
    </row>
    <row r="10" spans="1:44" x14ac:dyDescent="0.35">
      <c r="A10">
        <f>'Procurement Schedule'!R24</f>
        <v>1580000</v>
      </c>
      <c r="B10" s="63">
        <f>'Procurement Schedule'!M24</f>
        <v>46134</v>
      </c>
      <c r="C10">
        <f t="shared" si="0"/>
        <v>4</v>
      </c>
      <c r="D10">
        <f t="shared" si="1"/>
        <v>2026</v>
      </c>
      <c r="E10" t="str">
        <f t="shared" si="4"/>
        <v>4_2026</v>
      </c>
      <c r="G10">
        <f t="shared" si="5"/>
        <v>1580000</v>
      </c>
      <c r="H10" s="63">
        <f>'Procurement Schedule'!N24</f>
        <v>46134</v>
      </c>
      <c r="I10">
        <f t="shared" si="2"/>
        <v>4</v>
      </c>
      <c r="J10">
        <f t="shared" si="3"/>
        <v>2026</v>
      </c>
      <c r="K10" t="str">
        <f t="shared" si="6"/>
        <v>4_2026</v>
      </c>
      <c r="P10">
        <v>4</v>
      </c>
      <c r="Q10" t="s">
        <v>140</v>
      </c>
      <c r="R10" s="361">
        <v>32538449.5165</v>
      </c>
      <c r="S10">
        <f t="shared" ref="S10:S72" si="12">IF(R10="","",S9+R10)</f>
        <v>99190406.616500005</v>
      </c>
      <c r="T10" s="64">
        <f t="shared" si="9"/>
        <v>46113</v>
      </c>
      <c r="W10" t="s">
        <v>1415</v>
      </c>
      <c r="X10" t="s">
        <v>1415</v>
      </c>
      <c r="Y10" t="s">
        <v>1415</v>
      </c>
      <c r="Z10" s="361" t="e">
        <v>#REF!</v>
      </c>
      <c r="AA10" t="e">
        <f t="shared" ref="AA10:AA73" si="13">IF(Z10="","",AA9+Z10)</f>
        <v>#REF!</v>
      </c>
      <c r="AB10" s="64" t="str">
        <f t="shared" ref="AB10:AB73" si="14">IFERROR(VLOOKUP(Y10,AD:AE,2,0),"")</f>
        <v/>
      </c>
      <c r="AD10" t="s">
        <v>76</v>
      </c>
      <c r="AE10" s="63">
        <v>44013</v>
      </c>
      <c r="AM10">
        <v>9</v>
      </c>
      <c r="AN10">
        <v>2028</v>
      </c>
      <c r="AQ10" t="str">
        <f t="shared" si="7"/>
        <v>9_2020</v>
      </c>
      <c r="AR10" s="63">
        <f t="shared" si="8"/>
        <v>44075</v>
      </c>
    </row>
    <row r="11" spans="1:44" x14ac:dyDescent="0.35">
      <c r="A11" t="e">
        <f>'Procurement Schedule'!#REF!</f>
        <v>#REF!</v>
      </c>
      <c r="B11" s="63" t="e">
        <f>'Procurement Schedule'!#REF!</f>
        <v>#REF!</v>
      </c>
      <c r="C11" t="e">
        <f t="shared" si="0"/>
        <v>#REF!</v>
      </c>
      <c r="D11" t="e">
        <f t="shared" si="1"/>
        <v>#REF!</v>
      </c>
      <c r="E11" t="e">
        <f t="shared" si="4"/>
        <v>#REF!</v>
      </c>
      <c r="G11" t="e">
        <f t="shared" si="5"/>
        <v>#REF!</v>
      </c>
      <c r="H11" s="63" t="e">
        <f>'Procurement Schedule'!#REF!</f>
        <v>#REF!</v>
      </c>
      <c r="I11" t="e">
        <f t="shared" si="2"/>
        <v>#REF!</v>
      </c>
      <c r="J11" t="e">
        <f t="shared" si="3"/>
        <v>#REF!</v>
      </c>
      <c r="K11" t="e">
        <f t="shared" si="6"/>
        <v>#REF!</v>
      </c>
      <c r="P11">
        <v>5</v>
      </c>
      <c r="Q11" t="s">
        <v>141</v>
      </c>
      <c r="R11" s="361">
        <v>17906897.37854518</v>
      </c>
      <c r="S11">
        <f t="shared" si="12"/>
        <v>117097303.99504519</v>
      </c>
      <c r="T11" s="64">
        <f t="shared" si="9"/>
        <v>46143</v>
      </c>
      <c r="W11" t="s">
        <v>1416</v>
      </c>
      <c r="X11" t="s">
        <v>1416</v>
      </c>
      <c r="Y11" t="s">
        <v>1416</v>
      </c>
      <c r="Z11" s="361"/>
      <c r="AA11" t="str">
        <f t="shared" si="13"/>
        <v/>
      </c>
      <c r="AB11" s="64" t="str">
        <f t="shared" si="14"/>
        <v/>
      </c>
      <c r="AD11" t="s">
        <v>58</v>
      </c>
      <c r="AE11" s="63">
        <v>44044</v>
      </c>
      <c r="AM11">
        <v>10</v>
      </c>
      <c r="AN11">
        <v>2029</v>
      </c>
      <c r="AQ11" t="str">
        <f t="shared" si="7"/>
        <v>10_2020</v>
      </c>
      <c r="AR11" s="63">
        <f t="shared" si="8"/>
        <v>44105</v>
      </c>
    </row>
    <row r="12" spans="1:44" x14ac:dyDescent="0.35">
      <c r="A12">
        <f>'Procurement Schedule'!R26</f>
        <v>2000000</v>
      </c>
      <c r="B12" s="63">
        <f>'Procurement Schedule'!M26</f>
        <v>46157</v>
      </c>
      <c r="C12">
        <f t="shared" si="0"/>
        <v>5</v>
      </c>
      <c r="D12">
        <f t="shared" si="1"/>
        <v>2026</v>
      </c>
      <c r="E12" t="str">
        <f t="shared" si="4"/>
        <v>5_2026</v>
      </c>
      <c r="G12">
        <f t="shared" si="5"/>
        <v>2000000</v>
      </c>
      <c r="H12" s="63">
        <f>'Procurement Schedule'!N26</f>
        <v>0</v>
      </c>
      <c r="I12">
        <f t="shared" si="2"/>
        <v>1</v>
      </c>
      <c r="J12">
        <f t="shared" si="3"/>
        <v>1900</v>
      </c>
      <c r="K12" t="str">
        <f t="shared" si="6"/>
        <v>1_1900</v>
      </c>
      <c r="P12">
        <v>6</v>
      </c>
      <c r="Q12" t="s">
        <v>142</v>
      </c>
      <c r="R12" s="361">
        <v>59915769.432298042</v>
      </c>
      <c r="S12">
        <f t="shared" si="12"/>
        <v>177013073.42734322</v>
      </c>
      <c r="T12" s="64">
        <f t="shared" si="9"/>
        <v>46174</v>
      </c>
      <c r="AA12" t="str">
        <f t="shared" si="13"/>
        <v/>
      </c>
      <c r="AB12" s="64" t="str">
        <f t="shared" si="14"/>
        <v/>
      </c>
      <c r="AD12" t="s">
        <v>60</v>
      </c>
      <c r="AE12" s="63">
        <v>44075</v>
      </c>
      <c r="AM12">
        <v>11</v>
      </c>
      <c r="AN12">
        <v>2030</v>
      </c>
      <c r="AQ12" t="str">
        <f t="shared" si="7"/>
        <v>11_2020</v>
      </c>
      <c r="AR12" s="63">
        <f t="shared" si="8"/>
        <v>44136</v>
      </c>
    </row>
    <row r="13" spans="1:44" x14ac:dyDescent="0.35">
      <c r="A13" t="e">
        <f>'Procurement Schedule'!#REF!</f>
        <v>#REF!</v>
      </c>
      <c r="B13" s="63" t="e">
        <f>'Procurement Schedule'!#REF!</f>
        <v>#REF!</v>
      </c>
      <c r="C13" t="e">
        <f t="shared" si="0"/>
        <v>#REF!</v>
      </c>
      <c r="D13" t="e">
        <f t="shared" si="1"/>
        <v>#REF!</v>
      </c>
      <c r="E13" t="e">
        <f t="shared" si="4"/>
        <v>#REF!</v>
      </c>
      <c r="G13" t="e">
        <f t="shared" si="5"/>
        <v>#REF!</v>
      </c>
      <c r="H13" s="63" t="e">
        <f>'Procurement Schedule'!#REF!</f>
        <v>#REF!</v>
      </c>
      <c r="I13" t="e">
        <f t="shared" si="2"/>
        <v>#REF!</v>
      </c>
      <c r="J13" t="e">
        <f t="shared" si="3"/>
        <v>#REF!</v>
      </c>
      <c r="K13" t="e">
        <f t="shared" si="6"/>
        <v>#REF!</v>
      </c>
      <c r="P13">
        <v>7</v>
      </c>
      <c r="Q13" t="s">
        <v>143</v>
      </c>
      <c r="R13" s="361">
        <v>17687982.053104121</v>
      </c>
      <c r="S13">
        <f t="shared" si="12"/>
        <v>194701055.48044735</v>
      </c>
      <c r="T13" s="64">
        <f t="shared" si="9"/>
        <v>46204</v>
      </c>
      <c r="AA13" t="str">
        <f t="shared" si="13"/>
        <v/>
      </c>
      <c r="AB13" s="64" t="str">
        <f t="shared" si="14"/>
        <v/>
      </c>
      <c r="AD13" t="s">
        <v>59</v>
      </c>
      <c r="AE13" s="63">
        <v>44105</v>
      </c>
      <c r="AM13">
        <v>12</v>
      </c>
      <c r="AQ13" t="str">
        <f t="shared" si="7"/>
        <v>12_2020</v>
      </c>
      <c r="AR13" s="63">
        <f t="shared" si="8"/>
        <v>44166</v>
      </c>
    </row>
    <row r="14" spans="1:44" x14ac:dyDescent="0.35">
      <c r="A14">
        <f>'Procurement Schedule'!R29</f>
        <v>300000</v>
      </c>
      <c r="B14" s="63">
        <f>'Procurement Schedule'!M29</f>
        <v>46873</v>
      </c>
      <c r="C14">
        <f t="shared" si="0"/>
        <v>4</v>
      </c>
      <c r="D14">
        <f t="shared" si="1"/>
        <v>2028</v>
      </c>
      <c r="E14" t="str">
        <f t="shared" si="4"/>
        <v>4_2028</v>
      </c>
      <c r="G14">
        <f t="shared" si="5"/>
        <v>300000</v>
      </c>
      <c r="H14" s="63">
        <f>'Procurement Schedule'!N29</f>
        <v>0</v>
      </c>
      <c r="I14">
        <f t="shared" si="2"/>
        <v>1</v>
      </c>
      <c r="J14">
        <f t="shared" si="3"/>
        <v>1900</v>
      </c>
      <c r="K14" t="str">
        <f t="shared" si="6"/>
        <v>1_1900</v>
      </c>
      <c r="P14">
        <v>8</v>
      </c>
      <c r="Q14" t="s">
        <v>144</v>
      </c>
      <c r="R14" s="361">
        <v>40476566.032148659</v>
      </c>
      <c r="S14">
        <f t="shared" si="12"/>
        <v>235177621.51259601</v>
      </c>
      <c r="T14" s="64">
        <f t="shared" si="9"/>
        <v>46235</v>
      </c>
      <c r="AA14" t="str">
        <f t="shared" si="13"/>
        <v/>
      </c>
      <c r="AB14" s="64" t="str">
        <f t="shared" si="14"/>
        <v/>
      </c>
      <c r="AD14" t="s">
        <v>77</v>
      </c>
      <c r="AE14" s="63">
        <v>44136</v>
      </c>
      <c r="AQ14" t="str">
        <f>AM2&amp;"_"&amp;$AN$3</f>
        <v>1_2021</v>
      </c>
      <c r="AR14" s="63">
        <f t="shared" si="8"/>
        <v>44197</v>
      </c>
    </row>
    <row r="15" spans="1:44" x14ac:dyDescent="0.35">
      <c r="A15">
        <f>'Procurement Schedule'!R31</f>
        <v>100000</v>
      </c>
      <c r="B15" s="63">
        <f>'Procurement Schedule'!M31</f>
        <v>0</v>
      </c>
      <c r="C15">
        <f t="shared" si="0"/>
        <v>1</v>
      </c>
      <c r="D15">
        <f t="shared" si="1"/>
        <v>1900</v>
      </c>
      <c r="E15" t="str">
        <f t="shared" si="4"/>
        <v>1_1900</v>
      </c>
      <c r="G15">
        <f t="shared" si="5"/>
        <v>100000</v>
      </c>
      <c r="H15" s="63">
        <f>'Procurement Schedule'!N31</f>
        <v>0</v>
      </c>
      <c r="I15">
        <f t="shared" si="2"/>
        <v>1</v>
      </c>
      <c r="J15">
        <f t="shared" si="3"/>
        <v>1900</v>
      </c>
      <c r="K15" t="str">
        <f t="shared" si="6"/>
        <v>1_1900</v>
      </c>
      <c r="P15">
        <v>9</v>
      </c>
      <c r="Q15" t="s">
        <v>145</v>
      </c>
      <c r="R15" s="361">
        <v>10886183.054</v>
      </c>
      <c r="S15">
        <f t="shared" si="12"/>
        <v>246063804.566596</v>
      </c>
      <c r="T15" s="64">
        <f t="shared" si="9"/>
        <v>46266</v>
      </c>
      <c r="V15" s="66"/>
      <c r="W15" s="66"/>
      <c r="X15" s="66"/>
      <c r="Y15" s="66"/>
      <c r="Z15" s="66"/>
      <c r="AA15" t="str">
        <f t="shared" si="13"/>
        <v/>
      </c>
      <c r="AB15" s="64" t="str">
        <f t="shared" si="14"/>
        <v/>
      </c>
      <c r="AD15" t="s">
        <v>62</v>
      </c>
      <c r="AE15" s="63">
        <v>44166</v>
      </c>
      <c r="AQ15" t="str">
        <f t="shared" ref="AQ15:AQ25" si="15">AM3&amp;"_"&amp;$AN$3</f>
        <v>2_2021</v>
      </c>
      <c r="AR15" s="63">
        <f t="shared" si="8"/>
        <v>44228</v>
      </c>
    </row>
    <row r="16" spans="1:44" x14ac:dyDescent="0.35">
      <c r="A16">
        <f>'Procurement Schedule'!R32</f>
        <v>250000</v>
      </c>
      <c r="B16" s="63">
        <f>'Procurement Schedule'!M32</f>
        <v>46119</v>
      </c>
      <c r="C16">
        <f t="shared" si="0"/>
        <v>4</v>
      </c>
      <c r="D16">
        <f t="shared" si="1"/>
        <v>2026</v>
      </c>
      <c r="E16" t="str">
        <f t="shared" si="4"/>
        <v>4_2026</v>
      </c>
      <c r="G16">
        <f t="shared" si="5"/>
        <v>250000</v>
      </c>
      <c r="H16" s="63">
        <f>'Procurement Schedule'!N32</f>
        <v>46102</v>
      </c>
      <c r="I16">
        <f t="shared" si="2"/>
        <v>3</v>
      </c>
      <c r="J16">
        <f t="shared" si="3"/>
        <v>2026</v>
      </c>
      <c r="K16" t="str">
        <f t="shared" si="6"/>
        <v>3_2026</v>
      </c>
      <c r="P16">
        <v>10</v>
      </c>
      <c r="Q16" t="s">
        <v>146</v>
      </c>
      <c r="R16" s="361">
        <v>7622294.946811555</v>
      </c>
      <c r="S16">
        <f t="shared" si="12"/>
        <v>253686099.51340756</v>
      </c>
      <c r="T16" s="64">
        <f t="shared" si="9"/>
        <v>46296</v>
      </c>
      <c r="AA16" t="str">
        <f t="shared" si="13"/>
        <v/>
      </c>
      <c r="AB16" s="64" t="str">
        <f t="shared" si="14"/>
        <v/>
      </c>
      <c r="AD16" t="s">
        <v>61</v>
      </c>
      <c r="AE16" s="63">
        <v>44197</v>
      </c>
      <c r="AQ16" t="str">
        <f t="shared" si="15"/>
        <v>3_2021</v>
      </c>
      <c r="AR16" s="63">
        <f t="shared" si="8"/>
        <v>44256</v>
      </c>
    </row>
    <row r="17" spans="1:44" x14ac:dyDescent="0.35">
      <c r="A17">
        <f>'Procurement Schedule'!R33</f>
        <v>100000</v>
      </c>
      <c r="B17" s="63">
        <f>'Procurement Schedule'!M33</f>
        <v>46598</v>
      </c>
      <c r="C17">
        <f t="shared" si="0"/>
        <v>7</v>
      </c>
      <c r="D17">
        <f t="shared" si="1"/>
        <v>2027</v>
      </c>
      <c r="E17" t="str">
        <f t="shared" si="4"/>
        <v>7_2027</v>
      </c>
      <c r="G17">
        <f t="shared" si="5"/>
        <v>100000</v>
      </c>
      <c r="H17" s="63">
        <f>'Procurement Schedule'!N33</f>
        <v>0</v>
      </c>
      <c r="I17">
        <f t="shared" si="2"/>
        <v>1</v>
      </c>
      <c r="J17">
        <f t="shared" si="3"/>
        <v>1900</v>
      </c>
      <c r="K17" t="str">
        <f t="shared" si="6"/>
        <v>1_1900</v>
      </c>
      <c r="P17">
        <v>12</v>
      </c>
      <c r="Q17" t="s">
        <v>148</v>
      </c>
      <c r="R17" s="361">
        <v>793740</v>
      </c>
      <c r="S17">
        <f t="shared" si="12"/>
        <v>254479839.51340756</v>
      </c>
      <c r="T17" s="64">
        <f t="shared" si="9"/>
        <v>46357</v>
      </c>
      <c r="AA17" t="str">
        <f t="shared" si="13"/>
        <v/>
      </c>
      <c r="AB17" s="64" t="str">
        <f t="shared" si="14"/>
        <v/>
      </c>
      <c r="AD17" t="s">
        <v>78</v>
      </c>
      <c r="AE17" s="63">
        <v>44228</v>
      </c>
      <c r="AQ17" t="str">
        <f t="shared" si="15"/>
        <v>4_2021</v>
      </c>
      <c r="AR17" s="63">
        <f t="shared" si="8"/>
        <v>44287</v>
      </c>
    </row>
    <row r="18" spans="1:44" x14ac:dyDescent="0.35">
      <c r="A18">
        <f>'Procurement Schedule'!R34</f>
        <v>120000</v>
      </c>
      <c r="B18" s="63">
        <f>'Procurement Schedule'!M34</f>
        <v>46174</v>
      </c>
      <c r="C18">
        <f t="shared" si="0"/>
        <v>6</v>
      </c>
      <c r="D18">
        <f t="shared" si="1"/>
        <v>2026</v>
      </c>
      <c r="E18" t="str">
        <f t="shared" si="4"/>
        <v>6_2026</v>
      </c>
      <c r="G18">
        <f t="shared" si="5"/>
        <v>120000</v>
      </c>
      <c r="H18" s="63">
        <f>'Procurement Schedule'!N34</f>
        <v>0</v>
      </c>
      <c r="I18">
        <f t="shared" si="2"/>
        <v>1</v>
      </c>
      <c r="J18">
        <f t="shared" si="3"/>
        <v>1900</v>
      </c>
      <c r="K18" t="str">
        <f t="shared" si="6"/>
        <v>1_1900</v>
      </c>
      <c r="O18">
        <v>2027</v>
      </c>
      <c r="P18">
        <v>2</v>
      </c>
      <c r="Q18" t="s">
        <v>150</v>
      </c>
      <c r="R18" s="361">
        <v>32264194</v>
      </c>
      <c r="S18">
        <f t="shared" si="12"/>
        <v>286744033.51340759</v>
      </c>
      <c r="T18" s="64">
        <f t="shared" si="9"/>
        <v>46419</v>
      </c>
      <c r="AA18" t="str">
        <f t="shared" si="13"/>
        <v/>
      </c>
      <c r="AB18" s="64" t="str">
        <f t="shared" si="14"/>
        <v/>
      </c>
      <c r="AD18" t="s">
        <v>79</v>
      </c>
      <c r="AE18" s="63">
        <v>44256</v>
      </c>
      <c r="AQ18" t="str">
        <f t="shared" si="15"/>
        <v>5_2021</v>
      </c>
      <c r="AR18" s="63">
        <f t="shared" si="8"/>
        <v>44317</v>
      </c>
    </row>
    <row r="19" spans="1:44" x14ac:dyDescent="0.35">
      <c r="A19">
        <f>'Procurement Schedule'!R35</f>
        <v>100000</v>
      </c>
      <c r="B19" s="63">
        <f>'Procurement Schedule'!M35</f>
        <v>46295</v>
      </c>
      <c r="C19">
        <f t="shared" ref="C19:C82" si="16">MONTH(B19)</f>
        <v>9</v>
      </c>
      <c r="D19">
        <f t="shared" si="1"/>
        <v>2026</v>
      </c>
      <c r="E19" t="str">
        <f t="shared" si="4"/>
        <v>9_2026</v>
      </c>
      <c r="G19">
        <f t="shared" si="5"/>
        <v>100000</v>
      </c>
      <c r="H19" s="63">
        <f>'Procurement Schedule'!N35</f>
        <v>0</v>
      </c>
      <c r="I19">
        <f t="shared" si="2"/>
        <v>1</v>
      </c>
      <c r="J19">
        <f t="shared" si="3"/>
        <v>1900</v>
      </c>
      <c r="K19" t="str">
        <f t="shared" si="6"/>
        <v>1_1900</v>
      </c>
      <c r="P19">
        <v>3</v>
      </c>
      <c r="Q19" t="s">
        <v>151</v>
      </c>
      <c r="R19" s="361">
        <v>350000</v>
      </c>
      <c r="S19">
        <f t="shared" si="12"/>
        <v>287094033.51340759</v>
      </c>
      <c r="T19" s="64">
        <f t="shared" si="9"/>
        <v>46447</v>
      </c>
      <c r="AA19" t="str">
        <f t="shared" si="13"/>
        <v/>
      </c>
      <c r="AB19" s="64" t="str">
        <f t="shared" si="14"/>
        <v/>
      </c>
      <c r="AD19" t="s">
        <v>80</v>
      </c>
      <c r="AE19" s="63">
        <v>44287</v>
      </c>
      <c r="AQ19" t="str">
        <f t="shared" si="15"/>
        <v>6_2021</v>
      </c>
      <c r="AR19" s="63">
        <f t="shared" si="8"/>
        <v>44348</v>
      </c>
    </row>
    <row r="20" spans="1:44" x14ac:dyDescent="0.35">
      <c r="A20">
        <f>'Procurement Schedule'!R36</f>
        <v>350000</v>
      </c>
      <c r="B20" s="63">
        <f>'Procurement Schedule'!M36</f>
        <v>46201</v>
      </c>
      <c r="C20">
        <f t="shared" si="16"/>
        <v>6</v>
      </c>
      <c r="D20">
        <f t="shared" ref="D20:D54" si="17">YEAR(B20)</f>
        <v>2026</v>
      </c>
      <c r="E20" t="str">
        <f t="shared" ref="E20:E54" si="18">C20&amp;"_"&amp;D20</f>
        <v>6_2026</v>
      </c>
      <c r="G20">
        <f t="shared" ref="G20:G54" si="19">A20</f>
        <v>350000</v>
      </c>
      <c r="H20" s="63">
        <f>'Procurement Schedule'!N36</f>
        <v>0</v>
      </c>
      <c r="I20">
        <f t="shared" ref="I20:I83" si="20">MONTH(H20)</f>
        <v>1</v>
      </c>
      <c r="J20">
        <f t="shared" ref="J20:J54" si="21">YEAR(H20)</f>
        <v>1900</v>
      </c>
      <c r="K20" t="str">
        <f t="shared" ref="K20:K54" si="22">I20&amp;"_"&amp;J20</f>
        <v>1_1900</v>
      </c>
      <c r="P20">
        <v>4</v>
      </c>
      <c r="Q20" t="s">
        <v>152</v>
      </c>
      <c r="R20" s="361">
        <v>2597187.355</v>
      </c>
      <c r="S20">
        <f t="shared" si="12"/>
        <v>289691220.86840761</v>
      </c>
      <c r="T20" s="64">
        <f t="shared" si="9"/>
        <v>46478</v>
      </c>
      <c r="AA20" t="str">
        <f t="shared" si="13"/>
        <v/>
      </c>
      <c r="AB20" s="64" t="str">
        <f t="shared" si="14"/>
        <v/>
      </c>
      <c r="AD20" t="s">
        <v>81</v>
      </c>
      <c r="AE20" s="63">
        <v>44317</v>
      </c>
      <c r="AQ20" t="str">
        <f t="shared" si="15"/>
        <v>7_2021</v>
      </c>
      <c r="AR20" s="63">
        <f t="shared" si="8"/>
        <v>44378</v>
      </c>
    </row>
    <row r="21" spans="1:44" x14ac:dyDescent="0.35">
      <c r="A21" t="e">
        <f>'Procurement Schedule'!#REF!</f>
        <v>#REF!</v>
      </c>
      <c r="B21" s="63" t="e">
        <f>'Procurement Schedule'!#REF!</f>
        <v>#REF!</v>
      </c>
      <c r="C21" t="e">
        <f t="shared" si="16"/>
        <v>#REF!</v>
      </c>
      <c r="D21" t="e">
        <f t="shared" si="17"/>
        <v>#REF!</v>
      </c>
      <c r="E21" t="e">
        <f t="shared" si="18"/>
        <v>#REF!</v>
      </c>
      <c r="G21" t="e">
        <f t="shared" si="19"/>
        <v>#REF!</v>
      </c>
      <c r="H21" s="63" t="e">
        <f>'Procurement Schedule'!#REF!</f>
        <v>#REF!</v>
      </c>
      <c r="I21" t="e">
        <f t="shared" si="20"/>
        <v>#REF!</v>
      </c>
      <c r="J21" t="e">
        <f t="shared" si="21"/>
        <v>#REF!</v>
      </c>
      <c r="K21" t="e">
        <f t="shared" si="22"/>
        <v>#REF!</v>
      </c>
      <c r="P21">
        <v>7</v>
      </c>
      <c r="Q21" t="s">
        <v>155</v>
      </c>
      <c r="R21" s="361">
        <v>100000</v>
      </c>
      <c r="S21">
        <f t="shared" si="12"/>
        <v>289791220.86840761</v>
      </c>
      <c r="T21" s="64">
        <f t="shared" si="9"/>
        <v>46569</v>
      </c>
      <c r="AA21" t="str">
        <f t="shared" si="13"/>
        <v/>
      </c>
      <c r="AB21" s="64" t="str">
        <f t="shared" si="14"/>
        <v/>
      </c>
      <c r="AD21" t="s">
        <v>82</v>
      </c>
      <c r="AE21" s="63">
        <v>44348</v>
      </c>
      <c r="AQ21" t="str">
        <f t="shared" si="15"/>
        <v>8_2021</v>
      </c>
      <c r="AR21" s="63">
        <f t="shared" si="8"/>
        <v>44409</v>
      </c>
    </row>
    <row r="22" spans="1:44" x14ac:dyDescent="0.35">
      <c r="A22">
        <f>'Procurement Schedule'!R37</f>
        <v>250000</v>
      </c>
      <c r="B22" s="63">
        <f>'Procurement Schedule'!M37</f>
        <v>0</v>
      </c>
      <c r="C22">
        <f t="shared" si="16"/>
        <v>1</v>
      </c>
      <c r="D22">
        <f t="shared" si="17"/>
        <v>1900</v>
      </c>
      <c r="E22" t="str">
        <f t="shared" si="18"/>
        <v>1_1900</v>
      </c>
      <c r="G22">
        <f t="shared" si="19"/>
        <v>250000</v>
      </c>
      <c r="H22" s="63">
        <f>'Procurement Schedule'!N37</f>
        <v>0</v>
      </c>
      <c r="I22">
        <f t="shared" si="20"/>
        <v>1</v>
      </c>
      <c r="J22">
        <f t="shared" si="21"/>
        <v>1900</v>
      </c>
      <c r="K22" t="str">
        <f t="shared" si="22"/>
        <v>1_1900</v>
      </c>
      <c r="P22">
        <v>9</v>
      </c>
      <c r="Q22" t="s">
        <v>157</v>
      </c>
      <c r="R22" s="361">
        <v>150000</v>
      </c>
      <c r="S22">
        <f t="shared" si="12"/>
        <v>289941220.86840761</v>
      </c>
      <c r="T22" s="64">
        <f t="shared" si="9"/>
        <v>46631</v>
      </c>
      <c r="AA22" t="str">
        <f t="shared" si="13"/>
        <v/>
      </c>
      <c r="AB22" s="64" t="str">
        <f t="shared" si="14"/>
        <v/>
      </c>
      <c r="AD22" t="s">
        <v>83</v>
      </c>
      <c r="AE22" s="63">
        <v>44378</v>
      </c>
      <c r="AQ22" t="str">
        <f t="shared" si="15"/>
        <v>9_2021</v>
      </c>
      <c r="AR22" s="63">
        <f t="shared" si="8"/>
        <v>44440</v>
      </c>
    </row>
    <row r="23" spans="1:44" x14ac:dyDescent="0.35">
      <c r="A23">
        <f>'Procurement Schedule'!R40</f>
        <v>0</v>
      </c>
      <c r="B23" s="63">
        <f>'Procurement Schedule'!M40</f>
        <v>0</v>
      </c>
      <c r="C23">
        <f t="shared" si="16"/>
        <v>1</v>
      </c>
      <c r="D23">
        <f t="shared" si="17"/>
        <v>1900</v>
      </c>
      <c r="E23" t="str">
        <f t="shared" si="18"/>
        <v>1_1900</v>
      </c>
      <c r="G23">
        <f t="shared" si="19"/>
        <v>0</v>
      </c>
      <c r="H23" s="63">
        <f>'Procurement Schedule'!N40</f>
        <v>0</v>
      </c>
      <c r="I23">
        <f t="shared" si="20"/>
        <v>1</v>
      </c>
      <c r="J23">
        <f t="shared" si="21"/>
        <v>1900</v>
      </c>
      <c r="K23" t="str">
        <f t="shared" si="22"/>
        <v>1_1900</v>
      </c>
      <c r="P23">
        <v>12</v>
      </c>
      <c r="Q23" t="s">
        <v>160</v>
      </c>
      <c r="R23" s="361">
        <v>5144958</v>
      </c>
      <c r="S23">
        <f t="shared" si="12"/>
        <v>295086178.86840761</v>
      </c>
      <c r="T23" s="64">
        <f t="shared" si="9"/>
        <v>46722</v>
      </c>
      <c r="AA23" t="str">
        <f t="shared" si="13"/>
        <v/>
      </c>
      <c r="AB23" s="64" t="str">
        <f t="shared" si="14"/>
        <v/>
      </c>
      <c r="AD23" t="s">
        <v>84</v>
      </c>
      <c r="AE23" s="63">
        <v>44409</v>
      </c>
      <c r="AQ23" t="str">
        <f t="shared" si="15"/>
        <v>10_2021</v>
      </c>
      <c r="AR23" s="63">
        <f t="shared" si="8"/>
        <v>44470</v>
      </c>
    </row>
    <row r="24" spans="1:44" x14ac:dyDescent="0.35">
      <c r="A24">
        <f>'Procurement Schedule'!R41</f>
        <v>4613087.0199999996</v>
      </c>
      <c r="B24" s="63">
        <f>'Procurement Schedule'!M41</f>
        <v>0</v>
      </c>
      <c r="C24">
        <f t="shared" si="16"/>
        <v>1</v>
      </c>
      <c r="D24">
        <f t="shared" si="17"/>
        <v>1900</v>
      </c>
      <c r="E24" t="str">
        <f t="shared" si="18"/>
        <v>1_1900</v>
      </c>
      <c r="G24">
        <f t="shared" si="19"/>
        <v>4613087.0199999996</v>
      </c>
      <c r="H24" s="63">
        <f>'Procurement Schedule'!N41</f>
        <v>46068</v>
      </c>
      <c r="I24">
        <f t="shared" si="20"/>
        <v>2</v>
      </c>
      <c r="J24">
        <f t="shared" si="21"/>
        <v>2026</v>
      </c>
      <c r="K24" t="str">
        <f t="shared" si="22"/>
        <v>2_2026</v>
      </c>
      <c r="O24">
        <v>2028</v>
      </c>
      <c r="P24">
        <v>4</v>
      </c>
      <c r="Q24" t="s">
        <v>164</v>
      </c>
      <c r="R24" s="361">
        <v>300000</v>
      </c>
      <c r="S24">
        <f t="shared" si="12"/>
        <v>295386178.86840761</v>
      </c>
      <c r="T24" s="64">
        <f t="shared" si="9"/>
        <v>46844</v>
      </c>
      <c r="AA24" t="str">
        <f t="shared" si="13"/>
        <v/>
      </c>
      <c r="AB24" s="64" t="str">
        <f t="shared" si="14"/>
        <v/>
      </c>
      <c r="AD24" t="s">
        <v>85</v>
      </c>
      <c r="AE24" s="63">
        <v>44440</v>
      </c>
      <c r="AQ24" t="str">
        <f t="shared" si="15"/>
        <v>11_2021</v>
      </c>
      <c r="AR24" s="63">
        <f t="shared" si="8"/>
        <v>44501</v>
      </c>
    </row>
    <row r="25" spans="1:44" x14ac:dyDescent="0.35">
      <c r="A25">
        <f>'Procurement Schedule'!R42</f>
        <v>0</v>
      </c>
      <c r="B25" s="63">
        <f>'Procurement Schedule'!M42</f>
        <v>46053</v>
      </c>
      <c r="C25">
        <f t="shared" si="16"/>
        <v>1</v>
      </c>
      <c r="D25">
        <f t="shared" si="17"/>
        <v>2026</v>
      </c>
      <c r="E25" t="str">
        <f t="shared" si="18"/>
        <v>1_2026</v>
      </c>
      <c r="G25">
        <f t="shared" si="19"/>
        <v>0</v>
      </c>
      <c r="H25" s="63">
        <f>'Procurement Schedule'!N42</f>
        <v>46068</v>
      </c>
      <c r="I25">
        <f t="shared" si="20"/>
        <v>2</v>
      </c>
      <c r="J25">
        <f t="shared" si="21"/>
        <v>2026</v>
      </c>
      <c r="K25" t="str">
        <f t="shared" si="22"/>
        <v>2_2026</v>
      </c>
      <c r="O25" t="s">
        <v>1415</v>
      </c>
      <c r="P25" t="s">
        <v>1415</v>
      </c>
      <c r="Q25" t="s">
        <v>1415</v>
      </c>
      <c r="R25" s="361" t="e">
        <v>#REF!</v>
      </c>
      <c r="S25" t="e">
        <f t="shared" si="12"/>
        <v>#REF!</v>
      </c>
      <c r="T25" s="64" t="str">
        <f t="shared" si="9"/>
        <v/>
      </c>
      <c r="AA25" t="str">
        <f t="shared" si="13"/>
        <v/>
      </c>
      <c r="AB25" s="64" t="str">
        <f t="shared" si="14"/>
        <v/>
      </c>
      <c r="AD25" t="s">
        <v>86</v>
      </c>
      <c r="AE25" s="63">
        <v>44470</v>
      </c>
      <c r="AQ25" t="str">
        <f t="shared" si="15"/>
        <v>12_2021</v>
      </c>
      <c r="AR25" s="63">
        <f t="shared" si="8"/>
        <v>44531</v>
      </c>
    </row>
    <row r="26" spans="1:44" x14ac:dyDescent="0.35">
      <c r="A26" t="e">
        <f>'Procurement Schedule'!#REF!</f>
        <v>#REF!</v>
      </c>
      <c r="B26" s="63" t="e">
        <f>'Procurement Schedule'!#REF!</f>
        <v>#REF!</v>
      </c>
      <c r="C26" t="e">
        <f t="shared" si="16"/>
        <v>#REF!</v>
      </c>
      <c r="D26" t="e">
        <f t="shared" si="17"/>
        <v>#REF!</v>
      </c>
      <c r="E26" t="e">
        <f t="shared" si="18"/>
        <v>#REF!</v>
      </c>
      <c r="G26" t="e">
        <f t="shared" si="19"/>
        <v>#REF!</v>
      </c>
      <c r="H26" s="63" t="e">
        <f>'Procurement Schedule'!#REF!</f>
        <v>#REF!</v>
      </c>
      <c r="I26" t="e">
        <f t="shared" si="20"/>
        <v>#REF!</v>
      </c>
      <c r="J26" t="e">
        <f t="shared" si="21"/>
        <v>#REF!</v>
      </c>
      <c r="K26" t="e">
        <f t="shared" si="22"/>
        <v>#REF!</v>
      </c>
      <c r="O26" t="s">
        <v>1416</v>
      </c>
      <c r="P26" t="s">
        <v>1416</v>
      </c>
      <c r="Q26" t="s">
        <v>1416</v>
      </c>
      <c r="R26" s="361"/>
      <c r="S26" t="str">
        <f t="shared" si="12"/>
        <v/>
      </c>
      <c r="T26" s="64" t="str">
        <f t="shared" si="9"/>
        <v/>
      </c>
      <c r="AA26" t="str">
        <f t="shared" si="13"/>
        <v/>
      </c>
      <c r="AB26" s="64" t="str">
        <f t="shared" si="14"/>
        <v/>
      </c>
      <c r="AD26" t="s">
        <v>87</v>
      </c>
      <c r="AE26" s="63">
        <v>44501</v>
      </c>
      <c r="AQ26" t="str">
        <f>AM2&amp;"_"&amp;$AN$4</f>
        <v>1_2022</v>
      </c>
      <c r="AR26" s="63">
        <f t="shared" si="8"/>
        <v>44562</v>
      </c>
    </row>
    <row r="27" spans="1:44" x14ac:dyDescent="0.35">
      <c r="A27">
        <f>'Procurement Schedule'!R44</f>
        <v>2686634.0548568321</v>
      </c>
      <c r="B27" s="63">
        <f>'Procurement Schedule'!M44</f>
        <v>0</v>
      </c>
      <c r="C27">
        <f t="shared" si="16"/>
        <v>1</v>
      </c>
      <c r="D27">
        <f t="shared" si="17"/>
        <v>1900</v>
      </c>
      <c r="E27" t="str">
        <f t="shared" si="18"/>
        <v>1_1900</v>
      </c>
      <c r="G27">
        <f t="shared" si="19"/>
        <v>2686634.0548568321</v>
      </c>
      <c r="H27" s="63">
        <f>'Procurement Schedule'!N44</f>
        <v>46037</v>
      </c>
      <c r="I27">
        <f t="shared" si="20"/>
        <v>1</v>
      </c>
      <c r="J27">
        <f t="shared" si="21"/>
        <v>2026</v>
      </c>
      <c r="K27" t="str">
        <f t="shared" si="22"/>
        <v>1_2026</v>
      </c>
      <c r="S27" t="str">
        <f t="shared" si="12"/>
        <v/>
      </c>
      <c r="T27" s="64" t="str">
        <f t="shared" si="9"/>
        <v/>
      </c>
      <c r="AA27" t="str">
        <f t="shared" si="13"/>
        <v/>
      </c>
      <c r="AB27" s="64" t="str">
        <f t="shared" si="14"/>
        <v/>
      </c>
      <c r="AD27" t="s">
        <v>88</v>
      </c>
      <c r="AE27" s="63">
        <v>44531</v>
      </c>
      <c r="AQ27" t="str">
        <f t="shared" ref="AQ27:AQ37" si="23">AM3&amp;"_"&amp;$AN$4</f>
        <v>2_2022</v>
      </c>
      <c r="AR27" s="63">
        <f t="shared" si="8"/>
        <v>44593</v>
      </c>
    </row>
    <row r="28" spans="1:44" x14ac:dyDescent="0.35">
      <c r="A28">
        <f>'Procurement Schedule'!R45</f>
        <v>0</v>
      </c>
      <c r="B28" s="63">
        <f>'Procurement Schedule'!M45</f>
        <v>46037</v>
      </c>
      <c r="C28">
        <f t="shared" si="16"/>
        <v>1</v>
      </c>
      <c r="D28">
        <f t="shared" si="17"/>
        <v>2026</v>
      </c>
      <c r="E28" t="str">
        <f t="shared" si="18"/>
        <v>1_2026</v>
      </c>
      <c r="G28">
        <f t="shared" si="19"/>
        <v>0</v>
      </c>
      <c r="H28" s="63">
        <f>'Procurement Schedule'!N45</f>
        <v>46037</v>
      </c>
      <c r="I28">
        <f t="shared" si="20"/>
        <v>1</v>
      </c>
      <c r="J28">
        <f t="shared" si="21"/>
        <v>2026</v>
      </c>
      <c r="K28" t="str">
        <f t="shared" si="22"/>
        <v>1_2026</v>
      </c>
      <c r="S28" t="str">
        <f t="shared" si="12"/>
        <v/>
      </c>
      <c r="T28" s="64" t="str">
        <f t="shared" si="9"/>
        <v/>
      </c>
      <c r="AA28" t="str">
        <f t="shared" si="13"/>
        <v/>
      </c>
      <c r="AB28" s="64" t="str">
        <f t="shared" si="14"/>
        <v/>
      </c>
      <c r="AD28" t="s">
        <v>89</v>
      </c>
      <c r="AE28" s="63">
        <v>44562</v>
      </c>
      <c r="AQ28" t="str">
        <f t="shared" si="23"/>
        <v>3_2022</v>
      </c>
      <c r="AR28" s="63">
        <f t="shared" si="8"/>
        <v>44621</v>
      </c>
    </row>
    <row r="29" spans="1:44" x14ac:dyDescent="0.35">
      <c r="A29" t="e">
        <f>'Procurement Schedule'!#REF!</f>
        <v>#REF!</v>
      </c>
      <c r="B29" s="63" t="e">
        <f>'Procurement Schedule'!#REF!</f>
        <v>#REF!</v>
      </c>
      <c r="C29" t="e">
        <f t="shared" si="16"/>
        <v>#REF!</v>
      </c>
      <c r="D29" t="e">
        <f t="shared" si="17"/>
        <v>#REF!</v>
      </c>
      <c r="E29" t="e">
        <f t="shared" si="18"/>
        <v>#REF!</v>
      </c>
      <c r="G29" t="e">
        <f t="shared" si="19"/>
        <v>#REF!</v>
      </c>
      <c r="H29" s="63" t="e">
        <f>'Procurement Schedule'!#REF!</f>
        <v>#REF!</v>
      </c>
      <c r="I29" t="e">
        <f t="shared" si="20"/>
        <v>#REF!</v>
      </c>
      <c r="J29" t="e">
        <f t="shared" si="21"/>
        <v>#REF!</v>
      </c>
      <c r="K29" t="e">
        <f t="shared" si="22"/>
        <v>#REF!</v>
      </c>
      <c r="S29" t="str">
        <f t="shared" si="12"/>
        <v/>
      </c>
      <c r="T29" s="64" t="str">
        <f t="shared" si="9"/>
        <v/>
      </c>
      <c r="AA29" t="str">
        <f t="shared" si="13"/>
        <v/>
      </c>
      <c r="AB29" s="64" t="str">
        <f t="shared" si="14"/>
        <v/>
      </c>
      <c r="AD29" t="s">
        <v>90</v>
      </c>
      <c r="AE29" s="63">
        <v>44593</v>
      </c>
      <c r="AQ29" t="str">
        <f t="shared" si="23"/>
        <v>4_2022</v>
      </c>
      <c r="AR29" s="63">
        <f t="shared" si="8"/>
        <v>44652</v>
      </c>
    </row>
    <row r="30" spans="1:44" x14ac:dyDescent="0.35">
      <c r="A30" t="e">
        <f>'Procurement Schedule'!#REF!</f>
        <v>#REF!</v>
      </c>
      <c r="B30" s="63" t="e">
        <f>'Procurement Schedule'!#REF!</f>
        <v>#REF!</v>
      </c>
      <c r="C30" t="e">
        <f t="shared" si="16"/>
        <v>#REF!</v>
      </c>
      <c r="D30" t="e">
        <f t="shared" si="17"/>
        <v>#REF!</v>
      </c>
      <c r="E30" t="e">
        <f t="shared" si="18"/>
        <v>#REF!</v>
      </c>
      <c r="G30" t="e">
        <f t="shared" si="19"/>
        <v>#REF!</v>
      </c>
      <c r="H30" s="63" t="e">
        <f>'Procurement Schedule'!#REF!</f>
        <v>#REF!</v>
      </c>
      <c r="I30" t="e">
        <f t="shared" si="20"/>
        <v>#REF!</v>
      </c>
      <c r="J30" t="e">
        <f t="shared" si="21"/>
        <v>#REF!</v>
      </c>
      <c r="K30" t="e">
        <f t="shared" si="22"/>
        <v>#REF!</v>
      </c>
      <c r="S30" t="str">
        <f t="shared" si="12"/>
        <v/>
      </c>
      <c r="T30" s="64" t="str">
        <f t="shared" si="9"/>
        <v/>
      </c>
      <c r="AA30" t="str">
        <f t="shared" si="13"/>
        <v/>
      </c>
      <c r="AB30" s="64" t="str">
        <f t="shared" si="14"/>
        <v/>
      </c>
      <c r="AD30" t="s">
        <v>91</v>
      </c>
      <c r="AE30" s="63">
        <v>44621</v>
      </c>
      <c r="AQ30" t="str">
        <f t="shared" si="23"/>
        <v>5_2022</v>
      </c>
      <c r="AR30" s="63">
        <f t="shared" si="8"/>
        <v>44682</v>
      </c>
    </row>
    <row r="31" spans="1:44" x14ac:dyDescent="0.35">
      <c r="A31">
        <f>'Procurement Schedule'!R46</f>
        <v>437599.45310412132</v>
      </c>
      <c r="B31" s="63">
        <f>'Procurement Schedule'!M46</f>
        <v>46234</v>
      </c>
      <c r="C31">
        <f t="shared" si="16"/>
        <v>7</v>
      </c>
      <c r="D31">
        <f t="shared" si="17"/>
        <v>2026</v>
      </c>
      <c r="E31" t="str">
        <f t="shared" si="18"/>
        <v>7_2026</v>
      </c>
      <c r="G31">
        <f t="shared" si="19"/>
        <v>437599.45310412132</v>
      </c>
      <c r="H31" s="63">
        <f>'Procurement Schedule'!N46</f>
        <v>46129</v>
      </c>
      <c r="I31">
        <f t="shared" si="20"/>
        <v>4</v>
      </c>
      <c r="J31">
        <f t="shared" si="21"/>
        <v>2026</v>
      </c>
      <c r="K31" t="str">
        <f t="shared" si="22"/>
        <v>4_2026</v>
      </c>
      <c r="S31" t="str">
        <f t="shared" si="12"/>
        <v/>
      </c>
      <c r="T31" s="64" t="str">
        <f t="shared" si="9"/>
        <v/>
      </c>
      <c r="AA31" t="str">
        <f t="shared" si="13"/>
        <v/>
      </c>
      <c r="AB31" s="64" t="str">
        <f t="shared" si="14"/>
        <v/>
      </c>
      <c r="AD31" t="s">
        <v>92</v>
      </c>
      <c r="AE31" s="63">
        <v>44652</v>
      </c>
      <c r="AQ31" t="str">
        <f t="shared" si="23"/>
        <v>6_2022</v>
      </c>
      <c r="AR31" s="63">
        <f t="shared" si="8"/>
        <v>44713</v>
      </c>
    </row>
    <row r="32" spans="1:44" x14ac:dyDescent="0.35">
      <c r="A32">
        <f>'Procurement Schedule'!R49</f>
        <v>1138973.3847357573</v>
      </c>
      <c r="B32" s="63">
        <f>'Procurement Schedule'!M49</f>
        <v>0</v>
      </c>
      <c r="C32">
        <f t="shared" si="16"/>
        <v>1</v>
      </c>
      <c r="D32">
        <f t="shared" si="17"/>
        <v>1900</v>
      </c>
      <c r="E32" t="str">
        <f t="shared" si="18"/>
        <v>1_1900</v>
      </c>
      <c r="G32">
        <f t="shared" si="19"/>
        <v>1138973.3847357573</v>
      </c>
      <c r="H32" s="63">
        <f>'Procurement Schedule'!N49</f>
        <v>0</v>
      </c>
      <c r="I32">
        <f t="shared" si="20"/>
        <v>1</v>
      </c>
      <c r="J32">
        <f t="shared" si="21"/>
        <v>1900</v>
      </c>
      <c r="K32" t="str">
        <f t="shared" si="22"/>
        <v>1_1900</v>
      </c>
      <c r="S32" t="str">
        <f t="shared" si="12"/>
        <v/>
      </c>
      <c r="T32" s="64" t="str">
        <f t="shared" si="9"/>
        <v/>
      </c>
      <c r="AA32" t="str">
        <f t="shared" si="13"/>
        <v/>
      </c>
      <c r="AB32" s="64" t="str">
        <f t="shared" si="14"/>
        <v/>
      </c>
      <c r="AD32" t="s">
        <v>93</v>
      </c>
      <c r="AE32" s="63">
        <v>44682</v>
      </c>
      <c r="AQ32" t="str">
        <f t="shared" si="23"/>
        <v>7_2022</v>
      </c>
      <c r="AR32" s="63">
        <f t="shared" si="8"/>
        <v>44743</v>
      </c>
    </row>
    <row r="33" spans="1:44" x14ac:dyDescent="0.35">
      <c r="A33">
        <f>'Procurement Schedule'!R53</f>
        <v>0</v>
      </c>
      <c r="B33" s="63">
        <f>'Procurement Schedule'!M53</f>
        <v>0</v>
      </c>
      <c r="C33">
        <f t="shared" si="16"/>
        <v>1</v>
      </c>
      <c r="D33">
        <f t="shared" si="17"/>
        <v>1900</v>
      </c>
      <c r="E33" t="str">
        <f t="shared" si="18"/>
        <v>1_1900</v>
      </c>
      <c r="G33">
        <f t="shared" si="19"/>
        <v>0</v>
      </c>
      <c r="H33" s="63">
        <f>'Procurement Schedule'!N53</f>
        <v>0</v>
      </c>
      <c r="I33">
        <f t="shared" si="20"/>
        <v>1</v>
      </c>
      <c r="J33">
        <f t="shared" si="21"/>
        <v>1900</v>
      </c>
      <c r="K33" t="str">
        <f t="shared" si="22"/>
        <v>1_1900</v>
      </c>
      <c r="S33" t="str">
        <f t="shared" si="12"/>
        <v/>
      </c>
      <c r="T33" s="64" t="str">
        <f t="shared" si="9"/>
        <v/>
      </c>
      <c r="AA33" t="str">
        <f t="shared" si="13"/>
        <v/>
      </c>
      <c r="AB33" s="64" t="str">
        <f t="shared" si="14"/>
        <v/>
      </c>
      <c r="AD33" t="s">
        <v>94</v>
      </c>
      <c r="AE33" s="63">
        <v>44713</v>
      </c>
      <c r="AQ33" t="str">
        <f t="shared" si="23"/>
        <v>8_2022</v>
      </c>
      <c r="AR33" s="63">
        <f t="shared" si="8"/>
        <v>44774</v>
      </c>
    </row>
    <row r="34" spans="1:44" x14ac:dyDescent="0.35">
      <c r="A34">
        <f>'Procurement Schedule'!R54</f>
        <v>16024473.498635681</v>
      </c>
      <c r="B34" s="63">
        <f>'Procurement Schedule'!M54</f>
        <v>0</v>
      </c>
      <c r="C34">
        <f t="shared" si="16"/>
        <v>1</v>
      </c>
      <c r="D34">
        <f t="shared" si="17"/>
        <v>1900</v>
      </c>
      <c r="E34" t="str">
        <f t="shared" si="18"/>
        <v>1_1900</v>
      </c>
      <c r="G34">
        <f t="shared" si="19"/>
        <v>16024473.498635681</v>
      </c>
      <c r="H34" s="63">
        <f>'Procurement Schedule'!N54</f>
        <v>0</v>
      </c>
      <c r="I34">
        <f t="shared" si="20"/>
        <v>1</v>
      </c>
      <c r="J34">
        <f t="shared" si="21"/>
        <v>1900</v>
      </c>
      <c r="K34" t="str">
        <f t="shared" si="22"/>
        <v>1_1900</v>
      </c>
      <c r="S34" t="str">
        <f t="shared" si="12"/>
        <v/>
      </c>
      <c r="T34" s="64" t="str">
        <f t="shared" si="9"/>
        <v/>
      </c>
      <c r="AA34" t="str">
        <f t="shared" si="13"/>
        <v/>
      </c>
      <c r="AB34" s="64" t="str">
        <f t="shared" si="14"/>
        <v/>
      </c>
      <c r="AD34" t="s">
        <v>95</v>
      </c>
      <c r="AE34" s="63">
        <v>44743</v>
      </c>
      <c r="AQ34" t="str">
        <f t="shared" si="23"/>
        <v>9_2022</v>
      </c>
      <c r="AR34" s="63">
        <f t="shared" si="8"/>
        <v>44805</v>
      </c>
    </row>
    <row r="35" spans="1:44" x14ac:dyDescent="0.35">
      <c r="A35">
        <f>'Procurement Schedule'!R60</f>
        <v>0</v>
      </c>
      <c r="B35" s="63">
        <f>'Procurement Schedule'!M60</f>
        <v>0</v>
      </c>
      <c r="C35">
        <f t="shared" si="16"/>
        <v>1</v>
      </c>
      <c r="D35">
        <f t="shared" si="17"/>
        <v>1900</v>
      </c>
      <c r="E35" t="str">
        <f t="shared" si="18"/>
        <v>1_1900</v>
      </c>
      <c r="G35">
        <f t="shared" si="19"/>
        <v>0</v>
      </c>
      <c r="H35" s="63">
        <f>'Procurement Schedule'!N60</f>
        <v>0</v>
      </c>
      <c r="I35">
        <f t="shared" si="20"/>
        <v>1</v>
      </c>
      <c r="J35">
        <f t="shared" si="21"/>
        <v>1900</v>
      </c>
      <c r="K35" t="str">
        <f t="shared" si="22"/>
        <v>1_1900</v>
      </c>
      <c r="S35" t="str">
        <f t="shared" si="12"/>
        <v/>
      </c>
      <c r="T35" s="64" t="str">
        <f t="shared" si="9"/>
        <v/>
      </c>
      <c r="AA35" t="str">
        <f t="shared" si="13"/>
        <v/>
      </c>
      <c r="AB35" s="64" t="str">
        <f t="shared" si="14"/>
        <v/>
      </c>
      <c r="AD35" t="s">
        <v>96</v>
      </c>
      <c r="AE35" s="63">
        <v>44774</v>
      </c>
      <c r="AQ35" t="str">
        <f t="shared" si="23"/>
        <v>10_2022</v>
      </c>
      <c r="AR35" s="63">
        <f t="shared" si="8"/>
        <v>44835</v>
      </c>
    </row>
    <row r="36" spans="1:44" x14ac:dyDescent="0.35">
      <c r="A36" t="e">
        <f>'Procurement Schedule'!#REF!</f>
        <v>#REF!</v>
      </c>
      <c r="B36" s="63" t="e">
        <f>'Procurement Schedule'!#REF!</f>
        <v>#REF!</v>
      </c>
      <c r="C36" t="e">
        <f t="shared" si="16"/>
        <v>#REF!</v>
      </c>
      <c r="D36" t="e">
        <f t="shared" si="17"/>
        <v>#REF!</v>
      </c>
      <c r="E36" t="e">
        <f t="shared" si="18"/>
        <v>#REF!</v>
      </c>
      <c r="G36" t="e">
        <f t="shared" si="19"/>
        <v>#REF!</v>
      </c>
      <c r="H36" s="63" t="e">
        <f>'Procurement Schedule'!#REF!</f>
        <v>#REF!</v>
      </c>
      <c r="I36" t="e">
        <f t="shared" si="20"/>
        <v>#REF!</v>
      </c>
      <c r="J36" t="e">
        <f t="shared" si="21"/>
        <v>#REF!</v>
      </c>
      <c r="K36" t="e">
        <f t="shared" si="22"/>
        <v>#REF!</v>
      </c>
      <c r="S36" t="str">
        <f t="shared" si="12"/>
        <v/>
      </c>
      <c r="T36" s="64" t="str">
        <f t="shared" si="9"/>
        <v/>
      </c>
      <c r="AA36" t="str">
        <f t="shared" si="13"/>
        <v/>
      </c>
      <c r="AB36" s="64" t="str">
        <f t="shared" si="14"/>
        <v/>
      </c>
      <c r="AD36" t="s">
        <v>97</v>
      </c>
      <c r="AE36" s="63">
        <v>44805</v>
      </c>
      <c r="AQ36" t="str">
        <f>AM12&amp;"_"&amp;$AN$4</f>
        <v>11_2022</v>
      </c>
      <c r="AR36" s="63">
        <f t="shared" si="8"/>
        <v>44866</v>
      </c>
    </row>
    <row r="37" spans="1:44" x14ac:dyDescent="0.35">
      <c r="A37">
        <f>'Procurement Schedule'!R67</f>
        <v>386500</v>
      </c>
      <c r="B37" s="63">
        <f>'Procurement Schedule'!M67</f>
        <v>46181</v>
      </c>
      <c r="C37">
        <f t="shared" si="16"/>
        <v>6</v>
      </c>
      <c r="D37">
        <f t="shared" si="17"/>
        <v>2026</v>
      </c>
      <c r="E37" t="str">
        <f t="shared" si="18"/>
        <v>6_2026</v>
      </c>
      <c r="G37">
        <f t="shared" si="19"/>
        <v>386500</v>
      </c>
      <c r="H37" s="63">
        <f>'Procurement Schedule'!N67</f>
        <v>0</v>
      </c>
      <c r="I37">
        <f t="shared" si="20"/>
        <v>1</v>
      </c>
      <c r="J37">
        <f t="shared" si="21"/>
        <v>1900</v>
      </c>
      <c r="K37" t="str">
        <f t="shared" si="22"/>
        <v>1_1900</v>
      </c>
      <c r="S37" t="str">
        <f t="shared" si="12"/>
        <v/>
      </c>
      <c r="T37" s="64" t="str">
        <f t="shared" si="9"/>
        <v/>
      </c>
      <c r="AA37" t="str">
        <f t="shared" si="13"/>
        <v/>
      </c>
      <c r="AB37" s="64" t="str">
        <f t="shared" si="14"/>
        <v/>
      </c>
      <c r="AD37" t="s">
        <v>98</v>
      </c>
      <c r="AE37" s="63">
        <v>44835</v>
      </c>
      <c r="AQ37" t="str">
        <f t="shared" si="23"/>
        <v>12_2022</v>
      </c>
      <c r="AR37" s="63">
        <f t="shared" si="8"/>
        <v>44896</v>
      </c>
    </row>
    <row r="38" spans="1:44" x14ac:dyDescent="0.35">
      <c r="A38">
        <f>'Procurement Schedule'!R68</f>
        <v>718448.41</v>
      </c>
      <c r="B38" s="63">
        <f>'Procurement Schedule'!M68</f>
        <v>46264</v>
      </c>
      <c r="C38">
        <f t="shared" si="16"/>
        <v>8</v>
      </c>
      <c r="D38">
        <f t="shared" si="17"/>
        <v>2026</v>
      </c>
      <c r="E38" t="str">
        <f t="shared" si="18"/>
        <v>8_2026</v>
      </c>
      <c r="G38">
        <f t="shared" si="19"/>
        <v>718448.41</v>
      </c>
      <c r="H38" s="63">
        <f>'Procurement Schedule'!N68</f>
        <v>0</v>
      </c>
      <c r="I38">
        <f t="shared" si="20"/>
        <v>1</v>
      </c>
      <c r="J38">
        <f t="shared" si="21"/>
        <v>1900</v>
      </c>
      <c r="K38" t="str">
        <f t="shared" si="22"/>
        <v>1_1900</v>
      </c>
      <c r="S38" t="str">
        <f t="shared" si="12"/>
        <v/>
      </c>
      <c r="T38" s="64" t="str">
        <f t="shared" si="9"/>
        <v/>
      </c>
      <c r="AA38" t="str">
        <f t="shared" si="13"/>
        <v/>
      </c>
      <c r="AB38" s="64" t="str">
        <f t="shared" si="14"/>
        <v/>
      </c>
      <c r="AD38" t="s">
        <v>99</v>
      </c>
      <c r="AE38" s="63">
        <v>44866</v>
      </c>
      <c r="AQ38" t="str">
        <f>AM2&amp;"_"&amp;$AN$5</f>
        <v>1_2023</v>
      </c>
      <c r="AR38" s="63">
        <f t="shared" si="8"/>
        <v>44927</v>
      </c>
    </row>
    <row r="39" spans="1:44" x14ac:dyDescent="0.35">
      <c r="A39">
        <f>'Procurement Schedule'!R69</f>
        <v>0</v>
      </c>
      <c r="B39" s="63">
        <f>'Procurement Schedule'!M69</f>
        <v>0</v>
      </c>
      <c r="C39">
        <f t="shared" si="16"/>
        <v>1</v>
      </c>
      <c r="D39">
        <f t="shared" si="17"/>
        <v>1900</v>
      </c>
      <c r="E39" t="str">
        <f t="shared" si="18"/>
        <v>1_1900</v>
      </c>
      <c r="G39">
        <f t="shared" si="19"/>
        <v>0</v>
      </c>
      <c r="H39" s="63">
        <f>'Procurement Schedule'!N69</f>
        <v>0</v>
      </c>
      <c r="I39">
        <f t="shared" si="20"/>
        <v>1</v>
      </c>
      <c r="J39">
        <f t="shared" si="21"/>
        <v>1900</v>
      </c>
      <c r="K39" t="str">
        <f t="shared" si="22"/>
        <v>1_1900</v>
      </c>
      <c r="S39" t="str">
        <f t="shared" si="12"/>
        <v/>
      </c>
      <c r="T39" s="64" t="str">
        <f t="shared" si="9"/>
        <v/>
      </c>
      <c r="X39" s="63"/>
      <c r="AA39" t="str">
        <f t="shared" si="13"/>
        <v/>
      </c>
      <c r="AB39" s="64" t="str">
        <f t="shared" si="14"/>
        <v/>
      </c>
      <c r="AD39" t="s">
        <v>100</v>
      </c>
      <c r="AE39" s="63">
        <v>44896</v>
      </c>
      <c r="AQ39" t="str">
        <f t="shared" ref="AQ39:AQ49" si="24">AM3&amp;"_"&amp;$AN$5</f>
        <v>2_2023</v>
      </c>
      <c r="AR39" s="63">
        <f t="shared" si="8"/>
        <v>44958</v>
      </c>
    </row>
    <row r="40" spans="1:44" x14ac:dyDescent="0.35">
      <c r="A40">
        <f>'Procurement Schedule'!R70</f>
        <v>23700875.699999999</v>
      </c>
      <c r="B40" s="63">
        <f>'Procurement Schedule'!M70</f>
        <v>46112</v>
      </c>
      <c r="C40">
        <f t="shared" si="16"/>
        <v>3</v>
      </c>
      <c r="D40">
        <f t="shared" si="17"/>
        <v>2026</v>
      </c>
      <c r="E40" t="str">
        <f t="shared" si="18"/>
        <v>3_2026</v>
      </c>
      <c r="G40">
        <f t="shared" si="19"/>
        <v>23700875.699999999</v>
      </c>
      <c r="H40" s="63">
        <f>'Procurement Schedule'!N70</f>
        <v>0</v>
      </c>
      <c r="I40">
        <f t="shared" si="20"/>
        <v>1</v>
      </c>
      <c r="J40">
        <f t="shared" si="21"/>
        <v>1900</v>
      </c>
      <c r="K40" t="str">
        <f t="shared" si="22"/>
        <v>1_1900</v>
      </c>
      <c r="S40" t="str">
        <f t="shared" si="12"/>
        <v/>
      </c>
      <c r="T40" s="64" t="str">
        <f t="shared" si="9"/>
        <v/>
      </c>
      <c r="X40" s="63"/>
      <c r="AA40" t="str">
        <f t="shared" si="13"/>
        <v/>
      </c>
      <c r="AB40" s="64" t="str">
        <f t="shared" si="14"/>
        <v/>
      </c>
      <c r="AD40" t="s">
        <v>101</v>
      </c>
      <c r="AE40" s="63">
        <v>44927</v>
      </c>
      <c r="AQ40" t="str">
        <f t="shared" si="24"/>
        <v>3_2023</v>
      </c>
      <c r="AR40" s="63">
        <f t="shared" si="8"/>
        <v>44986</v>
      </c>
    </row>
    <row r="41" spans="1:44" x14ac:dyDescent="0.35">
      <c r="A41">
        <f>'Procurement Schedule'!R77</f>
        <v>425469.4322980452</v>
      </c>
      <c r="B41" s="63">
        <f>'Procurement Schedule'!M77</f>
        <v>46201</v>
      </c>
      <c r="C41">
        <f t="shared" si="16"/>
        <v>6</v>
      </c>
      <c r="D41">
        <f t="shared" si="17"/>
        <v>2026</v>
      </c>
      <c r="E41" t="str">
        <f t="shared" si="18"/>
        <v>6_2026</v>
      </c>
      <c r="G41">
        <f t="shared" si="19"/>
        <v>425469.4322980452</v>
      </c>
      <c r="H41" s="63">
        <f>'Procurement Schedule'!N77</f>
        <v>46142</v>
      </c>
      <c r="I41">
        <f t="shared" si="20"/>
        <v>4</v>
      </c>
      <c r="J41">
        <f t="shared" si="21"/>
        <v>2026</v>
      </c>
      <c r="K41" t="str">
        <f t="shared" si="22"/>
        <v>4_2026</v>
      </c>
      <c r="S41" t="str">
        <f t="shared" si="12"/>
        <v/>
      </c>
      <c r="T41" s="64" t="str">
        <f t="shared" si="9"/>
        <v/>
      </c>
      <c r="X41" s="63"/>
      <c r="AA41" t="str">
        <f t="shared" si="13"/>
        <v/>
      </c>
      <c r="AB41" s="64" t="str">
        <f t="shared" si="14"/>
        <v/>
      </c>
      <c r="AD41" t="s">
        <v>102</v>
      </c>
      <c r="AE41" s="63">
        <v>44958</v>
      </c>
      <c r="AQ41" t="str">
        <f t="shared" si="24"/>
        <v>4_2023</v>
      </c>
      <c r="AR41" s="63">
        <f t="shared" si="8"/>
        <v>45017</v>
      </c>
    </row>
    <row r="42" spans="1:44" x14ac:dyDescent="0.35">
      <c r="A42">
        <f>'Procurement Schedule'!R78</f>
        <v>687451.2464395162</v>
      </c>
      <c r="B42" s="63">
        <f>'Procurement Schedule'!M78</f>
        <v>46173</v>
      </c>
      <c r="C42">
        <f t="shared" si="16"/>
        <v>5</v>
      </c>
      <c r="D42">
        <f t="shared" si="17"/>
        <v>2026</v>
      </c>
      <c r="E42" t="str">
        <f t="shared" si="18"/>
        <v>5_2026</v>
      </c>
      <c r="G42">
        <f t="shared" si="19"/>
        <v>687451.2464395162</v>
      </c>
      <c r="H42" s="63">
        <f>'Procurement Schedule'!N78</f>
        <v>0</v>
      </c>
      <c r="I42">
        <f t="shared" si="20"/>
        <v>1</v>
      </c>
      <c r="J42">
        <f t="shared" si="21"/>
        <v>1900</v>
      </c>
      <c r="K42" t="str">
        <f t="shared" si="22"/>
        <v>1_1900</v>
      </c>
      <c r="S42" t="str">
        <f t="shared" si="12"/>
        <v/>
      </c>
      <c r="T42" s="64" t="str">
        <f t="shared" si="9"/>
        <v/>
      </c>
      <c r="X42" s="63"/>
      <c r="AA42" t="str">
        <f t="shared" si="13"/>
        <v/>
      </c>
      <c r="AB42" s="64" t="str">
        <f t="shared" si="14"/>
        <v/>
      </c>
      <c r="AD42" t="s">
        <v>103</v>
      </c>
      <c r="AE42" s="63">
        <v>44986</v>
      </c>
      <c r="AQ42" t="str">
        <f t="shared" si="24"/>
        <v>5_2023</v>
      </c>
      <c r="AR42" s="63">
        <f t="shared" si="8"/>
        <v>45047</v>
      </c>
    </row>
    <row r="43" spans="1:44" x14ac:dyDescent="0.35">
      <c r="A43">
        <f>'Procurement Schedule'!R79</f>
        <v>0</v>
      </c>
      <c r="B43" s="63">
        <f>'Procurement Schedule'!M79</f>
        <v>0</v>
      </c>
      <c r="C43">
        <f t="shared" si="16"/>
        <v>1</v>
      </c>
      <c r="D43">
        <f t="shared" si="17"/>
        <v>1900</v>
      </c>
      <c r="E43" t="str">
        <f t="shared" si="18"/>
        <v>1_1900</v>
      </c>
      <c r="G43">
        <f t="shared" si="19"/>
        <v>0</v>
      </c>
      <c r="H43" s="63">
        <f>'Procurement Schedule'!N79</f>
        <v>0</v>
      </c>
      <c r="I43">
        <f t="shared" si="20"/>
        <v>1</v>
      </c>
      <c r="J43">
        <f t="shared" si="21"/>
        <v>1900</v>
      </c>
      <c r="K43" t="str">
        <f t="shared" si="22"/>
        <v>1_1900</v>
      </c>
      <c r="S43" t="str">
        <f t="shared" si="12"/>
        <v/>
      </c>
      <c r="T43" s="64" t="str">
        <f t="shared" si="9"/>
        <v/>
      </c>
      <c r="X43" s="63"/>
      <c r="AA43" t="str">
        <f t="shared" si="13"/>
        <v/>
      </c>
      <c r="AB43" s="64" t="str">
        <f t="shared" si="14"/>
        <v/>
      </c>
      <c r="AD43" t="s">
        <v>104</v>
      </c>
      <c r="AE43" s="63">
        <v>45017</v>
      </c>
      <c r="AQ43" t="str">
        <f t="shared" si="24"/>
        <v>6_2023</v>
      </c>
      <c r="AR43" s="63">
        <f t="shared" si="8"/>
        <v>45078</v>
      </c>
    </row>
    <row r="44" spans="1:44" x14ac:dyDescent="0.35">
      <c r="A44">
        <f>'Procurement Schedule'!R93</f>
        <v>0</v>
      </c>
      <c r="B44" s="63">
        <f>'Procurement Schedule'!M93</f>
        <v>0</v>
      </c>
      <c r="C44">
        <f t="shared" si="16"/>
        <v>1</v>
      </c>
      <c r="D44">
        <f t="shared" si="17"/>
        <v>1900</v>
      </c>
      <c r="E44" t="str">
        <f t="shared" si="18"/>
        <v>1_1900</v>
      </c>
      <c r="G44">
        <f t="shared" si="19"/>
        <v>0</v>
      </c>
      <c r="H44" s="63">
        <f>'Procurement Schedule'!N93</f>
        <v>0</v>
      </c>
      <c r="I44">
        <f t="shared" si="20"/>
        <v>1</v>
      </c>
      <c r="J44">
        <f t="shared" si="21"/>
        <v>1900</v>
      </c>
      <c r="K44" t="str">
        <f t="shared" si="22"/>
        <v>1_1900</v>
      </c>
      <c r="S44" t="str">
        <f t="shared" si="12"/>
        <v/>
      </c>
      <c r="T44" s="64" t="str">
        <f t="shared" si="9"/>
        <v/>
      </c>
      <c r="X44" s="64"/>
      <c r="AA44" t="str">
        <f t="shared" si="13"/>
        <v/>
      </c>
      <c r="AB44" s="64" t="str">
        <f t="shared" si="14"/>
        <v/>
      </c>
      <c r="AD44" t="s">
        <v>105</v>
      </c>
      <c r="AE44" s="63">
        <v>45047</v>
      </c>
      <c r="AQ44" t="str">
        <f t="shared" si="24"/>
        <v>7_2023</v>
      </c>
      <c r="AR44" s="63">
        <f t="shared" si="8"/>
        <v>45108</v>
      </c>
    </row>
    <row r="45" spans="1:44" x14ac:dyDescent="0.35">
      <c r="A45">
        <f>'Procurement Schedule'!R94</f>
        <v>1169928.6779112776</v>
      </c>
      <c r="B45" s="63">
        <f>'Procurement Schedule'!M94</f>
        <v>46265</v>
      </c>
      <c r="C45">
        <f t="shared" si="16"/>
        <v>8</v>
      </c>
      <c r="D45">
        <f t="shared" si="17"/>
        <v>2026</v>
      </c>
      <c r="E45" t="str">
        <f t="shared" si="18"/>
        <v>8_2026</v>
      </c>
      <c r="G45">
        <f t="shared" si="19"/>
        <v>1169928.6779112776</v>
      </c>
      <c r="H45" s="63">
        <f>'Procurement Schedule'!N94</f>
        <v>0</v>
      </c>
      <c r="I45">
        <f t="shared" si="20"/>
        <v>1</v>
      </c>
      <c r="J45">
        <f t="shared" si="21"/>
        <v>1900</v>
      </c>
      <c r="K45" t="str">
        <f t="shared" si="22"/>
        <v>1_1900</v>
      </c>
      <c r="S45" t="str">
        <f t="shared" si="12"/>
        <v/>
      </c>
      <c r="T45" s="64" t="str">
        <f t="shared" si="9"/>
        <v/>
      </c>
      <c r="AA45" t="str">
        <f t="shared" si="13"/>
        <v/>
      </c>
      <c r="AB45" s="64" t="str">
        <f t="shared" si="14"/>
        <v/>
      </c>
      <c r="AD45" t="s">
        <v>106</v>
      </c>
      <c r="AE45" s="63">
        <v>45078</v>
      </c>
      <c r="AQ45" t="str">
        <f t="shared" si="24"/>
        <v>8_2023</v>
      </c>
      <c r="AR45" s="63">
        <f t="shared" si="8"/>
        <v>45139</v>
      </c>
    </row>
    <row r="46" spans="1:44" x14ac:dyDescent="0.35">
      <c r="A46">
        <f>'Procurement Schedule'!R95</f>
        <v>433041.85</v>
      </c>
      <c r="B46" s="63">
        <f>'Procurement Schedule'!M95</f>
        <v>46265</v>
      </c>
      <c r="C46">
        <f t="shared" si="16"/>
        <v>8</v>
      </c>
      <c r="D46">
        <f t="shared" si="17"/>
        <v>2026</v>
      </c>
      <c r="E46" t="str">
        <f t="shared" si="18"/>
        <v>8_2026</v>
      </c>
      <c r="G46">
        <f t="shared" si="19"/>
        <v>433041.85</v>
      </c>
      <c r="H46" s="63">
        <f>'Procurement Schedule'!N95</f>
        <v>0</v>
      </c>
      <c r="I46">
        <f t="shared" si="20"/>
        <v>1</v>
      </c>
      <c r="J46">
        <f t="shared" si="21"/>
        <v>1900</v>
      </c>
      <c r="K46" t="str">
        <f t="shared" si="22"/>
        <v>1_1900</v>
      </c>
      <c r="S46" t="str">
        <f t="shared" si="12"/>
        <v/>
      </c>
      <c r="T46" s="64" t="str">
        <f t="shared" si="9"/>
        <v/>
      </c>
      <c r="AA46" t="str">
        <f t="shared" si="13"/>
        <v/>
      </c>
      <c r="AB46" s="64" t="str">
        <f t="shared" si="14"/>
        <v/>
      </c>
      <c r="AD46" t="s">
        <v>107</v>
      </c>
      <c r="AE46" s="63">
        <v>45108</v>
      </c>
      <c r="AQ46" t="str">
        <f t="shared" si="24"/>
        <v>9_2023</v>
      </c>
      <c r="AR46" s="63">
        <f t="shared" si="8"/>
        <v>45170</v>
      </c>
    </row>
    <row r="47" spans="1:44" x14ac:dyDescent="0.35">
      <c r="A47">
        <f>'Procurement Schedule'!R96</f>
        <v>164458.6434</v>
      </c>
      <c r="B47" s="63">
        <f>'Procurement Schedule'!M96</f>
        <v>46265</v>
      </c>
      <c r="C47">
        <f t="shared" si="16"/>
        <v>8</v>
      </c>
      <c r="D47">
        <f t="shared" si="17"/>
        <v>2026</v>
      </c>
      <c r="E47" t="str">
        <f t="shared" si="18"/>
        <v>8_2026</v>
      </c>
      <c r="G47">
        <f t="shared" si="19"/>
        <v>164458.6434</v>
      </c>
      <c r="H47" s="63">
        <f>'Procurement Schedule'!N96</f>
        <v>0</v>
      </c>
      <c r="I47">
        <f t="shared" si="20"/>
        <v>1</v>
      </c>
      <c r="J47">
        <f t="shared" si="21"/>
        <v>1900</v>
      </c>
      <c r="K47" t="str">
        <f t="shared" si="22"/>
        <v>1_1900</v>
      </c>
      <c r="S47" t="str">
        <f t="shared" si="12"/>
        <v/>
      </c>
      <c r="T47" s="64" t="str">
        <f t="shared" si="9"/>
        <v/>
      </c>
      <c r="AA47" t="str">
        <f t="shared" si="13"/>
        <v/>
      </c>
      <c r="AB47" s="64" t="str">
        <f t="shared" si="14"/>
        <v/>
      </c>
      <c r="AD47" t="s">
        <v>108</v>
      </c>
      <c r="AE47" s="63">
        <v>45139</v>
      </c>
      <c r="AQ47" t="str">
        <f t="shared" si="24"/>
        <v>10_2023</v>
      </c>
      <c r="AR47" s="63">
        <f t="shared" si="8"/>
        <v>45200</v>
      </c>
    </row>
    <row r="48" spans="1:44" x14ac:dyDescent="0.35">
      <c r="A48">
        <f>'Procurement Schedule'!R97</f>
        <v>366535.63100000005</v>
      </c>
      <c r="B48" s="63">
        <f>'Procurement Schedule'!M97</f>
        <v>46265</v>
      </c>
      <c r="C48">
        <f t="shared" si="16"/>
        <v>8</v>
      </c>
      <c r="D48">
        <f t="shared" si="17"/>
        <v>2026</v>
      </c>
      <c r="E48" t="str">
        <f t="shared" si="18"/>
        <v>8_2026</v>
      </c>
      <c r="G48">
        <f t="shared" si="19"/>
        <v>366535.63100000005</v>
      </c>
      <c r="H48" s="63">
        <f>'Procurement Schedule'!N97</f>
        <v>0</v>
      </c>
      <c r="I48">
        <f t="shared" si="20"/>
        <v>1</v>
      </c>
      <c r="J48">
        <f t="shared" si="21"/>
        <v>1900</v>
      </c>
      <c r="K48" t="str">
        <f t="shared" si="22"/>
        <v>1_1900</v>
      </c>
      <c r="S48" t="str">
        <f t="shared" si="12"/>
        <v/>
      </c>
      <c r="T48" s="64" t="str">
        <f t="shared" si="9"/>
        <v/>
      </c>
      <c r="AA48" t="str">
        <f t="shared" si="13"/>
        <v/>
      </c>
      <c r="AB48" s="64" t="str">
        <f t="shared" si="14"/>
        <v/>
      </c>
      <c r="AD48" t="s">
        <v>109</v>
      </c>
      <c r="AE48" s="63">
        <v>45170</v>
      </c>
      <c r="AQ48" t="str">
        <f t="shared" si="24"/>
        <v>11_2023</v>
      </c>
      <c r="AR48" s="63">
        <f t="shared" si="8"/>
        <v>45231</v>
      </c>
    </row>
    <row r="49" spans="1:44" x14ac:dyDescent="0.35">
      <c r="A49">
        <f>'Procurement Schedule'!R98</f>
        <v>205428.18078865809</v>
      </c>
      <c r="B49" s="63">
        <f>'Procurement Schedule'!M98</f>
        <v>46265</v>
      </c>
      <c r="C49">
        <f t="shared" si="16"/>
        <v>8</v>
      </c>
      <c r="D49">
        <f t="shared" si="17"/>
        <v>2026</v>
      </c>
      <c r="E49" t="str">
        <f t="shared" si="18"/>
        <v>8_2026</v>
      </c>
      <c r="G49">
        <f t="shared" si="19"/>
        <v>205428.18078865809</v>
      </c>
      <c r="H49" s="63">
        <f>'Procurement Schedule'!N98</f>
        <v>0</v>
      </c>
      <c r="I49">
        <f t="shared" si="20"/>
        <v>1</v>
      </c>
      <c r="J49">
        <f t="shared" si="21"/>
        <v>1900</v>
      </c>
      <c r="K49" t="str">
        <f t="shared" si="22"/>
        <v>1_1900</v>
      </c>
      <c r="S49" t="str">
        <f t="shared" si="12"/>
        <v/>
      </c>
      <c r="T49" s="64" t="str">
        <f t="shared" si="9"/>
        <v/>
      </c>
      <c r="AA49" t="str">
        <f t="shared" si="13"/>
        <v/>
      </c>
      <c r="AB49" s="64" t="str">
        <f t="shared" si="14"/>
        <v/>
      </c>
      <c r="AD49" t="s">
        <v>110</v>
      </c>
      <c r="AE49" s="63">
        <v>45200</v>
      </c>
      <c r="AQ49" t="str">
        <f t="shared" si="24"/>
        <v>12_2023</v>
      </c>
      <c r="AR49" s="63">
        <f t="shared" si="8"/>
        <v>45261</v>
      </c>
    </row>
    <row r="50" spans="1:44" x14ac:dyDescent="0.35">
      <c r="A50">
        <f>'Procurement Schedule'!R99</f>
        <v>327190.63904872013</v>
      </c>
      <c r="B50" s="63">
        <f>'Procurement Schedule'!M99</f>
        <v>46265</v>
      </c>
      <c r="C50">
        <f t="shared" si="16"/>
        <v>8</v>
      </c>
      <c r="D50">
        <f t="shared" si="17"/>
        <v>2026</v>
      </c>
      <c r="E50" t="str">
        <f t="shared" si="18"/>
        <v>8_2026</v>
      </c>
      <c r="G50">
        <f t="shared" si="19"/>
        <v>327190.63904872013</v>
      </c>
      <c r="H50" s="63">
        <f>'Procurement Schedule'!N99</f>
        <v>0</v>
      </c>
      <c r="I50">
        <f t="shared" si="20"/>
        <v>1</v>
      </c>
      <c r="J50">
        <f t="shared" si="21"/>
        <v>1900</v>
      </c>
      <c r="K50" t="str">
        <f t="shared" si="22"/>
        <v>1_1900</v>
      </c>
      <c r="S50" t="str">
        <f t="shared" si="12"/>
        <v/>
      </c>
      <c r="T50" s="64" t="str">
        <f t="shared" si="9"/>
        <v/>
      </c>
      <c r="AA50" t="str">
        <f t="shared" si="13"/>
        <v/>
      </c>
      <c r="AB50" s="64" t="str">
        <f t="shared" si="14"/>
        <v/>
      </c>
      <c r="AD50" t="s">
        <v>111</v>
      </c>
      <c r="AE50" s="63">
        <v>45231</v>
      </c>
      <c r="AQ50" t="str">
        <f>AM2&amp;"_"&amp;$AN$6</f>
        <v>1_2024</v>
      </c>
      <c r="AR50" s="63">
        <f t="shared" si="8"/>
        <v>45292</v>
      </c>
    </row>
    <row r="51" spans="1:44" x14ac:dyDescent="0.35">
      <c r="A51">
        <f>'Procurement Schedule'!R100</f>
        <v>7198646.1321056634</v>
      </c>
      <c r="B51" s="63">
        <f>'Procurement Schedule'!M100</f>
        <v>46156</v>
      </c>
      <c r="C51">
        <f t="shared" si="16"/>
        <v>5</v>
      </c>
      <c r="D51">
        <f t="shared" si="17"/>
        <v>2026</v>
      </c>
      <c r="E51" t="str">
        <f t="shared" si="18"/>
        <v>5_2026</v>
      </c>
      <c r="G51">
        <f t="shared" si="19"/>
        <v>7198646.1321056634</v>
      </c>
      <c r="H51" s="63">
        <f>'Procurement Schedule'!N100</f>
        <v>0</v>
      </c>
      <c r="I51">
        <f t="shared" si="20"/>
        <v>1</v>
      </c>
      <c r="J51">
        <f t="shared" si="21"/>
        <v>1900</v>
      </c>
      <c r="K51" t="str">
        <f t="shared" si="22"/>
        <v>1_1900</v>
      </c>
      <c r="S51" t="str">
        <f t="shared" si="12"/>
        <v/>
      </c>
      <c r="T51" s="64" t="str">
        <f t="shared" si="9"/>
        <v/>
      </c>
      <c r="AA51" t="str">
        <f t="shared" si="13"/>
        <v/>
      </c>
      <c r="AB51" s="64" t="str">
        <f t="shared" si="14"/>
        <v/>
      </c>
      <c r="AD51" t="s">
        <v>112</v>
      </c>
      <c r="AE51" s="63">
        <v>45261</v>
      </c>
      <c r="AQ51" t="str">
        <f t="shared" ref="AQ51:AQ61" si="25">AM3&amp;"_"&amp;$AN$6</f>
        <v>2_2024</v>
      </c>
      <c r="AR51" s="63">
        <f t="shared" si="8"/>
        <v>45323</v>
      </c>
    </row>
    <row r="52" spans="1:44" x14ac:dyDescent="0.35">
      <c r="A52">
        <f>'Procurement Schedule'!R101</f>
        <v>0</v>
      </c>
      <c r="B52" s="63">
        <f>'Procurement Schedule'!M101</f>
        <v>0</v>
      </c>
      <c r="C52">
        <f t="shared" si="16"/>
        <v>1</v>
      </c>
      <c r="D52">
        <f t="shared" si="17"/>
        <v>1900</v>
      </c>
      <c r="E52" t="str">
        <f t="shared" si="18"/>
        <v>1_1900</v>
      </c>
      <c r="G52">
        <f t="shared" si="19"/>
        <v>0</v>
      </c>
      <c r="H52" s="63">
        <f>'Procurement Schedule'!N101</f>
        <v>0</v>
      </c>
      <c r="I52">
        <f t="shared" si="20"/>
        <v>1</v>
      </c>
      <c r="J52">
        <f t="shared" si="21"/>
        <v>1900</v>
      </c>
      <c r="K52" t="str">
        <f t="shared" si="22"/>
        <v>1_1900</v>
      </c>
      <c r="S52" t="str">
        <f t="shared" si="12"/>
        <v/>
      </c>
      <c r="T52" s="64" t="str">
        <f t="shared" si="9"/>
        <v/>
      </c>
      <c r="AA52" t="str">
        <f t="shared" si="13"/>
        <v/>
      </c>
      <c r="AB52" s="64" t="str">
        <f t="shared" si="14"/>
        <v/>
      </c>
      <c r="AD52" t="s">
        <v>113</v>
      </c>
      <c r="AE52" s="63">
        <v>45292</v>
      </c>
      <c r="AQ52" t="str">
        <f t="shared" si="25"/>
        <v>3_2024</v>
      </c>
      <c r="AR52" s="63">
        <f t="shared" si="8"/>
        <v>45352</v>
      </c>
    </row>
    <row r="53" spans="1:44" x14ac:dyDescent="0.35">
      <c r="A53">
        <f>'Procurement Schedule'!R120</f>
        <v>0</v>
      </c>
      <c r="B53" s="63">
        <f>'Procurement Schedule'!M120</f>
        <v>0</v>
      </c>
      <c r="C53">
        <f t="shared" si="16"/>
        <v>1</v>
      </c>
      <c r="D53">
        <f t="shared" si="17"/>
        <v>1900</v>
      </c>
      <c r="E53" t="str">
        <f t="shared" si="18"/>
        <v>1_1900</v>
      </c>
      <c r="G53">
        <f t="shared" si="19"/>
        <v>0</v>
      </c>
      <c r="H53" s="63">
        <f>'Procurement Schedule'!N120</f>
        <v>0</v>
      </c>
      <c r="I53">
        <f t="shared" si="20"/>
        <v>1</v>
      </c>
      <c r="J53">
        <f t="shared" si="21"/>
        <v>1900</v>
      </c>
      <c r="K53" t="str">
        <f t="shared" si="22"/>
        <v>1_1900</v>
      </c>
      <c r="S53" t="str">
        <f t="shared" si="12"/>
        <v/>
      </c>
      <c r="T53" s="64" t="str">
        <f t="shared" si="9"/>
        <v/>
      </c>
      <c r="AA53" t="str">
        <f t="shared" si="13"/>
        <v/>
      </c>
      <c r="AB53" s="64" t="str">
        <f t="shared" si="14"/>
        <v/>
      </c>
      <c r="AD53" t="s">
        <v>114</v>
      </c>
      <c r="AE53" s="63">
        <v>45323</v>
      </c>
      <c r="AQ53" t="str">
        <f t="shared" si="25"/>
        <v>4_2024</v>
      </c>
      <c r="AR53" s="63">
        <f t="shared" si="8"/>
        <v>45383</v>
      </c>
    </row>
    <row r="54" spans="1:44" x14ac:dyDescent="0.35">
      <c r="A54">
        <f>'Procurement Schedule'!R121</f>
        <v>415350</v>
      </c>
      <c r="B54" s="63">
        <f>'Procurement Schedule'!M121</f>
        <v>46234</v>
      </c>
      <c r="C54">
        <f t="shared" si="16"/>
        <v>7</v>
      </c>
      <c r="D54">
        <f t="shared" si="17"/>
        <v>2026</v>
      </c>
      <c r="E54" t="str">
        <f t="shared" si="18"/>
        <v>7_2026</v>
      </c>
      <c r="G54">
        <f t="shared" si="19"/>
        <v>415350</v>
      </c>
      <c r="H54" s="63">
        <f>'Procurement Schedule'!N121</f>
        <v>0</v>
      </c>
      <c r="I54">
        <f t="shared" si="20"/>
        <v>1</v>
      </c>
      <c r="J54">
        <f t="shared" si="21"/>
        <v>1900</v>
      </c>
      <c r="K54" t="str">
        <f t="shared" si="22"/>
        <v>1_1900</v>
      </c>
      <c r="S54" t="str">
        <f t="shared" si="12"/>
        <v/>
      </c>
      <c r="T54" s="64" t="str">
        <f t="shared" si="9"/>
        <v/>
      </c>
      <c r="AA54" t="str">
        <f t="shared" si="13"/>
        <v/>
      </c>
      <c r="AB54" s="64" t="str">
        <f t="shared" si="14"/>
        <v/>
      </c>
      <c r="AD54" t="s">
        <v>115</v>
      </c>
      <c r="AE54" s="63">
        <v>45352</v>
      </c>
      <c r="AQ54" t="str">
        <f t="shared" si="25"/>
        <v>5_2024</v>
      </c>
      <c r="AR54" s="63">
        <f t="shared" si="8"/>
        <v>45413</v>
      </c>
    </row>
    <row r="55" spans="1:44" x14ac:dyDescent="0.35">
      <c r="A55">
        <f>'Procurement Schedule'!R122</f>
        <v>98643.6</v>
      </c>
      <c r="B55" s="63">
        <f>'Procurement Schedule'!M122</f>
        <v>46234</v>
      </c>
      <c r="C55">
        <f t="shared" si="16"/>
        <v>7</v>
      </c>
      <c r="D55">
        <f t="shared" ref="D55:D118" si="26">YEAR(B55)</f>
        <v>2026</v>
      </c>
      <c r="E55" t="str">
        <f t="shared" ref="E55:E118" si="27">C55&amp;"_"&amp;D55</f>
        <v>7_2026</v>
      </c>
      <c r="G55">
        <f t="shared" ref="G55:G118" si="28">A55</f>
        <v>98643.6</v>
      </c>
      <c r="H55" s="63">
        <f>'Procurement Schedule'!N122</f>
        <v>0</v>
      </c>
      <c r="I55">
        <f t="shared" si="20"/>
        <v>1</v>
      </c>
      <c r="J55">
        <f t="shared" ref="J55:J118" si="29">YEAR(H55)</f>
        <v>1900</v>
      </c>
      <c r="K55" t="str">
        <f t="shared" ref="K55:K118" si="30">I55&amp;"_"&amp;J55</f>
        <v>1_1900</v>
      </c>
      <c r="S55" t="str">
        <f t="shared" si="12"/>
        <v/>
      </c>
      <c r="T55" s="64" t="str">
        <f t="shared" si="9"/>
        <v/>
      </c>
      <c r="AA55" t="str">
        <f t="shared" si="13"/>
        <v/>
      </c>
      <c r="AB55" s="64" t="str">
        <f t="shared" si="14"/>
        <v/>
      </c>
      <c r="AD55" t="s">
        <v>116</v>
      </c>
      <c r="AE55" s="63">
        <v>45383</v>
      </c>
      <c r="AQ55" t="str">
        <f t="shared" si="25"/>
        <v>6_2024</v>
      </c>
      <c r="AR55" s="63">
        <f t="shared" si="8"/>
        <v>45444</v>
      </c>
    </row>
    <row r="56" spans="1:44" x14ac:dyDescent="0.35">
      <c r="A56">
        <f>'Procurement Schedule'!R123</f>
        <v>551900</v>
      </c>
      <c r="B56" s="63">
        <f>'Procurement Schedule'!M123</f>
        <v>46234</v>
      </c>
      <c r="C56">
        <f t="shared" si="16"/>
        <v>7</v>
      </c>
      <c r="D56">
        <f t="shared" si="26"/>
        <v>2026</v>
      </c>
      <c r="E56" t="str">
        <f t="shared" si="27"/>
        <v>7_2026</v>
      </c>
      <c r="G56">
        <f t="shared" si="28"/>
        <v>551900</v>
      </c>
      <c r="H56" s="63">
        <f>'Procurement Schedule'!N123</f>
        <v>0</v>
      </c>
      <c r="I56">
        <f t="shared" si="20"/>
        <v>1</v>
      </c>
      <c r="J56">
        <f t="shared" si="29"/>
        <v>1900</v>
      </c>
      <c r="K56" t="str">
        <f t="shared" si="30"/>
        <v>1_1900</v>
      </c>
      <c r="S56" t="str">
        <f t="shared" si="12"/>
        <v/>
      </c>
      <c r="T56" s="64" t="str">
        <f t="shared" si="9"/>
        <v/>
      </c>
      <c r="AA56" t="str">
        <f t="shared" si="13"/>
        <v/>
      </c>
      <c r="AB56" s="64" t="str">
        <f t="shared" si="14"/>
        <v/>
      </c>
      <c r="AD56" t="s">
        <v>117</v>
      </c>
      <c r="AE56" s="63">
        <v>45413</v>
      </c>
      <c r="AQ56" t="str">
        <f t="shared" si="25"/>
        <v>7_2024</v>
      </c>
      <c r="AR56" s="63">
        <f t="shared" si="8"/>
        <v>45474</v>
      </c>
    </row>
    <row r="57" spans="1:44" x14ac:dyDescent="0.35">
      <c r="A57">
        <f>'Procurement Schedule'!R124</f>
        <v>0</v>
      </c>
      <c r="B57" s="63">
        <f>'Procurement Schedule'!M124</f>
        <v>0</v>
      </c>
      <c r="C57">
        <f t="shared" si="16"/>
        <v>1</v>
      </c>
      <c r="D57">
        <f t="shared" si="26"/>
        <v>1900</v>
      </c>
      <c r="E57" t="str">
        <f t="shared" si="27"/>
        <v>1_1900</v>
      </c>
      <c r="G57">
        <f t="shared" si="28"/>
        <v>0</v>
      </c>
      <c r="H57" s="63">
        <f>'Procurement Schedule'!N124</f>
        <v>0</v>
      </c>
      <c r="I57">
        <f t="shared" si="20"/>
        <v>1</v>
      </c>
      <c r="J57">
        <f t="shared" si="29"/>
        <v>1900</v>
      </c>
      <c r="K57" t="str">
        <f t="shared" si="30"/>
        <v>1_1900</v>
      </c>
      <c r="S57" t="str">
        <f t="shared" si="12"/>
        <v/>
      </c>
      <c r="T57" s="64" t="str">
        <f t="shared" si="9"/>
        <v/>
      </c>
      <c r="AA57" t="str">
        <f t="shared" si="13"/>
        <v/>
      </c>
      <c r="AB57" s="64" t="str">
        <f t="shared" si="14"/>
        <v/>
      </c>
      <c r="AD57" t="s">
        <v>118</v>
      </c>
      <c r="AE57" s="63">
        <v>45444</v>
      </c>
      <c r="AQ57" t="str">
        <f t="shared" si="25"/>
        <v>8_2024</v>
      </c>
      <c r="AR57" s="63">
        <f t="shared" si="8"/>
        <v>45505</v>
      </c>
    </row>
    <row r="58" spans="1:44" x14ac:dyDescent="0.35">
      <c r="A58">
        <f>'Procurement Schedule'!R125</f>
        <v>4457840.2257410437</v>
      </c>
      <c r="B58" s="63">
        <f>'Procurement Schedule'!M125</f>
        <v>46326</v>
      </c>
      <c r="C58">
        <f t="shared" si="16"/>
        <v>10</v>
      </c>
      <c r="D58">
        <f t="shared" si="26"/>
        <v>2026</v>
      </c>
      <c r="E58" t="str">
        <f t="shared" si="27"/>
        <v>10_2026</v>
      </c>
      <c r="G58">
        <f t="shared" si="28"/>
        <v>4457840.2257410437</v>
      </c>
      <c r="H58" s="63">
        <f>'Procurement Schedule'!N125</f>
        <v>0</v>
      </c>
      <c r="I58">
        <f t="shared" si="20"/>
        <v>1</v>
      </c>
      <c r="J58">
        <f t="shared" si="29"/>
        <v>1900</v>
      </c>
      <c r="K58" t="str">
        <f t="shared" si="30"/>
        <v>1_1900</v>
      </c>
      <c r="S58" t="str">
        <f t="shared" si="12"/>
        <v/>
      </c>
      <c r="T58" s="64" t="str">
        <f t="shared" si="9"/>
        <v/>
      </c>
      <c r="AA58" t="str">
        <f t="shared" si="13"/>
        <v/>
      </c>
      <c r="AB58" s="64" t="str">
        <f t="shared" si="14"/>
        <v/>
      </c>
      <c r="AD58" t="s">
        <v>119</v>
      </c>
      <c r="AE58" s="63">
        <v>45474</v>
      </c>
      <c r="AQ58" t="str">
        <f t="shared" si="25"/>
        <v>9_2024</v>
      </c>
      <c r="AR58" s="63">
        <f t="shared" si="8"/>
        <v>45536</v>
      </c>
    </row>
    <row r="59" spans="1:44" x14ac:dyDescent="0.35">
      <c r="A59">
        <f>'Procurement Schedule'!R126</f>
        <v>1833166.2735684454</v>
      </c>
      <c r="B59" s="63">
        <f>'Procurement Schedule'!M126</f>
        <v>0</v>
      </c>
      <c r="C59">
        <f t="shared" si="16"/>
        <v>1</v>
      </c>
      <c r="D59">
        <f t="shared" si="26"/>
        <v>1900</v>
      </c>
      <c r="E59" t="str">
        <f t="shared" si="27"/>
        <v>1_1900</v>
      </c>
      <c r="G59">
        <f t="shared" si="28"/>
        <v>1833166.2735684454</v>
      </c>
      <c r="H59" s="63">
        <f>'Procurement Schedule'!N126</f>
        <v>0</v>
      </c>
      <c r="I59">
        <f t="shared" si="20"/>
        <v>1</v>
      </c>
      <c r="J59">
        <f t="shared" si="29"/>
        <v>1900</v>
      </c>
      <c r="K59" t="str">
        <f t="shared" si="30"/>
        <v>1_1900</v>
      </c>
      <c r="S59" t="str">
        <f t="shared" si="12"/>
        <v/>
      </c>
      <c r="T59" s="64" t="str">
        <f t="shared" si="9"/>
        <v/>
      </c>
      <c r="AA59" t="str">
        <f t="shared" si="13"/>
        <v/>
      </c>
      <c r="AB59" s="64" t="str">
        <f t="shared" si="14"/>
        <v/>
      </c>
      <c r="AD59" t="s">
        <v>120</v>
      </c>
      <c r="AE59" s="63">
        <v>45505</v>
      </c>
      <c r="AQ59" t="str">
        <f t="shared" si="25"/>
        <v>10_2024</v>
      </c>
      <c r="AR59" s="63">
        <f t="shared" si="8"/>
        <v>45566</v>
      </c>
    </row>
    <row r="60" spans="1:44" x14ac:dyDescent="0.35">
      <c r="A60">
        <f>'Procurement Schedule'!R130</f>
        <v>1112964.7210705113</v>
      </c>
      <c r="B60" s="63">
        <f>'Procurement Schedule'!M130</f>
        <v>46326</v>
      </c>
      <c r="C60">
        <f t="shared" si="16"/>
        <v>10</v>
      </c>
      <c r="D60">
        <f t="shared" si="26"/>
        <v>2026</v>
      </c>
      <c r="E60" t="str">
        <f t="shared" si="27"/>
        <v>10_2026</v>
      </c>
      <c r="G60">
        <f t="shared" si="28"/>
        <v>1112964.7210705113</v>
      </c>
      <c r="H60" s="63">
        <f>'Procurement Schedule'!N130</f>
        <v>0</v>
      </c>
      <c r="I60">
        <f t="shared" si="20"/>
        <v>1</v>
      </c>
      <c r="J60">
        <f t="shared" si="29"/>
        <v>1900</v>
      </c>
      <c r="K60" t="str">
        <f t="shared" si="30"/>
        <v>1_1900</v>
      </c>
      <c r="S60" t="str">
        <f t="shared" si="12"/>
        <v/>
      </c>
      <c r="T60" s="64" t="str">
        <f t="shared" si="9"/>
        <v/>
      </c>
      <c r="AA60" t="str">
        <f t="shared" si="13"/>
        <v/>
      </c>
      <c r="AB60" s="64" t="str">
        <f t="shared" si="14"/>
        <v/>
      </c>
      <c r="AD60" t="s">
        <v>121</v>
      </c>
      <c r="AE60" s="63">
        <v>45536</v>
      </c>
      <c r="AQ60" t="str">
        <f t="shared" si="25"/>
        <v>11_2024</v>
      </c>
      <c r="AR60" s="63">
        <f t="shared" si="8"/>
        <v>45597</v>
      </c>
    </row>
    <row r="61" spans="1:44" x14ac:dyDescent="0.35">
      <c r="A61">
        <f>'Procurement Schedule'!R131</f>
        <v>1097187.355</v>
      </c>
      <c r="B61" s="63">
        <f>'Procurement Schedule'!M131</f>
        <v>46507</v>
      </c>
      <c r="C61">
        <f t="shared" si="16"/>
        <v>4</v>
      </c>
      <c r="D61">
        <f t="shared" si="26"/>
        <v>2027</v>
      </c>
      <c r="E61" t="str">
        <f t="shared" si="27"/>
        <v>4_2027</v>
      </c>
      <c r="G61">
        <f t="shared" si="28"/>
        <v>1097187.355</v>
      </c>
      <c r="H61" s="63">
        <f>'Procurement Schedule'!N131</f>
        <v>0</v>
      </c>
      <c r="I61">
        <f t="shared" si="20"/>
        <v>1</v>
      </c>
      <c r="J61">
        <f t="shared" si="29"/>
        <v>1900</v>
      </c>
      <c r="K61" t="str">
        <f t="shared" si="30"/>
        <v>1_1900</v>
      </c>
      <c r="S61" t="str">
        <f t="shared" si="12"/>
        <v/>
      </c>
      <c r="T61" s="64" t="str">
        <f t="shared" si="9"/>
        <v/>
      </c>
      <c r="AA61" t="str">
        <f t="shared" si="13"/>
        <v/>
      </c>
      <c r="AB61" s="64" t="str">
        <f t="shared" si="14"/>
        <v/>
      </c>
      <c r="AD61" t="s">
        <v>122</v>
      </c>
      <c r="AE61" s="63">
        <v>45566</v>
      </c>
      <c r="AQ61" t="str">
        <f t="shared" si="25"/>
        <v>12_2024</v>
      </c>
      <c r="AR61" s="63">
        <f t="shared" si="8"/>
        <v>45627</v>
      </c>
    </row>
    <row r="62" spans="1:44" x14ac:dyDescent="0.35">
      <c r="A62">
        <f>'Procurement Schedule'!R132</f>
        <v>0</v>
      </c>
      <c r="B62" s="63">
        <f>'Procurement Schedule'!M132</f>
        <v>0</v>
      </c>
      <c r="C62">
        <f t="shared" si="16"/>
        <v>1</v>
      </c>
      <c r="D62">
        <f t="shared" si="26"/>
        <v>1900</v>
      </c>
      <c r="E62" t="str">
        <f t="shared" si="27"/>
        <v>1_1900</v>
      </c>
      <c r="G62">
        <f t="shared" si="28"/>
        <v>0</v>
      </c>
      <c r="H62" s="63">
        <f>'Procurement Schedule'!N132</f>
        <v>0</v>
      </c>
      <c r="I62">
        <f t="shared" si="20"/>
        <v>1</v>
      </c>
      <c r="J62">
        <f t="shared" si="29"/>
        <v>1900</v>
      </c>
      <c r="K62" t="str">
        <f t="shared" si="30"/>
        <v>1_1900</v>
      </c>
      <c r="S62" t="str">
        <f t="shared" si="12"/>
        <v/>
      </c>
      <c r="T62" s="64" t="str">
        <f t="shared" si="9"/>
        <v/>
      </c>
      <c r="AA62" t="str">
        <f t="shared" si="13"/>
        <v/>
      </c>
      <c r="AB62" s="64" t="str">
        <f t="shared" si="14"/>
        <v/>
      </c>
      <c r="AD62" t="s">
        <v>123</v>
      </c>
      <c r="AE62" s="63">
        <v>45597</v>
      </c>
      <c r="AQ62" t="str">
        <f>AM2&amp;"_"&amp;$AN$7</f>
        <v>1_2025</v>
      </c>
      <c r="AR62" s="63">
        <f t="shared" si="8"/>
        <v>45658</v>
      </c>
    </row>
    <row r="63" spans="1:44" x14ac:dyDescent="0.35">
      <c r="A63">
        <f>'Procurement Schedule'!R133</f>
        <v>321394.76</v>
      </c>
      <c r="B63" s="63">
        <f>'Procurement Schedule'!M133</f>
        <v>46282</v>
      </c>
      <c r="C63">
        <f t="shared" si="16"/>
        <v>9</v>
      </c>
      <c r="D63">
        <f t="shared" si="26"/>
        <v>2026</v>
      </c>
      <c r="E63" t="str">
        <f t="shared" si="27"/>
        <v>9_2026</v>
      </c>
      <c r="G63">
        <f t="shared" si="28"/>
        <v>321394.76</v>
      </c>
      <c r="H63" s="63">
        <f>'Procurement Schedule'!N133</f>
        <v>0</v>
      </c>
      <c r="I63">
        <f t="shared" si="20"/>
        <v>1</v>
      </c>
      <c r="J63">
        <f t="shared" si="29"/>
        <v>1900</v>
      </c>
      <c r="K63" t="str">
        <f t="shared" si="30"/>
        <v>1_1900</v>
      </c>
      <c r="S63" t="str">
        <f t="shared" si="12"/>
        <v/>
      </c>
      <c r="T63" s="64" t="str">
        <f t="shared" si="9"/>
        <v/>
      </c>
      <c r="AA63" t="str">
        <f t="shared" si="13"/>
        <v/>
      </c>
      <c r="AB63" s="64" t="str">
        <f t="shared" si="14"/>
        <v/>
      </c>
      <c r="AD63" t="s">
        <v>124</v>
      </c>
      <c r="AE63" s="63">
        <v>45627</v>
      </c>
      <c r="AQ63" t="str">
        <f t="shared" ref="AQ63:AQ73" si="31">AM3&amp;"_"&amp;$AN$7</f>
        <v>2_2025</v>
      </c>
      <c r="AR63" s="63">
        <f t="shared" si="8"/>
        <v>45689</v>
      </c>
    </row>
    <row r="64" spans="1:44" x14ac:dyDescent="0.35">
      <c r="A64">
        <f>'Procurement Schedule'!R134</f>
        <v>416382.29399999999</v>
      </c>
      <c r="B64" s="63">
        <f>'Procurement Schedule'!M134</f>
        <v>46282</v>
      </c>
      <c r="C64">
        <f t="shared" si="16"/>
        <v>9</v>
      </c>
      <c r="D64">
        <f t="shared" si="26"/>
        <v>2026</v>
      </c>
      <c r="E64" t="str">
        <f t="shared" si="27"/>
        <v>9_2026</v>
      </c>
      <c r="G64">
        <f t="shared" si="28"/>
        <v>416382.29399999999</v>
      </c>
      <c r="H64" s="63">
        <f>'Procurement Schedule'!N134</f>
        <v>0</v>
      </c>
      <c r="I64">
        <f t="shared" si="20"/>
        <v>1</v>
      </c>
      <c r="J64">
        <f t="shared" si="29"/>
        <v>1900</v>
      </c>
      <c r="K64" t="str">
        <f t="shared" si="30"/>
        <v>1_1900</v>
      </c>
      <c r="S64" t="str">
        <f t="shared" si="12"/>
        <v/>
      </c>
      <c r="T64" s="64" t="str">
        <f t="shared" si="9"/>
        <v/>
      </c>
      <c r="AA64" t="str">
        <f t="shared" si="13"/>
        <v/>
      </c>
      <c r="AB64" s="64" t="str">
        <f t="shared" si="14"/>
        <v/>
      </c>
      <c r="AD64" t="s">
        <v>125</v>
      </c>
      <c r="AE64" s="63">
        <v>45658</v>
      </c>
      <c r="AQ64" t="str">
        <f t="shared" si="31"/>
        <v>3_2025</v>
      </c>
      <c r="AR64" s="63">
        <f t="shared" si="8"/>
        <v>45717</v>
      </c>
    </row>
    <row r="65" spans="1:44" x14ac:dyDescent="0.35">
      <c r="A65">
        <f>'Procurement Schedule'!R135</f>
        <v>0</v>
      </c>
      <c r="B65" s="63">
        <f>'Procurement Schedule'!M135</f>
        <v>0</v>
      </c>
      <c r="C65">
        <f t="shared" si="16"/>
        <v>1</v>
      </c>
      <c r="D65">
        <f t="shared" si="26"/>
        <v>1900</v>
      </c>
      <c r="E65" t="str">
        <f t="shared" si="27"/>
        <v>1_1900</v>
      </c>
      <c r="G65">
        <f t="shared" si="28"/>
        <v>0</v>
      </c>
      <c r="H65" s="63">
        <f>'Procurement Schedule'!N135</f>
        <v>0</v>
      </c>
      <c r="I65">
        <f t="shared" si="20"/>
        <v>1</v>
      </c>
      <c r="J65">
        <f t="shared" si="29"/>
        <v>1900</v>
      </c>
      <c r="K65" t="str">
        <f t="shared" si="30"/>
        <v>1_1900</v>
      </c>
      <c r="S65" t="str">
        <f t="shared" si="12"/>
        <v/>
      </c>
      <c r="T65" s="64" t="str">
        <f t="shared" si="9"/>
        <v/>
      </c>
      <c r="AA65" t="str">
        <f t="shared" si="13"/>
        <v/>
      </c>
      <c r="AB65" s="64" t="str">
        <f t="shared" si="14"/>
        <v/>
      </c>
      <c r="AD65" t="s">
        <v>126</v>
      </c>
      <c r="AE65" s="63">
        <v>45689</v>
      </c>
      <c r="AQ65" t="str">
        <f t="shared" si="31"/>
        <v>4_2025</v>
      </c>
      <c r="AR65" s="63">
        <f t="shared" si="8"/>
        <v>45748</v>
      </c>
    </row>
    <row r="66" spans="1:44" x14ac:dyDescent="0.35">
      <c r="A66">
        <f>'Procurement Schedule'!R136</f>
        <v>0</v>
      </c>
      <c r="B66" s="63">
        <f>'Procurement Schedule'!M136</f>
        <v>0</v>
      </c>
      <c r="C66">
        <f t="shared" si="16"/>
        <v>1</v>
      </c>
      <c r="D66">
        <f t="shared" si="26"/>
        <v>1900</v>
      </c>
      <c r="E66" t="str">
        <f t="shared" si="27"/>
        <v>1_1900</v>
      </c>
      <c r="G66">
        <f t="shared" si="28"/>
        <v>0</v>
      </c>
      <c r="H66" s="63">
        <f>'Procurement Schedule'!N136</f>
        <v>0</v>
      </c>
      <c r="I66">
        <f t="shared" si="20"/>
        <v>1</v>
      </c>
      <c r="J66">
        <f t="shared" si="29"/>
        <v>1900</v>
      </c>
      <c r="K66" t="str">
        <f t="shared" si="30"/>
        <v>1_1900</v>
      </c>
      <c r="S66" t="str">
        <f t="shared" si="12"/>
        <v/>
      </c>
      <c r="T66" s="64" t="str">
        <f t="shared" si="9"/>
        <v/>
      </c>
      <c r="AA66" t="str">
        <f t="shared" si="13"/>
        <v/>
      </c>
      <c r="AB66" s="64" t="str">
        <f t="shared" si="14"/>
        <v/>
      </c>
      <c r="AD66" t="s">
        <v>127</v>
      </c>
      <c r="AE66" s="63">
        <v>45717</v>
      </c>
      <c r="AQ66" t="str">
        <f t="shared" si="31"/>
        <v>5_2025</v>
      </c>
      <c r="AR66" s="63">
        <f t="shared" si="8"/>
        <v>45778</v>
      </c>
    </row>
    <row r="67" spans="1:44" x14ac:dyDescent="0.35">
      <c r="A67">
        <f>'Procurement Schedule'!R137</f>
        <v>29982000</v>
      </c>
      <c r="B67" s="63">
        <f>'Procurement Schedule'!M137</f>
        <v>0</v>
      </c>
      <c r="C67">
        <f t="shared" si="16"/>
        <v>1</v>
      </c>
      <c r="D67">
        <f t="shared" si="26"/>
        <v>1900</v>
      </c>
      <c r="E67" t="str">
        <f t="shared" si="27"/>
        <v>1_1900</v>
      </c>
      <c r="G67">
        <f t="shared" si="28"/>
        <v>29982000</v>
      </c>
      <c r="H67" s="63">
        <f>'Procurement Schedule'!N137</f>
        <v>46134</v>
      </c>
      <c r="I67">
        <f t="shared" si="20"/>
        <v>4</v>
      </c>
      <c r="J67">
        <f t="shared" si="29"/>
        <v>2026</v>
      </c>
      <c r="K67" t="str">
        <f t="shared" si="30"/>
        <v>4_2026</v>
      </c>
      <c r="S67" t="str">
        <f t="shared" si="12"/>
        <v/>
      </c>
      <c r="T67" s="64" t="str">
        <f t="shared" si="9"/>
        <v/>
      </c>
      <c r="AA67" t="str">
        <f t="shared" si="13"/>
        <v/>
      </c>
      <c r="AB67" s="64" t="str">
        <f t="shared" si="14"/>
        <v/>
      </c>
      <c r="AD67" t="s">
        <v>128</v>
      </c>
      <c r="AE67" s="63">
        <v>45748</v>
      </c>
      <c r="AQ67" t="str">
        <f t="shared" si="31"/>
        <v>6_2025</v>
      </c>
      <c r="AR67" s="63">
        <f t="shared" si="8"/>
        <v>45809</v>
      </c>
    </row>
    <row r="68" spans="1:44" x14ac:dyDescent="0.35">
      <c r="A68">
        <f>'Procurement Schedule'!R140</f>
        <v>742140</v>
      </c>
      <c r="B68" s="63">
        <f>'Procurement Schedule'!M140</f>
        <v>46387</v>
      </c>
      <c r="C68">
        <f t="shared" si="16"/>
        <v>12</v>
      </c>
      <c r="D68">
        <f t="shared" si="26"/>
        <v>2026</v>
      </c>
      <c r="E68" t="str">
        <f t="shared" si="27"/>
        <v>12_2026</v>
      </c>
      <c r="G68">
        <f t="shared" si="28"/>
        <v>742140</v>
      </c>
      <c r="H68" s="63">
        <f>'Procurement Schedule'!N140</f>
        <v>0</v>
      </c>
      <c r="I68">
        <f t="shared" si="20"/>
        <v>1</v>
      </c>
      <c r="J68">
        <f t="shared" si="29"/>
        <v>1900</v>
      </c>
      <c r="K68" t="str">
        <f t="shared" si="30"/>
        <v>1_1900</v>
      </c>
      <c r="S68" t="str">
        <f t="shared" si="12"/>
        <v/>
      </c>
      <c r="T68" s="64" t="str">
        <f t="shared" si="9"/>
        <v/>
      </c>
      <c r="AA68" t="str">
        <f t="shared" si="13"/>
        <v/>
      </c>
      <c r="AB68" s="64" t="str">
        <f t="shared" si="14"/>
        <v/>
      </c>
      <c r="AD68" t="s">
        <v>129</v>
      </c>
      <c r="AE68" s="63">
        <v>45778</v>
      </c>
      <c r="AQ68" t="str">
        <f t="shared" si="31"/>
        <v>7_2025</v>
      </c>
      <c r="AR68" s="63">
        <f t="shared" ref="AR68:AR131" si="32">DATE(YEAR(AR67),MONTH(AR67)+1,DAY(AR67))</f>
        <v>45839</v>
      </c>
    </row>
    <row r="69" spans="1:44" x14ac:dyDescent="0.35">
      <c r="A69">
        <f>'Procurement Schedule'!R141</f>
        <v>140000</v>
      </c>
      <c r="B69" s="63">
        <f>'Procurement Schedule'!M141</f>
        <v>46147</v>
      </c>
      <c r="C69">
        <f t="shared" si="16"/>
        <v>5</v>
      </c>
      <c r="D69">
        <f t="shared" si="26"/>
        <v>2026</v>
      </c>
      <c r="E69" t="str">
        <f t="shared" si="27"/>
        <v>5_2026</v>
      </c>
      <c r="G69">
        <f t="shared" si="28"/>
        <v>140000</v>
      </c>
      <c r="H69" s="63">
        <f>'Procurement Schedule'!N141</f>
        <v>0</v>
      </c>
      <c r="I69">
        <f t="shared" si="20"/>
        <v>1</v>
      </c>
      <c r="J69">
        <f t="shared" si="29"/>
        <v>1900</v>
      </c>
      <c r="K69" t="str">
        <f t="shared" si="30"/>
        <v>1_1900</v>
      </c>
      <c r="S69" t="str">
        <f t="shared" si="12"/>
        <v/>
      </c>
      <c r="T69" s="64" t="str">
        <f t="shared" ref="T69:T132" si="33">IFERROR(VLOOKUP(Q69,AD:AE,2,0),"")</f>
        <v/>
      </c>
      <c r="AA69" t="str">
        <f t="shared" si="13"/>
        <v/>
      </c>
      <c r="AB69" s="64" t="str">
        <f t="shared" si="14"/>
        <v/>
      </c>
      <c r="AD69" t="s">
        <v>130</v>
      </c>
      <c r="AE69" s="63">
        <v>45809</v>
      </c>
      <c r="AQ69" t="str">
        <f t="shared" si="31"/>
        <v>8_2025</v>
      </c>
      <c r="AR69" s="63">
        <f t="shared" si="32"/>
        <v>45870</v>
      </c>
    </row>
    <row r="70" spans="1:44" x14ac:dyDescent="0.35">
      <c r="A70">
        <f>'Procurement Schedule'!R142</f>
        <v>980000</v>
      </c>
      <c r="B70" s="63">
        <f>'Procurement Schedule'!M142</f>
        <v>46265</v>
      </c>
      <c r="C70">
        <f t="shared" si="16"/>
        <v>8</v>
      </c>
      <c r="D70">
        <f t="shared" si="26"/>
        <v>2026</v>
      </c>
      <c r="E70" t="str">
        <f t="shared" si="27"/>
        <v>8_2026</v>
      </c>
      <c r="G70">
        <f t="shared" si="28"/>
        <v>980000</v>
      </c>
      <c r="H70" s="63">
        <f>'Procurement Schedule'!N142</f>
        <v>0</v>
      </c>
      <c r="I70">
        <f t="shared" si="20"/>
        <v>1</v>
      </c>
      <c r="J70">
        <f t="shared" si="29"/>
        <v>1900</v>
      </c>
      <c r="K70" t="str">
        <f t="shared" si="30"/>
        <v>1_1900</v>
      </c>
      <c r="S70" t="str">
        <f t="shared" si="12"/>
        <v/>
      </c>
      <c r="T70" s="64" t="str">
        <f t="shared" si="33"/>
        <v/>
      </c>
      <c r="AA70" t="str">
        <f t="shared" si="13"/>
        <v/>
      </c>
      <c r="AB70" s="64" t="str">
        <f t="shared" si="14"/>
        <v/>
      </c>
      <c r="AD70" t="s">
        <v>131</v>
      </c>
      <c r="AE70" s="63">
        <v>45839</v>
      </c>
      <c r="AQ70" t="str">
        <f t="shared" si="31"/>
        <v>9_2025</v>
      </c>
      <c r="AR70" s="63">
        <f t="shared" si="32"/>
        <v>45901</v>
      </c>
    </row>
    <row r="71" spans="1:44" x14ac:dyDescent="0.35">
      <c r="A71">
        <f>'Procurement Schedule'!R143</f>
        <v>175000</v>
      </c>
      <c r="B71" s="63">
        <f>'Procurement Schedule'!M143</f>
        <v>46265</v>
      </c>
      <c r="C71">
        <f t="shared" si="16"/>
        <v>8</v>
      </c>
      <c r="D71">
        <f t="shared" si="26"/>
        <v>2026</v>
      </c>
      <c r="E71" t="str">
        <f t="shared" si="27"/>
        <v>8_2026</v>
      </c>
      <c r="G71">
        <f t="shared" si="28"/>
        <v>175000</v>
      </c>
      <c r="H71" s="63">
        <f>'Procurement Schedule'!N143</f>
        <v>0</v>
      </c>
      <c r="I71">
        <f t="shared" si="20"/>
        <v>1</v>
      </c>
      <c r="J71">
        <f t="shared" si="29"/>
        <v>1900</v>
      </c>
      <c r="K71" t="str">
        <f t="shared" si="30"/>
        <v>1_1900</v>
      </c>
      <c r="S71" t="str">
        <f t="shared" si="12"/>
        <v/>
      </c>
      <c r="T71" s="64" t="str">
        <f t="shared" si="33"/>
        <v/>
      </c>
      <c r="AA71" t="str">
        <f t="shared" si="13"/>
        <v/>
      </c>
      <c r="AB71" s="64" t="str">
        <f t="shared" si="14"/>
        <v/>
      </c>
      <c r="AD71" t="s">
        <v>132</v>
      </c>
      <c r="AE71" s="63">
        <v>45870</v>
      </c>
      <c r="AQ71" t="str">
        <f t="shared" si="31"/>
        <v>10_2025</v>
      </c>
      <c r="AR71" s="63">
        <f t="shared" si="32"/>
        <v>45931</v>
      </c>
    </row>
    <row r="72" spans="1:44" x14ac:dyDescent="0.35">
      <c r="A72">
        <f>'Procurement Schedule'!R145</f>
        <v>13510000</v>
      </c>
      <c r="B72" s="63">
        <f>'Procurement Schedule'!M145</f>
        <v>46265</v>
      </c>
      <c r="C72">
        <f t="shared" si="16"/>
        <v>8</v>
      </c>
      <c r="D72">
        <f t="shared" si="26"/>
        <v>2026</v>
      </c>
      <c r="E72" t="str">
        <f t="shared" si="27"/>
        <v>8_2026</v>
      </c>
      <c r="G72">
        <f t="shared" si="28"/>
        <v>13510000</v>
      </c>
      <c r="H72" s="63">
        <f>'Procurement Schedule'!N145</f>
        <v>0</v>
      </c>
      <c r="I72">
        <f t="shared" si="20"/>
        <v>1</v>
      </c>
      <c r="J72">
        <f t="shared" si="29"/>
        <v>1900</v>
      </c>
      <c r="K72" t="str">
        <f t="shared" si="30"/>
        <v>1_1900</v>
      </c>
      <c r="S72" t="str">
        <f t="shared" si="12"/>
        <v/>
      </c>
      <c r="T72" s="64" t="str">
        <f t="shared" si="33"/>
        <v/>
      </c>
      <c r="AA72" t="str">
        <f t="shared" si="13"/>
        <v/>
      </c>
      <c r="AB72" s="64" t="str">
        <f t="shared" si="14"/>
        <v/>
      </c>
      <c r="AD72" t="s">
        <v>133</v>
      </c>
      <c r="AE72" s="63">
        <v>45901</v>
      </c>
      <c r="AQ72" t="str">
        <f t="shared" si="31"/>
        <v>11_2025</v>
      </c>
      <c r="AR72" s="63">
        <f t="shared" si="32"/>
        <v>45962</v>
      </c>
    </row>
    <row r="73" spans="1:44" x14ac:dyDescent="0.35">
      <c r="A73" t="e">
        <f>'Procurement Schedule'!#REF!</f>
        <v>#REF!</v>
      </c>
      <c r="B73" s="63" t="e">
        <f>'Procurement Schedule'!#REF!</f>
        <v>#REF!</v>
      </c>
      <c r="C73" t="e">
        <f t="shared" si="16"/>
        <v>#REF!</v>
      </c>
      <c r="D73" t="e">
        <f t="shared" si="26"/>
        <v>#REF!</v>
      </c>
      <c r="E73" t="e">
        <f t="shared" si="27"/>
        <v>#REF!</v>
      </c>
      <c r="G73" t="e">
        <f t="shared" si="28"/>
        <v>#REF!</v>
      </c>
      <c r="H73" s="63" t="e">
        <f>'Procurement Schedule'!#REF!</f>
        <v>#REF!</v>
      </c>
      <c r="I73" t="e">
        <f t="shared" si="20"/>
        <v>#REF!</v>
      </c>
      <c r="J73" t="e">
        <f t="shared" si="29"/>
        <v>#REF!</v>
      </c>
      <c r="K73" t="e">
        <f t="shared" si="30"/>
        <v>#REF!</v>
      </c>
      <c r="S73" t="str">
        <f t="shared" ref="S73:S136" si="34">IF(R73="","",S72+R73)</f>
        <v/>
      </c>
      <c r="T73" s="64" t="str">
        <f t="shared" si="33"/>
        <v/>
      </c>
      <c r="AA73" t="str">
        <f t="shared" si="13"/>
        <v/>
      </c>
      <c r="AB73" s="64" t="str">
        <f t="shared" si="14"/>
        <v/>
      </c>
      <c r="AD73" t="s">
        <v>134</v>
      </c>
      <c r="AE73" s="63">
        <v>45931</v>
      </c>
      <c r="AQ73" t="str">
        <f t="shared" si="31"/>
        <v>12_2025</v>
      </c>
      <c r="AR73" s="63">
        <f t="shared" si="32"/>
        <v>45992</v>
      </c>
    </row>
    <row r="74" spans="1:44" x14ac:dyDescent="0.35">
      <c r="A74">
        <f>'Procurement Schedule'!R146</f>
        <v>0</v>
      </c>
      <c r="B74" s="63">
        <f>'Procurement Schedule'!M146</f>
        <v>0</v>
      </c>
      <c r="C74">
        <f t="shared" si="16"/>
        <v>1</v>
      </c>
      <c r="D74">
        <f t="shared" si="26"/>
        <v>1900</v>
      </c>
      <c r="E74" t="str">
        <f t="shared" si="27"/>
        <v>1_1900</v>
      </c>
      <c r="G74">
        <f t="shared" si="28"/>
        <v>0</v>
      </c>
      <c r="H74" s="63">
        <f>'Procurement Schedule'!N146</f>
        <v>0</v>
      </c>
      <c r="I74">
        <f t="shared" si="20"/>
        <v>1</v>
      </c>
      <c r="J74">
        <f t="shared" si="29"/>
        <v>1900</v>
      </c>
      <c r="K74" t="str">
        <f t="shared" si="30"/>
        <v>1_1900</v>
      </c>
      <c r="S74" t="str">
        <f t="shared" si="34"/>
        <v/>
      </c>
      <c r="T74" s="64" t="str">
        <f t="shared" si="33"/>
        <v/>
      </c>
      <c r="AA74" t="str">
        <f t="shared" ref="AA74:AA137" si="35">IF(Z74="","",AA73+Z74)</f>
        <v/>
      </c>
      <c r="AB74" s="64" t="str">
        <f t="shared" ref="AB74:AB137" si="36">IFERROR(VLOOKUP(Y74,AD:AE,2,0),"")</f>
        <v/>
      </c>
      <c r="AD74" t="s">
        <v>135</v>
      </c>
      <c r="AE74" s="63">
        <v>45962</v>
      </c>
      <c r="AQ74" t="str">
        <f>AM2&amp;"_"&amp;$AN$8</f>
        <v>1_2026</v>
      </c>
      <c r="AR74" s="63">
        <f t="shared" si="32"/>
        <v>46023</v>
      </c>
    </row>
    <row r="75" spans="1:44" x14ac:dyDescent="0.35">
      <c r="A75">
        <f>'Procurement Schedule'!R147</f>
        <v>5525000</v>
      </c>
      <c r="B75" s="63">
        <f>'Procurement Schedule'!M147</f>
        <v>0</v>
      </c>
      <c r="C75">
        <f t="shared" si="16"/>
        <v>1</v>
      </c>
      <c r="D75">
        <f t="shared" si="26"/>
        <v>1900</v>
      </c>
      <c r="E75" t="str">
        <f t="shared" si="27"/>
        <v>1_1900</v>
      </c>
      <c r="G75">
        <f t="shared" si="28"/>
        <v>5525000</v>
      </c>
      <c r="H75" s="63">
        <f>'Procurement Schedule'!N147</f>
        <v>46134</v>
      </c>
      <c r="I75">
        <f t="shared" si="20"/>
        <v>4</v>
      </c>
      <c r="J75">
        <f t="shared" si="29"/>
        <v>2026</v>
      </c>
      <c r="K75" t="str">
        <f t="shared" si="30"/>
        <v>4_2026</v>
      </c>
      <c r="S75" t="str">
        <f t="shared" si="34"/>
        <v/>
      </c>
      <c r="T75" s="64" t="str">
        <f t="shared" si="33"/>
        <v/>
      </c>
      <c r="AA75" t="str">
        <f t="shared" si="35"/>
        <v/>
      </c>
      <c r="AB75" s="64" t="str">
        <f t="shared" si="36"/>
        <v/>
      </c>
      <c r="AD75" t="s">
        <v>136</v>
      </c>
      <c r="AE75" s="63">
        <v>45992</v>
      </c>
      <c r="AQ75" t="str">
        <f t="shared" ref="AQ75:AQ85" si="37">AM3&amp;"_"&amp;$AN$8</f>
        <v>2_2026</v>
      </c>
      <c r="AR75" s="63">
        <f t="shared" si="32"/>
        <v>46054</v>
      </c>
    </row>
    <row r="76" spans="1:44" x14ac:dyDescent="0.35">
      <c r="A76">
        <f>'Procurement Schedule'!R150</f>
        <v>2752000</v>
      </c>
      <c r="B76" s="63">
        <f>'Procurement Schedule'!M150</f>
        <v>46250</v>
      </c>
      <c r="C76">
        <f t="shared" si="16"/>
        <v>8</v>
      </c>
      <c r="D76">
        <f t="shared" si="26"/>
        <v>2026</v>
      </c>
      <c r="E76" t="str">
        <f t="shared" si="27"/>
        <v>8_2026</v>
      </c>
      <c r="G76">
        <f t="shared" si="28"/>
        <v>2752000</v>
      </c>
      <c r="H76" s="63">
        <f>'Procurement Schedule'!N150</f>
        <v>0</v>
      </c>
      <c r="I76">
        <f t="shared" si="20"/>
        <v>1</v>
      </c>
      <c r="J76">
        <f t="shared" si="29"/>
        <v>1900</v>
      </c>
      <c r="K76" t="str">
        <f t="shared" si="30"/>
        <v>1_1900</v>
      </c>
      <c r="S76" t="str">
        <f t="shared" si="34"/>
        <v/>
      </c>
      <c r="T76" s="64" t="str">
        <f t="shared" si="33"/>
        <v/>
      </c>
      <c r="AA76" t="str">
        <f t="shared" si="35"/>
        <v/>
      </c>
      <c r="AB76" s="64" t="str">
        <f t="shared" si="36"/>
        <v/>
      </c>
      <c r="AD76" t="s">
        <v>137</v>
      </c>
      <c r="AE76" s="63">
        <v>46023</v>
      </c>
      <c r="AQ76" t="str">
        <f t="shared" si="37"/>
        <v>3_2026</v>
      </c>
      <c r="AR76" s="63">
        <f t="shared" si="32"/>
        <v>46082</v>
      </c>
    </row>
    <row r="77" spans="1:44" x14ac:dyDescent="0.35">
      <c r="A77">
        <f>'Procurement Schedule'!R151</f>
        <v>1960000</v>
      </c>
      <c r="B77" s="63">
        <f>'Procurement Schedule'!M151</f>
        <v>46219</v>
      </c>
      <c r="C77">
        <f t="shared" si="16"/>
        <v>7</v>
      </c>
      <c r="D77">
        <f t="shared" si="26"/>
        <v>2026</v>
      </c>
      <c r="E77" t="str">
        <f t="shared" si="27"/>
        <v>7_2026</v>
      </c>
      <c r="G77">
        <f t="shared" si="28"/>
        <v>1960000</v>
      </c>
      <c r="H77" s="63">
        <f>'Procurement Schedule'!N151</f>
        <v>0</v>
      </c>
      <c r="I77">
        <f t="shared" si="20"/>
        <v>1</v>
      </c>
      <c r="J77">
        <f t="shared" si="29"/>
        <v>1900</v>
      </c>
      <c r="K77" t="str">
        <f t="shared" si="30"/>
        <v>1_1900</v>
      </c>
      <c r="S77" t="str">
        <f t="shared" si="34"/>
        <v/>
      </c>
      <c r="T77" s="64" t="str">
        <f t="shared" si="33"/>
        <v/>
      </c>
      <c r="AA77" t="str">
        <f t="shared" si="35"/>
        <v/>
      </c>
      <c r="AB77" s="64" t="str">
        <f t="shared" si="36"/>
        <v/>
      </c>
      <c r="AD77" t="s">
        <v>138</v>
      </c>
      <c r="AE77" s="63">
        <v>46054</v>
      </c>
      <c r="AQ77" t="str">
        <f t="shared" si="37"/>
        <v>4_2026</v>
      </c>
      <c r="AR77" s="63">
        <f t="shared" si="32"/>
        <v>46113</v>
      </c>
    </row>
    <row r="78" spans="1:44" x14ac:dyDescent="0.35">
      <c r="A78">
        <f>'Procurement Schedule'!R152</f>
        <v>0</v>
      </c>
      <c r="B78" s="63">
        <f>'Procurement Schedule'!M152</f>
        <v>0</v>
      </c>
      <c r="C78">
        <f t="shared" si="16"/>
        <v>1</v>
      </c>
      <c r="D78">
        <f t="shared" si="26"/>
        <v>1900</v>
      </c>
      <c r="E78" t="str">
        <f t="shared" si="27"/>
        <v>1_1900</v>
      </c>
      <c r="G78">
        <f t="shared" si="28"/>
        <v>0</v>
      </c>
      <c r="H78" s="63">
        <f>'Procurement Schedule'!N152</f>
        <v>0</v>
      </c>
      <c r="I78">
        <f t="shared" si="20"/>
        <v>1</v>
      </c>
      <c r="J78">
        <f t="shared" si="29"/>
        <v>1900</v>
      </c>
      <c r="K78" t="str">
        <f t="shared" si="30"/>
        <v>1_1900</v>
      </c>
      <c r="S78" t="str">
        <f t="shared" si="34"/>
        <v/>
      </c>
      <c r="T78" s="64" t="str">
        <f t="shared" si="33"/>
        <v/>
      </c>
      <c r="AA78" t="str">
        <f t="shared" si="35"/>
        <v/>
      </c>
      <c r="AB78" s="64" t="str">
        <f t="shared" si="36"/>
        <v/>
      </c>
      <c r="AD78" t="s">
        <v>139</v>
      </c>
      <c r="AE78" s="63">
        <v>46082</v>
      </c>
      <c r="AQ78" t="str">
        <f t="shared" si="37"/>
        <v>5_2026</v>
      </c>
      <c r="AR78" s="63">
        <f t="shared" si="32"/>
        <v>46143</v>
      </c>
    </row>
    <row r="79" spans="1:44" x14ac:dyDescent="0.35">
      <c r="A79">
        <f>'Procurement Schedule'!R153</f>
        <v>1009700</v>
      </c>
      <c r="B79" s="63">
        <f>'Procurement Schedule'!M153</f>
        <v>46219</v>
      </c>
      <c r="C79">
        <f t="shared" si="16"/>
        <v>7</v>
      </c>
      <c r="D79">
        <f t="shared" si="26"/>
        <v>2026</v>
      </c>
      <c r="E79" t="str">
        <f t="shared" si="27"/>
        <v>7_2026</v>
      </c>
      <c r="G79">
        <f t="shared" si="28"/>
        <v>1009700</v>
      </c>
      <c r="H79" s="63">
        <f>'Procurement Schedule'!N153</f>
        <v>0</v>
      </c>
      <c r="I79">
        <f t="shared" si="20"/>
        <v>1</v>
      </c>
      <c r="J79">
        <f t="shared" si="29"/>
        <v>1900</v>
      </c>
      <c r="K79" t="str">
        <f t="shared" si="30"/>
        <v>1_1900</v>
      </c>
      <c r="S79" t="str">
        <f t="shared" si="34"/>
        <v/>
      </c>
      <c r="T79" s="64" t="str">
        <f t="shared" si="33"/>
        <v/>
      </c>
      <c r="AA79" t="str">
        <f t="shared" si="35"/>
        <v/>
      </c>
      <c r="AB79" s="64" t="str">
        <f t="shared" si="36"/>
        <v/>
      </c>
      <c r="AD79" t="s">
        <v>140</v>
      </c>
      <c r="AE79" s="63">
        <v>46113</v>
      </c>
      <c r="AQ79" t="str">
        <f t="shared" si="37"/>
        <v>6_2026</v>
      </c>
      <c r="AR79" s="63">
        <f t="shared" si="32"/>
        <v>46174</v>
      </c>
    </row>
    <row r="80" spans="1:44" x14ac:dyDescent="0.35">
      <c r="A80">
        <f>'Procurement Schedule'!R155</f>
        <v>2211870</v>
      </c>
      <c r="B80" s="63">
        <f>'Procurement Schedule'!M155</f>
        <v>46284</v>
      </c>
      <c r="C80">
        <f t="shared" si="16"/>
        <v>9</v>
      </c>
      <c r="D80">
        <f t="shared" si="26"/>
        <v>2026</v>
      </c>
      <c r="E80" t="str">
        <f t="shared" si="27"/>
        <v>9_2026</v>
      </c>
      <c r="G80">
        <f t="shared" si="28"/>
        <v>2211870</v>
      </c>
      <c r="H80" s="63">
        <f>'Procurement Schedule'!N155</f>
        <v>0</v>
      </c>
      <c r="I80">
        <f t="shared" si="20"/>
        <v>1</v>
      </c>
      <c r="J80">
        <f t="shared" si="29"/>
        <v>1900</v>
      </c>
      <c r="K80" t="str">
        <f t="shared" si="30"/>
        <v>1_1900</v>
      </c>
      <c r="S80" t="str">
        <f t="shared" si="34"/>
        <v/>
      </c>
      <c r="T80" s="64" t="str">
        <f t="shared" si="33"/>
        <v/>
      </c>
      <c r="AA80" t="str">
        <f t="shared" si="35"/>
        <v/>
      </c>
      <c r="AB80" s="64" t="str">
        <f t="shared" si="36"/>
        <v/>
      </c>
      <c r="AD80" t="s">
        <v>141</v>
      </c>
      <c r="AE80" s="63">
        <v>46143</v>
      </c>
      <c r="AQ80" t="str">
        <f t="shared" si="37"/>
        <v>7_2026</v>
      </c>
      <c r="AR80" s="63">
        <f t="shared" si="32"/>
        <v>46204</v>
      </c>
    </row>
    <row r="81" spans="1:44" x14ac:dyDescent="0.35">
      <c r="A81">
        <f>'Procurement Schedule'!R156</f>
        <v>275700</v>
      </c>
      <c r="B81" s="63">
        <f>'Procurement Schedule'!M156</f>
        <v>46235</v>
      </c>
      <c r="C81">
        <f t="shared" si="16"/>
        <v>8</v>
      </c>
      <c r="D81">
        <f t="shared" si="26"/>
        <v>2026</v>
      </c>
      <c r="E81" t="str">
        <f t="shared" si="27"/>
        <v>8_2026</v>
      </c>
      <c r="G81">
        <f t="shared" si="28"/>
        <v>275700</v>
      </c>
      <c r="H81" s="63">
        <f>'Procurement Schedule'!N156</f>
        <v>0</v>
      </c>
      <c r="I81">
        <f t="shared" si="20"/>
        <v>1</v>
      </c>
      <c r="J81">
        <f t="shared" si="29"/>
        <v>1900</v>
      </c>
      <c r="K81" t="str">
        <f t="shared" si="30"/>
        <v>1_1900</v>
      </c>
      <c r="S81" t="str">
        <f t="shared" si="34"/>
        <v/>
      </c>
      <c r="T81" s="64" t="str">
        <f t="shared" si="33"/>
        <v/>
      </c>
      <c r="AA81" t="str">
        <f t="shared" si="35"/>
        <v/>
      </c>
      <c r="AB81" s="64" t="str">
        <f t="shared" si="36"/>
        <v/>
      </c>
      <c r="AD81" t="s">
        <v>142</v>
      </c>
      <c r="AE81" s="63">
        <v>46174</v>
      </c>
      <c r="AQ81" t="str">
        <f t="shared" si="37"/>
        <v>8_2026</v>
      </c>
      <c r="AR81" s="63">
        <f t="shared" si="32"/>
        <v>46235</v>
      </c>
    </row>
    <row r="82" spans="1:44" x14ac:dyDescent="0.35">
      <c r="A82">
        <f>'Procurement Schedule'!R157</f>
        <v>715920</v>
      </c>
      <c r="B82" s="63">
        <f>'Procurement Schedule'!M157</f>
        <v>46287</v>
      </c>
      <c r="C82">
        <f t="shared" si="16"/>
        <v>9</v>
      </c>
      <c r="D82">
        <f t="shared" si="26"/>
        <v>2026</v>
      </c>
      <c r="E82" t="str">
        <f t="shared" si="27"/>
        <v>9_2026</v>
      </c>
      <c r="G82">
        <f t="shared" si="28"/>
        <v>715920</v>
      </c>
      <c r="H82" s="63">
        <f>'Procurement Schedule'!N157</f>
        <v>0</v>
      </c>
      <c r="I82">
        <f t="shared" si="20"/>
        <v>1</v>
      </c>
      <c r="J82">
        <f t="shared" si="29"/>
        <v>1900</v>
      </c>
      <c r="K82" t="str">
        <f t="shared" si="30"/>
        <v>1_1900</v>
      </c>
      <c r="S82" t="str">
        <f t="shared" si="34"/>
        <v/>
      </c>
      <c r="T82" s="64" t="str">
        <f t="shared" si="33"/>
        <v/>
      </c>
      <c r="AA82" t="str">
        <f t="shared" si="35"/>
        <v/>
      </c>
      <c r="AB82" s="64" t="str">
        <f t="shared" si="36"/>
        <v/>
      </c>
      <c r="AD82" t="s">
        <v>143</v>
      </c>
      <c r="AE82" s="63">
        <v>46204</v>
      </c>
      <c r="AQ82" t="str">
        <f t="shared" si="37"/>
        <v>9_2026</v>
      </c>
      <c r="AR82" s="63">
        <f t="shared" si="32"/>
        <v>46266</v>
      </c>
    </row>
    <row r="83" spans="1:44" x14ac:dyDescent="0.35">
      <c r="A83">
        <f>'Procurement Schedule'!R158</f>
        <v>821016</v>
      </c>
      <c r="B83" s="63">
        <f>'Procurement Schedule'!M158</f>
        <v>46287</v>
      </c>
      <c r="C83">
        <f t="shared" ref="C83:C146" si="38">MONTH(B83)</f>
        <v>9</v>
      </c>
      <c r="D83">
        <f t="shared" si="26"/>
        <v>2026</v>
      </c>
      <c r="E83" t="str">
        <f t="shared" si="27"/>
        <v>9_2026</v>
      </c>
      <c r="G83">
        <f t="shared" si="28"/>
        <v>821016</v>
      </c>
      <c r="H83" s="63">
        <f>'Procurement Schedule'!N158</f>
        <v>0</v>
      </c>
      <c r="I83">
        <f t="shared" si="20"/>
        <v>1</v>
      </c>
      <c r="J83">
        <f t="shared" si="29"/>
        <v>1900</v>
      </c>
      <c r="K83" t="str">
        <f t="shared" si="30"/>
        <v>1_1900</v>
      </c>
      <c r="S83" t="str">
        <f t="shared" si="34"/>
        <v/>
      </c>
      <c r="T83" s="64" t="str">
        <f t="shared" si="33"/>
        <v/>
      </c>
      <c r="AA83" t="str">
        <f t="shared" si="35"/>
        <v/>
      </c>
      <c r="AB83" s="64" t="str">
        <f t="shared" si="36"/>
        <v/>
      </c>
      <c r="AD83" t="s">
        <v>144</v>
      </c>
      <c r="AE83" s="63">
        <v>46235</v>
      </c>
      <c r="AQ83" t="str">
        <f t="shared" si="37"/>
        <v>10_2026</v>
      </c>
      <c r="AR83" s="63">
        <f t="shared" si="32"/>
        <v>46296</v>
      </c>
    </row>
    <row r="84" spans="1:44" x14ac:dyDescent="0.35">
      <c r="A84">
        <f>'Procurement Schedule'!R159</f>
        <v>240990</v>
      </c>
      <c r="B84" s="63">
        <f>'Procurement Schedule'!M159</f>
        <v>46316</v>
      </c>
      <c r="C84">
        <f t="shared" si="38"/>
        <v>10</v>
      </c>
      <c r="D84">
        <f t="shared" si="26"/>
        <v>2026</v>
      </c>
      <c r="E84" t="str">
        <f t="shared" si="27"/>
        <v>10_2026</v>
      </c>
      <c r="G84">
        <f t="shared" si="28"/>
        <v>240990</v>
      </c>
      <c r="H84" s="63">
        <f>'Procurement Schedule'!N159</f>
        <v>0</v>
      </c>
      <c r="I84">
        <f t="shared" ref="I84:I147" si="39">MONTH(H84)</f>
        <v>1</v>
      </c>
      <c r="J84">
        <f t="shared" si="29"/>
        <v>1900</v>
      </c>
      <c r="K84" t="str">
        <f t="shared" si="30"/>
        <v>1_1900</v>
      </c>
      <c r="S84" t="str">
        <f t="shared" si="34"/>
        <v/>
      </c>
      <c r="T84" s="64" t="str">
        <f t="shared" si="33"/>
        <v/>
      </c>
      <c r="AA84" t="str">
        <f t="shared" si="35"/>
        <v/>
      </c>
      <c r="AB84" s="64" t="str">
        <f t="shared" si="36"/>
        <v/>
      </c>
      <c r="AD84" t="s">
        <v>145</v>
      </c>
      <c r="AE84" s="63">
        <v>46266</v>
      </c>
      <c r="AQ84" t="str">
        <f t="shared" si="37"/>
        <v>11_2026</v>
      </c>
      <c r="AR84" s="63">
        <f t="shared" si="32"/>
        <v>46327</v>
      </c>
    </row>
    <row r="85" spans="1:44" x14ac:dyDescent="0.35">
      <c r="A85">
        <f>'Procurement Schedule'!R160</f>
        <v>45500</v>
      </c>
      <c r="B85" s="63">
        <f>'Procurement Schedule'!M160</f>
        <v>46284</v>
      </c>
      <c r="C85">
        <f t="shared" si="38"/>
        <v>9</v>
      </c>
      <c r="D85">
        <f t="shared" si="26"/>
        <v>2026</v>
      </c>
      <c r="E85" t="str">
        <f t="shared" si="27"/>
        <v>9_2026</v>
      </c>
      <c r="G85">
        <f t="shared" si="28"/>
        <v>45500</v>
      </c>
      <c r="H85" s="63">
        <f>'Procurement Schedule'!N160</f>
        <v>0</v>
      </c>
      <c r="I85">
        <f t="shared" si="39"/>
        <v>1</v>
      </c>
      <c r="J85">
        <f t="shared" si="29"/>
        <v>1900</v>
      </c>
      <c r="K85" t="str">
        <f t="shared" si="30"/>
        <v>1_1900</v>
      </c>
      <c r="S85" t="str">
        <f t="shared" si="34"/>
        <v/>
      </c>
      <c r="T85" s="64" t="str">
        <f t="shared" si="33"/>
        <v/>
      </c>
      <c r="AA85" t="str">
        <f t="shared" si="35"/>
        <v/>
      </c>
      <c r="AB85" s="64" t="str">
        <f t="shared" si="36"/>
        <v/>
      </c>
      <c r="AD85" t="s">
        <v>146</v>
      </c>
      <c r="AE85" s="63">
        <v>46296</v>
      </c>
      <c r="AQ85" t="str">
        <f t="shared" si="37"/>
        <v>12_2026</v>
      </c>
      <c r="AR85" s="63">
        <f t="shared" si="32"/>
        <v>46357</v>
      </c>
    </row>
    <row r="86" spans="1:44" x14ac:dyDescent="0.35">
      <c r="A86">
        <f>'Procurement Schedule'!R161</f>
        <v>542750</v>
      </c>
      <c r="B86" s="63">
        <f>'Procurement Schedule'!M161</f>
        <v>46287</v>
      </c>
      <c r="C86">
        <f t="shared" si="38"/>
        <v>9</v>
      </c>
      <c r="D86">
        <f t="shared" si="26"/>
        <v>2026</v>
      </c>
      <c r="E86" t="str">
        <f t="shared" si="27"/>
        <v>9_2026</v>
      </c>
      <c r="G86">
        <f t="shared" si="28"/>
        <v>542750</v>
      </c>
      <c r="H86" s="63">
        <f>'Procurement Schedule'!N161</f>
        <v>0</v>
      </c>
      <c r="I86">
        <f t="shared" si="39"/>
        <v>1</v>
      </c>
      <c r="J86">
        <f t="shared" si="29"/>
        <v>1900</v>
      </c>
      <c r="K86" t="str">
        <f t="shared" si="30"/>
        <v>1_1900</v>
      </c>
      <c r="S86" t="str">
        <f t="shared" si="34"/>
        <v/>
      </c>
      <c r="T86" s="64" t="str">
        <f t="shared" si="33"/>
        <v/>
      </c>
      <c r="AA86" t="str">
        <f t="shared" si="35"/>
        <v/>
      </c>
      <c r="AB86" s="64" t="str">
        <f t="shared" si="36"/>
        <v/>
      </c>
      <c r="AD86" t="s">
        <v>147</v>
      </c>
      <c r="AE86" s="63">
        <v>46327</v>
      </c>
      <c r="AQ86" t="str">
        <f>AM2&amp;"_"&amp;$AN$9</f>
        <v>1_2027</v>
      </c>
      <c r="AR86" s="63">
        <f t="shared" si="32"/>
        <v>46388</v>
      </c>
    </row>
    <row r="87" spans="1:44" x14ac:dyDescent="0.35">
      <c r="A87">
        <f>'Procurement Schedule'!R162</f>
        <v>1925350</v>
      </c>
      <c r="B87" s="63">
        <f>'Procurement Schedule'!M162</f>
        <v>46284</v>
      </c>
      <c r="C87">
        <f t="shared" si="38"/>
        <v>9</v>
      </c>
      <c r="D87">
        <f t="shared" si="26"/>
        <v>2026</v>
      </c>
      <c r="E87" t="str">
        <f t="shared" si="27"/>
        <v>9_2026</v>
      </c>
      <c r="G87">
        <f t="shared" si="28"/>
        <v>1925350</v>
      </c>
      <c r="H87" s="63">
        <f>'Procurement Schedule'!N162</f>
        <v>0</v>
      </c>
      <c r="I87">
        <f t="shared" si="39"/>
        <v>1</v>
      </c>
      <c r="J87">
        <f t="shared" si="29"/>
        <v>1900</v>
      </c>
      <c r="K87" t="str">
        <f t="shared" si="30"/>
        <v>1_1900</v>
      </c>
      <c r="S87" t="str">
        <f t="shared" si="34"/>
        <v/>
      </c>
      <c r="T87" s="64" t="str">
        <f t="shared" si="33"/>
        <v/>
      </c>
      <c r="AA87" t="str">
        <f t="shared" si="35"/>
        <v/>
      </c>
      <c r="AB87" s="64" t="str">
        <f t="shared" si="36"/>
        <v/>
      </c>
      <c r="AD87" t="s">
        <v>148</v>
      </c>
      <c r="AE87" s="63">
        <v>46357</v>
      </c>
      <c r="AQ87" t="str">
        <f t="shared" ref="AQ87:AQ97" si="40">AM3&amp;"_"&amp;$AN$9</f>
        <v>2_2027</v>
      </c>
      <c r="AR87" s="63">
        <f t="shared" si="32"/>
        <v>46419</v>
      </c>
    </row>
    <row r="88" spans="1:44" x14ac:dyDescent="0.35">
      <c r="A88">
        <f>'Procurement Schedule'!R163</f>
        <v>285000</v>
      </c>
      <c r="B88" s="63">
        <f>'Procurement Schedule'!M163</f>
        <v>112</v>
      </c>
      <c r="C88">
        <f t="shared" si="38"/>
        <v>4</v>
      </c>
      <c r="D88">
        <f t="shared" si="26"/>
        <v>1900</v>
      </c>
      <c r="E88" t="str">
        <f t="shared" si="27"/>
        <v>4_1900</v>
      </c>
      <c r="G88">
        <f t="shared" si="28"/>
        <v>285000</v>
      </c>
      <c r="H88" s="63">
        <f>'Procurement Schedule'!N163</f>
        <v>0</v>
      </c>
      <c r="I88">
        <f t="shared" si="39"/>
        <v>1</v>
      </c>
      <c r="J88">
        <f t="shared" si="29"/>
        <v>1900</v>
      </c>
      <c r="K88" t="str">
        <f t="shared" si="30"/>
        <v>1_1900</v>
      </c>
      <c r="S88" t="str">
        <f t="shared" si="34"/>
        <v/>
      </c>
      <c r="T88" s="64" t="str">
        <f t="shared" si="33"/>
        <v/>
      </c>
      <c r="AA88" t="str">
        <f t="shared" si="35"/>
        <v/>
      </c>
      <c r="AB88" s="64" t="str">
        <f t="shared" si="36"/>
        <v/>
      </c>
      <c r="AD88" t="s">
        <v>149</v>
      </c>
      <c r="AE88" s="63">
        <v>46388</v>
      </c>
      <c r="AQ88" t="str">
        <f t="shared" si="40"/>
        <v>3_2027</v>
      </c>
      <c r="AR88" s="63">
        <f t="shared" si="32"/>
        <v>46447</v>
      </c>
    </row>
    <row r="89" spans="1:44" x14ac:dyDescent="0.35">
      <c r="A89">
        <f>'Procurement Schedule'!R164</f>
        <v>1178293</v>
      </c>
      <c r="B89" s="63">
        <f>'Procurement Schedule'!M164</f>
        <v>46263</v>
      </c>
      <c r="C89">
        <f t="shared" si="38"/>
        <v>8</v>
      </c>
      <c r="D89">
        <f t="shared" si="26"/>
        <v>2026</v>
      </c>
      <c r="E89" t="str">
        <f t="shared" si="27"/>
        <v>8_2026</v>
      </c>
      <c r="G89">
        <f t="shared" si="28"/>
        <v>1178293</v>
      </c>
      <c r="H89" s="63">
        <f>'Procurement Schedule'!N164</f>
        <v>0</v>
      </c>
      <c r="I89">
        <f t="shared" si="39"/>
        <v>1</v>
      </c>
      <c r="J89">
        <f t="shared" si="29"/>
        <v>1900</v>
      </c>
      <c r="K89" t="str">
        <f t="shared" si="30"/>
        <v>1_1900</v>
      </c>
      <c r="S89" t="str">
        <f t="shared" si="34"/>
        <v/>
      </c>
      <c r="T89" s="64" t="str">
        <f t="shared" si="33"/>
        <v/>
      </c>
      <c r="AA89" t="str">
        <f t="shared" si="35"/>
        <v/>
      </c>
      <c r="AB89" s="64" t="str">
        <f t="shared" si="36"/>
        <v/>
      </c>
      <c r="AD89" t="s">
        <v>150</v>
      </c>
      <c r="AE89" s="63">
        <v>46419</v>
      </c>
      <c r="AQ89" t="str">
        <f t="shared" si="40"/>
        <v>4_2027</v>
      </c>
      <c r="AR89" s="63">
        <f t="shared" si="32"/>
        <v>46478</v>
      </c>
    </row>
    <row r="90" spans="1:44" x14ac:dyDescent="0.35">
      <c r="A90">
        <f>'Procurement Schedule'!R241</f>
        <v>800000</v>
      </c>
      <c r="B90" s="63">
        <f>'Procurement Schedule'!M241</f>
        <v>46312</v>
      </c>
      <c r="C90">
        <f t="shared" si="38"/>
        <v>10</v>
      </c>
      <c r="D90">
        <f t="shared" si="26"/>
        <v>2026</v>
      </c>
      <c r="E90" t="str">
        <f t="shared" si="27"/>
        <v>10_2026</v>
      </c>
      <c r="G90">
        <f t="shared" si="28"/>
        <v>800000</v>
      </c>
      <c r="H90" s="63">
        <f>'Procurement Schedule'!N241</f>
        <v>0</v>
      </c>
      <c r="I90">
        <f t="shared" si="39"/>
        <v>1</v>
      </c>
      <c r="J90">
        <f t="shared" si="29"/>
        <v>1900</v>
      </c>
      <c r="K90" t="str">
        <f t="shared" si="30"/>
        <v>1_1900</v>
      </c>
      <c r="S90" t="str">
        <f t="shared" si="34"/>
        <v/>
      </c>
      <c r="T90" s="64" t="str">
        <f t="shared" si="33"/>
        <v/>
      </c>
      <c r="AA90" t="str">
        <f t="shared" si="35"/>
        <v/>
      </c>
      <c r="AB90" s="64" t="str">
        <f t="shared" si="36"/>
        <v/>
      </c>
      <c r="AD90" t="s">
        <v>151</v>
      </c>
      <c r="AE90" s="63">
        <v>46447</v>
      </c>
      <c r="AQ90" t="str">
        <f t="shared" si="40"/>
        <v>5_2027</v>
      </c>
      <c r="AR90" s="63">
        <f t="shared" si="32"/>
        <v>46508</v>
      </c>
    </row>
    <row r="91" spans="1:44" x14ac:dyDescent="0.35">
      <c r="A91">
        <f>'Procurement Schedule'!R167</f>
        <v>3107033</v>
      </c>
      <c r="B91" s="63">
        <f>'Procurement Schedule'!M167</f>
        <v>46218</v>
      </c>
      <c r="C91">
        <f t="shared" si="38"/>
        <v>7</v>
      </c>
      <c r="D91">
        <f t="shared" si="26"/>
        <v>2026</v>
      </c>
      <c r="E91" t="str">
        <f t="shared" si="27"/>
        <v>7_2026</v>
      </c>
      <c r="G91">
        <f t="shared" si="28"/>
        <v>3107033</v>
      </c>
      <c r="H91" s="63">
        <f>'Procurement Schedule'!N167</f>
        <v>0</v>
      </c>
      <c r="I91">
        <f t="shared" si="39"/>
        <v>1</v>
      </c>
      <c r="J91">
        <f t="shared" si="29"/>
        <v>1900</v>
      </c>
      <c r="K91" t="str">
        <f t="shared" si="30"/>
        <v>1_1900</v>
      </c>
      <c r="S91" t="str">
        <f t="shared" si="34"/>
        <v/>
      </c>
      <c r="T91" s="64" t="str">
        <f t="shared" si="33"/>
        <v/>
      </c>
      <c r="AA91" t="str">
        <f t="shared" si="35"/>
        <v/>
      </c>
      <c r="AB91" s="64" t="str">
        <f t="shared" si="36"/>
        <v/>
      </c>
      <c r="AD91" t="s">
        <v>152</v>
      </c>
      <c r="AE91" s="63">
        <v>46478</v>
      </c>
      <c r="AQ91" t="str">
        <f t="shared" si="40"/>
        <v>6_2027</v>
      </c>
      <c r="AR91" s="63">
        <f t="shared" si="32"/>
        <v>46539</v>
      </c>
    </row>
    <row r="92" spans="1:44" x14ac:dyDescent="0.35">
      <c r="A92">
        <f>'Procurement Schedule'!R168</f>
        <v>1548256</v>
      </c>
      <c r="B92" s="63">
        <f>'Procurement Schedule'!M168</f>
        <v>46218</v>
      </c>
      <c r="C92">
        <f t="shared" si="38"/>
        <v>7</v>
      </c>
      <c r="D92">
        <f t="shared" si="26"/>
        <v>2026</v>
      </c>
      <c r="E92" t="str">
        <f t="shared" si="27"/>
        <v>7_2026</v>
      </c>
      <c r="G92">
        <f t="shared" si="28"/>
        <v>1548256</v>
      </c>
      <c r="H92" s="63">
        <f>'Procurement Schedule'!N168</f>
        <v>0</v>
      </c>
      <c r="I92">
        <f t="shared" si="39"/>
        <v>1</v>
      </c>
      <c r="J92">
        <f t="shared" si="29"/>
        <v>1900</v>
      </c>
      <c r="K92" t="str">
        <f t="shared" si="30"/>
        <v>1_1900</v>
      </c>
      <c r="S92" t="str">
        <f t="shared" si="34"/>
        <v/>
      </c>
      <c r="T92" s="64" t="str">
        <f t="shared" si="33"/>
        <v/>
      </c>
      <c r="AA92" t="str">
        <f t="shared" si="35"/>
        <v/>
      </c>
      <c r="AB92" s="64" t="str">
        <f t="shared" si="36"/>
        <v/>
      </c>
      <c r="AD92" t="s">
        <v>153</v>
      </c>
      <c r="AE92" s="63">
        <v>46508</v>
      </c>
      <c r="AQ92" t="str">
        <f t="shared" si="40"/>
        <v>7_2027</v>
      </c>
      <c r="AR92" s="63">
        <f t="shared" si="32"/>
        <v>46569</v>
      </c>
    </row>
    <row r="93" spans="1:44" x14ac:dyDescent="0.35">
      <c r="A93">
        <f>'Procurement Schedule'!R169</f>
        <v>1053444</v>
      </c>
      <c r="B93" s="63">
        <f>'Procurement Schedule'!M169</f>
        <v>46265</v>
      </c>
      <c r="C93">
        <f t="shared" si="38"/>
        <v>8</v>
      </c>
      <c r="D93">
        <f t="shared" si="26"/>
        <v>2026</v>
      </c>
      <c r="E93" t="str">
        <f t="shared" si="27"/>
        <v>8_2026</v>
      </c>
      <c r="G93">
        <f t="shared" si="28"/>
        <v>1053444</v>
      </c>
      <c r="H93" s="63">
        <f>'Procurement Schedule'!N169</f>
        <v>0</v>
      </c>
      <c r="I93">
        <f t="shared" si="39"/>
        <v>1</v>
      </c>
      <c r="J93">
        <f t="shared" si="29"/>
        <v>1900</v>
      </c>
      <c r="K93" t="str">
        <f t="shared" si="30"/>
        <v>1_1900</v>
      </c>
      <c r="S93" t="str">
        <f t="shared" si="34"/>
        <v/>
      </c>
      <c r="T93" s="64" t="str">
        <f t="shared" si="33"/>
        <v/>
      </c>
      <c r="AA93" t="str">
        <f t="shared" si="35"/>
        <v/>
      </c>
      <c r="AB93" s="64" t="str">
        <f t="shared" si="36"/>
        <v/>
      </c>
      <c r="AD93" t="s">
        <v>154</v>
      </c>
      <c r="AE93" s="63">
        <v>46539</v>
      </c>
      <c r="AQ93" t="str">
        <f t="shared" si="40"/>
        <v>8_2027</v>
      </c>
      <c r="AR93" s="63">
        <f t="shared" si="32"/>
        <v>46600</v>
      </c>
    </row>
    <row r="94" spans="1:44" x14ac:dyDescent="0.35">
      <c r="A94">
        <f>'Procurement Schedule'!R170</f>
        <v>637613</v>
      </c>
      <c r="B94" s="63">
        <f>'Procurement Schedule'!M170</f>
        <v>46236</v>
      </c>
      <c r="C94">
        <f t="shared" si="38"/>
        <v>8</v>
      </c>
      <c r="D94">
        <f t="shared" si="26"/>
        <v>2026</v>
      </c>
      <c r="E94" t="str">
        <f t="shared" si="27"/>
        <v>8_2026</v>
      </c>
      <c r="G94">
        <f t="shared" si="28"/>
        <v>637613</v>
      </c>
      <c r="H94" s="63">
        <f>'Procurement Schedule'!N170</f>
        <v>0</v>
      </c>
      <c r="I94">
        <f t="shared" si="39"/>
        <v>1</v>
      </c>
      <c r="J94">
        <f t="shared" si="29"/>
        <v>1900</v>
      </c>
      <c r="K94" t="str">
        <f t="shared" si="30"/>
        <v>1_1900</v>
      </c>
      <c r="S94" t="str">
        <f t="shared" si="34"/>
        <v/>
      </c>
      <c r="T94" s="64" t="str">
        <f t="shared" si="33"/>
        <v/>
      </c>
      <c r="AA94" t="str">
        <f t="shared" si="35"/>
        <v/>
      </c>
      <c r="AB94" s="64" t="str">
        <f t="shared" si="36"/>
        <v/>
      </c>
      <c r="AD94" t="s">
        <v>155</v>
      </c>
      <c r="AE94" s="63">
        <v>46569</v>
      </c>
      <c r="AQ94" t="str">
        <f t="shared" si="40"/>
        <v>9_2027</v>
      </c>
      <c r="AR94" s="63">
        <f t="shared" si="32"/>
        <v>46631</v>
      </c>
    </row>
    <row r="95" spans="1:44" x14ac:dyDescent="0.35">
      <c r="A95" t="e">
        <f>'Procurement Schedule'!#REF!</f>
        <v>#REF!</v>
      </c>
      <c r="B95" s="63" t="e">
        <f>'Procurement Schedule'!#REF!</f>
        <v>#REF!</v>
      </c>
      <c r="C95" t="e">
        <f t="shared" si="38"/>
        <v>#REF!</v>
      </c>
      <c r="D95" t="e">
        <f t="shared" si="26"/>
        <v>#REF!</v>
      </c>
      <c r="E95" t="e">
        <f t="shared" si="27"/>
        <v>#REF!</v>
      </c>
      <c r="G95" t="e">
        <f t="shared" si="28"/>
        <v>#REF!</v>
      </c>
      <c r="H95" s="63" t="e">
        <f>'Procurement Schedule'!#REF!</f>
        <v>#REF!</v>
      </c>
      <c r="I95" t="e">
        <f t="shared" si="39"/>
        <v>#REF!</v>
      </c>
      <c r="J95" t="e">
        <f t="shared" si="29"/>
        <v>#REF!</v>
      </c>
      <c r="K95" t="e">
        <f t="shared" si="30"/>
        <v>#REF!</v>
      </c>
      <c r="S95" t="str">
        <f t="shared" si="34"/>
        <v/>
      </c>
      <c r="T95" s="64" t="str">
        <f t="shared" si="33"/>
        <v/>
      </c>
      <c r="AA95" t="str">
        <f t="shared" si="35"/>
        <v/>
      </c>
      <c r="AB95" s="64" t="str">
        <f t="shared" si="36"/>
        <v/>
      </c>
      <c r="AD95" t="s">
        <v>156</v>
      </c>
      <c r="AE95" s="63">
        <v>46600</v>
      </c>
      <c r="AQ95" t="str">
        <f t="shared" si="40"/>
        <v>10_2027</v>
      </c>
      <c r="AR95" s="63">
        <f t="shared" si="32"/>
        <v>46661</v>
      </c>
    </row>
    <row r="96" spans="1:44" x14ac:dyDescent="0.35">
      <c r="A96">
        <f>'Procurement Schedule'!R171</f>
        <v>10000</v>
      </c>
      <c r="B96" s="63">
        <f>'Procurement Schedule'!M171</f>
        <v>46212</v>
      </c>
      <c r="C96">
        <f t="shared" si="38"/>
        <v>7</v>
      </c>
      <c r="D96">
        <f t="shared" si="26"/>
        <v>2026</v>
      </c>
      <c r="E96" t="str">
        <f t="shared" si="27"/>
        <v>7_2026</v>
      </c>
      <c r="G96">
        <f t="shared" si="28"/>
        <v>10000</v>
      </c>
      <c r="H96" s="63">
        <f>'Procurement Schedule'!N171</f>
        <v>0</v>
      </c>
      <c r="I96">
        <f t="shared" si="39"/>
        <v>1</v>
      </c>
      <c r="J96">
        <f t="shared" si="29"/>
        <v>1900</v>
      </c>
      <c r="K96" t="str">
        <f t="shared" si="30"/>
        <v>1_1900</v>
      </c>
      <c r="S96" t="str">
        <f t="shared" si="34"/>
        <v/>
      </c>
      <c r="T96" s="64" t="str">
        <f t="shared" si="33"/>
        <v/>
      </c>
      <c r="AA96" t="str">
        <f t="shared" si="35"/>
        <v/>
      </c>
      <c r="AB96" s="64" t="str">
        <f t="shared" si="36"/>
        <v/>
      </c>
      <c r="AD96" t="s">
        <v>157</v>
      </c>
      <c r="AE96" s="63">
        <v>46631</v>
      </c>
      <c r="AQ96" t="str">
        <f t="shared" si="40"/>
        <v>11_2027</v>
      </c>
      <c r="AR96" s="63">
        <f t="shared" si="32"/>
        <v>46692</v>
      </c>
    </row>
    <row r="97" spans="1:44" x14ac:dyDescent="0.35">
      <c r="A97">
        <f>'Procurement Schedule'!R172</f>
        <v>624272</v>
      </c>
      <c r="B97" s="63">
        <f>'Procurement Schedule'!M172</f>
        <v>46236</v>
      </c>
      <c r="C97">
        <f t="shared" si="38"/>
        <v>8</v>
      </c>
      <c r="D97">
        <f t="shared" si="26"/>
        <v>2026</v>
      </c>
      <c r="E97" t="str">
        <f t="shared" si="27"/>
        <v>8_2026</v>
      </c>
      <c r="G97">
        <f t="shared" si="28"/>
        <v>624272</v>
      </c>
      <c r="H97" s="63">
        <f>'Procurement Schedule'!N172</f>
        <v>0</v>
      </c>
      <c r="I97">
        <f t="shared" si="39"/>
        <v>1</v>
      </c>
      <c r="J97">
        <f t="shared" si="29"/>
        <v>1900</v>
      </c>
      <c r="K97" t="str">
        <f t="shared" si="30"/>
        <v>1_1900</v>
      </c>
      <c r="S97" t="str">
        <f t="shared" si="34"/>
        <v/>
      </c>
      <c r="T97" s="64" t="str">
        <f t="shared" si="33"/>
        <v/>
      </c>
      <c r="AA97" t="str">
        <f t="shared" si="35"/>
        <v/>
      </c>
      <c r="AB97" s="64" t="str">
        <f t="shared" si="36"/>
        <v/>
      </c>
      <c r="AD97" t="s">
        <v>158</v>
      </c>
      <c r="AE97" s="63">
        <v>46661</v>
      </c>
      <c r="AQ97" t="str">
        <f t="shared" si="40"/>
        <v>12_2027</v>
      </c>
      <c r="AR97" s="63">
        <f t="shared" si="32"/>
        <v>46722</v>
      </c>
    </row>
    <row r="98" spans="1:44" x14ac:dyDescent="0.35">
      <c r="A98">
        <f>'Procurement Schedule'!R173</f>
        <v>200969</v>
      </c>
      <c r="B98" s="63">
        <f>'Procurement Schedule'!M173</f>
        <v>46236</v>
      </c>
      <c r="C98">
        <f t="shared" si="38"/>
        <v>8</v>
      </c>
      <c r="D98">
        <f t="shared" si="26"/>
        <v>2026</v>
      </c>
      <c r="E98" t="str">
        <f t="shared" si="27"/>
        <v>8_2026</v>
      </c>
      <c r="G98">
        <f t="shared" si="28"/>
        <v>200969</v>
      </c>
      <c r="H98" s="63">
        <f>'Procurement Schedule'!N173</f>
        <v>0</v>
      </c>
      <c r="I98">
        <f t="shared" si="39"/>
        <v>1</v>
      </c>
      <c r="J98">
        <f t="shared" si="29"/>
        <v>1900</v>
      </c>
      <c r="K98" t="str">
        <f t="shared" si="30"/>
        <v>1_1900</v>
      </c>
      <c r="S98" t="str">
        <f t="shared" si="34"/>
        <v/>
      </c>
      <c r="T98" s="64" t="str">
        <f t="shared" si="33"/>
        <v/>
      </c>
      <c r="AA98" t="str">
        <f t="shared" si="35"/>
        <v/>
      </c>
      <c r="AB98" s="64" t="str">
        <f t="shared" si="36"/>
        <v/>
      </c>
      <c r="AD98" t="s">
        <v>159</v>
      </c>
      <c r="AE98" s="63">
        <v>46692</v>
      </c>
      <c r="AQ98" t="str">
        <f>AM2&amp;"_"&amp;$AN$10</f>
        <v>1_2028</v>
      </c>
      <c r="AR98" s="63">
        <f t="shared" si="32"/>
        <v>46753</v>
      </c>
    </row>
    <row r="99" spans="1:44" x14ac:dyDescent="0.35">
      <c r="A99">
        <f>'Procurement Schedule'!R174</f>
        <v>3359643</v>
      </c>
      <c r="B99" s="63">
        <f>'Procurement Schedule'!M174</f>
        <v>46236</v>
      </c>
      <c r="C99">
        <f t="shared" si="38"/>
        <v>8</v>
      </c>
      <c r="D99">
        <f t="shared" si="26"/>
        <v>2026</v>
      </c>
      <c r="E99" t="str">
        <f t="shared" si="27"/>
        <v>8_2026</v>
      </c>
      <c r="G99">
        <f t="shared" si="28"/>
        <v>3359643</v>
      </c>
      <c r="H99" s="63">
        <f>'Procurement Schedule'!N174</f>
        <v>0</v>
      </c>
      <c r="I99">
        <f t="shared" si="39"/>
        <v>1</v>
      </c>
      <c r="J99">
        <f t="shared" si="29"/>
        <v>1900</v>
      </c>
      <c r="K99" t="str">
        <f t="shared" si="30"/>
        <v>1_1900</v>
      </c>
      <c r="S99" t="str">
        <f t="shared" si="34"/>
        <v/>
      </c>
      <c r="T99" s="64" t="str">
        <f t="shared" si="33"/>
        <v/>
      </c>
      <c r="AA99" t="str">
        <f t="shared" si="35"/>
        <v/>
      </c>
      <c r="AB99" s="64" t="str">
        <f t="shared" si="36"/>
        <v/>
      </c>
      <c r="AD99" t="s">
        <v>160</v>
      </c>
      <c r="AE99" s="63">
        <v>46722</v>
      </c>
      <c r="AQ99" t="str">
        <f t="shared" ref="AQ99:AQ109" si="41">AM3&amp;"_"&amp;$AN$10</f>
        <v>2_2028</v>
      </c>
      <c r="AR99" s="63">
        <f t="shared" si="32"/>
        <v>46784</v>
      </c>
    </row>
    <row r="100" spans="1:44" x14ac:dyDescent="0.35">
      <c r="A100">
        <f>'Procurement Schedule'!R175</f>
        <v>0</v>
      </c>
      <c r="B100" s="63">
        <f>'Procurement Schedule'!M175</f>
        <v>0</v>
      </c>
      <c r="C100">
        <f t="shared" si="38"/>
        <v>1</v>
      </c>
      <c r="D100">
        <f t="shared" si="26"/>
        <v>1900</v>
      </c>
      <c r="E100" t="str">
        <f t="shared" si="27"/>
        <v>1_1900</v>
      </c>
      <c r="G100">
        <f t="shared" si="28"/>
        <v>0</v>
      </c>
      <c r="H100" s="63">
        <f>'Procurement Schedule'!N175</f>
        <v>0</v>
      </c>
      <c r="I100">
        <f t="shared" si="39"/>
        <v>1</v>
      </c>
      <c r="J100">
        <f t="shared" si="29"/>
        <v>1900</v>
      </c>
      <c r="K100" t="str">
        <f t="shared" si="30"/>
        <v>1_1900</v>
      </c>
      <c r="S100" t="str">
        <f t="shared" si="34"/>
        <v/>
      </c>
      <c r="T100" s="64" t="str">
        <f t="shared" si="33"/>
        <v/>
      </c>
      <c r="AA100" t="str">
        <f t="shared" si="35"/>
        <v/>
      </c>
      <c r="AB100" s="64" t="str">
        <f t="shared" si="36"/>
        <v/>
      </c>
      <c r="AD100" t="s">
        <v>161</v>
      </c>
      <c r="AE100" s="63">
        <v>46753</v>
      </c>
      <c r="AQ100" t="str">
        <f t="shared" si="41"/>
        <v>3_2028</v>
      </c>
      <c r="AR100" s="63">
        <f t="shared" si="32"/>
        <v>46813</v>
      </c>
    </row>
    <row r="101" spans="1:44" x14ac:dyDescent="0.35">
      <c r="A101">
        <f>'Procurement Schedule'!R176</f>
        <v>0</v>
      </c>
      <c r="B101" s="63">
        <f>'Procurement Schedule'!M176</f>
        <v>0</v>
      </c>
      <c r="C101">
        <f t="shared" si="38"/>
        <v>1</v>
      </c>
      <c r="D101">
        <f t="shared" si="26"/>
        <v>1900</v>
      </c>
      <c r="E101" t="str">
        <f t="shared" si="27"/>
        <v>1_1900</v>
      </c>
      <c r="G101">
        <f t="shared" si="28"/>
        <v>0</v>
      </c>
      <c r="H101" s="63">
        <f>'Procurement Schedule'!N176</f>
        <v>0</v>
      </c>
      <c r="I101">
        <f t="shared" si="39"/>
        <v>1</v>
      </c>
      <c r="J101">
        <f t="shared" si="29"/>
        <v>1900</v>
      </c>
      <c r="K101" t="str">
        <f t="shared" si="30"/>
        <v>1_1900</v>
      </c>
      <c r="S101" t="str">
        <f t="shared" si="34"/>
        <v/>
      </c>
      <c r="T101" s="64" t="str">
        <f t="shared" si="33"/>
        <v/>
      </c>
      <c r="AA101" t="str">
        <f t="shared" si="35"/>
        <v/>
      </c>
      <c r="AB101" s="64" t="str">
        <f t="shared" si="36"/>
        <v/>
      </c>
      <c r="AD101" t="s">
        <v>162</v>
      </c>
      <c r="AE101" s="63">
        <v>46784</v>
      </c>
      <c r="AQ101" t="str">
        <f t="shared" si="41"/>
        <v>4_2028</v>
      </c>
      <c r="AR101" s="63">
        <f t="shared" si="32"/>
        <v>46844</v>
      </c>
    </row>
    <row r="102" spans="1:44" x14ac:dyDescent="0.35">
      <c r="A102">
        <f>'Procurement Schedule'!R177</f>
        <v>185000</v>
      </c>
      <c r="B102" s="63">
        <f>'Procurement Schedule'!M177</f>
        <v>46278</v>
      </c>
      <c r="C102">
        <f t="shared" si="38"/>
        <v>9</v>
      </c>
      <c r="D102">
        <f t="shared" si="26"/>
        <v>2026</v>
      </c>
      <c r="E102" t="str">
        <f t="shared" si="27"/>
        <v>9_2026</v>
      </c>
      <c r="G102">
        <f t="shared" si="28"/>
        <v>185000</v>
      </c>
      <c r="H102" s="63">
        <f>'Procurement Schedule'!N177</f>
        <v>0</v>
      </c>
      <c r="I102">
        <f t="shared" si="39"/>
        <v>1</v>
      </c>
      <c r="J102">
        <f t="shared" si="29"/>
        <v>1900</v>
      </c>
      <c r="K102" t="str">
        <f t="shared" si="30"/>
        <v>1_1900</v>
      </c>
      <c r="S102" t="str">
        <f t="shared" si="34"/>
        <v/>
      </c>
      <c r="T102" s="64" t="str">
        <f t="shared" si="33"/>
        <v/>
      </c>
      <c r="AA102" t="str">
        <f t="shared" si="35"/>
        <v/>
      </c>
      <c r="AB102" s="64" t="str">
        <f t="shared" si="36"/>
        <v/>
      </c>
      <c r="AD102" t="s">
        <v>163</v>
      </c>
      <c r="AE102" s="63">
        <v>46813</v>
      </c>
      <c r="AQ102" t="str">
        <f t="shared" si="41"/>
        <v>5_2028</v>
      </c>
      <c r="AR102" s="63">
        <f t="shared" si="32"/>
        <v>46874</v>
      </c>
    </row>
    <row r="103" spans="1:44" x14ac:dyDescent="0.35">
      <c r="A103">
        <f>'Procurement Schedule'!R178</f>
        <v>0</v>
      </c>
      <c r="B103" s="63">
        <f>'Procurement Schedule'!M178</f>
        <v>0</v>
      </c>
      <c r="C103">
        <f t="shared" si="38"/>
        <v>1</v>
      </c>
      <c r="D103">
        <f t="shared" si="26"/>
        <v>1900</v>
      </c>
      <c r="E103" t="str">
        <f t="shared" si="27"/>
        <v>1_1900</v>
      </c>
      <c r="G103">
        <f t="shared" si="28"/>
        <v>0</v>
      </c>
      <c r="H103" s="63">
        <f>'Procurement Schedule'!N178</f>
        <v>0</v>
      </c>
      <c r="I103">
        <f t="shared" si="39"/>
        <v>1</v>
      </c>
      <c r="J103">
        <f t="shared" si="29"/>
        <v>1900</v>
      </c>
      <c r="K103" t="str">
        <f t="shared" si="30"/>
        <v>1_1900</v>
      </c>
      <c r="S103" t="str">
        <f t="shared" si="34"/>
        <v/>
      </c>
      <c r="T103" s="64" t="str">
        <f t="shared" si="33"/>
        <v/>
      </c>
      <c r="AA103" t="str">
        <f t="shared" si="35"/>
        <v/>
      </c>
      <c r="AB103" s="64" t="str">
        <f t="shared" si="36"/>
        <v/>
      </c>
      <c r="AD103" t="s">
        <v>164</v>
      </c>
      <c r="AE103" s="63">
        <v>46844</v>
      </c>
      <c r="AQ103" t="str">
        <f t="shared" si="41"/>
        <v>6_2028</v>
      </c>
      <c r="AR103" s="63">
        <f t="shared" si="32"/>
        <v>46905</v>
      </c>
    </row>
    <row r="104" spans="1:44" x14ac:dyDescent="0.35">
      <c r="A104">
        <f>'Procurement Schedule'!R179</f>
        <v>9072785</v>
      </c>
      <c r="B104" s="63">
        <f>'Procurement Schedule'!M179</f>
        <v>46134</v>
      </c>
      <c r="C104">
        <f t="shared" si="38"/>
        <v>4</v>
      </c>
      <c r="D104">
        <f t="shared" si="26"/>
        <v>2026</v>
      </c>
      <c r="E104" t="str">
        <f t="shared" si="27"/>
        <v>4_2026</v>
      </c>
      <c r="G104">
        <f t="shared" si="28"/>
        <v>9072785</v>
      </c>
      <c r="H104" s="63">
        <f>'Procurement Schedule'!N179</f>
        <v>46125</v>
      </c>
      <c r="I104">
        <f t="shared" si="39"/>
        <v>4</v>
      </c>
      <c r="J104">
        <f t="shared" si="29"/>
        <v>2026</v>
      </c>
      <c r="K104" t="str">
        <f t="shared" si="30"/>
        <v>4_2026</v>
      </c>
      <c r="S104" t="str">
        <f t="shared" si="34"/>
        <v/>
      </c>
      <c r="T104" s="64" t="str">
        <f t="shared" si="33"/>
        <v/>
      </c>
      <c r="AA104" t="str">
        <f t="shared" si="35"/>
        <v/>
      </c>
      <c r="AB104" s="64" t="str">
        <f t="shared" si="36"/>
        <v/>
      </c>
      <c r="AD104" t="s">
        <v>165</v>
      </c>
      <c r="AE104" s="63">
        <v>46874</v>
      </c>
      <c r="AQ104" t="str">
        <f t="shared" si="41"/>
        <v>7_2028</v>
      </c>
      <c r="AR104" s="63">
        <f t="shared" si="32"/>
        <v>46935</v>
      </c>
    </row>
    <row r="105" spans="1:44" x14ac:dyDescent="0.35">
      <c r="A105">
        <f>'Procurement Schedule'!R180</f>
        <v>81600</v>
      </c>
      <c r="B105" s="63">
        <f>'Procurement Schedule'!M180</f>
        <v>46173</v>
      </c>
      <c r="C105">
        <f t="shared" si="38"/>
        <v>5</v>
      </c>
      <c r="D105">
        <f t="shared" si="26"/>
        <v>2026</v>
      </c>
      <c r="E105" t="str">
        <f t="shared" si="27"/>
        <v>5_2026</v>
      </c>
      <c r="G105">
        <f t="shared" si="28"/>
        <v>81600</v>
      </c>
      <c r="H105" s="63">
        <f>'Procurement Schedule'!N180</f>
        <v>0</v>
      </c>
      <c r="I105">
        <f t="shared" si="39"/>
        <v>1</v>
      </c>
      <c r="J105">
        <f t="shared" si="29"/>
        <v>1900</v>
      </c>
      <c r="K105" t="str">
        <f t="shared" si="30"/>
        <v>1_1900</v>
      </c>
      <c r="S105" t="str">
        <f t="shared" si="34"/>
        <v/>
      </c>
      <c r="T105" s="64" t="str">
        <f t="shared" si="33"/>
        <v/>
      </c>
      <c r="AA105" t="str">
        <f t="shared" si="35"/>
        <v/>
      </c>
      <c r="AB105" s="64" t="str">
        <f t="shared" si="36"/>
        <v/>
      </c>
      <c r="AD105" t="s">
        <v>166</v>
      </c>
      <c r="AE105" s="63">
        <v>46905</v>
      </c>
      <c r="AQ105" t="str">
        <f t="shared" si="41"/>
        <v>8_2028</v>
      </c>
      <c r="AR105" s="63">
        <f t="shared" si="32"/>
        <v>46966</v>
      </c>
    </row>
    <row r="106" spans="1:44" x14ac:dyDescent="0.35">
      <c r="A106">
        <f>'Procurement Schedule'!R181</f>
        <v>0</v>
      </c>
      <c r="B106" s="63">
        <f>'Procurement Schedule'!M181</f>
        <v>0</v>
      </c>
      <c r="C106">
        <f t="shared" si="38"/>
        <v>1</v>
      </c>
      <c r="D106">
        <f t="shared" si="26"/>
        <v>1900</v>
      </c>
      <c r="E106" t="str">
        <f t="shared" si="27"/>
        <v>1_1900</v>
      </c>
      <c r="G106">
        <f t="shared" si="28"/>
        <v>0</v>
      </c>
      <c r="H106" s="63">
        <f>'Procurement Schedule'!N181</f>
        <v>0</v>
      </c>
      <c r="I106">
        <f t="shared" si="39"/>
        <v>1</v>
      </c>
      <c r="J106">
        <f t="shared" si="29"/>
        <v>1900</v>
      </c>
      <c r="K106" t="str">
        <f t="shared" si="30"/>
        <v>1_1900</v>
      </c>
      <c r="S106" t="str">
        <f t="shared" si="34"/>
        <v/>
      </c>
      <c r="T106" s="64" t="str">
        <f t="shared" si="33"/>
        <v/>
      </c>
      <c r="AA106" t="str">
        <f t="shared" si="35"/>
        <v/>
      </c>
      <c r="AB106" s="64" t="str">
        <f t="shared" si="36"/>
        <v/>
      </c>
      <c r="AD106" t="s">
        <v>167</v>
      </c>
      <c r="AE106" s="63">
        <v>46935</v>
      </c>
      <c r="AQ106" t="str">
        <f t="shared" si="41"/>
        <v>9_2028</v>
      </c>
      <c r="AR106" s="63">
        <f t="shared" si="32"/>
        <v>46997</v>
      </c>
    </row>
    <row r="107" spans="1:44" x14ac:dyDescent="0.35">
      <c r="A107">
        <f>'Procurement Schedule'!R182</f>
        <v>33755000</v>
      </c>
      <c r="B107" s="63">
        <f>'Procurement Schedule'!M182</f>
        <v>46174</v>
      </c>
      <c r="C107">
        <f t="shared" si="38"/>
        <v>6</v>
      </c>
      <c r="D107">
        <f t="shared" si="26"/>
        <v>2026</v>
      </c>
      <c r="E107" t="str">
        <f t="shared" si="27"/>
        <v>6_2026</v>
      </c>
      <c r="G107">
        <f t="shared" si="28"/>
        <v>33755000</v>
      </c>
      <c r="H107" s="63">
        <f>'Procurement Schedule'!N182</f>
        <v>45995</v>
      </c>
      <c r="I107">
        <f t="shared" si="39"/>
        <v>12</v>
      </c>
      <c r="J107">
        <f t="shared" si="29"/>
        <v>2025</v>
      </c>
      <c r="K107" t="str">
        <f t="shared" si="30"/>
        <v>12_2025</v>
      </c>
      <c r="S107" t="str">
        <f t="shared" si="34"/>
        <v/>
      </c>
      <c r="T107" s="64" t="str">
        <f t="shared" si="33"/>
        <v/>
      </c>
      <c r="AA107" t="str">
        <f t="shared" si="35"/>
        <v/>
      </c>
      <c r="AB107" s="64" t="str">
        <f t="shared" si="36"/>
        <v/>
      </c>
      <c r="AD107" t="s">
        <v>168</v>
      </c>
      <c r="AE107" s="63">
        <v>46966</v>
      </c>
      <c r="AQ107" t="str">
        <f t="shared" si="41"/>
        <v>10_2028</v>
      </c>
      <c r="AR107" s="63">
        <f t="shared" si="32"/>
        <v>47027</v>
      </c>
    </row>
    <row r="108" spans="1:44" x14ac:dyDescent="0.35">
      <c r="A108" t="e">
        <f>'Procurement Schedule'!#REF!</f>
        <v>#REF!</v>
      </c>
      <c r="B108" s="63" t="e">
        <f>'Procurement Schedule'!#REF!</f>
        <v>#REF!</v>
      </c>
      <c r="C108" t="e">
        <f t="shared" si="38"/>
        <v>#REF!</v>
      </c>
      <c r="D108" t="e">
        <f t="shared" si="26"/>
        <v>#REF!</v>
      </c>
      <c r="E108" t="e">
        <f t="shared" si="27"/>
        <v>#REF!</v>
      </c>
      <c r="G108" t="e">
        <f t="shared" si="28"/>
        <v>#REF!</v>
      </c>
      <c r="H108" s="63" t="e">
        <f>'Procurement Schedule'!#REF!</f>
        <v>#REF!</v>
      </c>
      <c r="I108" t="e">
        <f t="shared" si="39"/>
        <v>#REF!</v>
      </c>
      <c r="J108" t="e">
        <f t="shared" si="29"/>
        <v>#REF!</v>
      </c>
      <c r="K108" t="e">
        <f t="shared" si="30"/>
        <v>#REF!</v>
      </c>
      <c r="S108" t="str">
        <f t="shared" si="34"/>
        <v/>
      </c>
      <c r="T108" s="64" t="str">
        <f t="shared" si="33"/>
        <v/>
      </c>
      <c r="AA108" t="str">
        <f t="shared" si="35"/>
        <v/>
      </c>
      <c r="AB108" s="64" t="str">
        <f t="shared" si="36"/>
        <v/>
      </c>
      <c r="AD108" t="s">
        <v>169</v>
      </c>
      <c r="AE108" s="63">
        <v>46997</v>
      </c>
      <c r="AQ108" t="str">
        <f t="shared" si="41"/>
        <v>11_2028</v>
      </c>
      <c r="AR108" s="63">
        <f t="shared" si="32"/>
        <v>47058</v>
      </c>
    </row>
    <row r="109" spans="1:44" x14ac:dyDescent="0.35">
      <c r="A109" t="e">
        <f>'Procurement Schedule'!#REF!</f>
        <v>#REF!</v>
      </c>
      <c r="B109" s="63" t="e">
        <f>'Procurement Schedule'!#REF!</f>
        <v>#REF!</v>
      </c>
      <c r="C109" t="e">
        <f t="shared" si="38"/>
        <v>#REF!</v>
      </c>
      <c r="D109" t="e">
        <f t="shared" si="26"/>
        <v>#REF!</v>
      </c>
      <c r="E109" t="e">
        <f t="shared" si="27"/>
        <v>#REF!</v>
      </c>
      <c r="G109" t="e">
        <f t="shared" si="28"/>
        <v>#REF!</v>
      </c>
      <c r="H109" s="63" t="e">
        <f>'Procurement Schedule'!#REF!</f>
        <v>#REF!</v>
      </c>
      <c r="I109" t="e">
        <f t="shared" si="39"/>
        <v>#REF!</v>
      </c>
      <c r="J109" t="e">
        <f t="shared" si="29"/>
        <v>#REF!</v>
      </c>
      <c r="K109" t="e">
        <f t="shared" si="30"/>
        <v>#REF!</v>
      </c>
      <c r="S109" t="str">
        <f t="shared" si="34"/>
        <v/>
      </c>
      <c r="T109" s="64" t="str">
        <f t="shared" si="33"/>
        <v/>
      </c>
      <c r="AA109" t="str">
        <f t="shared" si="35"/>
        <v/>
      </c>
      <c r="AB109" s="64" t="str">
        <f t="shared" si="36"/>
        <v/>
      </c>
      <c r="AD109" t="s">
        <v>170</v>
      </c>
      <c r="AE109" s="63">
        <v>47027</v>
      </c>
      <c r="AQ109" t="str">
        <f t="shared" si="41"/>
        <v>12_2028</v>
      </c>
      <c r="AR109" s="63">
        <f t="shared" si="32"/>
        <v>47088</v>
      </c>
    </row>
    <row r="110" spans="1:44" x14ac:dyDescent="0.35">
      <c r="A110" t="e">
        <f>'Procurement Schedule'!#REF!</f>
        <v>#REF!</v>
      </c>
      <c r="B110" s="63" t="e">
        <f>'Procurement Schedule'!#REF!</f>
        <v>#REF!</v>
      </c>
      <c r="C110" t="e">
        <f t="shared" si="38"/>
        <v>#REF!</v>
      </c>
      <c r="D110" t="e">
        <f t="shared" si="26"/>
        <v>#REF!</v>
      </c>
      <c r="E110" t="e">
        <f t="shared" si="27"/>
        <v>#REF!</v>
      </c>
      <c r="G110" t="e">
        <f t="shared" si="28"/>
        <v>#REF!</v>
      </c>
      <c r="H110" s="63" t="e">
        <f>'Procurement Schedule'!#REF!</f>
        <v>#REF!</v>
      </c>
      <c r="I110" t="e">
        <f t="shared" si="39"/>
        <v>#REF!</v>
      </c>
      <c r="J110" t="e">
        <f t="shared" si="29"/>
        <v>#REF!</v>
      </c>
      <c r="K110" t="e">
        <f t="shared" si="30"/>
        <v>#REF!</v>
      </c>
      <c r="S110" t="str">
        <f t="shared" si="34"/>
        <v/>
      </c>
      <c r="T110" s="64" t="str">
        <f t="shared" si="33"/>
        <v/>
      </c>
      <c r="AA110" t="str">
        <f t="shared" si="35"/>
        <v/>
      </c>
      <c r="AB110" s="64" t="str">
        <f t="shared" si="36"/>
        <v/>
      </c>
      <c r="AD110" t="s">
        <v>171</v>
      </c>
      <c r="AE110" s="63">
        <v>47058</v>
      </c>
      <c r="AQ110" t="str">
        <f>AM2&amp;"_"&amp;$AN$11</f>
        <v>1_2029</v>
      </c>
      <c r="AR110" s="63">
        <f t="shared" si="32"/>
        <v>47119</v>
      </c>
    </row>
    <row r="111" spans="1:44" x14ac:dyDescent="0.35">
      <c r="A111">
        <f>'Procurement Schedule'!R183</f>
        <v>595000</v>
      </c>
      <c r="B111" s="63">
        <f>'Procurement Schedule'!M183</f>
        <v>46143</v>
      </c>
      <c r="C111">
        <f t="shared" si="38"/>
        <v>5</v>
      </c>
      <c r="D111">
        <f t="shared" si="26"/>
        <v>2026</v>
      </c>
      <c r="E111" t="str">
        <f t="shared" si="27"/>
        <v>5_2026</v>
      </c>
      <c r="G111">
        <f t="shared" si="28"/>
        <v>595000</v>
      </c>
      <c r="H111" s="63">
        <f>'Procurement Schedule'!N183</f>
        <v>0</v>
      </c>
      <c r="I111">
        <f t="shared" si="39"/>
        <v>1</v>
      </c>
      <c r="J111">
        <f t="shared" si="29"/>
        <v>1900</v>
      </c>
      <c r="K111" t="str">
        <f t="shared" si="30"/>
        <v>1_1900</v>
      </c>
      <c r="S111" t="str">
        <f t="shared" si="34"/>
        <v/>
      </c>
      <c r="T111" s="64" t="str">
        <f t="shared" si="33"/>
        <v/>
      </c>
      <c r="AA111" t="str">
        <f t="shared" si="35"/>
        <v/>
      </c>
      <c r="AB111" s="64" t="str">
        <f t="shared" si="36"/>
        <v/>
      </c>
      <c r="AD111" t="s">
        <v>172</v>
      </c>
      <c r="AE111" s="63">
        <v>47088</v>
      </c>
      <c r="AQ111" t="str">
        <f t="shared" ref="AQ111:AQ121" si="42">AM3&amp;"_"&amp;$AN$11</f>
        <v>2_2029</v>
      </c>
      <c r="AR111" s="63">
        <f t="shared" si="32"/>
        <v>47150</v>
      </c>
    </row>
    <row r="112" spans="1:44" x14ac:dyDescent="0.35">
      <c r="A112">
        <f>'Procurement Schedule'!R184</f>
        <v>1281400</v>
      </c>
      <c r="B112" s="63">
        <f>'Procurement Schedule'!M184</f>
        <v>46150</v>
      </c>
      <c r="C112">
        <f t="shared" si="38"/>
        <v>5</v>
      </c>
      <c r="D112">
        <f t="shared" si="26"/>
        <v>2026</v>
      </c>
      <c r="E112" t="str">
        <f t="shared" si="27"/>
        <v>5_2026</v>
      </c>
      <c r="G112">
        <f t="shared" si="28"/>
        <v>1281400</v>
      </c>
      <c r="H112" s="63">
        <f>'Procurement Schedule'!N184</f>
        <v>0</v>
      </c>
      <c r="I112">
        <f t="shared" si="39"/>
        <v>1</v>
      </c>
      <c r="J112">
        <f t="shared" si="29"/>
        <v>1900</v>
      </c>
      <c r="K112" t="str">
        <f t="shared" si="30"/>
        <v>1_1900</v>
      </c>
      <c r="S112" t="str">
        <f t="shared" si="34"/>
        <v/>
      </c>
      <c r="T112" s="64" t="str">
        <f t="shared" si="33"/>
        <v/>
      </c>
      <c r="AA112" t="str">
        <f t="shared" si="35"/>
        <v/>
      </c>
      <c r="AB112" s="64" t="str">
        <f t="shared" si="36"/>
        <v/>
      </c>
      <c r="AD112" t="s">
        <v>173</v>
      </c>
      <c r="AE112" s="63">
        <v>47119</v>
      </c>
      <c r="AQ112" t="str">
        <f t="shared" si="42"/>
        <v>3_2029</v>
      </c>
      <c r="AR112" s="63">
        <f t="shared" si="32"/>
        <v>47178</v>
      </c>
    </row>
    <row r="113" spans="1:44" x14ac:dyDescent="0.35">
      <c r="A113">
        <f>'Procurement Schedule'!R185</f>
        <v>2502500</v>
      </c>
      <c r="B113" s="63">
        <f>'Procurement Schedule'!M185</f>
        <v>46266</v>
      </c>
      <c r="C113">
        <f t="shared" si="38"/>
        <v>9</v>
      </c>
      <c r="D113">
        <f t="shared" si="26"/>
        <v>2026</v>
      </c>
      <c r="E113" t="str">
        <f t="shared" si="27"/>
        <v>9_2026</v>
      </c>
      <c r="G113">
        <f t="shared" si="28"/>
        <v>2502500</v>
      </c>
      <c r="H113" s="63">
        <f>'Procurement Schedule'!N185</f>
        <v>0</v>
      </c>
      <c r="I113">
        <f t="shared" si="39"/>
        <v>1</v>
      </c>
      <c r="J113">
        <f t="shared" si="29"/>
        <v>1900</v>
      </c>
      <c r="K113" t="str">
        <f t="shared" si="30"/>
        <v>1_1900</v>
      </c>
      <c r="S113" t="str">
        <f t="shared" si="34"/>
        <v/>
      </c>
      <c r="T113" s="64" t="str">
        <f t="shared" si="33"/>
        <v/>
      </c>
      <c r="AA113" t="str">
        <f t="shared" si="35"/>
        <v/>
      </c>
      <c r="AB113" s="64" t="str">
        <f t="shared" si="36"/>
        <v/>
      </c>
      <c r="AD113" t="s">
        <v>174</v>
      </c>
      <c r="AE113" s="63">
        <v>47150</v>
      </c>
      <c r="AQ113" t="str">
        <f t="shared" si="42"/>
        <v>4_2029</v>
      </c>
      <c r="AR113" s="63">
        <f t="shared" si="32"/>
        <v>47209</v>
      </c>
    </row>
    <row r="114" spans="1:44" x14ac:dyDescent="0.35">
      <c r="A114">
        <f>'Procurement Schedule'!R187</f>
        <v>220000</v>
      </c>
      <c r="B114" s="63">
        <f>'Procurement Schedule'!M187</f>
        <v>46266</v>
      </c>
      <c r="C114">
        <f t="shared" si="38"/>
        <v>9</v>
      </c>
      <c r="D114">
        <f t="shared" si="26"/>
        <v>2026</v>
      </c>
      <c r="E114" t="str">
        <f t="shared" si="27"/>
        <v>9_2026</v>
      </c>
      <c r="G114">
        <f t="shared" si="28"/>
        <v>220000</v>
      </c>
      <c r="H114" s="63">
        <f>'Procurement Schedule'!N187</f>
        <v>0</v>
      </c>
      <c r="I114">
        <f t="shared" si="39"/>
        <v>1</v>
      </c>
      <c r="J114">
        <f t="shared" si="29"/>
        <v>1900</v>
      </c>
      <c r="K114" t="str">
        <f t="shared" si="30"/>
        <v>1_1900</v>
      </c>
      <c r="S114" t="str">
        <f t="shared" si="34"/>
        <v/>
      </c>
      <c r="T114" s="64" t="str">
        <f t="shared" si="33"/>
        <v/>
      </c>
      <c r="AA114" t="str">
        <f t="shared" si="35"/>
        <v/>
      </c>
      <c r="AB114" s="64" t="str">
        <f t="shared" si="36"/>
        <v/>
      </c>
      <c r="AD114" t="s">
        <v>175</v>
      </c>
      <c r="AE114" s="63">
        <v>47178</v>
      </c>
      <c r="AQ114" t="str">
        <f t="shared" si="42"/>
        <v>5_2029</v>
      </c>
      <c r="AR114" s="63">
        <f t="shared" si="32"/>
        <v>47239</v>
      </c>
    </row>
    <row r="115" spans="1:44" x14ac:dyDescent="0.35">
      <c r="A115" t="e">
        <f>'Procurement Schedule'!#REF!</f>
        <v>#REF!</v>
      </c>
      <c r="B115" s="63" t="e">
        <f>'Procurement Schedule'!#REF!</f>
        <v>#REF!</v>
      </c>
      <c r="C115" t="e">
        <f t="shared" si="38"/>
        <v>#REF!</v>
      </c>
      <c r="D115" t="e">
        <f t="shared" si="26"/>
        <v>#REF!</v>
      </c>
      <c r="E115" t="e">
        <f t="shared" si="27"/>
        <v>#REF!</v>
      </c>
      <c r="G115" t="e">
        <f t="shared" si="28"/>
        <v>#REF!</v>
      </c>
      <c r="H115" s="63" t="e">
        <f>'Procurement Schedule'!#REF!</f>
        <v>#REF!</v>
      </c>
      <c r="I115" t="e">
        <f t="shared" si="39"/>
        <v>#REF!</v>
      </c>
      <c r="J115" t="e">
        <f t="shared" si="29"/>
        <v>#REF!</v>
      </c>
      <c r="K115" t="e">
        <f t="shared" si="30"/>
        <v>#REF!</v>
      </c>
      <c r="S115" t="str">
        <f t="shared" si="34"/>
        <v/>
      </c>
      <c r="T115" s="64" t="str">
        <f t="shared" si="33"/>
        <v/>
      </c>
      <c r="AA115" t="str">
        <f t="shared" si="35"/>
        <v/>
      </c>
      <c r="AB115" s="64" t="str">
        <f t="shared" si="36"/>
        <v/>
      </c>
      <c r="AD115" t="s">
        <v>176</v>
      </c>
      <c r="AE115" s="63">
        <v>47209</v>
      </c>
      <c r="AQ115" t="str">
        <f t="shared" si="42"/>
        <v>6_2029</v>
      </c>
      <c r="AR115" s="63">
        <f t="shared" si="32"/>
        <v>47270</v>
      </c>
    </row>
    <row r="116" spans="1:44" x14ac:dyDescent="0.35">
      <c r="A116" t="e">
        <f>'Procurement Schedule'!#REF!</f>
        <v>#REF!</v>
      </c>
      <c r="B116" s="63" t="e">
        <f>'Procurement Schedule'!#REF!</f>
        <v>#REF!</v>
      </c>
      <c r="C116" t="e">
        <f t="shared" si="38"/>
        <v>#REF!</v>
      </c>
      <c r="D116" t="e">
        <f t="shared" si="26"/>
        <v>#REF!</v>
      </c>
      <c r="E116" t="e">
        <f t="shared" si="27"/>
        <v>#REF!</v>
      </c>
      <c r="G116" t="e">
        <f t="shared" si="28"/>
        <v>#REF!</v>
      </c>
      <c r="H116" s="63" t="e">
        <f>'Procurement Schedule'!#REF!</f>
        <v>#REF!</v>
      </c>
      <c r="I116" t="e">
        <f t="shared" si="39"/>
        <v>#REF!</v>
      </c>
      <c r="J116" t="e">
        <f t="shared" si="29"/>
        <v>#REF!</v>
      </c>
      <c r="K116" t="e">
        <f t="shared" si="30"/>
        <v>#REF!</v>
      </c>
      <c r="S116" t="str">
        <f t="shared" si="34"/>
        <v/>
      </c>
      <c r="T116" s="64" t="str">
        <f t="shared" si="33"/>
        <v/>
      </c>
      <c r="AA116" t="str">
        <f t="shared" si="35"/>
        <v/>
      </c>
      <c r="AB116" s="64" t="str">
        <f t="shared" si="36"/>
        <v/>
      </c>
      <c r="AD116" t="s">
        <v>177</v>
      </c>
      <c r="AE116" s="63">
        <v>47239</v>
      </c>
      <c r="AQ116" t="str">
        <f t="shared" si="42"/>
        <v>7_2029</v>
      </c>
      <c r="AR116" s="63">
        <f t="shared" si="32"/>
        <v>47300</v>
      </c>
    </row>
    <row r="117" spans="1:44" x14ac:dyDescent="0.35">
      <c r="A117">
        <f>'Procurement Schedule'!R188</f>
        <v>40000</v>
      </c>
      <c r="B117" s="63">
        <f>'Procurement Schedule'!M188</f>
        <v>46266</v>
      </c>
      <c r="C117">
        <f t="shared" si="38"/>
        <v>9</v>
      </c>
      <c r="D117">
        <f t="shared" si="26"/>
        <v>2026</v>
      </c>
      <c r="E117" t="str">
        <f t="shared" si="27"/>
        <v>9_2026</v>
      </c>
      <c r="G117">
        <f t="shared" si="28"/>
        <v>40000</v>
      </c>
      <c r="H117" s="63">
        <f>'Procurement Schedule'!N188</f>
        <v>0</v>
      </c>
      <c r="I117">
        <f t="shared" si="39"/>
        <v>1</v>
      </c>
      <c r="J117">
        <f t="shared" si="29"/>
        <v>1900</v>
      </c>
      <c r="K117" t="str">
        <f t="shared" si="30"/>
        <v>1_1900</v>
      </c>
      <c r="S117" t="str">
        <f t="shared" si="34"/>
        <v/>
      </c>
      <c r="T117" s="64" t="str">
        <f t="shared" si="33"/>
        <v/>
      </c>
      <c r="AA117" t="str">
        <f t="shared" si="35"/>
        <v/>
      </c>
      <c r="AB117" s="64" t="str">
        <f t="shared" si="36"/>
        <v/>
      </c>
      <c r="AD117" t="s">
        <v>178</v>
      </c>
      <c r="AE117" s="63">
        <v>47270</v>
      </c>
      <c r="AQ117" t="str">
        <f t="shared" si="42"/>
        <v>8_2029</v>
      </c>
      <c r="AR117" s="63">
        <f t="shared" si="32"/>
        <v>47331</v>
      </c>
    </row>
    <row r="118" spans="1:44" x14ac:dyDescent="0.35">
      <c r="A118">
        <f>'Procurement Schedule'!R189</f>
        <v>51600</v>
      </c>
      <c r="B118" s="63">
        <f>'Procurement Schedule'!M189</f>
        <v>46358</v>
      </c>
      <c r="C118">
        <f t="shared" si="38"/>
        <v>12</v>
      </c>
      <c r="D118">
        <f t="shared" si="26"/>
        <v>2026</v>
      </c>
      <c r="E118" t="str">
        <f t="shared" si="27"/>
        <v>12_2026</v>
      </c>
      <c r="G118">
        <f t="shared" si="28"/>
        <v>51600</v>
      </c>
      <c r="H118" s="63">
        <f>'Procurement Schedule'!N189</f>
        <v>0</v>
      </c>
      <c r="I118">
        <f t="shared" si="39"/>
        <v>1</v>
      </c>
      <c r="J118">
        <f t="shared" si="29"/>
        <v>1900</v>
      </c>
      <c r="K118" t="str">
        <f t="shared" si="30"/>
        <v>1_1900</v>
      </c>
      <c r="S118" t="str">
        <f t="shared" si="34"/>
        <v/>
      </c>
      <c r="T118" s="64" t="str">
        <f t="shared" si="33"/>
        <v/>
      </c>
      <c r="AA118" t="str">
        <f t="shared" si="35"/>
        <v/>
      </c>
      <c r="AB118" s="64" t="str">
        <f t="shared" si="36"/>
        <v/>
      </c>
      <c r="AD118" t="s">
        <v>179</v>
      </c>
      <c r="AE118" s="63">
        <v>47300</v>
      </c>
      <c r="AQ118" t="str">
        <f t="shared" si="42"/>
        <v>9_2029</v>
      </c>
      <c r="AR118" s="63">
        <f t="shared" si="32"/>
        <v>47362</v>
      </c>
    </row>
    <row r="119" spans="1:44" x14ac:dyDescent="0.35">
      <c r="A119">
        <f>'Procurement Schedule'!R190</f>
        <v>0</v>
      </c>
      <c r="B119" s="63">
        <f>'Procurement Schedule'!M190</f>
        <v>0</v>
      </c>
      <c r="C119">
        <f t="shared" si="38"/>
        <v>1</v>
      </c>
      <c r="D119">
        <f t="shared" ref="D119:D182" si="43">YEAR(B119)</f>
        <v>1900</v>
      </c>
      <c r="E119" t="str">
        <f t="shared" ref="E119:E182" si="44">C119&amp;"_"&amp;D119</f>
        <v>1_1900</v>
      </c>
      <c r="G119">
        <f t="shared" ref="G119:G182" si="45">A119</f>
        <v>0</v>
      </c>
      <c r="H119" s="63">
        <f>'Procurement Schedule'!N190</f>
        <v>0</v>
      </c>
      <c r="I119">
        <f t="shared" si="39"/>
        <v>1</v>
      </c>
      <c r="J119">
        <f t="shared" ref="J119:J182" si="46">YEAR(H119)</f>
        <v>1900</v>
      </c>
      <c r="K119" t="str">
        <f t="shared" ref="K119:K182" si="47">I119&amp;"_"&amp;J119</f>
        <v>1_1900</v>
      </c>
      <c r="S119" t="str">
        <f t="shared" si="34"/>
        <v/>
      </c>
      <c r="T119" s="64" t="str">
        <f t="shared" si="33"/>
        <v/>
      </c>
      <c r="AA119" t="str">
        <f t="shared" si="35"/>
        <v/>
      </c>
      <c r="AB119" s="64" t="str">
        <f t="shared" si="36"/>
        <v/>
      </c>
      <c r="AD119" t="s">
        <v>180</v>
      </c>
      <c r="AE119" s="63">
        <v>47331</v>
      </c>
      <c r="AQ119" t="str">
        <f t="shared" si="42"/>
        <v>10_2029</v>
      </c>
      <c r="AR119" s="63">
        <f t="shared" si="32"/>
        <v>47392</v>
      </c>
    </row>
    <row r="120" spans="1:44" x14ac:dyDescent="0.35">
      <c r="A120">
        <f>'Procurement Schedule'!R191</f>
        <v>54332010.783500001</v>
      </c>
      <c r="B120" s="63">
        <f>'Procurement Schedule'!M191</f>
        <v>0</v>
      </c>
      <c r="C120">
        <f t="shared" si="38"/>
        <v>1</v>
      </c>
      <c r="D120">
        <f t="shared" si="43"/>
        <v>1900</v>
      </c>
      <c r="E120" t="str">
        <f t="shared" si="44"/>
        <v>1_1900</v>
      </c>
      <c r="G120">
        <f t="shared" si="45"/>
        <v>54332010.783500001</v>
      </c>
      <c r="H120" s="63">
        <f>'Procurement Schedule'!N191</f>
        <v>0</v>
      </c>
      <c r="I120">
        <f t="shared" si="39"/>
        <v>1</v>
      </c>
      <c r="J120">
        <f t="shared" si="46"/>
        <v>1900</v>
      </c>
      <c r="K120" t="str">
        <f t="shared" si="47"/>
        <v>1_1900</v>
      </c>
      <c r="S120" t="str">
        <f t="shared" si="34"/>
        <v/>
      </c>
      <c r="T120" s="64" t="str">
        <f t="shared" si="33"/>
        <v/>
      </c>
      <c r="AA120" t="str">
        <f t="shared" si="35"/>
        <v/>
      </c>
      <c r="AB120" s="64" t="str">
        <f t="shared" si="36"/>
        <v/>
      </c>
      <c r="AD120" t="s">
        <v>181</v>
      </c>
      <c r="AE120" s="63">
        <v>47362</v>
      </c>
      <c r="AQ120" t="str">
        <f t="shared" si="42"/>
        <v>11_2029</v>
      </c>
      <c r="AR120" s="63">
        <f t="shared" si="32"/>
        <v>47423</v>
      </c>
    </row>
    <row r="121" spans="1:44" x14ac:dyDescent="0.35">
      <c r="A121">
        <f>'Procurement Schedule'!R193</f>
        <v>6374146.5164999999</v>
      </c>
      <c r="B121" s="63">
        <f>'Procurement Schedule'!M193</f>
        <v>46129</v>
      </c>
      <c r="C121">
        <f t="shared" si="38"/>
        <v>4</v>
      </c>
      <c r="D121">
        <f t="shared" si="43"/>
        <v>2026</v>
      </c>
      <c r="E121" t="str">
        <f t="shared" si="44"/>
        <v>4_2026</v>
      </c>
      <c r="G121">
        <f t="shared" si="45"/>
        <v>6374146.5164999999</v>
      </c>
      <c r="H121" s="63">
        <f>'Procurement Schedule'!N193</f>
        <v>46142</v>
      </c>
      <c r="I121">
        <f t="shared" si="39"/>
        <v>4</v>
      </c>
      <c r="J121">
        <f t="shared" si="46"/>
        <v>2026</v>
      </c>
      <c r="K121" t="str">
        <f t="shared" si="47"/>
        <v>4_2026</v>
      </c>
      <c r="S121" t="str">
        <f t="shared" si="34"/>
        <v/>
      </c>
      <c r="T121" s="64" t="str">
        <f t="shared" si="33"/>
        <v/>
      </c>
      <c r="AA121" t="str">
        <f t="shared" si="35"/>
        <v/>
      </c>
      <c r="AB121" s="64" t="str">
        <f t="shared" si="36"/>
        <v/>
      </c>
      <c r="AD121" t="s">
        <v>182</v>
      </c>
      <c r="AE121" s="63">
        <v>47392</v>
      </c>
      <c r="AQ121" t="str">
        <f t="shared" si="42"/>
        <v>12_2029</v>
      </c>
      <c r="AR121" s="63">
        <f t="shared" si="32"/>
        <v>47453</v>
      </c>
    </row>
    <row r="122" spans="1:44" x14ac:dyDescent="0.35">
      <c r="A122">
        <f>'Procurement Schedule'!R194</f>
        <v>4260000</v>
      </c>
      <c r="B122" s="63">
        <f>'Procurement Schedule'!M194</f>
        <v>46202</v>
      </c>
      <c r="C122">
        <f t="shared" si="38"/>
        <v>6</v>
      </c>
      <c r="D122">
        <f t="shared" si="43"/>
        <v>2026</v>
      </c>
      <c r="E122" t="str">
        <f t="shared" si="44"/>
        <v>6_2026</v>
      </c>
      <c r="G122">
        <f t="shared" si="45"/>
        <v>4260000</v>
      </c>
      <c r="H122" s="63">
        <f>'Procurement Schedule'!N194</f>
        <v>0</v>
      </c>
      <c r="I122">
        <f t="shared" si="39"/>
        <v>1</v>
      </c>
      <c r="J122">
        <f t="shared" si="46"/>
        <v>1900</v>
      </c>
      <c r="K122" t="str">
        <f t="shared" si="47"/>
        <v>1_1900</v>
      </c>
      <c r="S122" t="str">
        <f t="shared" si="34"/>
        <v/>
      </c>
      <c r="T122" s="64" t="str">
        <f t="shared" si="33"/>
        <v/>
      </c>
      <c r="AA122" t="str">
        <f t="shared" si="35"/>
        <v/>
      </c>
      <c r="AB122" s="64" t="str">
        <f t="shared" si="36"/>
        <v/>
      </c>
      <c r="AD122" t="s">
        <v>183</v>
      </c>
      <c r="AE122" s="63">
        <v>47423</v>
      </c>
      <c r="AQ122" t="str">
        <f>AM2&amp;"_"&amp;$AN$12</f>
        <v>1_2030</v>
      </c>
      <c r="AR122" s="63">
        <f t="shared" si="32"/>
        <v>47484</v>
      </c>
    </row>
    <row r="123" spans="1:44" x14ac:dyDescent="0.35">
      <c r="A123">
        <f>'Procurement Schedule'!R195</f>
        <v>1010500</v>
      </c>
      <c r="B123" s="63">
        <f>'Procurement Schedule'!M195</f>
        <v>46308</v>
      </c>
      <c r="C123">
        <f t="shared" si="38"/>
        <v>10</v>
      </c>
      <c r="D123">
        <f t="shared" si="43"/>
        <v>2026</v>
      </c>
      <c r="E123" t="str">
        <f t="shared" si="44"/>
        <v>10_2026</v>
      </c>
      <c r="G123">
        <f t="shared" si="45"/>
        <v>1010500</v>
      </c>
      <c r="H123" s="63">
        <f>'Procurement Schedule'!N195</f>
        <v>0</v>
      </c>
      <c r="I123">
        <f t="shared" si="39"/>
        <v>1</v>
      </c>
      <c r="J123">
        <f t="shared" si="46"/>
        <v>1900</v>
      </c>
      <c r="K123" t="str">
        <f t="shared" si="47"/>
        <v>1_1900</v>
      </c>
      <c r="S123" t="str">
        <f t="shared" si="34"/>
        <v/>
      </c>
      <c r="T123" s="64" t="str">
        <f t="shared" si="33"/>
        <v/>
      </c>
      <c r="AA123" t="str">
        <f t="shared" si="35"/>
        <v/>
      </c>
      <c r="AB123" s="64" t="str">
        <f t="shared" si="36"/>
        <v/>
      </c>
      <c r="AD123" t="s">
        <v>184</v>
      </c>
      <c r="AE123" s="63">
        <v>47453</v>
      </c>
      <c r="AQ123" t="str">
        <f t="shared" ref="AQ123:AQ133" si="48">AM3&amp;"_"&amp;$AN$12</f>
        <v>2_2030</v>
      </c>
      <c r="AR123" s="63">
        <f t="shared" si="32"/>
        <v>47515</v>
      </c>
    </row>
    <row r="124" spans="1:44" x14ac:dyDescent="0.35">
      <c r="A124">
        <f>'Procurement Schedule'!R196</f>
        <v>223600</v>
      </c>
      <c r="B124" s="63">
        <f>'Procurement Schedule'!M196</f>
        <v>46251</v>
      </c>
      <c r="C124">
        <f t="shared" si="38"/>
        <v>8</v>
      </c>
      <c r="D124">
        <f t="shared" si="43"/>
        <v>2026</v>
      </c>
      <c r="E124" t="str">
        <f t="shared" si="44"/>
        <v>8_2026</v>
      </c>
      <c r="G124">
        <f t="shared" si="45"/>
        <v>223600</v>
      </c>
      <c r="H124" s="63">
        <f>'Procurement Schedule'!N196</f>
        <v>0</v>
      </c>
      <c r="I124">
        <f t="shared" si="39"/>
        <v>1</v>
      </c>
      <c r="J124">
        <f t="shared" si="46"/>
        <v>1900</v>
      </c>
      <c r="K124" t="str">
        <f t="shared" si="47"/>
        <v>1_1900</v>
      </c>
      <c r="S124" t="str">
        <f t="shared" si="34"/>
        <v/>
      </c>
      <c r="T124" s="64" t="str">
        <f t="shared" si="33"/>
        <v/>
      </c>
      <c r="AA124" t="str">
        <f t="shared" si="35"/>
        <v/>
      </c>
      <c r="AB124" s="64" t="str">
        <f t="shared" si="36"/>
        <v/>
      </c>
      <c r="AD124" t="s">
        <v>185</v>
      </c>
      <c r="AE124" s="63">
        <v>47484</v>
      </c>
      <c r="AQ124" t="str">
        <f t="shared" si="48"/>
        <v>3_2030</v>
      </c>
      <c r="AR124" s="63">
        <f t="shared" si="32"/>
        <v>47543</v>
      </c>
    </row>
    <row r="125" spans="1:44" x14ac:dyDescent="0.35">
      <c r="A125">
        <f>'Procurement Schedule'!R197</f>
        <v>129000</v>
      </c>
      <c r="B125" s="63">
        <f>'Procurement Schedule'!M197</f>
        <v>46234</v>
      </c>
      <c r="C125">
        <f t="shared" si="38"/>
        <v>7</v>
      </c>
      <c r="D125">
        <f t="shared" si="43"/>
        <v>2026</v>
      </c>
      <c r="E125" t="str">
        <f t="shared" si="44"/>
        <v>7_2026</v>
      </c>
      <c r="G125">
        <f t="shared" si="45"/>
        <v>129000</v>
      </c>
      <c r="H125" s="63">
        <f>'Procurement Schedule'!N197</f>
        <v>0</v>
      </c>
      <c r="I125">
        <f t="shared" si="39"/>
        <v>1</v>
      </c>
      <c r="J125">
        <f t="shared" si="46"/>
        <v>1900</v>
      </c>
      <c r="K125" t="str">
        <f t="shared" si="47"/>
        <v>1_1900</v>
      </c>
      <c r="S125" t="str">
        <f t="shared" si="34"/>
        <v/>
      </c>
      <c r="T125" s="64" t="str">
        <f t="shared" si="33"/>
        <v/>
      </c>
      <c r="AA125" t="str">
        <f t="shared" si="35"/>
        <v/>
      </c>
      <c r="AB125" s="64" t="str">
        <f t="shared" si="36"/>
        <v/>
      </c>
      <c r="AD125" t="s">
        <v>186</v>
      </c>
      <c r="AE125" s="63">
        <v>47515</v>
      </c>
      <c r="AQ125" t="str">
        <f t="shared" si="48"/>
        <v>4_2030</v>
      </c>
      <c r="AR125" s="63">
        <f t="shared" si="32"/>
        <v>47574</v>
      </c>
    </row>
    <row r="126" spans="1:44" x14ac:dyDescent="0.35">
      <c r="A126">
        <f>'Procurement Schedule'!R198</f>
        <v>3993000</v>
      </c>
      <c r="B126" s="63">
        <f>'Procurement Schedule'!M198</f>
        <v>46234</v>
      </c>
      <c r="C126">
        <f t="shared" si="38"/>
        <v>7</v>
      </c>
      <c r="D126">
        <f t="shared" si="43"/>
        <v>2026</v>
      </c>
      <c r="E126" t="str">
        <f t="shared" si="44"/>
        <v>7_2026</v>
      </c>
      <c r="G126">
        <f t="shared" si="45"/>
        <v>3993000</v>
      </c>
      <c r="H126" s="63">
        <f>'Procurement Schedule'!N198</f>
        <v>0</v>
      </c>
      <c r="I126">
        <f t="shared" si="39"/>
        <v>1</v>
      </c>
      <c r="J126">
        <f t="shared" si="46"/>
        <v>1900</v>
      </c>
      <c r="K126" t="str">
        <f t="shared" si="47"/>
        <v>1_1900</v>
      </c>
      <c r="S126" t="str">
        <f t="shared" si="34"/>
        <v/>
      </c>
      <c r="T126" s="64" t="str">
        <f t="shared" si="33"/>
        <v/>
      </c>
      <c r="AA126" t="str">
        <f t="shared" si="35"/>
        <v/>
      </c>
      <c r="AB126" s="64" t="str">
        <f t="shared" si="36"/>
        <v/>
      </c>
      <c r="AD126" t="s">
        <v>187</v>
      </c>
      <c r="AE126" s="63">
        <v>47543</v>
      </c>
      <c r="AQ126" t="str">
        <f t="shared" si="48"/>
        <v>5_2030</v>
      </c>
      <c r="AR126" s="63">
        <f t="shared" si="32"/>
        <v>47604</v>
      </c>
    </row>
    <row r="127" spans="1:44" x14ac:dyDescent="0.35">
      <c r="A127" t="e">
        <f>'Procurement Schedule'!#REF!</f>
        <v>#REF!</v>
      </c>
      <c r="B127" s="63" t="e">
        <f>'Procurement Schedule'!#REF!</f>
        <v>#REF!</v>
      </c>
      <c r="C127" t="e">
        <f t="shared" si="38"/>
        <v>#REF!</v>
      </c>
      <c r="D127" t="e">
        <f t="shared" si="43"/>
        <v>#REF!</v>
      </c>
      <c r="E127" t="e">
        <f t="shared" si="44"/>
        <v>#REF!</v>
      </c>
      <c r="G127" t="e">
        <f t="shared" si="45"/>
        <v>#REF!</v>
      </c>
      <c r="H127" s="63" t="e">
        <f>'Procurement Schedule'!#REF!</f>
        <v>#REF!</v>
      </c>
      <c r="I127" t="e">
        <f t="shared" si="39"/>
        <v>#REF!</v>
      </c>
      <c r="J127" t="e">
        <f t="shared" si="46"/>
        <v>#REF!</v>
      </c>
      <c r="K127" t="e">
        <f t="shared" si="47"/>
        <v>#REF!</v>
      </c>
      <c r="S127" t="str">
        <f t="shared" si="34"/>
        <v/>
      </c>
      <c r="T127" s="64" t="str">
        <f t="shared" si="33"/>
        <v/>
      </c>
      <c r="AA127" t="str">
        <f t="shared" si="35"/>
        <v/>
      </c>
      <c r="AB127" s="64" t="str">
        <f t="shared" si="36"/>
        <v/>
      </c>
      <c r="AD127" t="s">
        <v>188</v>
      </c>
      <c r="AE127" s="63">
        <v>47574</v>
      </c>
      <c r="AQ127" t="str">
        <f t="shared" si="48"/>
        <v>6_2030</v>
      </c>
      <c r="AR127" s="63">
        <f t="shared" si="32"/>
        <v>47635</v>
      </c>
    </row>
    <row r="128" spans="1:44" x14ac:dyDescent="0.35">
      <c r="A128" t="e">
        <f>'Procurement Schedule'!#REF!</f>
        <v>#REF!</v>
      </c>
      <c r="B128" s="63" t="e">
        <f>'Procurement Schedule'!#REF!</f>
        <v>#REF!</v>
      </c>
      <c r="C128" t="e">
        <f t="shared" si="38"/>
        <v>#REF!</v>
      </c>
      <c r="D128" t="e">
        <f t="shared" si="43"/>
        <v>#REF!</v>
      </c>
      <c r="E128" t="e">
        <f t="shared" si="44"/>
        <v>#REF!</v>
      </c>
      <c r="G128" t="e">
        <f t="shared" si="45"/>
        <v>#REF!</v>
      </c>
      <c r="H128" s="63" t="e">
        <f>'Procurement Schedule'!#REF!</f>
        <v>#REF!</v>
      </c>
      <c r="I128" t="e">
        <f t="shared" si="39"/>
        <v>#REF!</v>
      </c>
      <c r="J128" t="e">
        <f t="shared" si="46"/>
        <v>#REF!</v>
      </c>
      <c r="K128" t="e">
        <f t="shared" si="47"/>
        <v>#REF!</v>
      </c>
      <c r="S128" t="str">
        <f t="shared" si="34"/>
        <v/>
      </c>
      <c r="T128" s="64" t="str">
        <f t="shared" si="33"/>
        <v/>
      </c>
      <c r="AA128" t="str">
        <f t="shared" si="35"/>
        <v/>
      </c>
      <c r="AB128" s="64" t="str">
        <f t="shared" si="36"/>
        <v/>
      </c>
      <c r="AD128" t="s">
        <v>189</v>
      </c>
      <c r="AE128" s="63">
        <v>47604</v>
      </c>
      <c r="AQ128" t="str">
        <f t="shared" si="48"/>
        <v>7_2030</v>
      </c>
      <c r="AR128" s="63">
        <f t="shared" si="32"/>
        <v>47665</v>
      </c>
    </row>
    <row r="129" spans="1:44" x14ac:dyDescent="0.35">
      <c r="A129">
        <f>'Procurement Schedule'!R199</f>
        <v>1062800</v>
      </c>
      <c r="B129" s="63">
        <f>'Procurement Schedule'!M199</f>
        <v>46158</v>
      </c>
      <c r="C129">
        <f t="shared" si="38"/>
        <v>5</v>
      </c>
      <c r="D129">
        <f t="shared" si="43"/>
        <v>2026</v>
      </c>
      <c r="E129" t="str">
        <f t="shared" si="44"/>
        <v>5_2026</v>
      </c>
      <c r="G129">
        <f t="shared" si="45"/>
        <v>1062800</v>
      </c>
      <c r="H129" s="63">
        <f>'Procurement Schedule'!N199</f>
        <v>0</v>
      </c>
      <c r="I129">
        <f t="shared" si="39"/>
        <v>1</v>
      </c>
      <c r="J129">
        <f t="shared" si="46"/>
        <v>1900</v>
      </c>
      <c r="K129" t="str">
        <f t="shared" si="47"/>
        <v>1_1900</v>
      </c>
      <c r="S129" t="str">
        <f t="shared" si="34"/>
        <v/>
      </c>
      <c r="T129" s="64" t="str">
        <f t="shared" si="33"/>
        <v/>
      </c>
      <c r="AA129" t="str">
        <f t="shared" si="35"/>
        <v/>
      </c>
      <c r="AB129" s="64" t="str">
        <f t="shared" si="36"/>
        <v/>
      </c>
      <c r="AD129" t="s">
        <v>190</v>
      </c>
      <c r="AE129" s="63">
        <v>47635</v>
      </c>
      <c r="AQ129" t="str">
        <f t="shared" si="48"/>
        <v>8_2030</v>
      </c>
      <c r="AR129" s="63">
        <f t="shared" si="32"/>
        <v>47696</v>
      </c>
    </row>
    <row r="130" spans="1:44" x14ac:dyDescent="0.35">
      <c r="A130" t="e">
        <f>'Procurement Schedule'!#REF!</f>
        <v>#REF!</v>
      </c>
      <c r="B130" s="63" t="e">
        <f>'Procurement Schedule'!#REF!</f>
        <v>#REF!</v>
      </c>
      <c r="C130" t="e">
        <f t="shared" si="38"/>
        <v>#REF!</v>
      </c>
      <c r="D130" t="e">
        <f t="shared" si="43"/>
        <v>#REF!</v>
      </c>
      <c r="E130" t="e">
        <f t="shared" si="44"/>
        <v>#REF!</v>
      </c>
      <c r="G130" t="e">
        <f t="shared" si="45"/>
        <v>#REF!</v>
      </c>
      <c r="H130" s="63" t="e">
        <f>'Procurement Schedule'!#REF!</f>
        <v>#REF!</v>
      </c>
      <c r="I130" t="e">
        <f t="shared" si="39"/>
        <v>#REF!</v>
      </c>
      <c r="J130" t="e">
        <f t="shared" si="46"/>
        <v>#REF!</v>
      </c>
      <c r="K130" t="e">
        <f t="shared" si="47"/>
        <v>#REF!</v>
      </c>
      <c r="S130" t="str">
        <f t="shared" si="34"/>
        <v/>
      </c>
      <c r="T130" s="64" t="str">
        <f t="shared" si="33"/>
        <v/>
      </c>
      <c r="AA130" t="str">
        <f t="shared" si="35"/>
        <v/>
      </c>
      <c r="AB130" s="64" t="str">
        <f t="shared" si="36"/>
        <v/>
      </c>
      <c r="AD130" t="s">
        <v>191</v>
      </c>
      <c r="AE130" s="63">
        <v>47665</v>
      </c>
      <c r="AQ130" t="str">
        <f t="shared" si="48"/>
        <v>9_2030</v>
      </c>
      <c r="AR130" s="63">
        <f t="shared" si="32"/>
        <v>47727</v>
      </c>
    </row>
    <row r="131" spans="1:44" x14ac:dyDescent="0.35">
      <c r="A131">
        <f>'Procurement Schedule'!R201</f>
        <v>1090000</v>
      </c>
      <c r="B131" s="63">
        <f>'Procurement Schedule'!M201</f>
        <v>46205</v>
      </c>
      <c r="C131">
        <f t="shared" si="38"/>
        <v>7</v>
      </c>
      <c r="D131">
        <f t="shared" si="43"/>
        <v>2026</v>
      </c>
      <c r="E131" t="str">
        <f t="shared" si="44"/>
        <v>7_2026</v>
      </c>
      <c r="G131">
        <f t="shared" si="45"/>
        <v>1090000</v>
      </c>
      <c r="H131" s="63">
        <f>'Procurement Schedule'!N201</f>
        <v>0</v>
      </c>
      <c r="I131">
        <f t="shared" si="39"/>
        <v>1</v>
      </c>
      <c r="J131">
        <f t="shared" si="46"/>
        <v>1900</v>
      </c>
      <c r="K131" t="str">
        <f t="shared" si="47"/>
        <v>1_1900</v>
      </c>
      <c r="S131" t="str">
        <f t="shared" si="34"/>
        <v/>
      </c>
      <c r="T131" s="64" t="str">
        <f t="shared" si="33"/>
        <v/>
      </c>
      <c r="AA131" t="str">
        <f t="shared" si="35"/>
        <v/>
      </c>
      <c r="AB131" s="64" t="str">
        <f t="shared" si="36"/>
        <v/>
      </c>
      <c r="AD131" t="s">
        <v>192</v>
      </c>
      <c r="AE131" s="63">
        <v>47696</v>
      </c>
      <c r="AQ131" t="str">
        <f t="shared" si="48"/>
        <v>10_2030</v>
      </c>
      <c r="AR131" s="63">
        <f t="shared" si="32"/>
        <v>47757</v>
      </c>
    </row>
    <row r="132" spans="1:44" x14ac:dyDescent="0.35">
      <c r="A132">
        <f>'Procurement Schedule'!R202</f>
        <v>33755000</v>
      </c>
      <c r="B132" s="63">
        <f>'Procurement Schedule'!M202</f>
        <v>46111</v>
      </c>
      <c r="C132">
        <f t="shared" si="38"/>
        <v>3</v>
      </c>
      <c r="D132">
        <f t="shared" si="43"/>
        <v>2026</v>
      </c>
      <c r="E132" t="str">
        <f t="shared" si="44"/>
        <v>3_2026</v>
      </c>
      <c r="G132">
        <f t="shared" si="45"/>
        <v>33755000</v>
      </c>
      <c r="H132" s="63">
        <f>'Procurement Schedule'!N202</f>
        <v>45995</v>
      </c>
      <c r="I132">
        <f t="shared" si="39"/>
        <v>12</v>
      </c>
      <c r="J132">
        <f t="shared" si="46"/>
        <v>2025</v>
      </c>
      <c r="K132" t="str">
        <f t="shared" si="47"/>
        <v>12_2025</v>
      </c>
      <c r="S132" t="str">
        <f t="shared" si="34"/>
        <v/>
      </c>
      <c r="T132" s="64" t="str">
        <f t="shared" si="33"/>
        <v/>
      </c>
      <c r="AA132" t="str">
        <f t="shared" si="35"/>
        <v/>
      </c>
      <c r="AB132" s="64" t="str">
        <f t="shared" si="36"/>
        <v/>
      </c>
      <c r="AD132" t="s">
        <v>193</v>
      </c>
      <c r="AE132" s="63">
        <v>47727</v>
      </c>
      <c r="AQ132" t="str">
        <f t="shared" si="48"/>
        <v>11_2030</v>
      </c>
      <c r="AR132" s="63">
        <f t="shared" ref="AR132:AR133" si="49">DATE(YEAR(AR131),MONTH(AR131)+1,DAY(AR131))</f>
        <v>47788</v>
      </c>
    </row>
    <row r="133" spans="1:44" x14ac:dyDescent="0.35">
      <c r="A133">
        <f>'Procurement Schedule'!R205</f>
        <v>0</v>
      </c>
      <c r="B133" s="63">
        <f>'Procurement Schedule'!M205</f>
        <v>0</v>
      </c>
      <c r="C133">
        <f t="shared" si="38"/>
        <v>1</v>
      </c>
      <c r="D133">
        <f t="shared" si="43"/>
        <v>1900</v>
      </c>
      <c r="E133" t="str">
        <f t="shared" si="44"/>
        <v>1_1900</v>
      </c>
      <c r="G133">
        <f t="shared" si="45"/>
        <v>0</v>
      </c>
      <c r="H133" s="63">
        <f>'Procurement Schedule'!N205</f>
        <v>0</v>
      </c>
      <c r="I133">
        <f t="shared" si="39"/>
        <v>1</v>
      </c>
      <c r="J133">
        <f t="shared" si="46"/>
        <v>1900</v>
      </c>
      <c r="K133" t="str">
        <f t="shared" si="47"/>
        <v>1_1900</v>
      </c>
      <c r="S133" t="str">
        <f t="shared" si="34"/>
        <v/>
      </c>
      <c r="T133" s="64" t="str">
        <f t="shared" ref="T133:T196" si="50">IFERROR(VLOOKUP(Q133,AD:AE,2,0),"")</f>
        <v/>
      </c>
      <c r="AA133" t="str">
        <f t="shared" si="35"/>
        <v/>
      </c>
      <c r="AB133" s="64" t="str">
        <f t="shared" si="36"/>
        <v/>
      </c>
      <c r="AD133" t="s">
        <v>194</v>
      </c>
      <c r="AE133" s="63">
        <v>47757</v>
      </c>
      <c r="AQ133" t="str">
        <f t="shared" si="48"/>
        <v>12_2030</v>
      </c>
      <c r="AR133" s="63">
        <f t="shared" si="49"/>
        <v>47818</v>
      </c>
    </row>
    <row r="134" spans="1:44" x14ac:dyDescent="0.35">
      <c r="A134">
        <f>'Procurement Schedule'!R206</f>
        <v>1567228</v>
      </c>
      <c r="B134" s="63">
        <f>'Procurement Schedule'!M206</f>
        <v>46137</v>
      </c>
      <c r="C134">
        <f t="shared" si="38"/>
        <v>4</v>
      </c>
      <c r="D134">
        <f t="shared" si="43"/>
        <v>2026</v>
      </c>
      <c r="E134" t="str">
        <f t="shared" si="44"/>
        <v>4_2026</v>
      </c>
      <c r="G134">
        <f t="shared" si="45"/>
        <v>1567228</v>
      </c>
      <c r="H134" s="63">
        <f>'Procurement Schedule'!N206</f>
        <v>0</v>
      </c>
      <c r="I134">
        <f t="shared" si="39"/>
        <v>1</v>
      </c>
      <c r="J134">
        <f t="shared" si="46"/>
        <v>1900</v>
      </c>
      <c r="K134" t="str">
        <f t="shared" si="47"/>
        <v>1_1900</v>
      </c>
      <c r="S134" t="str">
        <f t="shared" si="34"/>
        <v/>
      </c>
      <c r="T134" s="64" t="str">
        <f t="shared" si="50"/>
        <v/>
      </c>
      <c r="AA134" t="str">
        <f t="shared" si="35"/>
        <v/>
      </c>
      <c r="AB134" s="64" t="str">
        <f t="shared" si="36"/>
        <v/>
      </c>
      <c r="AD134" t="s">
        <v>195</v>
      </c>
      <c r="AE134" s="63">
        <v>47788</v>
      </c>
    </row>
    <row r="135" spans="1:44" x14ac:dyDescent="0.35">
      <c r="A135" t="e">
        <f>'Procurement Schedule'!#REF!</f>
        <v>#REF!</v>
      </c>
      <c r="B135" s="63" t="e">
        <f>'Procurement Schedule'!#REF!</f>
        <v>#REF!</v>
      </c>
      <c r="C135" t="e">
        <f t="shared" si="38"/>
        <v>#REF!</v>
      </c>
      <c r="D135" t="e">
        <f t="shared" si="43"/>
        <v>#REF!</v>
      </c>
      <c r="E135" t="e">
        <f t="shared" si="44"/>
        <v>#REF!</v>
      </c>
      <c r="G135" t="e">
        <f t="shared" si="45"/>
        <v>#REF!</v>
      </c>
      <c r="H135" s="63" t="e">
        <f>'Procurement Schedule'!#REF!</f>
        <v>#REF!</v>
      </c>
      <c r="I135" t="e">
        <f t="shared" si="39"/>
        <v>#REF!</v>
      </c>
      <c r="J135" t="e">
        <f t="shared" si="46"/>
        <v>#REF!</v>
      </c>
      <c r="K135" t="e">
        <f t="shared" si="47"/>
        <v>#REF!</v>
      </c>
      <c r="S135" t="str">
        <f t="shared" si="34"/>
        <v/>
      </c>
      <c r="T135" s="64" t="str">
        <f t="shared" si="50"/>
        <v/>
      </c>
      <c r="AA135" t="str">
        <f t="shared" si="35"/>
        <v/>
      </c>
      <c r="AB135" s="64" t="str">
        <f t="shared" si="36"/>
        <v/>
      </c>
      <c r="AD135" t="s">
        <v>196</v>
      </c>
      <c r="AE135" s="63">
        <v>47818</v>
      </c>
    </row>
    <row r="136" spans="1:44" x14ac:dyDescent="0.35">
      <c r="A136" t="e">
        <f>'Procurement Schedule'!#REF!</f>
        <v>#REF!</v>
      </c>
      <c r="B136" s="63" t="e">
        <f>'Procurement Schedule'!#REF!</f>
        <v>#REF!</v>
      </c>
      <c r="C136" t="e">
        <f t="shared" si="38"/>
        <v>#REF!</v>
      </c>
      <c r="D136" t="e">
        <f t="shared" si="43"/>
        <v>#REF!</v>
      </c>
      <c r="E136" t="e">
        <f t="shared" si="44"/>
        <v>#REF!</v>
      </c>
      <c r="G136" t="e">
        <f t="shared" si="45"/>
        <v>#REF!</v>
      </c>
      <c r="H136" s="63" t="e">
        <f>'Procurement Schedule'!#REF!</f>
        <v>#REF!</v>
      </c>
      <c r="I136" t="e">
        <f t="shared" si="39"/>
        <v>#REF!</v>
      </c>
      <c r="J136" t="e">
        <f t="shared" si="46"/>
        <v>#REF!</v>
      </c>
      <c r="K136" t="e">
        <f t="shared" si="47"/>
        <v>#REF!</v>
      </c>
      <c r="S136" t="str">
        <f t="shared" si="34"/>
        <v/>
      </c>
      <c r="T136" s="64" t="str">
        <f t="shared" si="50"/>
        <v/>
      </c>
      <c r="AA136" t="str">
        <f t="shared" si="35"/>
        <v/>
      </c>
      <c r="AB136" s="64" t="str">
        <f t="shared" si="36"/>
        <v/>
      </c>
    </row>
    <row r="137" spans="1:44" x14ac:dyDescent="0.35">
      <c r="A137">
        <f>'Procurement Schedule'!R207</f>
        <v>2347800</v>
      </c>
      <c r="B137" s="63">
        <f>'Procurement Schedule'!M207</f>
        <v>46176</v>
      </c>
      <c r="C137">
        <f t="shared" si="38"/>
        <v>6</v>
      </c>
      <c r="D137">
        <f t="shared" si="43"/>
        <v>2026</v>
      </c>
      <c r="E137" t="str">
        <f t="shared" si="44"/>
        <v>6_2026</v>
      </c>
      <c r="G137">
        <f t="shared" si="45"/>
        <v>2347800</v>
      </c>
      <c r="H137" s="63">
        <f>'Procurement Schedule'!N207</f>
        <v>0</v>
      </c>
      <c r="I137">
        <f t="shared" si="39"/>
        <v>1</v>
      </c>
      <c r="J137">
        <f t="shared" si="46"/>
        <v>1900</v>
      </c>
      <c r="K137" t="str">
        <f t="shared" si="47"/>
        <v>1_1900</v>
      </c>
      <c r="S137" t="str">
        <f t="shared" ref="S137:S200" si="51">IF(R137="","",S136+R137)</f>
        <v/>
      </c>
      <c r="T137" s="64" t="str">
        <f t="shared" si="50"/>
        <v/>
      </c>
      <c r="AA137" t="str">
        <f t="shared" si="35"/>
        <v/>
      </c>
      <c r="AB137" s="64" t="str">
        <f t="shared" si="36"/>
        <v/>
      </c>
    </row>
    <row r="138" spans="1:44" x14ac:dyDescent="0.35">
      <c r="A138">
        <f>'Procurement Schedule'!R208</f>
        <v>8271000</v>
      </c>
      <c r="B138" s="63">
        <f>'Procurement Schedule'!M208</f>
        <v>46175</v>
      </c>
      <c r="C138">
        <f t="shared" si="38"/>
        <v>6</v>
      </c>
      <c r="D138">
        <f t="shared" si="43"/>
        <v>2026</v>
      </c>
      <c r="E138" t="str">
        <f t="shared" si="44"/>
        <v>6_2026</v>
      </c>
      <c r="G138">
        <f t="shared" si="45"/>
        <v>8271000</v>
      </c>
      <c r="H138" s="63">
        <f>'Procurement Schedule'!N208</f>
        <v>0</v>
      </c>
      <c r="I138">
        <f t="shared" si="39"/>
        <v>1</v>
      </c>
      <c r="J138">
        <f t="shared" si="46"/>
        <v>1900</v>
      </c>
      <c r="K138" t="str">
        <f t="shared" si="47"/>
        <v>1_1900</v>
      </c>
      <c r="S138" t="str">
        <f t="shared" si="51"/>
        <v/>
      </c>
      <c r="T138" s="64" t="str">
        <f t="shared" si="50"/>
        <v/>
      </c>
      <c r="AA138" t="str">
        <f t="shared" ref="AA138:AA201" si="52">IF(Z138="","",AA137+Z138)</f>
        <v/>
      </c>
      <c r="AB138" s="64" t="str">
        <f t="shared" ref="AB138:AB201" si="53">IFERROR(VLOOKUP(Y138,AD:AE,2,0),"")</f>
        <v/>
      </c>
    </row>
    <row r="139" spans="1:44" x14ac:dyDescent="0.35">
      <c r="A139" t="e">
        <f>'Procurement Schedule'!#REF!</f>
        <v>#REF!</v>
      </c>
      <c r="B139" s="63" t="e">
        <f>'Procurement Schedule'!#REF!</f>
        <v>#REF!</v>
      </c>
      <c r="C139" t="e">
        <f t="shared" si="38"/>
        <v>#REF!</v>
      </c>
      <c r="D139" t="e">
        <f t="shared" si="43"/>
        <v>#REF!</v>
      </c>
      <c r="E139" t="e">
        <f t="shared" si="44"/>
        <v>#REF!</v>
      </c>
      <c r="G139" t="e">
        <f t="shared" si="45"/>
        <v>#REF!</v>
      </c>
      <c r="H139" s="63" t="e">
        <f>'Procurement Schedule'!#REF!</f>
        <v>#REF!</v>
      </c>
      <c r="I139" t="e">
        <f t="shared" si="39"/>
        <v>#REF!</v>
      </c>
      <c r="J139" t="e">
        <f t="shared" si="46"/>
        <v>#REF!</v>
      </c>
      <c r="K139" t="e">
        <f t="shared" si="47"/>
        <v>#REF!</v>
      </c>
      <c r="S139" t="str">
        <f t="shared" si="51"/>
        <v/>
      </c>
      <c r="T139" s="64" t="str">
        <f t="shared" si="50"/>
        <v/>
      </c>
      <c r="AA139" t="str">
        <f t="shared" si="52"/>
        <v/>
      </c>
      <c r="AB139" s="64" t="str">
        <f t="shared" si="53"/>
        <v/>
      </c>
    </row>
    <row r="140" spans="1:44" x14ac:dyDescent="0.35">
      <c r="A140">
        <f>'Procurement Schedule'!R209</f>
        <v>0</v>
      </c>
      <c r="B140" s="63">
        <f>'Procurement Schedule'!M209</f>
        <v>0</v>
      </c>
      <c r="C140">
        <f t="shared" si="38"/>
        <v>1</v>
      </c>
      <c r="D140">
        <f t="shared" si="43"/>
        <v>1900</v>
      </c>
      <c r="E140" t="str">
        <f t="shared" si="44"/>
        <v>1_1900</v>
      </c>
      <c r="G140">
        <f t="shared" si="45"/>
        <v>0</v>
      </c>
      <c r="H140" s="63">
        <f>'Procurement Schedule'!N209</f>
        <v>0</v>
      </c>
      <c r="I140">
        <f t="shared" si="39"/>
        <v>1</v>
      </c>
      <c r="J140">
        <f t="shared" si="46"/>
        <v>1900</v>
      </c>
      <c r="K140" t="str">
        <f t="shared" si="47"/>
        <v>1_1900</v>
      </c>
      <c r="S140" t="str">
        <f t="shared" si="51"/>
        <v/>
      </c>
      <c r="T140" s="64" t="str">
        <f t="shared" si="50"/>
        <v/>
      </c>
      <c r="AA140" t="str">
        <f t="shared" si="52"/>
        <v/>
      </c>
      <c r="AB140" s="64" t="str">
        <f t="shared" si="53"/>
        <v/>
      </c>
    </row>
    <row r="141" spans="1:44" x14ac:dyDescent="0.35">
      <c r="A141">
        <f>'Procurement Schedule'!R210</f>
        <v>13374290</v>
      </c>
      <c r="B141" s="63">
        <f>'Procurement Schedule'!M210</f>
        <v>46137</v>
      </c>
      <c r="C141">
        <f t="shared" si="38"/>
        <v>4</v>
      </c>
      <c r="D141">
        <f t="shared" si="43"/>
        <v>2026</v>
      </c>
      <c r="E141" t="str">
        <f t="shared" si="44"/>
        <v>4_2026</v>
      </c>
      <c r="G141">
        <f t="shared" si="45"/>
        <v>13374290</v>
      </c>
      <c r="H141" s="63">
        <f>'Procurement Schedule'!N210</f>
        <v>0</v>
      </c>
      <c r="I141">
        <f t="shared" si="39"/>
        <v>1</v>
      </c>
      <c r="J141">
        <f t="shared" si="46"/>
        <v>1900</v>
      </c>
      <c r="K141" t="str">
        <f t="shared" si="47"/>
        <v>1_1900</v>
      </c>
      <c r="S141" t="str">
        <f t="shared" si="51"/>
        <v/>
      </c>
      <c r="T141" s="64" t="str">
        <f t="shared" si="50"/>
        <v/>
      </c>
      <c r="AA141" t="str">
        <f t="shared" si="52"/>
        <v/>
      </c>
      <c r="AB141" s="64" t="str">
        <f t="shared" si="53"/>
        <v/>
      </c>
    </row>
    <row r="142" spans="1:44" x14ac:dyDescent="0.35">
      <c r="A142">
        <f>'Procurement Schedule'!R211</f>
        <v>300000</v>
      </c>
      <c r="B142" s="63">
        <f>'Procurement Schedule'!M211</f>
        <v>46134</v>
      </c>
      <c r="C142">
        <f t="shared" si="38"/>
        <v>4</v>
      </c>
      <c r="D142">
        <f t="shared" si="43"/>
        <v>2026</v>
      </c>
      <c r="E142" t="str">
        <f t="shared" si="44"/>
        <v>4_2026</v>
      </c>
      <c r="G142">
        <f t="shared" si="45"/>
        <v>300000</v>
      </c>
      <c r="H142" s="63">
        <f>'Procurement Schedule'!N211</f>
        <v>46125</v>
      </c>
      <c r="I142">
        <f t="shared" si="39"/>
        <v>4</v>
      </c>
      <c r="J142">
        <f t="shared" si="46"/>
        <v>2026</v>
      </c>
      <c r="K142" t="str">
        <f t="shared" si="47"/>
        <v>4_2026</v>
      </c>
      <c r="S142" t="str">
        <f t="shared" si="51"/>
        <v/>
      </c>
      <c r="T142" s="64" t="str">
        <f t="shared" si="50"/>
        <v/>
      </c>
      <c r="AA142" t="str">
        <f t="shared" si="52"/>
        <v/>
      </c>
      <c r="AB142" s="64" t="str">
        <f t="shared" si="53"/>
        <v/>
      </c>
    </row>
    <row r="143" spans="1:44" x14ac:dyDescent="0.35">
      <c r="A143">
        <f>'Procurement Schedule'!R212</f>
        <v>9000000</v>
      </c>
      <c r="B143" s="63">
        <f>'Procurement Schedule'!M212</f>
        <v>46178</v>
      </c>
      <c r="C143">
        <f t="shared" si="38"/>
        <v>6</v>
      </c>
      <c r="D143">
        <f t="shared" si="43"/>
        <v>2026</v>
      </c>
      <c r="E143" t="str">
        <f t="shared" si="44"/>
        <v>6_2026</v>
      </c>
      <c r="G143">
        <f t="shared" si="45"/>
        <v>9000000</v>
      </c>
      <c r="H143" s="63">
        <f>'Procurement Schedule'!N212</f>
        <v>0</v>
      </c>
      <c r="I143">
        <f t="shared" si="39"/>
        <v>1</v>
      </c>
      <c r="J143">
        <f t="shared" si="46"/>
        <v>1900</v>
      </c>
      <c r="K143" t="str">
        <f t="shared" si="47"/>
        <v>1_1900</v>
      </c>
      <c r="S143" t="str">
        <f t="shared" si="51"/>
        <v/>
      </c>
      <c r="T143" s="64" t="str">
        <f t="shared" si="50"/>
        <v/>
      </c>
      <c r="AA143" t="str">
        <f t="shared" si="52"/>
        <v/>
      </c>
      <c r="AB143" s="64" t="str">
        <f t="shared" si="53"/>
        <v/>
      </c>
    </row>
    <row r="144" spans="1:44" x14ac:dyDescent="0.35">
      <c r="A144" t="e">
        <f>'Procurement Schedule'!#REF!</f>
        <v>#REF!</v>
      </c>
      <c r="B144" s="63" t="e">
        <f>'Procurement Schedule'!#REF!</f>
        <v>#REF!</v>
      </c>
      <c r="C144" t="e">
        <f t="shared" si="38"/>
        <v>#REF!</v>
      </c>
      <c r="D144" t="e">
        <f t="shared" si="43"/>
        <v>#REF!</v>
      </c>
      <c r="E144" t="e">
        <f t="shared" si="44"/>
        <v>#REF!</v>
      </c>
      <c r="G144" t="e">
        <f t="shared" si="45"/>
        <v>#REF!</v>
      </c>
      <c r="H144" s="63" t="e">
        <f>'Procurement Schedule'!#REF!</f>
        <v>#REF!</v>
      </c>
      <c r="I144" t="e">
        <f t="shared" si="39"/>
        <v>#REF!</v>
      </c>
      <c r="J144" t="e">
        <f t="shared" si="46"/>
        <v>#REF!</v>
      </c>
      <c r="K144" t="e">
        <f t="shared" si="47"/>
        <v>#REF!</v>
      </c>
      <c r="S144" t="str">
        <f t="shared" si="51"/>
        <v/>
      </c>
      <c r="T144" s="64" t="str">
        <f t="shared" si="50"/>
        <v/>
      </c>
      <c r="AA144" t="str">
        <f t="shared" si="52"/>
        <v/>
      </c>
      <c r="AB144" s="64" t="str">
        <f t="shared" si="53"/>
        <v/>
      </c>
    </row>
    <row r="145" spans="1:28" x14ac:dyDescent="0.35">
      <c r="A145" t="e">
        <f>'Procurement Schedule'!#REF!</f>
        <v>#REF!</v>
      </c>
      <c r="B145" s="63" t="e">
        <f>'Procurement Schedule'!#REF!</f>
        <v>#REF!</v>
      </c>
      <c r="C145" t="e">
        <f t="shared" si="38"/>
        <v>#REF!</v>
      </c>
      <c r="D145" t="e">
        <f t="shared" si="43"/>
        <v>#REF!</v>
      </c>
      <c r="E145" t="e">
        <f t="shared" si="44"/>
        <v>#REF!</v>
      </c>
      <c r="G145" t="e">
        <f t="shared" si="45"/>
        <v>#REF!</v>
      </c>
      <c r="H145" s="63" t="e">
        <f>'Procurement Schedule'!#REF!</f>
        <v>#REF!</v>
      </c>
      <c r="I145" t="e">
        <f t="shared" si="39"/>
        <v>#REF!</v>
      </c>
      <c r="J145" t="e">
        <f t="shared" si="46"/>
        <v>#REF!</v>
      </c>
      <c r="K145" t="e">
        <f t="shared" si="47"/>
        <v>#REF!</v>
      </c>
      <c r="S145" t="str">
        <f t="shared" si="51"/>
        <v/>
      </c>
      <c r="T145" s="64" t="str">
        <f t="shared" si="50"/>
        <v/>
      </c>
      <c r="AA145" t="str">
        <f t="shared" si="52"/>
        <v/>
      </c>
      <c r="AB145" s="64" t="str">
        <f t="shared" si="53"/>
        <v/>
      </c>
    </row>
    <row r="146" spans="1:28" x14ac:dyDescent="0.35">
      <c r="A146">
        <f>'Procurement Schedule'!R213</f>
        <v>1000000</v>
      </c>
      <c r="B146" s="63">
        <f>'Procurement Schedule'!M213</f>
        <v>46174</v>
      </c>
      <c r="C146">
        <f t="shared" si="38"/>
        <v>6</v>
      </c>
      <c r="D146">
        <f t="shared" si="43"/>
        <v>2026</v>
      </c>
      <c r="E146" t="str">
        <f t="shared" si="44"/>
        <v>6_2026</v>
      </c>
      <c r="G146">
        <f t="shared" si="45"/>
        <v>1000000</v>
      </c>
      <c r="H146" s="63">
        <f>'Procurement Schedule'!N213</f>
        <v>0</v>
      </c>
      <c r="I146">
        <f t="shared" si="39"/>
        <v>1</v>
      </c>
      <c r="J146">
        <f t="shared" si="46"/>
        <v>1900</v>
      </c>
      <c r="K146" t="str">
        <f t="shared" si="47"/>
        <v>1_1900</v>
      </c>
      <c r="S146" t="str">
        <f t="shared" si="51"/>
        <v/>
      </c>
      <c r="T146" s="64" t="str">
        <f t="shared" si="50"/>
        <v/>
      </c>
      <c r="AA146" t="str">
        <f t="shared" si="52"/>
        <v/>
      </c>
      <c r="AB146" s="64" t="str">
        <f t="shared" si="53"/>
        <v/>
      </c>
    </row>
    <row r="147" spans="1:28" x14ac:dyDescent="0.35">
      <c r="A147" t="e">
        <f>'Procurement Schedule'!#REF!</f>
        <v>#REF!</v>
      </c>
      <c r="B147" s="63" t="e">
        <f>'Procurement Schedule'!#REF!</f>
        <v>#REF!</v>
      </c>
      <c r="C147" t="e">
        <f t="shared" ref="C147:C210" si="54">MONTH(B147)</f>
        <v>#REF!</v>
      </c>
      <c r="D147" t="e">
        <f t="shared" si="43"/>
        <v>#REF!</v>
      </c>
      <c r="E147" t="e">
        <f t="shared" si="44"/>
        <v>#REF!</v>
      </c>
      <c r="G147" t="e">
        <f t="shared" si="45"/>
        <v>#REF!</v>
      </c>
      <c r="H147" s="63" t="e">
        <f>'Procurement Schedule'!#REF!</f>
        <v>#REF!</v>
      </c>
      <c r="I147" t="e">
        <f t="shared" si="39"/>
        <v>#REF!</v>
      </c>
      <c r="J147" t="e">
        <f t="shared" si="46"/>
        <v>#REF!</v>
      </c>
      <c r="K147" t="e">
        <f t="shared" si="47"/>
        <v>#REF!</v>
      </c>
      <c r="S147" t="str">
        <f t="shared" si="51"/>
        <v/>
      </c>
      <c r="T147" s="64" t="str">
        <f t="shared" si="50"/>
        <v/>
      </c>
      <c r="AA147" t="str">
        <f t="shared" si="52"/>
        <v/>
      </c>
      <c r="AB147" s="64" t="str">
        <f t="shared" si="53"/>
        <v/>
      </c>
    </row>
    <row r="148" spans="1:28" x14ac:dyDescent="0.35">
      <c r="A148" t="e">
        <f>'Procurement Schedule'!#REF!</f>
        <v>#REF!</v>
      </c>
      <c r="B148" s="63" t="e">
        <f>'Procurement Schedule'!#REF!</f>
        <v>#REF!</v>
      </c>
      <c r="C148" t="e">
        <f t="shared" si="54"/>
        <v>#REF!</v>
      </c>
      <c r="D148" t="e">
        <f t="shared" si="43"/>
        <v>#REF!</v>
      </c>
      <c r="E148" t="e">
        <f t="shared" si="44"/>
        <v>#REF!</v>
      </c>
      <c r="G148" t="e">
        <f t="shared" si="45"/>
        <v>#REF!</v>
      </c>
      <c r="H148" s="63" t="e">
        <f>'Procurement Schedule'!#REF!</f>
        <v>#REF!</v>
      </c>
      <c r="I148" t="e">
        <f t="shared" ref="I148:I211" si="55">MONTH(H148)</f>
        <v>#REF!</v>
      </c>
      <c r="J148" t="e">
        <f t="shared" si="46"/>
        <v>#REF!</v>
      </c>
      <c r="K148" t="e">
        <f t="shared" si="47"/>
        <v>#REF!</v>
      </c>
      <c r="S148" t="str">
        <f t="shared" si="51"/>
        <v/>
      </c>
      <c r="T148" s="64" t="str">
        <f t="shared" si="50"/>
        <v/>
      </c>
      <c r="AA148" t="str">
        <f t="shared" si="52"/>
        <v/>
      </c>
      <c r="AB148" s="64" t="str">
        <f t="shared" si="53"/>
        <v/>
      </c>
    </row>
    <row r="149" spans="1:28" x14ac:dyDescent="0.35">
      <c r="A149">
        <f>'Procurement Schedule'!R214</f>
        <v>18664194</v>
      </c>
      <c r="B149" s="63">
        <f>'Procurement Schedule'!M214</f>
        <v>46419</v>
      </c>
      <c r="C149">
        <f t="shared" si="54"/>
        <v>2</v>
      </c>
      <c r="D149">
        <f t="shared" si="43"/>
        <v>2027</v>
      </c>
      <c r="E149" t="str">
        <f t="shared" si="44"/>
        <v>2_2027</v>
      </c>
      <c r="G149">
        <f t="shared" si="45"/>
        <v>18664194</v>
      </c>
      <c r="H149" s="63">
        <f>'Procurement Schedule'!N214</f>
        <v>0</v>
      </c>
      <c r="I149">
        <f t="shared" si="55"/>
        <v>1</v>
      </c>
      <c r="J149">
        <f t="shared" si="46"/>
        <v>1900</v>
      </c>
      <c r="K149" t="str">
        <f t="shared" si="47"/>
        <v>1_1900</v>
      </c>
      <c r="S149" t="str">
        <f t="shared" si="51"/>
        <v/>
      </c>
      <c r="T149" s="64" t="str">
        <f t="shared" si="50"/>
        <v/>
      </c>
      <c r="AA149" t="str">
        <f t="shared" si="52"/>
        <v/>
      </c>
      <c r="AB149" s="64" t="str">
        <f t="shared" si="53"/>
        <v/>
      </c>
    </row>
    <row r="150" spans="1:28" x14ac:dyDescent="0.35">
      <c r="A150">
        <f>'Procurement Schedule'!R222</f>
        <v>0</v>
      </c>
      <c r="B150" s="63">
        <f>'Procurement Schedule'!M222</f>
        <v>0</v>
      </c>
      <c r="C150">
        <f t="shared" si="54"/>
        <v>1</v>
      </c>
      <c r="D150">
        <f t="shared" si="43"/>
        <v>1900</v>
      </c>
      <c r="E150" t="str">
        <f t="shared" si="44"/>
        <v>1_1900</v>
      </c>
      <c r="G150">
        <f t="shared" si="45"/>
        <v>0</v>
      </c>
      <c r="H150" s="63">
        <f>'Procurement Schedule'!N222</f>
        <v>0</v>
      </c>
      <c r="I150">
        <f t="shared" si="55"/>
        <v>1</v>
      </c>
      <c r="J150">
        <f t="shared" si="46"/>
        <v>1900</v>
      </c>
      <c r="K150" t="str">
        <f t="shared" si="47"/>
        <v>1_1900</v>
      </c>
      <c r="S150" t="str">
        <f t="shared" si="51"/>
        <v/>
      </c>
      <c r="T150" s="64" t="str">
        <f t="shared" si="50"/>
        <v/>
      </c>
      <c r="AA150" t="str">
        <f t="shared" si="52"/>
        <v/>
      </c>
      <c r="AB150" s="64" t="str">
        <f t="shared" si="53"/>
        <v/>
      </c>
    </row>
    <row r="151" spans="1:28" x14ac:dyDescent="0.35">
      <c r="A151" t="e">
        <f>'Procurement Schedule'!#REF!</f>
        <v>#REF!</v>
      </c>
      <c r="B151" s="63" t="e">
        <f>'Procurement Schedule'!#REF!</f>
        <v>#REF!</v>
      </c>
      <c r="C151" t="e">
        <f t="shared" si="54"/>
        <v>#REF!</v>
      </c>
      <c r="D151" t="e">
        <f t="shared" si="43"/>
        <v>#REF!</v>
      </c>
      <c r="E151" t="e">
        <f t="shared" si="44"/>
        <v>#REF!</v>
      </c>
      <c r="G151" t="e">
        <f t="shared" si="45"/>
        <v>#REF!</v>
      </c>
      <c r="H151" s="63" t="e">
        <f>'Procurement Schedule'!#REF!</f>
        <v>#REF!</v>
      </c>
      <c r="I151" t="e">
        <f t="shared" si="55"/>
        <v>#REF!</v>
      </c>
      <c r="J151" t="e">
        <f t="shared" si="46"/>
        <v>#REF!</v>
      </c>
      <c r="K151" t="e">
        <f t="shared" si="47"/>
        <v>#REF!</v>
      </c>
      <c r="S151" t="str">
        <f t="shared" si="51"/>
        <v/>
      </c>
      <c r="T151" s="64" t="str">
        <f t="shared" si="50"/>
        <v/>
      </c>
      <c r="AA151" t="str">
        <f t="shared" si="52"/>
        <v/>
      </c>
      <c r="AB151" s="64" t="str">
        <f t="shared" si="53"/>
        <v/>
      </c>
    </row>
    <row r="152" spans="1:28" x14ac:dyDescent="0.35">
      <c r="A152" t="e">
        <f>'Procurement Schedule'!#REF!</f>
        <v>#REF!</v>
      </c>
      <c r="B152" s="63" t="e">
        <f>'Procurement Schedule'!#REF!</f>
        <v>#REF!</v>
      </c>
      <c r="C152" t="e">
        <f t="shared" si="54"/>
        <v>#REF!</v>
      </c>
      <c r="D152" t="e">
        <f t="shared" si="43"/>
        <v>#REF!</v>
      </c>
      <c r="E152" t="e">
        <f t="shared" si="44"/>
        <v>#REF!</v>
      </c>
      <c r="G152" t="e">
        <f t="shared" si="45"/>
        <v>#REF!</v>
      </c>
      <c r="H152" s="63" t="e">
        <f>'Procurement Schedule'!#REF!</f>
        <v>#REF!</v>
      </c>
      <c r="I152" t="e">
        <f t="shared" si="55"/>
        <v>#REF!</v>
      </c>
      <c r="J152" t="e">
        <f t="shared" si="46"/>
        <v>#REF!</v>
      </c>
      <c r="K152" t="e">
        <f t="shared" si="47"/>
        <v>#REF!</v>
      </c>
      <c r="S152" t="str">
        <f t="shared" si="51"/>
        <v/>
      </c>
      <c r="T152" s="64" t="str">
        <f t="shared" si="50"/>
        <v/>
      </c>
      <c r="AA152" t="str">
        <f t="shared" si="52"/>
        <v/>
      </c>
      <c r="AB152" s="64" t="str">
        <f t="shared" si="53"/>
        <v/>
      </c>
    </row>
    <row r="153" spans="1:28" x14ac:dyDescent="0.35">
      <c r="A153" t="e">
        <f>'Procurement Schedule'!#REF!</f>
        <v>#REF!</v>
      </c>
      <c r="B153" s="63" t="e">
        <f>'Procurement Schedule'!#REF!</f>
        <v>#REF!</v>
      </c>
      <c r="C153" t="e">
        <f t="shared" si="54"/>
        <v>#REF!</v>
      </c>
      <c r="D153" t="e">
        <f t="shared" si="43"/>
        <v>#REF!</v>
      </c>
      <c r="E153" t="e">
        <f t="shared" si="44"/>
        <v>#REF!</v>
      </c>
      <c r="G153" t="e">
        <f t="shared" si="45"/>
        <v>#REF!</v>
      </c>
      <c r="H153" s="63" t="e">
        <f>'Procurement Schedule'!#REF!</f>
        <v>#REF!</v>
      </c>
      <c r="I153" t="e">
        <f t="shared" si="55"/>
        <v>#REF!</v>
      </c>
      <c r="J153" t="e">
        <f t="shared" si="46"/>
        <v>#REF!</v>
      </c>
      <c r="K153" t="e">
        <f t="shared" si="47"/>
        <v>#REF!</v>
      </c>
      <c r="S153" t="str">
        <f t="shared" si="51"/>
        <v/>
      </c>
      <c r="T153" s="64" t="str">
        <f t="shared" si="50"/>
        <v/>
      </c>
      <c r="AA153" t="str">
        <f t="shared" si="52"/>
        <v/>
      </c>
      <c r="AB153" s="64" t="str">
        <f t="shared" si="53"/>
        <v/>
      </c>
    </row>
    <row r="154" spans="1:28" x14ac:dyDescent="0.35">
      <c r="A154" t="e">
        <f>'Procurement Schedule'!#REF!</f>
        <v>#REF!</v>
      </c>
      <c r="B154" s="63" t="e">
        <f>'Procurement Schedule'!#REF!</f>
        <v>#REF!</v>
      </c>
      <c r="C154" t="e">
        <f t="shared" si="54"/>
        <v>#REF!</v>
      </c>
      <c r="D154" t="e">
        <f t="shared" si="43"/>
        <v>#REF!</v>
      </c>
      <c r="E154" t="e">
        <f t="shared" si="44"/>
        <v>#REF!</v>
      </c>
      <c r="G154" t="e">
        <f t="shared" si="45"/>
        <v>#REF!</v>
      </c>
      <c r="H154" s="63" t="e">
        <f>'Procurement Schedule'!#REF!</f>
        <v>#REF!</v>
      </c>
      <c r="I154" t="e">
        <f t="shared" si="55"/>
        <v>#REF!</v>
      </c>
      <c r="J154" t="e">
        <f t="shared" si="46"/>
        <v>#REF!</v>
      </c>
      <c r="K154" t="e">
        <f t="shared" si="47"/>
        <v>#REF!</v>
      </c>
      <c r="S154" t="str">
        <f t="shared" si="51"/>
        <v/>
      </c>
      <c r="T154" s="64" t="str">
        <f t="shared" si="50"/>
        <v/>
      </c>
      <c r="AA154" t="str">
        <f t="shared" si="52"/>
        <v/>
      </c>
      <c r="AB154" s="64" t="str">
        <f t="shared" si="53"/>
        <v/>
      </c>
    </row>
    <row r="155" spans="1:28" x14ac:dyDescent="0.35">
      <c r="A155" t="e">
        <f>'Procurement Schedule'!#REF!</f>
        <v>#REF!</v>
      </c>
      <c r="B155" s="63" t="e">
        <f>'Procurement Schedule'!#REF!</f>
        <v>#REF!</v>
      </c>
      <c r="C155" t="e">
        <f t="shared" si="54"/>
        <v>#REF!</v>
      </c>
      <c r="D155" t="e">
        <f t="shared" si="43"/>
        <v>#REF!</v>
      </c>
      <c r="E155" t="e">
        <f t="shared" si="44"/>
        <v>#REF!</v>
      </c>
      <c r="G155" t="e">
        <f t="shared" si="45"/>
        <v>#REF!</v>
      </c>
      <c r="H155" s="63" t="e">
        <f>'Procurement Schedule'!#REF!</f>
        <v>#REF!</v>
      </c>
      <c r="I155" t="e">
        <f t="shared" si="55"/>
        <v>#REF!</v>
      </c>
      <c r="J155" t="e">
        <f t="shared" si="46"/>
        <v>#REF!</v>
      </c>
      <c r="K155" t="e">
        <f t="shared" si="47"/>
        <v>#REF!</v>
      </c>
      <c r="S155" t="str">
        <f t="shared" si="51"/>
        <v/>
      </c>
      <c r="T155" s="64" t="str">
        <f t="shared" si="50"/>
        <v/>
      </c>
      <c r="AA155" t="str">
        <f t="shared" si="52"/>
        <v/>
      </c>
      <c r="AB155" s="64" t="str">
        <f t="shared" si="53"/>
        <v/>
      </c>
    </row>
    <row r="156" spans="1:28" x14ac:dyDescent="0.35">
      <c r="A156" t="e">
        <f>'Procurement Schedule'!#REF!</f>
        <v>#REF!</v>
      </c>
      <c r="B156" s="63" t="e">
        <f>'Procurement Schedule'!#REF!</f>
        <v>#REF!</v>
      </c>
      <c r="C156" t="e">
        <f t="shared" si="54"/>
        <v>#REF!</v>
      </c>
      <c r="D156" t="e">
        <f t="shared" si="43"/>
        <v>#REF!</v>
      </c>
      <c r="E156" t="e">
        <f t="shared" si="44"/>
        <v>#REF!</v>
      </c>
      <c r="G156" t="e">
        <f t="shared" si="45"/>
        <v>#REF!</v>
      </c>
      <c r="H156" s="63" t="e">
        <f>'Procurement Schedule'!#REF!</f>
        <v>#REF!</v>
      </c>
      <c r="I156" t="e">
        <f t="shared" si="55"/>
        <v>#REF!</v>
      </c>
      <c r="J156" t="e">
        <f t="shared" si="46"/>
        <v>#REF!</v>
      </c>
      <c r="K156" t="e">
        <f t="shared" si="47"/>
        <v>#REF!</v>
      </c>
      <c r="S156" t="str">
        <f t="shared" si="51"/>
        <v/>
      </c>
      <c r="T156" s="64" t="str">
        <f t="shared" si="50"/>
        <v/>
      </c>
      <c r="AA156" t="str">
        <f t="shared" si="52"/>
        <v/>
      </c>
      <c r="AB156" s="64" t="str">
        <f t="shared" si="53"/>
        <v/>
      </c>
    </row>
    <row r="157" spans="1:28" x14ac:dyDescent="0.35">
      <c r="A157" t="e">
        <f>'Procurement Schedule'!#REF!</f>
        <v>#REF!</v>
      </c>
      <c r="B157" s="63" t="e">
        <f>'Procurement Schedule'!#REF!</f>
        <v>#REF!</v>
      </c>
      <c r="C157" t="e">
        <f t="shared" si="54"/>
        <v>#REF!</v>
      </c>
      <c r="D157" t="e">
        <f t="shared" si="43"/>
        <v>#REF!</v>
      </c>
      <c r="E157" t="e">
        <f t="shared" si="44"/>
        <v>#REF!</v>
      </c>
      <c r="G157" t="e">
        <f t="shared" si="45"/>
        <v>#REF!</v>
      </c>
      <c r="H157" s="63" t="e">
        <f>'Procurement Schedule'!#REF!</f>
        <v>#REF!</v>
      </c>
      <c r="I157" t="e">
        <f t="shared" si="55"/>
        <v>#REF!</v>
      </c>
      <c r="J157" t="e">
        <f t="shared" si="46"/>
        <v>#REF!</v>
      </c>
      <c r="K157" t="e">
        <f t="shared" si="47"/>
        <v>#REF!</v>
      </c>
      <c r="S157" t="str">
        <f t="shared" si="51"/>
        <v/>
      </c>
      <c r="T157" s="64" t="str">
        <f t="shared" si="50"/>
        <v/>
      </c>
      <c r="AA157" t="str">
        <f t="shared" si="52"/>
        <v/>
      </c>
      <c r="AB157" s="64" t="str">
        <f t="shared" si="53"/>
        <v/>
      </c>
    </row>
    <row r="158" spans="1:28" x14ac:dyDescent="0.35">
      <c r="A158" t="e">
        <f>'Procurement Schedule'!#REF!</f>
        <v>#REF!</v>
      </c>
      <c r="B158" s="63" t="e">
        <f>'Procurement Schedule'!#REF!</f>
        <v>#REF!</v>
      </c>
      <c r="C158" t="e">
        <f t="shared" si="54"/>
        <v>#REF!</v>
      </c>
      <c r="D158" t="e">
        <f t="shared" si="43"/>
        <v>#REF!</v>
      </c>
      <c r="E158" t="e">
        <f t="shared" si="44"/>
        <v>#REF!</v>
      </c>
      <c r="G158" t="e">
        <f t="shared" si="45"/>
        <v>#REF!</v>
      </c>
      <c r="H158" s="63" t="e">
        <f>'Procurement Schedule'!#REF!</f>
        <v>#REF!</v>
      </c>
      <c r="I158" t="e">
        <f t="shared" si="55"/>
        <v>#REF!</v>
      </c>
      <c r="J158" t="e">
        <f t="shared" si="46"/>
        <v>#REF!</v>
      </c>
      <c r="K158" t="e">
        <f t="shared" si="47"/>
        <v>#REF!</v>
      </c>
      <c r="S158" t="str">
        <f t="shared" si="51"/>
        <v/>
      </c>
      <c r="T158" s="64" t="str">
        <f t="shared" si="50"/>
        <v/>
      </c>
      <c r="AA158" t="str">
        <f t="shared" si="52"/>
        <v/>
      </c>
      <c r="AB158" s="64" t="str">
        <f t="shared" si="53"/>
        <v/>
      </c>
    </row>
    <row r="159" spans="1:28" x14ac:dyDescent="0.35">
      <c r="A159" t="e">
        <f>'Procurement Schedule'!#REF!</f>
        <v>#REF!</v>
      </c>
      <c r="B159" s="63" t="e">
        <f>'Procurement Schedule'!#REF!</f>
        <v>#REF!</v>
      </c>
      <c r="C159" t="e">
        <f t="shared" si="54"/>
        <v>#REF!</v>
      </c>
      <c r="D159" t="e">
        <f t="shared" si="43"/>
        <v>#REF!</v>
      </c>
      <c r="E159" t="e">
        <f t="shared" si="44"/>
        <v>#REF!</v>
      </c>
      <c r="G159" t="e">
        <f t="shared" si="45"/>
        <v>#REF!</v>
      </c>
      <c r="H159" s="63" t="e">
        <f>'Procurement Schedule'!#REF!</f>
        <v>#REF!</v>
      </c>
      <c r="I159" t="e">
        <f t="shared" si="55"/>
        <v>#REF!</v>
      </c>
      <c r="J159" t="e">
        <f t="shared" si="46"/>
        <v>#REF!</v>
      </c>
      <c r="K159" t="e">
        <f t="shared" si="47"/>
        <v>#REF!</v>
      </c>
      <c r="S159" t="str">
        <f t="shared" si="51"/>
        <v/>
      </c>
      <c r="T159" s="64" t="str">
        <f t="shared" si="50"/>
        <v/>
      </c>
      <c r="AA159" t="str">
        <f t="shared" si="52"/>
        <v/>
      </c>
      <c r="AB159" s="64" t="str">
        <f t="shared" si="53"/>
        <v/>
      </c>
    </row>
    <row r="160" spans="1:28" x14ac:dyDescent="0.35">
      <c r="A160" t="e">
        <f>'Procurement Schedule'!#REF!</f>
        <v>#REF!</v>
      </c>
      <c r="B160" s="63" t="e">
        <f>'Procurement Schedule'!#REF!</f>
        <v>#REF!</v>
      </c>
      <c r="C160" t="e">
        <f t="shared" si="54"/>
        <v>#REF!</v>
      </c>
      <c r="D160" t="e">
        <f t="shared" si="43"/>
        <v>#REF!</v>
      </c>
      <c r="E160" t="e">
        <f t="shared" si="44"/>
        <v>#REF!</v>
      </c>
      <c r="G160" t="e">
        <f t="shared" si="45"/>
        <v>#REF!</v>
      </c>
      <c r="H160" s="63" t="e">
        <f>'Procurement Schedule'!#REF!</f>
        <v>#REF!</v>
      </c>
      <c r="I160" t="e">
        <f t="shared" si="55"/>
        <v>#REF!</v>
      </c>
      <c r="J160" t="e">
        <f t="shared" si="46"/>
        <v>#REF!</v>
      </c>
      <c r="K160" t="e">
        <f t="shared" si="47"/>
        <v>#REF!</v>
      </c>
      <c r="S160" t="str">
        <f t="shared" si="51"/>
        <v/>
      </c>
      <c r="T160" s="64" t="str">
        <f t="shared" si="50"/>
        <v/>
      </c>
      <c r="AA160" t="str">
        <f t="shared" si="52"/>
        <v/>
      </c>
      <c r="AB160" s="64" t="str">
        <f t="shared" si="53"/>
        <v/>
      </c>
    </row>
    <row r="161" spans="1:28" x14ac:dyDescent="0.35">
      <c r="A161" t="e">
        <f>'Procurement Schedule'!#REF!</f>
        <v>#REF!</v>
      </c>
      <c r="B161" s="63" t="e">
        <f>'Procurement Schedule'!#REF!</f>
        <v>#REF!</v>
      </c>
      <c r="C161" t="e">
        <f t="shared" si="54"/>
        <v>#REF!</v>
      </c>
      <c r="D161" t="e">
        <f t="shared" si="43"/>
        <v>#REF!</v>
      </c>
      <c r="E161" t="e">
        <f t="shared" si="44"/>
        <v>#REF!</v>
      </c>
      <c r="G161" t="e">
        <f t="shared" si="45"/>
        <v>#REF!</v>
      </c>
      <c r="H161" s="63" t="e">
        <f>'Procurement Schedule'!#REF!</f>
        <v>#REF!</v>
      </c>
      <c r="I161" t="e">
        <f t="shared" si="55"/>
        <v>#REF!</v>
      </c>
      <c r="J161" t="e">
        <f t="shared" si="46"/>
        <v>#REF!</v>
      </c>
      <c r="K161" t="e">
        <f t="shared" si="47"/>
        <v>#REF!</v>
      </c>
      <c r="S161" t="str">
        <f t="shared" si="51"/>
        <v/>
      </c>
      <c r="T161" s="64" t="str">
        <f t="shared" si="50"/>
        <v/>
      </c>
      <c r="AA161" t="str">
        <f t="shared" si="52"/>
        <v/>
      </c>
      <c r="AB161" s="64" t="str">
        <f t="shared" si="53"/>
        <v/>
      </c>
    </row>
    <row r="162" spans="1:28" x14ac:dyDescent="0.35">
      <c r="A162">
        <f>'Procurement Schedule'!R229</f>
        <v>1850000</v>
      </c>
      <c r="B162" s="63">
        <f>'Procurement Schedule'!M229</f>
        <v>46147</v>
      </c>
      <c r="C162">
        <f t="shared" si="54"/>
        <v>5</v>
      </c>
      <c r="D162">
        <f t="shared" si="43"/>
        <v>2026</v>
      </c>
      <c r="E162" t="str">
        <f t="shared" si="44"/>
        <v>5_2026</v>
      </c>
      <c r="G162">
        <f t="shared" si="45"/>
        <v>1850000</v>
      </c>
      <c r="H162" s="63">
        <f>'Procurement Schedule'!N229</f>
        <v>46127</v>
      </c>
      <c r="I162">
        <f t="shared" si="55"/>
        <v>4</v>
      </c>
      <c r="J162">
        <f t="shared" si="46"/>
        <v>2026</v>
      </c>
      <c r="K162" t="str">
        <f t="shared" si="47"/>
        <v>4_2026</v>
      </c>
      <c r="S162" t="str">
        <f t="shared" si="51"/>
        <v/>
      </c>
      <c r="T162" s="64" t="str">
        <f t="shared" si="50"/>
        <v/>
      </c>
      <c r="AA162" t="str">
        <f t="shared" si="52"/>
        <v/>
      </c>
      <c r="AB162" s="64" t="str">
        <f t="shared" si="53"/>
        <v/>
      </c>
    </row>
    <row r="163" spans="1:28" x14ac:dyDescent="0.35">
      <c r="A163" t="e">
        <f>'Procurement Schedule'!#REF!</f>
        <v>#REF!</v>
      </c>
      <c r="B163" s="63" t="e">
        <f>'Procurement Schedule'!#REF!</f>
        <v>#REF!</v>
      </c>
      <c r="C163" t="e">
        <f t="shared" si="54"/>
        <v>#REF!</v>
      </c>
      <c r="D163" t="e">
        <f t="shared" si="43"/>
        <v>#REF!</v>
      </c>
      <c r="E163" t="e">
        <f t="shared" si="44"/>
        <v>#REF!</v>
      </c>
      <c r="G163" t="e">
        <f t="shared" si="45"/>
        <v>#REF!</v>
      </c>
      <c r="H163" s="63" t="e">
        <f>'Procurement Schedule'!#REF!</f>
        <v>#REF!</v>
      </c>
      <c r="I163" t="e">
        <f t="shared" si="55"/>
        <v>#REF!</v>
      </c>
      <c r="J163" t="e">
        <f t="shared" si="46"/>
        <v>#REF!</v>
      </c>
      <c r="K163" t="e">
        <f t="shared" si="47"/>
        <v>#REF!</v>
      </c>
      <c r="S163" t="str">
        <f t="shared" si="51"/>
        <v/>
      </c>
      <c r="T163" s="64" t="str">
        <f t="shared" si="50"/>
        <v/>
      </c>
      <c r="AA163" t="str">
        <f t="shared" si="52"/>
        <v/>
      </c>
      <c r="AB163" s="64" t="str">
        <f t="shared" si="53"/>
        <v/>
      </c>
    </row>
    <row r="164" spans="1:28" x14ac:dyDescent="0.35">
      <c r="A164">
        <f>'Procurement Schedule'!R230</f>
        <v>11000000</v>
      </c>
      <c r="B164" s="63">
        <f>'Procurement Schedule'!M230</f>
        <v>46435</v>
      </c>
      <c r="C164">
        <f t="shared" si="54"/>
        <v>2</v>
      </c>
      <c r="D164">
        <f t="shared" si="43"/>
        <v>2027</v>
      </c>
      <c r="E164" t="str">
        <f t="shared" si="44"/>
        <v>2_2027</v>
      </c>
      <c r="G164">
        <f t="shared" si="45"/>
        <v>11000000</v>
      </c>
      <c r="H164" s="63">
        <f>'Procurement Schedule'!N230</f>
        <v>0</v>
      </c>
      <c r="I164">
        <f t="shared" si="55"/>
        <v>1</v>
      </c>
      <c r="J164">
        <f t="shared" si="46"/>
        <v>1900</v>
      </c>
      <c r="K164" t="str">
        <f t="shared" si="47"/>
        <v>1_1900</v>
      </c>
      <c r="S164" t="str">
        <f t="shared" si="51"/>
        <v/>
      </c>
      <c r="T164" s="64" t="str">
        <f t="shared" si="50"/>
        <v/>
      </c>
      <c r="AA164" t="str">
        <f t="shared" si="52"/>
        <v/>
      </c>
      <c r="AB164" s="64" t="str">
        <f t="shared" si="53"/>
        <v/>
      </c>
    </row>
    <row r="165" spans="1:28" x14ac:dyDescent="0.35">
      <c r="A165" t="e">
        <f>'Procurement Schedule'!#REF!</f>
        <v>#REF!</v>
      </c>
      <c r="B165" s="63" t="e">
        <f>'Procurement Schedule'!#REF!</f>
        <v>#REF!</v>
      </c>
      <c r="C165" t="e">
        <f t="shared" si="54"/>
        <v>#REF!</v>
      </c>
      <c r="D165" t="e">
        <f t="shared" si="43"/>
        <v>#REF!</v>
      </c>
      <c r="E165" t="e">
        <f t="shared" si="44"/>
        <v>#REF!</v>
      </c>
      <c r="G165" t="e">
        <f t="shared" si="45"/>
        <v>#REF!</v>
      </c>
      <c r="H165" s="63" t="e">
        <f>'Procurement Schedule'!#REF!</f>
        <v>#REF!</v>
      </c>
      <c r="I165" t="e">
        <f t="shared" si="55"/>
        <v>#REF!</v>
      </c>
      <c r="J165" t="e">
        <f t="shared" si="46"/>
        <v>#REF!</v>
      </c>
      <c r="K165" t="e">
        <f t="shared" si="47"/>
        <v>#REF!</v>
      </c>
      <c r="S165" t="str">
        <f t="shared" si="51"/>
        <v/>
      </c>
      <c r="T165" s="64" t="str">
        <f t="shared" si="50"/>
        <v/>
      </c>
      <c r="AA165" t="str">
        <f t="shared" si="52"/>
        <v/>
      </c>
      <c r="AB165" s="64" t="str">
        <f t="shared" si="53"/>
        <v/>
      </c>
    </row>
    <row r="166" spans="1:28" x14ac:dyDescent="0.35">
      <c r="A166">
        <f>'Procurement Schedule'!R232</f>
        <v>1500000</v>
      </c>
      <c r="B166" s="63">
        <f>'Procurement Schedule'!M232</f>
        <v>46235</v>
      </c>
      <c r="C166">
        <f t="shared" si="54"/>
        <v>8</v>
      </c>
      <c r="D166">
        <f t="shared" si="43"/>
        <v>2026</v>
      </c>
      <c r="E166" t="str">
        <f t="shared" si="44"/>
        <v>8_2026</v>
      </c>
      <c r="G166">
        <f t="shared" si="45"/>
        <v>1500000</v>
      </c>
      <c r="H166" s="63">
        <f>'Procurement Schedule'!N232</f>
        <v>0</v>
      </c>
      <c r="I166">
        <f t="shared" si="55"/>
        <v>1</v>
      </c>
      <c r="J166">
        <f t="shared" si="46"/>
        <v>1900</v>
      </c>
      <c r="K166" t="str">
        <f t="shared" si="47"/>
        <v>1_1900</v>
      </c>
      <c r="S166" t="str">
        <f t="shared" si="51"/>
        <v/>
      </c>
      <c r="T166" s="64" t="str">
        <f t="shared" si="50"/>
        <v/>
      </c>
      <c r="AA166" t="str">
        <f t="shared" si="52"/>
        <v/>
      </c>
      <c r="AB166" s="64" t="str">
        <f t="shared" si="53"/>
        <v/>
      </c>
    </row>
    <row r="167" spans="1:28" x14ac:dyDescent="0.35">
      <c r="A167" t="e">
        <f>'Procurement Schedule'!#REF!</f>
        <v>#REF!</v>
      </c>
      <c r="B167" s="63" t="e">
        <f>'Procurement Schedule'!#REF!</f>
        <v>#REF!</v>
      </c>
      <c r="C167" t="e">
        <f t="shared" si="54"/>
        <v>#REF!</v>
      </c>
      <c r="D167" t="e">
        <f t="shared" si="43"/>
        <v>#REF!</v>
      </c>
      <c r="E167" t="e">
        <f t="shared" si="44"/>
        <v>#REF!</v>
      </c>
      <c r="G167" t="e">
        <f t="shared" si="45"/>
        <v>#REF!</v>
      </c>
      <c r="H167" s="63" t="e">
        <f>'Procurement Schedule'!#REF!</f>
        <v>#REF!</v>
      </c>
      <c r="I167" t="e">
        <f t="shared" si="55"/>
        <v>#REF!</v>
      </c>
      <c r="J167" t="e">
        <f t="shared" si="46"/>
        <v>#REF!</v>
      </c>
      <c r="K167" t="e">
        <f t="shared" si="47"/>
        <v>#REF!</v>
      </c>
      <c r="S167" t="str">
        <f t="shared" si="51"/>
        <v/>
      </c>
      <c r="T167" s="64" t="str">
        <f t="shared" si="50"/>
        <v/>
      </c>
      <c r="AA167" t="str">
        <f t="shared" si="52"/>
        <v/>
      </c>
      <c r="AB167" s="64" t="str">
        <f t="shared" si="53"/>
        <v/>
      </c>
    </row>
    <row r="168" spans="1:28" x14ac:dyDescent="0.35">
      <c r="A168">
        <f>'Procurement Schedule'!R235</f>
        <v>3337500</v>
      </c>
      <c r="B168" s="63">
        <f>'Procurement Schedule'!M235</f>
        <v>46231</v>
      </c>
      <c r="C168">
        <f t="shared" si="54"/>
        <v>7</v>
      </c>
      <c r="D168">
        <f t="shared" si="43"/>
        <v>2026</v>
      </c>
      <c r="E168" t="str">
        <f t="shared" si="44"/>
        <v>7_2026</v>
      </c>
      <c r="G168">
        <f t="shared" si="45"/>
        <v>3337500</v>
      </c>
      <c r="H168" s="63">
        <f>'Procurement Schedule'!N235</f>
        <v>0</v>
      </c>
      <c r="I168">
        <f t="shared" si="55"/>
        <v>1</v>
      </c>
      <c r="J168">
        <f t="shared" si="46"/>
        <v>1900</v>
      </c>
      <c r="K168" t="str">
        <f t="shared" si="47"/>
        <v>1_1900</v>
      </c>
      <c r="S168" t="str">
        <f t="shared" si="51"/>
        <v/>
      </c>
      <c r="T168" s="64" t="str">
        <f t="shared" si="50"/>
        <v/>
      </c>
      <c r="AA168" t="str">
        <f t="shared" si="52"/>
        <v/>
      </c>
      <c r="AB168" s="64" t="str">
        <f t="shared" si="53"/>
        <v/>
      </c>
    </row>
    <row r="169" spans="1:28" x14ac:dyDescent="0.35">
      <c r="A169">
        <f>'Procurement Schedule'!R236</f>
        <v>2600000</v>
      </c>
      <c r="B169" s="63">
        <f>'Procurement Schedule'!M236</f>
        <v>46434</v>
      </c>
      <c r="C169">
        <f t="shared" si="54"/>
        <v>2</v>
      </c>
      <c r="D169">
        <f t="shared" si="43"/>
        <v>2027</v>
      </c>
      <c r="E169" t="str">
        <f t="shared" si="44"/>
        <v>2_2027</v>
      </c>
      <c r="G169">
        <f t="shared" si="45"/>
        <v>2600000</v>
      </c>
      <c r="H169" s="63">
        <f>'Procurement Schedule'!N236</f>
        <v>0</v>
      </c>
      <c r="I169">
        <f t="shared" si="55"/>
        <v>1</v>
      </c>
      <c r="J169">
        <f t="shared" si="46"/>
        <v>1900</v>
      </c>
      <c r="K169" t="str">
        <f t="shared" si="47"/>
        <v>1_1900</v>
      </c>
      <c r="S169" t="str">
        <f t="shared" si="51"/>
        <v/>
      </c>
      <c r="T169" s="64" t="str">
        <f t="shared" si="50"/>
        <v/>
      </c>
      <c r="AA169" t="str">
        <f t="shared" si="52"/>
        <v/>
      </c>
      <c r="AB169" s="64" t="str">
        <f t="shared" si="53"/>
        <v/>
      </c>
    </row>
    <row r="170" spans="1:28" x14ac:dyDescent="0.35">
      <c r="A170">
        <f>'Procurement Schedule'!R237</f>
        <v>350000</v>
      </c>
      <c r="B170" s="63">
        <f>'Procurement Schedule'!M237</f>
        <v>46450</v>
      </c>
      <c r="C170">
        <f t="shared" si="54"/>
        <v>3</v>
      </c>
      <c r="D170">
        <f t="shared" si="43"/>
        <v>2027</v>
      </c>
      <c r="E170" t="str">
        <f t="shared" si="44"/>
        <v>3_2027</v>
      </c>
      <c r="G170">
        <f t="shared" si="45"/>
        <v>350000</v>
      </c>
      <c r="H170" s="63">
        <f>'Procurement Schedule'!N237</f>
        <v>0</v>
      </c>
      <c r="I170">
        <f t="shared" si="55"/>
        <v>1</v>
      </c>
      <c r="J170">
        <f t="shared" si="46"/>
        <v>1900</v>
      </c>
      <c r="K170" t="str">
        <f t="shared" si="47"/>
        <v>1_1900</v>
      </c>
      <c r="S170" t="str">
        <f t="shared" si="51"/>
        <v/>
      </c>
      <c r="T170" s="64" t="str">
        <f t="shared" si="50"/>
        <v/>
      </c>
      <c r="AA170" t="str">
        <f t="shared" si="52"/>
        <v/>
      </c>
      <c r="AB170" s="64" t="str">
        <f t="shared" si="53"/>
        <v/>
      </c>
    </row>
    <row r="171" spans="1:28" x14ac:dyDescent="0.35">
      <c r="A171">
        <f>'Procurement Schedule'!R238</f>
        <v>3010000</v>
      </c>
      <c r="B171" s="63">
        <f>'Procurement Schedule'!M238</f>
        <v>46169</v>
      </c>
      <c r="C171">
        <f t="shared" si="54"/>
        <v>5</v>
      </c>
      <c r="D171">
        <f t="shared" si="43"/>
        <v>2026</v>
      </c>
      <c r="E171" t="str">
        <f t="shared" si="44"/>
        <v>5_2026</v>
      </c>
      <c r="G171">
        <f t="shared" si="45"/>
        <v>3010000</v>
      </c>
      <c r="H171" s="63">
        <f>'Procurement Schedule'!N238</f>
        <v>0</v>
      </c>
      <c r="I171">
        <f t="shared" si="55"/>
        <v>1</v>
      </c>
      <c r="J171">
        <f t="shared" si="46"/>
        <v>1900</v>
      </c>
      <c r="K171" t="str">
        <f t="shared" si="47"/>
        <v>1_1900</v>
      </c>
      <c r="S171" t="str">
        <f t="shared" si="51"/>
        <v/>
      </c>
      <c r="T171" s="64" t="str">
        <f t="shared" si="50"/>
        <v/>
      </c>
      <c r="AA171" t="str">
        <f t="shared" si="52"/>
        <v/>
      </c>
      <c r="AB171" s="64" t="str">
        <f t="shared" si="53"/>
        <v/>
      </c>
    </row>
    <row r="172" spans="1:28" x14ac:dyDescent="0.35">
      <c r="A172" t="e">
        <f>'Procurement Schedule'!#REF!</f>
        <v>#REF!</v>
      </c>
      <c r="B172" s="63" t="e">
        <f>'Procurement Schedule'!#REF!</f>
        <v>#REF!</v>
      </c>
      <c r="C172" t="e">
        <f t="shared" si="54"/>
        <v>#REF!</v>
      </c>
      <c r="D172" t="e">
        <f t="shared" si="43"/>
        <v>#REF!</v>
      </c>
      <c r="E172" t="e">
        <f t="shared" si="44"/>
        <v>#REF!</v>
      </c>
      <c r="G172" t="e">
        <f t="shared" si="45"/>
        <v>#REF!</v>
      </c>
      <c r="H172" s="63" t="e">
        <f>'Procurement Schedule'!#REF!</f>
        <v>#REF!</v>
      </c>
      <c r="I172" t="e">
        <f t="shared" si="55"/>
        <v>#REF!</v>
      </c>
      <c r="J172" t="e">
        <f t="shared" si="46"/>
        <v>#REF!</v>
      </c>
      <c r="K172" t="e">
        <f t="shared" si="47"/>
        <v>#REF!</v>
      </c>
      <c r="S172" t="str">
        <f t="shared" si="51"/>
        <v/>
      </c>
      <c r="T172" s="64" t="str">
        <f t="shared" si="50"/>
        <v/>
      </c>
      <c r="AA172" t="str">
        <f t="shared" si="52"/>
        <v/>
      </c>
      <c r="AB172" s="64" t="str">
        <f t="shared" si="53"/>
        <v/>
      </c>
    </row>
    <row r="173" spans="1:28" x14ac:dyDescent="0.35">
      <c r="A173" t="e">
        <f>'Procurement Schedule'!#REF!</f>
        <v>#REF!</v>
      </c>
      <c r="B173" s="63" t="e">
        <f>'Procurement Schedule'!#REF!</f>
        <v>#REF!</v>
      </c>
      <c r="C173" t="e">
        <f t="shared" si="54"/>
        <v>#REF!</v>
      </c>
      <c r="D173" t="e">
        <f t="shared" si="43"/>
        <v>#REF!</v>
      </c>
      <c r="E173" t="e">
        <f t="shared" si="44"/>
        <v>#REF!</v>
      </c>
      <c r="G173" t="e">
        <f t="shared" si="45"/>
        <v>#REF!</v>
      </c>
      <c r="H173" s="63" t="e">
        <f>'Procurement Schedule'!#REF!</f>
        <v>#REF!</v>
      </c>
      <c r="I173" t="e">
        <f t="shared" si="55"/>
        <v>#REF!</v>
      </c>
      <c r="J173" t="e">
        <f t="shared" si="46"/>
        <v>#REF!</v>
      </c>
      <c r="K173" t="e">
        <f t="shared" si="47"/>
        <v>#REF!</v>
      </c>
      <c r="S173" t="str">
        <f t="shared" si="51"/>
        <v/>
      </c>
      <c r="T173" s="64" t="str">
        <f t="shared" si="50"/>
        <v/>
      </c>
      <c r="AA173" t="str">
        <f t="shared" si="52"/>
        <v/>
      </c>
      <c r="AB173" s="64" t="str">
        <f t="shared" si="53"/>
        <v/>
      </c>
    </row>
    <row r="174" spans="1:28" x14ac:dyDescent="0.35">
      <c r="A174">
        <f>'Procurement Schedule'!R239</f>
        <v>838500</v>
      </c>
      <c r="B174" s="63">
        <f>'Procurement Schedule'!M239</f>
        <v>46267</v>
      </c>
      <c r="C174">
        <f t="shared" si="54"/>
        <v>9</v>
      </c>
      <c r="D174">
        <f t="shared" si="43"/>
        <v>2026</v>
      </c>
      <c r="E174" t="str">
        <f t="shared" si="44"/>
        <v>9_2026</v>
      </c>
      <c r="G174">
        <f t="shared" si="45"/>
        <v>838500</v>
      </c>
      <c r="H174" s="63">
        <f>'Procurement Schedule'!N239</f>
        <v>0</v>
      </c>
      <c r="I174">
        <f t="shared" si="55"/>
        <v>1</v>
      </c>
      <c r="J174">
        <f t="shared" si="46"/>
        <v>1900</v>
      </c>
      <c r="K174" t="str">
        <f t="shared" si="47"/>
        <v>1_1900</v>
      </c>
      <c r="S174" t="str">
        <f t="shared" si="51"/>
        <v/>
      </c>
      <c r="T174" s="64" t="str">
        <f t="shared" si="50"/>
        <v/>
      </c>
      <c r="AA174" t="str">
        <f t="shared" si="52"/>
        <v/>
      </c>
      <c r="AB174" s="64" t="str">
        <f t="shared" si="53"/>
        <v/>
      </c>
    </row>
    <row r="175" spans="1:28" x14ac:dyDescent="0.35">
      <c r="A175" t="e">
        <f>'Procurement Schedule'!#REF!</f>
        <v>#REF!</v>
      </c>
      <c r="B175" s="63" t="e">
        <f>'Procurement Schedule'!#REF!</f>
        <v>#REF!</v>
      </c>
      <c r="C175" t="e">
        <f t="shared" si="54"/>
        <v>#REF!</v>
      </c>
      <c r="D175" t="e">
        <f t="shared" si="43"/>
        <v>#REF!</v>
      </c>
      <c r="E175" t="e">
        <f t="shared" si="44"/>
        <v>#REF!</v>
      </c>
      <c r="G175" t="e">
        <f t="shared" si="45"/>
        <v>#REF!</v>
      </c>
      <c r="H175" s="63" t="e">
        <f>'Procurement Schedule'!#REF!</f>
        <v>#REF!</v>
      </c>
      <c r="I175" t="e">
        <f t="shared" si="55"/>
        <v>#REF!</v>
      </c>
      <c r="J175" t="e">
        <f t="shared" si="46"/>
        <v>#REF!</v>
      </c>
      <c r="K175" t="e">
        <f t="shared" si="47"/>
        <v>#REF!</v>
      </c>
      <c r="S175" t="str">
        <f t="shared" si="51"/>
        <v/>
      </c>
      <c r="T175" s="64" t="str">
        <f t="shared" si="50"/>
        <v/>
      </c>
      <c r="AA175" t="str">
        <f t="shared" si="52"/>
        <v/>
      </c>
      <c r="AB175" s="64" t="str">
        <f t="shared" si="53"/>
        <v/>
      </c>
    </row>
    <row r="176" spans="1:28" x14ac:dyDescent="0.35">
      <c r="A176">
        <f>'Procurement Schedule'!R240</f>
        <v>731000</v>
      </c>
      <c r="B176" s="63">
        <f>'Procurement Schedule'!M240</f>
        <v>46236</v>
      </c>
      <c r="C176">
        <f t="shared" si="54"/>
        <v>8</v>
      </c>
      <c r="D176">
        <f t="shared" si="43"/>
        <v>2026</v>
      </c>
      <c r="E176" t="str">
        <f t="shared" si="44"/>
        <v>8_2026</v>
      </c>
      <c r="G176">
        <f t="shared" si="45"/>
        <v>731000</v>
      </c>
      <c r="H176" s="63">
        <f>'Procurement Schedule'!N240</f>
        <v>0</v>
      </c>
      <c r="I176">
        <f t="shared" si="55"/>
        <v>1</v>
      </c>
      <c r="J176">
        <f t="shared" si="46"/>
        <v>1900</v>
      </c>
      <c r="K176" t="str">
        <f t="shared" si="47"/>
        <v>1_1900</v>
      </c>
      <c r="S176" t="str">
        <f t="shared" si="51"/>
        <v/>
      </c>
      <c r="T176" s="64" t="str">
        <f t="shared" si="50"/>
        <v/>
      </c>
      <c r="AA176" t="str">
        <f t="shared" si="52"/>
        <v/>
      </c>
      <c r="AB176" s="64" t="str">
        <f t="shared" si="53"/>
        <v/>
      </c>
    </row>
    <row r="177" spans="1:28" x14ac:dyDescent="0.35">
      <c r="A177">
        <f>'Procurement Schedule'!R249</f>
        <v>0</v>
      </c>
      <c r="B177" s="63">
        <f>'Procurement Schedule'!M249</f>
        <v>0</v>
      </c>
      <c r="C177">
        <f t="shared" si="54"/>
        <v>1</v>
      </c>
      <c r="D177">
        <f t="shared" si="43"/>
        <v>1900</v>
      </c>
      <c r="E177" t="str">
        <f t="shared" si="44"/>
        <v>1_1900</v>
      </c>
      <c r="G177">
        <f t="shared" si="45"/>
        <v>0</v>
      </c>
      <c r="H177" s="63">
        <f>'Procurement Schedule'!N249</f>
        <v>0</v>
      </c>
      <c r="I177">
        <f t="shared" si="55"/>
        <v>1</v>
      </c>
      <c r="J177">
        <f t="shared" si="46"/>
        <v>1900</v>
      </c>
      <c r="K177" t="str">
        <f t="shared" si="47"/>
        <v>1_1900</v>
      </c>
      <c r="S177" t="str">
        <f t="shared" si="51"/>
        <v/>
      </c>
      <c r="T177" s="64" t="str">
        <f t="shared" si="50"/>
        <v/>
      </c>
      <c r="AA177" t="str">
        <f t="shared" si="52"/>
        <v/>
      </c>
      <c r="AB177" s="64" t="str">
        <f t="shared" si="53"/>
        <v/>
      </c>
    </row>
    <row r="178" spans="1:28" x14ac:dyDescent="0.35">
      <c r="A178">
        <f>'Procurement Schedule'!R250</f>
        <v>0</v>
      </c>
      <c r="B178" s="63">
        <f>'Procurement Schedule'!M250</f>
        <v>0</v>
      </c>
      <c r="C178">
        <f t="shared" si="54"/>
        <v>1</v>
      </c>
      <c r="D178">
        <f t="shared" si="43"/>
        <v>1900</v>
      </c>
      <c r="E178" t="str">
        <f t="shared" si="44"/>
        <v>1_1900</v>
      </c>
      <c r="G178">
        <f t="shared" si="45"/>
        <v>0</v>
      </c>
      <c r="H178" s="63">
        <f>'Procurement Schedule'!N250</f>
        <v>0</v>
      </c>
      <c r="I178">
        <f t="shared" si="55"/>
        <v>1</v>
      </c>
      <c r="J178">
        <f t="shared" si="46"/>
        <v>1900</v>
      </c>
      <c r="K178" t="str">
        <f t="shared" si="47"/>
        <v>1_1900</v>
      </c>
      <c r="S178" t="str">
        <f t="shared" si="51"/>
        <v/>
      </c>
      <c r="T178" s="64" t="str">
        <f t="shared" si="50"/>
        <v/>
      </c>
      <c r="AA178" t="str">
        <f t="shared" si="52"/>
        <v/>
      </c>
      <c r="AB178" s="64" t="str">
        <f t="shared" si="53"/>
        <v/>
      </c>
    </row>
    <row r="179" spans="1:28" x14ac:dyDescent="0.35">
      <c r="A179" t="e">
        <f>'Procurement Schedule'!#REF!</f>
        <v>#REF!</v>
      </c>
      <c r="B179" s="63" t="e">
        <f>'Procurement Schedule'!#REF!</f>
        <v>#REF!</v>
      </c>
      <c r="C179" t="e">
        <f t="shared" si="54"/>
        <v>#REF!</v>
      </c>
      <c r="D179" t="e">
        <f t="shared" si="43"/>
        <v>#REF!</v>
      </c>
      <c r="E179" t="e">
        <f t="shared" si="44"/>
        <v>#REF!</v>
      </c>
      <c r="G179" t="e">
        <f t="shared" si="45"/>
        <v>#REF!</v>
      </c>
      <c r="H179" s="63" t="e">
        <f>'Procurement Schedule'!#REF!</f>
        <v>#REF!</v>
      </c>
      <c r="I179" t="e">
        <f t="shared" si="55"/>
        <v>#REF!</v>
      </c>
      <c r="J179" t="e">
        <f t="shared" si="46"/>
        <v>#REF!</v>
      </c>
      <c r="K179" t="e">
        <f t="shared" si="47"/>
        <v>#REF!</v>
      </c>
      <c r="S179" t="str">
        <f t="shared" si="51"/>
        <v/>
      </c>
      <c r="T179" s="64" t="str">
        <f t="shared" si="50"/>
        <v/>
      </c>
      <c r="AA179" t="str">
        <f t="shared" si="52"/>
        <v/>
      </c>
      <c r="AB179" s="64" t="str">
        <f t="shared" si="53"/>
        <v/>
      </c>
    </row>
    <row r="180" spans="1:28" x14ac:dyDescent="0.35">
      <c r="A180" t="e">
        <f>'Procurement Schedule'!#REF!</f>
        <v>#REF!</v>
      </c>
      <c r="B180" s="63" t="e">
        <f>'Procurement Schedule'!#REF!</f>
        <v>#REF!</v>
      </c>
      <c r="C180" t="e">
        <f t="shared" si="54"/>
        <v>#REF!</v>
      </c>
      <c r="D180" t="e">
        <f t="shared" si="43"/>
        <v>#REF!</v>
      </c>
      <c r="E180" t="e">
        <f t="shared" si="44"/>
        <v>#REF!</v>
      </c>
      <c r="G180" t="e">
        <f t="shared" si="45"/>
        <v>#REF!</v>
      </c>
      <c r="H180" s="63" t="e">
        <f>'Procurement Schedule'!#REF!</f>
        <v>#REF!</v>
      </c>
      <c r="I180" t="e">
        <f t="shared" si="55"/>
        <v>#REF!</v>
      </c>
      <c r="J180" t="e">
        <f t="shared" si="46"/>
        <v>#REF!</v>
      </c>
      <c r="K180" t="e">
        <f t="shared" si="47"/>
        <v>#REF!</v>
      </c>
      <c r="S180" t="str">
        <f t="shared" si="51"/>
        <v/>
      </c>
      <c r="T180" s="64" t="str">
        <f t="shared" si="50"/>
        <v/>
      </c>
      <c r="AA180" t="str">
        <f t="shared" si="52"/>
        <v/>
      </c>
      <c r="AB180" s="64" t="str">
        <f t="shared" si="53"/>
        <v/>
      </c>
    </row>
    <row r="181" spans="1:28" x14ac:dyDescent="0.35">
      <c r="A181">
        <f>'Procurement Schedule'!R256</f>
        <v>500000</v>
      </c>
      <c r="B181" s="63">
        <f>'Procurement Schedule'!M256</f>
        <v>46507</v>
      </c>
      <c r="C181">
        <f t="shared" si="54"/>
        <v>4</v>
      </c>
      <c r="D181">
        <f t="shared" si="43"/>
        <v>2027</v>
      </c>
      <c r="E181" t="str">
        <f t="shared" si="44"/>
        <v>4_2027</v>
      </c>
      <c r="G181">
        <f t="shared" si="45"/>
        <v>500000</v>
      </c>
      <c r="H181" s="63">
        <f>'Procurement Schedule'!N256</f>
        <v>0</v>
      </c>
      <c r="I181">
        <f t="shared" si="55"/>
        <v>1</v>
      </c>
      <c r="J181">
        <f t="shared" si="46"/>
        <v>1900</v>
      </c>
      <c r="K181" t="str">
        <f t="shared" si="47"/>
        <v>1_1900</v>
      </c>
      <c r="S181" t="str">
        <f t="shared" si="51"/>
        <v/>
      </c>
      <c r="T181" s="64" t="str">
        <f t="shared" si="50"/>
        <v/>
      </c>
      <c r="AA181" t="str">
        <f t="shared" si="52"/>
        <v/>
      </c>
      <c r="AB181" s="64" t="str">
        <f t="shared" si="53"/>
        <v/>
      </c>
    </row>
    <row r="182" spans="1:28" x14ac:dyDescent="0.35">
      <c r="A182">
        <f>'Procurement Schedule'!R263</f>
        <v>500000</v>
      </c>
      <c r="B182" s="63">
        <f>'Procurement Schedule'!M263</f>
        <v>46507</v>
      </c>
      <c r="C182">
        <f t="shared" si="54"/>
        <v>4</v>
      </c>
      <c r="D182">
        <f t="shared" si="43"/>
        <v>2027</v>
      </c>
      <c r="E182" t="str">
        <f t="shared" si="44"/>
        <v>4_2027</v>
      </c>
      <c r="G182">
        <f t="shared" si="45"/>
        <v>500000</v>
      </c>
      <c r="H182" s="63">
        <f>'Procurement Schedule'!N263</f>
        <v>0</v>
      </c>
      <c r="I182">
        <f t="shared" si="55"/>
        <v>1</v>
      </c>
      <c r="J182">
        <f t="shared" si="46"/>
        <v>1900</v>
      </c>
      <c r="K182" t="str">
        <f t="shared" si="47"/>
        <v>1_1900</v>
      </c>
      <c r="S182" t="str">
        <f t="shared" si="51"/>
        <v/>
      </c>
      <c r="T182" s="64" t="str">
        <f t="shared" si="50"/>
        <v/>
      </c>
      <c r="AA182" t="str">
        <f t="shared" si="52"/>
        <v/>
      </c>
      <c r="AB182" s="64" t="str">
        <f t="shared" si="53"/>
        <v/>
      </c>
    </row>
    <row r="183" spans="1:28" x14ac:dyDescent="0.35">
      <c r="A183">
        <f>'Procurement Schedule'!R264</f>
        <v>500000</v>
      </c>
      <c r="B183" s="63">
        <f>'Procurement Schedule'!M264</f>
        <v>46507</v>
      </c>
      <c r="C183">
        <f t="shared" si="54"/>
        <v>4</v>
      </c>
      <c r="D183">
        <f t="shared" ref="D183:D246" si="56">YEAR(B183)</f>
        <v>2027</v>
      </c>
      <c r="E183" t="str">
        <f t="shared" ref="E183:E246" si="57">C183&amp;"_"&amp;D183</f>
        <v>4_2027</v>
      </c>
      <c r="G183">
        <f t="shared" ref="G183:G246" si="58">A183</f>
        <v>500000</v>
      </c>
      <c r="H183" s="63">
        <f>'Procurement Schedule'!N264</f>
        <v>0</v>
      </c>
      <c r="I183">
        <f t="shared" si="55"/>
        <v>1</v>
      </c>
      <c r="J183">
        <f t="shared" ref="J183:J246" si="59">YEAR(H183)</f>
        <v>1900</v>
      </c>
      <c r="K183" t="str">
        <f t="shared" ref="K183:K246" si="60">I183&amp;"_"&amp;J183</f>
        <v>1_1900</v>
      </c>
      <c r="S183" t="str">
        <f t="shared" si="51"/>
        <v/>
      </c>
      <c r="T183" s="64" t="str">
        <f t="shared" si="50"/>
        <v/>
      </c>
      <c r="AA183" t="str">
        <f t="shared" si="52"/>
        <v/>
      </c>
      <c r="AB183" s="64" t="str">
        <f t="shared" si="53"/>
        <v/>
      </c>
    </row>
    <row r="184" spans="1:28" x14ac:dyDescent="0.35">
      <c r="A184">
        <f>'Procurement Schedule'!R268</f>
        <v>-261648.35640412569</v>
      </c>
      <c r="B184" s="63">
        <f>'Procurement Schedule'!M268</f>
        <v>0</v>
      </c>
      <c r="C184">
        <f t="shared" si="54"/>
        <v>1</v>
      </c>
      <c r="D184">
        <f t="shared" si="56"/>
        <v>1900</v>
      </c>
      <c r="E184" t="str">
        <f t="shared" si="57"/>
        <v>1_1900</v>
      </c>
      <c r="G184">
        <f t="shared" si="58"/>
        <v>-261648.35640412569</v>
      </c>
      <c r="H184" s="63">
        <f>'Procurement Schedule'!N268</f>
        <v>0</v>
      </c>
      <c r="I184">
        <f t="shared" si="55"/>
        <v>1</v>
      </c>
      <c r="J184">
        <f t="shared" si="59"/>
        <v>1900</v>
      </c>
      <c r="K184" t="str">
        <f t="shared" si="60"/>
        <v>1_1900</v>
      </c>
      <c r="S184" t="str">
        <f t="shared" si="51"/>
        <v/>
      </c>
      <c r="T184" s="64" t="str">
        <f t="shared" si="50"/>
        <v/>
      </c>
      <c r="AA184" t="str">
        <f t="shared" si="52"/>
        <v/>
      </c>
      <c r="AB184" s="64" t="str">
        <f t="shared" si="53"/>
        <v/>
      </c>
    </row>
    <row r="185" spans="1:28" x14ac:dyDescent="0.35">
      <c r="A185">
        <f>'Procurement Schedule'!R269</f>
        <v>0</v>
      </c>
      <c r="B185" s="63">
        <f>'Procurement Schedule'!M269</f>
        <v>0</v>
      </c>
      <c r="C185">
        <f t="shared" si="54"/>
        <v>1</v>
      </c>
      <c r="D185">
        <f t="shared" si="56"/>
        <v>1900</v>
      </c>
      <c r="E185" t="str">
        <f t="shared" si="57"/>
        <v>1_1900</v>
      </c>
      <c r="G185">
        <f t="shared" si="58"/>
        <v>0</v>
      </c>
      <c r="H185" s="63">
        <f>'Procurement Schedule'!N269</f>
        <v>0</v>
      </c>
      <c r="I185">
        <f t="shared" si="55"/>
        <v>1</v>
      </c>
      <c r="J185">
        <f t="shared" si="59"/>
        <v>1900</v>
      </c>
      <c r="K185" t="str">
        <f t="shared" si="60"/>
        <v>1_1900</v>
      </c>
      <c r="S185" t="str">
        <f t="shared" si="51"/>
        <v/>
      </c>
      <c r="T185" s="64" t="str">
        <f t="shared" si="50"/>
        <v/>
      </c>
      <c r="AA185" t="str">
        <f t="shared" si="52"/>
        <v/>
      </c>
      <c r="AB185" s="64" t="str">
        <f t="shared" si="53"/>
        <v/>
      </c>
    </row>
    <row r="186" spans="1:28" x14ac:dyDescent="0.35">
      <c r="A186">
        <f>'Procurement Schedule'!R270</f>
        <v>0</v>
      </c>
      <c r="B186" s="63">
        <f>'Procurement Schedule'!M270</f>
        <v>0</v>
      </c>
      <c r="C186">
        <f t="shared" si="54"/>
        <v>1</v>
      </c>
      <c r="D186">
        <f t="shared" si="56"/>
        <v>1900</v>
      </c>
      <c r="E186" t="str">
        <f t="shared" si="57"/>
        <v>1_1900</v>
      </c>
      <c r="G186">
        <f t="shared" si="58"/>
        <v>0</v>
      </c>
      <c r="H186" s="63">
        <f>'Procurement Schedule'!N270</f>
        <v>0</v>
      </c>
      <c r="I186">
        <f t="shared" si="55"/>
        <v>1</v>
      </c>
      <c r="J186">
        <f t="shared" si="59"/>
        <v>1900</v>
      </c>
      <c r="K186" t="str">
        <f t="shared" si="60"/>
        <v>1_1900</v>
      </c>
      <c r="S186" t="str">
        <f t="shared" si="51"/>
        <v/>
      </c>
      <c r="T186" s="64" t="str">
        <f t="shared" si="50"/>
        <v/>
      </c>
      <c r="AA186" t="str">
        <f t="shared" si="52"/>
        <v/>
      </c>
      <c r="AB186" s="64" t="str">
        <f t="shared" si="53"/>
        <v/>
      </c>
    </row>
    <row r="187" spans="1:28" x14ac:dyDescent="0.35">
      <c r="A187">
        <f>'Procurement Schedule'!R271</f>
        <v>96000</v>
      </c>
      <c r="B187" s="63">
        <f>'Procurement Schedule'!M271</f>
        <v>46752</v>
      </c>
      <c r="C187">
        <f t="shared" si="54"/>
        <v>12</v>
      </c>
      <c r="D187">
        <f t="shared" si="56"/>
        <v>2027</v>
      </c>
      <c r="E187" t="str">
        <f t="shared" si="57"/>
        <v>12_2027</v>
      </c>
      <c r="G187">
        <f t="shared" si="58"/>
        <v>96000</v>
      </c>
      <c r="H187" s="63">
        <f>'Procurement Schedule'!N271</f>
        <v>0</v>
      </c>
      <c r="I187">
        <f t="shared" si="55"/>
        <v>1</v>
      </c>
      <c r="J187">
        <f t="shared" si="59"/>
        <v>1900</v>
      </c>
      <c r="K187" t="str">
        <f t="shared" si="60"/>
        <v>1_1900</v>
      </c>
      <c r="S187" t="str">
        <f t="shared" si="51"/>
        <v/>
      </c>
      <c r="T187" s="64" t="str">
        <f t="shared" si="50"/>
        <v/>
      </c>
      <c r="AA187" t="str">
        <f t="shared" si="52"/>
        <v/>
      </c>
      <c r="AB187" s="64" t="str">
        <f t="shared" si="53"/>
        <v/>
      </c>
    </row>
    <row r="188" spans="1:28" x14ac:dyDescent="0.35">
      <c r="A188">
        <f>'Procurement Schedule'!R274</f>
        <v>90000</v>
      </c>
      <c r="B188" s="63">
        <f>'Procurement Schedule'!M274</f>
        <v>46752</v>
      </c>
      <c r="C188">
        <f t="shared" si="54"/>
        <v>12</v>
      </c>
      <c r="D188">
        <f t="shared" si="56"/>
        <v>2027</v>
      </c>
      <c r="E188" t="str">
        <f t="shared" si="57"/>
        <v>12_2027</v>
      </c>
      <c r="G188">
        <f t="shared" si="58"/>
        <v>90000</v>
      </c>
      <c r="H188" s="63">
        <f>'Procurement Schedule'!N274</f>
        <v>0</v>
      </c>
      <c r="I188">
        <f t="shared" si="55"/>
        <v>1</v>
      </c>
      <c r="J188">
        <f t="shared" si="59"/>
        <v>1900</v>
      </c>
      <c r="K188" t="str">
        <f t="shared" si="60"/>
        <v>1_1900</v>
      </c>
      <c r="S188" t="str">
        <f t="shared" si="51"/>
        <v/>
      </c>
      <c r="T188" s="64" t="str">
        <f t="shared" si="50"/>
        <v/>
      </c>
      <c r="AA188" t="str">
        <f t="shared" si="52"/>
        <v/>
      </c>
      <c r="AB188" s="64" t="str">
        <f t="shared" si="53"/>
        <v/>
      </c>
    </row>
    <row r="189" spans="1:28" x14ac:dyDescent="0.35">
      <c r="A189">
        <f>'Procurement Schedule'!R275</f>
        <v>314000</v>
      </c>
      <c r="B189" s="63">
        <f>'Procurement Schedule'!M275</f>
        <v>46752</v>
      </c>
      <c r="C189">
        <f t="shared" si="54"/>
        <v>12</v>
      </c>
      <c r="D189">
        <f t="shared" si="56"/>
        <v>2027</v>
      </c>
      <c r="E189" t="str">
        <f t="shared" si="57"/>
        <v>12_2027</v>
      </c>
      <c r="G189">
        <f t="shared" si="58"/>
        <v>314000</v>
      </c>
      <c r="H189" s="63">
        <f>'Procurement Schedule'!N275</f>
        <v>0</v>
      </c>
      <c r="I189">
        <f t="shared" si="55"/>
        <v>1</v>
      </c>
      <c r="J189">
        <f t="shared" si="59"/>
        <v>1900</v>
      </c>
      <c r="K189" t="str">
        <f t="shared" si="60"/>
        <v>1_1900</v>
      </c>
      <c r="S189" t="str">
        <f t="shared" si="51"/>
        <v/>
      </c>
      <c r="T189" s="64" t="str">
        <f t="shared" si="50"/>
        <v/>
      </c>
      <c r="AA189" t="str">
        <f t="shared" si="52"/>
        <v/>
      </c>
      <c r="AB189" s="64" t="str">
        <f t="shared" si="53"/>
        <v/>
      </c>
    </row>
    <row r="190" spans="1:28" x14ac:dyDescent="0.35">
      <c r="A190">
        <f>'Procurement Schedule'!R280</f>
        <v>544000</v>
      </c>
      <c r="B190" s="63">
        <f>'Procurement Schedule'!M280</f>
        <v>46752</v>
      </c>
      <c r="C190">
        <f t="shared" si="54"/>
        <v>12</v>
      </c>
      <c r="D190">
        <f t="shared" si="56"/>
        <v>2027</v>
      </c>
      <c r="E190" t="str">
        <f t="shared" si="57"/>
        <v>12_2027</v>
      </c>
      <c r="G190">
        <f t="shared" si="58"/>
        <v>544000</v>
      </c>
      <c r="H190" s="63">
        <f>'Procurement Schedule'!N280</f>
        <v>0</v>
      </c>
      <c r="I190">
        <f t="shared" si="55"/>
        <v>1</v>
      </c>
      <c r="J190">
        <f t="shared" si="59"/>
        <v>1900</v>
      </c>
      <c r="K190" t="str">
        <f t="shared" si="60"/>
        <v>1_1900</v>
      </c>
      <c r="S190" t="str">
        <f t="shared" si="51"/>
        <v/>
      </c>
      <c r="T190" s="64" t="str">
        <f t="shared" si="50"/>
        <v/>
      </c>
      <c r="AA190" t="str">
        <f t="shared" si="52"/>
        <v/>
      </c>
      <c r="AB190" s="64" t="str">
        <f t="shared" si="53"/>
        <v/>
      </c>
    </row>
    <row r="191" spans="1:28" x14ac:dyDescent="0.35">
      <c r="A191">
        <f>'Procurement Schedule'!R281</f>
        <v>1360000</v>
      </c>
      <c r="B191" s="63">
        <f>'Procurement Schedule'!M281</f>
        <v>46066</v>
      </c>
      <c r="C191">
        <f t="shared" si="54"/>
        <v>2</v>
      </c>
      <c r="D191">
        <f t="shared" si="56"/>
        <v>2026</v>
      </c>
      <c r="E191" t="str">
        <f t="shared" si="57"/>
        <v>2_2026</v>
      </c>
      <c r="G191">
        <f t="shared" si="58"/>
        <v>1360000</v>
      </c>
      <c r="H191" s="63">
        <f>'Procurement Schedule'!N281</f>
        <v>46068</v>
      </c>
      <c r="I191">
        <f t="shared" si="55"/>
        <v>2</v>
      </c>
      <c r="J191">
        <f t="shared" si="59"/>
        <v>2026</v>
      </c>
      <c r="K191" t="str">
        <f t="shared" si="60"/>
        <v>2_2026</v>
      </c>
      <c r="S191" t="str">
        <f t="shared" si="51"/>
        <v/>
      </c>
      <c r="T191" s="64" t="str">
        <f t="shared" si="50"/>
        <v/>
      </c>
      <c r="AA191" t="str">
        <f t="shared" si="52"/>
        <v/>
      </c>
      <c r="AB191" s="64" t="str">
        <f t="shared" si="53"/>
        <v/>
      </c>
    </row>
    <row r="192" spans="1:28" x14ac:dyDescent="0.35">
      <c r="A192">
        <f>'Procurement Schedule'!R283</f>
        <v>0</v>
      </c>
      <c r="B192" s="63">
        <f>'Procurement Schedule'!M283</f>
        <v>0</v>
      </c>
      <c r="C192">
        <f t="shared" si="54"/>
        <v>1</v>
      </c>
      <c r="D192">
        <f t="shared" si="56"/>
        <v>1900</v>
      </c>
      <c r="E192" t="str">
        <f t="shared" si="57"/>
        <v>1_1900</v>
      </c>
      <c r="G192">
        <f t="shared" si="58"/>
        <v>0</v>
      </c>
      <c r="H192" s="63">
        <f>'Procurement Schedule'!N283</f>
        <v>0</v>
      </c>
      <c r="I192">
        <f t="shared" si="55"/>
        <v>1</v>
      </c>
      <c r="J192">
        <f t="shared" si="59"/>
        <v>1900</v>
      </c>
      <c r="K192" t="str">
        <f t="shared" si="60"/>
        <v>1_1900</v>
      </c>
      <c r="S192" t="str">
        <f t="shared" si="51"/>
        <v/>
      </c>
      <c r="T192" s="64" t="str">
        <f t="shared" si="50"/>
        <v/>
      </c>
      <c r="AA192" t="str">
        <f t="shared" si="52"/>
        <v/>
      </c>
      <c r="AB192" s="64" t="str">
        <f t="shared" si="53"/>
        <v/>
      </c>
    </row>
    <row r="193" spans="1:28" x14ac:dyDescent="0.35">
      <c r="A193">
        <f>'Procurement Schedule'!R284</f>
        <v>1984000</v>
      </c>
      <c r="B193" s="63">
        <f>'Procurement Schedule'!M284</f>
        <v>46022</v>
      </c>
      <c r="C193">
        <f t="shared" si="54"/>
        <v>12</v>
      </c>
      <c r="D193">
        <f t="shared" si="56"/>
        <v>2025</v>
      </c>
      <c r="E193" t="str">
        <f t="shared" si="57"/>
        <v>12_2025</v>
      </c>
      <c r="G193">
        <f t="shared" si="58"/>
        <v>1984000</v>
      </c>
      <c r="H193" s="63">
        <f>'Procurement Schedule'!N284</f>
        <v>0</v>
      </c>
      <c r="I193">
        <f t="shared" si="55"/>
        <v>1</v>
      </c>
      <c r="J193">
        <f t="shared" si="59"/>
        <v>1900</v>
      </c>
      <c r="K193" t="str">
        <f t="shared" si="60"/>
        <v>1_1900</v>
      </c>
      <c r="S193" t="str">
        <f t="shared" si="51"/>
        <v/>
      </c>
      <c r="T193" s="64" t="str">
        <f t="shared" si="50"/>
        <v/>
      </c>
      <c r="AA193" t="str">
        <f t="shared" si="52"/>
        <v/>
      </c>
      <c r="AB193" s="64" t="str">
        <f t="shared" si="53"/>
        <v/>
      </c>
    </row>
    <row r="194" spans="1:28" x14ac:dyDescent="0.35">
      <c r="A194">
        <f>'Procurement Schedule'!R291</f>
        <v>114240</v>
      </c>
      <c r="B194" s="63">
        <f>'Procurement Schedule'!M291</f>
        <v>46053</v>
      </c>
      <c r="C194">
        <f t="shared" si="54"/>
        <v>1</v>
      </c>
      <c r="D194">
        <f t="shared" si="56"/>
        <v>2026</v>
      </c>
      <c r="E194" t="str">
        <f t="shared" si="57"/>
        <v>1_2026</v>
      </c>
      <c r="G194">
        <f t="shared" si="58"/>
        <v>114240</v>
      </c>
      <c r="H194" s="63">
        <f>'Procurement Schedule'!N291</f>
        <v>0</v>
      </c>
      <c r="I194">
        <f t="shared" si="55"/>
        <v>1</v>
      </c>
      <c r="J194">
        <f t="shared" si="59"/>
        <v>1900</v>
      </c>
      <c r="K194" t="str">
        <f t="shared" si="60"/>
        <v>1_1900</v>
      </c>
      <c r="S194" t="str">
        <f t="shared" si="51"/>
        <v/>
      </c>
      <c r="T194" s="64" t="str">
        <f t="shared" si="50"/>
        <v/>
      </c>
      <c r="AA194" t="str">
        <f t="shared" si="52"/>
        <v/>
      </c>
      <c r="AB194" s="64" t="str">
        <f t="shared" si="53"/>
        <v/>
      </c>
    </row>
    <row r="195" spans="1:28" x14ac:dyDescent="0.35">
      <c r="A195">
        <f>'Procurement Schedule'!R293</f>
        <v>219130</v>
      </c>
      <c r="B195" s="63">
        <f>'Procurement Schedule'!M293</f>
        <v>46752</v>
      </c>
      <c r="C195">
        <f t="shared" si="54"/>
        <v>12</v>
      </c>
      <c r="D195">
        <f t="shared" si="56"/>
        <v>2027</v>
      </c>
      <c r="E195" t="str">
        <f t="shared" si="57"/>
        <v>12_2027</v>
      </c>
      <c r="G195">
        <f t="shared" si="58"/>
        <v>219130</v>
      </c>
      <c r="H195" s="63">
        <f>'Procurement Schedule'!N293</f>
        <v>0</v>
      </c>
      <c r="I195">
        <f t="shared" si="55"/>
        <v>1</v>
      </c>
      <c r="J195">
        <f t="shared" si="59"/>
        <v>1900</v>
      </c>
      <c r="K195" t="str">
        <f t="shared" si="60"/>
        <v>1_1900</v>
      </c>
      <c r="S195" t="str">
        <f t="shared" si="51"/>
        <v/>
      </c>
      <c r="T195" s="64" t="str">
        <f t="shared" si="50"/>
        <v/>
      </c>
      <c r="AA195" t="str">
        <f t="shared" si="52"/>
        <v/>
      </c>
      <c r="AB195" s="64" t="str">
        <f t="shared" si="53"/>
        <v/>
      </c>
    </row>
    <row r="196" spans="1:28" x14ac:dyDescent="0.35">
      <c r="A196">
        <f>'Procurement Schedule'!R295</f>
        <v>108800</v>
      </c>
      <c r="B196" s="63">
        <f>'Procurement Schedule'!M295</f>
        <v>46752</v>
      </c>
      <c r="C196">
        <f t="shared" si="54"/>
        <v>12</v>
      </c>
      <c r="D196">
        <f t="shared" si="56"/>
        <v>2027</v>
      </c>
      <c r="E196" t="str">
        <f t="shared" si="57"/>
        <v>12_2027</v>
      </c>
      <c r="G196">
        <f t="shared" si="58"/>
        <v>108800</v>
      </c>
      <c r="H196" s="63">
        <f>'Procurement Schedule'!N295</f>
        <v>0</v>
      </c>
      <c r="I196">
        <f t="shared" si="55"/>
        <v>1</v>
      </c>
      <c r="J196">
        <f t="shared" si="59"/>
        <v>1900</v>
      </c>
      <c r="K196" t="str">
        <f t="shared" si="60"/>
        <v>1_1900</v>
      </c>
      <c r="S196" t="str">
        <f t="shared" si="51"/>
        <v/>
      </c>
      <c r="T196" s="64" t="str">
        <f t="shared" si="50"/>
        <v/>
      </c>
      <c r="AA196" t="str">
        <f t="shared" si="52"/>
        <v/>
      </c>
      <c r="AB196" s="64" t="str">
        <f t="shared" si="53"/>
        <v/>
      </c>
    </row>
    <row r="197" spans="1:28" x14ac:dyDescent="0.35">
      <c r="A197">
        <f>'Procurement Schedule'!R297</f>
        <v>157760</v>
      </c>
      <c r="B197" s="63">
        <f>'Procurement Schedule'!M297</f>
        <v>46752</v>
      </c>
      <c r="C197">
        <f t="shared" si="54"/>
        <v>12</v>
      </c>
      <c r="D197">
        <f t="shared" si="56"/>
        <v>2027</v>
      </c>
      <c r="E197" t="str">
        <f t="shared" si="57"/>
        <v>12_2027</v>
      </c>
      <c r="G197">
        <f t="shared" si="58"/>
        <v>157760</v>
      </c>
      <c r="H197" s="63">
        <f>'Procurement Schedule'!N297</f>
        <v>0</v>
      </c>
      <c r="I197">
        <f t="shared" si="55"/>
        <v>1</v>
      </c>
      <c r="J197">
        <f t="shared" si="59"/>
        <v>1900</v>
      </c>
      <c r="K197" t="str">
        <f t="shared" si="60"/>
        <v>1_1900</v>
      </c>
      <c r="S197" t="str">
        <f t="shared" si="51"/>
        <v/>
      </c>
      <c r="T197" s="64" t="str">
        <f t="shared" ref="T197:T260" si="61">IFERROR(VLOOKUP(Q197,AD:AE,2,0),"")</f>
        <v/>
      </c>
      <c r="AA197" t="str">
        <f t="shared" si="52"/>
        <v/>
      </c>
      <c r="AB197" s="64" t="str">
        <f t="shared" si="53"/>
        <v/>
      </c>
    </row>
    <row r="198" spans="1:28" x14ac:dyDescent="0.35">
      <c r="A198">
        <f>'Procurement Schedule'!R299</f>
        <v>179520</v>
      </c>
      <c r="B198" s="63">
        <f>'Procurement Schedule'!M299</f>
        <v>46752</v>
      </c>
      <c r="C198">
        <f t="shared" si="54"/>
        <v>12</v>
      </c>
      <c r="D198">
        <f t="shared" si="56"/>
        <v>2027</v>
      </c>
      <c r="E198" t="str">
        <f t="shared" si="57"/>
        <v>12_2027</v>
      </c>
      <c r="G198">
        <f t="shared" si="58"/>
        <v>179520</v>
      </c>
      <c r="H198" s="63">
        <f>'Procurement Schedule'!N299</f>
        <v>0</v>
      </c>
      <c r="I198">
        <f t="shared" si="55"/>
        <v>1</v>
      </c>
      <c r="J198">
        <f t="shared" si="59"/>
        <v>1900</v>
      </c>
      <c r="K198" t="str">
        <f t="shared" si="60"/>
        <v>1_1900</v>
      </c>
      <c r="S198" t="str">
        <f t="shared" si="51"/>
        <v/>
      </c>
      <c r="T198" s="64" t="str">
        <f t="shared" si="61"/>
        <v/>
      </c>
      <c r="AA198" t="str">
        <f t="shared" si="52"/>
        <v/>
      </c>
      <c r="AB198" s="64" t="str">
        <f t="shared" si="53"/>
        <v/>
      </c>
    </row>
    <row r="199" spans="1:28" x14ac:dyDescent="0.35">
      <c r="A199">
        <f>'Procurement Schedule'!R300</f>
        <v>174080</v>
      </c>
      <c r="B199" s="63">
        <f>'Procurement Schedule'!M300</f>
        <v>46752</v>
      </c>
      <c r="C199">
        <f t="shared" si="54"/>
        <v>12</v>
      </c>
      <c r="D199">
        <f t="shared" si="56"/>
        <v>2027</v>
      </c>
      <c r="E199" t="str">
        <f t="shared" si="57"/>
        <v>12_2027</v>
      </c>
      <c r="G199">
        <f t="shared" si="58"/>
        <v>174080</v>
      </c>
      <c r="H199" s="63">
        <f>'Procurement Schedule'!N300</f>
        <v>0</v>
      </c>
      <c r="I199">
        <f t="shared" si="55"/>
        <v>1</v>
      </c>
      <c r="J199">
        <f t="shared" si="59"/>
        <v>1900</v>
      </c>
      <c r="K199" t="str">
        <f t="shared" si="60"/>
        <v>1_1900</v>
      </c>
      <c r="S199" t="str">
        <f t="shared" si="51"/>
        <v/>
      </c>
      <c r="T199" s="64" t="str">
        <f t="shared" si="61"/>
        <v/>
      </c>
      <c r="AA199" t="str">
        <f t="shared" si="52"/>
        <v/>
      </c>
      <c r="AB199" s="64" t="str">
        <f t="shared" si="53"/>
        <v/>
      </c>
    </row>
    <row r="200" spans="1:28" x14ac:dyDescent="0.35">
      <c r="A200">
        <f>'Procurement Schedule'!R302</f>
        <v>282880</v>
      </c>
      <c r="B200" s="63">
        <f>'Procurement Schedule'!M302</f>
        <v>46752</v>
      </c>
      <c r="C200">
        <f t="shared" si="54"/>
        <v>12</v>
      </c>
      <c r="D200">
        <f t="shared" si="56"/>
        <v>2027</v>
      </c>
      <c r="E200" t="str">
        <f t="shared" si="57"/>
        <v>12_2027</v>
      </c>
      <c r="G200">
        <f t="shared" si="58"/>
        <v>282880</v>
      </c>
      <c r="H200" s="63">
        <f>'Procurement Schedule'!N302</f>
        <v>0</v>
      </c>
      <c r="I200">
        <f t="shared" si="55"/>
        <v>1</v>
      </c>
      <c r="J200">
        <f t="shared" si="59"/>
        <v>1900</v>
      </c>
      <c r="K200" t="str">
        <f t="shared" si="60"/>
        <v>1_1900</v>
      </c>
      <c r="S200" t="str">
        <f t="shared" si="51"/>
        <v/>
      </c>
      <c r="T200" s="64" t="str">
        <f t="shared" si="61"/>
        <v/>
      </c>
      <c r="AA200" t="str">
        <f t="shared" si="52"/>
        <v/>
      </c>
      <c r="AB200" s="64" t="str">
        <f t="shared" si="53"/>
        <v/>
      </c>
    </row>
    <row r="201" spans="1:28" x14ac:dyDescent="0.35">
      <c r="A201">
        <f>'Procurement Schedule'!R304</f>
        <v>84320</v>
      </c>
      <c r="B201" s="63">
        <f>'Procurement Schedule'!M304</f>
        <v>46752</v>
      </c>
      <c r="C201">
        <f t="shared" si="54"/>
        <v>12</v>
      </c>
      <c r="D201">
        <f t="shared" si="56"/>
        <v>2027</v>
      </c>
      <c r="E201" t="str">
        <f t="shared" si="57"/>
        <v>12_2027</v>
      </c>
      <c r="G201">
        <f t="shared" si="58"/>
        <v>84320</v>
      </c>
      <c r="H201" s="63">
        <f>'Procurement Schedule'!N304</f>
        <v>0</v>
      </c>
      <c r="I201">
        <f t="shared" si="55"/>
        <v>1</v>
      </c>
      <c r="J201">
        <f t="shared" si="59"/>
        <v>1900</v>
      </c>
      <c r="K201" t="str">
        <f t="shared" si="60"/>
        <v>1_1900</v>
      </c>
      <c r="S201" t="str">
        <f t="shared" ref="S201:S264" si="62">IF(R201="","",S200+R201)</f>
        <v/>
      </c>
      <c r="T201" s="64" t="str">
        <f t="shared" si="61"/>
        <v/>
      </c>
      <c r="AA201" t="str">
        <f t="shared" si="52"/>
        <v/>
      </c>
      <c r="AB201" s="64" t="str">
        <f t="shared" si="53"/>
        <v/>
      </c>
    </row>
    <row r="202" spans="1:28" x14ac:dyDescent="0.35">
      <c r="A202">
        <f>'Procurement Schedule'!R307</f>
        <v>500480</v>
      </c>
      <c r="B202" s="63">
        <f>'Procurement Schedule'!M307</f>
        <v>46752</v>
      </c>
      <c r="C202">
        <f t="shared" si="54"/>
        <v>12</v>
      </c>
      <c r="D202">
        <f t="shared" si="56"/>
        <v>2027</v>
      </c>
      <c r="E202" t="str">
        <f t="shared" si="57"/>
        <v>12_2027</v>
      </c>
      <c r="G202">
        <f t="shared" si="58"/>
        <v>500480</v>
      </c>
      <c r="H202" s="63">
        <f>'Procurement Schedule'!N307</f>
        <v>0</v>
      </c>
      <c r="I202">
        <f t="shared" si="55"/>
        <v>1</v>
      </c>
      <c r="J202">
        <f t="shared" si="59"/>
        <v>1900</v>
      </c>
      <c r="K202" t="str">
        <f t="shared" si="60"/>
        <v>1_1900</v>
      </c>
      <c r="S202" t="str">
        <f t="shared" si="62"/>
        <v/>
      </c>
      <c r="T202" s="64" t="str">
        <f t="shared" si="61"/>
        <v/>
      </c>
      <c r="AA202" t="str">
        <f t="shared" ref="AA202:AA265" si="63">IF(Z202="","",AA201+Z202)</f>
        <v/>
      </c>
      <c r="AB202" s="64" t="str">
        <f t="shared" ref="AB202:AB265" si="64">IFERROR(VLOOKUP(Y202,AD:AE,2,0),"")</f>
        <v/>
      </c>
    </row>
    <row r="203" spans="1:28" x14ac:dyDescent="0.35">
      <c r="A203">
        <f>'Procurement Schedule'!R308</f>
        <v>43520</v>
      </c>
      <c r="B203" s="63">
        <f>'Procurement Schedule'!M308</f>
        <v>46752</v>
      </c>
      <c r="C203">
        <f t="shared" si="54"/>
        <v>12</v>
      </c>
      <c r="D203">
        <f t="shared" si="56"/>
        <v>2027</v>
      </c>
      <c r="E203" t="str">
        <f t="shared" si="57"/>
        <v>12_2027</v>
      </c>
      <c r="G203">
        <f t="shared" si="58"/>
        <v>43520</v>
      </c>
      <c r="H203" s="63">
        <f>'Procurement Schedule'!N308</f>
        <v>0</v>
      </c>
      <c r="I203">
        <f t="shared" si="55"/>
        <v>1</v>
      </c>
      <c r="J203">
        <f t="shared" si="59"/>
        <v>1900</v>
      </c>
      <c r="K203" t="str">
        <f t="shared" si="60"/>
        <v>1_1900</v>
      </c>
      <c r="S203" t="str">
        <f t="shared" si="62"/>
        <v/>
      </c>
      <c r="T203" s="64" t="str">
        <f t="shared" si="61"/>
        <v/>
      </c>
      <c r="AA203" t="str">
        <f t="shared" si="63"/>
        <v/>
      </c>
      <c r="AB203" s="64" t="str">
        <f t="shared" si="64"/>
        <v/>
      </c>
    </row>
    <row r="204" spans="1:28" x14ac:dyDescent="0.35">
      <c r="A204">
        <f>'Procurement Schedule'!R310</f>
        <v>38080</v>
      </c>
      <c r="B204" s="63">
        <f>'Procurement Schedule'!M310</f>
        <v>46752</v>
      </c>
      <c r="C204">
        <f t="shared" si="54"/>
        <v>12</v>
      </c>
      <c r="D204">
        <f t="shared" si="56"/>
        <v>2027</v>
      </c>
      <c r="E204" t="str">
        <f t="shared" si="57"/>
        <v>12_2027</v>
      </c>
      <c r="G204">
        <f t="shared" si="58"/>
        <v>38080</v>
      </c>
      <c r="H204" s="63">
        <f>'Procurement Schedule'!N310</f>
        <v>0</v>
      </c>
      <c r="I204">
        <f t="shared" si="55"/>
        <v>1</v>
      </c>
      <c r="J204">
        <f t="shared" si="59"/>
        <v>1900</v>
      </c>
      <c r="K204" t="str">
        <f t="shared" si="60"/>
        <v>1_1900</v>
      </c>
      <c r="S204" t="str">
        <f t="shared" si="62"/>
        <v/>
      </c>
      <c r="T204" s="64" t="str">
        <f t="shared" si="61"/>
        <v/>
      </c>
      <c r="AA204" t="str">
        <f t="shared" si="63"/>
        <v/>
      </c>
      <c r="AB204" s="64" t="str">
        <f t="shared" si="64"/>
        <v/>
      </c>
    </row>
    <row r="205" spans="1:28" x14ac:dyDescent="0.35">
      <c r="A205">
        <f>'Procurement Schedule'!R311</f>
        <v>0</v>
      </c>
      <c r="B205" s="63">
        <f>'Procurement Schedule'!M311</f>
        <v>0</v>
      </c>
      <c r="C205">
        <f t="shared" si="54"/>
        <v>1</v>
      </c>
      <c r="D205">
        <f t="shared" si="56"/>
        <v>1900</v>
      </c>
      <c r="E205" t="str">
        <f t="shared" si="57"/>
        <v>1_1900</v>
      </c>
      <c r="G205">
        <f t="shared" si="58"/>
        <v>0</v>
      </c>
      <c r="H205" s="63">
        <f>'Procurement Schedule'!N311</f>
        <v>0</v>
      </c>
      <c r="I205">
        <f t="shared" si="55"/>
        <v>1</v>
      </c>
      <c r="J205">
        <f t="shared" si="59"/>
        <v>1900</v>
      </c>
      <c r="K205" t="str">
        <f t="shared" si="60"/>
        <v>1_1900</v>
      </c>
      <c r="S205" t="str">
        <f t="shared" si="62"/>
        <v/>
      </c>
      <c r="T205" s="64" t="str">
        <f t="shared" si="61"/>
        <v/>
      </c>
      <c r="AA205" t="str">
        <f t="shared" si="63"/>
        <v/>
      </c>
      <c r="AB205" s="64" t="str">
        <f t="shared" si="64"/>
        <v/>
      </c>
    </row>
    <row r="206" spans="1:28" x14ac:dyDescent="0.35">
      <c r="A206">
        <f>'Procurement Schedule'!R312</f>
        <v>1569780</v>
      </c>
      <c r="B206" s="63">
        <f>'Procurement Schedule'!M312</f>
        <v>46752</v>
      </c>
      <c r="C206">
        <f t="shared" si="54"/>
        <v>12</v>
      </c>
      <c r="D206">
        <f t="shared" si="56"/>
        <v>2027</v>
      </c>
      <c r="E206" t="str">
        <f t="shared" si="57"/>
        <v>12_2027</v>
      </c>
      <c r="G206">
        <f t="shared" si="58"/>
        <v>1569780</v>
      </c>
      <c r="H206" s="63">
        <f>'Procurement Schedule'!N312</f>
        <v>0</v>
      </c>
      <c r="I206">
        <f t="shared" si="55"/>
        <v>1</v>
      </c>
      <c r="J206">
        <f t="shared" si="59"/>
        <v>1900</v>
      </c>
      <c r="K206" t="str">
        <f t="shared" si="60"/>
        <v>1_1900</v>
      </c>
      <c r="S206" t="str">
        <f t="shared" si="62"/>
        <v/>
      </c>
      <c r="T206" s="64" t="str">
        <f t="shared" si="61"/>
        <v/>
      </c>
      <c r="AA206" t="str">
        <f t="shared" si="63"/>
        <v/>
      </c>
      <c r="AB206" s="64" t="str">
        <f t="shared" si="64"/>
        <v/>
      </c>
    </row>
    <row r="207" spans="1:28" x14ac:dyDescent="0.35">
      <c r="A207">
        <f>'Procurement Schedule'!R315</f>
        <v>190400</v>
      </c>
      <c r="B207" s="63">
        <f>'Procurement Schedule'!M315</f>
        <v>46752</v>
      </c>
      <c r="C207">
        <f t="shared" si="54"/>
        <v>12</v>
      </c>
      <c r="D207">
        <f t="shared" si="56"/>
        <v>2027</v>
      </c>
      <c r="E207" t="str">
        <f t="shared" si="57"/>
        <v>12_2027</v>
      </c>
      <c r="G207">
        <f t="shared" si="58"/>
        <v>190400</v>
      </c>
      <c r="H207" s="63">
        <f>'Procurement Schedule'!N315</f>
        <v>0</v>
      </c>
      <c r="I207">
        <f t="shared" si="55"/>
        <v>1</v>
      </c>
      <c r="J207">
        <f t="shared" si="59"/>
        <v>1900</v>
      </c>
      <c r="K207" t="str">
        <f t="shared" si="60"/>
        <v>1_1900</v>
      </c>
      <c r="S207" t="str">
        <f t="shared" si="62"/>
        <v/>
      </c>
      <c r="T207" s="64" t="str">
        <f t="shared" si="61"/>
        <v/>
      </c>
      <c r="AA207" t="str">
        <f t="shared" si="63"/>
        <v/>
      </c>
      <c r="AB207" s="64" t="str">
        <f t="shared" si="64"/>
        <v/>
      </c>
    </row>
    <row r="208" spans="1:28" x14ac:dyDescent="0.35">
      <c r="A208">
        <f>'Procurement Schedule'!R316</f>
        <v>272000</v>
      </c>
      <c r="B208" s="63">
        <f>'Procurement Schedule'!M316</f>
        <v>46752</v>
      </c>
      <c r="C208">
        <f t="shared" si="54"/>
        <v>12</v>
      </c>
      <c r="D208">
        <f t="shared" si="56"/>
        <v>2027</v>
      </c>
      <c r="E208" t="str">
        <f t="shared" si="57"/>
        <v>12_2027</v>
      </c>
      <c r="G208">
        <f t="shared" si="58"/>
        <v>272000</v>
      </c>
      <c r="H208" s="63">
        <f>'Procurement Schedule'!N316</f>
        <v>0</v>
      </c>
      <c r="I208">
        <f t="shared" si="55"/>
        <v>1</v>
      </c>
      <c r="J208">
        <f t="shared" si="59"/>
        <v>1900</v>
      </c>
      <c r="K208" t="str">
        <f t="shared" si="60"/>
        <v>1_1900</v>
      </c>
      <c r="S208" t="str">
        <f t="shared" si="62"/>
        <v/>
      </c>
      <c r="T208" s="64" t="str">
        <f t="shared" si="61"/>
        <v/>
      </c>
      <c r="AA208" t="str">
        <f t="shared" si="63"/>
        <v/>
      </c>
      <c r="AB208" s="64" t="str">
        <f t="shared" si="64"/>
        <v/>
      </c>
    </row>
    <row r="209" spans="1:28" x14ac:dyDescent="0.35">
      <c r="A209">
        <f>'Procurement Schedule'!R317</f>
        <v>108800</v>
      </c>
      <c r="B209" s="63">
        <f>'Procurement Schedule'!M317</f>
        <v>46022</v>
      </c>
      <c r="C209">
        <f t="shared" si="54"/>
        <v>12</v>
      </c>
      <c r="D209">
        <f t="shared" si="56"/>
        <v>2025</v>
      </c>
      <c r="E209" t="str">
        <f t="shared" si="57"/>
        <v>12_2025</v>
      </c>
      <c r="G209">
        <f t="shared" si="58"/>
        <v>108800</v>
      </c>
      <c r="H209" s="63">
        <f>'Procurement Schedule'!N317</f>
        <v>0</v>
      </c>
      <c r="I209">
        <f t="shared" si="55"/>
        <v>1</v>
      </c>
      <c r="J209">
        <f t="shared" si="59"/>
        <v>1900</v>
      </c>
      <c r="K209" t="str">
        <f t="shared" si="60"/>
        <v>1_1900</v>
      </c>
      <c r="S209" t="str">
        <f t="shared" si="62"/>
        <v/>
      </c>
      <c r="T209" s="64" t="str">
        <f t="shared" si="61"/>
        <v/>
      </c>
      <c r="AA209" t="str">
        <f t="shared" si="63"/>
        <v/>
      </c>
      <c r="AB209" s="64" t="str">
        <f t="shared" si="64"/>
        <v/>
      </c>
    </row>
    <row r="210" spans="1:28" x14ac:dyDescent="0.35">
      <c r="A210">
        <f>'Procurement Schedule'!R318</f>
        <v>326400</v>
      </c>
      <c r="B210" s="63">
        <f>'Procurement Schedule'!M318</f>
        <v>46068</v>
      </c>
      <c r="C210">
        <f t="shared" si="54"/>
        <v>2</v>
      </c>
      <c r="D210">
        <f t="shared" si="56"/>
        <v>2026</v>
      </c>
      <c r="E210" t="str">
        <f t="shared" si="57"/>
        <v>2_2026</v>
      </c>
      <c r="G210">
        <f t="shared" si="58"/>
        <v>326400</v>
      </c>
      <c r="H210" s="63">
        <f>'Procurement Schedule'!N318</f>
        <v>46127</v>
      </c>
      <c r="I210">
        <f t="shared" si="55"/>
        <v>4</v>
      </c>
      <c r="J210">
        <f t="shared" si="59"/>
        <v>2026</v>
      </c>
      <c r="K210" t="str">
        <f t="shared" si="60"/>
        <v>4_2026</v>
      </c>
      <c r="S210" t="str">
        <f t="shared" si="62"/>
        <v/>
      </c>
      <c r="T210" s="64" t="str">
        <f t="shared" si="61"/>
        <v/>
      </c>
      <c r="AA210" t="str">
        <f t="shared" si="63"/>
        <v/>
      </c>
      <c r="AB210" s="64" t="str">
        <f t="shared" si="64"/>
        <v/>
      </c>
    </row>
    <row r="211" spans="1:28" x14ac:dyDescent="0.35">
      <c r="A211">
        <f>'Procurement Schedule'!R319</f>
        <v>585600</v>
      </c>
      <c r="B211" s="63">
        <f>'Procurement Schedule'!M319</f>
        <v>46022</v>
      </c>
      <c r="C211">
        <f t="shared" ref="C211:C274" si="65">MONTH(B211)</f>
        <v>12</v>
      </c>
      <c r="D211">
        <f t="shared" si="56"/>
        <v>2025</v>
      </c>
      <c r="E211" t="str">
        <f t="shared" si="57"/>
        <v>12_2025</v>
      </c>
      <c r="G211">
        <f t="shared" si="58"/>
        <v>585600</v>
      </c>
      <c r="H211" s="63">
        <f>'Procurement Schedule'!N319</f>
        <v>46022</v>
      </c>
      <c r="I211">
        <f t="shared" si="55"/>
        <v>12</v>
      </c>
      <c r="J211">
        <f t="shared" si="59"/>
        <v>2025</v>
      </c>
      <c r="K211" t="str">
        <f t="shared" si="60"/>
        <v>12_2025</v>
      </c>
      <c r="S211" t="str">
        <f t="shared" si="62"/>
        <v/>
      </c>
      <c r="T211" s="64" t="str">
        <f t="shared" si="61"/>
        <v/>
      </c>
      <c r="AA211" t="str">
        <f t="shared" si="63"/>
        <v/>
      </c>
      <c r="AB211" s="64" t="str">
        <f t="shared" si="64"/>
        <v/>
      </c>
    </row>
    <row r="212" spans="1:28" x14ac:dyDescent="0.35">
      <c r="A212">
        <f>'Procurement Schedule'!R320</f>
        <v>44030</v>
      </c>
      <c r="B212" s="63">
        <f>'Procurement Schedule'!M320</f>
        <v>46053</v>
      </c>
      <c r="C212">
        <f t="shared" si="65"/>
        <v>1</v>
      </c>
      <c r="D212">
        <f t="shared" si="56"/>
        <v>2026</v>
      </c>
      <c r="E212" t="str">
        <f t="shared" si="57"/>
        <v>1_2026</v>
      </c>
      <c r="G212">
        <f t="shared" si="58"/>
        <v>44030</v>
      </c>
      <c r="H212" s="63">
        <f>'Procurement Schedule'!N320</f>
        <v>46053</v>
      </c>
      <c r="I212">
        <f t="shared" ref="I212:I275" si="66">MONTH(H212)</f>
        <v>1</v>
      </c>
      <c r="J212">
        <f t="shared" si="59"/>
        <v>2026</v>
      </c>
      <c r="K212" t="str">
        <f t="shared" si="60"/>
        <v>1_2026</v>
      </c>
      <c r="S212" t="str">
        <f t="shared" si="62"/>
        <v/>
      </c>
      <c r="T212" s="64" t="str">
        <f t="shared" si="61"/>
        <v/>
      </c>
      <c r="AA212" t="str">
        <f t="shared" si="63"/>
        <v/>
      </c>
      <c r="AB212" s="64" t="str">
        <f t="shared" si="64"/>
        <v/>
      </c>
    </row>
    <row r="213" spans="1:28" x14ac:dyDescent="0.35">
      <c r="A213" t="e">
        <f>'Procurement Schedule'!#REF!</f>
        <v>#REF!</v>
      </c>
      <c r="B213" s="63" t="e">
        <f>'Procurement Schedule'!#REF!</f>
        <v>#REF!</v>
      </c>
      <c r="C213" t="e">
        <f t="shared" si="65"/>
        <v>#REF!</v>
      </c>
      <c r="D213" t="e">
        <f t="shared" si="56"/>
        <v>#REF!</v>
      </c>
      <c r="E213" t="e">
        <f t="shared" si="57"/>
        <v>#REF!</v>
      </c>
      <c r="G213" t="e">
        <f t="shared" si="58"/>
        <v>#REF!</v>
      </c>
      <c r="H213" s="63" t="e">
        <f>'Procurement Schedule'!#REF!</f>
        <v>#REF!</v>
      </c>
      <c r="I213" t="e">
        <f t="shared" si="66"/>
        <v>#REF!</v>
      </c>
      <c r="J213" t="e">
        <f t="shared" si="59"/>
        <v>#REF!</v>
      </c>
      <c r="K213" t="e">
        <f t="shared" si="60"/>
        <v>#REF!</v>
      </c>
      <c r="S213" t="str">
        <f t="shared" si="62"/>
        <v/>
      </c>
      <c r="T213" s="64" t="str">
        <f t="shared" si="61"/>
        <v/>
      </c>
      <c r="AA213" t="str">
        <f t="shared" si="63"/>
        <v/>
      </c>
      <c r="AB213" s="64" t="str">
        <f t="shared" si="64"/>
        <v/>
      </c>
    </row>
    <row r="214" spans="1:28" x14ac:dyDescent="0.35">
      <c r="A214">
        <f>'Procurement Schedule'!R321</f>
        <v>0</v>
      </c>
      <c r="B214" s="63">
        <f>'Procurement Schedule'!M321</f>
        <v>0</v>
      </c>
      <c r="C214">
        <f t="shared" si="65"/>
        <v>1</v>
      </c>
      <c r="D214">
        <f t="shared" si="56"/>
        <v>1900</v>
      </c>
      <c r="E214" t="str">
        <f t="shared" si="57"/>
        <v>1_1900</v>
      </c>
      <c r="G214">
        <f t="shared" si="58"/>
        <v>0</v>
      </c>
      <c r="H214" s="63">
        <f>'Procurement Schedule'!N321</f>
        <v>0</v>
      </c>
      <c r="I214">
        <f t="shared" si="66"/>
        <v>1</v>
      </c>
      <c r="J214">
        <f t="shared" si="59"/>
        <v>1900</v>
      </c>
      <c r="K214" t="str">
        <f t="shared" si="60"/>
        <v>1_1900</v>
      </c>
      <c r="S214" t="str">
        <f t="shared" si="62"/>
        <v/>
      </c>
      <c r="T214" s="64" t="str">
        <f t="shared" si="61"/>
        <v/>
      </c>
      <c r="AA214" t="str">
        <f t="shared" si="63"/>
        <v/>
      </c>
      <c r="AB214" s="64" t="str">
        <f t="shared" si="64"/>
        <v/>
      </c>
    </row>
    <row r="215" spans="1:28" x14ac:dyDescent="0.35">
      <c r="A215" t="e">
        <f>'Procurement Schedule'!#REF!</f>
        <v>#REF!</v>
      </c>
      <c r="B215" s="63" t="e">
        <f>'Procurement Schedule'!#REF!</f>
        <v>#REF!</v>
      </c>
      <c r="C215" t="e">
        <f t="shared" si="65"/>
        <v>#REF!</v>
      </c>
      <c r="D215" t="e">
        <f t="shared" si="56"/>
        <v>#REF!</v>
      </c>
      <c r="E215" t="e">
        <f t="shared" si="57"/>
        <v>#REF!</v>
      </c>
      <c r="G215" t="e">
        <f t="shared" si="58"/>
        <v>#REF!</v>
      </c>
      <c r="H215" s="63" t="e">
        <f>'Procurement Schedule'!#REF!</f>
        <v>#REF!</v>
      </c>
      <c r="I215" t="e">
        <f t="shared" si="66"/>
        <v>#REF!</v>
      </c>
      <c r="J215" t="e">
        <f t="shared" si="59"/>
        <v>#REF!</v>
      </c>
      <c r="K215" t="e">
        <f t="shared" si="60"/>
        <v>#REF!</v>
      </c>
      <c r="S215" t="str">
        <f t="shared" si="62"/>
        <v/>
      </c>
      <c r="T215" s="64" t="str">
        <f t="shared" si="61"/>
        <v/>
      </c>
      <c r="AA215" t="str">
        <f t="shared" si="63"/>
        <v/>
      </c>
      <c r="AB215" s="64" t="str">
        <f t="shared" si="64"/>
        <v/>
      </c>
    </row>
    <row r="216" spans="1:28" x14ac:dyDescent="0.35">
      <c r="A216">
        <f>'Procurement Schedule'!R322</f>
        <v>160208</v>
      </c>
      <c r="B216" s="63">
        <f>'Procurement Schedule'!M322</f>
        <v>46752</v>
      </c>
      <c r="C216">
        <f t="shared" si="65"/>
        <v>12</v>
      </c>
      <c r="D216">
        <f t="shared" si="56"/>
        <v>2027</v>
      </c>
      <c r="E216" t="str">
        <f t="shared" si="57"/>
        <v>12_2027</v>
      </c>
      <c r="G216">
        <f t="shared" si="58"/>
        <v>160208</v>
      </c>
      <c r="H216" s="63">
        <f>'Procurement Schedule'!N322</f>
        <v>0</v>
      </c>
      <c r="I216">
        <f t="shared" si="66"/>
        <v>1</v>
      </c>
      <c r="J216">
        <f t="shared" si="59"/>
        <v>1900</v>
      </c>
      <c r="K216" t="str">
        <f t="shared" si="60"/>
        <v>1_1900</v>
      </c>
      <c r="S216" t="str">
        <f t="shared" si="62"/>
        <v/>
      </c>
      <c r="T216" s="64" t="str">
        <f t="shared" si="61"/>
        <v/>
      </c>
      <c r="AA216" t="str">
        <f t="shared" si="63"/>
        <v/>
      </c>
      <c r="AB216" s="64" t="str">
        <f t="shared" si="64"/>
        <v/>
      </c>
    </row>
    <row r="217" spans="1:28" x14ac:dyDescent="0.35">
      <c r="A217">
        <f>'Procurement Schedule'!R324</f>
        <v>50000</v>
      </c>
      <c r="B217" s="63">
        <f>'Procurement Schedule'!M324</f>
        <v>46660</v>
      </c>
      <c r="C217">
        <f t="shared" si="65"/>
        <v>9</v>
      </c>
      <c r="D217">
        <f t="shared" si="56"/>
        <v>2027</v>
      </c>
      <c r="E217" t="str">
        <f t="shared" si="57"/>
        <v>9_2027</v>
      </c>
      <c r="G217">
        <f t="shared" si="58"/>
        <v>50000</v>
      </c>
      <c r="H217" s="63">
        <f>'Procurement Schedule'!N324</f>
        <v>0</v>
      </c>
      <c r="I217">
        <f t="shared" si="66"/>
        <v>1</v>
      </c>
      <c r="J217">
        <f t="shared" si="59"/>
        <v>1900</v>
      </c>
      <c r="K217" t="str">
        <f t="shared" si="60"/>
        <v>1_1900</v>
      </c>
      <c r="S217" t="str">
        <f t="shared" si="62"/>
        <v/>
      </c>
      <c r="T217" s="64" t="str">
        <f t="shared" si="61"/>
        <v/>
      </c>
      <c r="AA217" t="str">
        <f t="shared" si="63"/>
        <v/>
      </c>
      <c r="AB217" s="64" t="str">
        <f t="shared" si="64"/>
        <v/>
      </c>
    </row>
    <row r="218" spans="1:28" x14ac:dyDescent="0.35">
      <c r="A218">
        <f>'Procurement Schedule'!R325</f>
        <v>1280000</v>
      </c>
      <c r="B218" s="63">
        <f>'Procurement Schedule'!M325</f>
        <v>46022</v>
      </c>
      <c r="C218">
        <f t="shared" si="65"/>
        <v>12</v>
      </c>
      <c r="D218">
        <f t="shared" si="56"/>
        <v>2025</v>
      </c>
      <c r="E218" t="str">
        <f t="shared" si="57"/>
        <v>12_2025</v>
      </c>
      <c r="G218">
        <f t="shared" si="58"/>
        <v>1280000</v>
      </c>
      <c r="H218" s="63">
        <f>'Procurement Schedule'!N325</f>
        <v>0</v>
      </c>
      <c r="I218">
        <f t="shared" si="66"/>
        <v>1</v>
      </c>
      <c r="J218">
        <f t="shared" si="59"/>
        <v>1900</v>
      </c>
      <c r="K218" t="str">
        <f t="shared" si="60"/>
        <v>1_1900</v>
      </c>
      <c r="S218" t="str">
        <f t="shared" si="62"/>
        <v/>
      </c>
      <c r="T218" s="64" t="str">
        <f t="shared" si="61"/>
        <v/>
      </c>
      <c r="AA218" t="str">
        <f t="shared" si="63"/>
        <v/>
      </c>
      <c r="AB218" s="64" t="str">
        <f t="shared" si="64"/>
        <v/>
      </c>
    </row>
    <row r="219" spans="1:28" x14ac:dyDescent="0.35">
      <c r="A219">
        <f>'Procurement Schedule'!R328</f>
        <v>0</v>
      </c>
      <c r="B219" s="63">
        <f>'Procurement Schedule'!M328</f>
        <v>0</v>
      </c>
      <c r="C219">
        <f t="shared" si="65"/>
        <v>1</v>
      </c>
      <c r="D219">
        <f t="shared" si="56"/>
        <v>1900</v>
      </c>
      <c r="E219" t="str">
        <f t="shared" si="57"/>
        <v>1_1900</v>
      </c>
      <c r="G219">
        <f t="shared" si="58"/>
        <v>0</v>
      </c>
      <c r="H219" s="63">
        <f>'Procurement Schedule'!N328</f>
        <v>0</v>
      </c>
      <c r="I219">
        <f t="shared" si="66"/>
        <v>1</v>
      </c>
      <c r="J219">
        <f t="shared" si="59"/>
        <v>1900</v>
      </c>
      <c r="K219" t="str">
        <f t="shared" si="60"/>
        <v>1_1900</v>
      </c>
      <c r="S219" t="str">
        <f t="shared" si="62"/>
        <v/>
      </c>
      <c r="T219" s="64" t="str">
        <f t="shared" si="61"/>
        <v/>
      </c>
      <c r="AA219" t="str">
        <f t="shared" si="63"/>
        <v/>
      </c>
      <c r="AB219" s="64" t="str">
        <f t="shared" si="64"/>
        <v/>
      </c>
    </row>
    <row r="220" spans="1:28" x14ac:dyDescent="0.35">
      <c r="A220">
        <f>'Procurement Schedule'!R329</f>
        <v>25000</v>
      </c>
      <c r="B220" s="63">
        <f>'Procurement Schedule'!M329</f>
        <v>46073</v>
      </c>
      <c r="C220">
        <f t="shared" si="65"/>
        <v>2</v>
      </c>
      <c r="D220">
        <f t="shared" si="56"/>
        <v>2026</v>
      </c>
      <c r="E220" t="str">
        <f t="shared" si="57"/>
        <v>2_2026</v>
      </c>
      <c r="G220">
        <f t="shared" si="58"/>
        <v>25000</v>
      </c>
      <c r="H220" s="63">
        <f>'Procurement Schedule'!N329</f>
        <v>0</v>
      </c>
      <c r="I220">
        <f t="shared" si="66"/>
        <v>1</v>
      </c>
      <c r="J220">
        <f t="shared" si="59"/>
        <v>1900</v>
      </c>
      <c r="K220" t="str">
        <f t="shared" si="60"/>
        <v>1_1900</v>
      </c>
      <c r="S220" t="str">
        <f t="shared" si="62"/>
        <v/>
      </c>
      <c r="T220" s="64" t="str">
        <f t="shared" si="61"/>
        <v/>
      </c>
      <c r="AA220" t="str">
        <f t="shared" si="63"/>
        <v/>
      </c>
      <c r="AB220" s="64" t="str">
        <f t="shared" si="64"/>
        <v/>
      </c>
    </row>
    <row r="221" spans="1:28" x14ac:dyDescent="0.35">
      <c r="A221" t="e">
        <f>'Procurement Schedule'!#REF!</f>
        <v>#REF!</v>
      </c>
      <c r="B221" s="63" t="e">
        <f>'Procurement Schedule'!#REF!</f>
        <v>#REF!</v>
      </c>
      <c r="C221" t="e">
        <f t="shared" si="65"/>
        <v>#REF!</v>
      </c>
      <c r="D221" t="e">
        <f t="shared" si="56"/>
        <v>#REF!</v>
      </c>
      <c r="E221" t="e">
        <f t="shared" si="57"/>
        <v>#REF!</v>
      </c>
      <c r="G221" t="e">
        <f t="shared" si="58"/>
        <v>#REF!</v>
      </c>
      <c r="H221" s="63" t="e">
        <f>'Procurement Schedule'!#REF!</f>
        <v>#REF!</v>
      </c>
      <c r="I221" t="e">
        <f t="shared" si="66"/>
        <v>#REF!</v>
      </c>
      <c r="J221" t="e">
        <f t="shared" si="59"/>
        <v>#REF!</v>
      </c>
      <c r="K221" t="e">
        <f t="shared" si="60"/>
        <v>#REF!</v>
      </c>
      <c r="S221" t="str">
        <f t="shared" si="62"/>
        <v/>
      </c>
      <c r="T221" s="64" t="str">
        <f t="shared" si="61"/>
        <v/>
      </c>
      <c r="AA221" t="str">
        <f t="shared" si="63"/>
        <v/>
      </c>
      <c r="AB221" s="64" t="str">
        <f t="shared" si="64"/>
        <v/>
      </c>
    </row>
    <row r="222" spans="1:28" x14ac:dyDescent="0.35">
      <c r="A222">
        <f>'Procurement Schedule'!R330</f>
        <v>50000</v>
      </c>
      <c r="B222" s="63">
        <f>'Procurement Schedule'!M330</f>
        <v>46053</v>
      </c>
      <c r="C222">
        <f t="shared" si="65"/>
        <v>1</v>
      </c>
      <c r="D222">
        <f t="shared" si="56"/>
        <v>2026</v>
      </c>
      <c r="E222" t="str">
        <f t="shared" si="57"/>
        <v>1_2026</v>
      </c>
      <c r="G222">
        <f t="shared" si="58"/>
        <v>50000</v>
      </c>
      <c r="H222" s="63">
        <f>'Procurement Schedule'!N330</f>
        <v>46053</v>
      </c>
      <c r="I222">
        <f t="shared" si="66"/>
        <v>1</v>
      </c>
      <c r="J222">
        <f t="shared" si="59"/>
        <v>2026</v>
      </c>
      <c r="K222" t="str">
        <f t="shared" si="60"/>
        <v>1_2026</v>
      </c>
      <c r="S222" t="str">
        <f t="shared" si="62"/>
        <v/>
      </c>
      <c r="T222" s="64" t="str">
        <f t="shared" si="61"/>
        <v/>
      </c>
      <c r="AA222" t="str">
        <f t="shared" si="63"/>
        <v/>
      </c>
      <c r="AB222" s="64" t="str">
        <f t="shared" si="64"/>
        <v/>
      </c>
    </row>
    <row r="223" spans="1:28" x14ac:dyDescent="0.35">
      <c r="A223">
        <f>'Procurement Schedule'!R333</f>
        <v>158511.4</v>
      </c>
      <c r="B223" s="63">
        <f>'Procurement Schedule'!M333</f>
        <v>46053</v>
      </c>
      <c r="C223">
        <f t="shared" si="65"/>
        <v>1</v>
      </c>
      <c r="D223">
        <f t="shared" si="56"/>
        <v>2026</v>
      </c>
      <c r="E223" t="str">
        <f t="shared" si="57"/>
        <v>1_2026</v>
      </c>
      <c r="G223">
        <f t="shared" si="58"/>
        <v>158511.4</v>
      </c>
      <c r="H223" s="63">
        <f>'Procurement Schedule'!N333</f>
        <v>0</v>
      </c>
      <c r="I223">
        <f t="shared" si="66"/>
        <v>1</v>
      </c>
      <c r="J223">
        <f t="shared" si="59"/>
        <v>1900</v>
      </c>
      <c r="K223" t="str">
        <f t="shared" si="60"/>
        <v>1_1900</v>
      </c>
      <c r="S223" t="str">
        <f t="shared" si="62"/>
        <v/>
      </c>
      <c r="T223" s="64" t="str">
        <f t="shared" si="61"/>
        <v/>
      </c>
      <c r="AA223" t="str">
        <f t="shared" si="63"/>
        <v/>
      </c>
      <c r="AB223" s="64" t="str">
        <f t="shared" si="64"/>
        <v/>
      </c>
    </row>
    <row r="224" spans="1:28" x14ac:dyDescent="0.35">
      <c r="A224">
        <f>'Procurement Schedule'!R334</f>
        <v>50000</v>
      </c>
      <c r="B224" s="63">
        <f>'Procurement Schedule'!M334</f>
        <v>46022</v>
      </c>
      <c r="C224">
        <f t="shared" si="65"/>
        <v>12</v>
      </c>
      <c r="D224">
        <f t="shared" si="56"/>
        <v>2025</v>
      </c>
      <c r="E224" t="str">
        <f t="shared" si="57"/>
        <v>12_2025</v>
      </c>
      <c r="G224">
        <f t="shared" si="58"/>
        <v>50000</v>
      </c>
      <c r="H224" s="63">
        <f>'Procurement Schedule'!N334</f>
        <v>46022</v>
      </c>
      <c r="I224">
        <f t="shared" si="66"/>
        <v>12</v>
      </c>
      <c r="J224">
        <f t="shared" si="59"/>
        <v>2025</v>
      </c>
      <c r="K224" t="str">
        <f t="shared" si="60"/>
        <v>12_2025</v>
      </c>
      <c r="S224" t="str">
        <f t="shared" si="62"/>
        <v/>
      </c>
      <c r="T224" s="64" t="str">
        <f t="shared" si="61"/>
        <v/>
      </c>
      <c r="AA224" t="str">
        <f t="shared" si="63"/>
        <v/>
      </c>
      <c r="AB224" s="64" t="str">
        <f t="shared" si="64"/>
        <v/>
      </c>
    </row>
    <row r="225" spans="1:28" x14ac:dyDescent="0.35">
      <c r="A225" t="e">
        <f>'Procurement Schedule'!#REF!</f>
        <v>#REF!</v>
      </c>
      <c r="B225" s="63" t="e">
        <f>'Procurement Schedule'!#REF!</f>
        <v>#REF!</v>
      </c>
      <c r="C225" t="e">
        <f t="shared" si="65"/>
        <v>#REF!</v>
      </c>
      <c r="D225" t="e">
        <f t="shared" si="56"/>
        <v>#REF!</v>
      </c>
      <c r="E225" t="e">
        <f t="shared" si="57"/>
        <v>#REF!</v>
      </c>
      <c r="G225" t="e">
        <f t="shared" si="58"/>
        <v>#REF!</v>
      </c>
      <c r="H225" s="63" t="e">
        <f>'Procurement Schedule'!#REF!</f>
        <v>#REF!</v>
      </c>
      <c r="I225" t="e">
        <f t="shared" si="66"/>
        <v>#REF!</v>
      </c>
      <c r="J225" t="e">
        <f t="shared" si="59"/>
        <v>#REF!</v>
      </c>
      <c r="K225" t="e">
        <f t="shared" si="60"/>
        <v>#REF!</v>
      </c>
      <c r="S225" t="str">
        <f t="shared" si="62"/>
        <v/>
      </c>
      <c r="T225" s="64" t="str">
        <f t="shared" si="61"/>
        <v/>
      </c>
      <c r="AA225" t="str">
        <f t="shared" si="63"/>
        <v/>
      </c>
      <c r="AB225" s="64" t="str">
        <f t="shared" si="64"/>
        <v/>
      </c>
    </row>
    <row r="226" spans="1:28" x14ac:dyDescent="0.35">
      <c r="A226">
        <f>'Procurement Schedule'!R335</f>
        <v>12500</v>
      </c>
      <c r="B226" s="63">
        <f>'Procurement Schedule'!M335</f>
        <v>46022</v>
      </c>
      <c r="C226">
        <f t="shared" si="65"/>
        <v>12</v>
      </c>
      <c r="D226">
        <f t="shared" si="56"/>
        <v>2025</v>
      </c>
      <c r="E226" t="str">
        <f t="shared" si="57"/>
        <v>12_2025</v>
      </c>
      <c r="G226">
        <f t="shared" si="58"/>
        <v>12500</v>
      </c>
      <c r="H226" s="63">
        <f>'Procurement Schedule'!N335</f>
        <v>0</v>
      </c>
      <c r="I226">
        <f t="shared" si="66"/>
        <v>1</v>
      </c>
      <c r="J226">
        <f t="shared" si="59"/>
        <v>1900</v>
      </c>
      <c r="K226" t="str">
        <f t="shared" si="60"/>
        <v>1_1900</v>
      </c>
      <c r="S226" t="str">
        <f t="shared" si="62"/>
        <v/>
      </c>
      <c r="T226" s="64" t="str">
        <f t="shared" si="61"/>
        <v/>
      </c>
      <c r="AA226" t="str">
        <f t="shared" si="63"/>
        <v/>
      </c>
      <c r="AB226" s="64" t="str">
        <f t="shared" si="64"/>
        <v/>
      </c>
    </row>
    <row r="227" spans="1:28" x14ac:dyDescent="0.35">
      <c r="A227">
        <f>'Procurement Schedule'!R336</f>
        <v>0</v>
      </c>
      <c r="B227" s="63">
        <f>'Procurement Schedule'!M336</f>
        <v>0</v>
      </c>
      <c r="C227">
        <f t="shared" si="65"/>
        <v>1</v>
      </c>
      <c r="D227">
        <f t="shared" si="56"/>
        <v>1900</v>
      </c>
      <c r="E227" t="str">
        <f t="shared" si="57"/>
        <v>1_1900</v>
      </c>
      <c r="G227">
        <f t="shared" si="58"/>
        <v>0</v>
      </c>
      <c r="H227" s="63">
        <f>'Procurement Schedule'!N336</f>
        <v>0</v>
      </c>
      <c r="I227">
        <f t="shared" si="66"/>
        <v>1</v>
      </c>
      <c r="J227">
        <f t="shared" si="59"/>
        <v>1900</v>
      </c>
      <c r="K227" t="str">
        <f t="shared" si="60"/>
        <v>1_1900</v>
      </c>
      <c r="S227" t="str">
        <f t="shared" si="62"/>
        <v/>
      </c>
      <c r="T227" s="64" t="str">
        <f t="shared" si="61"/>
        <v/>
      </c>
      <c r="AA227" t="str">
        <f t="shared" si="63"/>
        <v/>
      </c>
      <c r="AB227" s="64" t="str">
        <f t="shared" si="64"/>
        <v/>
      </c>
    </row>
    <row r="228" spans="1:28" x14ac:dyDescent="0.35">
      <c r="A228">
        <f>'Procurement Schedule'!R337</f>
        <v>350000</v>
      </c>
      <c r="B228" s="63">
        <f>'Procurement Schedule'!M337</f>
        <v>46022</v>
      </c>
      <c r="C228">
        <f t="shared" si="65"/>
        <v>12</v>
      </c>
      <c r="D228">
        <f t="shared" si="56"/>
        <v>2025</v>
      </c>
      <c r="E228" t="str">
        <f t="shared" si="57"/>
        <v>12_2025</v>
      </c>
      <c r="G228">
        <f t="shared" si="58"/>
        <v>350000</v>
      </c>
      <c r="H228" s="63">
        <f>'Procurement Schedule'!N337</f>
        <v>46022</v>
      </c>
      <c r="I228">
        <f t="shared" si="66"/>
        <v>12</v>
      </c>
      <c r="J228">
        <f t="shared" si="59"/>
        <v>2025</v>
      </c>
      <c r="K228" t="str">
        <f t="shared" si="60"/>
        <v>12_2025</v>
      </c>
      <c r="S228" t="str">
        <f t="shared" si="62"/>
        <v/>
      </c>
      <c r="T228" s="64" t="str">
        <f t="shared" si="61"/>
        <v/>
      </c>
      <c r="AA228" t="str">
        <f t="shared" si="63"/>
        <v/>
      </c>
      <c r="AB228" s="64" t="str">
        <f t="shared" si="64"/>
        <v/>
      </c>
    </row>
    <row r="229" spans="1:28" x14ac:dyDescent="0.35">
      <c r="A229">
        <f>'Procurement Schedule'!R338</f>
        <v>50000</v>
      </c>
      <c r="B229" s="63">
        <f>'Procurement Schedule'!M338</f>
        <v>46022</v>
      </c>
      <c r="C229">
        <f t="shared" si="65"/>
        <v>12</v>
      </c>
      <c r="D229">
        <f t="shared" si="56"/>
        <v>2025</v>
      </c>
      <c r="E229" t="str">
        <f t="shared" si="57"/>
        <v>12_2025</v>
      </c>
      <c r="G229">
        <f t="shared" si="58"/>
        <v>50000</v>
      </c>
      <c r="H229" s="63">
        <f>'Procurement Schedule'!N338</f>
        <v>0</v>
      </c>
      <c r="I229">
        <f t="shared" si="66"/>
        <v>1</v>
      </c>
      <c r="J229">
        <f t="shared" si="59"/>
        <v>1900</v>
      </c>
      <c r="K229" t="str">
        <f t="shared" si="60"/>
        <v>1_1900</v>
      </c>
      <c r="S229" t="str">
        <f t="shared" si="62"/>
        <v/>
      </c>
      <c r="T229" s="64" t="str">
        <f t="shared" si="61"/>
        <v/>
      </c>
      <c r="AA229" t="str">
        <f t="shared" si="63"/>
        <v/>
      </c>
      <c r="AB229" s="64" t="str">
        <f t="shared" si="64"/>
        <v/>
      </c>
    </row>
    <row r="230" spans="1:28" x14ac:dyDescent="0.35">
      <c r="A230" t="e">
        <f>'Procurement Schedule'!#REF!</f>
        <v>#REF!</v>
      </c>
      <c r="B230" s="63" t="e">
        <f>'Procurement Schedule'!#REF!</f>
        <v>#REF!</v>
      </c>
      <c r="C230" t="e">
        <f t="shared" si="65"/>
        <v>#REF!</v>
      </c>
      <c r="D230" t="e">
        <f t="shared" si="56"/>
        <v>#REF!</v>
      </c>
      <c r="E230" t="e">
        <f t="shared" si="57"/>
        <v>#REF!</v>
      </c>
      <c r="G230" t="e">
        <f t="shared" si="58"/>
        <v>#REF!</v>
      </c>
      <c r="H230" s="63" t="e">
        <f>'Procurement Schedule'!#REF!</f>
        <v>#REF!</v>
      </c>
      <c r="I230" t="e">
        <f t="shared" si="66"/>
        <v>#REF!</v>
      </c>
      <c r="J230" t="e">
        <f t="shared" si="59"/>
        <v>#REF!</v>
      </c>
      <c r="K230" t="e">
        <f t="shared" si="60"/>
        <v>#REF!</v>
      </c>
      <c r="S230" t="str">
        <f t="shared" si="62"/>
        <v/>
      </c>
      <c r="T230" s="64" t="str">
        <f t="shared" si="61"/>
        <v/>
      </c>
      <c r="AA230" t="str">
        <f t="shared" si="63"/>
        <v/>
      </c>
      <c r="AB230" s="64" t="str">
        <f t="shared" si="64"/>
        <v/>
      </c>
    </row>
    <row r="231" spans="1:28" x14ac:dyDescent="0.35">
      <c r="A231">
        <f>'Procurement Schedule'!R341</f>
        <v>120000</v>
      </c>
      <c r="B231" s="63">
        <f>'Procurement Schedule'!M341</f>
        <v>46752</v>
      </c>
      <c r="C231">
        <f t="shared" si="65"/>
        <v>12</v>
      </c>
      <c r="D231">
        <f t="shared" si="56"/>
        <v>2027</v>
      </c>
      <c r="E231" t="str">
        <f t="shared" si="57"/>
        <v>12_2027</v>
      </c>
      <c r="G231">
        <f t="shared" si="58"/>
        <v>120000</v>
      </c>
      <c r="H231" s="63">
        <f>'Procurement Schedule'!N341</f>
        <v>0</v>
      </c>
      <c r="I231">
        <f t="shared" si="66"/>
        <v>1</v>
      </c>
      <c r="J231">
        <f t="shared" si="59"/>
        <v>1900</v>
      </c>
      <c r="K231" t="str">
        <f t="shared" si="60"/>
        <v>1_1900</v>
      </c>
      <c r="S231" t="str">
        <f t="shared" si="62"/>
        <v/>
      </c>
      <c r="T231" s="64" t="str">
        <f t="shared" si="61"/>
        <v/>
      </c>
      <c r="AA231" t="str">
        <f t="shared" si="63"/>
        <v/>
      </c>
      <c r="AB231" s="64" t="str">
        <f t="shared" si="64"/>
        <v/>
      </c>
    </row>
    <row r="232" spans="1:28" x14ac:dyDescent="0.35">
      <c r="A232">
        <f>'Procurement Schedule'!R342</f>
        <v>100000</v>
      </c>
      <c r="B232" s="63">
        <f>'Procurement Schedule'!M342</f>
        <v>46660</v>
      </c>
      <c r="C232">
        <f t="shared" si="65"/>
        <v>9</v>
      </c>
      <c r="D232">
        <f t="shared" si="56"/>
        <v>2027</v>
      </c>
      <c r="E232" t="str">
        <f t="shared" si="57"/>
        <v>9_2027</v>
      </c>
      <c r="G232">
        <f t="shared" si="58"/>
        <v>100000</v>
      </c>
      <c r="H232" s="63">
        <f>'Procurement Schedule'!N342</f>
        <v>0</v>
      </c>
      <c r="I232">
        <f t="shared" si="66"/>
        <v>1</v>
      </c>
      <c r="J232">
        <f t="shared" si="59"/>
        <v>1900</v>
      </c>
      <c r="K232" t="str">
        <f t="shared" si="60"/>
        <v>1_1900</v>
      </c>
      <c r="S232" t="str">
        <f t="shared" si="62"/>
        <v/>
      </c>
      <c r="T232" s="64" t="str">
        <f t="shared" si="61"/>
        <v/>
      </c>
      <c r="AA232" t="str">
        <f t="shared" si="63"/>
        <v/>
      </c>
      <c r="AB232" s="64" t="str">
        <f t="shared" si="64"/>
        <v/>
      </c>
    </row>
    <row r="233" spans="1:28" x14ac:dyDescent="0.35">
      <c r="A233" t="e">
        <f>'Procurement Schedule'!#REF!</f>
        <v>#REF!</v>
      </c>
      <c r="B233" s="63" t="e">
        <f>'Procurement Schedule'!#REF!</f>
        <v>#REF!</v>
      </c>
      <c r="C233" t="e">
        <f t="shared" si="65"/>
        <v>#REF!</v>
      </c>
      <c r="D233" t="e">
        <f t="shared" si="56"/>
        <v>#REF!</v>
      </c>
      <c r="E233" t="e">
        <f t="shared" si="57"/>
        <v>#REF!</v>
      </c>
      <c r="G233" t="e">
        <f t="shared" si="58"/>
        <v>#REF!</v>
      </c>
      <c r="H233" s="63" t="e">
        <f>'Procurement Schedule'!#REF!</f>
        <v>#REF!</v>
      </c>
      <c r="I233" t="e">
        <f t="shared" si="66"/>
        <v>#REF!</v>
      </c>
      <c r="J233" t="e">
        <f t="shared" si="59"/>
        <v>#REF!</v>
      </c>
      <c r="K233" t="e">
        <f t="shared" si="60"/>
        <v>#REF!</v>
      </c>
      <c r="S233" t="str">
        <f t="shared" si="62"/>
        <v/>
      </c>
      <c r="T233" s="64" t="str">
        <f t="shared" si="61"/>
        <v/>
      </c>
      <c r="AA233" t="str">
        <f t="shared" si="63"/>
        <v/>
      </c>
      <c r="AB233" s="64" t="str">
        <f t="shared" si="64"/>
        <v/>
      </c>
    </row>
    <row r="234" spans="1:28" x14ac:dyDescent="0.35">
      <c r="A234">
        <f>'Procurement Schedule'!R343</f>
        <v>0</v>
      </c>
      <c r="B234" s="63">
        <f>'Procurement Schedule'!M343</f>
        <v>0</v>
      </c>
      <c r="C234">
        <f t="shared" si="65"/>
        <v>1</v>
      </c>
      <c r="D234">
        <f t="shared" si="56"/>
        <v>1900</v>
      </c>
      <c r="E234" t="str">
        <f t="shared" si="57"/>
        <v>1_1900</v>
      </c>
      <c r="G234">
        <f t="shared" si="58"/>
        <v>0</v>
      </c>
      <c r="H234" s="63">
        <f>'Procurement Schedule'!N343</f>
        <v>0</v>
      </c>
      <c r="I234">
        <f t="shared" si="66"/>
        <v>1</v>
      </c>
      <c r="J234">
        <f t="shared" si="59"/>
        <v>1900</v>
      </c>
      <c r="K234" t="str">
        <f t="shared" si="60"/>
        <v>1_1900</v>
      </c>
      <c r="S234" t="str">
        <f t="shared" si="62"/>
        <v/>
      </c>
      <c r="T234" s="64" t="str">
        <f t="shared" si="61"/>
        <v/>
      </c>
      <c r="AA234" t="str">
        <f t="shared" si="63"/>
        <v/>
      </c>
      <c r="AB234" s="64" t="str">
        <f t="shared" si="64"/>
        <v/>
      </c>
    </row>
    <row r="235" spans="1:28" x14ac:dyDescent="0.35">
      <c r="A235">
        <f>'Procurement Schedule'!R344</f>
        <v>834000</v>
      </c>
      <c r="B235" s="63">
        <f>'Procurement Schedule'!M344</f>
        <v>46053</v>
      </c>
      <c r="C235">
        <f t="shared" si="65"/>
        <v>1</v>
      </c>
      <c r="D235">
        <f t="shared" si="56"/>
        <v>2026</v>
      </c>
      <c r="E235" t="str">
        <f t="shared" si="57"/>
        <v>1_2026</v>
      </c>
      <c r="G235">
        <f t="shared" si="58"/>
        <v>834000</v>
      </c>
      <c r="H235" s="63">
        <f>'Procurement Schedule'!N344</f>
        <v>0</v>
      </c>
      <c r="I235">
        <f t="shared" si="66"/>
        <v>1</v>
      </c>
      <c r="J235">
        <f t="shared" si="59"/>
        <v>1900</v>
      </c>
      <c r="K235" t="str">
        <f t="shared" si="60"/>
        <v>1_1900</v>
      </c>
      <c r="S235" t="str">
        <f t="shared" si="62"/>
        <v/>
      </c>
      <c r="T235" s="64" t="str">
        <f t="shared" si="61"/>
        <v/>
      </c>
      <c r="AA235" t="str">
        <f t="shared" si="63"/>
        <v/>
      </c>
      <c r="AB235" s="64" t="str">
        <f t="shared" si="64"/>
        <v/>
      </c>
    </row>
    <row r="236" spans="1:28" x14ac:dyDescent="0.35">
      <c r="A236">
        <f>'Procurement Schedule'!R353</f>
        <v>1040000</v>
      </c>
      <c r="B236" s="63">
        <f>'Procurement Schedule'!M353</f>
        <v>46022</v>
      </c>
      <c r="C236">
        <f t="shared" si="65"/>
        <v>12</v>
      </c>
      <c r="D236">
        <f t="shared" si="56"/>
        <v>2025</v>
      </c>
      <c r="E236" t="str">
        <f t="shared" si="57"/>
        <v>12_2025</v>
      </c>
      <c r="G236">
        <f t="shared" si="58"/>
        <v>1040000</v>
      </c>
      <c r="H236" s="63">
        <f>'Procurement Schedule'!N353</f>
        <v>0</v>
      </c>
      <c r="I236">
        <f t="shared" si="66"/>
        <v>1</v>
      </c>
      <c r="J236">
        <f t="shared" si="59"/>
        <v>1900</v>
      </c>
      <c r="K236" t="str">
        <f t="shared" si="60"/>
        <v>1_1900</v>
      </c>
      <c r="S236" t="str">
        <f t="shared" si="62"/>
        <v/>
      </c>
      <c r="T236" s="64" t="str">
        <f t="shared" si="61"/>
        <v/>
      </c>
      <c r="AA236" t="str">
        <f t="shared" si="63"/>
        <v/>
      </c>
      <c r="AB236" s="64" t="str">
        <f t="shared" si="64"/>
        <v/>
      </c>
    </row>
    <row r="237" spans="1:28" x14ac:dyDescent="0.35">
      <c r="A237" t="e">
        <f>'Procurement Schedule'!#REF!</f>
        <v>#REF!</v>
      </c>
      <c r="B237" s="63" t="e">
        <f>'Procurement Schedule'!#REF!</f>
        <v>#REF!</v>
      </c>
      <c r="C237" t="e">
        <f t="shared" si="65"/>
        <v>#REF!</v>
      </c>
      <c r="D237" t="e">
        <f t="shared" si="56"/>
        <v>#REF!</v>
      </c>
      <c r="E237" t="e">
        <f t="shared" si="57"/>
        <v>#REF!</v>
      </c>
      <c r="G237" t="e">
        <f t="shared" si="58"/>
        <v>#REF!</v>
      </c>
      <c r="H237" s="63" t="e">
        <f>'Procurement Schedule'!#REF!</f>
        <v>#REF!</v>
      </c>
      <c r="I237" t="e">
        <f t="shared" si="66"/>
        <v>#REF!</v>
      </c>
      <c r="J237" t="e">
        <f t="shared" si="59"/>
        <v>#REF!</v>
      </c>
      <c r="K237" t="e">
        <f t="shared" si="60"/>
        <v>#REF!</v>
      </c>
      <c r="S237" t="str">
        <f t="shared" si="62"/>
        <v/>
      </c>
      <c r="T237" s="64" t="str">
        <f t="shared" si="61"/>
        <v/>
      </c>
      <c r="AA237" t="str">
        <f t="shared" si="63"/>
        <v/>
      </c>
      <c r="AB237" s="64" t="str">
        <f t="shared" si="64"/>
        <v/>
      </c>
    </row>
    <row r="238" spans="1:28" x14ac:dyDescent="0.35">
      <c r="A238" t="e">
        <f>'Procurement Schedule'!#REF!</f>
        <v>#REF!</v>
      </c>
      <c r="B238" s="63" t="e">
        <f>'Procurement Schedule'!#REF!</f>
        <v>#REF!</v>
      </c>
      <c r="C238" t="e">
        <f t="shared" si="65"/>
        <v>#REF!</v>
      </c>
      <c r="D238" t="e">
        <f t="shared" si="56"/>
        <v>#REF!</v>
      </c>
      <c r="E238" t="e">
        <f t="shared" si="57"/>
        <v>#REF!</v>
      </c>
      <c r="G238" t="e">
        <f t="shared" si="58"/>
        <v>#REF!</v>
      </c>
      <c r="H238" s="63" t="e">
        <f>'Procurement Schedule'!#REF!</f>
        <v>#REF!</v>
      </c>
      <c r="I238" t="e">
        <f t="shared" si="66"/>
        <v>#REF!</v>
      </c>
      <c r="J238" t="e">
        <f t="shared" si="59"/>
        <v>#REF!</v>
      </c>
      <c r="K238" t="e">
        <f t="shared" si="60"/>
        <v>#REF!</v>
      </c>
      <c r="S238" t="str">
        <f t="shared" si="62"/>
        <v/>
      </c>
      <c r="T238" s="64" t="str">
        <f t="shared" si="61"/>
        <v/>
      </c>
      <c r="AA238" t="str">
        <f t="shared" si="63"/>
        <v/>
      </c>
      <c r="AB238" s="64" t="str">
        <f t="shared" si="64"/>
        <v/>
      </c>
    </row>
    <row r="239" spans="1:28" x14ac:dyDescent="0.35">
      <c r="A239">
        <f>'Procurement Schedule'!R356</f>
        <v>100000</v>
      </c>
      <c r="B239" s="63">
        <f>'Procurement Schedule'!M356</f>
        <v>46111</v>
      </c>
      <c r="C239">
        <f t="shared" si="65"/>
        <v>3</v>
      </c>
      <c r="D239">
        <f t="shared" si="56"/>
        <v>2026</v>
      </c>
      <c r="E239" t="str">
        <f t="shared" si="57"/>
        <v>3_2026</v>
      </c>
      <c r="G239">
        <f t="shared" si="58"/>
        <v>100000</v>
      </c>
      <c r="H239" s="63">
        <f>'Procurement Schedule'!N356</f>
        <v>0</v>
      </c>
      <c r="I239">
        <f t="shared" si="66"/>
        <v>1</v>
      </c>
      <c r="J239">
        <f t="shared" si="59"/>
        <v>1900</v>
      </c>
      <c r="K239" t="str">
        <f t="shared" si="60"/>
        <v>1_1900</v>
      </c>
      <c r="S239" t="str">
        <f t="shared" si="62"/>
        <v/>
      </c>
      <c r="T239" s="64" t="str">
        <f t="shared" si="61"/>
        <v/>
      </c>
      <c r="AA239" t="str">
        <f t="shared" si="63"/>
        <v/>
      </c>
      <c r="AB239" s="64" t="str">
        <f t="shared" si="64"/>
        <v/>
      </c>
    </row>
    <row r="240" spans="1:28" x14ac:dyDescent="0.35">
      <c r="A240">
        <f>'Procurement Schedule'!R357</f>
        <v>340000</v>
      </c>
      <c r="B240" s="63">
        <f>'Procurement Schedule'!M357</f>
        <v>46022</v>
      </c>
      <c r="C240">
        <f t="shared" si="65"/>
        <v>12</v>
      </c>
      <c r="D240">
        <f t="shared" si="56"/>
        <v>2025</v>
      </c>
      <c r="E240" t="str">
        <f t="shared" si="57"/>
        <v>12_2025</v>
      </c>
      <c r="G240">
        <f t="shared" si="58"/>
        <v>340000</v>
      </c>
      <c r="H240" s="63">
        <f>'Procurement Schedule'!N357</f>
        <v>0</v>
      </c>
      <c r="I240">
        <f t="shared" si="66"/>
        <v>1</v>
      </c>
      <c r="J240">
        <f t="shared" si="59"/>
        <v>1900</v>
      </c>
      <c r="K240" t="str">
        <f t="shared" si="60"/>
        <v>1_1900</v>
      </c>
      <c r="S240" t="str">
        <f t="shared" si="62"/>
        <v/>
      </c>
      <c r="T240" s="64" t="str">
        <f t="shared" si="61"/>
        <v/>
      </c>
      <c r="AA240" t="str">
        <f t="shared" si="63"/>
        <v/>
      </c>
      <c r="AB240" s="64" t="str">
        <f t="shared" si="64"/>
        <v/>
      </c>
    </row>
    <row r="241" spans="1:28" x14ac:dyDescent="0.35">
      <c r="A241">
        <f>'Procurement Schedule'!R359</f>
        <v>8000</v>
      </c>
      <c r="B241" s="63">
        <f>'Procurement Schedule'!M359</f>
        <v>46022</v>
      </c>
      <c r="C241">
        <f t="shared" si="65"/>
        <v>12</v>
      </c>
      <c r="D241">
        <f t="shared" si="56"/>
        <v>2025</v>
      </c>
      <c r="E241" t="str">
        <f t="shared" si="57"/>
        <v>12_2025</v>
      </c>
      <c r="G241">
        <f t="shared" si="58"/>
        <v>8000</v>
      </c>
      <c r="H241" s="63">
        <f>'Procurement Schedule'!N359</f>
        <v>0</v>
      </c>
      <c r="I241">
        <f t="shared" si="66"/>
        <v>1</v>
      </c>
      <c r="J241">
        <f t="shared" si="59"/>
        <v>1900</v>
      </c>
      <c r="K241" t="str">
        <f t="shared" si="60"/>
        <v>1_1900</v>
      </c>
      <c r="S241" t="str">
        <f t="shared" si="62"/>
        <v/>
      </c>
      <c r="T241" s="64" t="str">
        <f t="shared" si="61"/>
        <v/>
      </c>
      <c r="AA241" t="str">
        <f t="shared" si="63"/>
        <v/>
      </c>
      <c r="AB241" s="64" t="str">
        <f t="shared" si="64"/>
        <v/>
      </c>
    </row>
    <row r="242" spans="1:28" x14ac:dyDescent="0.35">
      <c r="A242" t="e">
        <f>'Procurement Schedule'!#REF!</f>
        <v>#REF!</v>
      </c>
      <c r="B242" s="63" t="e">
        <f>'Procurement Schedule'!#REF!</f>
        <v>#REF!</v>
      </c>
      <c r="C242" t="e">
        <f t="shared" si="65"/>
        <v>#REF!</v>
      </c>
      <c r="D242" t="e">
        <f t="shared" si="56"/>
        <v>#REF!</v>
      </c>
      <c r="E242" t="e">
        <f t="shared" si="57"/>
        <v>#REF!</v>
      </c>
      <c r="G242" t="e">
        <f t="shared" si="58"/>
        <v>#REF!</v>
      </c>
      <c r="H242" s="63" t="e">
        <f>'Procurement Schedule'!#REF!</f>
        <v>#REF!</v>
      </c>
      <c r="I242" t="e">
        <f t="shared" si="66"/>
        <v>#REF!</v>
      </c>
      <c r="J242" t="e">
        <f t="shared" si="59"/>
        <v>#REF!</v>
      </c>
      <c r="K242" t="e">
        <f t="shared" si="60"/>
        <v>#REF!</v>
      </c>
      <c r="S242" t="str">
        <f t="shared" si="62"/>
        <v/>
      </c>
      <c r="T242" s="64" t="str">
        <f t="shared" si="61"/>
        <v/>
      </c>
      <c r="AA242" t="str">
        <f t="shared" si="63"/>
        <v/>
      </c>
      <c r="AB242" s="64" t="str">
        <f t="shared" si="64"/>
        <v/>
      </c>
    </row>
    <row r="243" spans="1:28" x14ac:dyDescent="0.35">
      <c r="A243">
        <f>'Procurement Schedule'!R360</f>
        <v>40160</v>
      </c>
      <c r="B243" s="63">
        <f>'Procurement Schedule'!M360</f>
        <v>0</v>
      </c>
      <c r="C243">
        <f t="shared" si="65"/>
        <v>1</v>
      </c>
      <c r="D243">
        <f t="shared" si="56"/>
        <v>1900</v>
      </c>
      <c r="E243" t="str">
        <f t="shared" si="57"/>
        <v>1_1900</v>
      </c>
      <c r="G243">
        <f t="shared" si="58"/>
        <v>40160</v>
      </c>
      <c r="H243" s="63">
        <f>'Procurement Schedule'!N360</f>
        <v>0</v>
      </c>
      <c r="I243">
        <f t="shared" si="66"/>
        <v>1</v>
      </c>
      <c r="J243">
        <f t="shared" si="59"/>
        <v>1900</v>
      </c>
      <c r="K243" t="str">
        <f t="shared" si="60"/>
        <v>1_1900</v>
      </c>
      <c r="S243" t="str">
        <f t="shared" si="62"/>
        <v/>
      </c>
      <c r="T243" s="64" t="str">
        <f t="shared" si="61"/>
        <v/>
      </c>
      <c r="AA243" t="str">
        <f t="shared" si="63"/>
        <v/>
      </c>
      <c r="AB243" s="64" t="str">
        <f t="shared" si="64"/>
        <v/>
      </c>
    </row>
    <row r="244" spans="1:28" x14ac:dyDescent="0.35">
      <c r="A244" t="e">
        <f>'Procurement Schedule'!#REF!</f>
        <v>#REF!</v>
      </c>
      <c r="B244" s="63" t="e">
        <f>'Procurement Schedule'!#REF!</f>
        <v>#REF!</v>
      </c>
      <c r="C244" t="e">
        <f t="shared" si="65"/>
        <v>#REF!</v>
      </c>
      <c r="D244" t="e">
        <f t="shared" si="56"/>
        <v>#REF!</v>
      </c>
      <c r="E244" t="e">
        <f t="shared" si="57"/>
        <v>#REF!</v>
      </c>
      <c r="G244" t="e">
        <f t="shared" si="58"/>
        <v>#REF!</v>
      </c>
      <c r="H244" s="63" t="e">
        <f>'Procurement Schedule'!#REF!</f>
        <v>#REF!</v>
      </c>
      <c r="I244" t="e">
        <f t="shared" si="66"/>
        <v>#REF!</v>
      </c>
      <c r="J244" t="e">
        <f t="shared" si="59"/>
        <v>#REF!</v>
      </c>
      <c r="K244" t="e">
        <f t="shared" si="60"/>
        <v>#REF!</v>
      </c>
      <c r="S244" t="str">
        <f t="shared" si="62"/>
        <v/>
      </c>
      <c r="T244" s="64" t="str">
        <f t="shared" si="61"/>
        <v/>
      </c>
      <c r="AA244" t="str">
        <f t="shared" si="63"/>
        <v/>
      </c>
      <c r="AB244" s="64" t="str">
        <f t="shared" si="64"/>
        <v/>
      </c>
    </row>
    <row r="245" spans="1:28" x14ac:dyDescent="0.35">
      <c r="A245">
        <f>'Procurement Schedule'!R361</f>
        <v>0</v>
      </c>
      <c r="B245" s="63">
        <f>'Procurement Schedule'!M361</f>
        <v>0</v>
      </c>
      <c r="C245">
        <f t="shared" si="65"/>
        <v>1</v>
      </c>
      <c r="D245">
        <f t="shared" si="56"/>
        <v>1900</v>
      </c>
      <c r="E245" t="str">
        <f t="shared" si="57"/>
        <v>1_1900</v>
      </c>
      <c r="G245">
        <f t="shared" si="58"/>
        <v>0</v>
      </c>
      <c r="H245" s="63">
        <f>'Procurement Schedule'!N361</f>
        <v>0</v>
      </c>
      <c r="I245">
        <f t="shared" si="66"/>
        <v>1</v>
      </c>
      <c r="J245">
        <f t="shared" si="59"/>
        <v>1900</v>
      </c>
      <c r="K245" t="str">
        <f t="shared" si="60"/>
        <v>1_1900</v>
      </c>
      <c r="S245" t="str">
        <f t="shared" si="62"/>
        <v/>
      </c>
      <c r="T245" s="64" t="str">
        <f t="shared" si="61"/>
        <v/>
      </c>
      <c r="AA245" t="str">
        <f t="shared" si="63"/>
        <v/>
      </c>
      <c r="AB245" s="64" t="str">
        <f t="shared" si="64"/>
        <v/>
      </c>
    </row>
    <row r="246" spans="1:28" x14ac:dyDescent="0.35">
      <c r="A246" t="e">
        <f>'Procurement Schedule'!#REF!</f>
        <v>#REF!</v>
      </c>
      <c r="B246" s="63" t="e">
        <f>'Procurement Schedule'!#REF!</f>
        <v>#REF!</v>
      </c>
      <c r="C246" t="e">
        <f t="shared" si="65"/>
        <v>#REF!</v>
      </c>
      <c r="D246" t="e">
        <f t="shared" si="56"/>
        <v>#REF!</v>
      </c>
      <c r="E246" t="e">
        <f t="shared" si="57"/>
        <v>#REF!</v>
      </c>
      <c r="G246" t="e">
        <f t="shared" si="58"/>
        <v>#REF!</v>
      </c>
      <c r="H246" s="63" t="e">
        <f>'Procurement Schedule'!#REF!</f>
        <v>#REF!</v>
      </c>
      <c r="I246" t="e">
        <f t="shared" si="66"/>
        <v>#REF!</v>
      </c>
      <c r="J246" t="e">
        <f t="shared" si="59"/>
        <v>#REF!</v>
      </c>
      <c r="K246" t="e">
        <f t="shared" si="60"/>
        <v>#REF!</v>
      </c>
      <c r="S246" t="str">
        <f t="shared" si="62"/>
        <v/>
      </c>
      <c r="T246" s="64" t="str">
        <f t="shared" si="61"/>
        <v/>
      </c>
      <c r="AA246" t="str">
        <f t="shared" si="63"/>
        <v/>
      </c>
      <c r="AB246" s="64" t="str">
        <f t="shared" si="64"/>
        <v/>
      </c>
    </row>
    <row r="247" spans="1:28" x14ac:dyDescent="0.35">
      <c r="A247">
        <f>'Procurement Schedule'!R362</f>
        <v>50000</v>
      </c>
      <c r="B247" s="63">
        <f>'Procurement Schedule'!M362</f>
        <v>46081</v>
      </c>
      <c r="C247">
        <f t="shared" si="65"/>
        <v>2</v>
      </c>
      <c r="D247">
        <f t="shared" ref="D247:D310" si="67">YEAR(B247)</f>
        <v>2026</v>
      </c>
      <c r="E247" t="str">
        <f t="shared" ref="E247:E310" si="68">C247&amp;"_"&amp;D247</f>
        <v>2_2026</v>
      </c>
      <c r="G247">
        <f t="shared" ref="G247:G310" si="69">A247</f>
        <v>50000</v>
      </c>
      <c r="H247" s="63">
        <f>'Procurement Schedule'!N362</f>
        <v>0</v>
      </c>
      <c r="I247">
        <f t="shared" si="66"/>
        <v>1</v>
      </c>
      <c r="J247">
        <f t="shared" ref="J247:J310" si="70">YEAR(H247)</f>
        <v>1900</v>
      </c>
      <c r="K247" t="str">
        <f t="shared" ref="K247:K310" si="71">I247&amp;"_"&amp;J247</f>
        <v>1_1900</v>
      </c>
      <c r="S247" t="str">
        <f t="shared" si="62"/>
        <v/>
      </c>
      <c r="T247" s="64" t="str">
        <f t="shared" si="61"/>
        <v/>
      </c>
      <c r="AA247" t="str">
        <f t="shared" si="63"/>
        <v/>
      </c>
      <c r="AB247" s="64" t="str">
        <f t="shared" si="64"/>
        <v/>
      </c>
    </row>
    <row r="248" spans="1:28" x14ac:dyDescent="0.35">
      <c r="A248">
        <f>'Procurement Schedule'!R363</f>
        <v>20000</v>
      </c>
      <c r="B248" s="63">
        <f>'Procurement Schedule'!M363</f>
        <v>46081</v>
      </c>
      <c r="C248">
        <f t="shared" si="65"/>
        <v>2</v>
      </c>
      <c r="D248">
        <f t="shared" si="67"/>
        <v>2026</v>
      </c>
      <c r="E248" t="str">
        <f t="shared" si="68"/>
        <v>2_2026</v>
      </c>
      <c r="G248">
        <f t="shared" si="69"/>
        <v>20000</v>
      </c>
      <c r="H248" s="63">
        <f>'Procurement Schedule'!N363</f>
        <v>0</v>
      </c>
      <c r="I248">
        <f t="shared" si="66"/>
        <v>1</v>
      </c>
      <c r="J248">
        <f t="shared" si="70"/>
        <v>1900</v>
      </c>
      <c r="K248" t="str">
        <f t="shared" si="71"/>
        <v>1_1900</v>
      </c>
      <c r="S248" t="str">
        <f t="shared" si="62"/>
        <v/>
      </c>
      <c r="T248" s="64" t="str">
        <f t="shared" si="61"/>
        <v/>
      </c>
      <c r="AA248" t="str">
        <f t="shared" si="63"/>
        <v/>
      </c>
      <c r="AB248" s="64" t="str">
        <f t="shared" si="64"/>
        <v/>
      </c>
    </row>
    <row r="249" spans="1:28" x14ac:dyDescent="0.35">
      <c r="A249">
        <f>'Procurement Schedule'!R366</f>
        <v>20000</v>
      </c>
      <c r="B249" s="63">
        <f>'Procurement Schedule'!M366</f>
        <v>46081</v>
      </c>
      <c r="C249">
        <f t="shared" si="65"/>
        <v>2</v>
      </c>
      <c r="D249">
        <f t="shared" si="67"/>
        <v>2026</v>
      </c>
      <c r="E249" t="str">
        <f t="shared" si="68"/>
        <v>2_2026</v>
      </c>
      <c r="G249">
        <f t="shared" si="69"/>
        <v>20000</v>
      </c>
      <c r="H249" s="63">
        <f>'Procurement Schedule'!N366</f>
        <v>0</v>
      </c>
      <c r="I249">
        <f t="shared" si="66"/>
        <v>1</v>
      </c>
      <c r="J249">
        <f t="shared" si="70"/>
        <v>1900</v>
      </c>
      <c r="K249" t="str">
        <f t="shared" si="71"/>
        <v>1_1900</v>
      </c>
      <c r="S249" t="str">
        <f t="shared" si="62"/>
        <v/>
      </c>
      <c r="T249" s="64" t="str">
        <f t="shared" si="61"/>
        <v/>
      </c>
      <c r="AA249" t="str">
        <f t="shared" si="63"/>
        <v/>
      </c>
      <c r="AB249" s="64" t="str">
        <f t="shared" si="64"/>
        <v/>
      </c>
    </row>
    <row r="250" spans="1:28" x14ac:dyDescent="0.35">
      <c r="A250">
        <f>'Procurement Schedule'!R367</f>
        <v>20000</v>
      </c>
      <c r="B250" s="63">
        <f>'Procurement Schedule'!M367</f>
        <v>46122</v>
      </c>
      <c r="C250">
        <f t="shared" si="65"/>
        <v>4</v>
      </c>
      <c r="D250">
        <f t="shared" si="67"/>
        <v>2026</v>
      </c>
      <c r="E250" t="str">
        <f t="shared" si="68"/>
        <v>4_2026</v>
      </c>
      <c r="G250">
        <f t="shared" si="69"/>
        <v>20000</v>
      </c>
      <c r="H250" s="63">
        <f>'Procurement Schedule'!N367</f>
        <v>46122</v>
      </c>
      <c r="I250">
        <f t="shared" si="66"/>
        <v>4</v>
      </c>
      <c r="J250">
        <f t="shared" si="70"/>
        <v>2026</v>
      </c>
      <c r="K250" t="str">
        <f t="shared" si="71"/>
        <v>4_2026</v>
      </c>
      <c r="S250" t="str">
        <f t="shared" si="62"/>
        <v/>
      </c>
      <c r="T250" s="64" t="str">
        <f t="shared" si="61"/>
        <v/>
      </c>
      <c r="AA250" t="str">
        <f t="shared" si="63"/>
        <v/>
      </c>
      <c r="AB250" s="64" t="str">
        <f t="shared" si="64"/>
        <v/>
      </c>
    </row>
    <row r="251" spans="1:28" x14ac:dyDescent="0.35">
      <c r="A251" t="e">
        <f>'Procurement Schedule'!#REF!</f>
        <v>#REF!</v>
      </c>
      <c r="B251" s="63" t="e">
        <f>'Procurement Schedule'!#REF!</f>
        <v>#REF!</v>
      </c>
      <c r="C251" t="e">
        <f t="shared" si="65"/>
        <v>#REF!</v>
      </c>
      <c r="D251" t="e">
        <f t="shared" si="67"/>
        <v>#REF!</v>
      </c>
      <c r="E251" t="e">
        <f t="shared" si="68"/>
        <v>#REF!</v>
      </c>
      <c r="G251" t="e">
        <f t="shared" si="69"/>
        <v>#REF!</v>
      </c>
      <c r="H251" s="63" t="e">
        <f>'Procurement Schedule'!#REF!</f>
        <v>#REF!</v>
      </c>
      <c r="I251" t="e">
        <f t="shared" si="66"/>
        <v>#REF!</v>
      </c>
      <c r="J251" t="e">
        <f t="shared" si="70"/>
        <v>#REF!</v>
      </c>
      <c r="K251" t="e">
        <f t="shared" si="71"/>
        <v>#REF!</v>
      </c>
      <c r="S251" t="str">
        <f t="shared" si="62"/>
        <v/>
      </c>
      <c r="T251" s="64" t="str">
        <f t="shared" si="61"/>
        <v/>
      </c>
      <c r="AA251" t="str">
        <f t="shared" si="63"/>
        <v/>
      </c>
      <c r="AB251" s="64" t="str">
        <f t="shared" si="64"/>
        <v/>
      </c>
    </row>
    <row r="252" spans="1:28" x14ac:dyDescent="0.35">
      <c r="A252">
        <f>'Procurement Schedule'!R370</f>
        <v>414428.5197940818</v>
      </c>
      <c r="B252" s="63">
        <f>'Procurement Schedule'!M370</f>
        <v>0</v>
      </c>
      <c r="C252">
        <f t="shared" si="65"/>
        <v>1</v>
      </c>
      <c r="D252">
        <f t="shared" si="67"/>
        <v>1900</v>
      </c>
      <c r="E252" t="str">
        <f t="shared" si="68"/>
        <v>1_1900</v>
      </c>
      <c r="G252">
        <f t="shared" si="69"/>
        <v>414428.5197940818</v>
      </c>
      <c r="H252" s="63">
        <f>'Procurement Schedule'!N370</f>
        <v>0</v>
      </c>
      <c r="I252">
        <f t="shared" si="66"/>
        <v>1</v>
      </c>
      <c r="J252">
        <f t="shared" si="70"/>
        <v>1900</v>
      </c>
      <c r="K252" t="str">
        <f t="shared" si="71"/>
        <v>1_1900</v>
      </c>
      <c r="S252" t="str">
        <f t="shared" si="62"/>
        <v/>
      </c>
      <c r="T252" s="64" t="str">
        <f t="shared" si="61"/>
        <v/>
      </c>
      <c r="AA252" t="str">
        <f t="shared" si="63"/>
        <v/>
      </c>
      <c r="AB252" s="64" t="str">
        <f t="shared" si="64"/>
        <v/>
      </c>
    </row>
    <row r="253" spans="1:28" x14ac:dyDescent="0.35">
      <c r="A253">
        <f>'Procurement Schedule'!R371</f>
        <v>0</v>
      </c>
      <c r="B253" s="63">
        <f>'Procurement Schedule'!M371</f>
        <v>0</v>
      </c>
      <c r="C253">
        <f t="shared" si="65"/>
        <v>1</v>
      </c>
      <c r="D253">
        <f t="shared" si="67"/>
        <v>1900</v>
      </c>
      <c r="E253" t="str">
        <f t="shared" si="68"/>
        <v>1_1900</v>
      </c>
      <c r="G253">
        <f t="shared" si="69"/>
        <v>0</v>
      </c>
      <c r="H253" s="63">
        <f>'Procurement Schedule'!N371</f>
        <v>0</v>
      </c>
      <c r="I253">
        <f t="shared" si="66"/>
        <v>1</v>
      </c>
      <c r="J253">
        <f t="shared" si="70"/>
        <v>1900</v>
      </c>
      <c r="K253" t="str">
        <f t="shared" si="71"/>
        <v>1_1900</v>
      </c>
      <c r="S253" t="str">
        <f t="shared" si="62"/>
        <v/>
      </c>
      <c r="T253" s="64" t="str">
        <f t="shared" si="61"/>
        <v/>
      </c>
      <c r="AA253" t="str">
        <f t="shared" si="63"/>
        <v/>
      </c>
      <c r="AB253" s="64" t="str">
        <f t="shared" si="64"/>
        <v/>
      </c>
    </row>
    <row r="254" spans="1:28" x14ac:dyDescent="0.35">
      <c r="A254">
        <f>'Procurement Schedule'!R372</f>
        <v>0</v>
      </c>
      <c r="B254" s="63">
        <f>'Procurement Schedule'!M372</f>
        <v>0</v>
      </c>
      <c r="C254">
        <f t="shared" si="65"/>
        <v>1</v>
      </c>
      <c r="D254">
        <f t="shared" si="67"/>
        <v>1900</v>
      </c>
      <c r="E254" t="str">
        <f t="shared" si="68"/>
        <v>1_1900</v>
      </c>
      <c r="G254">
        <f t="shared" si="69"/>
        <v>0</v>
      </c>
      <c r="H254" s="63">
        <f>'Procurement Schedule'!N372</f>
        <v>0</v>
      </c>
      <c r="I254">
        <f t="shared" si="66"/>
        <v>1</v>
      </c>
      <c r="J254">
        <f t="shared" si="70"/>
        <v>1900</v>
      </c>
      <c r="K254" t="str">
        <f t="shared" si="71"/>
        <v>1_1900</v>
      </c>
      <c r="S254" t="str">
        <f t="shared" si="62"/>
        <v/>
      </c>
      <c r="T254" s="64" t="str">
        <f t="shared" si="61"/>
        <v/>
      </c>
      <c r="AA254" t="str">
        <f t="shared" si="63"/>
        <v/>
      </c>
      <c r="AB254" s="64" t="str">
        <f t="shared" si="64"/>
        <v/>
      </c>
    </row>
    <row r="255" spans="1:28" x14ac:dyDescent="0.35">
      <c r="A255">
        <f>'Procurement Schedule'!R373</f>
        <v>0</v>
      </c>
      <c r="B255" s="63">
        <f>'Procurement Schedule'!M373</f>
        <v>0</v>
      </c>
      <c r="C255">
        <f t="shared" si="65"/>
        <v>1</v>
      </c>
      <c r="D255">
        <f t="shared" si="67"/>
        <v>1900</v>
      </c>
      <c r="E255" t="str">
        <f t="shared" si="68"/>
        <v>1_1900</v>
      </c>
      <c r="G255">
        <f t="shared" si="69"/>
        <v>0</v>
      </c>
      <c r="H255" s="63">
        <f>'Procurement Schedule'!N373</f>
        <v>0</v>
      </c>
      <c r="I255">
        <f t="shared" si="66"/>
        <v>1</v>
      </c>
      <c r="J255">
        <f t="shared" si="70"/>
        <v>1900</v>
      </c>
      <c r="K255" t="str">
        <f t="shared" si="71"/>
        <v>1_1900</v>
      </c>
      <c r="S255" t="str">
        <f t="shared" si="62"/>
        <v/>
      </c>
      <c r="T255" s="64" t="str">
        <f t="shared" si="61"/>
        <v/>
      </c>
      <c r="AA255" t="str">
        <f t="shared" si="63"/>
        <v/>
      </c>
      <c r="AB255" s="64" t="str">
        <f t="shared" si="64"/>
        <v/>
      </c>
    </row>
    <row r="256" spans="1:28" x14ac:dyDescent="0.35">
      <c r="A256">
        <f>'Procurement Schedule'!R374</f>
        <v>0</v>
      </c>
      <c r="B256" s="63">
        <f>'Procurement Schedule'!M374</f>
        <v>0</v>
      </c>
      <c r="C256">
        <f t="shared" si="65"/>
        <v>1</v>
      </c>
      <c r="D256">
        <f t="shared" si="67"/>
        <v>1900</v>
      </c>
      <c r="E256" t="str">
        <f t="shared" si="68"/>
        <v>1_1900</v>
      </c>
      <c r="G256">
        <f t="shared" si="69"/>
        <v>0</v>
      </c>
      <c r="H256" s="63">
        <f>'Procurement Schedule'!N374</f>
        <v>0</v>
      </c>
      <c r="I256">
        <f t="shared" si="66"/>
        <v>1</v>
      </c>
      <c r="J256">
        <f t="shared" si="70"/>
        <v>1900</v>
      </c>
      <c r="K256" t="str">
        <f t="shared" si="71"/>
        <v>1_1900</v>
      </c>
      <c r="S256" t="str">
        <f t="shared" si="62"/>
        <v/>
      </c>
      <c r="T256" s="64" t="str">
        <f t="shared" si="61"/>
        <v/>
      </c>
      <c r="AA256" t="str">
        <f t="shared" si="63"/>
        <v/>
      </c>
      <c r="AB256" s="64" t="str">
        <f t="shared" si="64"/>
        <v/>
      </c>
    </row>
    <row r="257" spans="1:28" x14ac:dyDescent="0.35">
      <c r="A257">
        <f>'Procurement Schedule'!R375</f>
        <v>0</v>
      </c>
      <c r="B257" s="63">
        <f>'Procurement Schedule'!M375</f>
        <v>0</v>
      </c>
      <c r="C257">
        <f t="shared" si="65"/>
        <v>1</v>
      </c>
      <c r="D257">
        <f t="shared" si="67"/>
        <v>1900</v>
      </c>
      <c r="E257" t="str">
        <f t="shared" si="68"/>
        <v>1_1900</v>
      </c>
      <c r="G257">
        <f t="shared" si="69"/>
        <v>0</v>
      </c>
      <c r="H257" s="63">
        <f>'Procurement Schedule'!N375</f>
        <v>0</v>
      </c>
      <c r="I257">
        <f t="shared" si="66"/>
        <v>1</v>
      </c>
      <c r="J257">
        <f t="shared" si="70"/>
        <v>1900</v>
      </c>
      <c r="K257" t="str">
        <f t="shared" si="71"/>
        <v>1_1900</v>
      </c>
      <c r="S257" t="str">
        <f t="shared" si="62"/>
        <v/>
      </c>
      <c r="T257" s="64" t="str">
        <f t="shared" si="61"/>
        <v/>
      </c>
      <c r="AA257" t="str">
        <f t="shared" si="63"/>
        <v/>
      </c>
      <c r="AB257" s="64" t="str">
        <f t="shared" si="64"/>
        <v/>
      </c>
    </row>
    <row r="258" spans="1:28" x14ac:dyDescent="0.35">
      <c r="A258">
        <f>'Procurement Schedule'!R376</f>
        <v>0</v>
      </c>
      <c r="B258" s="63">
        <f>'Procurement Schedule'!M376</f>
        <v>0</v>
      </c>
      <c r="C258">
        <f t="shared" si="65"/>
        <v>1</v>
      </c>
      <c r="D258">
        <f t="shared" si="67"/>
        <v>1900</v>
      </c>
      <c r="E258" t="str">
        <f t="shared" si="68"/>
        <v>1_1900</v>
      </c>
      <c r="G258">
        <f t="shared" si="69"/>
        <v>0</v>
      </c>
      <c r="H258" s="63">
        <f>'Procurement Schedule'!N376</f>
        <v>0</v>
      </c>
      <c r="I258">
        <f t="shared" si="66"/>
        <v>1</v>
      </c>
      <c r="J258">
        <f t="shared" si="70"/>
        <v>1900</v>
      </c>
      <c r="K258" t="str">
        <f t="shared" si="71"/>
        <v>1_1900</v>
      </c>
      <c r="S258" t="str">
        <f t="shared" si="62"/>
        <v/>
      </c>
      <c r="T258" s="64" t="str">
        <f t="shared" si="61"/>
        <v/>
      </c>
      <c r="AA258" t="str">
        <f t="shared" si="63"/>
        <v/>
      </c>
      <c r="AB258" s="64" t="str">
        <f t="shared" si="64"/>
        <v/>
      </c>
    </row>
    <row r="259" spans="1:28" x14ac:dyDescent="0.35">
      <c r="A259">
        <f>'Procurement Schedule'!R377</f>
        <v>0</v>
      </c>
      <c r="B259" s="63">
        <f>'Procurement Schedule'!M377</f>
        <v>0</v>
      </c>
      <c r="C259">
        <f t="shared" si="65"/>
        <v>1</v>
      </c>
      <c r="D259">
        <f t="shared" si="67"/>
        <v>1900</v>
      </c>
      <c r="E259" t="str">
        <f t="shared" si="68"/>
        <v>1_1900</v>
      </c>
      <c r="G259">
        <f t="shared" si="69"/>
        <v>0</v>
      </c>
      <c r="H259" s="63">
        <f>'Procurement Schedule'!N377</f>
        <v>0</v>
      </c>
      <c r="I259">
        <f t="shared" si="66"/>
        <v>1</v>
      </c>
      <c r="J259">
        <f t="shared" si="70"/>
        <v>1900</v>
      </c>
      <c r="K259" t="str">
        <f t="shared" si="71"/>
        <v>1_1900</v>
      </c>
      <c r="S259" t="str">
        <f t="shared" si="62"/>
        <v/>
      </c>
      <c r="T259" s="64" t="str">
        <f t="shared" si="61"/>
        <v/>
      </c>
      <c r="AA259" t="str">
        <f t="shared" si="63"/>
        <v/>
      </c>
      <c r="AB259" s="64" t="str">
        <f t="shared" si="64"/>
        <v/>
      </c>
    </row>
    <row r="260" spans="1:28" x14ac:dyDescent="0.35">
      <c r="A260">
        <f>'Procurement Schedule'!R378</f>
        <v>0</v>
      </c>
      <c r="B260" s="63">
        <f>'Procurement Schedule'!M378</f>
        <v>0</v>
      </c>
      <c r="C260">
        <f t="shared" si="65"/>
        <v>1</v>
      </c>
      <c r="D260">
        <f t="shared" si="67"/>
        <v>1900</v>
      </c>
      <c r="E260" t="str">
        <f t="shared" si="68"/>
        <v>1_1900</v>
      </c>
      <c r="G260">
        <f t="shared" si="69"/>
        <v>0</v>
      </c>
      <c r="H260" s="63">
        <f>'Procurement Schedule'!N378</f>
        <v>0</v>
      </c>
      <c r="I260">
        <f t="shared" si="66"/>
        <v>1</v>
      </c>
      <c r="J260">
        <f t="shared" si="70"/>
        <v>1900</v>
      </c>
      <c r="K260" t="str">
        <f t="shared" si="71"/>
        <v>1_1900</v>
      </c>
      <c r="S260" t="str">
        <f t="shared" si="62"/>
        <v/>
      </c>
      <c r="T260" s="64" t="str">
        <f t="shared" si="61"/>
        <v/>
      </c>
      <c r="AA260" t="str">
        <f t="shared" si="63"/>
        <v/>
      </c>
      <c r="AB260" s="64" t="str">
        <f t="shared" si="64"/>
        <v/>
      </c>
    </row>
    <row r="261" spans="1:28" x14ac:dyDescent="0.35">
      <c r="A261">
        <f>'Procurement Schedule'!R379</f>
        <v>0</v>
      </c>
      <c r="B261" s="63">
        <f>'Procurement Schedule'!M379</f>
        <v>0</v>
      </c>
      <c r="C261">
        <f t="shared" si="65"/>
        <v>1</v>
      </c>
      <c r="D261">
        <f t="shared" si="67"/>
        <v>1900</v>
      </c>
      <c r="E261" t="str">
        <f t="shared" si="68"/>
        <v>1_1900</v>
      </c>
      <c r="G261">
        <f t="shared" si="69"/>
        <v>0</v>
      </c>
      <c r="H261" s="63">
        <f>'Procurement Schedule'!N379</f>
        <v>0</v>
      </c>
      <c r="I261">
        <f t="shared" si="66"/>
        <v>1</v>
      </c>
      <c r="J261">
        <f t="shared" si="70"/>
        <v>1900</v>
      </c>
      <c r="K261" t="str">
        <f t="shared" si="71"/>
        <v>1_1900</v>
      </c>
      <c r="S261" t="str">
        <f t="shared" si="62"/>
        <v/>
      </c>
      <c r="T261" s="64" t="str">
        <f t="shared" ref="T261:T324" si="72">IFERROR(VLOOKUP(Q261,AD:AE,2,0),"")</f>
        <v/>
      </c>
      <c r="AA261" t="str">
        <f t="shared" si="63"/>
        <v/>
      </c>
      <c r="AB261" s="64" t="str">
        <f t="shared" si="64"/>
        <v/>
      </c>
    </row>
    <row r="262" spans="1:28" x14ac:dyDescent="0.35">
      <c r="A262">
        <f>'Procurement Schedule'!R380</f>
        <v>0</v>
      </c>
      <c r="B262" s="63">
        <f>'Procurement Schedule'!M380</f>
        <v>0</v>
      </c>
      <c r="C262">
        <f t="shared" si="65"/>
        <v>1</v>
      </c>
      <c r="D262">
        <f t="shared" si="67"/>
        <v>1900</v>
      </c>
      <c r="E262" t="str">
        <f t="shared" si="68"/>
        <v>1_1900</v>
      </c>
      <c r="G262">
        <f t="shared" si="69"/>
        <v>0</v>
      </c>
      <c r="H262" s="63">
        <f>'Procurement Schedule'!N380</f>
        <v>0</v>
      </c>
      <c r="I262">
        <f t="shared" si="66"/>
        <v>1</v>
      </c>
      <c r="J262">
        <f t="shared" si="70"/>
        <v>1900</v>
      </c>
      <c r="K262" t="str">
        <f t="shared" si="71"/>
        <v>1_1900</v>
      </c>
      <c r="S262" t="str">
        <f t="shared" si="62"/>
        <v/>
      </c>
      <c r="T262" s="64" t="str">
        <f t="shared" si="72"/>
        <v/>
      </c>
      <c r="AA262" t="str">
        <f t="shared" si="63"/>
        <v/>
      </c>
      <c r="AB262" s="64" t="str">
        <f t="shared" si="64"/>
        <v/>
      </c>
    </row>
    <row r="263" spans="1:28" x14ac:dyDescent="0.35">
      <c r="A263">
        <f>'Procurement Schedule'!R381</f>
        <v>0</v>
      </c>
      <c r="B263" s="63">
        <f>'Procurement Schedule'!M381</f>
        <v>0</v>
      </c>
      <c r="C263">
        <f t="shared" si="65"/>
        <v>1</v>
      </c>
      <c r="D263">
        <f t="shared" si="67"/>
        <v>1900</v>
      </c>
      <c r="E263" t="str">
        <f t="shared" si="68"/>
        <v>1_1900</v>
      </c>
      <c r="G263">
        <f t="shared" si="69"/>
        <v>0</v>
      </c>
      <c r="H263" s="63">
        <f>'Procurement Schedule'!N381</f>
        <v>0</v>
      </c>
      <c r="I263">
        <f t="shared" si="66"/>
        <v>1</v>
      </c>
      <c r="J263">
        <f t="shared" si="70"/>
        <v>1900</v>
      </c>
      <c r="K263" t="str">
        <f t="shared" si="71"/>
        <v>1_1900</v>
      </c>
      <c r="S263" t="str">
        <f t="shared" si="62"/>
        <v/>
      </c>
      <c r="T263" s="64" t="str">
        <f t="shared" si="72"/>
        <v/>
      </c>
      <c r="AA263" t="str">
        <f t="shared" si="63"/>
        <v/>
      </c>
      <c r="AB263" s="64" t="str">
        <f t="shared" si="64"/>
        <v/>
      </c>
    </row>
    <row r="264" spans="1:28" x14ac:dyDescent="0.35">
      <c r="A264">
        <f>'Procurement Schedule'!R382</f>
        <v>0</v>
      </c>
      <c r="B264" s="63">
        <f>'Procurement Schedule'!M382</f>
        <v>0</v>
      </c>
      <c r="C264">
        <f t="shared" si="65"/>
        <v>1</v>
      </c>
      <c r="D264">
        <f t="shared" si="67"/>
        <v>1900</v>
      </c>
      <c r="E264" t="str">
        <f t="shared" si="68"/>
        <v>1_1900</v>
      </c>
      <c r="G264">
        <f t="shared" si="69"/>
        <v>0</v>
      </c>
      <c r="H264" s="63">
        <f>'Procurement Schedule'!N382</f>
        <v>0</v>
      </c>
      <c r="I264">
        <f t="shared" si="66"/>
        <v>1</v>
      </c>
      <c r="J264">
        <f t="shared" si="70"/>
        <v>1900</v>
      </c>
      <c r="K264" t="str">
        <f t="shared" si="71"/>
        <v>1_1900</v>
      </c>
      <c r="S264" t="str">
        <f t="shared" si="62"/>
        <v/>
      </c>
      <c r="T264" s="64" t="str">
        <f t="shared" si="72"/>
        <v/>
      </c>
      <c r="AA264" t="str">
        <f t="shared" si="63"/>
        <v/>
      </c>
      <c r="AB264" s="64" t="str">
        <f t="shared" si="64"/>
        <v/>
      </c>
    </row>
    <row r="265" spans="1:28" x14ac:dyDescent="0.35">
      <c r="A265">
        <f>'Procurement Schedule'!R383</f>
        <v>0</v>
      </c>
      <c r="B265" s="63">
        <f>'Procurement Schedule'!M383</f>
        <v>0</v>
      </c>
      <c r="C265">
        <f t="shared" si="65"/>
        <v>1</v>
      </c>
      <c r="D265">
        <f t="shared" si="67"/>
        <v>1900</v>
      </c>
      <c r="E265" t="str">
        <f t="shared" si="68"/>
        <v>1_1900</v>
      </c>
      <c r="G265">
        <f t="shared" si="69"/>
        <v>0</v>
      </c>
      <c r="H265" s="63">
        <f>'Procurement Schedule'!N383</f>
        <v>0</v>
      </c>
      <c r="I265">
        <f t="shared" si="66"/>
        <v>1</v>
      </c>
      <c r="J265">
        <f t="shared" si="70"/>
        <v>1900</v>
      </c>
      <c r="K265" t="str">
        <f t="shared" si="71"/>
        <v>1_1900</v>
      </c>
      <c r="S265" t="str">
        <f t="shared" ref="S265:S328" si="73">IF(R265="","",S264+R265)</f>
        <v/>
      </c>
      <c r="T265" s="64" t="str">
        <f t="shared" si="72"/>
        <v/>
      </c>
      <c r="AA265" t="str">
        <f t="shared" si="63"/>
        <v/>
      </c>
      <c r="AB265" s="64" t="str">
        <f t="shared" si="64"/>
        <v/>
      </c>
    </row>
    <row r="266" spans="1:28" x14ac:dyDescent="0.35">
      <c r="A266">
        <f>'Procurement Schedule'!R384</f>
        <v>0</v>
      </c>
      <c r="B266" s="63">
        <f>'Procurement Schedule'!M384</f>
        <v>0</v>
      </c>
      <c r="C266">
        <f t="shared" si="65"/>
        <v>1</v>
      </c>
      <c r="D266">
        <f t="shared" si="67"/>
        <v>1900</v>
      </c>
      <c r="E266" t="str">
        <f t="shared" si="68"/>
        <v>1_1900</v>
      </c>
      <c r="G266">
        <f t="shared" si="69"/>
        <v>0</v>
      </c>
      <c r="H266" s="63">
        <f>'Procurement Schedule'!N384</f>
        <v>0</v>
      </c>
      <c r="I266">
        <f t="shared" si="66"/>
        <v>1</v>
      </c>
      <c r="J266">
        <f t="shared" si="70"/>
        <v>1900</v>
      </c>
      <c r="K266" t="str">
        <f t="shared" si="71"/>
        <v>1_1900</v>
      </c>
      <c r="S266" t="str">
        <f t="shared" si="73"/>
        <v/>
      </c>
      <c r="T266" s="64" t="str">
        <f t="shared" si="72"/>
        <v/>
      </c>
      <c r="AA266" t="str">
        <f t="shared" ref="AA266:AA329" si="74">IF(Z266="","",AA265+Z266)</f>
        <v/>
      </c>
      <c r="AB266" s="64" t="str">
        <f t="shared" ref="AB266:AB329" si="75">IFERROR(VLOOKUP(Y266,AD:AE,2,0),"")</f>
        <v/>
      </c>
    </row>
    <row r="267" spans="1:28" x14ac:dyDescent="0.35">
      <c r="A267">
        <f>'Procurement Schedule'!R385</f>
        <v>0</v>
      </c>
      <c r="B267" s="63">
        <f>'Procurement Schedule'!M385</f>
        <v>0</v>
      </c>
      <c r="C267">
        <f t="shared" si="65"/>
        <v>1</v>
      </c>
      <c r="D267">
        <f t="shared" si="67"/>
        <v>1900</v>
      </c>
      <c r="E267" t="str">
        <f t="shared" si="68"/>
        <v>1_1900</v>
      </c>
      <c r="G267">
        <f t="shared" si="69"/>
        <v>0</v>
      </c>
      <c r="H267" s="63">
        <f>'Procurement Schedule'!N385</f>
        <v>0</v>
      </c>
      <c r="I267">
        <f t="shared" si="66"/>
        <v>1</v>
      </c>
      <c r="J267">
        <f t="shared" si="70"/>
        <v>1900</v>
      </c>
      <c r="K267" t="str">
        <f t="shared" si="71"/>
        <v>1_1900</v>
      </c>
      <c r="S267" t="str">
        <f t="shared" si="73"/>
        <v/>
      </c>
      <c r="T267" s="64" t="str">
        <f t="shared" si="72"/>
        <v/>
      </c>
      <c r="AA267" t="str">
        <f t="shared" si="74"/>
        <v/>
      </c>
      <c r="AB267" s="64" t="str">
        <f t="shared" si="75"/>
        <v/>
      </c>
    </row>
    <row r="268" spans="1:28" x14ac:dyDescent="0.35">
      <c r="A268">
        <f>'Procurement Schedule'!R386</f>
        <v>0</v>
      </c>
      <c r="B268" s="63">
        <f>'Procurement Schedule'!M386</f>
        <v>0</v>
      </c>
      <c r="C268">
        <f t="shared" si="65"/>
        <v>1</v>
      </c>
      <c r="D268">
        <f t="shared" si="67"/>
        <v>1900</v>
      </c>
      <c r="E268" t="str">
        <f t="shared" si="68"/>
        <v>1_1900</v>
      </c>
      <c r="G268">
        <f t="shared" si="69"/>
        <v>0</v>
      </c>
      <c r="H268" s="63">
        <f>'Procurement Schedule'!N386</f>
        <v>0</v>
      </c>
      <c r="I268">
        <f t="shared" si="66"/>
        <v>1</v>
      </c>
      <c r="J268">
        <f t="shared" si="70"/>
        <v>1900</v>
      </c>
      <c r="K268" t="str">
        <f t="shared" si="71"/>
        <v>1_1900</v>
      </c>
      <c r="S268" t="str">
        <f t="shared" si="73"/>
        <v/>
      </c>
      <c r="T268" s="64" t="str">
        <f t="shared" si="72"/>
        <v/>
      </c>
      <c r="AA268" t="str">
        <f t="shared" si="74"/>
        <v/>
      </c>
      <c r="AB268" s="64" t="str">
        <f t="shared" si="75"/>
        <v/>
      </c>
    </row>
    <row r="269" spans="1:28" x14ac:dyDescent="0.35">
      <c r="A269">
        <f>'Procurement Schedule'!R387</f>
        <v>0</v>
      </c>
      <c r="B269" s="63">
        <f>'Procurement Schedule'!M387</f>
        <v>0</v>
      </c>
      <c r="C269">
        <f t="shared" si="65"/>
        <v>1</v>
      </c>
      <c r="D269">
        <f t="shared" si="67"/>
        <v>1900</v>
      </c>
      <c r="E269" t="str">
        <f t="shared" si="68"/>
        <v>1_1900</v>
      </c>
      <c r="G269">
        <f t="shared" si="69"/>
        <v>0</v>
      </c>
      <c r="H269" s="63">
        <f>'Procurement Schedule'!N387</f>
        <v>0</v>
      </c>
      <c r="I269">
        <f t="shared" si="66"/>
        <v>1</v>
      </c>
      <c r="J269">
        <f t="shared" si="70"/>
        <v>1900</v>
      </c>
      <c r="K269" t="str">
        <f t="shared" si="71"/>
        <v>1_1900</v>
      </c>
      <c r="S269" t="str">
        <f t="shared" si="73"/>
        <v/>
      </c>
      <c r="T269" s="64" t="str">
        <f t="shared" si="72"/>
        <v/>
      </c>
      <c r="AA269" t="str">
        <f t="shared" si="74"/>
        <v/>
      </c>
      <c r="AB269" s="64" t="str">
        <f t="shared" si="75"/>
        <v/>
      </c>
    </row>
    <row r="270" spans="1:28" x14ac:dyDescent="0.35">
      <c r="A270">
        <f>'Procurement Schedule'!R388</f>
        <v>0</v>
      </c>
      <c r="B270" s="63">
        <f>'Procurement Schedule'!M388</f>
        <v>0</v>
      </c>
      <c r="C270">
        <f t="shared" si="65"/>
        <v>1</v>
      </c>
      <c r="D270">
        <f t="shared" si="67"/>
        <v>1900</v>
      </c>
      <c r="E270" t="str">
        <f t="shared" si="68"/>
        <v>1_1900</v>
      </c>
      <c r="G270">
        <f t="shared" si="69"/>
        <v>0</v>
      </c>
      <c r="H270" s="63">
        <f>'Procurement Schedule'!N388</f>
        <v>0</v>
      </c>
      <c r="I270">
        <f t="shared" si="66"/>
        <v>1</v>
      </c>
      <c r="J270">
        <f t="shared" si="70"/>
        <v>1900</v>
      </c>
      <c r="K270" t="str">
        <f t="shared" si="71"/>
        <v>1_1900</v>
      </c>
      <c r="S270" t="str">
        <f t="shared" si="73"/>
        <v/>
      </c>
      <c r="T270" s="64" t="str">
        <f t="shared" si="72"/>
        <v/>
      </c>
      <c r="AA270" t="str">
        <f t="shared" si="74"/>
        <v/>
      </c>
      <c r="AB270" s="64" t="str">
        <f t="shared" si="75"/>
        <v/>
      </c>
    </row>
    <row r="271" spans="1:28" x14ac:dyDescent="0.35">
      <c r="A271">
        <f>'Procurement Schedule'!R389</f>
        <v>0</v>
      </c>
      <c r="B271" s="63">
        <f>'Procurement Schedule'!M389</f>
        <v>0</v>
      </c>
      <c r="C271">
        <f t="shared" si="65"/>
        <v>1</v>
      </c>
      <c r="D271">
        <f t="shared" si="67"/>
        <v>1900</v>
      </c>
      <c r="E271" t="str">
        <f t="shared" si="68"/>
        <v>1_1900</v>
      </c>
      <c r="G271">
        <f t="shared" si="69"/>
        <v>0</v>
      </c>
      <c r="H271" s="63">
        <f>'Procurement Schedule'!N389</f>
        <v>0</v>
      </c>
      <c r="I271">
        <f t="shared" si="66"/>
        <v>1</v>
      </c>
      <c r="J271">
        <f t="shared" si="70"/>
        <v>1900</v>
      </c>
      <c r="K271" t="str">
        <f t="shared" si="71"/>
        <v>1_1900</v>
      </c>
      <c r="S271" t="str">
        <f t="shared" si="73"/>
        <v/>
      </c>
      <c r="T271" s="64" t="str">
        <f t="shared" si="72"/>
        <v/>
      </c>
      <c r="AA271" t="str">
        <f t="shared" si="74"/>
        <v/>
      </c>
      <c r="AB271" s="64" t="str">
        <f t="shared" si="75"/>
        <v/>
      </c>
    </row>
    <row r="272" spans="1:28" x14ac:dyDescent="0.35">
      <c r="A272">
        <f>'Procurement Schedule'!R390</f>
        <v>0</v>
      </c>
      <c r="B272" s="63">
        <f>'Procurement Schedule'!M390</f>
        <v>0</v>
      </c>
      <c r="C272">
        <f t="shared" si="65"/>
        <v>1</v>
      </c>
      <c r="D272">
        <f t="shared" si="67"/>
        <v>1900</v>
      </c>
      <c r="E272" t="str">
        <f t="shared" si="68"/>
        <v>1_1900</v>
      </c>
      <c r="G272">
        <f t="shared" si="69"/>
        <v>0</v>
      </c>
      <c r="H272" s="63">
        <f>'Procurement Schedule'!N390</f>
        <v>0</v>
      </c>
      <c r="I272">
        <f t="shared" si="66"/>
        <v>1</v>
      </c>
      <c r="J272">
        <f t="shared" si="70"/>
        <v>1900</v>
      </c>
      <c r="K272" t="str">
        <f t="shared" si="71"/>
        <v>1_1900</v>
      </c>
      <c r="S272" t="str">
        <f t="shared" si="73"/>
        <v/>
      </c>
      <c r="T272" s="64" t="str">
        <f t="shared" si="72"/>
        <v/>
      </c>
      <c r="AA272" t="str">
        <f t="shared" si="74"/>
        <v/>
      </c>
      <c r="AB272" s="64" t="str">
        <f t="shared" si="75"/>
        <v/>
      </c>
    </row>
    <row r="273" spans="1:28" x14ac:dyDescent="0.35">
      <c r="A273">
        <f>'Procurement Schedule'!R391</f>
        <v>0</v>
      </c>
      <c r="B273" s="63">
        <f>'Procurement Schedule'!M391</f>
        <v>0</v>
      </c>
      <c r="C273">
        <f t="shared" si="65"/>
        <v>1</v>
      </c>
      <c r="D273">
        <f t="shared" si="67"/>
        <v>1900</v>
      </c>
      <c r="E273" t="str">
        <f t="shared" si="68"/>
        <v>1_1900</v>
      </c>
      <c r="G273">
        <f t="shared" si="69"/>
        <v>0</v>
      </c>
      <c r="H273" s="63">
        <f>'Procurement Schedule'!N391</f>
        <v>0</v>
      </c>
      <c r="I273">
        <f t="shared" si="66"/>
        <v>1</v>
      </c>
      <c r="J273">
        <f t="shared" si="70"/>
        <v>1900</v>
      </c>
      <c r="K273" t="str">
        <f t="shared" si="71"/>
        <v>1_1900</v>
      </c>
      <c r="S273" t="str">
        <f t="shared" si="73"/>
        <v/>
      </c>
      <c r="T273" s="64" t="str">
        <f t="shared" si="72"/>
        <v/>
      </c>
      <c r="AA273" t="str">
        <f t="shared" si="74"/>
        <v/>
      </c>
      <c r="AB273" s="64" t="str">
        <f t="shared" si="75"/>
        <v/>
      </c>
    </row>
    <row r="274" spans="1:28" x14ac:dyDescent="0.35">
      <c r="A274">
        <f>'Procurement Schedule'!R392</f>
        <v>0</v>
      </c>
      <c r="B274" s="63">
        <f>'Procurement Schedule'!M392</f>
        <v>0</v>
      </c>
      <c r="C274">
        <f t="shared" si="65"/>
        <v>1</v>
      </c>
      <c r="D274">
        <f t="shared" si="67"/>
        <v>1900</v>
      </c>
      <c r="E274" t="str">
        <f t="shared" si="68"/>
        <v>1_1900</v>
      </c>
      <c r="G274">
        <f t="shared" si="69"/>
        <v>0</v>
      </c>
      <c r="H274" s="63">
        <f>'Procurement Schedule'!N392</f>
        <v>0</v>
      </c>
      <c r="I274">
        <f t="shared" si="66"/>
        <v>1</v>
      </c>
      <c r="J274">
        <f t="shared" si="70"/>
        <v>1900</v>
      </c>
      <c r="K274" t="str">
        <f t="shared" si="71"/>
        <v>1_1900</v>
      </c>
      <c r="S274" t="str">
        <f t="shared" si="73"/>
        <v/>
      </c>
      <c r="T274" s="64" t="str">
        <f t="shared" si="72"/>
        <v/>
      </c>
      <c r="AA274" t="str">
        <f t="shared" si="74"/>
        <v/>
      </c>
      <c r="AB274" s="64" t="str">
        <f t="shared" si="75"/>
        <v/>
      </c>
    </row>
    <row r="275" spans="1:28" x14ac:dyDescent="0.35">
      <c r="A275">
        <f>'Procurement Schedule'!R393</f>
        <v>0</v>
      </c>
      <c r="B275" s="63">
        <f>'Procurement Schedule'!M393</f>
        <v>0</v>
      </c>
      <c r="C275">
        <f t="shared" ref="C275:C338" si="76">MONTH(B275)</f>
        <v>1</v>
      </c>
      <c r="D275">
        <f t="shared" si="67"/>
        <v>1900</v>
      </c>
      <c r="E275" t="str">
        <f t="shared" si="68"/>
        <v>1_1900</v>
      </c>
      <c r="G275">
        <f t="shared" si="69"/>
        <v>0</v>
      </c>
      <c r="H275" s="63">
        <f>'Procurement Schedule'!N393</f>
        <v>0</v>
      </c>
      <c r="I275">
        <f t="shared" si="66"/>
        <v>1</v>
      </c>
      <c r="J275">
        <f t="shared" si="70"/>
        <v>1900</v>
      </c>
      <c r="K275" t="str">
        <f t="shared" si="71"/>
        <v>1_1900</v>
      </c>
      <c r="S275" t="str">
        <f t="shared" si="73"/>
        <v/>
      </c>
      <c r="T275" s="64" t="str">
        <f t="shared" si="72"/>
        <v/>
      </c>
      <c r="AA275" t="str">
        <f t="shared" si="74"/>
        <v/>
      </c>
      <c r="AB275" s="64" t="str">
        <f t="shared" si="75"/>
        <v/>
      </c>
    </row>
    <row r="276" spans="1:28" x14ac:dyDescent="0.35">
      <c r="A276">
        <f>'Procurement Schedule'!R394</f>
        <v>0</v>
      </c>
      <c r="B276" s="63">
        <f>'Procurement Schedule'!M394</f>
        <v>0</v>
      </c>
      <c r="C276">
        <f t="shared" si="76"/>
        <v>1</v>
      </c>
      <c r="D276">
        <f t="shared" si="67"/>
        <v>1900</v>
      </c>
      <c r="E276" t="str">
        <f t="shared" si="68"/>
        <v>1_1900</v>
      </c>
      <c r="G276">
        <f t="shared" si="69"/>
        <v>0</v>
      </c>
      <c r="H276" s="63">
        <f>'Procurement Schedule'!N394</f>
        <v>0</v>
      </c>
      <c r="I276">
        <f t="shared" ref="I276:I339" si="77">MONTH(H276)</f>
        <v>1</v>
      </c>
      <c r="J276">
        <f t="shared" si="70"/>
        <v>1900</v>
      </c>
      <c r="K276" t="str">
        <f t="shared" si="71"/>
        <v>1_1900</v>
      </c>
      <c r="S276" t="str">
        <f t="shared" si="73"/>
        <v/>
      </c>
      <c r="T276" s="64" t="str">
        <f t="shared" si="72"/>
        <v/>
      </c>
      <c r="AA276" t="str">
        <f t="shared" si="74"/>
        <v/>
      </c>
      <c r="AB276" s="64" t="str">
        <f t="shared" si="75"/>
        <v/>
      </c>
    </row>
    <row r="277" spans="1:28" x14ac:dyDescent="0.35">
      <c r="A277">
        <f>'Procurement Schedule'!R395</f>
        <v>0</v>
      </c>
      <c r="B277" s="63">
        <f>'Procurement Schedule'!M395</f>
        <v>0</v>
      </c>
      <c r="C277">
        <f t="shared" si="76"/>
        <v>1</v>
      </c>
      <c r="D277">
        <f t="shared" si="67"/>
        <v>1900</v>
      </c>
      <c r="E277" t="str">
        <f t="shared" si="68"/>
        <v>1_1900</v>
      </c>
      <c r="G277">
        <f t="shared" si="69"/>
        <v>0</v>
      </c>
      <c r="H277" s="63">
        <f>'Procurement Schedule'!N395</f>
        <v>0</v>
      </c>
      <c r="I277">
        <f t="shared" si="77"/>
        <v>1</v>
      </c>
      <c r="J277">
        <f t="shared" si="70"/>
        <v>1900</v>
      </c>
      <c r="K277" t="str">
        <f t="shared" si="71"/>
        <v>1_1900</v>
      </c>
      <c r="S277" t="str">
        <f t="shared" si="73"/>
        <v/>
      </c>
      <c r="T277" s="64" t="str">
        <f t="shared" si="72"/>
        <v/>
      </c>
      <c r="AA277" t="str">
        <f t="shared" si="74"/>
        <v/>
      </c>
      <c r="AB277" s="64" t="str">
        <f t="shared" si="75"/>
        <v/>
      </c>
    </row>
    <row r="278" spans="1:28" x14ac:dyDescent="0.35">
      <c r="A278">
        <f>'Procurement Schedule'!R396</f>
        <v>0</v>
      </c>
      <c r="B278" s="63">
        <f>'Procurement Schedule'!M396</f>
        <v>0</v>
      </c>
      <c r="C278">
        <f t="shared" si="76"/>
        <v>1</v>
      </c>
      <c r="D278">
        <f t="shared" si="67"/>
        <v>1900</v>
      </c>
      <c r="E278" t="str">
        <f t="shared" si="68"/>
        <v>1_1900</v>
      </c>
      <c r="G278">
        <f t="shared" si="69"/>
        <v>0</v>
      </c>
      <c r="H278" s="63">
        <f>'Procurement Schedule'!N396</f>
        <v>0</v>
      </c>
      <c r="I278">
        <f t="shared" si="77"/>
        <v>1</v>
      </c>
      <c r="J278">
        <f t="shared" si="70"/>
        <v>1900</v>
      </c>
      <c r="K278" t="str">
        <f t="shared" si="71"/>
        <v>1_1900</v>
      </c>
      <c r="S278" t="str">
        <f t="shared" si="73"/>
        <v/>
      </c>
      <c r="T278" s="64" t="str">
        <f t="shared" si="72"/>
        <v/>
      </c>
      <c r="AA278" t="str">
        <f t="shared" si="74"/>
        <v/>
      </c>
      <c r="AB278" s="64" t="str">
        <f t="shared" si="75"/>
        <v/>
      </c>
    </row>
    <row r="279" spans="1:28" x14ac:dyDescent="0.35">
      <c r="A279">
        <f>'Procurement Schedule'!R397</f>
        <v>0</v>
      </c>
      <c r="B279" s="63">
        <f>'Procurement Schedule'!M397</f>
        <v>0</v>
      </c>
      <c r="C279">
        <f t="shared" si="76"/>
        <v>1</v>
      </c>
      <c r="D279">
        <f t="shared" si="67"/>
        <v>1900</v>
      </c>
      <c r="E279" t="str">
        <f t="shared" si="68"/>
        <v>1_1900</v>
      </c>
      <c r="G279">
        <f t="shared" si="69"/>
        <v>0</v>
      </c>
      <c r="H279" s="63">
        <f>'Procurement Schedule'!N397</f>
        <v>0</v>
      </c>
      <c r="I279">
        <f t="shared" si="77"/>
        <v>1</v>
      </c>
      <c r="J279">
        <f t="shared" si="70"/>
        <v>1900</v>
      </c>
      <c r="K279" t="str">
        <f t="shared" si="71"/>
        <v>1_1900</v>
      </c>
      <c r="S279" t="str">
        <f t="shared" si="73"/>
        <v/>
      </c>
      <c r="T279" s="64" t="str">
        <f t="shared" si="72"/>
        <v/>
      </c>
      <c r="AA279" t="str">
        <f t="shared" si="74"/>
        <v/>
      </c>
      <c r="AB279" s="64" t="str">
        <f t="shared" si="75"/>
        <v/>
      </c>
    </row>
    <row r="280" spans="1:28" x14ac:dyDescent="0.35">
      <c r="A280">
        <f>'Procurement Schedule'!R398</f>
        <v>0</v>
      </c>
      <c r="B280" s="63">
        <f>'Procurement Schedule'!M398</f>
        <v>0</v>
      </c>
      <c r="C280">
        <f t="shared" si="76"/>
        <v>1</v>
      </c>
      <c r="D280">
        <f t="shared" si="67"/>
        <v>1900</v>
      </c>
      <c r="E280" t="str">
        <f t="shared" si="68"/>
        <v>1_1900</v>
      </c>
      <c r="G280">
        <f t="shared" si="69"/>
        <v>0</v>
      </c>
      <c r="H280" s="63">
        <f>'Procurement Schedule'!N398</f>
        <v>0</v>
      </c>
      <c r="I280">
        <f t="shared" si="77"/>
        <v>1</v>
      </c>
      <c r="J280">
        <f t="shared" si="70"/>
        <v>1900</v>
      </c>
      <c r="K280" t="str">
        <f t="shared" si="71"/>
        <v>1_1900</v>
      </c>
      <c r="S280" t="str">
        <f t="shared" si="73"/>
        <v/>
      </c>
      <c r="T280" s="64" t="str">
        <f t="shared" si="72"/>
        <v/>
      </c>
      <c r="AA280" t="str">
        <f t="shared" si="74"/>
        <v/>
      </c>
      <c r="AB280" s="64" t="str">
        <f t="shared" si="75"/>
        <v/>
      </c>
    </row>
    <row r="281" spans="1:28" x14ac:dyDescent="0.35">
      <c r="A281">
        <f>'Procurement Schedule'!R399</f>
        <v>0</v>
      </c>
      <c r="B281" s="63">
        <f>'Procurement Schedule'!M399</f>
        <v>0</v>
      </c>
      <c r="C281">
        <f t="shared" si="76"/>
        <v>1</v>
      </c>
      <c r="D281">
        <f t="shared" si="67"/>
        <v>1900</v>
      </c>
      <c r="E281" t="str">
        <f t="shared" si="68"/>
        <v>1_1900</v>
      </c>
      <c r="G281">
        <f t="shared" si="69"/>
        <v>0</v>
      </c>
      <c r="H281" s="63">
        <f>'Procurement Schedule'!N399</f>
        <v>0</v>
      </c>
      <c r="I281">
        <f t="shared" si="77"/>
        <v>1</v>
      </c>
      <c r="J281">
        <f t="shared" si="70"/>
        <v>1900</v>
      </c>
      <c r="K281" t="str">
        <f t="shared" si="71"/>
        <v>1_1900</v>
      </c>
      <c r="S281" t="str">
        <f t="shared" si="73"/>
        <v/>
      </c>
      <c r="T281" s="64" t="str">
        <f t="shared" si="72"/>
        <v/>
      </c>
      <c r="AA281" t="str">
        <f t="shared" si="74"/>
        <v/>
      </c>
      <c r="AB281" s="64" t="str">
        <f t="shared" si="75"/>
        <v/>
      </c>
    </row>
    <row r="282" spans="1:28" x14ac:dyDescent="0.35">
      <c r="A282">
        <f>'Procurement Schedule'!R400</f>
        <v>0</v>
      </c>
      <c r="B282" s="63">
        <f>'Procurement Schedule'!M400</f>
        <v>0</v>
      </c>
      <c r="C282">
        <f t="shared" si="76"/>
        <v>1</v>
      </c>
      <c r="D282">
        <f t="shared" si="67"/>
        <v>1900</v>
      </c>
      <c r="E282" t="str">
        <f t="shared" si="68"/>
        <v>1_1900</v>
      </c>
      <c r="G282">
        <f t="shared" si="69"/>
        <v>0</v>
      </c>
      <c r="H282" s="63">
        <f>'Procurement Schedule'!N400</f>
        <v>0</v>
      </c>
      <c r="I282">
        <f t="shared" si="77"/>
        <v>1</v>
      </c>
      <c r="J282">
        <f t="shared" si="70"/>
        <v>1900</v>
      </c>
      <c r="K282" t="str">
        <f t="shared" si="71"/>
        <v>1_1900</v>
      </c>
      <c r="S282" t="str">
        <f t="shared" si="73"/>
        <v/>
      </c>
      <c r="T282" s="64" t="str">
        <f t="shared" si="72"/>
        <v/>
      </c>
      <c r="AA282" t="str">
        <f t="shared" si="74"/>
        <v/>
      </c>
      <c r="AB282" s="64" t="str">
        <f t="shared" si="75"/>
        <v/>
      </c>
    </row>
    <row r="283" spans="1:28" x14ac:dyDescent="0.35">
      <c r="A283">
        <f>'Procurement Schedule'!R401</f>
        <v>0</v>
      </c>
      <c r="B283" s="63">
        <f>'Procurement Schedule'!M401</f>
        <v>0</v>
      </c>
      <c r="C283">
        <f t="shared" si="76"/>
        <v>1</v>
      </c>
      <c r="D283">
        <f t="shared" si="67"/>
        <v>1900</v>
      </c>
      <c r="E283" t="str">
        <f t="shared" si="68"/>
        <v>1_1900</v>
      </c>
      <c r="G283">
        <f t="shared" si="69"/>
        <v>0</v>
      </c>
      <c r="H283" s="63">
        <f>'Procurement Schedule'!N401</f>
        <v>0</v>
      </c>
      <c r="I283">
        <f t="shared" si="77"/>
        <v>1</v>
      </c>
      <c r="J283">
        <f t="shared" si="70"/>
        <v>1900</v>
      </c>
      <c r="K283" t="str">
        <f t="shared" si="71"/>
        <v>1_1900</v>
      </c>
      <c r="S283" t="str">
        <f t="shared" si="73"/>
        <v/>
      </c>
      <c r="T283" s="64" t="str">
        <f t="shared" si="72"/>
        <v/>
      </c>
      <c r="AA283" t="str">
        <f t="shared" si="74"/>
        <v/>
      </c>
      <c r="AB283" s="64" t="str">
        <f t="shared" si="75"/>
        <v/>
      </c>
    </row>
    <row r="284" spans="1:28" x14ac:dyDescent="0.35">
      <c r="A284">
        <f>'Procurement Schedule'!R402</f>
        <v>0</v>
      </c>
      <c r="B284" s="63">
        <f>'Procurement Schedule'!M402</f>
        <v>0</v>
      </c>
      <c r="C284">
        <f t="shared" si="76"/>
        <v>1</v>
      </c>
      <c r="D284">
        <f t="shared" si="67"/>
        <v>1900</v>
      </c>
      <c r="E284" t="str">
        <f t="shared" si="68"/>
        <v>1_1900</v>
      </c>
      <c r="G284">
        <f t="shared" si="69"/>
        <v>0</v>
      </c>
      <c r="H284" s="63">
        <f>'Procurement Schedule'!N402</f>
        <v>0</v>
      </c>
      <c r="I284">
        <f t="shared" si="77"/>
        <v>1</v>
      </c>
      <c r="J284">
        <f t="shared" si="70"/>
        <v>1900</v>
      </c>
      <c r="K284" t="str">
        <f t="shared" si="71"/>
        <v>1_1900</v>
      </c>
      <c r="S284" t="str">
        <f t="shared" si="73"/>
        <v/>
      </c>
      <c r="T284" s="64" t="str">
        <f t="shared" si="72"/>
        <v/>
      </c>
      <c r="AA284" t="str">
        <f t="shared" si="74"/>
        <v/>
      </c>
      <c r="AB284" s="64" t="str">
        <f t="shared" si="75"/>
        <v/>
      </c>
    </row>
    <row r="285" spans="1:28" x14ac:dyDescent="0.35">
      <c r="A285">
        <f>'Procurement Schedule'!R403</f>
        <v>0</v>
      </c>
      <c r="B285" s="63">
        <f>'Procurement Schedule'!M403</f>
        <v>0</v>
      </c>
      <c r="C285">
        <f t="shared" si="76"/>
        <v>1</v>
      </c>
      <c r="D285">
        <f t="shared" si="67"/>
        <v>1900</v>
      </c>
      <c r="E285" t="str">
        <f t="shared" si="68"/>
        <v>1_1900</v>
      </c>
      <c r="G285">
        <f t="shared" si="69"/>
        <v>0</v>
      </c>
      <c r="H285" s="63">
        <f>'Procurement Schedule'!N403</f>
        <v>0</v>
      </c>
      <c r="I285">
        <f t="shared" si="77"/>
        <v>1</v>
      </c>
      <c r="J285">
        <f t="shared" si="70"/>
        <v>1900</v>
      </c>
      <c r="K285" t="str">
        <f t="shared" si="71"/>
        <v>1_1900</v>
      </c>
      <c r="S285" t="str">
        <f t="shared" si="73"/>
        <v/>
      </c>
      <c r="T285" s="64" t="str">
        <f t="shared" si="72"/>
        <v/>
      </c>
      <c r="AA285" t="str">
        <f t="shared" si="74"/>
        <v/>
      </c>
      <c r="AB285" s="64" t="str">
        <f t="shared" si="75"/>
        <v/>
      </c>
    </row>
    <row r="286" spans="1:28" x14ac:dyDescent="0.35">
      <c r="A286">
        <f>'Procurement Schedule'!R404</f>
        <v>0</v>
      </c>
      <c r="B286" s="63">
        <f>'Procurement Schedule'!M404</f>
        <v>0</v>
      </c>
      <c r="C286">
        <f t="shared" si="76"/>
        <v>1</v>
      </c>
      <c r="D286">
        <f t="shared" si="67"/>
        <v>1900</v>
      </c>
      <c r="E286" t="str">
        <f t="shared" si="68"/>
        <v>1_1900</v>
      </c>
      <c r="G286">
        <f t="shared" si="69"/>
        <v>0</v>
      </c>
      <c r="H286" s="63">
        <f>'Procurement Schedule'!N404</f>
        <v>0</v>
      </c>
      <c r="I286">
        <f t="shared" si="77"/>
        <v>1</v>
      </c>
      <c r="J286">
        <f t="shared" si="70"/>
        <v>1900</v>
      </c>
      <c r="K286" t="str">
        <f t="shared" si="71"/>
        <v>1_1900</v>
      </c>
      <c r="S286" t="str">
        <f t="shared" si="73"/>
        <v/>
      </c>
      <c r="T286" s="64" t="str">
        <f t="shared" si="72"/>
        <v/>
      </c>
      <c r="AA286" t="str">
        <f t="shared" si="74"/>
        <v/>
      </c>
      <c r="AB286" s="64" t="str">
        <f t="shared" si="75"/>
        <v/>
      </c>
    </row>
    <row r="287" spans="1:28" x14ac:dyDescent="0.35">
      <c r="A287">
        <f>'Procurement Schedule'!R405</f>
        <v>0</v>
      </c>
      <c r="B287" s="63">
        <f>'Procurement Schedule'!M405</f>
        <v>0</v>
      </c>
      <c r="C287">
        <f t="shared" si="76"/>
        <v>1</v>
      </c>
      <c r="D287">
        <f t="shared" si="67"/>
        <v>1900</v>
      </c>
      <c r="E287" t="str">
        <f t="shared" si="68"/>
        <v>1_1900</v>
      </c>
      <c r="G287">
        <f t="shared" si="69"/>
        <v>0</v>
      </c>
      <c r="H287" s="63">
        <f>'Procurement Schedule'!N405</f>
        <v>0</v>
      </c>
      <c r="I287">
        <f t="shared" si="77"/>
        <v>1</v>
      </c>
      <c r="J287">
        <f t="shared" si="70"/>
        <v>1900</v>
      </c>
      <c r="K287" t="str">
        <f t="shared" si="71"/>
        <v>1_1900</v>
      </c>
      <c r="S287" t="str">
        <f t="shared" si="73"/>
        <v/>
      </c>
      <c r="T287" s="64" t="str">
        <f t="shared" si="72"/>
        <v/>
      </c>
      <c r="AA287" t="str">
        <f t="shared" si="74"/>
        <v/>
      </c>
      <c r="AB287" s="64" t="str">
        <f t="shared" si="75"/>
        <v/>
      </c>
    </row>
    <row r="288" spans="1:28" x14ac:dyDescent="0.35">
      <c r="A288">
        <f>'Procurement Schedule'!R406</f>
        <v>0</v>
      </c>
      <c r="B288" s="63">
        <f>'Procurement Schedule'!M406</f>
        <v>0</v>
      </c>
      <c r="C288">
        <f t="shared" si="76"/>
        <v>1</v>
      </c>
      <c r="D288">
        <f t="shared" si="67"/>
        <v>1900</v>
      </c>
      <c r="E288" t="str">
        <f t="shared" si="68"/>
        <v>1_1900</v>
      </c>
      <c r="G288">
        <f t="shared" si="69"/>
        <v>0</v>
      </c>
      <c r="H288" s="63">
        <f>'Procurement Schedule'!N406</f>
        <v>0</v>
      </c>
      <c r="I288">
        <f t="shared" si="77"/>
        <v>1</v>
      </c>
      <c r="J288">
        <f t="shared" si="70"/>
        <v>1900</v>
      </c>
      <c r="K288" t="str">
        <f t="shared" si="71"/>
        <v>1_1900</v>
      </c>
      <c r="S288" t="str">
        <f t="shared" si="73"/>
        <v/>
      </c>
      <c r="T288" s="64" t="str">
        <f t="shared" si="72"/>
        <v/>
      </c>
      <c r="AA288" t="str">
        <f t="shared" si="74"/>
        <v/>
      </c>
      <c r="AB288" s="64" t="str">
        <f t="shared" si="75"/>
        <v/>
      </c>
    </row>
    <row r="289" spans="1:28" x14ac:dyDescent="0.35">
      <c r="A289">
        <f>'Procurement Schedule'!R407</f>
        <v>0</v>
      </c>
      <c r="B289" s="63">
        <f>'Procurement Schedule'!M407</f>
        <v>0</v>
      </c>
      <c r="C289">
        <f t="shared" si="76"/>
        <v>1</v>
      </c>
      <c r="D289">
        <f t="shared" si="67"/>
        <v>1900</v>
      </c>
      <c r="E289" t="str">
        <f t="shared" si="68"/>
        <v>1_1900</v>
      </c>
      <c r="G289">
        <f t="shared" si="69"/>
        <v>0</v>
      </c>
      <c r="H289" s="63">
        <f>'Procurement Schedule'!N407</f>
        <v>0</v>
      </c>
      <c r="I289">
        <f t="shared" si="77"/>
        <v>1</v>
      </c>
      <c r="J289">
        <f t="shared" si="70"/>
        <v>1900</v>
      </c>
      <c r="K289" t="str">
        <f t="shared" si="71"/>
        <v>1_1900</v>
      </c>
      <c r="S289" t="str">
        <f t="shared" si="73"/>
        <v/>
      </c>
      <c r="T289" s="64" t="str">
        <f t="shared" si="72"/>
        <v/>
      </c>
      <c r="AA289" t="str">
        <f t="shared" si="74"/>
        <v/>
      </c>
      <c r="AB289" s="64" t="str">
        <f t="shared" si="75"/>
        <v/>
      </c>
    </row>
    <row r="290" spans="1:28" x14ac:dyDescent="0.35">
      <c r="A290">
        <f>'Procurement Schedule'!R408</f>
        <v>0</v>
      </c>
      <c r="B290" s="63">
        <f>'Procurement Schedule'!M408</f>
        <v>0</v>
      </c>
      <c r="C290">
        <f t="shared" si="76"/>
        <v>1</v>
      </c>
      <c r="D290">
        <f t="shared" si="67"/>
        <v>1900</v>
      </c>
      <c r="E290" t="str">
        <f t="shared" si="68"/>
        <v>1_1900</v>
      </c>
      <c r="G290">
        <f t="shared" si="69"/>
        <v>0</v>
      </c>
      <c r="H290" s="63">
        <f>'Procurement Schedule'!N408</f>
        <v>0</v>
      </c>
      <c r="I290">
        <f t="shared" si="77"/>
        <v>1</v>
      </c>
      <c r="J290">
        <f t="shared" si="70"/>
        <v>1900</v>
      </c>
      <c r="K290" t="str">
        <f t="shared" si="71"/>
        <v>1_1900</v>
      </c>
      <c r="S290" t="str">
        <f t="shared" si="73"/>
        <v/>
      </c>
      <c r="T290" s="64" t="str">
        <f t="shared" si="72"/>
        <v/>
      </c>
      <c r="AA290" t="str">
        <f t="shared" si="74"/>
        <v/>
      </c>
      <c r="AB290" s="64" t="str">
        <f t="shared" si="75"/>
        <v/>
      </c>
    </row>
    <row r="291" spans="1:28" x14ac:dyDescent="0.35">
      <c r="A291">
        <f>'Procurement Schedule'!R409</f>
        <v>0</v>
      </c>
      <c r="B291" s="63">
        <f>'Procurement Schedule'!M409</f>
        <v>0</v>
      </c>
      <c r="C291">
        <f t="shared" si="76"/>
        <v>1</v>
      </c>
      <c r="D291">
        <f t="shared" si="67"/>
        <v>1900</v>
      </c>
      <c r="E291" t="str">
        <f t="shared" si="68"/>
        <v>1_1900</v>
      </c>
      <c r="G291">
        <f t="shared" si="69"/>
        <v>0</v>
      </c>
      <c r="H291" s="63">
        <f>'Procurement Schedule'!N409</f>
        <v>0</v>
      </c>
      <c r="I291">
        <f t="shared" si="77"/>
        <v>1</v>
      </c>
      <c r="J291">
        <f t="shared" si="70"/>
        <v>1900</v>
      </c>
      <c r="K291" t="str">
        <f t="shared" si="71"/>
        <v>1_1900</v>
      </c>
      <c r="S291" t="str">
        <f t="shared" si="73"/>
        <v/>
      </c>
      <c r="T291" s="64" t="str">
        <f t="shared" si="72"/>
        <v/>
      </c>
      <c r="AA291" t="str">
        <f t="shared" si="74"/>
        <v/>
      </c>
      <c r="AB291" s="64" t="str">
        <f t="shared" si="75"/>
        <v/>
      </c>
    </row>
    <row r="292" spans="1:28" x14ac:dyDescent="0.35">
      <c r="A292">
        <f>'Procurement Schedule'!R410</f>
        <v>0</v>
      </c>
      <c r="B292" s="63">
        <f>'Procurement Schedule'!M410</f>
        <v>0</v>
      </c>
      <c r="C292">
        <f t="shared" si="76"/>
        <v>1</v>
      </c>
      <c r="D292">
        <f t="shared" si="67"/>
        <v>1900</v>
      </c>
      <c r="E292" t="str">
        <f t="shared" si="68"/>
        <v>1_1900</v>
      </c>
      <c r="G292">
        <f t="shared" si="69"/>
        <v>0</v>
      </c>
      <c r="H292" s="63">
        <f>'Procurement Schedule'!N410</f>
        <v>0</v>
      </c>
      <c r="I292">
        <f t="shared" si="77"/>
        <v>1</v>
      </c>
      <c r="J292">
        <f t="shared" si="70"/>
        <v>1900</v>
      </c>
      <c r="K292" t="str">
        <f t="shared" si="71"/>
        <v>1_1900</v>
      </c>
      <c r="S292" t="str">
        <f t="shared" si="73"/>
        <v/>
      </c>
      <c r="T292" s="64" t="str">
        <f t="shared" si="72"/>
        <v/>
      </c>
      <c r="AA292" t="str">
        <f t="shared" si="74"/>
        <v/>
      </c>
      <c r="AB292" s="64" t="str">
        <f t="shared" si="75"/>
        <v/>
      </c>
    </row>
    <row r="293" spans="1:28" x14ac:dyDescent="0.35">
      <c r="A293">
        <f>'Procurement Schedule'!R411</f>
        <v>0</v>
      </c>
      <c r="B293" s="63">
        <f>'Procurement Schedule'!M411</f>
        <v>0</v>
      </c>
      <c r="C293">
        <f t="shared" si="76"/>
        <v>1</v>
      </c>
      <c r="D293">
        <f t="shared" si="67"/>
        <v>1900</v>
      </c>
      <c r="E293" t="str">
        <f t="shared" si="68"/>
        <v>1_1900</v>
      </c>
      <c r="G293">
        <f t="shared" si="69"/>
        <v>0</v>
      </c>
      <c r="H293" s="63">
        <f>'Procurement Schedule'!N411</f>
        <v>0</v>
      </c>
      <c r="I293">
        <f t="shared" si="77"/>
        <v>1</v>
      </c>
      <c r="J293">
        <f t="shared" si="70"/>
        <v>1900</v>
      </c>
      <c r="K293" t="str">
        <f t="shared" si="71"/>
        <v>1_1900</v>
      </c>
      <c r="S293" t="str">
        <f t="shared" si="73"/>
        <v/>
      </c>
      <c r="T293" s="64" t="str">
        <f t="shared" si="72"/>
        <v/>
      </c>
      <c r="AA293" t="str">
        <f t="shared" si="74"/>
        <v/>
      </c>
      <c r="AB293" s="64" t="str">
        <f t="shared" si="75"/>
        <v/>
      </c>
    </row>
    <row r="294" spans="1:28" x14ac:dyDescent="0.35">
      <c r="A294">
        <f>'Procurement Schedule'!R412</f>
        <v>0</v>
      </c>
      <c r="B294" s="63">
        <f>'Procurement Schedule'!M412</f>
        <v>0</v>
      </c>
      <c r="C294">
        <f t="shared" si="76"/>
        <v>1</v>
      </c>
      <c r="D294">
        <f t="shared" si="67"/>
        <v>1900</v>
      </c>
      <c r="E294" t="str">
        <f t="shared" si="68"/>
        <v>1_1900</v>
      </c>
      <c r="G294">
        <f t="shared" si="69"/>
        <v>0</v>
      </c>
      <c r="H294" s="63">
        <f>'Procurement Schedule'!N412</f>
        <v>0</v>
      </c>
      <c r="I294">
        <f t="shared" si="77"/>
        <v>1</v>
      </c>
      <c r="J294">
        <f t="shared" si="70"/>
        <v>1900</v>
      </c>
      <c r="K294" t="str">
        <f t="shared" si="71"/>
        <v>1_1900</v>
      </c>
      <c r="S294" t="str">
        <f t="shared" si="73"/>
        <v/>
      </c>
      <c r="T294" s="64" t="str">
        <f t="shared" si="72"/>
        <v/>
      </c>
      <c r="AA294" t="str">
        <f t="shared" si="74"/>
        <v/>
      </c>
      <c r="AB294" s="64" t="str">
        <f t="shared" si="75"/>
        <v/>
      </c>
    </row>
    <row r="295" spans="1:28" x14ac:dyDescent="0.35">
      <c r="A295">
        <f>'Procurement Schedule'!R413</f>
        <v>0</v>
      </c>
      <c r="B295" s="63">
        <f>'Procurement Schedule'!M413</f>
        <v>0</v>
      </c>
      <c r="C295">
        <f t="shared" si="76"/>
        <v>1</v>
      </c>
      <c r="D295">
        <f t="shared" si="67"/>
        <v>1900</v>
      </c>
      <c r="E295" t="str">
        <f t="shared" si="68"/>
        <v>1_1900</v>
      </c>
      <c r="G295">
        <f t="shared" si="69"/>
        <v>0</v>
      </c>
      <c r="H295" s="63">
        <f>'Procurement Schedule'!N413</f>
        <v>0</v>
      </c>
      <c r="I295">
        <f t="shared" si="77"/>
        <v>1</v>
      </c>
      <c r="J295">
        <f t="shared" si="70"/>
        <v>1900</v>
      </c>
      <c r="K295" t="str">
        <f t="shared" si="71"/>
        <v>1_1900</v>
      </c>
      <c r="S295" t="str">
        <f t="shared" si="73"/>
        <v/>
      </c>
      <c r="T295" s="64" t="str">
        <f t="shared" si="72"/>
        <v/>
      </c>
      <c r="AA295" t="str">
        <f t="shared" si="74"/>
        <v/>
      </c>
      <c r="AB295" s="64" t="str">
        <f t="shared" si="75"/>
        <v/>
      </c>
    </row>
    <row r="296" spans="1:28" x14ac:dyDescent="0.35">
      <c r="A296">
        <f>'Procurement Schedule'!R414</f>
        <v>0</v>
      </c>
      <c r="B296" s="63">
        <f>'Procurement Schedule'!M414</f>
        <v>0</v>
      </c>
      <c r="C296">
        <f t="shared" si="76"/>
        <v>1</v>
      </c>
      <c r="D296">
        <f t="shared" si="67"/>
        <v>1900</v>
      </c>
      <c r="E296" t="str">
        <f t="shared" si="68"/>
        <v>1_1900</v>
      </c>
      <c r="G296">
        <f t="shared" si="69"/>
        <v>0</v>
      </c>
      <c r="H296" s="63">
        <f>'Procurement Schedule'!N414</f>
        <v>0</v>
      </c>
      <c r="I296">
        <f t="shared" si="77"/>
        <v>1</v>
      </c>
      <c r="J296">
        <f t="shared" si="70"/>
        <v>1900</v>
      </c>
      <c r="K296" t="str">
        <f t="shared" si="71"/>
        <v>1_1900</v>
      </c>
      <c r="S296" t="str">
        <f t="shared" si="73"/>
        <v/>
      </c>
      <c r="T296" s="64" t="str">
        <f t="shared" si="72"/>
        <v/>
      </c>
      <c r="AA296" t="str">
        <f t="shared" si="74"/>
        <v/>
      </c>
      <c r="AB296" s="64" t="str">
        <f t="shared" si="75"/>
        <v/>
      </c>
    </row>
    <row r="297" spans="1:28" x14ac:dyDescent="0.35">
      <c r="A297">
        <f>'Procurement Schedule'!R415</f>
        <v>0</v>
      </c>
      <c r="B297" s="63">
        <f>'Procurement Schedule'!M415</f>
        <v>0</v>
      </c>
      <c r="C297">
        <f t="shared" si="76"/>
        <v>1</v>
      </c>
      <c r="D297">
        <f t="shared" si="67"/>
        <v>1900</v>
      </c>
      <c r="E297" t="str">
        <f t="shared" si="68"/>
        <v>1_1900</v>
      </c>
      <c r="G297">
        <f t="shared" si="69"/>
        <v>0</v>
      </c>
      <c r="H297" s="63">
        <f>'Procurement Schedule'!N415</f>
        <v>0</v>
      </c>
      <c r="I297">
        <f t="shared" si="77"/>
        <v>1</v>
      </c>
      <c r="J297">
        <f t="shared" si="70"/>
        <v>1900</v>
      </c>
      <c r="K297" t="str">
        <f t="shared" si="71"/>
        <v>1_1900</v>
      </c>
      <c r="S297" t="str">
        <f t="shared" si="73"/>
        <v/>
      </c>
      <c r="T297" s="64" t="str">
        <f t="shared" si="72"/>
        <v/>
      </c>
      <c r="AA297" t="str">
        <f t="shared" si="74"/>
        <v/>
      </c>
      <c r="AB297" s="64" t="str">
        <f t="shared" si="75"/>
        <v/>
      </c>
    </row>
    <row r="298" spans="1:28" x14ac:dyDescent="0.35">
      <c r="A298">
        <f>'Procurement Schedule'!R416</f>
        <v>0</v>
      </c>
      <c r="B298" s="63">
        <f>'Procurement Schedule'!M416</f>
        <v>0</v>
      </c>
      <c r="C298">
        <f t="shared" si="76"/>
        <v>1</v>
      </c>
      <c r="D298">
        <f t="shared" si="67"/>
        <v>1900</v>
      </c>
      <c r="E298" t="str">
        <f t="shared" si="68"/>
        <v>1_1900</v>
      </c>
      <c r="G298">
        <f t="shared" si="69"/>
        <v>0</v>
      </c>
      <c r="H298" s="63">
        <f>'Procurement Schedule'!N416</f>
        <v>0</v>
      </c>
      <c r="I298">
        <f t="shared" si="77"/>
        <v>1</v>
      </c>
      <c r="J298">
        <f t="shared" si="70"/>
        <v>1900</v>
      </c>
      <c r="K298" t="str">
        <f t="shared" si="71"/>
        <v>1_1900</v>
      </c>
      <c r="S298" t="str">
        <f t="shared" si="73"/>
        <v/>
      </c>
      <c r="T298" s="64" t="str">
        <f t="shared" si="72"/>
        <v/>
      </c>
      <c r="AA298" t="str">
        <f t="shared" si="74"/>
        <v/>
      </c>
      <c r="AB298" s="64" t="str">
        <f t="shared" si="75"/>
        <v/>
      </c>
    </row>
    <row r="299" spans="1:28" x14ac:dyDescent="0.35">
      <c r="A299">
        <f>'Procurement Schedule'!R417</f>
        <v>0</v>
      </c>
      <c r="B299" s="63">
        <f>'Procurement Schedule'!M417</f>
        <v>0</v>
      </c>
      <c r="C299">
        <f t="shared" si="76"/>
        <v>1</v>
      </c>
      <c r="D299">
        <f t="shared" si="67"/>
        <v>1900</v>
      </c>
      <c r="E299" t="str">
        <f t="shared" si="68"/>
        <v>1_1900</v>
      </c>
      <c r="G299">
        <f t="shared" si="69"/>
        <v>0</v>
      </c>
      <c r="H299" s="63">
        <f>'Procurement Schedule'!N417</f>
        <v>0</v>
      </c>
      <c r="I299">
        <f t="shared" si="77"/>
        <v>1</v>
      </c>
      <c r="J299">
        <f t="shared" si="70"/>
        <v>1900</v>
      </c>
      <c r="K299" t="str">
        <f t="shared" si="71"/>
        <v>1_1900</v>
      </c>
      <c r="S299" t="str">
        <f t="shared" si="73"/>
        <v/>
      </c>
      <c r="T299" s="64" t="str">
        <f t="shared" si="72"/>
        <v/>
      </c>
      <c r="AA299" t="str">
        <f t="shared" si="74"/>
        <v/>
      </c>
      <c r="AB299" s="64" t="str">
        <f t="shared" si="75"/>
        <v/>
      </c>
    </row>
    <row r="300" spans="1:28" x14ac:dyDescent="0.35">
      <c r="A300">
        <f>'Procurement Schedule'!R418</f>
        <v>0</v>
      </c>
      <c r="B300" s="63">
        <f>'Procurement Schedule'!M418</f>
        <v>0</v>
      </c>
      <c r="C300">
        <f t="shared" si="76"/>
        <v>1</v>
      </c>
      <c r="D300">
        <f t="shared" si="67"/>
        <v>1900</v>
      </c>
      <c r="E300" t="str">
        <f t="shared" si="68"/>
        <v>1_1900</v>
      </c>
      <c r="G300">
        <f t="shared" si="69"/>
        <v>0</v>
      </c>
      <c r="H300" s="63">
        <f>'Procurement Schedule'!N418</f>
        <v>0</v>
      </c>
      <c r="I300">
        <f t="shared" si="77"/>
        <v>1</v>
      </c>
      <c r="J300">
        <f t="shared" si="70"/>
        <v>1900</v>
      </c>
      <c r="K300" t="str">
        <f t="shared" si="71"/>
        <v>1_1900</v>
      </c>
      <c r="S300" t="str">
        <f t="shared" si="73"/>
        <v/>
      </c>
      <c r="T300" s="64" t="str">
        <f t="shared" si="72"/>
        <v/>
      </c>
      <c r="AA300" t="str">
        <f t="shared" si="74"/>
        <v/>
      </c>
      <c r="AB300" s="64" t="str">
        <f t="shared" si="75"/>
        <v/>
      </c>
    </row>
    <row r="301" spans="1:28" x14ac:dyDescent="0.35">
      <c r="A301">
        <f>'Procurement Schedule'!R419</f>
        <v>0</v>
      </c>
      <c r="B301" s="63">
        <f>'Procurement Schedule'!M419</f>
        <v>0</v>
      </c>
      <c r="C301">
        <f t="shared" si="76"/>
        <v>1</v>
      </c>
      <c r="D301">
        <f t="shared" si="67"/>
        <v>1900</v>
      </c>
      <c r="E301" t="str">
        <f t="shared" si="68"/>
        <v>1_1900</v>
      </c>
      <c r="G301">
        <f t="shared" si="69"/>
        <v>0</v>
      </c>
      <c r="H301" s="63">
        <f>'Procurement Schedule'!N419</f>
        <v>0</v>
      </c>
      <c r="I301">
        <f t="shared" si="77"/>
        <v>1</v>
      </c>
      <c r="J301">
        <f t="shared" si="70"/>
        <v>1900</v>
      </c>
      <c r="K301" t="str">
        <f t="shared" si="71"/>
        <v>1_1900</v>
      </c>
      <c r="S301" t="str">
        <f t="shared" si="73"/>
        <v/>
      </c>
      <c r="T301" s="64" t="str">
        <f t="shared" si="72"/>
        <v/>
      </c>
      <c r="AA301" t="str">
        <f t="shared" si="74"/>
        <v/>
      </c>
      <c r="AB301" s="64" t="str">
        <f t="shared" si="75"/>
        <v/>
      </c>
    </row>
    <row r="302" spans="1:28" x14ac:dyDescent="0.35">
      <c r="A302">
        <f>'Procurement Schedule'!R420</f>
        <v>0</v>
      </c>
      <c r="B302" s="63">
        <f>'Procurement Schedule'!M420</f>
        <v>0</v>
      </c>
      <c r="C302">
        <f t="shared" si="76"/>
        <v>1</v>
      </c>
      <c r="D302">
        <f t="shared" si="67"/>
        <v>1900</v>
      </c>
      <c r="E302" t="str">
        <f t="shared" si="68"/>
        <v>1_1900</v>
      </c>
      <c r="G302">
        <f t="shared" si="69"/>
        <v>0</v>
      </c>
      <c r="H302" s="63">
        <f>'Procurement Schedule'!N420</f>
        <v>0</v>
      </c>
      <c r="I302">
        <f t="shared" si="77"/>
        <v>1</v>
      </c>
      <c r="J302">
        <f t="shared" si="70"/>
        <v>1900</v>
      </c>
      <c r="K302" t="str">
        <f t="shared" si="71"/>
        <v>1_1900</v>
      </c>
      <c r="S302" t="str">
        <f t="shared" si="73"/>
        <v/>
      </c>
      <c r="T302" s="64" t="str">
        <f t="shared" si="72"/>
        <v/>
      </c>
      <c r="AA302" t="str">
        <f t="shared" si="74"/>
        <v/>
      </c>
      <c r="AB302" s="64" t="str">
        <f t="shared" si="75"/>
        <v/>
      </c>
    </row>
    <row r="303" spans="1:28" x14ac:dyDescent="0.35">
      <c r="A303">
        <f>'Procurement Schedule'!R421</f>
        <v>0</v>
      </c>
      <c r="B303" s="63">
        <f>'Procurement Schedule'!M421</f>
        <v>0</v>
      </c>
      <c r="C303">
        <f t="shared" si="76"/>
        <v>1</v>
      </c>
      <c r="D303">
        <f t="shared" si="67"/>
        <v>1900</v>
      </c>
      <c r="E303" t="str">
        <f t="shared" si="68"/>
        <v>1_1900</v>
      </c>
      <c r="G303">
        <f t="shared" si="69"/>
        <v>0</v>
      </c>
      <c r="H303" s="63">
        <f>'Procurement Schedule'!N421</f>
        <v>0</v>
      </c>
      <c r="I303">
        <f t="shared" si="77"/>
        <v>1</v>
      </c>
      <c r="J303">
        <f t="shared" si="70"/>
        <v>1900</v>
      </c>
      <c r="K303" t="str">
        <f t="shared" si="71"/>
        <v>1_1900</v>
      </c>
      <c r="S303" t="str">
        <f t="shared" si="73"/>
        <v/>
      </c>
      <c r="T303" s="64" t="str">
        <f t="shared" si="72"/>
        <v/>
      </c>
      <c r="AA303" t="str">
        <f t="shared" si="74"/>
        <v/>
      </c>
      <c r="AB303" s="64" t="str">
        <f t="shared" si="75"/>
        <v/>
      </c>
    </row>
    <row r="304" spans="1:28" x14ac:dyDescent="0.35">
      <c r="A304">
        <f>'Procurement Schedule'!R422</f>
        <v>0</v>
      </c>
      <c r="B304" s="63">
        <f>'Procurement Schedule'!M422</f>
        <v>0</v>
      </c>
      <c r="C304">
        <f t="shared" si="76"/>
        <v>1</v>
      </c>
      <c r="D304">
        <f t="shared" si="67"/>
        <v>1900</v>
      </c>
      <c r="E304" t="str">
        <f t="shared" si="68"/>
        <v>1_1900</v>
      </c>
      <c r="G304">
        <f t="shared" si="69"/>
        <v>0</v>
      </c>
      <c r="H304" s="63">
        <f>'Procurement Schedule'!N422</f>
        <v>0</v>
      </c>
      <c r="I304">
        <f t="shared" si="77"/>
        <v>1</v>
      </c>
      <c r="J304">
        <f t="shared" si="70"/>
        <v>1900</v>
      </c>
      <c r="K304" t="str">
        <f t="shared" si="71"/>
        <v>1_1900</v>
      </c>
      <c r="S304" t="str">
        <f t="shared" si="73"/>
        <v/>
      </c>
      <c r="T304" s="64" t="str">
        <f t="shared" si="72"/>
        <v/>
      </c>
      <c r="AA304" t="str">
        <f t="shared" si="74"/>
        <v/>
      </c>
      <c r="AB304" s="64" t="str">
        <f t="shared" si="75"/>
        <v/>
      </c>
    </row>
    <row r="305" spans="1:28" x14ac:dyDescent="0.35">
      <c r="A305">
        <f>'Procurement Schedule'!R423</f>
        <v>0</v>
      </c>
      <c r="B305" s="63">
        <f>'Procurement Schedule'!M423</f>
        <v>0</v>
      </c>
      <c r="C305">
        <f t="shared" si="76"/>
        <v>1</v>
      </c>
      <c r="D305">
        <f t="shared" si="67"/>
        <v>1900</v>
      </c>
      <c r="E305" t="str">
        <f t="shared" si="68"/>
        <v>1_1900</v>
      </c>
      <c r="G305">
        <f t="shared" si="69"/>
        <v>0</v>
      </c>
      <c r="H305" s="63">
        <f>'Procurement Schedule'!N423</f>
        <v>0</v>
      </c>
      <c r="I305">
        <f t="shared" si="77"/>
        <v>1</v>
      </c>
      <c r="J305">
        <f t="shared" si="70"/>
        <v>1900</v>
      </c>
      <c r="K305" t="str">
        <f t="shared" si="71"/>
        <v>1_1900</v>
      </c>
      <c r="S305" t="str">
        <f t="shared" si="73"/>
        <v/>
      </c>
      <c r="T305" s="64" t="str">
        <f t="shared" si="72"/>
        <v/>
      </c>
      <c r="AA305" t="str">
        <f t="shared" si="74"/>
        <v/>
      </c>
      <c r="AB305" s="64" t="str">
        <f t="shared" si="75"/>
        <v/>
      </c>
    </row>
    <row r="306" spans="1:28" x14ac:dyDescent="0.35">
      <c r="A306">
        <f>'Procurement Schedule'!R424</f>
        <v>0</v>
      </c>
      <c r="B306" s="63">
        <f>'Procurement Schedule'!M424</f>
        <v>0</v>
      </c>
      <c r="C306">
        <f t="shared" si="76"/>
        <v>1</v>
      </c>
      <c r="D306">
        <f t="shared" si="67"/>
        <v>1900</v>
      </c>
      <c r="E306" t="str">
        <f t="shared" si="68"/>
        <v>1_1900</v>
      </c>
      <c r="G306">
        <f t="shared" si="69"/>
        <v>0</v>
      </c>
      <c r="H306" s="63">
        <f>'Procurement Schedule'!N424</f>
        <v>0</v>
      </c>
      <c r="I306">
        <f t="shared" si="77"/>
        <v>1</v>
      </c>
      <c r="J306">
        <f t="shared" si="70"/>
        <v>1900</v>
      </c>
      <c r="K306" t="str">
        <f t="shared" si="71"/>
        <v>1_1900</v>
      </c>
      <c r="S306" t="str">
        <f t="shared" si="73"/>
        <v/>
      </c>
      <c r="T306" s="64" t="str">
        <f t="shared" si="72"/>
        <v/>
      </c>
      <c r="AA306" t="str">
        <f t="shared" si="74"/>
        <v/>
      </c>
      <c r="AB306" s="64" t="str">
        <f t="shared" si="75"/>
        <v/>
      </c>
    </row>
    <row r="307" spans="1:28" x14ac:dyDescent="0.35">
      <c r="A307">
        <f>'Procurement Schedule'!R425</f>
        <v>0</v>
      </c>
      <c r="B307" s="63">
        <f>'Procurement Schedule'!M425</f>
        <v>0</v>
      </c>
      <c r="C307">
        <f t="shared" si="76"/>
        <v>1</v>
      </c>
      <c r="D307">
        <f t="shared" si="67"/>
        <v>1900</v>
      </c>
      <c r="E307" t="str">
        <f t="shared" si="68"/>
        <v>1_1900</v>
      </c>
      <c r="G307">
        <f t="shared" si="69"/>
        <v>0</v>
      </c>
      <c r="H307" s="63">
        <f>'Procurement Schedule'!N425</f>
        <v>0</v>
      </c>
      <c r="I307">
        <f t="shared" si="77"/>
        <v>1</v>
      </c>
      <c r="J307">
        <f t="shared" si="70"/>
        <v>1900</v>
      </c>
      <c r="K307" t="str">
        <f t="shared" si="71"/>
        <v>1_1900</v>
      </c>
      <c r="S307" t="str">
        <f t="shared" si="73"/>
        <v/>
      </c>
      <c r="T307" s="64" t="str">
        <f t="shared" si="72"/>
        <v/>
      </c>
      <c r="AA307" t="str">
        <f t="shared" si="74"/>
        <v/>
      </c>
      <c r="AB307" s="64" t="str">
        <f t="shared" si="75"/>
        <v/>
      </c>
    </row>
    <row r="308" spans="1:28" x14ac:dyDescent="0.35">
      <c r="A308">
        <f>'Procurement Schedule'!R426</f>
        <v>0</v>
      </c>
      <c r="B308" s="63">
        <f>'Procurement Schedule'!M426</f>
        <v>0</v>
      </c>
      <c r="C308">
        <f t="shared" si="76"/>
        <v>1</v>
      </c>
      <c r="D308">
        <f t="shared" si="67"/>
        <v>1900</v>
      </c>
      <c r="E308" t="str">
        <f t="shared" si="68"/>
        <v>1_1900</v>
      </c>
      <c r="G308">
        <f t="shared" si="69"/>
        <v>0</v>
      </c>
      <c r="H308" s="63">
        <f>'Procurement Schedule'!N426</f>
        <v>0</v>
      </c>
      <c r="I308">
        <f t="shared" si="77"/>
        <v>1</v>
      </c>
      <c r="J308">
        <f t="shared" si="70"/>
        <v>1900</v>
      </c>
      <c r="K308" t="str">
        <f t="shared" si="71"/>
        <v>1_1900</v>
      </c>
      <c r="S308" t="str">
        <f t="shared" si="73"/>
        <v/>
      </c>
      <c r="T308" s="64" t="str">
        <f t="shared" si="72"/>
        <v/>
      </c>
      <c r="AA308" t="str">
        <f t="shared" si="74"/>
        <v/>
      </c>
      <c r="AB308" s="64" t="str">
        <f t="shared" si="75"/>
        <v/>
      </c>
    </row>
    <row r="309" spans="1:28" x14ac:dyDescent="0.35">
      <c r="A309">
        <f>'Procurement Schedule'!R427</f>
        <v>0</v>
      </c>
      <c r="B309" s="63">
        <f>'Procurement Schedule'!M427</f>
        <v>0</v>
      </c>
      <c r="C309">
        <f t="shared" si="76"/>
        <v>1</v>
      </c>
      <c r="D309">
        <f t="shared" si="67"/>
        <v>1900</v>
      </c>
      <c r="E309" t="str">
        <f t="shared" si="68"/>
        <v>1_1900</v>
      </c>
      <c r="G309">
        <f t="shared" si="69"/>
        <v>0</v>
      </c>
      <c r="H309" s="63">
        <f>'Procurement Schedule'!N427</f>
        <v>0</v>
      </c>
      <c r="I309">
        <f t="shared" si="77"/>
        <v>1</v>
      </c>
      <c r="J309">
        <f t="shared" si="70"/>
        <v>1900</v>
      </c>
      <c r="K309" t="str">
        <f t="shared" si="71"/>
        <v>1_1900</v>
      </c>
      <c r="S309" t="str">
        <f t="shared" si="73"/>
        <v/>
      </c>
      <c r="T309" s="64" t="str">
        <f t="shared" si="72"/>
        <v/>
      </c>
      <c r="AA309" t="str">
        <f t="shared" si="74"/>
        <v/>
      </c>
      <c r="AB309" s="64" t="str">
        <f t="shared" si="75"/>
        <v/>
      </c>
    </row>
    <row r="310" spans="1:28" x14ac:dyDescent="0.35">
      <c r="A310">
        <f>'Procurement Schedule'!R428</f>
        <v>0</v>
      </c>
      <c r="B310" s="63">
        <f>'Procurement Schedule'!M428</f>
        <v>0</v>
      </c>
      <c r="C310">
        <f t="shared" si="76"/>
        <v>1</v>
      </c>
      <c r="D310">
        <f t="shared" si="67"/>
        <v>1900</v>
      </c>
      <c r="E310" t="str">
        <f t="shared" si="68"/>
        <v>1_1900</v>
      </c>
      <c r="G310">
        <f t="shared" si="69"/>
        <v>0</v>
      </c>
      <c r="H310" s="63">
        <f>'Procurement Schedule'!N428</f>
        <v>0</v>
      </c>
      <c r="I310">
        <f t="shared" si="77"/>
        <v>1</v>
      </c>
      <c r="J310">
        <f t="shared" si="70"/>
        <v>1900</v>
      </c>
      <c r="K310" t="str">
        <f t="shared" si="71"/>
        <v>1_1900</v>
      </c>
      <c r="S310" t="str">
        <f t="shared" si="73"/>
        <v/>
      </c>
      <c r="T310" s="64" t="str">
        <f t="shared" si="72"/>
        <v/>
      </c>
      <c r="AA310" t="str">
        <f t="shared" si="74"/>
        <v/>
      </c>
      <c r="AB310" s="64" t="str">
        <f t="shared" si="75"/>
        <v/>
      </c>
    </row>
    <row r="311" spans="1:28" x14ac:dyDescent="0.35">
      <c r="A311">
        <f>'Procurement Schedule'!R429</f>
        <v>0</v>
      </c>
      <c r="B311" s="63">
        <f>'Procurement Schedule'!M429</f>
        <v>0</v>
      </c>
      <c r="C311">
        <f t="shared" si="76"/>
        <v>1</v>
      </c>
      <c r="D311">
        <f t="shared" ref="D311:D374" si="78">YEAR(B311)</f>
        <v>1900</v>
      </c>
      <c r="E311" t="str">
        <f t="shared" ref="E311:E374" si="79">C311&amp;"_"&amp;D311</f>
        <v>1_1900</v>
      </c>
      <c r="G311">
        <f t="shared" ref="G311:G374" si="80">A311</f>
        <v>0</v>
      </c>
      <c r="H311" s="63">
        <f>'Procurement Schedule'!N429</f>
        <v>0</v>
      </c>
      <c r="I311">
        <f t="shared" si="77"/>
        <v>1</v>
      </c>
      <c r="J311">
        <f t="shared" ref="J311:J374" si="81">YEAR(H311)</f>
        <v>1900</v>
      </c>
      <c r="K311" t="str">
        <f t="shared" ref="K311:K374" si="82">I311&amp;"_"&amp;J311</f>
        <v>1_1900</v>
      </c>
      <c r="S311" t="str">
        <f t="shared" si="73"/>
        <v/>
      </c>
      <c r="T311" s="64" t="str">
        <f t="shared" si="72"/>
        <v/>
      </c>
      <c r="AA311" t="str">
        <f t="shared" si="74"/>
        <v/>
      </c>
      <c r="AB311" s="64" t="str">
        <f t="shared" si="75"/>
        <v/>
      </c>
    </row>
    <row r="312" spans="1:28" x14ac:dyDescent="0.35">
      <c r="A312">
        <f>'Procurement Schedule'!R430</f>
        <v>0</v>
      </c>
      <c r="B312" s="63">
        <f>'Procurement Schedule'!M430</f>
        <v>0</v>
      </c>
      <c r="C312">
        <f t="shared" si="76"/>
        <v>1</v>
      </c>
      <c r="D312">
        <f t="shared" si="78"/>
        <v>1900</v>
      </c>
      <c r="E312" t="str">
        <f t="shared" si="79"/>
        <v>1_1900</v>
      </c>
      <c r="G312">
        <f t="shared" si="80"/>
        <v>0</v>
      </c>
      <c r="H312" s="63">
        <f>'Procurement Schedule'!N430</f>
        <v>0</v>
      </c>
      <c r="I312">
        <f t="shared" si="77"/>
        <v>1</v>
      </c>
      <c r="J312">
        <f t="shared" si="81"/>
        <v>1900</v>
      </c>
      <c r="K312" t="str">
        <f t="shared" si="82"/>
        <v>1_1900</v>
      </c>
      <c r="S312" t="str">
        <f t="shared" si="73"/>
        <v/>
      </c>
      <c r="T312" s="64" t="str">
        <f t="shared" si="72"/>
        <v/>
      </c>
      <c r="AA312" t="str">
        <f t="shared" si="74"/>
        <v/>
      </c>
      <c r="AB312" s="64" t="str">
        <f t="shared" si="75"/>
        <v/>
      </c>
    </row>
    <row r="313" spans="1:28" x14ac:dyDescent="0.35">
      <c r="A313">
        <f>'Procurement Schedule'!R431</f>
        <v>0</v>
      </c>
      <c r="B313" s="63">
        <f>'Procurement Schedule'!M431</f>
        <v>0</v>
      </c>
      <c r="C313">
        <f t="shared" si="76"/>
        <v>1</v>
      </c>
      <c r="D313">
        <f t="shared" si="78"/>
        <v>1900</v>
      </c>
      <c r="E313" t="str">
        <f t="shared" si="79"/>
        <v>1_1900</v>
      </c>
      <c r="G313">
        <f t="shared" si="80"/>
        <v>0</v>
      </c>
      <c r="H313" s="63">
        <f>'Procurement Schedule'!N431</f>
        <v>0</v>
      </c>
      <c r="I313">
        <f t="shared" si="77"/>
        <v>1</v>
      </c>
      <c r="J313">
        <f t="shared" si="81"/>
        <v>1900</v>
      </c>
      <c r="K313" t="str">
        <f t="shared" si="82"/>
        <v>1_1900</v>
      </c>
      <c r="S313" t="str">
        <f t="shared" si="73"/>
        <v/>
      </c>
      <c r="T313" s="64" t="str">
        <f t="shared" si="72"/>
        <v/>
      </c>
      <c r="AA313" t="str">
        <f t="shared" si="74"/>
        <v/>
      </c>
      <c r="AB313" s="64" t="str">
        <f t="shared" si="75"/>
        <v/>
      </c>
    </row>
    <row r="314" spans="1:28" x14ac:dyDescent="0.35">
      <c r="A314">
        <f>'Procurement Schedule'!R432</f>
        <v>0</v>
      </c>
      <c r="B314" s="63">
        <f>'Procurement Schedule'!M432</f>
        <v>0</v>
      </c>
      <c r="C314">
        <f t="shared" si="76"/>
        <v>1</v>
      </c>
      <c r="D314">
        <f t="shared" si="78"/>
        <v>1900</v>
      </c>
      <c r="E314" t="str">
        <f t="shared" si="79"/>
        <v>1_1900</v>
      </c>
      <c r="G314">
        <f t="shared" si="80"/>
        <v>0</v>
      </c>
      <c r="H314" s="63">
        <f>'Procurement Schedule'!N432</f>
        <v>0</v>
      </c>
      <c r="I314">
        <f t="shared" si="77"/>
        <v>1</v>
      </c>
      <c r="J314">
        <f t="shared" si="81"/>
        <v>1900</v>
      </c>
      <c r="K314" t="str">
        <f t="shared" si="82"/>
        <v>1_1900</v>
      </c>
      <c r="S314" t="str">
        <f t="shared" si="73"/>
        <v/>
      </c>
      <c r="T314" s="64" t="str">
        <f t="shared" si="72"/>
        <v/>
      </c>
      <c r="AA314" t="str">
        <f t="shared" si="74"/>
        <v/>
      </c>
      <c r="AB314" s="64" t="str">
        <f t="shared" si="75"/>
        <v/>
      </c>
    </row>
    <row r="315" spans="1:28" x14ac:dyDescent="0.35">
      <c r="A315">
        <f>'Procurement Schedule'!R433</f>
        <v>0</v>
      </c>
      <c r="B315" s="63">
        <f>'Procurement Schedule'!M433</f>
        <v>0</v>
      </c>
      <c r="C315">
        <f t="shared" si="76"/>
        <v>1</v>
      </c>
      <c r="D315">
        <f t="shared" si="78"/>
        <v>1900</v>
      </c>
      <c r="E315" t="str">
        <f t="shared" si="79"/>
        <v>1_1900</v>
      </c>
      <c r="G315">
        <f t="shared" si="80"/>
        <v>0</v>
      </c>
      <c r="H315" s="63">
        <f>'Procurement Schedule'!N433</f>
        <v>0</v>
      </c>
      <c r="I315">
        <f t="shared" si="77"/>
        <v>1</v>
      </c>
      <c r="J315">
        <f t="shared" si="81"/>
        <v>1900</v>
      </c>
      <c r="K315" t="str">
        <f t="shared" si="82"/>
        <v>1_1900</v>
      </c>
      <c r="S315" t="str">
        <f t="shared" si="73"/>
        <v/>
      </c>
      <c r="T315" s="64" t="str">
        <f t="shared" si="72"/>
        <v/>
      </c>
      <c r="AA315" t="str">
        <f t="shared" si="74"/>
        <v/>
      </c>
      <c r="AB315" s="64" t="str">
        <f t="shared" si="75"/>
        <v/>
      </c>
    </row>
    <row r="316" spans="1:28" x14ac:dyDescent="0.35">
      <c r="A316">
        <f>'Procurement Schedule'!R434</f>
        <v>0</v>
      </c>
      <c r="B316" s="63">
        <f>'Procurement Schedule'!M434</f>
        <v>0</v>
      </c>
      <c r="C316">
        <f t="shared" si="76"/>
        <v>1</v>
      </c>
      <c r="D316">
        <f t="shared" si="78"/>
        <v>1900</v>
      </c>
      <c r="E316" t="str">
        <f t="shared" si="79"/>
        <v>1_1900</v>
      </c>
      <c r="G316">
        <f t="shared" si="80"/>
        <v>0</v>
      </c>
      <c r="H316" s="63">
        <f>'Procurement Schedule'!N434</f>
        <v>0</v>
      </c>
      <c r="I316">
        <f t="shared" si="77"/>
        <v>1</v>
      </c>
      <c r="J316">
        <f t="shared" si="81"/>
        <v>1900</v>
      </c>
      <c r="K316" t="str">
        <f t="shared" si="82"/>
        <v>1_1900</v>
      </c>
      <c r="S316" t="str">
        <f t="shared" si="73"/>
        <v/>
      </c>
      <c r="T316" s="64" t="str">
        <f t="shared" si="72"/>
        <v/>
      </c>
      <c r="AA316" t="str">
        <f t="shared" si="74"/>
        <v/>
      </c>
      <c r="AB316" s="64" t="str">
        <f t="shared" si="75"/>
        <v/>
      </c>
    </row>
    <row r="317" spans="1:28" x14ac:dyDescent="0.35">
      <c r="A317">
        <f>'Procurement Schedule'!R435</f>
        <v>0</v>
      </c>
      <c r="B317" s="63">
        <f>'Procurement Schedule'!M435</f>
        <v>0</v>
      </c>
      <c r="C317">
        <f t="shared" si="76"/>
        <v>1</v>
      </c>
      <c r="D317">
        <f t="shared" si="78"/>
        <v>1900</v>
      </c>
      <c r="E317" t="str">
        <f t="shared" si="79"/>
        <v>1_1900</v>
      </c>
      <c r="G317">
        <f t="shared" si="80"/>
        <v>0</v>
      </c>
      <c r="H317" s="63">
        <f>'Procurement Schedule'!N435</f>
        <v>0</v>
      </c>
      <c r="I317">
        <f t="shared" si="77"/>
        <v>1</v>
      </c>
      <c r="J317">
        <f t="shared" si="81"/>
        <v>1900</v>
      </c>
      <c r="K317" t="str">
        <f t="shared" si="82"/>
        <v>1_1900</v>
      </c>
      <c r="S317" t="str">
        <f t="shared" si="73"/>
        <v/>
      </c>
      <c r="T317" s="64" t="str">
        <f t="shared" si="72"/>
        <v/>
      </c>
      <c r="AA317" t="str">
        <f t="shared" si="74"/>
        <v/>
      </c>
      <c r="AB317" s="64" t="str">
        <f t="shared" si="75"/>
        <v/>
      </c>
    </row>
    <row r="318" spans="1:28" x14ac:dyDescent="0.35">
      <c r="A318">
        <f>'Procurement Schedule'!R436</f>
        <v>0</v>
      </c>
      <c r="B318" s="63">
        <f>'Procurement Schedule'!M436</f>
        <v>0</v>
      </c>
      <c r="C318">
        <f t="shared" si="76"/>
        <v>1</v>
      </c>
      <c r="D318">
        <f t="shared" si="78"/>
        <v>1900</v>
      </c>
      <c r="E318" t="str">
        <f t="shared" si="79"/>
        <v>1_1900</v>
      </c>
      <c r="G318">
        <f t="shared" si="80"/>
        <v>0</v>
      </c>
      <c r="H318" s="63">
        <f>'Procurement Schedule'!N436</f>
        <v>0</v>
      </c>
      <c r="I318">
        <f t="shared" si="77"/>
        <v>1</v>
      </c>
      <c r="J318">
        <f t="shared" si="81"/>
        <v>1900</v>
      </c>
      <c r="K318" t="str">
        <f t="shared" si="82"/>
        <v>1_1900</v>
      </c>
      <c r="S318" t="str">
        <f t="shared" si="73"/>
        <v/>
      </c>
      <c r="T318" s="64" t="str">
        <f t="shared" si="72"/>
        <v/>
      </c>
      <c r="AA318" t="str">
        <f t="shared" si="74"/>
        <v/>
      </c>
      <c r="AB318" s="64" t="str">
        <f t="shared" si="75"/>
        <v/>
      </c>
    </row>
    <row r="319" spans="1:28" x14ac:dyDescent="0.35">
      <c r="A319">
        <f>'Procurement Schedule'!R437</f>
        <v>0</v>
      </c>
      <c r="B319" s="63">
        <f>'Procurement Schedule'!M437</f>
        <v>0</v>
      </c>
      <c r="C319">
        <f t="shared" si="76"/>
        <v>1</v>
      </c>
      <c r="D319">
        <f t="shared" si="78"/>
        <v>1900</v>
      </c>
      <c r="E319" t="str">
        <f t="shared" si="79"/>
        <v>1_1900</v>
      </c>
      <c r="G319">
        <f t="shared" si="80"/>
        <v>0</v>
      </c>
      <c r="H319" s="63">
        <f>'Procurement Schedule'!N437</f>
        <v>0</v>
      </c>
      <c r="I319">
        <f t="shared" si="77"/>
        <v>1</v>
      </c>
      <c r="J319">
        <f t="shared" si="81"/>
        <v>1900</v>
      </c>
      <c r="K319" t="str">
        <f t="shared" si="82"/>
        <v>1_1900</v>
      </c>
      <c r="S319" t="str">
        <f t="shared" si="73"/>
        <v/>
      </c>
      <c r="T319" s="64" t="str">
        <f t="shared" si="72"/>
        <v/>
      </c>
      <c r="AA319" t="str">
        <f t="shared" si="74"/>
        <v/>
      </c>
      <c r="AB319" s="64" t="str">
        <f t="shared" si="75"/>
        <v/>
      </c>
    </row>
    <row r="320" spans="1:28" x14ac:dyDescent="0.35">
      <c r="A320">
        <f>'Procurement Schedule'!R438</f>
        <v>0</v>
      </c>
      <c r="B320" s="63">
        <f>'Procurement Schedule'!M438</f>
        <v>0</v>
      </c>
      <c r="C320">
        <f t="shared" si="76"/>
        <v>1</v>
      </c>
      <c r="D320">
        <f t="shared" si="78"/>
        <v>1900</v>
      </c>
      <c r="E320" t="str">
        <f t="shared" si="79"/>
        <v>1_1900</v>
      </c>
      <c r="G320">
        <f t="shared" si="80"/>
        <v>0</v>
      </c>
      <c r="H320" s="63">
        <f>'Procurement Schedule'!N438</f>
        <v>0</v>
      </c>
      <c r="I320">
        <f t="shared" si="77"/>
        <v>1</v>
      </c>
      <c r="J320">
        <f t="shared" si="81"/>
        <v>1900</v>
      </c>
      <c r="K320" t="str">
        <f t="shared" si="82"/>
        <v>1_1900</v>
      </c>
      <c r="S320" t="str">
        <f t="shared" si="73"/>
        <v/>
      </c>
      <c r="T320" s="64" t="str">
        <f t="shared" si="72"/>
        <v/>
      </c>
      <c r="AA320" t="str">
        <f t="shared" si="74"/>
        <v/>
      </c>
      <c r="AB320" s="64" t="str">
        <f t="shared" si="75"/>
        <v/>
      </c>
    </row>
    <row r="321" spans="1:28" x14ac:dyDescent="0.35">
      <c r="A321">
        <f>'Procurement Schedule'!R439</f>
        <v>0</v>
      </c>
      <c r="B321" s="63">
        <f>'Procurement Schedule'!M439</f>
        <v>0</v>
      </c>
      <c r="C321">
        <f t="shared" si="76"/>
        <v>1</v>
      </c>
      <c r="D321">
        <f t="shared" si="78"/>
        <v>1900</v>
      </c>
      <c r="E321" t="str">
        <f t="shared" si="79"/>
        <v>1_1900</v>
      </c>
      <c r="G321">
        <f t="shared" si="80"/>
        <v>0</v>
      </c>
      <c r="H321" s="63">
        <f>'Procurement Schedule'!N439</f>
        <v>0</v>
      </c>
      <c r="I321">
        <f t="shared" si="77"/>
        <v>1</v>
      </c>
      <c r="J321">
        <f t="shared" si="81"/>
        <v>1900</v>
      </c>
      <c r="K321" t="str">
        <f t="shared" si="82"/>
        <v>1_1900</v>
      </c>
      <c r="S321" t="str">
        <f t="shared" si="73"/>
        <v/>
      </c>
      <c r="T321" s="64" t="str">
        <f t="shared" si="72"/>
        <v/>
      </c>
      <c r="AA321" t="str">
        <f t="shared" si="74"/>
        <v/>
      </c>
      <c r="AB321" s="64" t="str">
        <f t="shared" si="75"/>
        <v/>
      </c>
    </row>
    <row r="322" spans="1:28" x14ac:dyDescent="0.35">
      <c r="A322">
        <f>'Procurement Schedule'!R440</f>
        <v>0</v>
      </c>
      <c r="B322" s="63">
        <f>'Procurement Schedule'!M440</f>
        <v>0</v>
      </c>
      <c r="C322">
        <f t="shared" si="76"/>
        <v>1</v>
      </c>
      <c r="D322">
        <f t="shared" si="78"/>
        <v>1900</v>
      </c>
      <c r="E322" t="str">
        <f t="shared" si="79"/>
        <v>1_1900</v>
      </c>
      <c r="G322">
        <f t="shared" si="80"/>
        <v>0</v>
      </c>
      <c r="H322" s="63">
        <f>'Procurement Schedule'!N440</f>
        <v>0</v>
      </c>
      <c r="I322">
        <f t="shared" si="77"/>
        <v>1</v>
      </c>
      <c r="J322">
        <f t="shared" si="81"/>
        <v>1900</v>
      </c>
      <c r="K322" t="str">
        <f t="shared" si="82"/>
        <v>1_1900</v>
      </c>
      <c r="S322" t="str">
        <f t="shared" si="73"/>
        <v/>
      </c>
      <c r="T322" s="64" t="str">
        <f t="shared" si="72"/>
        <v/>
      </c>
      <c r="AA322" t="str">
        <f t="shared" si="74"/>
        <v/>
      </c>
      <c r="AB322" s="64" t="str">
        <f t="shared" si="75"/>
        <v/>
      </c>
    </row>
    <row r="323" spans="1:28" x14ac:dyDescent="0.35">
      <c r="A323">
        <f>'Procurement Schedule'!R441</f>
        <v>0</v>
      </c>
      <c r="B323" s="63">
        <f>'Procurement Schedule'!M441</f>
        <v>0</v>
      </c>
      <c r="C323">
        <f t="shared" si="76"/>
        <v>1</v>
      </c>
      <c r="D323">
        <f t="shared" si="78"/>
        <v>1900</v>
      </c>
      <c r="E323" t="str">
        <f t="shared" si="79"/>
        <v>1_1900</v>
      </c>
      <c r="G323">
        <f t="shared" si="80"/>
        <v>0</v>
      </c>
      <c r="H323" s="63">
        <f>'Procurement Schedule'!N441</f>
        <v>0</v>
      </c>
      <c r="I323">
        <f t="shared" si="77"/>
        <v>1</v>
      </c>
      <c r="J323">
        <f t="shared" si="81"/>
        <v>1900</v>
      </c>
      <c r="K323" t="str">
        <f t="shared" si="82"/>
        <v>1_1900</v>
      </c>
      <c r="S323" t="str">
        <f t="shared" si="73"/>
        <v/>
      </c>
      <c r="T323" s="64" t="str">
        <f t="shared" si="72"/>
        <v/>
      </c>
      <c r="AA323" t="str">
        <f t="shared" si="74"/>
        <v/>
      </c>
      <c r="AB323" s="64" t="str">
        <f t="shared" si="75"/>
        <v/>
      </c>
    </row>
    <row r="324" spans="1:28" x14ac:dyDescent="0.35">
      <c r="A324">
        <f>'Procurement Schedule'!R442</f>
        <v>0</v>
      </c>
      <c r="B324" s="63">
        <f>'Procurement Schedule'!M442</f>
        <v>0</v>
      </c>
      <c r="C324">
        <f t="shared" si="76"/>
        <v>1</v>
      </c>
      <c r="D324">
        <f t="shared" si="78"/>
        <v>1900</v>
      </c>
      <c r="E324" t="str">
        <f t="shared" si="79"/>
        <v>1_1900</v>
      </c>
      <c r="G324">
        <f t="shared" si="80"/>
        <v>0</v>
      </c>
      <c r="H324" s="63">
        <f>'Procurement Schedule'!N442</f>
        <v>0</v>
      </c>
      <c r="I324">
        <f t="shared" si="77"/>
        <v>1</v>
      </c>
      <c r="J324">
        <f t="shared" si="81"/>
        <v>1900</v>
      </c>
      <c r="K324" t="str">
        <f t="shared" si="82"/>
        <v>1_1900</v>
      </c>
      <c r="S324" t="str">
        <f t="shared" si="73"/>
        <v/>
      </c>
      <c r="T324" s="64" t="str">
        <f t="shared" si="72"/>
        <v/>
      </c>
      <c r="AA324" t="str">
        <f t="shared" si="74"/>
        <v/>
      </c>
      <c r="AB324" s="64" t="str">
        <f t="shared" si="75"/>
        <v/>
      </c>
    </row>
    <row r="325" spans="1:28" x14ac:dyDescent="0.35">
      <c r="A325">
        <f>'Procurement Schedule'!R443</f>
        <v>0</v>
      </c>
      <c r="B325" s="63">
        <f>'Procurement Schedule'!M443</f>
        <v>0</v>
      </c>
      <c r="C325">
        <f t="shared" si="76"/>
        <v>1</v>
      </c>
      <c r="D325">
        <f t="shared" si="78"/>
        <v>1900</v>
      </c>
      <c r="E325" t="str">
        <f t="shared" si="79"/>
        <v>1_1900</v>
      </c>
      <c r="G325">
        <f t="shared" si="80"/>
        <v>0</v>
      </c>
      <c r="H325" s="63">
        <f>'Procurement Schedule'!N443</f>
        <v>0</v>
      </c>
      <c r="I325">
        <f t="shared" si="77"/>
        <v>1</v>
      </c>
      <c r="J325">
        <f t="shared" si="81"/>
        <v>1900</v>
      </c>
      <c r="K325" t="str">
        <f t="shared" si="82"/>
        <v>1_1900</v>
      </c>
      <c r="S325" t="str">
        <f t="shared" si="73"/>
        <v/>
      </c>
      <c r="T325" s="64" t="str">
        <f t="shared" ref="T325:T388" si="83">IFERROR(VLOOKUP(Q325,AD:AE,2,0),"")</f>
        <v/>
      </c>
      <c r="AA325" t="str">
        <f t="shared" si="74"/>
        <v/>
      </c>
      <c r="AB325" s="64" t="str">
        <f t="shared" si="75"/>
        <v/>
      </c>
    </row>
    <row r="326" spans="1:28" x14ac:dyDescent="0.35">
      <c r="A326">
        <f>'Procurement Schedule'!R444</f>
        <v>0</v>
      </c>
      <c r="B326" s="63">
        <f>'Procurement Schedule'!M444</f>
        <v>0</v>
      </c>
      <c r="C326">
        <f t="shared" si="76"/>
        <v>1</v>
      </c>
      <c r="D326">
        <f t="shared" si="78"/>
        <v>1900</v>
      </c>
      <c r="E326" t="str">
        <f t="shared" si="79"/>
        <v>1_1900</v>
      </c>
      <c r="G326">
        <f t="shared" si="80"/>
        <v>0</v>
      </c>
      <c r="H326" s="63">
        <f>'Procurement Schedule'!N444</f>
        <v>0</v>
      </c>
      <c r="I326">
        <f t="shared" si="77"/>
        <v>1</v>
      </c>
      <c r="J326">
        <f t="shared" si="81"/>
        <v>1900</v>
      </c>
      <c r="K326" t="str">
        <f t="shared" si="82"/>
        <v>1_1900</v>
      </c>
      <c r="S326" t="str">
        <f t="shared" si="73"/>
        <v/>
      </c>
      <c r="T326" s="64" t="str">
        <f t="shared" si="83"/>
        <v/>
      </c>
      <c r="AA326" t="str">
        <f t="shared" si="74"/>
        <v/>
      </c>
      <c r="AB326" s="64" t="str">
        <f t="shared" si="75"/>
        <v/>
      </c>
    </row>
    <row r="327" spans="1:28" x14ac:dyDescent="0.35">
      <c r="A327">
        <f>'Procurement Schedule'!R445</f>
        <v>0</v>
      </c>
      <c r="B327" s="63">
        <f>'Procurement Schedule'!M445</f>
        <v>0</v>
      </c>
      <c r="C327">
        <f t="shared" si="76"/>
        <v>1</v>
      </c>
      <c r="D327">
        <f t="shared" si="78"/>
        <v>1900</v>
      </c>
      <c r="E327" t="str">
        <f t="shared" si="79"/>
        <v>1_1900</v>
      </c>
      <c r="G327">
        <f t="shared" si="80"/>
        <v>0</v>
      </c>
      <c r="H327" s="63">
        <f>'Procurement Schedule'!N445</f>
        <v>0</v>
      </c>
      <c r="I327">
        <f t="shared" si="77"/>
        <v>1</v>
      </c>
      <c r="J327">
        <f t="shared" si="81"/>
        <v>1900</v>
      </c>
      <c r="K327" t="str">
        <f t="shared" si="82"/>
        <v>1_1900</v>
      </c>
      <c r="S327" t="str">
        <f t="shared" si="73"/>
        <v/>
      </c>
      <c r="T327" s="64" t="str">
        <f t="shared" si="83"/>
        <v/>
      </c>
      <c r="AA327" t="str">
        <f t="shared" si="74"/>
        <v/>
      </c>
      <c r="AB327" s="64" t="str">
        <f t="shared" si="75"/>
        <v/>
      </c>
    </row>
    <row r="328" spans="1:28" x14ac:dyDescent="0.35">
      <c r="A328">
        <f>'Procurement Schedule'!R446</f>
        <v>0</v>
      </c>
      <c r="B328" s="63">
        <f>'Procurement Schedule'!M446</f>
        <v>0</v>
      </c>
      <c r="C328">
        <f t="shared" si="76"/>
        <v>1</v>
      </c>
      <c r="D328">
        <f t="shared" si="78"/>
        <v>1900</v>
      </c>
      <c r="E328" t="str">
        <f t="shared" si="79"/>
        <v>1_1900</v>
      </c>
      <c r="G328">
        <f t="shared" si="80"/>
        <v>0</v>
      </c>
      <c r="H328" s="63">
        <f>'Procurement Schedule'!N446</f>
        <v>0</v>
      </c>
      <c r="I328">
        <f t="shared" si="77"/>
        <v>1</v>
      </c>
      <c r="J328">
        <f t="shared" si="81"/>
        <v>1900</v>
      </c>
      <c r="K328" t="str">
        <f t="shared" si="82"/>
        <v>1_1900</v>
      </c>
      <c r="S328" t="str">
        <f t="shared" si="73"/>
        <v/>
      </c>
      <c r="T328" s="64" t="str">
        <f t="shared" si="83"/>
        <v/>
      </c>
      <c r="AA328" t="str">
        <f t="shared" si="74"/>
        <v/>
      </c>
      <c r="AB328" s="64" t="str">
        <f t="shared" si="75"/>
        <v/>
      </c>
    </row>
    <row r="329" spans="1:28" x14ac:dyDescent="0.35">
      <c r="A329">
        <f>'Procurement Schedule'!R447</f>
        <v>0</v>
      </c>
      <c r="B329" s="63">
        <f>'Procurement Schedule'!M447</f>
        <v>0</v>
      </c>
      <c r="C329">
        <f t="shared" si="76"/>
        <v>1</v>
      </c>
      <c r="D329">
        <f t="shared" si="78"/>
        <v>1900</v>
      </c>
      <c r="E329" t="str">
        <f t="shared" si="79"/>
        <v>1_1900</v>
      </c>
      <c r="G329">
        <f t="shared" si="80"/>
        <v>0</v>
      </c>
      <c r="H329" s="63">
        <f>'Procurement Schedule'!N447</f>
        <v>0</v>
      </c>
      <c r="I329">
        <f t="shared" si="77"/>
        <v>1</v>
      </c>
      <c r="J329">
        <f t="shared" si="81"/>
        <v>1900</v>
      </c>
      <c r="K329" t="str">
        <f t="shared" si="82"/>
        <v>1_1900</v>
      </c>
      <c r="S329" t="str">
        <f t="shared" ref="S329:S392" si="84">IF(R329="","",S328+R329)</f>
        <v/>
      </c>
      <c r="T329" s="64" t="str">
        <f t="shared" si="83"/>
        <v/>
      </c>
      <c r="AA329" t="str">
        <f t="shared" si="74"/>
        <v/>
      </c>
      <c r="AB329" s="64" t="str">
        <f t="shared" si="75"/>
        <v/>
      </c>
    </row>
    <row r="330" spans="1:28" x14ac:dyDescent="0.35">
      <c r="A330">
        <f>'Procurement Schedule'!R448</f>
        <v>0</v>
      </c>
      <c r="B330" s="63">
        <f>'Procurement Schedule'!M448</f>
        <v>0</v>
      </c>
      <c r="C330">
        <f t="shared" si="76"/>
        <v>1</v>
      </c>
      <c r="D330">
        <f t="shared" si="78"/>
        <v>1900</v>
      </c>
      <c r="E330" t="str">
        <f t="shared" si="79"/>
        <v>1_1900</v>
      </c>
      <c r="G330">
        <f t="shared" si="80"/>
        <v>0</v>
      </c>
      <c r="H330" s="63">
        <f>'Procurement Schedule'!N448</f>
        <v>0</v>
      </c>
      <c r="I330">
        <f t="shared" si="77"/>
        <v>1</v>
      </c>
      <c r="J330">
        <f t="shared" si="81"/>
        <v>1900</v>
      </c>
      <c r="K330" t="str">
        <f t="shared" si="82"/>
        <v>1_1900</v>
      </c>
      <c r="S330" t="str">
        <f t="shared" si="84"/>
        <v/>
      </c>
      <c r="T330" s="64" t="str">
        <f t="shared" si="83"/>
        <v/>
      </c>
      <c r="AA330" t="str">
        <f t="shared" ref="AA330:AA393" si="85">IF(Z330="","",AA329+Z330)</f>
        <v/>
      </c>
      <c r="AB330" s="64" t="str">
        <f t="shared" ref="AB330:AB393" si="86">IFERROR(VLOOKUP(Y330,AD:AE,2,0),"")</f>
        <v/>
      </c>
    </row>
    <row r="331" spans="1:28" x14ac:dyDescent="0.35">
      <c r="A331">
        <f>'Procurement Schedule'!R449</f>
        <v>0</v>
      </c>
      <c r="B331" s="63">
        <f>'Procurement Schedule'!M449</f>
        <v>0</v>
      </c>
      <c r="C331">
        <f t="shared" si="76"/>
        <v>1</v>
      </c>
      <c r="D331">
        <f t="shared" si="78"/>
        <v>1900</v>
      </c>
      <c r="E331" t="str">
        <f t="shared" si="79"/>
        <v>1_1900</v>
      </c>
      <c r="G331">
        <f t="shared" si="80"/>
        <v>0</v>
      </c>
      <c r="H331" s="63">
        <f>'Procurement Schedule'!N449</f>
        <v>0</v>
      </c>
      <c r="I331">
        <f t="shared" si="77"/>
        <v>1</v>
      </c>
      <c r="J331">
        <f t="shared" si="81"/>
        <v>1900</v>
      </c>
      <c r="K331" t="str">
        <f t="shared" si="82"/>
        <v>1_1900</v>
      </c>
      <c r="S331" t="str">
        <f t="shared" si="84"/>
        <v/>
      </c>
      <c r="T331" s="64" t="str">
        <f t="shared" si="83"/>
        <v/>
      </c>
      <c r="AA331" t="str">
        <f t="shared" si="85"/>
        <v/>
      </c>
      <c r="AB331" s="64" t="str">
        <f t="shared" si="86"/>
        <v/>
      </c>
    </row>
    <row r="332" spans="1:28" x14ac:dyDescent="0.35">
      <c r="A332">
        <f>'Procurement Schedule'!R450</f>
        <v>0</v>
      </c>
      <c r="B332" s="63">
        <f>'Procurement Schedule'!M450</f>
        <v>0</v>
      </c>
      <c r="C332">
        <f t="shared" si="76"/>
        <v>1</v>
      </c>
      <c r="D332">
        <f t="shared" si="78"/>
        <v>1900</v>
      </c>
      <c r="E332" t="str">
        <f t="shared" si="79"/>
        <v>1_1900</v>
      </c>
      <c r="G332">
        <f t="shared" si="80"/>
        <v>0</v>
      </c>
      <c r="H332" s="63">
        <f>'Procurement Schedule'!N450</f>
        <v>0</v>
      </c>
      <c r="I332">
        <f t="shared" si="77"/>
        <v>1</v>
      </c>
      <c r="J332">
        <f t="shared" si="81"/>
        <v>1900</v>
      </c>
      <c r="K332" t="str">
        <f t="shared" si="82"/>
        <v>1_1900</v>
      </c>
      <c r="S332" t="str">
        <f t="shared" si="84"/>
        <v/>
      </c>
      <c r="T332" s="64" t="str">
        <f t="shared" si="83"/>
        <v/>
      </c>
      <c r="AA332" t="str">
        <f t="shared" si="85"/>
        <v/>
      </c>
      <c r="AB332" s="64" t="str">
        <f t="shared" si="86"/>
        <v/>
      </c>
    </row>
    <row r="333" spans="1:28" x14ac:dyDescent="0.35">
      <c r="A333">
        <f>'Procurement Schedule'!R451</f>
        <v>0</v>
      </c>
      <c r="B333" s="63">
        <f>'Procurement Schedule'!M451</f>
        <v>0</v>
      </c>
      <c r="C333">
        <f t="shared" si="76"/>
        <v>1</v>
      </c>
      <c r="D333">
        <f t="shared" si="78"/>
        <v>1900</v>
      </c>
      <c r="E333" t="str">
        <f t="shared" si="79"/>
        <v>1_1900</v>
      </c>
      <c r="G333">
        <f t="shared" si="80"/>
        <v>0</v>
      </c>
      <c r="H333" s="63">
        <f>'Procurement Schedule'!N451</f>
        <v>0</v>
      </c>
      <c r="I333">
        <f t="shared" si="77"/>
        <v>1</v>
      </c>
      <c r="J333">
        <f t="shared" si="81"/>
        <v>1900</v>
      </c>
      <c r="K333" t="str">
        <f t="shared" si="82"/>
        <v>1_1900</v>
      </c>
      <c r="S333" t="str">
        <f t="shared" si="84"/>
        <v/>
      </c>
      <c r="T333" s="64" t="str">
        <f t="shared" si="83"/>
        <v/>
      </c>
      <c r="AA333" t="str">
        <f t="shared" si="85"/>
        <v/>
      </c>
      <c r="AB333" s="64" t="str">
        <f t="shared" si="86"/>
        <v/>
      </c>
    </row>
    <row r="334" spans="1:28" x14ac:dyDescent="0.35">
      <c r="A334">
        <f>'Procurement Schedule'!R452</f>
        <v>0</v>
      </c>
      <c r="B334" s="63">
        <f>'Procurement Schedule'!M452</f>
        <v>0</v>
      </c>
      <c r="C334">
        <f t="shared" si="76"/>
        <v>1</v>
      </c>
      <c r="D334">
        <f t="shared" si="78"/>
        <v>1900</v>
      </c>
      <c r="E334" t="str">
        <f t="shared" si="79"/>
        <v>1_1900</v>
      </c>
      <c r="G334">
        <f t="shared" si="80"/>
        <v>0</v>
      </c>
      <c r="H334" s="63">
        <f>'Procurement Schedule'!N452</f>
        <v>0</v>
      </c>
      <c r="I334">
        <f t="shared" si="77"/>
        <v>1</v>
      </c>
      <c r="J334">
        <f t="shared" si="81"/>
        <v>1900</v>
      </c>
      <c r="K334" t="str">
        <f t="shared" si="82"/>
        <v>1_1900</v>
      </c>
      <c r="S334" t="str">
        <f t="shared" si="84"/>
        <v/>
      </c>
      <c r="T334" s="64" t="str">
        <f t="shared" si="83"/>
        <v/>
      </c>
      <c r="AA334" t="str">
        <f t="shared" si="85"/>
        <v/>
      </c>
      <c r="AB334" s="64" t="str">
        <f t="shared" si="86"/>
        <v/>
      </c>
    </row>
    <row r="335" spans="1:28" x14ac:dyDescent="0.35">
      <c r="A335">
        <f>'Procurement Schedule'!R453</f>
        <v>0</v>
      </c>
      <c r="B335" s="63">
        <f>'Procurement Schedule'!M453</f>
        <v>0</v>
      </c>
      <c r="C335">
        <f t="shared" si="76"/>
        <v>1</v>
      </c>
      <c r="D335">
        <f t="shared" si="78"/>
        <v>1900</v>
      </c>
      <c r="E335" t="str">
        <f t="shared" si="79"/>
        <v>1_1900</v>
      </c>
      <c r="G335">
        <f t="shared" si="80"/>
        <v>0</v>
      </c>
      <c r="H335" s="63">
        <f>'Procurement Schedule'!N453</f>
        <v>0</v>
      </c>
      <c r="I335">
        <f t="shared" si="77"/>
        <v>1</v>
      </c>
      <c r="J335">
        <f t="shared" si="81"/>
        <v>1900</v>
      </c>
      <c r="K335" t="str">
        <f t="shared" si="82"/>
        <v>1_1900</v>
      </c>
      <c r="S335" t="str">
        <f t="shared" si="84"/>
        <v/>
      </c>
      <c r="T335" s="64" t="str">
        <f t="shared" si="83"/>
        <v/>
      </c>
      <c r="AA335" t="str">
        <f t="shared" si="85"/>
        <v/>
      </c>
      <c r="AB335" s="64" t="str">
        <f t="shared" si="86"/>
        <v/>
      </c>
    </row>
    <row r="336" spans="1:28" x14ac:dyDescent="0.35">
      <c r="A336">
        <f>'Procurement Schedule'!R454</f>
        <v>0</v>
      </c>
      <c r="B336" s="63">
        <f>'Procurement Schedule'!M454</f>
        <v>0</v>
      </c>
      <c r="C336">
        <f t="shared" si="76"/>
        <v>1</v>
      </c>
      <c r="D336">
        <f t="shared" si="78"/>
        <v>1900</v>
      </c>
      <c r="E336" t="str">
        <f t="shared" si="79"/>
        <v>1_1900</v>
      </c>
      <c r="G336">
        <f t="shared" si="80"/>
        <v>0</v>
      </c>
      <c r="H336" s="63">
        <f>'Procurement Schedule'!N454</f>
        <v>0</v>
      </c>
      <c r="I336">
        <f t="shared" si="77"/>
        <v>1</v>
      </c>
      <c r="J336">
        <f t="shared" si="81"/>
        <v>1900</v>
      </c>
      <c r="K336" t="str">
        <f t="shared" si="82"/>
        <v>1_1900</v>
      </c>
      <c r="S336" t="str">
        <f t="shared" si="84"/>
        <v/>
      </c>
      <c r="T336" s="64" t="str">
        <f t="shared" si="83"/>
        <v/>
      </c>
      <c r="AA336" t="str">
        <f t="shared" si="85"/>
        <v/>
      </c>
      <c r="AB336" s="64" t="str">
        <f t="shared" si="86"/>
        <v/>
      </c>
    </row>
    <row r="337" spans="1:28" x14ac:dyDescent="0.35">
      <c r="A337">
        <f>'Procurement Schedule'!R455</f>
        <v>0</v>
      </c>
      <c r="B337" s="63">
        <f>'Procurement Schedule'!M455</f>
        <v>0</v>
      </c>
      <c r="C337">
        <f t="shared" si="76"/>
        <v>1</v>
      </c>
      <c r="D337">
        <f t="shared" si="78"/>
        <v>1900</v>
      </c>
      <c r="E337" t="str">
        <f t="shared" si="79"/>
        <v>1_1900</v>
      </c>
      <c r="G337">
        <f t="shared" si="80"/>
        <v>0</v>
      </c>
      <c r="H337" s="63">
        <f>'Procurement Schedule'!N455</f>
        <v>0</v>
      </c>
      <c r="I337">
        <f t="shared" si="77"/>
        <v>1</v>
      </c>
      <c r="J337">
        <f t="shared" si="81"/>
        <v>1900</v>
      </c>
      <c r="K337" t="str">
        <f t="shared" si="82"/>
        <v>1_1900</v>
      </c>
      <c r="S337" t="str">
        <f t="shared" si="84"/>
        <v/>
      </c>
      <c r="T337" s="64" t="str">
        <f t="shared" si="83"/>
        <v/>
      </c>
      <c r="AA337" t="str">
        <f t="shared" si="85"/>
        <v/>
      </c>
      <c r="AB337" s="64" t="str">
        <f t="shared" si="86"/>
        <v/>
      </c>
    </row>
    <row r="338" spans="1:28" x14ac:dyDescent="0.35">
      <c r="A338">
        <f>'Procurement Schedule'!R456</f>
        <v>0</v>
      </c>
      <c r="B338" s="63">
        <f>'Procurement Schedule'!M456</f>
        <v>0</v>
      </c>
      <c r="C338">
        <f t="shared" si="76"/>
        <v>1</v>
      </c>
      <c r="D338">
        <f t="shared" si="78"/>
        <v>1900</v>
      </c>
      <c r="E338" t="str">
        <f t="shared" si="79"/>
        <v>1_1900</v>
      </c>
      <c r="G338">
        <f t="shared" si="80"/>
        <v>0</v>
      </c>
      <c r="H338" s="63">
        <f>'Procurement Schedule'!N456</f>
        <v>0</v>
      </c>
      <c r="I338">
        <f t="shared" si="77"/>
        <v>1</v>
      </c>
      <c r="J338">
        <f t="shared" si="81"/>
        <v>1900</v>
      </c>
      <c r="K338" t="str">
        <f t="shared" si="82"/>
        <v>1_1900</v>
      </c>
      <c r="S338" t="str">
        <f t="shared" si="84"/>
        <v/>
      </c>
      <c r="T338" s="64" t="str">
        <f t="shared" si="83"/>
        <v/>
      </c>
      <c r="AA338" t="str">
        <f t="shared" si="85"/>
        <v/>
      </c>
      <c r="AB338" s="64" t="str">
        <f t="shared" si="86"/>
        <v/>
      </c>
    </row>
    <row r="339" spans="1:28" x14ac:dyDescent="0.35">
      <c r="A339">
        <f>'Procurement Schedule'!R457</f>
        <v>0</v>
      </c>
      <c r="B339" s="63">
        <f>'Procurement Schedule'!M457</f>
        <v>0</v>
      </c>
      <c r="C339">
        <f t="shared" ref="C339:C402" si="87">MONTH(B339)</f>
        <v>1</v>
      </c>
      <c r="D339">
        <f t="shared" si="78"/>
        <v>1900</v>
      </c>
      <c r="E339" t="str">
        <f t="shared" si="79"/>
        <v>1_1900</v>
      </c>
      <c r="G339">
        <f t="shared" si="80"/>
        <v>0</v>
      </c>
      <c r="H339" s="63">
        <f>'Procurement Schedule'!N457</f>
        <v>0</v>
      </c>
      <c r="I339">
        <f t="shared" si="77"/>
        <v>1</v>
      </c>
      <c r="J339">
        <f t="shared" si="81"/>
        <v>1900</v>
      </c>
      <c r="K339" t="str">
        <f t="shared" si="82"/>
        <v>1_1900</v>
      </c>
      <c r="S339" t="str">
        <f t="shared" si="84"/>
        <v/>
      </c>
      <c r="T339" s="64" t="str">
        <f t="shared" si="83"/>
        <v/>
      </c>
      <c r="AA339" t="str">
        <f t="shared" si="85"/>
        <v/>
      </c>
      <c r="AB339" s="64" t="str">
        <f t="shared" si="86"/>
        <v/>
      </c>
    </row>
    <row r="340" spans="1:28" x14ac:dyDescent="0.35">
      <c r="A340">
        <f>'Procurement Schedule'!R458</f>
        <v>0</v>
      </c>
      <c r="B340" s="63">
        <f>'Procurement Schedule'!M458</f>
        <v>0</v>
      </c>
      <c r="C340">
        <f t="shared" si="87"/>
        <v>1</v>
      </c>
      <c r="D340">
        <f t="shared" si="78"/>
        <v>1900</v>
      </c>
      <c r="E340" t="str">
        <f t="shared" si="79"/>
        <v>1_1900</v>
      </c>
      <c r="G340">
        <f t="shared" si="80"/>
        <v>0</v>
      </c>
      <c r="H340" s="63">
        <f>'Procurement Schedule'!N458</f>
        <v>0</v>
      </c>
      <c r="I340">
        <f t="shared" ref="I340:I403" si="88">MONTH(H340)</f>
        <v>1</v>
      </c>
      <c r="J340">
        <f t="shared" si="81"/>
        <v>1900</v>
      </c>
      <c r="K340" t="str">
        <f t="shared" si="82"/>
        <v>1_1900</v>
      </c>
      <c r="S340" t="str">
        <f t="shared" si="84"/>
        <v/>
      </c>
      <c r="T340" s="64" t="str">
        <f t="shared" si="83"/>
        <v/>
      </c>
      <c r="AA340" t="str">
        <f t="shared" si="85"/>
        <v/>
      </c>
      <c r="AB340" s="64" t="str">
        <f t="shared" si="86"/>
        <v/>
      </c>
    </row>
    <row r="341" spans="1:28" x14ac:dyDescent="0.35">
      <c r="A341">
        <f>'Procurement Schedule'!R459</f>
        <v>0</v>
      </c>
      <c r="B341" s="63">
        <f>'Procurement Schedule'!M459</f>
        <v>0</v>
      </c>
      <c r="C341">
        <f t="shared" si="87"/>
        <v>1</v>
      </c>
      <c r="D341">
        <f t="shared" si="78"/>
        <v>1900</v>
      </c>
      <c r="E341" t="str">
        <f t="shared" si="79"/>
        <v>1_1900</v>
      </c>
      <c r="G341">
        <f t="shared" si="80"/>
        <v>0</v>
      </c>
      <c r="H341" s="63">
        <f>'Procurement Schedule'!N459</f>
        <v>0</v>
      </c>
      <c r="I341">
        <f t="shared" si="88"/>
        <v>1</v>
      </c>
      <c r="J341">
        <f t="shared" si="81"/>
        <v>1900</v>
      </c>
      <c r="K341" t="str">
        <f t="shared" si="82"/>
        <v>1_1900</v>
      </c>
      <c r="S341" t="str">
        <f t="shared" si="84"/>
        <v/>
      </c>
      <c r="T341" s="64" t="str">
        <f t="shared" si="83"/>
        <v/>
      </c>
      <c r="AA341" t="str">
        <f t="shared" si="85"/>
        <v/>
      </c>
      <c r="AB341" s="64" t="str">
        <f t="shared" si="86"/>
        <v/>
      </c>
    </row>
    <row r="342" spans="1:28" x14ac:dyDescent="0.35">
      <c r="A342">
        <f>'Procurement Schedule'!R460</f>
        <v>0</v>
      </c>
      <c r="B342" s="63">
        <f>'Procurement Schedule'!M460</f>
        <v>0</v>
      </c>
      <c r="C342">
        <f t="shared" si="87"/>
        <v>1</v>
      </c>
      <c r="D342">
        <f t="shared" si="78"/>
        <v>1900</v>
      </c>
      <c r="E342" t="str">
        <f t="shared" si="79"/>
        <v>1_1900</v>
      </c>
      <c r="G342">
        <f t="shared" si="80"/>
        <v>0</v>
      </c>
      <c r="H342" s="63">
        <f>'Procurement Schedule'!N460</f>
        <v>0</v>
      </c>
      <c r="I342">
        <f t="shared" si="88"/>
        <v>1</v>
      </c>
      <c r="J342">
        <f t="shared" si="81"/>
        <v>1900</v>
      </c>
      <c r="K342" t="str">
        <f t="shared" si="82"/>
        <v>1_1900</v>
      </c>
      <c r="S342" t="str">
        <f t="shared" si="84"/>
        <v/>
      </c>
      <c r="T342" s="64" t="str">
        <f t="shared" si="83"/>
        <v/>
      </c>
      <c r="AA342" t="str">
        <f t="shared" si="85"/>
        <v/>
      </c>
      <c r="AB342" s="64" t="str">
        <f t="shared" si="86"/>
        <v/>
      </c>
    </row>
    <row r="343" spans="1:28" x14ac:dyDescent="0.35">
      <c r="A343">
        <f>'Procurement Schedule'!R461</f>
        <v>0</v>
      </c>
      <c r="B343" s="63">
        <f>'Procurement Schedule'!M461</f>
        <v>0</v>
      </c>
      <c r="C343">
        <f t="shared" si="87"/>
        <v>1</v>
      </c>
      <c r="D343">
        <f t="shared" si="78"/>
        <v>1900</v>
      </c>
      <c r="E343" t="str">
        <f t="shared" si="79"/>
        <v>1_1900</v>
      </c>
      <c r="G343">
        <f t="shared" si="80"/>
        <v>0</v>
      </c>
      <c r="H343" s="63">
        <f>'Procurement Schedule'!N461</f>
        <v>0</v>
      </c>
      <c r="I343">
        <f t="shared" si="88"/>
        <v>1</v>
      </c>
      <c r="J343">
        <f t="shared" si="81"/>
        <v>1900</v>
      </c>
      <c r="K343" t="str">
        <f t="shared" si="82"/>
        <v>1_1900</v>
      </c>
      <c r="S343" t="str">
        <f t="shared" si="84"/>
        <v/>
      </c>
      <c r="T343" s="64" t="str">
        <f t="shared" si="83"/>
        <v/>
      </c>
      <c r="AA343" t="str">
        <f t="shared" si="85"/>
        <v/>
      </c>
      <c r="AB343" s="64" t="str">
        <f t="shared" si="86"/>
        <v/>
      </c>
    </row>
    <row r="344" spans="1:28" x14ac:dyDescent="0.35">
      <c r="A344">
        <f>'Procurement Schedule'!R462</f>
        <v>0</v>
      </c>
      <c r="B344" s="63">
        <f>'Procurement Schedule'!M462</f>
        <v>0</v>
      </c>
      <c r="C344">
        <f t="shared" si="87"/>
        <v>1</v>
      </c>
      <c r="D344">
        <f t="shared" si="78"/>
        <v>1900</v>
      </c>
      <c r="E344" t="str">
        <f t="shared" si="79"/>
        <v>1_1900</v>
      </c>
      <c r="G344">
        <f t="shared" si="80"/>
        <v>0</v>
      </c>
      <c r="H344" s="63">
        <f>'Procurement Schedule'!N462</f>
        <v>0</v>
      </c>
      <c r="I344">
        <f t="shared" si="88"/>
        <v>1</v>
      </c>
      <c r="J344">
        <f t="shared" si="81"/>
        <v>1900</v>
      </c>
      <c r="K344" t="str">
        <f t="shared" si="82"/>
        <v>1_1900</v>
      </c>
      <c r="S344" t="str">
        <f t="shared" si="84"/>
        <v/>
      </c>
      <c r="T344" s="64" t="str">
        <f t="shared" si="83"/>
        <v/>
      </c>
      <c r="AA344" t="str">
        <f t="shared" si="85"/>
        <v/>
      </c>
      <c r="AB344" s="64" t="str">
        <f t="shared" si="86"/>
        <v/>
      </c>
    </row>
    <row r="345" spans="1:28" x14ac:dyDescent="0.35">
      <c r="A345">
        <f>'Procurement Schedule'!R463</f>
        <v>0</v>
      </c>
      <c r="B345" s="63">
        <f>'Procurement Schedule'!M463</f>
        <v>0</v>
      </c>
      <c r="C345">
        <f t="shared" si="87"/>
        <v>1</v>
      </c>
      <c r="D345">
        <f t="shared" si="78"/>
        <v>1900</v>
      </c>
      <c r="E345" t="str">
        <f t="shared" si="79"/>
        <v>1_1900</v>
      </c>
      <c r="G345">
        <f t="shared" si="80"/>
        <v>0</v>
      </c>
      <c r="H345" s="63">
        <f>'Procurement Schedule'!N463</f>
        <v>0</v>
      </c>
      <c r="I345">
        <f t="shared" si="88"/>
        <v>1</v>
      </c>
      <c r="J345">
        <f t="shared" si="81"/>
        <v>1900</v>
      </c>
      <c r="K345" t="str">
        <f t="shared" si="82"/>
        <v>1_1900</v>
      </c>
      <c r="S345" t="str">
        <f t="shared" si="84"/>
        <v/>
      </c>
      <c r="T345" s="64" t="str">
        <f t="shared" si="83"/>
        <v/>
      </c>
      <c r="AA345" t="str">
        <f t="shared" si="85"/>
        <v/>
      </c>
      <c r="AB345" s="64" t="str">
        <f t="shared" si="86"/>
        <v/>
      </c>
    </row>
    <row r="346" spans="1:28" x14ac:dyDescent="0.35">
      <c r="A346">
        <f>'Procurement Schedule'!R464</f>
        <v>0</v>
      </c>
      <c r="B346" s="63">
        <f>'Procurement Schedule'!M464</f>
        <v>0</v>
      </c>
      <c r="C346">
        <f t="shared" si="87"/>
        <v>1</v>
      </c>
      <c r="D346">
        <f t="shared" si="78"/>
        <v>1900</v>
      </c>
      <c r="E346" t="str">
        <f t="shared" si="79"/>
        <v>1_1900</v>
      </c>
      <c r="G346">
        <f t="shared" si="80"/>
        <v>0</v>
      </c>
      <c r="H346" s="63">
        <f>'Procurement Schedule'!N464</f>
        <v>0</v>
      </c>
      <c r="I346">
        <f t="shared" si="88"/>
        <v>1</v>
      </c>
      <c r="J346">
        <f t="shared" si="81"/>
        <v>1900</v>
      </c>
      <c r="K346" t="str">
        <f t="shared" si="82"/>
        <v>1_1900</v>
      </c>
      <c r="S346" t="str">
        <f t="shared" si="84"/>
        <v/>
      </c>
      <c r="T346" s="64" t="str">
        <f t="shared" si="83"/>
        <v/>
      </c>
      <c r="AA346" t="str">
        <f t="shared" si="85"/>
        <v/>
      </c>
      <c r="AB346" s="64" t="str">
        <f t="shared" si="86"/>
        <v/>
      </c>
    </row>
    <row r="347" spans="1:28" x14ac:dyDescent="0.35">
      <c r="A347">
        <f>'Procurement Schedule'!R465</f>
        <v>0</v>
      </c>
      <c r="B347" s="63">
        <f>'Procurement Schedule'!M465</f>
        <v>0</v>
      </c>
      <c r="C347">
        <f t="shared" si="87"/>
        <v>1</v>
      </c>
      <c r="D347">
        <f t="shared" si="78"/>
        <v>1900</v>
      </c>
      <c r="E347" t="str">
        <f t="shared" si="79"/>
        <v>1_1900</v>
      </c>
      <c r="G347">
        <f t="shared" si="80"/>
        <v>0</v>
      </c>
      <c r="H347" s="63">
        <f>'Procurement Schedule'!N465</f>
        <v>0</v>
      </c>
      <c r="I347">
        <f t="shared" si="88"/>
        <v>1</v>
      </c>
      <c r="J347">
        <f t="shared" si="81"/>
        <v>1900</v>
      </c>
      <c r="K347" t="str">
        <f t="shared" si="82"/>
        <v>1_1900</v>
      </c>
      <c r="S347" t="str">
        <f t="shared" si="84"/>
        <v/>
      </c>
      <c r="T347" s="64" t="str">
        <f t="shared" si="83"/>
        <v/>
      </c>
      <c r="AA347" t="str">
        <f t="shared" si="85"/>
        <v/>
      </c>
      <c r="AB347" s="64" t="str">
        <f t="shared" si="86"/>
        <v/>
      </c>
    </row>
    <row r="348" spans="1:28" x14ac:dyDescent="0.35">
      <c r="A348">
        <f>'Procurement Schedule'!R466</f>
        <v>0</v>
      </c>
      <c r="B348" s="63">
        <f>'Procurement Schedule'!M466</f>
        <v>0</v>
      </c>
      <c r="C348">
        <f t="shared" si="87"/>
        <v>1</v>
      </c>
      <c r="D348">
        <f t="shared" si="78"/>
        <v>1900</v>
      </c>
      <c r="E348" t="str">
        <f t="shared" si="79"/>
        <v>1_1900</v>
      </c>
      <c r="G348">
        <f t="shared" si="80"/>
        <v>0</v>
      </c>
      <c r="H348" s="63">
        <f>'Procurement Schedule'!N466</f>
        <v>0</v>
      </c>
      <c r="I348">
        <f t="shared" si="88"/>
        <v>1</v>
      </c>
      <c r="J348">
        <f t="shared" si="81"/>
        <v>1900</v>
      </c>
      <c r="K348" t="str">
        <f t="shared" si="82"/>
        <v>1_1900</v>
      </c>
      <c r="S348" t="str">
        <f t="shared" si="84"/>
        <v/>
      </c>
      <c r="T348" s="64" t="str">
        <f t="shared" si="83"/>
        <v/>
      </c>
      <c r="AA348" t="str">
        <f t="shared" si="85"/>
        <v/>
      </c>
      <c r="AB348" s="64" t="str">
        <f t="shared" si="86"/>
        <v/>
      </c>
    </row>
    <row r="349" spans="1:28" x14ac:dyDescent="0.35">
      <c r="A349">
        <f>'Procurement Schedule'!R467</f>
        <v>0</v>
      </c>
      <c r="B349" s="63">
        <f>'Procurement Schedule'!M467</f>
        <v>0</v>
      </c>
      <c r="C349">
        <f t="shared" si="87"/>
        <v>1</v>
      </c>
      <c r="D349">
        <f t="shared" si="78"/>
        <v>1900</v>
      </c>
      <c r="E349" t="str">
        <f t="shared" si="79"/>
        <v>1_1900</v>
      </c>
      <c r="G349">
        <f t="shared" si="80"/>
        <v>0</v>
      </c>
      <c r="H349" s="63">
        <f>'Procurement Schedule'!N467</f>
        <v>0</v>
      </c>
      <c r="I349">
        <f t="shared" si="88"/>
        <v>1</v>
      </c>
      <c r="J349">
        <f t="shared" si="81"/>
        <v>1900</v>
      </c>
      <c r="K349" t="str">
        <f t="shared" si="82"/>
        <v>1_1900</v>
      </c>
      <c r="S349" t="str">
        <f t="shared" si="84"/>
        <v/>
      </c>
      <c r="T349" s="64" t="str">
        <f t="shared" si="83"/>
        <v/>
      </c>
      <c r="AA349" t="str">
        <f t="shared" si="85"/>
        <v/>
      </c>
      <c r="AB349" s="64" t="str">
        <f t="shared" si="86"/>
        <v/>
      </c>
    </row>
    <row r="350" spans="1:28" x14ac:dyDescent="0.35">
      <c r="A350">
        <f>'Procurement Schedule'!R468</f>
        <v>0</v>
      </c>
      <c r="B350" s="63">
        <f>'Procurement Schedule'!M468</f>
        <v>0</v>
      </c>
      <c r="C350">
        <f t="shared" si="87"/>
        <v>1</v>
      </c>
      <c r="D350">
        <f t="shared" si="78"/>
        <v>1900</v>
      </c>
      <c r="E350" t="str">
        <f t="shared" si="79"/>
        <v>1_1900</v>
      </c>
      <c r="G350">
        <f t="shared" si="80"/>
        <v>0</v>
      </c>
      <c r="H350" s="63">
        <f>'Procurement Schedule'!N468</f>
        <v>0</v>
      </c>
      <c r="I350">
        <f t="shared" si="88"/>
        <v>1</v>
      </c>
      <c r="J350">
        <f t="shared" si="81"/>
        <v>1900</v>
      </c>
      <c r="K350" t="str">
        <f t="shared" si="82"/>
        <v>1_1900</v>
      </c>
      <c r="S350" t="str">
        <f t="shared" si="84"/>
        <v/>
      </c>
      <c r="T350" s="64" t="str">
        <f t="shared" si="83"/>
        <v/>
      </c>
      <c r="AA350" t="str">
        <f t="shared" si="85"/>
        <v/>
      </c>
      <c r="AB350" s="64" t="str">
        <f t="shared" si="86"/>
        <v/>
      </c>
    </row>
    <row r="351" spans="1:28" x14ac:dyDescent="0.35">
      <c r="A351">
        <f>'Procurement Schedule'!R469</f>
        <v>0</v>
      </c>
      <c r="B351" s="63">
        <f>'Procurement Schedule'!M469</f>
        <v>0</v>
      </c>
      <c r="C351">
        <f t="shared" si="87"/>
        <v>1</v>
      </c>
      <c r="D351">
        <f t="shared" si="78"/>
        <v>1900</v>
      </c>
      <c r="E351" t="str">
        <f t="shared" si="79"/>
        <v>1_1900</v>
      </c>
      <c r="G351">
        <f t="shared" si="80"/>
        <v>0</v>
      </c>
      <c r="H351" s="63">
        <f>'Procurement Schedule'!N469</f>
        <v>0</v>
      </c>
      <c r="I351">
        <f t="shared" si="88"/>
        <v>1</v>
      </c>
      <c r="J351">
        <f t="shared" si="81"/>
        <v>1900</v>
      </c>
      <c r="K351" t="str">
        <f t="shared" si="82"/>
        <v>1_1900</v>
      </c>
      <c r="S351" t="str">
        <f t="shared" si="84"/>
        <v/>
      </c>
      <c r="T351" s="64" t="str">
        <f t="shared" si="83"/>
        <v/>
      </c>
      <c r="AA351" t="str">
        <f t="shared" si="85"/>
        <v/>
      </c>
      <c r="AB351" s="64" t="str">
        <f t="shared" si="86"/>
        <v/>
      </c>
    </row>
    <row r="352" spans="1:28" x14ac:dyDescent="0.35">
      <c r="A352">
        <f>'Procurement Schedule'!R470</f>
        <v>0</v>
      </c>
      <c r="B352" s="63">
        <f>'Procurement Schedule'!M470</f>
        <v>0</v>
      </c>
      <c r="C352">
        <f t="shared" si="87"/>
        <v>1</v>
      </c>
      <c r="D352">
        <f t="shared" si="78"/>
        <v>1900</v>
      </c>
      <c r="E352" t="str">
        <f t="shared" si="79"/>
        <v>1_1900</v>
      </c>
      <c r="G352">
        <f t="shared" si="80"/>
        <v>0</v>
      </c>
      <c r="H352" s="63">
        <f>'Procurement Schedule'!N470</f>
        <v>0</v>
      </c>
      <c r="I352">
        <f t="shared" si="88"/>
        <v>1</v>
      </c>
      <c r="J352">
        <f t="shared" si="81"/>
        <v>1900</v>
      </c>
      <c r="K352" t="str">
        <f t="shared" si="82"/>
        <v>1_1900</v>
      </c>
      <c r="S352" t="str">
        <f t="shared" si="84"/>
        <v/>
      </c>
      <c r="T352" s="64" t="str">
        <f t="shared" si="83"/>
        <v/>
      </c>
      <c r="AA352" t="str">
        <f t="shared" si="85"/>
        <v/>
      </c>
      <c r="AB352" s="64" t="str">
        <f t="shared" si="86"/>
        <v/>
      </c>
    </row>
    <row r="353" spans="1:28" x14ac:dyDescent="0.35">
      <c r="A353">
        <f>'Procurement Schedule'!R471</f>
        <v>0</v>
      </c>
      <c r="B353" s="63">
        <f>'Procurement Schedule'!M471</f>
        <v>0</v>
      </c>
      <c r="C353">
        <f t="shared" si="87"/>
        <v>1</v>
      </c>
      <c r="D353">
        <f t="shared" si="78"/>
        <v>1900</v>
      </c>
      <c r="E353" t="str">
        <f t="shared" si="79"/>
        <v>1_1900</v>
      </c>
      <c r="G353">
        <f t="shared" si="80"/>
        <v>0</v>
      </c>
      <c r="H353" s="63">
        <f>'Procurement Schedule'!N471</f>
        <v>0</v>
      </c>
      <c r="I353">
        <f t="shared" si="88"/>
        <v>1</v>
      </c>
      <c r="J353">
        <f t="shared" si="81"/>
        <v>1900</v>
      </c>
      <c r="K353" t="str">
        <f t="shared" si="82"/>
        <v>1_1900</v>
      </c>
      <c r="S353" t="str">
        <f t="shared" si="84"/>
        <v/>
      </c>
      <c r="T353" s="64" t="str">
        <f t="shared" si="83"/>
        <v/>
      </c>
      <c r="AA353" t="str">
        <f t="shared" si="85"/>
        <v/>
      </c>
      <c r="AB353" s="64" t="str">
        <f t="shared" si="86"/>
        <v/>
      </c>
    </row>
    <row r="354" spans="1:28" x14ac:dyDescent="0.35">
      <c r="A354">
        <f>'Procurement Schedule'!R472</f>
        <v>0</v>
      </c>
      <c r="B354" s="63">
        <f>'Procurement Schedule'!M472</f>
        <v>0</v>
      </c>
      <c r="C354">
        <f t="shared" si="87"/>
        <v>1</v>
      </c>
      <c r="D354">
        <f t="shared" si="78"/>
        <v>1900</v>
      </c>
      <c r="E354" t="str">
        <f t="shared" si="79"/>
        <v>1_1900</v>
      </c>
      <c r="G354">
        <f t="shared" si="80"/>
        <v>0</v>
      </c>
      <c r="H354" s="63">
        <f>'Procurement Schedule'!N472</f>
        <v>0</v>
      </c>
      <c r="I354">
        <f t="shared" si="88"/>
        <v>1</v>
      </c>
      <c r="J354">
        <f t="shared" si="81"/>
        <v>1900</v>
      </c>
      <c r="K354" t="str">
        <f t="shared" si="82"/>
        <v>1_1900</v>
      </c>
      <c r="S354" t="str">
        <f t="shared" si="84"/>
        <v/>
      </c>
      <c r="T354" s="64" t="str">
        <f t="shared" si="83"/>
        <v/>
      </c>
      <c r="AA354" t="str">
        <f t="shared" si="85"/>
        <v/>
      </c>
      <c r="AB354" s="64" t="str">
        <f t="shared" si="86"/>
        <v/>
      </c>
    </row>
    <row r="355" spans="1:28" x14ac:dyDescent="0.35">
      <c r="A355">
        <f>'Procurement Schedule'!R473</f>
        <v>0</v>
      </c>
      <c r="B355" s="63">
        <f>'Procurement Schedule'!M473</f>
        <v>0</v>
      </c>
      <c r="C355">
        <f t="shared" si="87"/>
        <v>1</v>
      </c>
      <c r="D355">
        <f t="shared" si="78"/>
        <v>1900</v>
      </c>
      <c r="E355" t="str">
        <f t="shared" si="79"/>
        <v>1_1900</v>
      </c>
      <c r="G355">
        <f t="shared" si="80"/>
        <v>0</v>
      </c>
      <c r="H355" s="63">
        <f>'Procurement Schedule'!N473</f>
        <v>0</v>
      </c>
      <c r="I355">
        <f t="shared" si="88"/>
        <v>1</v>
      </c>
      <c r="J355">
        <f t="shared" si="81"/>
        <v>1900</v>
      </c>
      <c r="K355" t="str">
        <f t="shared" si="82"/>
        <v>1_1900</v>
      </c>
      <c r="S355" t="str">
        <f t="shared" si="84"/>
        <v/>
      </c>
      <c r="T355" s="64" t="str">
        <f t="shared" si="83"/>
        <v/>
      </c>
      <c r="AA355" t="str">
        <f t="shared" si="85"/>
        <v/>
      </c>
      <c r="AB355" s="64" t="str">
        <f t="shared" si="86"/>
        <v/>
      </c>
    </row>
    <row r="356" spans="1:28" x14ac:dyDescent="0.35">
      <c r="A356">
        <f>'Procurement Schedule'!R474</f>
        <v>0</v>
      </c>
      <c r="B356" s="63">
        <f>'Procurement Schedule'!M474</f>
        <v>0</v>
      </c>
      <c r="C356">
        <f t="shared" si="87"/>
        <v>1</v>
      </c>
      <c r="D356">
        <f t="shared" si="78"/>
        <v>1900</v>
      </c>
      <c r="E356" t="str">
        <f t="shared" si="79"/>
        <v>1_1900</v>
      </c>
      <c r="G356">
        <f t="shared" si="80"/>
        <v>0</v>
      </c>
      <c r="H356" s="63">
        <f>'Procurement Schedule'!N474</f>
        <v>0</v>
      </c>
      <c r="I356">
        <f t="shared" si="88"/>
        <v>1</v>
      </c>
      <c r="J356">
        <f t="shared" si="81"/>
        <v>1900</v>
      </c>
      <c r="K356" t="str">
        <f t="shared" si="82"/>
        <v>1_1900</v>
      </c>
      <c r="S356" t="str">
        <f t="shared" si="84"/>
        <v/>
      </c>
      <c r="T356" s="64" t="str">
        <f t="shared" si="83"/>
        <v/>
      </c>
      <c r="AA356" t="str">
        <f t="shared" si="85"/>
        <v/>
      </c>
      <c r="AB356" s="64" t="str">
        <f t="shared" si="86"/>
        <v/>
      </c>
    </row>
    <row r="357" spans="1:28" x14ac:dyDescent="0.35">
      <c r="A357">
        <f>'Procurement Schedule'!R475</f>
        <v>0</v>
      </c>
      <c r="B357" s="63">
        <f>'Procurement Schedule'!M475</f>
        <v>0</v>
      </c>
      <c r="C357">
        <f t="shared" si="87"/>
        <v>1</v>
      </c>
      <c r="D357">
        <f t="shared" si="78"/>
        <v>1900</v>
      </c>
      <c r="E357" t="str">
        <f t="shared" si="79"/>
        <v>1_1900</v>
      </c>
      <c r="G357">
        <f t="shared" si="80"/>
        <v>0</v>
      </c>
      <c r="H357" s="63">
        <f>'Procurement Schedule'!N475</f>
        <v>0</v>
      </c>
      <c r="I357">
        <f t="shared" si="88"/>
        <v>1</v>
      </c>
      <c r="J357">
        <f t="shared" si="81"/>
        <v>1900</v>
      </c>
      <c r="K357" t="str">
        <f t="shared" si="82"/>
        <v>1_1900</v>
      </c>
      <c r="S357" t="str">
        <f t="shared" si="84"/>
        <v/>
      </c>
      <c r="T357" s="64" t="str">
        <f t="shared" si="83"/>
        <v/>
      </c>
      <c r="AA357" t="str">
        <f t="shared" si="85"/>
        <v/>
      </c>
      <c r="AB357" s="64" t="str">
        <f t="shared" si="86"/>
        <v/>
      </c>
    </row>
    <row r="358" spans="1:28" x14ac:dyDescent="0.35">
      <c r="A358">
        <f>'Procurement Schedule'!R476</f>
        <v>0</v>
      </c>
      <c r="B358" s="63">
        <f>'Procurement Schedule'!M476</f>
        <v>0</v>
      </c>
      <c r="C358">
        <f t="shared" si="87"/>
        <v>1</v>
      </c>
      <c r="D358">
        <f t="shared" si="78"/>
        <v>1900</v>
      </c>
      <c r="E358" t="str">
        <f t="shared" si="79"/>
        <v>1_1900</v>
      </c>
      <c r="G358">
        <f t="shared" si="80"/>
        <v>0</v>
      </c>
      <c r="H358" s="63">
        <f>'Procurement Schedule'!N476</f>
        <v>0</v>
      </c>
      <c r="I358">
        <f t="shared" si="88"/>
        <v>1</v>
      </c>
      <c r="J358">
        <f t="shared" si="81"/>
        <v>1900</v>
      </c>
      <c r="K358" t="str">
        <f t="shared" si="82"/>
        <v>1_1900</v>
      </c>
      <c r="S358" t="str">
        <f t="shared" si="84"/>
        <v/>
      </c>
      <c r="T358" s="64" t="str">
        <f t="shared" si="83"/>
        <v/>
      </c>
      <c r="AA358" t="str">
        <f t="shared" si="85"/>
        <v/>
      </c>
      <c r="AB358" s="64" t="str">
        <f t="shared" si="86"/>
        <v/>
      </c>
    </row>
    <row r="359" spans="1:28" x14ac:dyDescent="0.35">
      <c r="A359">
        <f>'Procurement Schedule'!R477</f>
        <v>0</v>
      </c>
      <c r="B359" s="63">
        <f>'Procurement Schedule'!M477</f>
        <v>0</v>
      </c>
      <c r="C359">
        <f t="shared" si="87"/>
        <v>1</v>
      </c>
      <c r="D359">
        <f t="shared" si="78"/>
        <v>1900</v>
      </c>
      <c r="E359" t="str">
        <f t="shared" si="79"/>
        <v>1_1900</v>
      </c>
      <c r="G359">
        <f t="shared" si="80"/>
        <v>0</v>
      </c>
      <c r="H359" s="63">
        <f>'Procurement Schedule'!N477</f>
        <v>0</v>
      </c>
      <c r="I359">
        <f t="shared" si="88"/>
        <v>1</v>
      </c>
      <c r="J359">
        <f t="shared" si="81"/>
        <v>1900</v>
      </c>
      <c r="K359" t="str">
        <f t="shared" si="82"/>
        <v>1_1900</v>
      </c>
      <c r="S359" t="str">
        <f t="shared" si="84"/>
        <v/>
      </c>
      <c r="T359" s="64" t="str">
        <f t="shared" si="83"/>
        <v/>
      </c>
      <c r="AA359" t="str">
        <f t="shared" si="85"/>
        <v/>
      </c>
      <c r="AB359" s="64" t="str">
        <f t="shared" si="86"/>
        <v/>
      </c>
    </row>
    <row r="360" spans="1:28" x14ac:dyDescent="0.35">
      <c r="A360">
        <f>'Procurement Schedule'!R478</f>
        <v>0</v>
      </c>
      <c r="B360" s="63">
        <f>'Procurement Schedule'!M478</f>
        <v>0</v>
      </c>
      <c r="C360">
        <f t="shared" si="87"/>
        <v>1</v>
      </c>
      <c r="D360">
        <f t="shared" si="78"/>
        <v>1900</v>
      </c>
      <c r="E360" t="str">
        <f t="shared" si="79"/>
        <v>1_1900</v>
      </c>
      <c r="G360">
        <f t="shared" si="80"/>
        <v>0</v>
      </c>
      <c r="H360" s="63">
        <f>'Procurement Schedule'!N478</f>
        <v>0</v>
      </c>
      <c r="I360">
        <f t="shared" si="88"/>
        <v>1</v>
      </c>
      <c r="J360">
        <f t="shared" si="81"/>
        <v>1900</v>
      </c>
      <c r="K360" t="str">
        <f t="shared" si="82"/>
        <v>1_1900</v>
      </c>
      <c r="S360" t="str">
        <f t="shared" si="84"/>
        <v/>
      </c>
      <c r="T360" s="64" t="str">
        <f t="shared" si="83"/>
        <v/>
      </c>
      <c r="AA360" t="str">
        <f t="shared" si="85"/>
        <v/>
      </c>
      <c r="AB360" s="64" t="str">
        <f t="shared" si="86"/>
        <v/>
      </c>
    </row>
    <row r="361" spans="1:28" x14ac:dyDescent="0.35">
      <c r="A361">
        <f>'Procurement Schedule'!R479</f>
        <v>0</v>
      </c>
      <c r="B361" s="63">
        <f>'Procurement Schedule'!M479</f>
        <v>0</v>
      </c>
      <c r="C361">
        <f t="shared" si="87"/>
        <v>1</v>
      </c>
      <c r="D361">
        <f t="shared" si="78"/>
        <v>1900</v>
      </c>
      <c r="E361" t="str">
        <f t="shared" si="79"/>
        <v>1_1900</v>
      </c>
      <c r="G361">
        <f t="shared" si="80"/>
        <v>0</v>
      </c>
      <c r="H361" s="63">
        <f>'Procurement Schedule'!N479</f>
        <v>0</v>
      </c>
      <c r="I361">
        <f t="shared" si="88"/>
        <v>1</v>
      </c>
      <c r="J361">
        <f t="shared" si="81"/>
        <v>1900</v>
      </c>
      <c r="K361" t="str">
        <f t="shared" si="82"/>
        <v>1_1900</v>
      </c>
      <c r="S361" t="str">
        <f t="shared" si="84"/>
        <v/>
      </c>
      <c r="T361" s="64" t="str">
        <f t="shared" si="83"/>
        <v/>
      </c>
      <c r="AA361" t="str">
        <f t="shared" si="85"/>
        <v/>
      </c>
      <c r="AB361" s="64" t="str">
        <f t="shared" si="86"/>
        <v/>
      </c>
    </row>
    <row r="362" spans="1:28" x14ac:dyDescent="0.35">
      <c r="A362">
        <f>'Procurement Schedule'!R480</f>
        <v>0</v>
      </c>
      <c r="B362" s="63">
        <f>'Procurement Schedule'!M480</f>
        <v>0</v>
      </c>
      <c r="C362">
        <f t="shared" si="87"/>
        <v>1</v>
      </c>
      <c r="D362">
        <f t="shared" si="78"/>
        <v>1900</v>
      </c>
      <c r="E362" t="str">
        <f t="shared" si="79"/>
        <v>1_1900</v>
      </c>
      <c r="G362">
        <f t="shared" si="80"/>
        <v>0</v>
      </c>
      <c r="H362" s="63">
        <f>'Procurement Schedule'!N480</f>
        <v>0</v>
      </c>
      <c r="I362">
        <f t="shared" si="88"/>
        <v>1</v>
      </c>
      <c r="J362">
        <f t="shared" si="81"/>
        <v>1900</v>
      </c>
      <c r="K362" t="str">
        <f t="shared" si="82"/>
        <v>1_1900</v>
      </c>
      <c r="S362" t="str">
        <f t="shared" si="84"/>
        <v/>
      </c>
      <c r="T362" s="64" t="str">
        <f t="shared" si="83"/>
        <v/>
      </c>
      <c r="AA362" t="str">
        <f t="shared" si="85"/>
        <v/>
      </c>
      <c r="AB362" s="64" t="str">
        <f t="shared" si="86"/>
        <v/>
      </c>
    </row>
    <row r="363" spans="1:28" x14ac:dyDescent="0.35">
      <c r="A363">
        <f>'Procurement Schedule'!R481</f>
        <v>0</v>
      </c>
      <c r="B363" s="63">
        <f>'Procurement Schedule'!M481</f>
        <v>0</v>
      </c>
      <c r="C363">
        <f t="shared" si="87"/>
        <v>1</v>
      </c>
      <c r="D363">
        <f t="shared" si="78"/>
        <v>1900</v>
      </c>
      <c r="E363" t="str">
        <f t="shared" si="79"/>
        <v>1_1900</v>
      </c>
      <c r="G363">
        <f t="shared" si="80"/>
        <v>0</v>
      </c>
      <c r="H363" s="63">
        <f>'Procurement Schedule'!N481</f>
        <v>0</v>
      </c>
      <c r="I363">
        <f t="shared" si="88"/>
        <v>1</v>
      </c>
      <c r="J363">
        <f t="shared" si="81"/>
        <v>1900</v>
      </c>
      <c r="K363" t="str">
        <f t="shared" si="82"/>
        <v>1_1900</v>
      </c>
      <c r="S363" t="str">
        <f t="shared" si="84"/>
        <v/>
      </c>
      <c r="T363" s="64" t="str">
        <f t="shared" si="83"/>
        <v/>
      </c>
      <c r="AA363" t="str">
        <f t="shared" si="85"/>
        <v/>
      </c>
      <c r="AB363" s="64" t="str">
        <f t="shared" si="86"/>
        <v/>
      </c>
    </row>
    <row r="364" spans="1:28" x14ac:dyDescent="0.35">
      <c r="A364">
        <f>'Procurement Schedule'!R482</f>
        <v>0</v>
      </c>
      <c r="B364" s="63">
        <f>'Procurement Schedule'!M482</f>
        <v>0</v>
      </c>
      <c r="C364">
        <f t="shared" si="87"/>
        <v>1</v>
      </c>
      <c r="D364">
        <f t="shared" si="78"/>
        <v>1900</v>
      </c>
      <c r="E364" t="str">
        <f t="shared" si="79"/>
        <v>1_1900</v>
      </c>
      <c r="G364">
        <f t="shared" si="80"/>
        <v>0</v>
      </c>
      <c r="H364" s="63">
        <f>'Procurement Schedule'!N482</f>
        <v>0</v>
      </c>
      <c r="I364">
        <f t="shared" si="88"/>
        <v>1</v>
      </c>
      <c r="J364">
        <f t="shared" si="81"/>
        <v>1900</v>
      </c>
      <c r="K364" t="str">
        <f t="shared" si="82"/>
        <v>1_1900</v>
      </c>
      <c r="S364" t="str">
        <f t="shared" si="84"/>
        <v/>
      </c>
      <c r="T364" s="64" t="str">
        <f t="shared" si="83"/>
        <v/>
      </c>
      <c r="AA364" t="str">
        <f t="shared" si="85"/>
        <v/>
      </c>
      <c r="AB364" s="64" t="str">
        <f t="shared" si="86"/>
        <v/>
      </c>
    </row>
    <row r="365" spans="1:28" x14ac:dyDescent="0.35">
      <c r="A365">
        <f>'Procurement Schedule'!R483</f>
        <v>0</v>
      </c>
      <c r="B365" s="63">
        <f>'Procurement Schedule'!M483</f>
        <v>0</v>
      </c>
      <c r="C365">
        <f t="shared" si="87"/>
        <v>1</v>
      </c>
      <c r="D365">
        <f t="shared" si="78"/>
        <v>1900</v>
      </c>
      <c r="E365" t="str">
        <f t="shared" si="79"/>
        <v>1_1900</v>
      </c>
      <c r="G365">
        <f t="shared" si="80"/>
        <v>0</v>
      </c>
      <c r="H365" s="63">
        <f>'Procurement Schedule'!N483</f>
        <v>0</v>
      </c>
      <c r="I365">
        <f t="shared" si="88"/>
        <v>1</v>
      </c>
      <c r="J365">
        <f t="shared" si="81"/>
        <v>1900</v>
      </c>
      <c r="K365" t="str">
        <f t="shared" si="82"/>
        <v>1_1900</v>
      </c>
      <c r="S365" t="str">
        <f t="shared" si="84"/>
        <v/>
      </c>
      <c r="T365" s="64" t="str">
        <f t="shared" si="83"/>
        <v/>
      </c>
      <c r="AA365" t="str">
        <f t="shared" si="85"/>
        <v/>
      </c>
      <c r="AB365" s="64" t="str">
        <f t="shared" si="86"/>
        <v/>
      </c>
    </row>
    <row r="366" spans="1:28" x14ac:dyDescent="0.35">
      <c r="A366">
        <f>'Procurement Schedule'!R484</f>
        <v>0</v>
      </c>
      <c r="B366" s="63">
        <f>'Procurement Schedule'!M484</f>
        <v>0</v>
      </c>
      <c r="C366">
        <f t="shared" si="87"/>
        <v>1</v>
      </c>
      <c r="D366">
        <f t="shared" si="78"/>
        <v>1900</v>
      </c>
      <c r="E366" t="str">
        <f t="shared" si="79"/>
        <v>1_1900</v>
      </c>
      <c r="G366">
        <f t="shared" si="80"/>
        <v>0</v>
      </c>
      <c r="H366" s="63">
        <f>'Procurement Schedule'!N484</f>
        <v>0</v>
      </c>
      <c r="I366">
        <f t="shared" si="88"/>
        <v>1</v>
      </c>
      <c r="J366">
        <f t="shared" si="81"/>
        <v>1900</v>
      </c>
      <c r="K366" t="str">
        <f t="shared" si="82"/>
        <v>1_1900</v>
      </c>
      <c r="S366" t="str">
        <f t="shared" si="84"/>
        <v/>
      </c>
      <c r="T366" s="64" t="str">
        <f t="shared" si="83"/>
        <v/>
      </c>
      <c r="AA366" t="str">
        <f t="shared" si="85"/>
        <v/>
      </c>
      <c r="AB366" s="64" t="str">
        <f t="shared" si="86"/>
        <v/>
      </c>
    </row>
    <row r="367" spans="1:28" x14ac:dyDescent="0.35">
      <c r="A367">
        <f>'Procurement Schedule'!R485</f>
        <v>0</v>
      </c>
      <c r="B367" s="63">
        <f>'Procurement Schedule'!M485</f>
        <v>0</v>
      </c>
      <c r="C367">
        <f t="shared" si="87"/>
        <v>1</v>
      </c>
      <c r="D367">
        <f t="shared" si="78"/>
        <v>1900</v>
      </c>
      <c r="E367" t="str">
        <f t="shared" si="79"/>
        <v>1_1900</v>
      </c>
      <c r="G367">
        <f t="shared" si="80"/>
        <v>0</v>
      </c>
      <c r="H367" s="63">
        <f>'Procurement Schedule'!N485</f>
        <v>0</v>
      </c>
      <c r="I367">
        <f t="shared" si="88"/>
        <v>1</v>
      </c>
      <c r="J367">
        <f t="shared" si="81"/>
        <v>1900</v>
      </c>
      <c r="K367" t="str">
        <f t="shared" si="82"/>
        <v>1_1900</v>
      </c>
      <c r="S367" t="str">
        <f t="shared" si="84"/>
        <v/>
      </c>
      <c r="T367" s="64" t="str">
        <f t="shared" si="83"/>
        <v/>
      </c>
      <c r="AA367" t="str">
        <f t="shared" si="85"/>
        <v/>
      </c>
      <c r="AB367" s="64" t="str">
        <f t="shared" si="86"/>
        <v/>
      </c>
    </row>
    <row r="368" spans="1:28" x14ac:dyDescent="0.35">
      <c r="A368">
        <f>'Procurement Schedule'!R486</f>
        <v>0</v>
      </c>
      <c r="B368" s="63">
        <f>'Procurement Schedule'!M486</f>
        <v>0</v>
      </c>
      <c r="C368">
        <f t="shared" si="87"/>
        <v>1</v>
      </c>
      <c r="D368">
        <f t="shared" si="78"/>
        <v>1900</v>
      </c>
      <c r="E368" t="str">
        <f t="shared" si="79"/>
        <v>1_1900</v>
      </c>
      <c r="G368">
        <f t="shared" si="80"/>
        <v>0</v>
      </c>
      <c r="H368" s="63">
        <f>'Procurement Schedule'!N486</f>
        <v>0</v>
      </c>
      <c r="I368">
        <f t="shared" si="88"/>
        <v>1</v>
      </c>
      <c r="J368">
        <f t="shared" si="81"/>
        <v>1900</v>
      </c>
      <c r="K368" t="str">
        <f t="shared" si="82"/>
        <v>1_1900</v>
      </c>
      <c r="S368" t="str">
        <f t="shared" si="84"/>
        <v/>
      </c>
      <c r="T368" s="64" t="str">
        <f t="shared" si="83"/>
        <v/>
      </c>
      <c r="AA368" t="str">
        <f t="shared" si="85"/>
        <v/>
      </c>
      <c r="AB368" s="64" t="str">
        <f t="shared" si="86"/>
        <v/>
      </c>
    </row>
    <row r="369" spans="1:28" x14ac:dyDescent="0.35">
      <c r="A369">
        <f>'Procurement Schedule'!R487</f>
        <v>0</v>
      </c>
      <c r="B369" s="63">
        <f>'Procurement Schedule'!M487</f>
        <v>0</v>
      </c>
      <c r="C369">
        <f t="shared" si="87"/>
        <v>1</v>
      </c>
      <c r="D369">
        <f t="shared" si="78"/>
        <v>1900</v>
      </c>
      <c r="E369" t="str">
        <f t="shared" si="79"/>
        <v>1_1900</v>
      </c>
      <c r="G369">
        <f t="shared" si="80"/>
        <v>0</v>
      </c>
      <c r="H369" s="63">
        <f>'Procurement Schedule'!N487</f>
        <v>0</v>
      </c>
      <c r="I369">
        <f t="shared" si="88"/>
        <v>1</v>
      </c>
      <c r="J369">
        <f t="shared" si="81"/>
        <v>1900</v>
      </c>
      <c r="K369" t="str">
        <f t="shared" si="82"/>
        <v>1_1900</v>
      </c>
      <c r="S369" t="str">
        <f t="shared" si="84"/>
        <v/>
      </c>
      <c r="T369" s="64" t="str">
        <f t="shared" si="83"/>
        <v/>
      </c>
      <c r="AA369" t="str">
        <f t="shared" si="85"/>
        <v/>
      </c>
      <c r="AB369" s="64" t="str">
        <f t="shared" si="86"/>
        <v/>
      </c>
    </row>
    <row r="370" spans="1:28" x14ac:dyDescent="0.35">
      <c r="A370">
        <f>'Procurement Schedule'!R488</f>
        <v>0</v>
      </c>
      <c r="B370" s="63">
        <f>'Procurement Schedule'!M488</f>
        <v>0</v>
      </c>
      <c r="C370">
        <f t="shared" si="87"/>
        <v>1</v>
      </c>
      <c r="D370">
        <f t="shared" si="78"/>
        <v>1900</v>
      </c>
      <c r="E370" t="str">
        <f t="shared" si="79"/>
        <v>1_1900</v>
      </c>
      <c r="G370">
        <f t="shared" si="80"/>
        <v>0</v>
      </c>
      <c r="H370" s="63">
        <f>'Procurement Schedule'!N488</f>
        <v>0</v>
      </c>
      <c r="I370">
        <f t="shared" si="88"/>
        <v>1</v>
      </c>
      <c r="J370">
        <f t="shared" si="81"/>
        <v>1900</v>
      </c>
      <c r="K370" t="str">
        <f t="shared" si="82"/>
        <v>1_1900</v>
      </c>
      <c r="S370" t="str">
        <f t="shared" si="84"/>
        <v/>
      </c>
      <c r="T370" s="64" t="str">
        <f t="shared" si="83"/>
        <v/>
      </c>
      <c r="AA370" t="str">
        <f t="shared" si="85"/>
        <v/>
      </c>
      <c r="AB370" s="64" t="str">
        <f t="shared" si="86"/>
        <v/>
      </c>
    </row>
    <row r="371" spans="1:28" x14ac:dyDescent="0.35">
      <c r="A371">
        <f>'Procurement Schedule'!R489</f>
        <v>0</v>
      </c>
      <c r="B371" s="63">
        <f>'Procurement Schedule'!M489</f>
        <v>0</v>
      </c>
      <c r="C371">
        <f t="shared" si="87"/>
        <v>1</v>
      </c>
      <c r="D371">
        <f t="shared" si="78"/>
        <v>1900</v>
      </c>
      <c r="E371" t="str">
        <f t="shared" si="79"/>
        <v>1_1900</v>
      </c>
      <c r="G371">
        <f t="shared" si="80"/>
        <v>0</v>
      </c>
      <c r="H371" s="63">
        <f>'Procurement Schedule'!N489</f>
        <v>0</v>
      </c>
      <c r="I371">
        <f t="shared" si="88"/>
        <v>1</v>
      </c>
      <c r="J371">
        <f t="shared" si="81"/>
        <v>1900</v>
      </c>
      <c r="K371" t="str">
        <f t="shared" si="82"/>
        <v>1_1900</v>
      </c>
      <c r="S371" t="str">
        <f t="shared" si="84"/>
        <v/>
      </c>
      <c r="T371" s="64" t="str">
        <f t="shared" si="83"/>
        <v/>
      </c>
      <c r="AA371" t="str">
        <f t="shared" si="85"/>
        <v/>
      </c>
      <c r="AB371" s="64" t="str">
        <f t="shared" si="86"/>
        <v/>
      </c>
    </row>
    <row r="372" spans="1:28" x14ac:dyDescent="0.35">
      <c r="A372">
        <f>'Procurement Schedule'!R490</f>
        <v>0</v>
      </c>
      <c r="B372" s="63">
        <f>'Procurement Schedule'!M490</f>
        <v>0</v>
      </c>
      <c r="C372">
        <f t="shared" si="87"/>
        <v>1</v>
      </c>
      <c r="D372">
        <f t="shared" si="78"/>
        <v>1900</v>
      </c>
      <c r="E372" t="str">
        <f t="shared" si="79"/>
        <v>1_1900</v>
      </c>
      <c r="G372">
        <f t="shared" si="80"/>
        <v>0</v>
      </c>
      <c r="H372" s="63">
        <f>'Procurement Schedule'!N490</f>
        <v>0</v>
      </c>
      <c r="I372">
        <f t="shared" si="88"/>
        <v>1</v>
      </c>
      <c r="J372">
        <f t="shared" si="81"/>
        <v>1900</v>
      </c>
      <c r="K372" t="str">
        <f t="shared" si="82"/>
        <v>1_1900</v>
      </c>
      <c r="S372" t="str">
        <f t="shared" si="84"/>
        <v/>
      </c>
      <c r="T372" s="64" t="str">
        <f t="shared" si="83"/>
        <v/>
      </c>
      <c r="AA372" t="str">
        <f t="shared" si="85"/>
        <v/>
      </c>
      <c r="AB372" s="64" t="str">
        <f t="shared" si="86"/>
        <v/>
      </c>
    </row>
    <row r="373" spans="1:28" x14ac:dyDescent="0.35">
      <c r="A373">
        <f>'Procurement Schedule'!R491</f>
        <v>0</v>
      </c>
      <c r="B373" s="63">
        <f>'Procurement Schedule'!M491</f>
        <v>0</v>
      </c>
      <c r="C373">
        <f t="shared" si="87"/>
        <v>1</v>
      </c>
      <c r="D373">
        <f t="shared" si="78"/>
        <v>1900</v>
      </c>
      <c r="E373" t="str">
        <f t="shared" si="79"/>
        <v>1_1900</v>
      </c>
      <c r="G373">
        <f t="shared" si="80"/>
        <v>0</v>
      </c>
      <c r="H373" s="63">
        <f>'Procurement Schedule'!N491</f>
        <v>0</v>
      </c>
      <c r="I373">
        <f t="shared" si="88"/>
        <v>1</v>
      </c>
      <c r="J373">
        <f t="shared" si="81"/>
        <v>1900</v>
      </c>
      <c r="K373" t="str">
        <f t="shared" si="82"/>
        <v>1_1900</v>
      </c>
      <c r="S373" t="str">
        <f t="shared" si="84"/>
        <v/>
      </c>
      <c r="T373" s="64" t="str">
        <f t="shared" si="83"/>
        <v/>
      </c>
      <c r="AA373" t="str">
        <f t="shared" si="85"/>
        <v/>
      </c>
      <c r="AB373" s="64" t="str">
        <f t="shared" si="86"/>
        <v/>
      </c>
    </row>
    <row r="374" spans="1:28" x14ac:dyDescent="0.35">
      <c r="A374">
        <f>'Procurement Schedule'!R492</f>
        <v>0</v>
      </c>
      <c r="B374" s="63">
        <f>'Procurement Schedule'!M492</f>
        <v>0</v>
      </c>
      <c r="C374">
        <f t="shared" si="87"/>
        <v>1</v>
      </c>
      <c r="D374">
        <f t="shared" si="78"/>
        <v>1900</v>
      </c>
      <c r="E374" t="str">
        <f t="shared" si="79"/>
        <v>1_1900</v>
      </c>
      <c r="G374">
        <f t="shared" si="80"/>
        <v>0</v>
      </c>
      <c r="H374" s="63">
        <f>'Procurement Schedule'!N492</f>
        <v>0</v>
      </c>
      <c r="I374">
        <f t="shared" si="88"/>
        <v>1</v>
      </c>
      <c r="J374">
        <f t="shared" si="81"/>
        <v>1900</v>
      </c>
      <c r="K374" t="str">
        <f t="shared" si="82"/>
        <v>1_1900</v>
      </c>
      <c r="S374" t="str">
        <f t="shared" si="84"/>
        <v/>
      </c>
      <c r="T374" s="64" t="str">
        <f t="shared" si="83"/>
        <v/>
      </c>
      <c r="AA374" t="str">
        <f t="shared" si="85"/>
        <v/>
      </c>
      <c r="AB374" s="64" t="str">
        <f t="shared" si="86"/>
        <v/>
      </c>
    </row>
    <row r="375" spans="1:28" x14ac:dyDescent="0.35">
      <c r="A375">
        <f>'Procurement Schedule'!R493</f>
        <v>0</v>
      </c>
      <c r="B375" s="63">
        <f>'Procurement Schedule'!M493</f>
        <v>0</v>
      </c>
      <c r="C375">
        <f t="shared" si="87"/>
        <v>1</v>
      </c>
      <c r="D375">
        <f t="shared" ref="D375:D438" si="89">YEAR(B375)</f>
        <v>1900</v>
      </c>
      <c r="E375" t="str">
        <f t="shared" ref="E375:E438" si="90">C375&amp;"_"&amp;D375</f>
        <v>1_1900</v>
      </c>
      <c r="G375">
        <f t="shared" ref="G375:G438" si="91">A375</f>
        <v>0</v>
      </c>
      <c r="H375" s="63">
        <f>'Procurement Schedule'!N493</f>
        <v>0</v>
      </c>
      <c r="I375">
        <f t="shared" si="88"/>
        <v>1</v>
      </c>
      <c r="J375">
        <f t="shared" ref="J375:J438" si="92">YEAR(H375)</f>
        <v>1900</v>
      </c>
      <c r="K375" t="str">
        <f t="shared" ref="K375:K438" si="93">I375&amp;"_"&amp;J375</f>
        <v>1_1900</v>
      </c>
      <c r="S375" t="str">
        <f t="shared" si="84"/>
        <v/>
      </c>
      <c r="T375" s="64" t="str">
        <f t="shared" si="83"/>
        <v/>
      </c>
      <c r="AA375" t="str">
        <f t="shared" si="85"/>
        <v/>
      </c>
      <c r="AB375" s="64" t="str">
        <f t="shared" si="86"/>
        <v/>
      </c>
    </row>
    <row r="376" spans="1:28" x14ac:dyDescent="0.35">
      <c r="A376">
        <f>'Procurement Schedule'!R494</f>
        <v>0</v>
      </c>
      <c r="B376" s="63">
        <f>'Procurement Schedule'!M494</f>
        <v>0</v>
      </c>
      <c r="C376">
        <f t="shared" si="87"/>
        <v>1</v>
      </c>
      <c r="D376">
        <f t="shared" si="89"/>
        <v>1900</v>
      </c>
      <c r="E376" t="str">
        <f t="shared" si="90"/>
        <v>1_1900</v>
      </c>
      <c r="G376">
        <f t="shared" si="91"/>
        <v>0</v>
      </c>
      <c r="H376" s="63">
        <f>'Procurement Schedule'!N494</f>
        <v>0</v>
      </c>
      <c r="I376">
        <f t="shared" si="88"/>
        <v>1</v>
      </c>
      <c r="J376">
        <f t="shared" si="92"/>
        <v>1900</v>
      </c>
      <c r="K376" t="str">
        <f t="shared" si="93"/>
        <v>1_1900</v>
      </c>
      <c r="S376" t="str">
        <f t="shared" si="84"/>
        <v/>
      </c>
      <c r="T376" s="64" t="str">
        <f t="shared" si="83"/>
        <v/>
      </c>
      <c r="AA376" t="str">
        <f t="shared" si="85"/>
        <v/>
      </c>
      <c r="AB376" s="64" t="str">
        <f t="shared" si="86"/>
        <v/>
      </c>
    </row>
    <row r="377" spans="1:28" x14ac:dyDescent="0.35">
      <c r="A377">
        <f>'Procurement Schedule'!R495</f>
        <v>0</v>
      </c>
      <c r="B377" s="63">
        <f>'Procurement Schedule'!M495</f>
        <v>0</v>
      </c>
      <c r="C377">
        <f t="shared" si="87"/>
        <v>1</v>
      </c>
      <c r="D377">
        <f t="shared" si="89"/>
        <v>1900</v>
      </c>
      <c r="E377" t="str">
        <f t="shared" si="90"/>
        <v>1_1900</v>
      </c>
      <c r="G377">
        <f t="shared" si="91"/>
        <v>0</v>
      </c>
      <c r="H377" s="63">
        <f>'Procurement Schedule'!N495</f>
        <v>0</v>
      </c>
      <c r="I377">
        <f t="shared" si="88"/>
        <v>1</v>
      </c>
      <c r="J377">
        <f t="shared" si="92"/>
        <v>1900</v>
      </c>
      <c r="K377" t="str">
        <f t="shared" si="93"/>
        <v>1_1900</v>
      </c>
      <c r="S377" t="str">
        <f t="shared" si="84"/>
        <v/>
      </c>
      <c r="T377" s="64" t="str">
        <f t="shared" si="83"/>
        <v/>
      </c>
      <c r="AA377" t="str">
        <f t="shared" si="85"/>
        <v/>
      </c>
      <c r="AB377" s="64" t="str">
        <f t="shared" si="86"/>
        <v/>
      </c>
    </row>
    <row r="378" spans="1:28" x14ac:dyDescent="0.35">
      <c r="A378">
        <f>'Procurement Schedule'!R496</f>
        <v>0</v>
      </c>
      <c r="B378" s="63">
        <f>'Procurement Schedule'!M496</f>
        <v>0</v>
      </c>
      <c r="C378">
        <f t="shared" si="87"/>
        <v>1</v>
      </c>
      <c r="D378">
        <f t="shared" si="89"/>
        <v>1900</v>
      </c>
      <c r="E378" t="str">
        <f t="shared" si="90"/>
        <v>1_1900</v>
      </c>
      <c r="G378">
        <f t="shared" si="91"/>
        <v>0</v>
      </c>
      <c r="H378" s="63">
        <f>'Procurement Schedule'!N496</f>
        <v>0</v>
      </c>
      <c r="I378">
        <f t="shared" si="88"/>
        <v>1</v>
      </c>
      <c r="J378">
        <f t="shared" si="92"/>
        <v>1900</v>
      </c>
      <c r="K378" t="str">
        <f t="shared" si="93"/>
        <v>1_1900</v>
      </c>
      <c r="S378" t="str">
        <f t="shared" si="84"/>
        <v/>
      </c>
      <c r="T378" s="64" t="str">
        <f t="shared" si="83"/>
        <v/>
      </c>
      <c r="AA378" t="str">
        <f t="shared" si="85"/>
        <v/>
      </c>
      <c r="AB378" s="64" t="str">
        <f t="shared" si="86"/>
        <v/>
      </c>
    </row>
    <row r="379" spans="1:28" x14ac:dyDescent="0.35">
      <c r="A379">
        <f>'Procurement Schedule'!R497</f>
        <v>0</v>
      </c>
      <c r="B379" s="63">
        <f>'Procurement Schedule'!M497</f>
        <v>0</v>
      </c>
      <c r="C379">
        <f t="shared" si="87"/>
        <v>1</v>
      </c>
      <c r="D379">
        <f t="shared" si="89"/>
        <v>1900</v>
      </c>
      <c r="E379" t="str">
        <f t="shared" si="90"/>
        <v>1_1900</v>
      </c>
      <c r="G379">
        <f t="shared" si="91"/>
        <v>0</v>
      </c>
      <c r="H379" s="63">
        <f>'Procurement Schedule'!N497</f>
        <v>0</v>
      </c>
      <c r="I379">
        <f t="shared" si="88"/>
        <v>1</v>
      </c>
      <c r="J379">
        <f t="shared" si="92"/>
        <v>1900</v>
      </c>
      <c r="K379" t="str">
        <f t="shared" si="93"/>
        <v>1_1900</v>
      </c>
      <c r="S379" t="str">
        <f t="shared" si="84"/>
        <v/>
      </c>
      <c r="T379" s="64" t="str">
        <f t="shared" si="83"/>
        <v/>
      </c>
      <c r="AA379" t="str">
        <f t="shared" si="85"/>
        <v/>
      </c>
      <c r="AB379" s="64" t="str">
        <f t="shared" si="86"/>
        <v/>
      </c>
    </row>
    <row r="380" spans="1:28" x14ac:dyDescent="0.35">
      <c r="A380">
        <f>'Procurement Schedule'!R498</f>
        <v>0</v>
      </c>
      <c r="B380" s="63">
        <f>'Procurement Schedule'!M498</f>
        <v>0</v>
      </c>
      <c r="C380">
        <f t="shared" si="87"/>
        <v>1</v>
      </c>
      <c r="D380">
        <f t="shared" si="89"/>
        <v>1900</v>
      </c>
      <c r="E380" t="str">
        <f t="shared" si="90"/>
        <v>1_1900</v>
      </c>
      <c r="G380">
        <f t="shared" si="91"/>
        <v>0</v>
      </c>
      <c r="H380" s="63">
        <f>'Procurement Schedule'!N498</f>
        <v>0</v>
      </c>
      <c r="I380">
        <f t="shared" si="88"/>
        <v>1</v>
      </c>
      <c r="J380">
        <f t="shared" si="92"/>
        <v>1900</v>
      </c>
      <c r="K380" t="str">
        <f t="shared" si="93"/>
        <v>1_1900</v>
      </c>
      <c r="S380" t="str">
        <f t="shared" si="84"/>
        <v/>
      </c>
      <c r="T380" s="64" t="str">
        <f t="shared" si="83"/>
        <v/>
      </c>
      <c r="AA380" t="str">
        <f t="shared" si="85"/>
        <v/>
      </c>
      <c r="AB380" s="64" t="str">
        <f t="shared" si="86"/>
        <v/>
      </c>
    </row>
    <row r="381" spans="1:28" x14ac:dyDescent="0.35">
      <c r="A381">
        <f>'Procurement Schedule'!R499</f>
        <v>0</v>
      </c>
      <c r="B381" s="63">
        <f>'Procurement Schedule'!M499</f>
        <v>0</v>
      </c>
      <c r="C381">
        <f t="shared" si="87"/>
        <v>1</v>
      </c>
      <c r="D381">
        <f t="shared" si="89"/>
        <v>1900</v>
      </c>
      <c r="E381" t="str">
        <f t="shared" si="90"/>
        <v>1_1900</v>
      </c>
      <c r="G381">
        <f t="shared" si="91"/>
        <v>0</v>
      </c>
      <c r="H381" s="63">
        <f>'Procurement Schedule'!N499</f>
        <v>0</v>
      </c>
      <c r="I381">
        <f t="shared" si="88"/>
        <v>1</v>
      </c>
      <c r="J381">
        <f t="shared" si="92"/>
        <v>1900</v>
      </c>
      <c r="K381" t="str">
        <f t="shared" si="93"/>
        <v>1_1900</v>
      </c>
      <c r="S381" t="str">
        <f t="shared" si="84"/>
        <v/>
      </c>
      <c r="T381" s="64" t="str">
        <f t="shared" si="83"/>
        <v/>
      </c>
      <c r="AA381" t="str">
        <f t="shared" si="85"/>
        <v/>
      </c>
      <c r="AB381" s="64" t="str">
        <f t="shared" si="86"/>
        <v/>
      </c>
    </row>
    <row r="382" spans="1:28" x14ac:dyDescent="0.35">
      <c r="A382">
        <f>'Procurement Schedule'!R500</f>
        <v>0</v>
      </c>
      <c r="B382" s="63">
        <f>'Procurement Schedule'!M500</f>
        <v>0</v>
      </c>
      <c r="C382">
        <f t="shared" si="87"/>
        <v>1</v>
      </c>
      <c r="D382">
        <f t="shared" si="89"/>
        <v>1900</v>
      </c>
      <c r="E382" t="str">
        <f t="shared" si="90"/>
        <v>1_1900</v>
      </c>
      <c r="G382">
        <f t="shared" si="91"/>
        <v>0</v>
      </c>
      <c r="H382" s="63">
        <f>'Procurement Schedule'!N500</f>
        <v>0</v>
      </c>
      <c r="I382">
        <f t="shared" si="88"/>
        <v>1</v>
      </c>
      <c r="J382">
        <f t="shared" si="92"/>
        <v>1900</v>
      </c>
      <c r="K382" t="str">
        <f t="shared" si="93"/>
        <v>1_1900</v>
      </c>
      <c r="S382" t="str">
        <f t="shared" si="84"/>
        <v/>
      </c>
      <c r="T382" s="64" t="str">
        <f t="shared" si="83"/>
        <v/>
      </c>
      <c r="AA382" t="str">
        <f t="shared" si="85"/>
        <v/>
      </c>
      <c r="AB382" s="64" t="str">
        <f t="shared" si="86"/>
        <v/>
      </c>
    </row>
    <row r="383" spans="1:28" x14ac:dyDescent="0.35">
      <c r="A383">
        <f>'Procurement Schedule'!R501</f>
        <v>0</v>
      </c>
      <c r="B383" s="63">
        <f>'Procurement Schedule'!M501</f>
        <v>0</v>
      </c>
      <c r="C383">
        <f t="shared" si="87"/>
        <v>1</v>
      </c>
      <c r="D383">
        <f t="shared" si="89"/>
        <v>1900</v>
      </c>
      <c r="E383" t="str">
        <f t="shared" si="90"/>
        <v>1_1900</v>
      </c>
      <c r="G383">
        <f t="shared" si="91"/>
        <v>0</v>
      </c>
      <c r="H383" s="63">
        <f>'Procurement Schedule'!N501</f>
        <v>0</v>
      </c>
      <c r="I383">
        <f t="shared" si="88"/>
        <v>1</v>
      </c>
      <c r="J383">
        <f t="shared" si="92"/>
        <v>1900</v>
      </c>
      <c r="K383" t="str">
        <f t="shared" si="93"/>
        <v>1_1900</v>
      </c>
      <c r="S383" t="str">
        <f t="shared" si="84"/>
        <v/>
      </c>
      <c r="T383" s="64" t="str">
        <f t="shared" si="83"/>
        <v/>
      </c>
      <c r="AA383" t="str">
        <f t="shared" si="85"/>
        <v/>
      </c>
      <c r="AB383" s="64" t="str">
        <f t="shared" si="86"/>
        <v/>
      </c>
    </row>
    <row r="384" spans="1:28" x14ac:dyDescent="0.35">
      <c r="A384">
        <f>'Procurement Schedule'!R502</f>
        <v>0</v>
      </c>
      <c r="B384" s="63">
        <f>'Procurement Schedule'!M502</f>
        <v>0</v>
      </c>
      <c r="C384">
        <f t="shared" si="87"/>
        <v>1</v>
      </c>
      <c r="D384">
        <f t="shared" si="89"/>
        <v>1900</v>
      </c>
      <c r="E384" t="str">
        <f t="shared" si="90"/>
        <v>1_1900</v>
      </c>
      <c r="G384">
        <f t="shared" si="91"/>
        <v>0</v>
      </c>
      <c r="H384" s="63">
        <f>'Procurement Schedule'!N502</f>
        <v>0</v>
      </c>
      <c r="I384">
        <f t="shared" si="88"/>
        <v>1</v>
      </c>
      <c r="J384">
        <f t="shared" si="92"/>
        <v>1900</v>
      </c>
      <c r="K384" t="str">
        <f t="shared" si="93"/>
        <v>1_1900</v>
      </c>
      <c r="S384" t="str">
        <f t="shared" si="84"/>
        <v/>
      </c>
      <c r="T384" s="64" t="str">
        <f t="shared" si="83"/>
        <v/>
      </c>
      <c r="AA384" t="str">
        <f t="shared" si="85"/>
        <v/>
      </c>
      <c r="AB384" s="64" t="str">
        <f t="shared" si="86"/>
        <v/>
      </c>
    </row>
    <row r="385" spans="1:28" x14ac:dyDescent="0.35">
      <c r="A385">
        <f>'Procurement Schedule'!R503</f>
        <v>0</v>
      </c>
      <c r="B385" s="63">
        <f>'Procurement Schedule'!M503</f>
        <v>0</v>
      </c>
      <c r="C385">
        <f t="shared" si="87"/>
        <v>1</v>
      </c>
      <c r="D385">
        <f t="shared" si="89"/>
        <v>1900</v>
      </c>
      <c r="E385" t="str">
        <f t="shared" si="90"/>
        <v>1_1900</v>
      </c>
      <c r="G385">
        <f t="shared" si="91"/>
        <v>0</v>
      </c>
      <c r="H385" s="63">
        <f>'Procurement Schedule'!N503</f>
        <v>0</v>
      </c>
      <c r="I385">
        <f t="shared" si="88"/>
        <v>1</v>
      </c>
      <c r="J385">
        <f t="shared" si="92"/>
        <v>1900</v>
      </c>
      <c r="K385" t="str">
        <f t="shared" si="93"/>
        <v>1_1900</v>
      </c>
      <c r="S385" t="str">
        <f t="shared" si="84"/>
        <v/>
      </c>
      <c r="T385" s="64" t="str">
        <f t="shared" si="83"/>
        <v/>
      </c>
      <c r="AA385" t="str">
        <f t="shared" si="85"/>
        <v/>
      </c>
      <c r="AB385" s="64" t="str">
        <f t="shared" si="86"/>
        <v/>
      </c>
    </row>
    <row r="386" spans="1:28" x14ac:dyDescent="0.35">
      <c r="A386">
        <f>'Procurement Schedule'!R504</f>
        <v>0</v>
      </c>
      <c r="B386" s="63">
        <f>'Procurement Schedule'!M504</f>
        <v>0</v>
      </c>
      <c r="C386">
        <f t="shared" si="87"/>
        <v>1</v>
      </c>
      <c r="D386">
        <f t="shared" si="89"/>
        <v>1900</v>
      </c>
      <c r="E386" t="str">
        <f t="shared" si="90"/>
        <v>1_1900</v>
      </c>
      <c r="G386">
        <f t="shared" si="91"/>
        <v>0</v>
      </c>
      <c r="H386" s="63">
        <f>'Procurement Schedule'!N504</f>
        <v>0</v>
      </c>
      <c r="I386">
        <f t="shared" si="88"/>
        <v>1</v>
      </c>
      <c r="J386">
        <f t="shared" si="92"/>
        <v>1900</v>
      </c>
      <c r="K386" t="str">
        <f t="shared" si="93"/>
        <v>1_1900</v>
      </c>
      <c r="S386" t="str">
        <f t="shared" si="84"/>
        <v/>
      </c>
      <c r="T386" s="64" t="str">
        <f t="shared" si="83"/>
        <v/>
      </c>
      <c r="AA386" t="str">
        <f t="shared" si="85"/>
        <v/>
      </c>
      <c r="AB386" s="64" t="str">
        <f t="shared" si="86"/>
        <v/>
      </c>
    </row>
    <row r="387" spans="1:28" x14ac:dyDescent="0.35">
      <c r="A387">
        <f>'Procurement Schedule'!R505</f>
        <v>0</v>
      </c>
      <c r="B387" s="63">
        <f>'Procurement Schedule'!M505</f>
        <v>0</v>
      </c>
      <c r="C387">
        <f t="shared" si="87"/>
        <v>1</v>
      </c>
      <c r="D387">
        <f t="shared" si="89"/>
        <v>1900</v>
      </c>
      <c r="E387" t="str">
        <f t="shared" si="90"/>
        <v>1_1900</v>
      </c>
      <c r="G387">
        <f t="shared" si="91"/>
        <v>0</v>
      </c>
      <c r="H387" s="63">
        <f>'Procurement Schedule'!N505</f>
        <v>0</v>
      </c>
      <c r="I387">
        <f t="shared" si="88"/>
        <v>1</v>
      </c>
      <c r="J387">
        <f t="shared" si="92"/>
        <v>1900</v>
      </c>
      <c r="K387" t="str">
        <f t="shared" si="93"/>
        <v>1_1900</v>
      </c>
      <c r="S387" t="str">
        <f t="shared" si="84"/>
        <v/>
      </c>
      <c r="T387" s="64" t="str">
        <f t="shared" si="83"/>
        <v/>
      </c>
      <c r="AA387" t="str">
        <f t="shared" si="85"/>
        <v/>
      </c>
      <c r="AB387" s="64" t="str">
        <f t="shared" si="86"/>
        <v/>
      </c>
    </row>
    <row r="388" spans="1:28" x14ac:dyDescent="0.35">
      <c r="A388">
        <f>'Procurement Schedule'!R506</f>
        <v>0</v>
      </c>
      <c r="B388" s="63">
        <f>'Procurement Schedule'!M506</f>
        <v>0</v>
      </c>
      <c r="C388">
        <f t="shared" si="87"/>
        <v>1</v>
      </c>
      <c r="D388">
        <f t="shared" si="89"/>
        <v>1900</v>
      </c>
      <c r="E388" t="str">
        <f t="shared" si="90"/>
        <v>1_1900</v>
      </c>
      <c r="G388">
        <f t="shared" si="91"/>
        <v>0</v>
      </c>
      <c r="H388" s="63">
        <f>'Procurement Schedule'!N506</f>
        <v>0</v>
      </c>
      <c r="I388">
        <f t="shared" si="88"/>
        <v>1</v>
      </c>
      <c r="J388">
        <f t="shared" si="92"/>
        <v>1900</v>
      </c>
      <c r="K388" t="str">
        <f t="shared" si="93"/>
        <v>1_1900</v>
      </c>
      <c r="S388" t="str">
        <f t="shared" si="84"/>
        <v/>
      </c>
      <c r="T388" s="64" t="str">
        <f t="shared" si="83"/>
        <v/>
      </c>
      <c r="AA388" t="str">
        <f t="shared" si="85"/>
        <v/>
      </c>
      <c r="AB388" s="64" t="str">
        <f t="shared" si="86"/>
        <v/>
      </c>
    </row>
    <row r="389" spans="1:28" x14ac:dyDescent="0.35">
      <c r="A389">
        <f>'Procurement Schedule'!R507</f>
        <v>0</v>
      </c>
      <c r="B389" s="63">
        <f>'Procurement Schedule'!M507</f>
        <v>0</v>
      </c>
      <c r="C389">
        <f t="shared" si="87"/>
        <v>1</v>
      </c>
      <c r="D389">
        <f t="shared" si="89"/>
        <v>1900</v>
      </c>
      <c r="E389" t="str">
        <f t="shared" si="90"/>
        <v>1_1900</v>
      </c>
      <c r="G389">
        <f t="shared" si="91"/>
        <v>0</v>
      </c>
      <c r="H389" s="63">
        <f>'Procurement Schedule'!N507</f>
        <v>0</v>
      </c>
      <c r="I389">
        <f t="shared" si="88"/>
        <v>1</v>
      </c>
      <c r="J389">
        <f t="shared" si="92"/>
        <v>1900</v>
      </c>
      <c r="K389" t="str">
        <f t="shared" si="93"/>
        <v>1_1900</v>
      </c>
      <c r="S389" t="str">
        <f t="shared" si="84"/>
        <v/>
      </c>
      <c r="T389" s="64" t="str">
        <f t="shared" ref="T389:T452" si="94">IFERROR(VLOOKUP(Q389,AD:AE,2,0),"")</f>
        <v/>
      </c>
      <c r="AA389" t="str">
        <f t="shared" si="85"/>
        <v/>
      </c>
      <c r="AB389" s="64" t="str">
        <f t="shared" si="86"/>
        <v/>
      </c>
    </row>
    <row r="390" spans="1:28" x14ac:dyDescent="0.35">
      <c r="A390">
        <f>'Procurement Schedule'!R508</f>
        <v>0</v>
      </c>
      <c r="B390" s="63">
        <f>'Procurement Schedule'!M508</f>
        <v>0</v>
      </c>
      <c r="C390">
        <f t="shared" si="87"/>
        <v>1</v>
      </c>
      <c r="D390">
        <f t="shared" si="89"/>
        <v>1900</v>
      </c>
      <c r="E390" t="str">
        <f t="shared" si="90"/>
        <v>1_1900</v>
      </c>
      <c r="G390">
        <f t="shared" si="91"/>
        <v>0</v>
      </c>
      <c r="H390" s="63">
        <f>'Procurement Schedule'!N508</f>
        <v>0</v>
      </c>
      <c r="I390">
        <f t="shared" si="88"/>
        <v>1</v>
      </c>
      <c r="J390">
        <f t="shared" si="92"/>
        <v>1900</v>
      </c>
      <c r="K390" t="str">
        <f t="shared" si="93"/>
        <v>1_1900</v>
      </c>
      <c r="S390" t="str">
        <f t="shared" si="84"/>
        <v/>
      </c>
      <c r="T390" s="64" t="str">
        <f t="shared" si="94"/>
        <v/>
      </c>
      <c r="AA390" t="str">
        <f t="shared" si="85"/>
        <v/>
      </c>
      <c r="AB390" s="64" t="str">
        <f t="shared" si="86"/>
        <v/>
      </c>
    </row>
    <row r="391" spans="1:28" x14ac:dyDescent="0.35">
      <c r="A391">
        <f>'Procurement Schedule'!R509</f>
        <v>0</v>
      </c>
      <c r="B391" s="63">
        <f>'Procurement Schedule'!M509</f>
        <v>0</v>
      </c>
      <c r="C391">
        <f t="shared" si="87"/>
        <v>1</v>
      </c>
      <c r="D391">
        <f t="shared" si="89"/>
        <v>1900</v>
      </c>
      <c r="E391" t="str">
        <f t="shared" si="90"/>
        <v>1_1900</v>
      </c>
      <c r="G391">
        <f t="shared" si="91"/>
        <v>0</v>
      </c>
      <c r="H391" s="63">
        <f>'Procurement Schedule'!N509</f>
        <v>0</v>
      </c>
      <c r="I391">
        <f t="shared" si="88"/>
        <v>1</v>
      </c>
      <c r="J391">
        <f t="shared" si="92"/>
        <v>1900</v>
      </c>
      <c r="K391" t="str">
        <f t="shared" si="93"/>
        <v>1_1900</v>
      </c>
      <c r="S391" t="str">
        <f t="shared" si="84"/>
        <v/>
      </c>
      <c r="T391" s="64" t="str">
        <f t="shared" si="94"/>
        <v/>
      </c>
      <c r="AA391" t="str">
        <f t="shared" si="85"/>
        <v/>
      </c>
      <c r="AB391" s="64" t="str">
        <f t="shared" si="86"/>
        <v/>
      </c>
    </row>
    <row r="392" spans="1:28" x14ac:dyDescent="0.35">
      <c r="A392">
        <f>'Procurement Schedule'!R510</f>
        <v>0</v>
      </c>
      <c r="B392" s="63">
        <f>'Procurement Schedule'!M510</f>
        <v>0</v>
      </c>
      <c r="C392">
        <f t="shared" si="87"/>
        <v>1</v>
      </c>
      <c r="D392">
        <f t="shared" si="89"/>
        <v>1900</v>
      </c>
      <c r="E392" t="str">
        <f t="shared" si="90"/>
        <v>1_1900</v>
      </c>
      <c r="G392">
        <f t="shared" si="91"/>
        <v>0</v>
      </c>
      <c r="H392" s="63">
        <f>'Procurement Schedule'!N510</f>
        <v>0</v>
      </c>
      <c r="I392">
        <f t="shared" si="88"/>
        <v>1</v>
      </c>
      <c r="J392">
        <f t="shared" si="92"/>
        <v>1900</v>
      </c>
      <c r="K392" t="str">
        <f t="shared" si="93"/>
        <v>1_1900</v>
      </c>
      <c r="S392" t="str">
        <f t="shared" si="84"/>
        <v/>
      </c>
      <c r="T392" s="64" t="str">
        <f t="shared" si="94"/>
        <v/>
      </c>
      <c r="AA392" t="str">
        <f t="shared" si="85"/>
        <v/>
      </c>
      <c r="AB392" s="64" t="str">
        <f t="shared" si="86"/>
        <v/>
      </c>
    </row>
    <row r="393" spans="1:28" x14ac:dyDescent="0.35">
      <c r="A393">
        <f>'Procurement Schedule'!R511</f>
        <v>0</v>
      </c>
      <c r="B393" s="63">
        <f>'Procurement Schedule'!M511</f>
        <v>0</v>
      </c>
      <c r="C393">
        <f t="shared" si="87"/>
        <v>1</v>
      </c>
      <c r="D393">
        <f t="shared" si="89"/>
        <v>1900</v>
      </c>
      <c r="E393" t="str">
        <f t="shared" si="90"/>
        <v>1_1900</v>
      </c>
      <c r="G393">
        <f t="shared" si="91"/>
        <v>0</v>
      </c>
      <c r="H393" s="63">
        <f>'Procurement Schedule'!N511</f>
        <v>0</v>
      </c>
      <c r="I393">
        <f t="shared" si="88"/>
        <v>1</v>
      </c>
      <c r="J393">
        <f t="shared" si="92"/>
        <v>1900</v>
      </c>
      <c r="K393" t="str">
        <f t="shared" si="93"/>
        <v>1_1900</v>
      </c>
      <c r="S393" t="str">
        <f t="shared" ref="S393:S456" si="95">IF(R393="","",S392+R393)</f>
        <v/>
      </c>
      <c r="T393" s="64" t="str">
        <f t="shared" si="94"/>
        <v/>
      </c>
      <c r="AA393" t="str">
        <f t="shared" si="85"/>
        <v/>
      </c>
      <c r="AB393" s="64" t="str">
        <f t="shared" si="86"/>
        <v/>
      </c>
    </row>
    <row r="394" spans="1:28" x14ac:dyDescent="0.35">
      <c r="A394">
        <f>'Procurement Schedule'!R512</f>
        <v>0</v>
      </c>
      <c r="B394" s="63">
        <f>'Procurement Schedule'!M512</f>
        <v>0</v>
      </c>
      <c r="C394">
        <f t="shared" si="87"/>
        <v>1</v>
      </c>
      <c r="D394">
        <f t="shared" si="89"/>
        <v>1900</v>
      </c>
      <c r="E394" t="str">
        <f t="shared" si="90"/>
        <v>1_1900</v>
      </c>
      <c r="G394">
        <f t="shared" si="91"/>
        <v>0</v>
      </c>
      <c r="H394" s="63">
        <f>'Procurement Schedule'!N512</f>
        <v>0</v>
      </c>
      <c r="I394">
        <f t="shared" si="88"/>
        <v>1</v>
      </c>
      <c r="J394">
        <f t="shared" si="92"/>
        <v>1900</v>
      </c>
      <c r="K394" t="str">
        <f t="shared" si="93"/>
        <v>1_1900</v>
      </c>
      <c r="S394" t="str">
        <f t="shared" si="95"/>
        <v/>
      </c>
      <c r="T394" s="64" t="str">
        <f t="shared" si="94"/>
        <v/>
      </c>
      <c r="AA394" t="str">
        <f t="shared" ref="AA394:AA457" si="96">IF(Z394="","",AA393+Z394)</f>
        <v/>
      </c>
      <c r="AB394" s="64" t="str">
        <f t="shared" ref="AB394:AB457" si="97">IFERROR(VLOOKUP(Y394,AD:AE,2,0),"")</f>
        <v/>
      </c>
    </row>
    <row r="395" spans="1:28" x14ac:dyDescent="0.35">
      <c r="A395">
        <f>'Procurement Schedule'!R513</f>
        <v>0</v>
      </c>
      <c r="B395" s="63">
        <f>'Procurement Schedule'!M513</f>
        <v>0</v>
      </c>
      <c r="C395">
        <f t="shared" si="87"/>
        <v>1</v>
      </c>
      <c r="D395">
        <f t="shared" si="89"/>
        <v>1900</v>
      </c>
      <c r="E395" t="str">
        <f t="shared" si="90"/>
        <v>1_1900</v>
      </c>
      <c r="G395">
        <f t="shared" si="91"/>
        <v>0</v>
      </c>
      <c r="H395" s="63">
        <f>'Procurement Schedule'!N513</f>
        <v>0</v>
      </c>
      <c r="I395">
        <f t="shared" si="88"/>
        <v>1</v>
      </c>
      <c r="J395">
        <f t="shared" si="92"/>
        <v>1900</v>
      </c>
      <c r="K395" t="str">
        <f t="shared" si="93"/>
        <v>1_1900</v>
      </c>
      <c r="S395" t="str">
        <f t="shared" si="95"/>
        <v/>
      </c>
      <c r="T395" s="64" t="str">
        <f t="shared" si="94"/>
        <v/>
      </c>
      <c r="AA395" t="str">
        <f t="shared" si="96"/>
        <v/>
      </c>
      <c r="AB395" s="64" t="str">
        <f t="shared" si="97"/>
        <v/>
      </c>
    </row>
    <row r="396" spans="1:28" x14ac:dyDescent="0.35">
      <c r="A396">
        <f>'Procurement Schedule'!R514</f>
        <v>0</v>
      </c>
      <c r="B396" s="63">
        <f>'Procurement Schedule'!M514</f>
        <v>0</v>
      </c>
      <c r="C396">
        <f t="shared" si="87"/>
        <v>1</v>
      </c>
      <c r="D396">
        <f t="shared" si="89"/>
        <v>1900</v>
      </c>
      <c r="E396" t="str">
        <f t="shared" si="90"/>
        <v>1_1900</v>
      </c>
      <c r="G396">
        <f t="shared" si="91"/>
        <v>0</v>
      </c>
      <c r="H396" s="63">
        <f>'Procurement Schedule'!N514</f>
        <v>0</v>
      </c>
      <c r="I396">
        <f t="shared" si="88"/>
        <v>1</v>
      </c>
      <c r="J396">
        <f t="shared" si="92"/>
        <v>1900</v>
      </c>
      <c r="K396" t="str">
        <f t="shared" si="93"/>
        <v>1_1900</v>
      </c>
      <c r="S396" t="str">
        <f t="shared" si="95"/>
        <v/>
      </c>
      <c r="T396" s="64" t="str">
        <f t="shared" si="94"/>
        <v/>
      </c>
      <c r="AA396" t="str">
        <f t="shared" si="96"/>
        <v/>
      </c>
      <c r="AB396" s="64" t="str">
        <f t="shared" si="97"/>
        <v/>
      </c>
    </row>
    <row r="397" spans="1:28" x14ac:dyDescent="0.35">
      <c r="A397">
        <f>'Procurement Schedule'!R515</f>
        <v>0</v>
      </c>
      <c r="B397" s="63">
        <f>'Procurement Schedule'!M515</f>
        <v>0</v>
      </c>
      <c r="C397">
        <f t="shared" si="87"/>
        <v>1</v>
      </c>
      <c r="D397">
        <f t="shared" si="89"/>
        <v>1900</v>
      </c>
      <c r="E397" t="str">
        <f t="shared" si="90"/>
        <v>1_1900</v>
      </c>
      <c r="G397">
        <f t="shared" si="91"/>
        <v>0</v>
      </c>
      <c r="H397" s="63">
        <f>'Procurement Schedule'!N515</f>
        <v>0</v>
      </c>
      <c r="I397">
        <f t="shared" si="88"/>
        <v>1</v>
      </c>
      <c r="J397">
        <f t="shared" si="92"/>
        <v>1900</v>
      </c>
      <c r="K397" t="str">
        <f t="shared" si="93"/>
        <v>1_1900</v>
      </c>
      <c r="S397" t="str">
        <f t="shared" si="95"/>
        <v/>
      </c>
      <c r="T397" s="64" t="str">
        <f t="shared" si="94"/>
        <v/>
      </c>
      <c r="AA397" t="str">
        <f t="shared" si="96"/>
        <v/>
      </c>
      <c r="AB397" s="64" t="str">
        <f t="shared" si="97"/>
        <v/>
      </c>
    </row>
    <row r="398" spans="1:28" x14ac:dyDescent="0.35">
      <c r="A398">
        <f>'Procurement Schedule'!R516</f>
        <v>0</v>
      </c>
      <c r="B398" s="63">
        <f>'Procurement Schedule'!M516</f>
        <v>0</v>
      </c>
      <c r="C398">
        <f t="shared" si="87"/>
        <v>1</v>
      </c>
      <c r="D398">
        <f t="shared" si="89"/>
        <v>1900</v>
      </c>
      <c r="E398" t="str">
        <f t="shared" si="90"/>
        <v>1_1900</v>
      </c>
      <c r="G398">
        <f t="shared" si="91"/>
        <v>0</v>
      </c>
      <c r="H398" s="63">
        <f>'Procurement Schedule'!N516</f>
        <v>0</v>
      </c>
      <c r="I398">
        <f t="shared" si="88"/>
        <v>1</v>
      </c>
      <c r="J398">
        <f t="shared" si="92"/>
        <v>1900</v>
      </c>
      <c r="K398" t="str">
        <f t="shared" si="93"/>
        <v>1_1900</v>
      </c>
      <c r="S398" t="str">
        <f t="shared" si="95"/>
        <v/>
      </c>
      <c r="T398" s="64" t="str">
        <f t="shared" si="94"/>
        <v/>
      </c>
      <c r="AA398" t="str">
        <f t="shared" si="96"/>
        <v/>
      </c>
      <c r="AB398" s="64" t="str">
        <f t="shared" si="97"/>
        <v/>
      </c>
    </row>
    <row r="399" spans="1:28" x14ac:dyDescent="0.35">
      <c r="A399">
        <f>'Procurement Schedule'!R517</f>
        <v>0</v>
      </c>
      <c r="B399" s="63">
        <f>'Procurement Schedule'!M517</f>
        <v>0</v>
      </c>
      <c r="C399">
        <f t="shared" si="87"/>
        <v>1</v>
      </c>
      <c r="D399">
        <f t="shared" si="89"/>
        <v>1900</v>
      </c>
      <c r="E399" t="str">
        <f t="shared" si="90"/>
        <v>1_1900</v>
      </c>
      <c r="G399">
        <f t="shared" si="91"/>
        <v>0</v>
      </c>
      <c r="H399" s="63">
        <f>'Procurement Schedule'!N517</f>
        <v>0</v>
      </c>
      <c r="I399">
        <f t="shared" si="88"/>
        <v>1</v>
      </c>
      <c r="J399">
        <f t="shared" si="92"/>
        <v>1900</v>
      </c>
      <c r="K399" t="str">
        <f t="shared" si="93"/>
        <v>1_1900</v>
      </c>
      <c r="S399" t="str">
        <f t="shared" si="95"/>
        <v/>
      </c>
      <c r="T399" s="64" t="str">
        <f t="shared" si="94"/>
        <v/>
      </c>
      <c r="AA399" t="str">
        <f t="shared" si="96"/>
        <v/>
      </c>
      <c r="AB399" s="64" t="str">
        <f t="shared" si="97"/>
        <v/>
      </c>
    </row>
    <row r="400" spans="1:28" x14ac:dyDescent="0.35">
      <c r="A400">
        <f>'Procurement Schedule'!R518</f>
        <v>0</v>
      </c>
      <c r="B400" s="63">
        <f>'Procurement Schedule'!M518</f>
        <v>0</v>
      </c>
      <c r="C400">
        <f t="shared" si="87"/>
        <v>1</v>
      </c>
      <c r="D400">
        <f t="shared" si="89"/>
        <v>1900</v>
      </c>
      <c r="E400" t="str">
        <f t="shared" si="90"/>
        <v>1_1900</v>
      </c>
      <c r="G400">
        <f t="shared" si="91"/>
        <v>0</v>
      </c>
      <c r="H400" s="63">
        <f>'Procurement Schedule'!N518</f>
        <v>0</v>
      </c>
      <c r="I400">
        <f t="shared" si="88"/>
        <v>1</v>
      </c>
      <c r="J400">
        <f t="shared" si="92"/>
        <v>1900</v>
      </c>
      <c r="K400" t="str">
        <f t="shared" si="93"/>
        <v>1_1900</v>
      </c>
      <c r="S400" t="str">
        <f t="shared" si="95"/>
        <v/>
      </c>
      <c r="T400" s="64" t="str">
        <f t="shared" si="94"/>
        <v/>
      </c>
      <c r="AA400" t="str">
        <f t="shared" si="96"/>
        <v/>
      </c>
      <c r="AB400" s="64" t="str">
        <f t="shared" si="97"/>
        <v/>
      </c>
    </row>
    <row r="401" spans="1:28" x14ac:dyDescent="0.35">
      <c r="A401">
        <f>'Procurement Schedule'!R519</f>
        <v>0</v>
      </c>
      <c r="B401" s="63">
        <f>'Procurement Schedule'!M519</f>
        <v>0</v>
      </c>
      <c r="C401">
        <f t="shared" si="87"/>
        <v>1</v>
      </c>
      <c r="D401">
        <f t="shared" si="89"/>
        <v>1900</v>
      </c>
      <c r="E401" t="str">
        <f t="shared" si="90"/>
        <v>1_1900</v>
      </c>
      <c r="G401">
        <f t="shared" si="91"/>
        <v>0</v>
      </c>
      <c r="H401" s="63">
        <f>'Procurement Schedule'!N519</f>
        <v>0</v>
      </c>
      <c r="I401">
        <f t="shared" si="88"/>
        <v>1</v>
      </c>
      <c r="J401">
        <f t="shared" si="92"/>
        <v>1900</v>
      </c>
      <c r="K401" t="str">
        <f t="shared" si="93"/>
        <v>1_1900</v>
      </c>
      <c r="S401" t="str">
        <f t="shared" si="95"/>
        <v/>
      </c>
      <c r="T401" s="64" t="str">
        <f t="shared" si="94"/>
        <v/>
      </c>
      <c r="AA401" t="str">
        <f t="shared" si="96"/>
        <v/>
      </c>
      <c r="AB401" s="64" t="str">
        <f t="shared" si="97"/>
        <v/>
      </c>
    </row>
    <row r="402" spans="1:28" x14ac:dyDescent="0.35">
      <c r="A402">
        <f>'Procurement Schedule'!R520</f>
        <v>0</v>
      </c>
      <c r="B402" s="63">
        <f>'Procurement Schedule'!M520</f>
        <v>0</v>
      </c>
      <c r="C402">
        <f t="shared" si="87"/>
        <v>1</v>
      </c>
      <c r="D402">
        <f t="shared" si="89"/>
        <v>1900</v>
      </c>
      <c r="E402" t="str">
        <f t="shared" si="90"/>
        <v>1_1900</v>
      </c>
      <c r="G402">
        <f t="shared" si="91"/>
        <v>0</v>
      </c>
      <c r="H402" s="63">
        <f>'Procurement Schedule'!N520</f>
        <v>0</v>
      </c>
      <c r="I402">
        <f t="shared" si="88"/>
        <v>1</v>
      </c>
      <c r="J402">
        <f t="shared" si="92"/>
        <v>1900</v>
      </c>
      <c r="K402" t="str">
        <f t="shared" si="93"/>
        <v>1_1900</v>
      </c>
      <c r="S402" t="str">
        <f t="shared" si="95"/>
        <v/>
      </c>
      <c r="T402" s="64" t="str">
        <f t="shared" si="94"/>
        <v/>
      </c>
      <c r="AA402" t="str">
        <f t="shared" si="96"/>
        <v/>
      </c>
      <c r="AB402" s="64" t="str">
        <f t="shared" si="97"/>
        <v/>
      </c>
    </row>
    <row r="403" spans="1:28" x14ac:dyDescent="0.35">
      <c r="A403">
        <f>'Procurement Schedule'!R521</f>
        <v>0</v>
      </c>
      <c r="B403" s="63">
        <f>'Procurement Schedule'!M521</f>
        <v>0</v>
      </c>
      <c r="C403">
        <f t="shared" ref="C403:C466" si="98">MONTH(B403)</f>
        <v>1</v>
      </c>
      <c r="D403">
        <f t="shared" si="89"/>
        <v>1900</v>
      </c>
      <c r="E403" t="str">
        <f t="shared" si="90"/>
        <v>1_1900</v>
      </c>
      <c r="G403">
        <f t="shared" si="91"/>
        <v>0</v>
      </c>
      <c r="H403" s="63">
        <f>'Procurement Schedule'!N521</f>
        <v>0</v>
      </c>
      <c r="I403">
        <f t="shared" si="88"/>
        <v>1</v>
      </c>
      <c r="J403">
        <f t="shared" si="92"/>
        <v>1900</v>
      </c>
      <c r="K403" t="str">
        <f t="shared" si="93"/>
        <v>1_1900</v>
      </c>
      <c r="S403" t="str">
        <f t="shared" si="95"/>
        <v/>
      </c>
      <c r="T403" s="64" t="str">
        <f t="shared" si="94"/>
        <v/>
      </c>
      <c r="AA403" t="str">
        <f t="shared" si="96"/>
        <v/>
      </c>
      <c r="AB403" s="64" t="str">
        <f t="shared" si="97"/>
        <v/>
      </c>
    </row>
    <row r="404" spans="1:28" x14ac:dyDescent="0.35">
      <c r="A404">
        <f>'Procurement Schedule'!R522</f>
        <v>0</v>
      </c>
      <c r="B404" s="63">
        <f>'Procurement Schedule'!M522</f>
        <v>0</v>
      </c>
      <c r="C404">
        <f t="shared" si="98"/>
        <v>1</v>
      </c>
      <c r="D404">
        <f t="shared" si="89"/>
        <v>1900</v>
      </c>
      <c r="E404" t="str">
        <f t="shared" si="90"/>
        <v>1_1900</v>
      </c>
      <c r="G404">
        <f t="shared" si="91"/>
        <v>0</v>
      </c>
      <c r="H404" s="63">
        <f>'Procurement Schedule'!N522</f>
        <v>0</v>
      </c>
      <c r="I404">
        <f t="shared" ref="I404:I467" si="99">MONTH(H404)</f>
        <v>1</v>
      </c>
      <c r="J404">
        <f t="shared" si="92"/>
        <v>1900</v>
      </c>
      <c r="K404" t="str">
        <f t="shared" si="93"/>
        <v>1_1900</v>
      </c>
      <c r="S404" t="str">
        <f t="shared" si="95"/>
        <v/>
      </c>
      <c r="T404" s="64" t="str">
        <f t="shared" si="94"/>
        <v/>
      </c>
      <c r="AA404" t="str">
        <f t="shared" si="96"/>
        <v/>
      </c>
      <c r="AB404" s="64" t="str">
        <f t="shared" si="97"/>
        <v/>
      </c>
    </row>
    <row r="405" spans="1:28" x14ac:dyDescent="0.35">
      <c r="A405">
        <f>'Procurement Schedule'!R523</f>
        <v>0</v>
      </c>
      <c r="B405" s="63">
        <f>'Procurement Schedule'!M523</f>
        <v>0</v>
      </c>
      <c r="C405">
        <f t="shared" si="98"/>
        <v>1</v>
      </c>
      <c r="D405">
        <f t="shared" si="89"/>
        <v>1900</v>
      </c>
      <c r="E405" t="str">
        <f t="shared" si="90"/>
        <v>1_1900</v>
      </c>
      <c r="G405">
        <f t="shared" si="91"/>
        <v>0</v>
      </c>
      <c r="H405" s="63">
        <f>'Procurement Schedule'!N523</f>
        <v>0</v>
      </c>
      <c r="I405">
        <f t="shared" si="99"/>
        <v>1</v>
      </c>
      <c r="J405">
        <f t="shared" si="92"/>
        <v>1900</v>
      </c>
      <c r="K405" t="str">
        <f t="shared" si="93"/>
        <v>1_1900</v>
      </c>
      <c r="S405" t="str">
        <f t="shared" si="95"/>
        <v/>
      </c>
      <c r="T405" s="64" t="str">
        <f t="shared" si="94"/>
        <v/>
      </c>
      <c r="AA405" t="str">
        <f t="shared" si="96"/>
        <v/>
      </c>
      <c r="AB405" s="64" t="str">
        <f t="shared" si="97"/>
        <v/>
      </c>
    </row>
    <row r="406" spans="1:28" x14ac:dyDescent="0.35">
      <c r="A406">
        <f>'Procurement Schedule'!R524</f>
        <v>0</v>
      </c>
      <c r="B406" s="63">
        <f>'Procurement Schedule'!M524</f>
        <v>0</v>
      </c>
      <c r="C406">
        <f t="shared" si="98"/>
        <v>1</v>
      </c>
      <c r="D406">
        <f t="shared" si="89"/>
        <v>1900</v>
      </c>
      <c r="E406" t="str">
        <f t="shared" si="90"/>
        <v>1_1900</v>
      </c>
      <c r="G406">
        <f t="shared" si="91"/>
        <v>0</v>
      </c>
      <c r="H406" s="63">
        <f>'Procurement Schedule'!N524</f>
        <v>0</v>
      </c>
      <c r="I406">
        <f t="shared" si="99"/>
        <v>1</v>
      </c>
      <c r="J406">
        <f t="shared" si="92"/>
        <v>1900</v>
      </c>
      <c r="K406" t="str">
        <f t="shared" si="93"/>
        <v>1_1900</v>
      </c>
      <c r="S406" t="str">
        <f t="shared" si="95"/>
        <v/>
      </c>
      <c r="T406" s="64" t="str">
        <f t="shared" si="94"/>
        <v/>
      </c>
      <c r="AA406" t="str">
        <f t="shared" si="96"/>
        <v/>
      </c>
      <c r="AB406" s="64" t="str">
        <f t="shared" si="97"/>
        <v/>
      </c>
    </row>
    <row r="407" spans="1:28" x14ac:dyDescent="0.35">
      <c r="A407">
        <f>'Procurement Schedule'!R525</f>
        <v>0</v>
      </c>
      <c r="B407" s="63">
        <f>'Procurement Schedule'!M525</f>
        <v>0</v>
      </c>
      <c r="C407">
        <f t="shared" si="98"/>
        <v>1</v>
      </c>
      <c r="D407">
        <f t="shared" si="89"/>
        <v>1900</v>
      </c>
      <c r="E407" t="str">
        <f t="shared" si="90"/>
        <v>1_1900</v>
      </c>
      <c r="G407">
        <f t="shared" si="91"/>
        <v>0</v>
      </c>
      <c r="H407" s="63">
        <f>'Procurement Schedule'!N525</f>
        <v>0</v>
      </c>
      <c r="I407">
        <f t="shared" si="99"/>
        <v>1</v>
      </c>
      <c r="J407">
        <f t="shared" si="92"/>
        <v>1900</v>
      </c>
      <c r="K407" t="str">
        <f t="shared" si="93"/>
        <v>1_1900</v>
      </c>
      <c r="S407" t="str">
        <f t="shared" si="95"/>
        <v/>
      </c>
      <c r="T407" s="64" t="str">
        <f t="shared" si="94"/>
        <v/>
      </c>
      <c r="AA407" t="str">
        <f t="shared" si="96"/>
        <v/>
      </c>
      <c r="AB407" s="64" t="str">
        <f t="shared" si="97"/>
        <v/>
      </c>
    </row>
    <row r="408" spans="1:28" x14ac:dyDescent="0.35">
      <c r="A408">
        <f>'Procurement Schedule'!R526</f>
        <v>0</v>
      </c>
      <c r="B408" s="63">
        <f>'Procurement Schedule'!M526</f>
        <v>0</v>
      </c>
      <c r="C408">
        <f t="shared" si="98"/>
        <v>1</v>
      </c>
      <c r="D408">
        <f t="shared" si="89"/>
        <v>1900</v>
      </c>
      <c r="E408" t="str">
        <f t="shared" si="90"/>
        <v>1_1900</v>
      </c>
      <c r="G408">
        <f t="shared" si="91"/>
        <v>0</v>
      </c>
      <c r="H408" s="63">
        <f>'Procurement Schedule'!N526</f>
        <v>0</v>
      </c>
      <c r="I408">
        <f t="shared" si="99"/>
        <v>1</v>
      </c>
      <c r="J408">
        <f t="shared" si="92"/>
        <v>1900</v>
      </c>
      <c r="K408" t="str">
        <f t="shared" si="93"/>
        <v>1_1900</v>
      </c>
      <c r="S408" t="str">
        <f t="shared" si="95"/>
        <v/>
      </c>
      <c r="T408" s="64" t="str">
        <f t="shared" si="94"/>
        <v/>
      </c>
      <c r="AA408" t="str">
        <f t="shared" si="96"/>
        <v/>
      </c>
      <c r="AB408" s="64" t="str">
        <f t="shared" si="97"/>
        <v/>
      </c>
    </row>
    <row r="409" spans="1:28" x14ac:dyDescent="0.35">
      <c r="A409">
        <f>'Procurement Schedule'!R527</f>
        <v>0</v>
      </c>
      <c r="B409" s="63">
        <f>'Procurement Schedule'!M527</f>
        <v>0</v>
      </c>
      <c r="C409">
        <f t="shared" si="98"/>
        <v>1</v>
      </c>
      <c r="D409">
        <f t="shared" si="89"/>
        <v>1900</v>
      </c>
      <c r="E409" t="str">
        <f t="shared" si="90"/>
        <v>1_1900</v>
      </c>
      <c r="G409">
        <f t="shared" si="91"/>
        <v>0</v>
      </c>
      <c r="H409" s="63">
        <f>'Procurement Schedule'!N527</f>
        <v>0</v>
      </c>
      <c r="I409">
        <f t="shared" si="99"/>
        <v>1</v>
      </c>
      <c r="J409">
        <f t="shared" si="92"/>
        <v>1900</v>
      </c>
      <c r="K409" t="str">
        <f t="shared" si="93"/>
        <v>1_1900</v>
      </c>
      <c r="S409" t="str">
        <f t="shared" si="95"/>
        <v/>
      </c>
      <c r="T409" s="64" t="str">
        <f t="shared" si="94"/>
        <v/>
      </c>
      <c r="AA409" t="str">
        <f t="shared" si="96"/>
        <v/>
      </c>
      <c r="AB409" s="64" t="str">
        <f t="shared" si="97"/>
        <v/>
      </c>
    </row>
    <row r="410" spans="1:28" x14ac:dyDescent="0.35">
      <c r="A410">
        <f>'Procurement Schedule'!R528</f>
        <v>0</v>
      </c>
      <c r="B410" s="63">
        <f>'Procurement Schedule'!M528</f>
        <v>0</v>
      </c>
      <c r="C410">
        <f t="shared" si="98"/>
        <v>1</v>
      </c>
      <c r="D410">
        <f t="shared" si="89"/>
        <v>1900</v>
      </c>
      <c r="E410" t="str">
        <f t="shared" si="90"/>
        <v>1_1900</v>
      </c>
      <c r="G410">
        <f t="shared" si="91"/>
        <v>0</v>
      </c>
      <c r="H410" s="63">
        <f>'Procurement Schedule'!N528</f>
        <v>0</v>
      </c>
      <c r="I410">
        <f t="shared" si="99"/>
        <v>1</v>
      </c>
      <c r="J410">
        <f t="shared" si="92"/>
        <v>1900</v>
      </c>
      <c r="K410" t="str">
        <f t="shared" si="93"/>
        <v>1_1900</v>
      </c>
      <c r="S410" t="str">
        <f t="shared" si="95"/>
        <v/>
      </c>
      <c r="T410" s="64" t="str">
        <f t="shared" si="94"/>
        <v/>
      </c>
      <c r="AA410" t="str">
        <f t="shared" si="96"/>
        <v/>
      </c>
      <c r="AB410" s="64" t="str">
        <f t="shared" si="97"/>
        <v/>
      </c>
    </row>
    <row r="411" spans="1:28" x14ac:dyDescent="0.35">
      <c r="A411">
        <f>'Procurement Schedule'!R529</f>
        <v>0</v>
      </c>
      <c r="B411" s="63">
        <f>'Procurement Schedule'!M529</f>
        <v>0</v>
      </c>
      <c r="C411">
        <f t="shared" si="98"/>
        <v>1</v>
      </c>
      <c r="D411">
        <f t="shared" si="89"/>
        <v>1900</v>
      </c>
      <c r="E411" t="str">
        <f t="shared" si="90"/>
        <v>1_1900</v>
      </c>
      <c r="G411">
        <f t="shared" si="91"/>
        <v>0</v>
      </c>
      <c r="H411" s="63">
        <f>'Procurement Schedule'!N529</f>
        <v>0</v>
      </c>
      <c r="I411">
        <f t="shared" si="99"/>
        <v>1</v>
      </c>
      <c r="J411">
        <f t="shared" si="92"/>
        <v>1900</v>
      </c>
      <c r="K411" t="str">
        <f t="shared" si="93"/>
        <v>1_1900</v>
      </c>
      <c r="S411" t="str">
        <f t="shared" si="95"/>
        <v/>
      </c>
      <c r="T411" s="64" t="str">
        <f t="shared" si="94"/>
        <v/>
      </c>
      <c r="AA411" t="str">
        <f t="shared" si="96"/>
        <v/>
      </c>
      <c r="AB411" s="64" t="str">
        <f t="shared" si="97"/>
        <v/>
      </c>
    </row>
    <row r="412" spans="1:28" x14ac:dyDescent="0.35">
      <c r="A412">
        <f>'Procurement Schedule'!R530</f>
        <v>0</v>
      </c>
      <c r="B412" s="63">
        <f>'Procurement Schedule'!M530</f>
        <v>0</v>
      </c>
      <c r="C412">
        <f t="shared" si="98"/>
        <v>1</v>
      </c>
      <c r="D412">
        <f t="shared" si="89"/>
        <v>1900</v>
      </c>
      <c r="E412" t="str">
        <f t="shared" si="90"/>
        <v>1_1900</v>
      </c>
      <c r="G412">
        <f t="shared" si="91"/>
        <v>0</v>
      </c>
      <c r="H412" s="63">
        <f>'Procurement Schedule'!N530</f>
        <v>0</v>
      </c>
      <c r="I412">
        <f t="shared" si="99"/>
        <v>1</v>
      </c>
      <c r="J412">
        <f t="shared" si="92"/>
        <v>1900</v>
      </c>
      <c r="K412" t="str">
        <f t="shared" si="93"/>
        <v>1_1900</v>
      </c>
      <c r="S412" t="str">
        <f t="shared" si="95"/>
        <v/>
      </c>
      <c r="T412" s="64" t="str">
        <f t="shared" si="94"/>
        <v/>
      </c>
      <c r="AA412" t="str">
        <f t="shared" si="96"/>
        <v/>
      </c>
      <c r="AB412" s="64" t="str">
        <f t="shared" si="97"/>
        <v/>
      </c>
    </row>
    <row r="413" spans="1:28" x14ac:dyDescent="0.35">
      <c r="A413">
        <f>'Procurement Schedule'!R531</f>
        <v>0</v>
      </c>
      <c r="B413" s="63">
        <f>'Procurement Schedule'!M531</f>
        <v>0</v>
      </c>
      <c r="C413">
        <f t="shared" si="98"/>
        <v>1</v>
      </c>
      <c r="D413">
        <f t="shared" si="89"/>
        <v>1900</v>
      </c>
      <c r="E413" t="str">
        <f t="shared" si="90"/>
        <v>1_1900</v>
      </c>
      <c r="G413">
        <f t="shared" si="91"/>
        <v>0</v>
      </c>
      <c r="H413" s="63">
        <f>'Procurement Schedule'!N531</f>
        <v>0</v>
      </c>
      <c r="I413">
        <f t="shared" si="99"/>
        <v>1</v>
      </c>
      <c r="J413">
        <f t="shared" si="92"/>
        <v>1900</v>
      </c>
      <c r="K413" t="str">
        <f t="shared" si="93"/>
        <v>1_1900</v>
      </c>
      <c r="S413" t="str">
        <f t="shared" si="95"/>
        <v/>
      </c>
      <c r="T413" s="64" t="str">
        <f t="shared" si="94"/>
        <v/>
      </c>
      <c r="AA413" t="str">
        <f t="shared" si="96"/>
        <v/>
      </c>
      <c r="AB413" s="64" t="str">
        <f t="shared" si="97"/>
        <v/>
      </c>
    </row>
    <row r="414" spans="1:28" x14ac:dyDescent="0.35">
      <c r="A414">
        <f>'Procurement Schedule'!R532</f>
        <v>0</v>
      </c>
      <c r="B414" s="63">
        <f>'Procurement Schedule'!M532</f>
        <v>0</v>
      </c>
      <c r="C414">
        <f t="shared" si="98"/>
        <v>1</v>
      </c>
      <c r="D414">
        <f t="shared" si="89"/>
        <v>1900</v>
      </c>
      <c r="E414" t="str">
        <f t="shared" si="90"/>
        <v>1_1900</v>
      </c>
      <c r="G414">
        <f t="shared" si="91"/>
        <v>0</v>
      </c>
      <c r="H414" s="63">
        <f>'Procurement Schedule'!N532</f>
        <v>0</v>
      </c>
      <c r="I414">
        <f t="shared" si="99"/>
        <v>1</v>
      </c>
      <c r="J414">
        <f t="shared" si="92"/>
        <v>1900</v>
      </c>
      <c r="K414" t="str">
        <f t="shared" si="93"/>
        <v>1_1900</v>
      </c>
      <c r="S414" t="str">
        <f t="shared" si="95"/>
        <v/>
      </c>
      <c r="T414" s="64" t="str">
        <f t="shared" si="94"/>
        <v/>
      </c>
      <c r="AA414" t="str">
        <f t="shared" si="96"/>
        <v/>
      </c>
      <c r="AB414" s="64" t="str">
        <f t="shared" si="97"/>
        <v/>
      </c>
    </row>
    <row r="415" spans="1:28" x14ac:dyDescent="0.35">
      <c r="A415">
        <f>'Procurement Schedule'!R533</f>
        <v>0</v>
      </c>
      <c r="B415" s="63">
        <f>'Procurement Schedule'!M533</f>
        <v>0</v>
      </c>
      <c r="C415">
        <f t="shared" si="98"/>
        <v>1</v>
      </c>
      <c r="D415">
        <f t="shared" si="89"/>
        <v>1900</v>
      </c>
      <c r="E415" t="str">
        <f t="shared" si="90"/>
        <v>1_1900</v>
      </c>
      <c r="G415">
        <f t="shared" si="91"/>
        <v>0</v>
      </c>
      <c r="H415" s="63">
        <f>'Procurement Schedule'!N533</f>
        <v>0</v>
      </c>
      <c r="I415">
        <f t="shared" si="99"/>
        <v>1</v>
      </c>
      <c r="J415">
        <f t="shared" si="92"/>
        <v>1900</v>
      </c>
      <c r="K415" t="str">
        <f t="shared" si="93"/>
        <v>1_1900</v>
      </c>
      <c r="S415" t="str">
        <f t="shared" si="95"/>
        <v/>
      </c>
      <c r="T415" s="64" t="str">
        <f t="shared" si="94"/>
        <v/>
      </c>
      <c r="AA415" t="str">
        <f t="shared" si="96"/>
        <v/>
      </c>
      <c r="AB415" s="64" t="str">
        <f t="shared" si="97"/>
        <v/>
      </c>
    </row>
    <row r="416" spans="1:28" x14ac:dyDescent="0.35">
      <c r="A416">
        <f>'Procurement Schedule'!R534</f>
        <v>0</v>
      </c>
      <c r="B416" s="63">
        <f>'Procurement Schedule'!M534</f>
        <v>0</v>
      </c>
      <c r="C416">
        <f t="shared" si="98"/>
        <v>1</v>
      </c>
      <c r="D416">
        <f t="shared" si="89"/>
        <v>1900</v>
      </c>
      <c r="E416" t="str">
        <f t="shared" si="90"/>
        <v>1_1900</v>
      </c>
      <c r="G416">
        <f t="shared" si="91"/>
        <v>0</v>
      </c>
      <c r="H416" s="63">
        <f>'Procurement Schedule'!N534</f>
        <v>0</v>
      </c>
      <c r="I416">
        <f t="shared" si="99"/>
        <v>1</v>
      </c>
      <c r="J416">
        <f t="shared" si="92"/>
        <v>1900</v>
      </c>
      <c r="K416" t="str">
        <f t="shared" si="93"/>
        <v>1_1900</v>
      </c>
      <c r="S416" t="str">
        <f t="shared" si="95"/>
        <v/>
      </c>
      <c r="T416" s="64" t="str">
        <f t="shared" si="94"/>
        <v/>
      </c>
      <c r="AA416" t="str">
        <f t="shared" si="96"/>
        <v/>
      </c>
      <c r="AB416" s="64" t="str">
        <f t="shared" si="97"/>
        <v/>
      </c>
    </row>
    <row r="417" spans="1:28" x14ac:dyDescent="0.35">
      <c r="A417">
        <f>'Procurement Schedule'!R535</f>
        <v>0</v>
      </c>
      <c r="B417" s="63">
        <f>'Procurement Schedule'!M535</f>
        <v>0</v>
      </c>
      <c r="C417">
        <f t="shared" si="98"/>
        <v>1</v>
      </c>
      <c r="D417">
        <f t="shared" si="89"/>
        <v>1900</v>
      </c>
      <c r="E417" t="str">
        <f t="shared" si="90"/>
        <v>1_1900</v>
      </c>
      <c r="G417">
        <f t="shared" si="91"/>
        <v>0</v>
      </c>
      <c r="H417" s="63">
        <f>'Procurement Schedule'!N535</f>
        <v>0</v>
      </c>
      <c r="I417">
        <f t="shared" si="99"/>
        <v>1</v>
      </c>
      <c r="J417">
        <f t="shared" si="92"/>
        <v>1900</v>
      </c>
      <c r="K417" t="str">
        <f t="shared" si="93"/>
        <v>1_1900</v>
      </c>
      <c r="S417" t="str">
        <f t="shared" si="95"/>
        <v/>
      </c>
      <c r="T417" s="64" t="str">
        <f t="shared" si="94"/>
        <v/>
      </c>
      <c r="AA417" t="str">
        <f t="shared" si="96"/>
        <v/>
      </c>
      <c r="AB417" s="64" t="str">
        <f t="shared" si="97"/>
        <v/>
      </c>
    </row>
    <row r="418" spans="1:28" x14ac:dyDescent="0.35">
      <c r="A418">
        <f>'Procurement Schedule'!R536</f>
        <v>0</v>
      </c>
      <c r="B418" s="63">
        <f>'Procurement Schedule'!M536</f>
        <v>0</v>
      </c>
      <c r="C418">
        <f t="shared" si="98"/>
        <v>1</v>
      </c>
      <c r="D418">
        <f t="shared" si="89"/>
        <v>1900</v>
      </c>
      <c r="E418" t="str">
        <f t="shared" si="90"/>
        <v>1_1900</v>
      </c>
      <c r="G418">
        <f t="shared" si="91"/>
        <v>0</v>
      </c>
      <c r="H418" s="63">
        <f>'Procurement Schedule'!N536</f>
        <v>0</v>
      </c>
      <c r="I418">
        <f t="shared" si="99"/>
        <v>1</v>
      </c>
      <c r="J418">
        <f t="shared" si="92"/>
        <v>1900</v>
      </c>
      <c r="K418" t="str">
        <f t="shared" si="93"/>
        <v>1_1900</v>
      </c>
      <c r="S418" t="str">
        <f t="shared" si="95"/>
        <v/>
      </c>
      <c r="T418" s="64" t="str">
        <f t="shared" si="94"/>
        <v/>
      </c>
      <c r="AA418" t="str">
        <f t="shared" si="96"/>
        <v/>
      </c>
      <c r="AB418" s="64" t="str">
        <f t="shared" si="97"/>
        <v/>
      </c>
    </row>
    <row r="419" spans="1:28" x14ac:dyDescent="0.35">
      <c r="A419">
        <f>'Procurement Schedule'!R537</f>
        <v>0</v>
      </c>
      <c r="B419" s="63">
        <f>'Procurement Schedule'!M537</f>
        <v>0</v>
      </c>
      <c r="C419">
        <f t="shared" si="98"/>
        <v>1</v>
      </c>
      <c r="D419">
        <f t="shared" si="89"/>
        <v>1900</v>
      </c>
      <c r="E419" t="str">
        <f t="shared" si="90"/>
        <v>1_1900</v>
      </c>
      <c r="G419">
        <f t="shared" si="91"/>
        <v>0</v>
      </c>
      <c r="H419" s="63">
        <f>'Procurement Schedule'!N537</f>
        <v>0</v>
      </c>
      <c r="I419">
        <f t="shared" si="99"/>
        <v>1</v>
      </c>
      <c r="J419">
        <f t="shared" si="92"/>
        <v>1900</v>
      </c>
      <c r="K419" t="str">
        <f t="shared" si="93"/>
        <v>1_1900</v>
      </c>
      <c r="S419" t="str">
        <f t="shared" si="95"/>
        <v/>
      </c>
      <c r="T419" s="64" t="str">
        <f t="shared" si="94"/>
        <v/>
      </c>
      <c r="AA419" t="str">
        <f t="shared" si="96"/>
        <v/>
      </c>
      <c r="AB419" s="64" t="str">
        <f t="shared" si="97"/>
        <v/>
      </c>
    </row>
    <row r="420" spans="1:28" x14ac:dyDescent="0.35">
      <c r="A420">
        <f>'Procurement Schedule'!R538</f>
        <v>0</v>
      </c>
      <c r="B420" s="63">
        <f>'Procurement Schedule'!M538</f>
        <v>0</v>
      </c>
      <c r="C420">
        <f t="shared" si="98"/>
        <v>1</v>
      </c>
      <c r="D420">
        <f t="shared" si="89"/>
        <v>1900</v>
      </c>
      <c r="E420" t="str">
        <f t="shared" si="90"/>
        <v>1_1900</v>
      </c>
      <c r="G420">
        <f t="shared" si="91"/>
        <v>0</v>
      </c>
      <c r="H420" s="63">
        <f>'Procurement Schedule'!N538</f>
        <v>0</v>
      </c>
      <c r="I420">
        <f t="shared" si="99"/>
        <v>1</v>
      </c>
      <c r="J420">
        <f t="shared" si="92"/>
        <v>1900</v>
      </c>
      <c r="K420" t="str">
        <f t="shared" si="93"/>
        <v>1_1900</v>
      </c>
      <c r="S420" t="str">
        <f t="shared" si="95"/>
        <v/>
      </c>
      <c r="T420" s="64" t="str">
        <f t="shared" si="94"/>
        <v/>
      </c>
      <c r="AA420" t="str">
        <f t="shared" si="96"/>
        <v/>
      </c>
      <c r="AB420" s="64" t="str">
        <f t="shared" si="97"/>
        <v/>
      </c>
    </row>
    <row r="421" spans="1:28" x14ac:dyDescent="0.35">
      <c r="A421">
        <f>'Procurement Schedule'!R539</f>
        <v>0</v>
      </c>
      <c r="B421" s="63">
        <f>'Procurement Schedule'!M539</f>
        <v>0</v>
      </c>
      <c r="C421">
        <f t="shared" si="98"/>
        <v>1</v>
      </c>
      <c r="D421">
        <f t="shared" si="89"/>
        <v>1900</v>
      </c>
      <c r="E421" t="str">
        <f t="shared" si="90"/>
        <v>1_1900</v>
      </c>
      <c r="G421">
        <f t="shared" si="91"/>
        <v>0</v>
      </c>
      <c r="H421" s="63">
        <f>'Procurement Schedule'!N539</f>
        <v>0</v>
      </c>
      <c r="I421">
        <f t="shared" si="99"/>
        <v>1</v>
      </c>
      <c r="J421">
        <f t="shared" si="92"/>
        <v>1900</v>
      </c>
      <c r="K421" t="str">
        <f t="shared" si="93"/>
        <v>1_1900</v>
      </c>
      <c r="S421" t="str">
        <f t="shared" si="95"/>
        <v/>
      </c>
      <c r="T421" s="64" t="str">
        <f t="shared" si="94"/>
        <v/>
      </c>
      <c r="AA421" t="str">
        <f t="shared" si="96"/>
        <v/>
      </c>
      <c r="AB421" s="64" t="str">
        <f t="shared" si="97"/>
        <v/>
      </c>
    </row>
    <row r="422" spans="1:28" x14ac:dyDescent="0.35">
      <c r="A422">
        <f>'Procurement Schedule'!R540</f>
        <v>0</v>
      </c>
      <c r="B422" s="63">
        <f>'Procurement Schedule'!M540</f>
        <v>0</v>
      </c>
      <c r="C422">
        <f t="shared" si="98"/>
        <v>1</v>
      </c>
      <c r="D422">
        <f t="shared" si="89"/>
        <v>1900</v>
      </c>
      <c r="E422" t="str">
        <f t="shared" si="90"/>
        <v>1_1900</v>
      </c>
      <c r="G422">
        <f t="shared" si="91"/>
        <v>0</v>
      </c>
      <c r="H422" s="63">
        <f>'Procurement Schedule'!N540</f>
        <v>0</v>
      </c>
      <c r="I422">
        <f t="shared" si="99"/>
        <v>1</v>
      </c>
      <c r="J422">
        <f t="shared" si="92"/>
        <v>1900</v>
      </c>
      <c r="K422" t="str">
        <f t="shared" si="93"/>
        <v>1_1900</v>
      </c>
      <c r="S422" t="str">
        <f t="shared" si="95"/>
        <v/>
      </c>
      <c r="T422" s="64" t="str">
        <f t="shared" si="94"/>
        <v/>
      </c>
      <c r="AA422" t="str">
        <f t="shared" si="96"/>
        <v/>
      </c>
      <c r="AB422" s="64" t="str">
        <f t="shared" si="97"/>
        <v/>
      </c>
    </row>
    <row r="423" spans="1:28" x14ac:dyDescent="0.35">
      <c r="A423">
        <f>'Procurement Schedule'!R541</f>
        <v>0</v>
      </c>
      <c r="B423" s="63">
        <f>'Procurement Schedule'!M541</f>
        <v>0</v>
      </c>
      <c r="C423">
        <f t="shared" si="98"/>
        <v>1</v>
      </c>
      <c r="D423">
        <f t="shared" si="89"/>
        <v>1900</v>
      </c>
      <c r="E423" t="str">
        <f t="shared" si="90"/>
        <v>1_1900</v>
      </c>
      <c r="G423">
        <f t="shared" si="91"/>
        <v>0</v>
      </c>
      <c r="H423" s="63">
        <f>'Procurement Schedule'!N541</f>
        <v>0</v>
      </c>
      <c r="I423">
        <f t="shared" si="99"/>
        <v>1</v>
      </c>
      <c r="J423">
        <f t="shared" si="92"/>
        <v>1900</v>
      </c>
      <c r="K423" t="str">
        <f t="shared" si="93"/>
        <v>1_1900</v>
      </c>
      <c r="S423" t="str">
        <f t="shared" si="95"/>
        <v/>
      </c>
      <c r="T423" s="64" t="str">
        <f t="shared" si="94"/>
        <v/>
      </c>
      <c r="AA423" t="str">
        <f t="shared" si="96"/>
        <v/>
      </c>
      <c r="AB423" s="64" t="str">
        <f t="shared" si="97"/>
        <v/>
      </c>
    </row>
    <row r="424" spans="1:28" x14ac:dyDescent="0.35">
      <c r="A424">
        <f>'Procurement Schedule'!R542</f>
        <v>0</v>
      </c>
      <c r="B424" s="63">
        <f>'Procurement Schedule'!M542</f>
        <v>0</v>
      </c>
      <c r="C424">
        <f t="shared" si="98"/>
        <v>1</v>
      </c>
      <c r="D424">
        <f t="shared" si="89"/>
        <v>1900</v>
      </c>
      <c r="E424" t="str">
        <f t="shared" si="90"/>
        <v>1_1900</v>
      </c>
      <c r="G424">
        <f t="shared" si="91"/>
        <v>0</v>
      </c>
      <c r="H424" s="63">
        <f>'Procurement Schedule'!N542</f>
        <v>0</v>
      </c>
      <c r="I424">
        <f t="shared" si="99"/>
        <v>1</v>
      </c>
      <c r="J424">
        <f t="shared" si="92"/>
        <v>1900</v>
      </c>
      <c r="K424" t="str">
        <f t="shared" si="93"/>
        <v>1_1900</v>
      </c>
      <c r="S424" t="str">
        <f t="shared" si="95"/>
        <v/>
      </c>
      <c r="T424" s="64" t="str">
        <f t="shared" si="94"/>
        <v/>
      </c>
      <c r="AA424" t="str">
        <f t="shared" si="96"/>
        <v/>
      </c>
      <c r="AB424" s="64" t="str">
        <f t="shared" si="97"/>
        <v/>
      </c>
    </row>
    <row r="425" spans="1:28" x14ac:dyDescent="0.35">
      <c r="A425">
        <f>'Procurement Schedule'!R543</f>
        <v>0</v>
      </c>
      <c r="B425" s="63">
        <f>'Procurement Schedule'!M543</f>
        <v>0</v>
      </c>
      <c r="C425">
        <f t="shared" si="98"/>
        <v>1</v>
      </c>
      <c r="D425">
        <f t="shared" si="89"/>
        <v>1900</v>
      </c>
      <c r="E425" t="str">
        <f t="shared" si="90"/>
        <v>1_1900</v>
      </c>
      <c r="G425">
        <f t="shared" si="91"/>
        <v>0</v>
      </c>
      <c r="H425" s="63">
        <f>'Procurement Schedule'!N543</f>
        <v>0</v>
      </c>
      <c r="I425">
        <f t="shared" si="99"/>
        <v>1</v>
      </c>
      <c r="J425">
        <f t="shared" si="92"/>
        <v>1900</v>
      </c>
      <c r="K425" t="str">
        <f t="shared" si="93"/>
        <v>1_1900</v>
      </c>
      <c r="S425" t="str">
        <f t="shared" si="95"/>
        <v/>
      </c>
      <c r="T425" s="64" t="str">
        <f t="shared" si="94"/>
        <v/>
      </c>
      <c r="AA425" t="str">
        <f t="shared" si="96"/>
        <v/>
      </c>
      <c r="AB425" s="64" t="str">
        <f t="shared" si="97"/>
        <v/>
      </c>
    </row>
    <row r="426" spans="1:28" x14ac:dyDescent="0.35">
      <c r="A426">
        <f>'Procurement Schedule'!R544</f>
        <v>0</v>
      </c>
      <c r="B426" s="63">
        <f>'Procurement Schedule'!M544</f>
        <v>0</v>
      </c>
      <c r="C426">
        <f t="shared" si="98"/>
        <v>1</v>
      </c>
      <c r="D426">
        <f t="shared" si="89"/>
        <v>1900</v>
      </c>
      <c r="E426" t="str">
        <f t="shared" si="90"/>
        <v>1_1900</v>
      </c>
      <c r="G426">
        <f t="shared" si="91"/>
        <v>0</v>
      </c>
      <c r="H426" s="63">
        <f>'Procurement Schedule'!N544</f>
        <v>0</v>
      </c>
      <c r="I426">
        <f t="shared" si="99"/>
        <v>1</v>
      </c>
      <c r="J426">
        <f t="shared" si="92"/>
        <v>1900</v>
      </c>
      <c r="K426" t="str">
        <f t="shared" si="93"/>
        <v>1_1900</v>
      </c>
      <c r="S426" t="str">
        <f t="shared" si="95"/>
        <v/>
      </c>
      <c r="T426" s="64" t="str">
        <f t="shared" si="94"/>
        <v/>
      </c>
      <c r="AA426" t="str">
        <f t="shared" si="96"/>
        <v/>
      </c>
      <c r="AB426" s="64" t="str">
        <f t="shared" si="97"/>
        <v/>
      </c>
    </row>
    <row r="427" spans="1:28" x14ac:dyDescent="0.35">
      <c r="A427">
        <f>'Procurement Schedule'!R545</f>
        <v>0</v>
      </c>
      <c r="B427" s="63">
        <f>'Procurement Schedule'!M545</f>
        <v>0</v>
      </c>
      <c r="C427">
        <f t="shared" si="98"/>
        <v>1</v>
      </c>
      <c r="D427">
        <f t="shared" si="89"/>
        <v>1900</v>
      </c>
      <c r="E427" t="str">
        <f t="shared" si="90"/>
        <v>1_1900</v>
      </c>
      <c r="G427">
        <f t="shared" si="91"/>
        <v>0</v>
      </c>
      <c r="H427" s="63">
        <f>'Procurement Schedule'!N545</f>
        <v>0</v>
      </c>
      <c r="I427">
        <f t="shared" si="99"/>
        <v>1</v>
      </c>
      <c r="J427">
        <f t="shared" si="92"/>
        <v>1900</v>
      </c>
      <c r="K427" t="str">
        <f t="shared" si="93"/>
        <v>1_1900</v>
      </c>
      <c r="S427" t="str">
        <f t="shared" si="95"/>
        <v/>
      </c>
      <c r="T427" s="64" t="str">
        <f t="shared" si="94"/>
        <v/>
      </c>
      <c r="AA427" t="str">
        <f t="shared" si="96"/>
        <v/>
      </c>
      <c r="AB427" s="64" t="str">
        <f t="shared" si="97"/>
        <v/>
      </c>
    </row>
    <row r="428" spans="1:28" x14ac:dyDescent="0.35">
      <c r="A428">
        <f>'Procurement Schedule'!R546</f>
        <v>0</v>
      </c>
      <c r="B428" s="63">
        <f>'Procurement Schedule'!M546</f>
        <v>0</v>
      </c>
      <c r="C428">
        <f t="shared" si="98"/>
        <v>1</v>
      </c>
      <c r="D428">
        <f t="shared" si="89"/>
        <v>1900</v>
      </c>
      <c r="E428" t="str">
        <f t="shared" si="90"/>
        <v>1_1900</v>
      </c>
      <c r="G428">
        <f t="shared" si="91"/>
        <v>0</v>
      </c>
      <c r="H428" s="63">
        <f>'Procurement Schedule'!N546</f>
        <v>0</v>
      </c>
      <c r="I428">
        <f t="shared" si="99"/>
        <v>1</v>
      </c>
      <c r="J428">
        <f t="shared" si="92"/>
        <v>1900</v>
      </c>
      <c r="K428" t="str">
        <f t="shared" si="93"/>
        <v>1_1900</v>
      </c>
      <c r="S428" t="str">
        <f t="shared" si="95"/>
        <v/>
      </c>
      <c r="T428" s="64" t="str">
        <f t="shared" si="94"/>
        <v/>
      </c>
      <c r="AA428" t="str">
        <f t="shared" si="96"/>
        <v/>
      </c>
      <c r="AB428" s="64" t="str">
        <f t="shared" si="97"/>
        <v/>
      </c>
    </row>
    <row r="429" spans="1:28" x14ac:dyDescent="0.35">
      <c r="A429">
        <f>'Procurement Schedule'!R547</f>
        <v>0</v>
      </c>
      <c r="B429" s="63">
        <f>'Procurement Schedule'!M547</f>
        <v>0</v>
      </c>
      <c r="C429">
        <f t="shared" si="98"/>
        <v>1</v>
      </c>
      <c r="D429">
        <f t="shared" si="89"/>
        <v>1900</v>
      </c>
      <c r="E429" t="str">
        <f t="shared" si="90"/>
        <v>1_1900</v>
      </c>
      <c r="G429">
        <f t="shared" si="91"/>
        <v>0</v>
      </c>
      <c r="H429" s="63">
        <f>'Procurement Schedule'!N547</f>
        <v>0</v>
      </c>
      <c r="I429">
        <f t="shared" si="99"/>
        <v>1</v>
      </c>
      <c r="J429">
        <f t="shared" si="92"/>
        <v>1900</v>
      </c>
      <c r="K429" t="str">
        <f t="shared" si="93"/>
        <v>1_1900</v>
      </c>
      <c r="S429" t="str">
        <f t="shared" si="95"/>
        <v/>
      </c>
      <c r="T429" s="64" t="str">
        <f t="shared" si="94"/>
        <v/>
      </c>
      <c r="AA429" t="str">
        <f t="shared" si="96"/>
        <v/>
      </c>
      <c r="AB429" s="64" t="str">
        <f t="shared" si="97"/>
        <v/>
      </c>
    </row>
    <row r="430" spans="1:28" x14ac:dyDescent="0.35">
      <c r="A430">
        <f>'Procurement Schedule'!R548</f>
        <v>0</v>
      </c>
      <c r="B430" s="63">
        <f>'Procurement Schedule'!M548</f>
        <v>0</v>
      </c>
      <c r="C430">
        <f t="shared" si="98"/>
        <v>1</v>
      </c>
      <c r="D430">
        <f t="shared" si="89"/>
        <v>1900</v>
      </c>
      <c r="E430" t="str">
        <f t="shared" si="90"/>
        <v>1_1900</v>
      </c>
      <c r="G430">
        <f t="shared" si="91"/>
        <v>0</v>
      </c>
      <c r="H430" s="63">
        <f>'Procurement Schedule'!N548</f>
        <v>0</v>
      </c>
      <c r="I430">
        <f t="shared" si="99"/>
        <v>1</v>
      </c>
      <c r="J430">
        <f t="shared" si="92"/>
        <v>1900</v>
      </c>
      <c r="K430" t="str">
        <f t="shared" si="93"/>
        <v>1_1900</v>
      </c>
      <c r="S430" t="str">
        <f t="shared" si="95"/>
        <v/>
      </c>
      <c r="T430" s="64" t="str">
        <f t="shared" si="94"/>
        <v/>
      </c>
      <c r="AA430" t="str">
        <f t="shared" si="96"/>
        <v/>
      </c>
      <c r="AB430" s="64" t="str">
        <f t="shared" si="97"/>
        <v/>
      </c>
    </row>
    <row r="431" spans="1:28" x14ac:dyDescent="0.35">
      <c r="A431">
        <f>'Procurement Schedule'!R549</f>
        <v>0</v>
      </c>
      <c r="B431" s="63">
        <f>'Procurement Schedule'!M549</f>
        <v>0</v>
      </c>
      <c r="C431">
        <f t="shared" si="98"/>
        <v>1</v>
      </c>
      <c r="D431">
        <f t="shared" si="89"/>
        <v>1900</v>
      </c>
      <c r="E431" t="str">
        <f t="shared" si="90"/>
        <v>1_1900</v>
      </c>
      <c r="G431">
        <f t="shared" si="91"/>
        <v>0</v>
      </c>
      <c r="H431" s="63">
        <f>'Procurement Schedule'!N549</f>
        <v>0</v>
      </c>
      <c r="I431">
        <f t="shared" si="99"/>
        <v>1</v>
      </c>
      <c r="J431">
        <f t="shared" si="92"/>
        <v>1900</v>
      </c>
      <c r="K431" t="str">
        <f t="shared" si="93"/>
        <v>1_1900</v>
      </c>
      <c r="S431" t="str">
        <f t="shared" si="95"/>
        <v/>
      </c>
      <c r="T431" s="64" t="str">
        <f t="shared" si="94"/>
        <v/>
      </c>
      <c r="AA431" t="str">
        <f t="shared" si="96"/>
        <v/>
      </c>
      <c r="AB431" s="64" t="str">
        <f t="shared" si="97"/>
        <v/>
      </c>
    </row>
    <row r="432" spans="1:28" x14ac:dyDescent="0.35">
      <c r="A432">
        <f>'Procurement Schedule'!R550</f>
        <v>0</v>
      </c>
      <c r="B432" s="63">
        <f>'Procurement Schedule'!M550</f>
        <v>0</v>
      </c>
      <c r="C432">
        <f t="shared" si="98"/>
        <v>1</v>
      </c>
      <c r="D432">
        <f t="shared" si="89"/>
        <v>1900</v>
      </c>
      <c r="E432" t="str">
        <f t="shared" si="90"/>
        <v>1_1900</v>
      </c>
      <c r="G432">
        <f t="shared" si="91"/>
        <v>0</v>
      </c>
      <c r="H432" s="63">
        <f>'Procurement Schedule'!N550</f>
        <v>0</v>
      </c>
      <c r="I432">
        <f t="shared" si="99"/>
        <v>1</v>
      </c>
      <c r="J432">
        <f t="shared" si="92"/>
        <v>1900</v>
      </c>
      <c r="K432" t="str">
        <f t="shared" si="93"/>
        <v>1_1900</v>
      </c>
      <c r="S432" t="str">
        <f t="shared" si="95"/>
        <v/>
      </c>
      <c r="T432" s="64" t="str">
        <f t="shared" si="94"/>
        <v/>
      </c>
      <c r="AA432" t="str">
        <f t="shared" si="96"/>
        <v/>
      </c>
      <c r="AB432" s="64" t="str">
        <f t="shared" si="97"/>
        <v/>
      </c>
    </row>
    <row r="433" spans="1:28" x14ac:dyDescent="0.35">
      <c r="A433">
        <f>'Procurement Schedule'!R551</f>
        <v>0</v>
      </c>
      <c r="B433" s="63">
        <f>'Procurement Schedule'!M551</f>
        <v>0</v>
      </c>
      <c r="C433">
        <f t="shared" si="98"/>
        <v>1</v>
      </c>
      <c r="D433">
        <f t="shared" si="89"/>
        <v>1900</v>
      </c>
      <c r="E433" t="str">
        <f t="shared" si="90"/>
        <v>1_1900</v>
      </c>
      <c r="G433">
        <f t="shared" si="91"/>
        <v>0</v>
      </c>
      <c r="H433" s="63">
        <f>'Procurement Schedule'!N551</f>
        <v>0</v>
      </c>
      <c r="I433">
        <f t="shared" si="99"/>
        <v>1</v>
      </c>
      <c r="J433">
        <f t="shared" si="92"/>
        <v>1900</v>
      </c>
      <c r="K433" t="str">
        <f t="shared" si="93"/>
        <v>1_1900</v>
      </c>
      <c r="S433" t="str">
        <f t="shared" si="95"/>
        <v/>
      </c>
      <c r="T433" s="64" t="str">
        <f t="shared" si="94"/>
        <v/>
      </c>
      <c r="AA433" t="str">
        <f t="shared" si="96"/>
        <v/>
      </c>
      <c r="AB433" s="64" t="str">
        <f t="shared" si="97"/>
        <v/>
      </c>
    </row>
    <row r="434" spans="1:28" x14ac:dyDescent="0.35">
      <c r="A434">
        <f>'Procurement Schedule'!R552</f>
        <v>0</v>
      </c>
      <c r="B434" s="63">
        <f>'Procurement Schedule'!M552</f>
        <v>0</v>
      </c>
      <c r="C434">
        <f t="shared" si="98"/>
        <v>1</v>
      </c>
      <c r="D434">
        <f t="shared" si="89"/>
        <v>1900</v>
      </c>
      <c r="E434" t="str">
        <f t="shared" si="90"/>
        <v>1_1900</v>
      </c>
      <c r="G434">
        <f t="shared" si="91"/>
        <v>0</v>
      </c>
      <c r="H434" s="63">
        <f>'Procurement Schedule'!N552</f>
        <v>0</v>
      </c>
      <c r="I434">
        <f t="shared" si="99"/>
        <v>1</v>
      </c>
      <c r="J434">
        <f t="shared" si="92"/>
        <v>1900</v>
      </c>
      <c r="K434" t="str">
        <f t="shared" si="93"/>
        <v>1_1900</v>
      </c>
      <c r="S434" t="str">
        <f t="shared" si="95"/>
        <v/>
      </c>
      <c r="T434" s="64" t="str">
        <f t="shared" si="94"/>
        <v/>
      </c>
      <c r="AA434" t="str">
        <f t="shared" si="96"/>
        <v/>
      </c>
      <c r="AB434" s="64" t="str">
        <f t="shared" si="97"/>
        <v/>
      </c>
    </row>
    <row r="435" spans="1:28" x14ac:dyDescent="0.35">
      <c r="A435">
        <f>'Procurement Schedule'!R553</f>
        <v>0</v>
      </c>
      <c r="B435" s="63">
        <f>'Procurement Schedule'!M553</f>
        <v>0</v>
      </c>
      <c r="C435">
        <f t="shared" si="98"/>
        <v>1</v>
      </c>
      <c r="D435">
        <f t="shared" si="89"/>
        <v>1900</v>
      </c>
      <c r="E435" t="str">
        <f t="shared" si="90"/>
        <v>1_1900</v>
      </c>
      <c r="G435">
        <f t="shared" si="91"/>
        <v>0</v>
      </c>
      <c r="H435" s="63">
        <f>'Procurement Schedule'!N553</f>
        <v>0</v>
      </c>
      <c r="I435">
        <f t="shared" si="99"/>
        <v>1</v>
      </c>
      <c r="J435">
        <f t="shared" si="92"/>
        <v>1900</v>
      </c>
      <c r="K435" t="str">
        <f t="shared" si="93"/>
        <v>1_1900</v>
      </c>
      <c r="S435" t="str">
        <f t="shared" si="95"/>
        <v/>
      </c>
      <c r="T435" s="64" t="str">
        <f t="shared" si="94"/>
        <v/>
      </c>
      <c r="AA435" t="str">
        <f t="shared" si="96"/>
        <v/>
      </c>
      <c r="AB435" s="64" t="str">
        <f t="shared" si="97"/>
        <v/>
      </c>
    </row>
    <row r="436" spans="1:28" x14ac:dyDescent="0.35">
      <c r="A436">
        <f>'Procurement Schedule'!R554</f>
        <v>0</v>
      </c>
      <c r="B436" s="63">
        <f>'Procurement Schedule'!M554</f>
        <v>0</v>
      </c>
      <c r="C436">
        <f t="shared" si="98"/>
        <v>1</v>
      </c>
      <c r="D436">
        <f t="shared" si="89"/>
        <v>1900</v>
      </c>
      <c r="E436" t="str">
        <f t="shared" si="90"/>
        <v>1_1900</v>
      </c>
      <c r="G436">
        <f t="shared" si="91"/>
        <v>0</v>
      </c>
      <c r="H436" s="63">
        <f>'Procurement Schedule'!N554</f>
        <v>0</v>
      </c>
      <c r="I436">
        <f t="shared" si="99"/>
        <v>1</v>
      </c>
      <c r="J436">
        <f t="shared" si="92"/>
        <v>1900</v>
      </c>
      <c r="K436" t="str">
        <f t="shared" si="93"/>
        <v>1_1900</v>
      </c>
      <c r="S436" t="str">
        <f t="shared" si="95"/>
        <v/>
      </c>
      <c r="T436" s="64" t="str">
        <f t="shared" si="94"/>
        <v/>
      </c>
      <c r="AA436" t="str">
        <f t="shared" si="96"/>
        <v/>
      </c>
      <c r="AB436" s="64" t="str">
        <f t="shared" si="97"/>
        <v/>
      </c>
    </row>
    <row r="437" spans="1:28" x14ac:dyDescent="0.35">
      <c r="A437">
        <f>'Procurement Schedule'!R555</f>
        <v>0</v>
      </c>
      <c r="B437" s="63">
        <f>'Procurement Schedule'!M555</f>
        <v>0</v>
      </c>
      <c r="C437">
        <f t="shared" si="98"/>
        <v>1</v>
      </c>
      <c r="D437">
        <f t="shared" si="89"/>
        <v>1900</v>
      </c>
      <c r="E437" t="str">
        <f t="shared" si="90"/>
        <v>1_1900</v>
      </c>
      <c r="G437">
        <f t="shared" si="91"/>
        <v>0</v>
      </c>
      <c r="H437" s="63">
        <f>'Procurement Schedule'!N555</f>
        <v>0</v>
      </c>
      <c r="I437">
        <f t="shared" si="99"/>
        <v>1</v>
      </c>
      <c r="J437">
        <f t="shared" si="92"/>
        <v>1900</v>
      </c>
      <c r="K437" t="str">
        <f t="shared" si="93"/>
        <v>1_1900</v>
      </c>
      <c r="S437" t="str">
        <f t="shared" si="95"/>
        <v/>
      </c>
      <c r="T437" s="64" t="str">
        <f t="shared" si="94"/>
        <v/>
      </c>
      <c r="AA437" t="str">
        <f t="shared" si="96"/>
        <v/>
      </c>
      <c r="AB437" s="64" t="str">
        <f t="shared" si="97"/>
        <v/>
      </c>
    </row>
    <row r="438" spans="1:28" x14ac:dyDescent="0.35">
      <c r="A438">
        <f>'Procurement Schedule'!R556</f>
        <v>0</v>
      </c>
      <c r="B438" s="63">
        <f>'Procurement Schedule'!M556</f>
        <v>0</v>
      </c>
      <c r="C438">
        <f t="shared" si="98"/>
        <v>1</v>
      </c>
      <c r="D438">
        <f t="shared" si="89"/>
        <v>1900</v>
      </c>
      <c r="E438" t="str">
        <f t="shared" si="90"/>
        <v>1_1900</v>
      </c>
      <c r="G438">
        <f t="shared" si="91"/>
        <v>0</v>
      </c>
      <c r="H438" s="63">
        <f>'Procurement Schedule'!N556</f>
        <v>0</v>
      </c>
      <c r="I438">
        <f t="shared" si="99"/>
        <v>1</v>
      </c>
      <c r="J438">
        <f t="shared" si="92"/>
        <v>1900</v>
      </c>
      <c r="K438" t="str">
        <f t="shared" si="93"/>
        <v>1_1900</v>
      </c>
      <c r="S438" t="str">
        <f t="shared" si="95"/>
        <v/>
      </c>
      <c r="T438" s="64" t="str">
        <f t="shared" si="94"/>
        <v/>
      </c>
      <c r="AA438" t="str">
        <f t="shared" si="96"/>
        <v/>
      </c>
      <c r="AB438" s="64" t="str">
        <f t="shared" si="97"/>
        <v/>
      </c>
    </row>
    <row r="439" spans="1:28" x14ac:dyDescent="0.35">
      <c r="A439">
        <f>'Procurement Schedule'!R557</f>
        <v>0</v>
      </c>
      <c r="B439" s="63">
        <f>'Procurement Schedule'!M557</f>
        <v>0</v>
      </c>
      <c r="C439">
        <f t="shared" si="98"/>
        <v>1</v>
      </c>
      <c r="D439">
        <f t="shared" ref="D439:D502" si="100">YEAR(B439)</f>
        <v>1900</v>
      </c>
      <c r="E439" t="str">
        <f t="shared" ref="E439:E502" si="101">C439&amp;"_"&amp;D439</f>
        <v>1_1900</v>
      </c>
      <c r="G439">
        <f t="shared" ref="G439:G502" si="102">A439</f>
        <v>0</v>
      </c>
      <c r="H439" s="63">
        <f>'Procurement Schedule'!N557</f>
        <v>0</v>
      </c>
      <c r="I439">
        <f t="shared" si="99"/>
        <v>1</v>
      </c>
      <c r="J439">
        <f t="shared" ref="J439:J502" si="103">YEAR(H439)</f>
        <v>1900</v>
      </c>
      <c r="K439" t="str">
        <f t="shared" ref="K439:K502" si="104">I439&amp;"_"&amp;J439</f>
        <v>1_1900</v>
      </c>
      <c r="S439" t="str">
        <f t="shared" si="95"/>
        <v/>
      </c>
      <c r="T439" s="64" t="str">
        <f t="shared" si="94"/>
        <v/>
      </c>
      <c r="AA439" t="str">
        <f t="shared" si="96"/>
        <v/>
      </c>
      <c r="AB439" s="64" t="str">
        <f t="shared" si="97"/>
        <v/>
      </c>
    </row>
    <row r="440" spans="1:28" x14ac:dyDescent="0.35">
      <c r="A440">
        <f>'Procurement Schedule'!R558</f>
        <v>0</v>
      </c>
      <c r="B440" s="63">
        <f>'Procurement Schedule'!M558</f>
        <v>0</v>
      </c>
      <c r="C440">
        <f t="shared" si="98"/>
        <v>1</v>
      </c>
      <c r="D440">
        <f t="shared" si="100"/>
        <v>1900</v>
      </c>
      <c r="E440" t="str">
        <f t="shared" si="101"/>
        <v>1_1900</v>
      </c>
      <c r="G440">
        <f t="shared" si="102"/>
        <v>0</v>
      </c>
      <c r="H440" s="63">
        <f>'Procurement Schedule'!N558</f>
        <v>0</v>
      </c>
      <c r="I440">
        <f t="shared" si="99"/>
        <v>1</v>
      </c>
      <c r="J440">
        <f t="shared" si="103"/>
        <v>1900</v>
      </c>
      <c r="K440" t="str">
        <f t="shared" si="104"/>
        <v>1_1900</v>
      </c>
      <c r="S440" t="str">
        <f t="shared" si="95"/>
        <v/>
      </c>
      <c r="T440" s="64" t="str">
        <f t="shared" si="94"/>
        <v/>
      </c>
      <c r="AA440" t="str">
        <f t="shared" si="96"/>
        <v/>
      </c>
      <c r="AB440" s="64" t="str">
        <f t="shared" si="97"/>
        <v/>
      </c>
    </row>
    <row r="441" spans="1:28" x14ac:dyDescent="0.35">
      <c r="A441">
        <f>'Procurement Schedule'!R559</f>
        <v>0</v>
      </c>
      <c r="B441" s="63">
        <f>'Procurement Schedule'!M559</f>
        <v>0</v>
      </c>
      <c r="C441">
        <f t="shared" si="98"/>
        <v>1</v>
      </c>
      <c r="D441">
        <f t="shared" si="100"/>
        <v>1900</v>
      </c>
      <c r="E441" t="str">
        <f t="shared" si="101"/>
        <v>1_1900</v>
      </c>
      <c r="G441">
        <f t="shared" si="102"/>
        <v>0</v>
      </c>
      <c r="H441" s="63">
        <f>'Procurement Schedule'!N559</f>
        <v>0</v>
      </c>
      <c r="I441">
        <f t="shared" si="99"/>
        <v>1</v>
      </c>
      <c r="J441">
        <f t="shared" si="103"/>
        <v>1900</v>
      </c>
      <c r="K441" t="str">
        <f t="shared" si="104"/>
        <v>1_1900</v>
      </c>
      <c r="S441" t="str">
        <f t="shared" si="95"/>
        <v/>
      </c>
      <c r="T441" s="64" t="str">
        <f t="shared" si="94"/>
        <v/>
      </c>
      <c r="AA441" t="str">
        <f t="shared" si="96"/>
        <v/>
      </c>
      <c r="AB441" s="64" t="str">
        <f t="shared" si="97"/>
        <v/>
      </c>
    </row>
    <row r="442" spans="1:28" x14ac:dyDescent="0.35">
      <c r="A442">
        <f>'Procurement Schedule'!R560</f>
        <v>0</v>
      </c>
      <c r="B442" s="63">
        <f>'Procurement Schedule'!M560</f>
        <v>0</v>
      </c>
      <c r="C442">
        <f t="shared" si="98"/>
        <v>1</v>
      </c>
      <c r="D442">
        <f t="shared" si="100"/>
        <v>1900</v>
      </c>
      <c r="E442" t="str">
        <f t="shared" si="101"/>
        <v>1_1900</v>
      </c>
      <c r="G442">
        <f t="shared" si="102"/>
        <v>0</v>
      </c>
      <c r="H442" s="63">
        <f>'Procurement Schedule'!N560</f>
        <v>0</v>
      </c>
      <c r="I442">
        <f t="shared" si="99"/>
        <v>1</v>
      </c>
      <c r="J442">
        <f t="shared" si="103"/>
        <v>1900</v>
      </c>
      <c r="K442" t="str">
        <f t="shared" si="104"/>
        <v>1_1900</v>
      </c>
      <c r="S442" t="str">
        <f t="shared" si="95"/>
        <v/>
      </c>
      <c r="T442" s="64" t="str">
        <f t="shared" si="94"/>
        <v/>
      </c>
      <c r="AA442" t="str">
        <f t="shared" si="96"/>
        <v/>
      </c>
      <c r="AB442" s="64" t="str">
        <f t="shared" si="97"/>
        <v/>
      </c>
    </row>
    <row r="443" spans="1:28" x14ac:dyDescent="0.35">
      <c r="A443">
        <f>'Procurement Schedule'!R561</f>
        <v>0</v>
      </c>
      <c r="B443" s="63">
        <f>'Procurement Schedule'!M561</f>
        <v>0</v>
      </c>
      <c r="C443">
        <f t="shared" si="98"/>
        <v>1</v>
      </c>
      <c r="D443">
        <f t="shared" si="100"/>
        <v>1900</v>
      </c>
      <c r="E443" t="str">
        <f t="shared" si="101"/>
        <v>1_1900</v>
      </c>
      <c r="G443">
        <f t="shared" si="102"/>
        <v>0</v>
      </c>
      <c r="H443" s="63">
        <f>'Procurement Schedule'!N561</f>
        <v>0</v>
      </c>
      <c r="I443">
        <f t="shared" si="99"/>
        <v>1</v>
      </c>
      <c r="J443">
        <f t="shared" si="103"/>
        <v>1900</v>
      </c>
      <c r="K443" t="str">
        <f t="shared" si="104"/>
        <v>1_1900</v>
      </c>
      <c r="S443" t="str">
        <f t="shared" si="95"/>
        <v/>
      </c>
      <c r="T443" s="64" t="str">
        <f t="shared" si="94"/>
        <v/>
      </c>
      <c r="AA443" t="str">
        <f t="shared" si="96"/>
        <v/>
      </c>
      <c r="AB443" s="64" t="str">
        <f t="shared" si="97"/>
        <v/>
      </c>
    </row>
    <row r="444" spans="1:28" x14ac:dyDescent="0.35">
      <c r="A444">
        <f>'Procurement Schedule'!R562</f>
        <v>0</v>
      </c>
      <c r="B444" s="63">
        <f>'Procurement Schedule'!M562</f>
        <v>0</v>
      </c>
      <c r="C444">
        <f t="shared" si="98"/>
        <v>1</v>
      </c>
      <c r="D444">
        <f t="shared" si="100"/>
        <v>1900</v>
      </c>
      <c r="E444" t="str">
        <f t="shared" si="101"/>
        <v>1_1900</v>
      </c>
      <c r="G444">
        <f t="shared" si="102"/>
        <v>0</v>
      </c>
      <c r="H444" s="63">
        <f>'Procurement Schedule'!N562</f>
        <v>0</v>
      </c>
      <c r="I444">
        <f t="shared" si="99"/>
        <v>1</v>
      </c>
      <c r="J444">
        <f t="shared" si="103"/>
        <v>1900</v>
      </c>
      <c r="K444" t="str">
        <f t="shared" si="104"/>
        <v>1_1900</v>
      </c>
      <c r="S444" t="str">
        <f t="shared" si="95"/>
        <v/>
      </c>
      <c r="T444" s="64" t="str">
        <f t="shared" si="94"/>
        <v/>
      </c>
      <c r="AA444" t="str">
        <f t="shared" si="96"/>
        <v/>
      </c>
      <c r="AB444" s="64" t="str">
        <f t="shared" si="97"/>
        <v/>
      </c>
    </row>
    <row r="445" spans="1:28" x14ac:dyDescent="0.35">
      <c r="A445">
        <f>'Procurement Schedule'!R563</f>
        <v>0</v>
      </c>
      <c r="B445" s="63">
        <f>'Procurement Schedule'!M563</f>
        <v>0</v>
      </c>
      <c r="C445">
        <f t="shared" si="98"/>
        <v>1</v>
      </c>
      <c r="D445">
        <f t="shared" si="100"/>
        <v>1900</v>
      </c>
      <c r="E445" t="str">
        <f t="shared" si="101"/>
        <v>1_1900</v>
      </c>
      <c r="G445">
        <f t="shared" si="102"/>
        <v>0</v>
      </c>
      <c r="H445" s="63">
        <f>'Procurement Schedule'!N563</f>
        <v>0</v>
      </c>
      <c r="I445">
        <f t="shared" si="99"/>
        <v>1</v>
      </c>
      <c r="J445">
        <f t="shared" si="103"/>
        <v>1900</v>
      </c>
      <c r="K445" t="str">
        <f t="shared" si="104"/>
        <v>1_1900</v>
      </c>
      <c r="S445" t="str">
        <f t="shared" si="95"/>
        <v/>
      </c>
      <c r="T445" s="64" t="str">
        <f t="shared" si="94"/>
        <v/>
      </c>
      <c r="AA445" t="str">
        <f t="shared" si="96"/>
        <v/>
      </c>
      <c r="AB445" s="64" t="str">
        <f t="shared" si="97"/>
        <v/>
      </c>
    </row>
    <row r="446" spans="1:28" x14ac:dyDescent="0.35">
      <c r="A446">
        <f>'Procurement Schedule'!R564</f>
        <v>0</v>
      </c>
      <c r="B446" s="63">
        <f>'Procurement Schedule'!M564</f>
        <v>0</v>
      </c>
      <c r="C446">
        <f t="shared" si="98"/>
        <v>1</v>
      </c>
      <c r="D446">
        <f t="shared" si="100"/>
        <v>1900</v>
      </c>
      <c r="E446" t="str">
        <f t="shared" si="101"/>
        <v>1_1900</v>
      </c>
      <c r="G446">
        <f t="shared" si="102"/>
        <v>0</v>
      </c>
      <c r="H446" s="63">
        <f>'Procurement Schedule'!N564</f>
        <v>0</v>
      </c>
      <c r="I446">
        <f t="shared" si="99"/>
        <v>1</v>
      </c>
      <c r="J446">
        <f t="shared" si="103"/>
        <v>1900</v>
      </c>
      <c r="K446" t="str">
        <f t="shared" si="104"/>
        <v>1_1900</v>
      </c>
      <c r="S446" t="str">
        <f t="shared" si="95"/>
        <v/>
      </c>
      <c r="T446" s="64" t="str">
        <f t="shared" si="94"/>
        <v/>
      </c>
      <c r="AA446" t="str">
        <f t="shared" si="96"/>
        <v/>
      </c>
      <c r="AB446" s="64" t="str">
        <f t="shared" si="97"/>
        <v/>
      </c>
    </row>
    <row r="447" spans="1:28" x14ac:dyDescent="0.35">
      <c r="A447">
        <f>'Procurement Schedule'!R565</f>
        <v>0</v>
      </c>
      <c r="B447" s="63">
        <f>'Procurement Schedule'!M565</f>
        <v>0</v>
      </c>
      <c r="C447">
        <f t="shared" si="98"/>
        <v>1</v>
      </c>
      <c r="D447">
        <f t="shared" si="100"/>
        <v>1900</v>
      </c>
      <c r="E447" t="str">
        <f t="shared" si="101"/>
        <v>1_1900</v>
      </c>
      <c r="G447">
        <f t="shared" si="102"/>
        <v>0</v>
      </c>
      <c r="H447" s="63">
        <f>'Procurement Schedule'!N565</f>
        <v>0</v>
      </c>
      <c r="I447">
        <f t="shared" si="99"/>
        <v>1</v>
      </c>
      <c r="J447">
        <f t="shared" si="103"/>
        <v>1900</v>
      </c>
      <c r="K447" t="str">
        <f t="shared" si="104"/>
        <v>1_1900</v>
      </c>
      <c r="S447" t="str">
        <f t="shared" si="95"/>
        <v/>
      </c>
      <c r="T447" s="64" t="str">
        <f t="shared" si="94"/>
        <v/>
      </c>
      <c r="AA447" t="str">
        <f t="shared" si="96"/>
        <v/>
      </c>
      <c r="AB447" s="64" t="str">
        <f t="shared" si="97"/>
        <v/>
      </c>
    </row>
    <row r="448" spans="1:28" x14ac:dyDescent="0.35">
      <c r="A448">
        <f>'Procurement Schedule'!R566</f>
        <v>0</v>
      </c>
      <c r="B448" s="63">
        <f>'Procurement Schedule'!M566</f>
        <v>0</v>
      </c>
      <c r="C448">
        <f t="shared" si="98"/>
        <v>1</v>
      </c>
      <c r="D448">
        <f t="shared" si="100"/>
        <v>1900</v>
      </c>
      <c r="E448" t="str">
        <f t="shared" si="101"/>
        <v>1_1900</v>
      </c>
      <c r="G448">
        <f t="shared" si="102"/>
        <v>0</v>
      </c>
      <c r="H448" s="63">
        <f>'Procurement Schedule'!N566</f>
        <v>0</v>
      </c>
      <c r="I448">
        <f t="shared" si="99"/>
        <v>1</v>
      </c>
      <c r="J448">
        <f t="shared" si="103"/>
        <v>1900</v>
      </c>
      <c r="K448" t="str">
        <f t="shared" si="104"/>
        <v>1_1900</v>
      </c>
      <c r="S448" t="str">
        <f t="shared" si="95"/>
        <v/>
      </c>
      <c r="T448" s="64" t="str">
        <f t="shared" si="94"/>
        <v/>
      </c>
      <c r="AA448" t="str">
        <f t="shared" si="96"/>
        <v/>
      </c>
      <c r="AB448" s="64" t="str">
        <f t="shared" si="97"/>
        <v/>
      </c>
    </row>
    <row r="449" spans="1:28" x14ac:dyDescent="0.35">
      <c r="A449">
        <f>'Procurement Schedule'!R567</f>
        <v>0</v>
      </c>
      <c r="B449" s="63">
        <f>'Procurement Schedule'!M567</f>
        <v>0</v>
      </c>
      <c r="C449">
        <f t="shared" si="98"/>
        <v>1</v>
      </c>
      <c r="D449">
        <f t="shared" si="100"/>
        <v>1900</v>
      </c>
      <c r="E449" t="str">
        <f t="shared" si="101"/>
        <v>1_1900</v>
      </c>
      <c r="G449">
        <f t="shared" si="102"/>
        <v>0</v>
      </c>
      <c r="H449" s="63">
        <f>'Procurement Schedule'!N567</f>
        <v>0</v>
      </c>
      <c r="I449">
        <f t="shared" si="99"/>
        <v>1</v>
      </c>
      <c r="J449">
        <f t="shared" si="103"/>
        <v>1900</v>
      </c>
      <c r="K449" t="str">
        <f t="shared" si="104"/>
        <v>1_1900</v>
      </c>
      <c r="S449" t="str">
        <f t="shared" si="95"/>
        <v/>
      </c>
      <c r="T449" s="64" t="str">
        <f t="shared" si="94"/>
        <v/>
      </c>
      <c r="AA449" t="str">
        <f t="shared" si="96"/>
        <v/>
      </c>
      <c r="AB449" s="64" t="str">
        <f t="shared" si="97"/>
        <v/>
      </c>
    </row>
    <row r="450" spans="1:28" x14ac:dyDescent="0.35">
      <c r="A450">
        <f>'Procurement Schedule'!R568</f>
        <v>0</v>
      </c>
      <c r="B450" s="63">
        <f>'Procurement Schedule'!M568</f>
        <v>0</v>
      </c>
      <c r="C450">
        <f t="shared" si="98"/>
        <v>1</v>
      </c>
      <c r="D450">
        <f t="shared" si="100"/>
        <v>1900</v>
      </c>
      <c r="E450" t="str">
        <f t="shared" si="101"/>
        <v>1_1900</v>
      </c>
      <c r="G450">
        <f t="shared" si="102"/>
        <v>0</v>
      </c>
      <c r="H450" s="63">
        <f>'Procurement Schedule'!N568</f>
        <v>0</v>
      </c>
      <c r="I450">
        <f t="shared" si="99"/>
        <v>1</v>
      </c>
      <c r="J450">
        <f t="shared" si="103"/>
        <v>1900</v>
      </c>
      <c r="K450" t="str">
        <f t="shared" si="104"/>
        <v>1_1900</v>
      </c>
      <c r="S450" t="str">
        <f t="shared" si="95"/>
        <v/>
      </c>
      <c r="T450" s="64" t="str">
        <f t="shared" si="94"/>
        <v/>
      </c>
      <c r="AA450" t="str">
        <f t="shared" si="96"/>
        <v/>
      </c>
      <c r="AB450" s="64" t="str">
        <f t="shared" si="97"/>
        <v/>
      </c>
    </row>
    <row r="451" spans="1:28" x14ac:dyDescent="0.35">
      <c r="A451">
        <f>'Procurement Schedule'!R569</f>
        <v>0</v>
      </c>
      <c r="B451" s="63">
        <f>'Procurement Schedule'!M569</f>
        <v>0</v>
      </c>
      <c r="C451">
        <f t="shared" si="98"/>
        <v>1</v>
      </c>
      <c r="D451">
        <f t="shared" si="100"/>
        <v>1900</v>
      </c>
      <c r="E451" t="str">
        <f t="shared" si="101"/>
        <v>1_1900</v>
      </c>
      <c r="G451">
        <f t="shared" si="102"/>
        <v>0</v>
      </c>
      <c r="H451" s="63">
        <f>'Procurement Schedule'!N569</f>
        <v>0</v>
      </c>
      <c r="I451">
        <f t="shared" si="99"/>
        <v>1</v>
      </c>
      <c r="J451">
        <f t="shared" si="103"/>
        <v>1900</v>
      </c>
      <c r="K451" t="str">
        <f t="shared" si="104"/>
        <v>1_1900</v>
      </c>
      <c r="S451" t="str">
        <f t="shared" si="95"/>
        <v/>
      </c>
      <c r="T451" s="64" t="str">
        <f t="shared" si="94"/>
        <v/>
      </c>
      <c r="AA451" t="str">
        <f t="shared" si="96"/>
        <v/>
      </c>
      <c r="AB451" s="64" t="str">
        <f t="shared" si="97"/>
        <v/>
      </c>
    </row>
    <row r="452" spans="1:28" x14ac:dyDescent="0.35">
      <c r="A452">
        <f>'Procurement Schedule'!R570</f>
        <v>0</v>
      </c>
      <c r="B452" s="63">
        <f>'Procurement Schedule'!M570</f>
        <v>0</v>
      </c>
      <c r="C452">
        <f t="shared" si="98"/>
        <v>1</v>
      </c>
      <c r="D452">
        <f t="shared" si="100"/>
        <v>1900</v>
      </c>
      <c r="E452" t="str">
        <f t="shared" si="101"/>
        <v>1_1900</v>
      </c>
      <c r="G452">
        <f t="shared" si="102"/>
        <v>0</v>
      </c>
      <c r="H452" s="63">
        <f>'Procurement Schedule'!N570</f>
        <v>0</v>
      </c>
      <c r="I452">
        <f t="shared" si="99"/>
        <v>1</v>
      </c>
      <c r="J452">
        <f t="shared" si="103"/>
        <v>1900</v>
      </c>
      <c r="K452" t="str">
        <f t="shared" si="104"/>
        <v>1_1900</v>
      </c>
      <c r="S452" t="str">
        <f t="shared" si="95"/>
        <v/>
      </c>
      <c r="T452" s="64" t="str">
        <f t="shared" si="94"/>
        <v/>
      </c>
      <c r="AA452" t="str">
        <f t="shared" si="96"/>
        <v/>
      </c>
      <c r="AB452" s="64" t="str">
        <f t="shared" si="97"/>
        <v/>
      </c>
    </row>
    <row r="453" spans="1:28" x14ac:dyDescent="0.35">
      <c r="A453">
        <f>'Procurement Schedule'!R571</f>
        <v>0</v>
      </c>
      <c r="B453" s="63">
        <f>'Procurement Schedule'!M571</f>
        <v>0</v>
      </c>
      <c r="C453">
        <f t="shared" si="98"/>
        <v>1</v>
      </c>
      <c r="D453">
        <f t="shared" si="100"/>
        <v>1900</v>
      </c>
      <c r="E453" t="str">
        <f t="shared" si="101"/>
        <v>1_1900</v>
      </c>
      <c r="G453">
        <f t="shared" si="102"/>
        <v>0</v>
      </c>
      <c r="H453" s="63">
        <f>'Procurement Schedule'!N571</f>
        <v>0</v>
      </c>
      <c r="I453">
        <f t="shared" si="99"/>
        <v>1</v>
      </c>
      <c r="J453">
        <f t="shared" si="103"/>
        <v>1900</v>
      </c>
      <c r="K453" t="str">
        <f t="shared" si="104"/>
        <v>1_1900</v>
      </c>
      <c r="S453" t="str">
        <f t="shared" si="95"/>
        <v/>
      </c>
      <c r="T453" s="64" t="str">
        <f t="shared" ref="T453:T516" si="105">IFERROR(VLOOKUP(Q453,AD:AE,2,0),"")</f>
        <v/>
      </c>
      <c r="AA453" t="str">
        <f t="shared" si="96"/>
        <v/>
      </c>
      <c r="AB453" s="64" t="str">
        <f t="shared" si="97"/>
        <v/>
      </c>
    </row>
    <row r="454" spans="1:28" x14ac:dyDescent="0.35">
      <c r="A454">
        <f>'Procurement Schedule'!R572</f>
        <v>0</v>
      </c>
      <c r="B454" s="63">
        <f>'Procurement Schedule'!M572</f>
        <v>0</v>
      </c>
      <c r="C454">
        <f t="shared" si="98"/>
        <v>1</v>
      </c>
      <c r="D454">
        <f t="shared" si="100"/>
        <v>1900</v>
      </c>
      <c r="E454" t="str">
        <f t="shared" si="101"/>
        <v>1_1900</v>
      </c>
      <c r="G454">
        <f t="shared" si="102"/>
        <v>0</v>
      </c>
      <c r="H454" s="63">
        <f>'Procurement Schedule'!N572</f>
        <v>0</v>
      </c>
      <c r="I454">
        <f t="shared" si="99"/>
        <v>1</v>
      </c>
      <c r="J454">
        <f t="shared" si="103"/>
        <v>1900</v>
      </c>
      <c r="K454" t="str">
        <f t="shared" si="104"/>
        <v>1_1900</v>
      </c>
      <c r="S454" t="str">
        <f t="shared" si="95"/>
        <v/>
      </c>
      <c r="T454" s="64" t="str">
        <f t="shared" si="105"/>
        <v/>
      </c>
      <c r="AA454" t="str">
        <f t="shared" si="96"/>
        <v/>
      </c>
      <c r="AB454" s="64" t="str">
        <f t="shared" si="97"/>
        <v/>
      </c>
    </row>
    <row r="455" spans="1:28" x14ac:dyDescent="0.35">
      <c r="A455">
        <f>'Procurement Schedule'!R573</f>
        <v>0</v>
      </c>
      <c r="B455" s="63">
        <f>'Procurement Schedule'!M573</f>
        <v>0</v>
      </c>
      <c r="C455">
        <f t="shared" si="98"/>
        <v>1</v>
      </c>
      <c r="D455">
        <f t="shared" si="100"/>
        <v>1900</v>
      </c>
      <c r="E455" t="str">
        <f t="shared" si="101"/>
        <v>1_1900</v>
      </c>
      <c r="G455">
        <f t="shared" si="102"/>
        <v>0</v>
      </c>
      <c r="H455" s="63">
        <f>'Procurement Schedule'!N573</f>
        <v>0</v>
      </c>
      <c r="I455">
        <f t="shared" si="99"/>
        <v>1</v>
      </c>
      <c r="J455">
        <f t="shared" si="103"/>
        <v>1900</v>
      </c>
      <c r="K455" t="str">
        <f t="shared" si="104"/>
        <v>1_1900</v>
      </c>
      <c r="S455" t="str">
        <f t="shared" si="95"/>
        <v/>
      </c>
      <c r="T455" s="64" t="str">
        <f t="shared" si="105"/>
        <v/>
      </c>
      <c r="AA455" t="str">
        <f t="shared" si="96"/>
        <v/>
      </c>
      <c r="AB455" s="64" t="str">
        <f t="shared" si="97"/>
        <v/>
      </c>
    </row>
    <row r="456" spans="1:28" x14ac:dyDescent="0.35">
      <c r="A456">
        <f>'Procurement Schedule'!R574</f>
        <v>0</v>
      </c>
      <c r="B456" s="63">
        <f>'Procurement Schedule'!M574</f>
        <v>0</v>
      </c>
      <c r="C456">
        <f t="shared" si="98"/>
        <v>1</v>
      </c>
      <c r="D456">
        <f t="shared" si="100"/>
        <v>1900</v>
      </c>
      <c r="E456" t="str">
        <f t="shared" si="101"/>
        <v>1_1900</v>
      </c>
      <c r="G456">
        <f t="shared" si="102"/>
        <v>0</v>
      </c>
      <c r="H456" s="63">
        <f>'Procurement Schedule'!N574</f>
        <v>0</v>
      </c>
      <c r="I456">
        <f t="shared" si="99"/>
        <v>1</v>
      </c>
      <c r="J456">
        <f t="shared" si="103"/>
        <v>1900</v>
      </c>
      <c r="K456" t="str">
        <f t="shared" si="104"/>
        <v>1_1900</v>
      </c>
      <c r="S456" t="str">
        <f t="shared" si="95"/>
        <v/>
      </c>
      <c r="T456" s="64" t="str">
        <f t="shared" si="105"/>
        <v/>
      </c>
      <c r="AA456" t="str">
        <f t="shared" si="96"/>
        <v/>
      </c>
      <c r="AB456" s="64" t="str">
        <f t="shared" si="97"/>
        <v/>
      </c>
    </row>
    <row r="457" spans="1:28" x14ac:dyDescent="0.35">
      <c r="A457">
        <f>'Procurement Schedule'!R575</f>
        <v>0</v>
      </c>
      <c r="B457" s="63">
        <f>'Procurement Schedule'!M575</f>
        <v>0</v>
      </c>
      <c r="C457">
        <f t="shared" si="98"/>
        <v>1</v>
      </c>
      <c r="D457">
        <f t="shared" si="100"/>
        <v>1900</v>
      </c>
      <c r="E457" t="str">
        <f t="shared" si="101"/>
        <v>1_1900</v>
      </c>
      <c r="G457">
        <f t="shared" si="102"/>
        <v>0</v>
      </c>
      <c r="H457" s="63">
        <f>'Procurement Schedule'!N575</f>
        <v>0</v>
      </c>
      <c r="I457">
        <f t="shared" si="99"/>
        <v>1</v>
      </c>
      <c r="J457">
        <f t="shared" si="103"/>
        <v>1900</v>
      </c>
      <c r="K457" t="str">
        <f t="shared" si="104"/>
        <v>1_1900</v>
      </c>
      <c r="S457" t="str">
        <f t="shared" ref="S457:S520" si="106">IF(R457="","",S456+R457)</f>
        <v/>
      </c>
      <c r="T457" s="64" t="str">
        <f t="shared" si="105"/>
        <v/>
      </c>
      <c r="AA457" t="str">
        <f t="shared" si="96"/>
        <v/>
      </c>
      <c r="AB457" s="64" t="str">
        <f t="shared" si="97"/>
        <v/>
      </c>
    </row>
    <row r="458" spans="1:28" x14ac:dyDescent="0.35">
      <c r="A458">
        <f>'Procurement Schedule'!R576</f>
        <v>0</v>
      </c>
      <c r="B458" s="63">
        <f>'Procurement Schedule'!M576</f>
        <v>0</v>
      </c>
      <c r="C458">
        <f t="shared" si="98"/>
        <v>1</v>
      </c>
      <c r="D458">
        <f t="shared" si="100"/>
        <v>1900</v>
      </c>
      <c r="E458" t="str">
        <f t="shared" si="101"/>
        <v>1_1900</v>
      </c>
      <c r="G458">
        <f t="shared" si="102"/>
        <v>0</v>
      </c>
      <c r="H458" s="63">
        <f>'Procurement Schedule'!N576</f>
        <v>0</v>
      </c>
      <c r="I458">
        <f t="shared" si="99"/>
        <v>1</v>
      </c>
      <c r="J458">
        <f t="shared" si="103"/>
        <v>1900</v>
      </c>
      <c r="K458" t="str">
        <f t="shared" si="104"/>
        <v>1_1900</v>
      </c>
      <c r="S458" t="str">
        <f t="shared" si="106"/>
        <v/>
      </c>
      <c r="T458" s="64" t="str">
        <f t="shared" si="105"/>
        <v/>
      </c>
      <c r="AA458" t="str">
        <f t="shared" ref="AA458:AA521" si="107">IF(Z458="","",AA457+Z458)</f>
        <v/>
      </c>
      <c r="AB458" s="64" t="str">
        <f t="shared" ref="AB458:AB521" si="108">IFERROR(VLOOKUP(Y458,AD:AE,2,0),"")</f>
        <v/>
      </c>
    </row>
    <row r="459" spans="1:28" x14ac:dyDescent="0.35">
      <c r="A459">
        <f>'Procurement Schedule'!R577</f>
        <v>0</v>
      </c>
      <c r="B459" s="63">
        <f>'Procurement Schedule'!M577</f>
        <v>0</v>
      </c>
      <c r="C459">
        <f t="shared" si="98"/>
        <v>1</v>
      </c>
      <c r="D459">
        <f t="shared" si="100"/>
        <v>1900</v>
      </c>
      <c r="E459" t="str">
        <f t="shared" si="101"/>
        <v>1_1900</v>
      </c>
      <c r="G459">
        <f t="shared" si="102"/>
        <v>0</v>
      </c>
      <c r="H459" s="63">
        <f>'Procurement Schedule'!N577</f>
        <v>0</v>
      </c>
      <c r="I459">
        <f t="shared" si="99"/>
        <v>1</v>
      </c>
      <c r="J459">
        <f t="shared" si="103"/>
        <v>1900</v>
      </c>
      <c r="K459" t="str">
        <f t="shared" si="104"/>
        <v>1_1900</v>
      </c>
      <c r="S459" t="str">
        <f t="shared" si="106"/>
        <v/>
      </c>
      <c r="T459" s="64" t="str">
        <f t="shared" si="105"/>
        <v/>
      </c>
      <c r="AA459" t="str">
        <f t="shared" si="107"/>
        <v/>
      </c>
      <c r="AB459" s="64" t="str">
        <f t="shared" si="108"/>
        <v/>
      </c>
    </row>
    <row r="460" spans="1:28" x14ac:dyDescent="0.35">
      <c r="A460">
        <f>'Procurement Schedule'!R578</f>
        <v>0</v>
      </c>
      <c r="B460" s="63">
        <f>'Procurement Schedule'!M578</f>
        <v>0</v>
      </c>
      <c r="C460">
        <f t="shared" si="98"/>
        <v>1</v>
      </c>
      <c r="D460">
        <f t="shared" si="100"/>
        <v>1900</v>
      </c>
      <c r="E460" t="str">
        <f t="shared" si="101"/>
        <v>1_1900</v>
      </c>
      <c r="G460">
        <f t="shared" si="102"/>
        <v>0</v>
      </c>
      <c r="H460" s="63">
        <f>'Procurement Schedule'!N578</f>
        <v>0</v>
      </c>
      <c r="I460">
        <f t="shared" si="99"/>
        <v>1</v>
      </c>
      <c r="J460">
        <f t="shared" si="103"/>
        <v>1900</v>
      </c>
      <c r="K460" t="str">
        <f t="shared" si="104"/>
        <v>1_1900</v>
      </c>
      <c r="S460" t="str">
        <f t="shared" si="106"/>
        <v/>
      </c>
      <c r="T460" s="64" t="str">
        <f t="shared" si="105"/>
        <v/>
      </c>
      <c r="AA460" t="str">
        <f t="shared" si="107"/>
        <v/>
      </c>
      <c r="AB460" s="64" t="str">
        <f t="shared" si="108"/>
        <v/>
      </c>
    </row>
    <row r="461" spans="1:28" x14ac:dyDescent="0.35">
      <c r="A461">
        <f>'Procurement Schedule'!R579</f>
        <v>0</v>
      </c>
      <c r="B461" s="63">
        <f>'Procurement Schedule'!M579</f>
        <v>0</v>
      </c>
      <c r="C461">
        <f t="shared" si="98"/>
        <v>1</v>
      </c>
      <c r="D461">
        <f t="shared" si="100"/>
        <v>1900</v>
      </c>
      <c r="E461" t="str">
        <f t="shared" si="101"/>
        <v>1_1900</v>
      </c>
      <c r="G461">
        <f t="shared" si="102"/>
        <v>0</v>
      </c>
      <c r="H461" s="63">
        <f>'Procurement Schedule'!N579</f>
        <v>0</v>
      </c>
      <c r="I461">
        <f t="shared" si="99"/>
        <v>1</v>
      </c>
      <c r="J461">
        <f t="shared" si="103"/>
        <v>1900</v>
      </c>
      <c r="K461" t="str">
        <f t="shared" si="104"/>
        <v>1_1900</v>
      </c>
      <c r="S461" t="str">
        <f t="shared" si="106"/>
        <v/>
      </c>
      <c r="T461" s="64" t="str">
        <f t="shared" si="105"/>
        <v/>
      </c>
      <c r="AA461" t="str">
        <f t="shared" si="107"/>
        <v/>
      </c>
      <c r="AB461" s="64" t="str">
        <f t="shared" si="108"/>
        <v/>
      </c>
    </row>
    <row r="462" spans="1:28" x14ac:dyDescent="0.35">
      <c r="A462">
        <f>'Procurement Schedule'!R580</f>
        <v>0</v>
      </c>
      <c r="B462" s="63">
        <f>'Procurement Schedule'!M580</f>
        <v>0</v>
      </c>
      <c r="C462">
        <f t="shared" si="98"/>
        <v>1</v>
      </c>
      <c r="D462">
        <f t="shared" si="100"/>
        <v>1900</v>
      </c>
      <c r="E462" t="str">
        <f t="shared" si="101"/>
        <v>1_1900</v>
      </c>
      <c r="G462">
        <f t="shared" si="102"/>
        <v>0</v>
      </c>
      <c r="H462" s="63">
        <f>'Procurement Schedule'!N580</f>
        <v>0</v>
      </c>
      <c r="I462">
        <f t="shared" si="99"/>
        <v>1</v>
      </c>
      <c r="J462">
        <f t="shared" si="103"/>
        <v>1900</v>
      </c>
      <c r="K462" t="str">
        <f t="shared" si="104"/>
        <v>1_1900</v>
      </c>
      <c r="S462" t="str">
        <f t="shared" si="106"/>
        <v/>
      </c>
      <c r="T462" s="64" t="str">
        <f t="shared" si="105"/>
        <v/>
      </c>
      <c r="AA462" t="str">
        <f t="shared" si="107"/>
        <v/>
      </c>
      <c r="AB462" s="64" t="str">
        <f t="shared" si="108"/>
        <v/>
      </c>
    </row>
    <row r="463" spans="1:28" x14ac:dyDescent="0.35">
      <c r="A463">
        <f>'Procurement Schedule'!R581</f>
        <v>0</v>
      </c>
      <c r="B463" s="63">
        <f>'Procurement Schedule'!M581</f>
        <v>0</v>
      </c>
      <c r="C463">
        <f t="shared" si="98"/>
        <v>1</v>
      </c>
      <c r="D463">
        <f t="shared" si="100"/>
        <v>1900</v>
      </c>
      <c r="E463" t="str">
        <f t="shared" si="101"/>
        <v>1_1900</v>
      </c>
      <c r="G463">
        <f t="shared" si="102"/>
        <v>0</v>
      </c>
      <c r="H463" s="63">
        <f>'Procurement Schedule'!N581</f>
        <v>0</v>
      </c>
      <c r="I463">
        <f t="shared" si="99"/>
        <v>1</v>
      </c>
      <c r="J463">
        <f t="shared" si="103"/>
        <v>1900</v>
      </c>
      <c r="K463" t="str">
        <f t="shared" si="104"/>
        <v>1_1900</v>
      </c>
      <c r="S463" t="str">
        <f t="shared" si="106"/>
        <v/>
      </c>
      <c r="T463" s="64" t="str">
        <f t="shared" si="105"/>
        <v/>
      </c>
      <c r="AA463" t="str">
        <f t="shared" si="107"/>
        <v/>
      </c>
      <c r="AB463" s="64" t="str">
        <f t="shared" si="108"/>
        <v/>
      </c>
    </row>
    <row r="464" spans="1:28" x14ac:dyDescent="0.35">
      <c r="A464">
        <f>'Procurement Schedule'!R582</f>
        <v>0</v>
      </c>
      <c r="B464" s="63">
        <f>'Procurement Schedule'!M582</f>
        <v>0</v>
      </c>
      <c r="C464">
        <f t="shared" si="98"/>
        <v>1</v>
      </c>
      <c r="D464">
        <f t="shared" si="100"/>
        <v>1900</v>
      </c>
      <c r="E464" t="str">
        <f t="shared" si="101"/>
        <v>1_1900</v>
      </c>
      <c r="G464">
        <f t="shared" si="102"/>
        <v>0</v>
      </c>
      <c r="H464" s="63">
        <f>'Procurement Schedule'!N582</f>
        <v>0</v>
      </c>
      <c r="I464">
        <f t="shared" si="99"/>
        <v>1</v>
      </c>
      <c r="J464">
        <f t="shared" si="103"/>
        <v>1900</v>
      </c>
      <c r="K464" t="str">
        <f t="shared" si="104"/>
        <v>1_1900</v>
      </c>
      <c r="S464" t="str">
        <f t="shared" si="106"/>
        <v/>
      </c>
      <c r="T464" s="64" t="str">
        <f t="shared" si="105"/>
        <v/>
      </c>
      <c r="AA464" t="str">
        <f t="shared" si="107"/>
        <v/>
      </c>
      <c r="AB464" s="64" t="str">
        <f t="shared" si="108"/>
        <v/>
      </c>
    </row>
    <row r="465" spans="1:28" x14ac:dyDescent="0.35">
      <c r="A465">
        <f>'Procurement Schedule'!R583</f>
        <v>0</v>
      </c>
      <c r="B465" s="63">
        <f>'Procurement Schedule'!M583</f>
        <v>0</v>
      </c>
      <c r="C465">
        <f t="shared" si="98"/>
        <v>1</v>
      </c>
      <c r="D465">
        <f t="shared" si="100"/>
        <v>1900</v>
      </c>
      <c r="E465" t="str">
        <f t="shared" si="101"/>
        <v>1_1900</v>
      </c>
      <c r="G465">
        <f t="shared" si="102"/>
        <v>0</v>
      </c>
      <c r="H465" s="63">
        <f>'Procurement Schedule'!N583</f>
        <v>0</v>
      </c>
      <c r="I465">
        <f t="shared" si="99"/>
        <v>1</v>
      </c>
      <c r="J465">
        <f t="shared" si="103"/>
        <v>1900</v>
      </c>
      <c r="K465" t="str">
        <f t="shared" si="104"/>
        <v>1_1900</v>
      </c>
      <c r="S465" t="str">
        <f t="shared" si="106"/>
        <v/>
      </c>
      <c r="T465" s="64" t="str">
        <f t="shared" si="105"/>
        <v/>
      </c>
      <c r="AA465" t="str">
        <f t="shared" si="107"/>
        <v/>
      </c>
      <c r="AB465" s="64" t="str">
        <f t="shared" si="108"/>
        <v/>
      </c>
    </row>
    <row r="466" spans="1:28" x14ac:dyDescent="0.35">
      <c r="A466">
        <f>'Procurement Schedule'!R584</f>
        <v>0</v>
      </c>
      <c r="B466" s="63">
        <f>'Procurement Schedule'!M584</f>
        <v>0</v>
      </c>
      <c r="C466">
        <f t="shared" si="98"/>
        <v>1</v>
      </c>
      <c r="D466">
        <f t="shared" si="100"/>
        <v>1900</v>
      </c>
      <c r="E466" t="str">
        <f t="shared" si="101"/>
        <v>1_1900</v>
      </c>
      <c r="G466">
        <f t="shared" si="102"/>
        <v>0</v>
      </c>
      <c r="H466" s="63">
        <f>'Procurement Schedule'!N584</f>
        <v>0</v>
      </c>
      <c r="I466">
        <f t="shared" si="99"/>
        <v>1</v>
      </c>
      <c r="J466">
        <f t="shared" si="103"/>
        <v>1900</v>
      </c>
      <c r="K466" t="str">
        <f t="shared" si="104"/>
        <v>1_1900</v>
      </c>
      <c r="S466" t="str">
        <f t="shared" si="106"/>
        <v/>
      </c>
      <c r="T466" s="64" t="str">
        <f t="shared" si="105"/>
        <v/>
      </c>
      <c r="AA466" t="str">
        <f t="shared" si="107"/>
        <v/>
      </c>
      <c r="AB466" s="64" t="str">
        <f t="shared" si="108"/>
        <v/>
      </c>
    </row>
    <row r="467" spans="1:28" x14ac:dyDescent="0.35">
      <c r="A467">
        <f>'Procurement Schedule'!R585</f>
        <v>0</v>
      </c>
      <c r="B467" s="63">
        <f>'Procurement Schedule'!M585</f>
        <v>0</v>
      </c>
      <c r="C467">
        <f t="shared" ref="C467:C530" si="109">MONTH(B467)</f>
        <v>1</v>
      </c>
      <c r="D467">
        <f t="shared" si="100"/>
        <v>1900</v>
      </c>
      <c r="E467" t="str">
        <f t="shared" si="101"/>
        <v>1_1900</v>
      </c>
      <c r="G467">
        <f t="shared" si="102"/>
        <v>0</v>
      </c>
      <c r="H467" s="63">
        <f>'Procurement Schedule'!N585</f>
        <v>0</v>
      </c>
      <c r="I467">
        <f t="shared" si="99"/>
        <v>1</v>
      </c>
      <c r="J467">
        <f t="shared" si="103"/>
        <v>1900</v>
      </c>
      <c r="K467" t="str">
        <f t="shared" si="104"/>
        <v>1_1900</v>
      </c>
      <c r="S467" t="str">
        <f t="shared" si="106"/>
        <v/>
      </c>
      <c r="T467" s="64" t="str">
        <f t="shared" si="105"/>
        <v/>
      </c>
      <c r="AA467" t="str">
        <f t="shared" si="107"/>
        <v/>
      </c>
      <c r="AB467" s="64" t="str">
        <f t="shared" si="108"/>
        <v/>
      </c>
    </row>
    <row r="468" spans="1:28" x14ac:dyDescent="0.35">
      <c r="A468">
        <f>'Procurement Schedule'!R586</f>
        <v>0</v>
      </c>
      <c r="B468" s="63">
        <f>'Procurement Schedule'!M586</f>
        <v>0</v>
      </c>
      <c r="C468">
        <f t="shared" si="109"/>
        <v>1</v>
      </c>
      <c r="D468">
        <f t="shared" si="100"/>
        <v>1900</v>
      </c>
      <c r="E468" t="str">
        <f t="shared" si="101"/>
        <v>1_1900</v>
      </c>
      <c r="G468">
        <f t="shared" si="102"/>
        <v>0</v>
      </c>
      <c r="H468" s="63">
        <f>'Procurement Schedule'!N586</f>
        <v>0</v>
      </c>
      <c r="I468">
        <f t="shared" ref="I468:I531" si="110">MONTH(H468)</f>
        <v>1</v>
      </c>
      <c r="J468">
        <f t="shared" si="103"/>
        <v>1900</v>
      </c>
      <c r="K468" t="str">
        <f t="shared" si="104"/>
        <v>1_1900</v>
      </c>
      <c r="S468" t="str">
        <f t="shared" si="106"/>
        <v/>
      </c>
      <c r="T468" s="64" t="str">
        <f t="shared" si="105"/>
        <v/>
      </c>
      <c r="AA468" t="str">
        <f t="shared" si="107"/>
        <v/>
      </c>
      <c r="AB468" s="64" t="str">
        <f t="shared" si="108"/>
        <v/>
      </c>
    </row>
    <row r="469" spans="1:28" x14ac:dyDescent="0.35">
      <c r="A469">
        <f>'Procurement Schedule'!R587</f>
        <v>0</v>
      </c>
      <c r="B469" s="63">
        <f>'Procurement Schedule'!M587</f>
        <v>0</v>
      </c>
      <c r="C469">
        <f t="shared" si="109"/>
        <v>1</v>
      </c>
      <c r="D469">
        <f t="shared" si="100"/>
        <v>1900</v>
      </c>
      <c r="E469" t="str">
        <f t="shared" si="101"/>
        <v>1_1900</v>
      </c>
      <c r="G469">
        <f t="shared" si="102"/>
        <v>0</v>
      </c>
      <c r="H469" s="63">
        <f>'Procurement Schedule'!N587</f>
        <v>0</v>
      </c>
      <c r="I469">
        <f t="shared" si="110"/>
        <v>1</v>
      </c>
      <c r="J469">
        <f t="shared" si="103"/>
        <v>1900</v>
      </c>
      <c r="K469" t="str">
        <f t="shared" si="104"/>
        <v>1_1900</v>
      </c>
      <c r="S469" t="str">
        <f t="shared" si="106"/>
        <v/>
      </c>
      <c r="T469" s="64" t="str">
        <f t="shared" si="105"/>
        <v/>
      </c>
      <c r="AA469" t="str">
        <f t="shared" si="107"/>
        <v/>
      </c>
      <c r="AB469" s="64" t="str">
        <f t="shared" si="108"/>
        <v/>
      </c>
    </row>
    <row r="470" spans="1:28" x14ac:dyDescent="0.35">
      <c r="A470">
        <f>'Procurement Schedule'!R588</f>
        <v>0</v>
      </c>
      <c r="B470" s="63">
        <f>'Procurement Schedule'!M588</f>
        <v>0</v>
      </c>
      <c r="C470">
        <f t="shared" si="109"/>
        <v>1</v>
      </c>
      <c r="D470">
        <f t="shared" si="100"/>
        <v>1900</v>
      </c>
      <c r="E470" t="str">
        <f t="shared" si="101"/>
        <v>1_1900</v>
      </c>
      <c r="G470">
        <f t="shared" si="102"/>
        <v>0</v>
      </c>
      <c r="H470" s="63">
        <f>'Procurement Schedule'!N588</f>
        <v>0</v>
      </c>
      <c r="I470">
        <f t="shared" si="110"/>
        <v>1</v>
      </c>
      <c r="J470">
        <f t="shared" si="103"/>
        <v>1900</v>
      </c>
      <c r="K470" t="str">
        <f t="shared" si="104"/>
        <v>1_1900</v>
      </c>
      <c r="S470" t="str">
        <f t="shared" si="106"/>
        <v/>
      </c>
      <c r="T470" s="64" t="str">
        <f t="shared" si="105"/>
        <v/>
      </c>
      <c r="AA470" t="str">
        <f t="shared" si="107"/>
        <v/>
      </c>
      <c r="AB470" s="64" t="str">
        <f t="shared" si="108"/>
        <v/>
      </c>
    </row>
    <row r="471" spans="1:28" x14ac:dyDescent="0.35">
      <c r="A471">
        <f>'Procurement Schedule'!R589</f>
        <v>0</v>
      </c>
      <c r="B471" s="63">
        <f>'Procurement Schedule'!M589</f>
        <v>0</v>
      </c>
      <c r="C471">
        <f t="shared" si="109"/>
        <v>1</v>
      </c>
      <c r="D471">
        <f t="shared" si="100"/>
        <v>1900</v>
      </c>
      <c r="E471" t="str">
        <f t="shared" si="101"/>
        <v>1_1900</v>
      </c>
      <c r="G471">
        <f t="shared" si="102"/>
        <v>0</v>
      </c>
      <c r="H471" s="63">
        <f>'Procurement Schedule'!N589</f>
        <v>0</v>
      </c>
      <c r="I471">
        <f t="shared" si="110"/>
        <v>1</v>
      </c>
      <c r="J471">
        <f t="shared" si="103"/>
        <v>1900</v>
      </c>
      <c r="K471" t="str">
        <f t="shared" si="104"/>
        <v>1_1900</v>
      </c>
      <c r="S471" t="str">
        <f t="shared" si="106"/>
        <v/>
      </c>
      <c r="T471" s="64" t="str">
        <f t="shared" si="105"/>
        <v/>
      </c>
      <c r="AA471" t="str">
        <f t="shared" si="107"/>
        <v/>
      </c>
      <c r="AB471" s="64" t="str">
        <f t="shared" si="108"/>
        <v/>
      </c>
    </row>
    <row r="472" spans="1:28" x14ac:dyDescent="0.35">
      <c r="A472">
        <f>'Procurement Schedule'!R590</f>
        <v>0</v>
      </c>
      <c r="B472" s="63">
        <f>'Procurement Schedule'!M590</f>
        <v>0</v>
      </c>
      <c r="C472">
        <f t="shared" si="109"/>
        <v>1</v>
      </c>
      <c r="D472">
        <f t="shared" si="100"/>
        <v>1900</v>
      </c>
      <c r="E472" t="str">
        <f t="shared" si="101"/>
        <v>1_1900</v>
      </c>
      <c r="G472">
        <f t="shared" si="102"/>
        <v>0</v>
      </c>
      <c r="H472" s="63">
        <f>'Procurement Schedule'!N590</f>
        <v>0</v>
      </c>
      <c r="I472">
        <f t="shared" si="110"/>
        <v>1</v>
      </c>
      <c r="J472">
        <f t="shared" si="103"/>
        <v>1900</v>
      </c>
      <c r="K472" t="str">
        <f t="shared" si="104"/>
        <v>1_1900</v>
      </c>
      <c r="S472" t="str">
        <f t="shared" si="106"/>
        <v/>
      </c>
      <c r="T472" s="64" t="str">
        <f t="shared" si="105"/>
        <v/>
      </c>
      <c r="AA472" t="str">
        <f t="shared" si="107"/>
        <v/>
      </c>
      <c r="AB472" s="64" t="str">
        <f t="shared" si="108"/>
        <v/>
      </c>
    </row>
    <row r="473" spans="1:28" x14ac:dyDescent="0.35">
      <c r="A473">
        <f>'Procurement Schedule'!R591</f>
        <v>0</v>
      </c>
      <c r="B473" s="63">
        <f>'Procurement Schedule'!M591</f>
        <v>0</v>
      </c>
      <c r="C473">
        <f t="shared" si="109"/>
        <v>1</v>
      </c>
      <c r="D473">
        <f t="shared" si="100"/>
        <v>1900</v>
      </c>
      <c r="E473" t="str">
        <f t="shared" si="101"/>
        <v>1_1900</v>
      </c>
      <c r="G473">
        <f t="shared" si="102"/>
        <v>0</v>
      </c>
      <c r="H473" s="63">
        <f>'Procurement Schedule'!N591</f>
        <v>0</v>
      </c>
      <c r="I473">
        <f t="shared" si="110"/>
        <v>1</v>
      </c>
      <c r="J473">
        <f t="shared" si="103"/>
        <v>1900</v>
      </c>
      <c r="K473" t="str">
        <f t="shared" si="104"/>
        <v>1_1900</v>
      </c>
      <c r="S473" t="str">
        <f t="shared" si="106"/>
        <v/>
      </c>
      <c r="T473" s="64" t="str">
        <f t="shared" si="105"/>
        <v/>
      </c>
      <c r="AA473" t="str">
        <f t="shared" si="107"/>
        <v/>
      </c>
      <c r="AB473" s="64" t="str">
        <f t="shared" si="108"/>
        <v/>
      </c>
    </row>
    <row r="474" spans="1:28" x14ac:dyDescent="0.35">
      <c r="A474">
        <f>'Procurement Schedule'!R592</f>
        <v>0</v>
      </c>
      <c r="B474" s="63">
        <f>'Procurement Schedule'!M592</f>
        <v>0</v>
      </c>
      <c r="C474">
        <f t="shared" si="109"/>
        <v>1</v>
      </c>
      <c r="D474">
        <f t="shared" si="100"/>
        <v>1900</v>
      </c>
      <c r="E474" t="str">
        <f t="shared" si="101"/>
        <v>1_1900</v>
      </c>
      <c r="G474">
        <f t="shared" si="102"/>
        <v>0</v>
      </c>
      <c r="H474" s="63">
        <f>'Procurement Schedule'!N592</f>
        <v>0</v>
      </c>
      <c r="I474">
        <f t="shared" si="110"/>
        <v>1</v>
      </c>
      <c r="J474">
        <f t="shared" si="103"/>
        <v>1900</v>
      </c>
      <c r="K474" t="str">
        <f t="shared" si="104"/>
        <v>1_1900</v>
      </c>
      <c r="S474" t="str">
        <f t="shared" si="106"/>
        <v/>
      </c>
      <c r="T474" s="64" t="str">
        <f t="shared" si="105"/>
        <v/>
      </c>
      <c r="AA474" t="str">
        <f t="shared" si="107"/>
        <v/>
      </c>
      <c r="AB474" s="64" t="str">
        <f t="shared" si="108"/>
        <v/>
      </c>
    </row>
    <row r="475" spans="1:28" x14ac:dyDescent="0.35">
      <c r="A475">
        <f>'Procurement Schedule'!R593</f>
        <v>0</v>
      </c>
      <c r="B475" s="63">
        <f>'Procurement Schedule'!M593</f>
        <v>0</v>
      </c>
      <c r="C475">
        <f t="shared" si="109"/>
        <v>1</v>
      </c>
      <c r="D475">
        <f t="shared" si="100"/>
        <v>1900</v>
      </c>
      <c r="E475" t="str">
        <f t="shared" si="101"/>
        <v>1_1900</v>
      </c>
      <c r="G475">
        <f t="shared" si="102"/>
        <v>0</v>
      </c>
      <c r="H475" s="63">
        <f>'Procurement Schedule'!N593</f>
        <v>0</v>
      </c>
      <c r="I475">
        <f t="shared" si="110"/>
        <v>1</v>
      </c>
      <c r="J475">
        <f t="shared" si="103"/>
        <v>1900</v>
      </c>
      <c r="K475" t="str">
        <f t="shared" si="104"/>
        <v>1_1900</v>
      </c>
      <c r="S475" t="str">
        <f t="shared" si="106"/>
        <v/>
      </c>
      <c r="T475" s="64" t="str">
        <f t="shared" si="105"/>
        <v/>
      </c>
      <c r="AA475" t="str">
        <f t="shared" si="107"/>
        <v/>
      </c>
      <c r="AB475" s="64" t="str">
        <f t="shared" si="108"/>
        <v/>
      </c>
    </row>
    <row r="476" spans="1:28" x14ac:dyDescent="0.35">
      <c r="A476">
        <f>'Procurement Schedule'!R594</f>
        <v>0</v>
      </c>
      <c r="B476" s="63">
        <f>'Procurement Schedule'!M594</f>
        <v>0</v>
      </c>
      <c r="C476">
        <f t="shared" si="109"/>
        <v>1</v>
      </c>
      <c r="D476">
        <f t="shared" si="100"/>
        <v>1900</v>
      </c>
      <c r="E476" t="str">
        <f t="shared" si="101"/>
        <v>1_1900</v>
      </c>
      <c r="G476">
        <f t="shared" si="102"/>
        <v>0</v>
      </c>
      <c r="H476" s="63">
        <f>'Procurement Schedule'!N594</f>
        <v>0</v>
      </c>
      <c r="I476">
        <f t="shared" si="110"/>
        <v>1</v>
      </c>
      <c r="J476">
        <f t="shared" si="103"/>
        <v>1900</v>
      </c>
      <c r="K476" t="str">
        <f t="shared" si="104"/>
        <v>1_1900</v>
      </c>
      <c r="S476" t="str">
        <f t="shared" si="106"/>
        <v/>
      </c>
      <c r="T476" s="64" t="str">
        <f t="shared" si="105"/>
        <v/>
      </c>
      <c r="AA476" t="str">
        <f t="shared" si="107"/>
        <v/>
      </c>
      <c r="AB476" s="64" t="str">
        <f t="shared" si="108"/>
        <v/>
      </c>
    </row>
    <row r="477" spans="1:28" x14ac:dyDescent="0.35">
      <c r="A477">
        <f>'Procurement Schedule'!R595</f>
        <v>0</v>
      </c>
      <c r="B477" s="63">
        <f>'Procurement Schedule'!M595</f>
        <v>0</v>
      </c>
      <c r="C477">
        <f t="shared" si="109"/>
        <v>1</v>
      </c>
      <c r="D477">
        <f t="shared" si="100"/>
        <v>1900</v>
      </c>
      <c r="E477" t="str">
        <f t="shared" si="101"/>
        <v>1_1900</v>
      </c>
      <c r="G477">
        <f t="shared" si="102"/>
        <v>0</v>
      </c>
      <c r="H477" s="63">
        <f>'Procurement Schedule'!N595</f>
        <v>0</v>
      </c>
      <c r="I477">
        <f t="shared" si="110"/>
        <v>1</v>
      </c>
      <c r="J477">
        <f t="shared" si="103"/>
        <v>1900</v>
      </c>
      <c r="K477" t="str">
        <f t="shared" si="104"/>
        <v>1_1900</v>
      </c>
      <c r="S477" t="str">
        <f t="shared" si="106"/>
        <v/>
      </c>
      <c r="T477" s="64" t="str">
        <f t="shared" si="105"/>
        <v/>
      </c>
      <c r="AA477" t="str">
        <f t="shared" si="107"/>
        <v/>
      </c>
      <c r="AB477" s="64" t="str">
        <f t="shared" si="108"/>
        <v/>
      </c>
    </row>
    <row r="478" spans="1:28" x14ac:dyDescent="0.35">
      <c r="A478">
        <f>'Procurement Schedule'!R596</f>
        <v>0</v>
      </c>
      <c r="B478" s="63">
        <f>'Procurement Schedule'!M596</f>
        <v>0</v>
      </c>
      <c r="C478">
        <f t="shared" si="109"/>
        <v>1</v>
      </c>
      <c r="D478">
        <f t="shared" si="100"/>
        <v>1900</v>
      </c>
      <c r="E478" t="str">
        <f t="shared" si="101"/>
        <v>1_1900</v>
      </c>
      <c r="G478">
        <f t="shared" si="102"/>
        <v>0</v>
      </c>
      <c r="H478" s="63">
        <f>'Procurement Schedule'!N596</f>
        <v>0</v>
      </c>
      <c r="I478">
        <f t="shared" si="110"/>
        <v>1</v>
      </c>
      <c r="J478">
        <f t="shared" si="103"/>
        <v>1900</v>
      </c>
      <c r="K478" t="str">
        <f t="shared" si="104"/>
        <v>1_1900</v>
      </c>
      <c r="S478" t="str">
        <f t="shared" si="106"/>
        <v/>
      </c>
      <c r="T478" s="64" t="str">
        <f t="shared" si="105"/>
        <v/>
      </c>
      <c r="AA478" t="str">
        <f t="shared" si="107"/>
        <v/>
      </c>
      <c r="AB478" s="64" t="str">
        <f t="shared" si="108"/>
        <v/>
      </c>
    </row>
    <row r="479" spans="1:28" x14ac:dyDescent="0.35">
      <c r="A479">
        <f>'Procurement Schedule'!R597</f>
        <v>0</v>
      </c>
      <c r="B479" s="63">
        <f>'Procurement Schedule'!M597</f>
        <v>0</v>
      </c>
      <c r="C479">
        <f t="shared" si="109"/>
        <v>1</v>
      </c>
      <c r="D479">
        <f t="shared" si="100"/>
        <v>1900</v>
      </c>
      <c r="E479" t="str">
        <f t="shared" si="101"/>
        <v>1_1900</v>
      </c>
      <c r="G479">
        <f t="shared" si="102"/>
        <v>0</v>
      </c>
      <c r="H479" s="63">
        <f>'Procurement Schedule'!N597</f>
        <v>0</v>
      </c>
      <c r="I479">
        <f t="shared" si="110"/>
        <v>1</v>
      </c>
      <c r="J479">
        <f t="shared" si="103"/>
        <v>1900</v>
      </c>
      <c r="K479" t="str">
        <f t="shared" si="104"/>
        <v>1_1900</v>
      </c>
      <c r="S479" t="str">
        <f t="shared" si="106"/>
        <v/>
      </c>
      <c r="T479" s="64" t="str">
        <f t="shared" si="105"/>
        <v/>
      </c>
      <c r="AA479" t="str">
        <f t="shared" si="107"/>
        <v/>
      </c>
      <c r="AB479" s="64" t="str">
        <f t="shared" si="108"/>
        <v/>
      </c>
    </row>
    <row r="480" spans="1:28" x14ac:dyDescent="0.35">
      <c r="A480">
        <f>'Procurement Schedule'!R598</f>
        <v>0</v>
      </c>
      <c r="B480" s="63">
        <f>'Procurement Schedule'!M598</f>
        <v>0</v>
      </c>
      <c r="C480">
        <f t="shared" si="109"/>
        <v>1</v>
      </c>
      <c r="D480">
        <f t="shared" si="100"/>
        <v>1900</v>
      </c>
      <c r="E480" t="str">
        <f t="shared" si="101"/>
        <v>1_1900</v>
      </c>
      <c r="G480">
        <f t="shared" si="102"/>
        <v>0</v>
      </c>
      <c r="H480" s="63">
        <f>'Procurement Schedule'!N598</f>
        <v>0</v>
      </c>
      <c r="I480">
        <f t="shared" si="110"/>
        <v>1</v>
      </c>
      <c r="J480">
        <f t="shared" si="103"/>
        <v>1900</v>
      </c>
      <c r="K480" t="str">
        <f t="shared" si="104"/>
        <v>1_1900</v>
      </c>
      <c r="S480" t="str">
        <f t="shared" si="106"/>
        <v/>
      </c>
      <c r="T480" s="64" t="str">
        <f t="shared" si="105"/>
        <v/>
      </c>
      <c r="AA480" t="str">
        <f t="shared" si="107"/>
        <v/>
      </c>
      <c r="AB480" s="64" t="str">
        <f t="shared" si="108"/>
        <v/>
      </c>
    </row>
    <row r="481" spans="1:28" x14ac:dyDescent="0.35">
      <c r="A481">
        <f>'Procurement Schedule'!R599</f>
        <v>0</v>
      </c>
      <c r="B481" s="63">
        <f>'Procurement Schedule'!M599</f>
        <v>0</v>
      </c>
      <c r="C481">
        <f t="shared" si="109"/>
        <v>1</v>
      </c>
      <c r="D481">
        <f t="shared" si="100"/>
        <v>1900</v>
      </c>
      <c r="E481" t="str">
        <f t="shared" si="101"/>
        <v>1_1900</v>
      </c>
      <c r="G481">
        <f t="shared" si="102"/>
        <v>0</v>
      </c>
      <c r="H481" s="63">
        <f>'Procurement Schedule'!N599</f>
        <v>0</v>
      </c>
      <c r="I481">
        <f t="shared" si="110"/>
        <v>1</v>
      </c>
      <c r="J481">
        <f t="shared" si="103"/>
        <v>1900</v>
      </c>
      <c r="K481" t="str">
        <f t="shared" si="104"/>
        <v>1_1900</v>
      </c>
      <c r="S481" t="str">
        <f t="shared" si="106"/>
        <v/>
      </c>
      <c r="T481" s="64" t="str">
        <f t="shared" si="105"/>
        <v/>
      </c>
      <c r="AA481" t="str">
        <f t="shared" si="107"/>
        <v/>
      </c>
      <c r="AB481" s="64" t="str">
        <f t="shared" si="108"/>
        <v/>
      </c>
    </row>
    <row r="482" spans="1:28" x14ac:dyDescent="0.35">
      <c r="A482">
        <f>'Procurement Schedule'!R600</f>
        <v>0</v>
      </c>
      <c r="B482" s="63">
        <f>'Procurement Schedule'!M600</f>
        <v>0</v>
      </c>
      <c r="C482">
        <f t="shared" si="109"/>
        <v>1</v>
      </c>
      <c r="D482">
        <f t="shared" si="100"/>
        <v>1900</v>
      </c>
      <c r="E482" t="str">
        <f t="shared" si="101"/>
        <v>1_1900</v>
      </c>
      <c r="G482">
        <f t="shared" si="102"/>
        <v>0</v>
      </c>
      <c r="H482" s="63">
        <f>'Procurement Schedule'!N600</f>
        <v>0</v>
      </c>
      <c r="I482">
        <f t="shared" si="110"/>
        <v>1</v>
      </c>
      <c r="J482">
        <f t="shared" si="103"/>
        <v>1900</v>
      </c>
      <c r="K482" t="str">
        <f t="shared" si="104"/>
        <v>1_1900</v>
      </c>
      <c r="S482" t="str">
        <f t="shared" si="106"/>
        <v/>
      </c>
      <c r="T482" s="64" t="str">
        <f t="shared" si="105"/>
        <v/>
      </c>
      <c r="AA482" t="str">
        <f t="shared" si="107"/>
        <v/>
      </c>
      <c r="AB482" s="64" t="str">
        <f t="shared" si="108"/>
        <v/>
      </c>
    </row>
    <row r="483" spans="1:28" x14ac:dyDescent="0.35">
      <c r="A483">
        <f>'Procurement Schedule'!R601</f>
        <v>0</v>
      </c>
      <c r="B483" s="63">
        <f>'Procurement Schedule'!M601</f>
        <v>0</v>
      </c>
      <c r="C483">
        <f t="shared" si="109"/>
        <v>1</v>
      </c>
      <c r="D483">
        <f t="shared" si="100"/>
        <v>1900</v>
      </c>
      <c r="E483" t="str">
        <f t="shared" si="101"/>
        <v>1_1900</v>
      </c>
      <c r="G483">
        <f t="shared" si="102"/>
        <v>0</v>
      </c>
      <c r="H483" s="63">
        <f>'Procurement Schedule'!N601</f>
        <v>0</v>
      </c>
      <c r="I483">
        <f t="shared" si="110"/>
        <v>1</v>
      </c>
      <c r="J483">
        <f t="shared" si="103"/>
        <v>1900</v>
      </c>
      <c r="K483" t="str">
        <f t="shared" si="104"/>
        <v>1_1900</v>
      </c>
      <c r="S483" t="str">
        <f t="shared" si="106"/>
        <v/>
      </c>
      <c r="T483" s="64" t="str">
        <f t="shared" si="105"/>
        <v/>
      </c>
      <c r="AA483" t="str">
        <f t="shared" si="107"/>
        <v/>
      </c>
      <c r="AB483" s="64" t="str">
        <f t="shared" si="108"/>
        <v/>
      </c>
    </row>
    <row r="484" spans="1:28" x14ac:dyDescent="0.35">
      <c r="A484">
        <f>'Procurement Schedule'!R602</f>
        <v>0</v>
      </c>
      <c r="B484" s="63">
        <f>'Procurement Schedule'!M602</f>
        <v>0</v>
      </c>
      <c r="C484">
        <f t="shared" si="109"/>
        <v>1</v>
      </c>
      <c r="D484">
        <f t="shared" si="100"/>
        <v>1900</v>
      </c>
      <c r="E484" t="str">
        <f t="shared" si="101"/>
        <v>1_1900</v>
      </c>
      <c r="G484">
        <f t="shared" si="102"/>
        <v>0</v>
      </c>
      <c r="H484" s="63">
        <f>'Procurement Schedule'!N602</f>
        <v>0</v>
      </c>
      <c r="I484">
        <f t="shared" si="110"/>
        <v>1</v>
      </c>
      <c r="J484">
        <f t="shared" si="103"/>
        <v>1900</v>
      </c>
      <c r="K484" t="str">
        <f t="shared" si="104"/>
        <v>1_1900</v>
      </c>
      <c r="S484" t="str">
        <f t="shared" si="106"/>
        <v/>
      </c>
      <c r="T484" s="64" t="str">
        <f t="shared" si="105"/>
        <v/>
      </c>
      <c r="AA484" t="str">
        <f t="shared" si="107"/>
        <v/>
      </c>
      <c r="AB484" s="64" t="str">
        <f t="shared" si="108"/>
        <v/>
      </c>
    </row>
    <row r="485" spans="1:28" x14ac:dyDescent="0.35">
      <c r="A485">
        <f>'Procurement Schedule'!R603</f>
        <v>0</v>
      </c>
      <c r="B485" s="63">
        <f>'Procurement Schedule'!M603</f>
        <v>0</v>
      </c>
      <c r="C485">
        <f t="shared" si="109"/>
        <v>1</v>
      </c>
      <c r="D485">
        <f t="shared" si="100"/>
        <v>1900</v>
      </c>
      <c r="E485" t="str">
        <f t="shared" si="101"/>
        <v>1_1900</v>
      </c>
      <c r="G485">
        <f t="shared" si="102"/>
        <v>0</v>
      </c>
      <c r="H485" s="63">
        <f>'Procurement Schedule'!N603</f>
        <v>0</v>
      </c>
      <c r="I485">
        <f t="shared" si="110"/>
        <v>1</v>
      </c>
      <c r="J485">
        <f t="shared" si="103"/>
        <v>1900</v>
      </c>
      <c r="K485" t="str">
        <f t="shared" si="104"/>
        <v>1_1900</v>
      </c>
      <c r="S485" t="str">
        <f t="shared" si="106"/>
        <v/>
      </c>
      <c r="T485" s="64" t="str">
        <f t="shared" si="105"/>
        <v/>
      </c>
      <c r="AA485" t="str">
        <f t="shared" si="107"/>
        <v/>
      </c>
      <c r="AB485" s="64" t="str">
        <f t="shared" si="108"/>
        <v/>
      </c>
    </row>
    <row r="486" spans="1:28" x14ac:dyDescent="0.35">
      <c r="A486">
        <f>'Procurement Schedule'!R604</f>
        <v>0</v>
      </c>
      <c r="B486" s="63">
        <f>'Procurement Schedule'!M604</f>
        <v>0</v>
      </c>
      <c r="C486">
        <f t="shared" si="109"/>
        <v>1</v>
      </c>
      <c r="D486">
        <f t="shared" si="100"/>
        <v>1900</v>
      </c>
      <c r="E486" t="str">
        <f t="shared" si="101"/>
        <v>1_1900</v>
      </c>
      <c r="G486">
        <f t="shared" si="102"/>
        <v>0</v>
      </c>
      <c r="H486" s="63">
        <f>'Procurement Schedule'!N604</f>
        <v>0</v>
      </c>
      <c r="I486">
        <f t="shared" si="110"/>
        <v>1</v>
      </c>
      <c r="J486">
        <f t="shared" si="103"/>
        <v>1900</v>
      </c>
      <c r="K486" t="str">
        <f t="shared" si="104"/>
        <v>1_1900</v>
      </c>
      <c r="S486" t="str">
        <f t="shared" si="106"/>
        <v/>
      </c>
      <c r="T486" s="64" t="str">
        <f t="shared" si="105"/>
        <v/>
      </c>
      <c r="AA486" t="str">
        <f t="shared" si="107"/>
        <v/>
      </c>
      <c r="AB486" s="64" t="str">
        <f t="shared" si="108"/>
        <v/>
      </c>
    </row>
    <row r="487" spans="1:28" x14ac:dyDescent="0.35">
      <c r="A487">
        <f>'Procurement Schedule'!R605</f>
        <v>0</v>
      </c>
      <c r="B487" s="63">
        <f>'Procurement Schedule'!M605</f>
        <v>0</v>
      </c>
      <c r="C487">
        <f t="shared" si="109"/>
        <v>1</v>
      </c>
      <c r="D487">
        <f t="shared" si="100"/>
        <v>1900</v>
      </c>
      <c r="E487" t="str">
        <f t="shared" si="101"/>
        <v>1_1900</v>
      </c>
      <c r="G487">
        <f t="shared" si="102"/>
        <v>0</v>
      </c>
      <c r="H487" s="63">
        <f>'Procurement Schedule'!N605</f>
        <v>0</v>
      </c>
      <c r="I487">
        <f t="shared" si="110"/>
        <v>1</v>
      </c>
      <c r="J487">
        <f t="shared" si="103"/>
        <v>1900</v>
      </c>
      <c r="K487" t="str">
        <f t="shared" si="104"/>
        <v>1_1900</v>
      </c>
      <c r="S487" t="str">
        <f t="shared" si="106"/>
        <v/>
      </c>
      <c r="T487" s="64" t="str">
        <f t="shared" si="105"/>
        <v/>
      </c>
      <c r="AA487" t="str">
        <f t="shared" si="107"/>
        <v/>
      </c>
      <c r="AB487" s="64" t="str">
        <f t="shared" si="108"/>
        <v/>
      </c>
    </row>
    <row r="488" spans="1:28" x14ac:dyDescent="0.35">
      <c r="A488">
        <f>'Procurement Schedule'!R606</f>
        <v>0</v>
      </c>
      <c r="B488" s="63">
        <f>'Procurement Schedule'!M606</f>
        <v>0</v>
      </c>
      <c r="C488">
        <f t="shared" si="109"/>
        <v>1</v>
      </c>
      <c r="D488">
        <f t="shared" si="100"/>
        <v>1900</v>
      </c>
      <c r="E488" t="str">
        <f t="shared" si="101"/>
        <v>1_1900</v>
      </c>
      <c r="G488">
        <f t="shared" si="102"/>
        <v>0</v>
      </c>
      <c r="H488" s="63">
        <f>'Procurement Schedule'!N606</f>
        <v>0</v>
      </c>
      <c r="I488">
        <f t="shared" si="110"/>
        <v>1</v>
      </c>
      <c r="J488">
        <f t="shared" si="103"/>
        <v>1900</v>
      </c>
      <c r="K488" t="str">
        <f t="shared" si="104"/>
        <v>1_1900</v>
      </c>
      <c r="S488" t="str">
        <f t="shared" si="106"/>
        <v/>
      </c>
      <c r="T488" s="64" t="str">
        <f t="shared" si="105"/>
        <v/>
      </c>
      <c r="AA488" t="str">
        <f t="shared" si="107"/>
        <v/>
      </c>
      <c r="AB488" s="64" t="str">
        <f t="shared" si="108"/>
        <v/>
      </c>
    </row>
    <row r="489" spans="1:28" x14ac:dyDescent="0.35">
      <c r="A489">
        <f>'Procurement Schedule'!R607</f>
        <v>0</v>
      </c>
      <c r="B489" s="63">
        <f>'Procurement Schedule'!M607</f>
        <v>0</v>
      </c>
      <c r="C489">
        <f t="shared" si="109"/>
        <v>1</v>
      </c>
      <c r="D489">
        <f t="shared" si="100"/>
        <v>1900</v>
      </c>
      <c r="E489" t="str">
        <f t="shared" si="101"/>
        <v>1_1900</v>
      </c>
      <c r="G489">
        <f t="shared" si="102"/>
        <v>0</v>
      </c>
      <c r="H489" s="63">
        <f>'Procurement Schedule'!N607</f>
        <v>0</v>
      </c>
      <c r="I489">
        <f t="shared" si="110"/>
        <v>1</v>
      </c>
      <c r="J489">
        <f t="shared" si="103"/>
        <v>1900</v>
      </c>
      <c r="K489" t="str">
        <f t="shared" si="104"/>
        <v>1_1900</v>
      </c>
      <c r="S489" t="str">
        <f t="shared" si="106"/>
        <v/>
      </c>
      <c r="T489" s="64" t="str">
        <f t="shared" si="105"/>
        <v/>
      </c>
      <c r="AA489" t="str">
        <f t="shared" si="107"/>
        <v/>
      </c>
      <c r="AB489" s="64" t="str">
        <f t="shared" si="108"/>
        <v/>
      </c>
    </row>
    <row r="490" spans="1:28" x14ac:dyDescent="0.35">
      <c r="A490">
        <f>'Procurement Schedule'!R608</f>
        <v>0</v>
      </c>
      <c r="B490" s="63">
        <f>'Procurement Schedule'!M608</f>
        <v>0</v>
      </c>
      <c r="C490">
        <f t="shared" si="109"/>
        <v>1</v>
      </c>
      <c r="D490">
        <f t="shared" si="100"/>
        <v>1900</v>
      </c>
      <c r="E490" t="str">
        <f t="shared" si="101"/>
        <v>1_1900</v>
      </c>
      <c r="G490">
        <f t="shared" si="102"/>
        <v>0</v>
      </c>
      <c r="H490" s="63">
        <f>'Procurement Schedule'!N608</f>
        <v>0</v>
      </c>
      <c r="I490">
        <f t="shared" si="110"/>
        <v>1</v>
      </c>
      <c r="J490">
        <f t="shared" si="103"/>
        <v>1900</v>
      </c>
      <c r="K490" t="str">
        <f t="shared" si="104"/>
        <v>1_1900</v>
      </c>
      <c r="S490" t="str">
        <f t="shared" si="106"/>
        <v/>
      </c>
      <c r="T490" s="64" t="str">
        <f t="shared" si="105"/>
        <v/>
      </c>
      <c r="AA490" t="str">
        <f t="shared" si="107"/>
        <v/>
      </c>
      <c r="AB490" s="64" t="str">
        <f t="shared" si="108"/>
        <v/>
      </c>
    </row>
    <row r="491" spans="1:28" x14ac:dyDescent="0.35">
      <c r="A491">
        <f>'Procurement Schedule'!R609</f>
        <v>0</v>
      </c>
      <c r="B491" s="63">
        <f>'Procurement Schedule'!M609</f>
        <v>0</v>
      </c>
      <c r="C491">
        <f t="shared" si="109"/>
        <v>1</v>
      </c>
      <c r="D491">
        <f t="shared" si="100"/>
        <v>1900</v>
      </c>
      <c r="E491" t="str">
        <f t="shared" si="101"/>
        <v>1_1900</v>
      </c>
      <c r="G491">
        <f t="shared" si="102"/>
        <v>0</v>
      </c>
      <c r="H491" s="63">
        <f>'Procurement Schedule'!N609</f>
        <v>0</v>
      </c>
      <c r="I491">
        <f t="shared" si="110"/>
        <v>1</v>
      </c>
      <c r="J491">
        <f t="shared" si="103"/>
        <v>1900</v>
      </c>
      <c r="K491" t="str">
        <f t="shared" si="104"/>
        <v>1_1900</v>
      </c>
      <c r="S491" t="str">
        <f t="shared" si="106"/>
        <v/>
      </c>
      <c r="T491" s="64" t="str">
        <f t="shared" si="105"/>
        <v/>
      </c>
      <c r="AA491" t="str">
        <f t="shared" si="107"/>
        <v/>
      </c>
      <c r="AB491" s="64" t="str">
        <f t="shared" si="108"/>
        <v/>
      </c>
    </row>
    <row r="492" spans="1:28" x14ac:dyDescent="0.35">
      <c r="A492">
        <f>'Procurement Schedule'!R610</f>
        <v>0</v>
      </c>
      <c r="B492" s="63">
        <f>'Procurement Schedule'!M610</f>
        <v>0</v>
      </c>
      <c r="C492">
        <f t="shared" si="109"/>
        <v>1</v>
      </c>
      <c r="D492">
        <f t="shared" si="100"/>
        <v>1900</v>
      </c>
      <c r="E492" t="str">
        <f t="shared" si="101"/>
        <v>1_1900</v>
      </c>
      <c r="G492">
        <f t="shared" si="102"/>
        <v>0</v>
      </c>
      <c r="H492" s="63">
        <f>'Procurement Schedule'!N610</f>
        <v>0</v>
      </c>
      <c r="I492">
        <f t="shared" si="110"/>
        <v>1</v>
      </c>
      <c r="J492">
        <f t="shared" si="103"/>
        <v>1900</v>
      </c>
      <c r="K492" t="str">
        <f t="shared" si="104"/>
        <v>1_1900</v>
      </c>
      <c r="S492" t="str">
        <f t="shared" si="106"/>
        <v/>
      </c>
      <c r="T492" s="64" t="str">
        <f t="shared" si="105"/>
        <v/>
      </c>
      <c r="AA492" t="str">
        <f t="shared" si="107"/>
        <v/>
      </c>
      <c r="AB492" s="64" t="str">
        <f t="shared" si="108"/>
        <v/>
      </c>
    </row>
    <row r="493" spans="1:28" x14ac:dyDescent="0.35">
      <c r="A493">
        <f>'Procurement Schedule'!R611</f>
        <v>0</v>
      </c>
      <c r="B493" s="63">
        <f>'Procurement Schedule'!M611</f>
        <v>0</v>
      </c>
      <c r="C493">
        <f t="shared" si="109"/>
        <v>1</v>
      </c>
      <c r="D493">
        <f t="shared" si="100"/>
        <v>1900</v>
      </c>
      <c r="E493" t="str">
        <f t="shared" si="101"/>
        <v>1_1900</v>
      </c>
      <c r="G493">
        <f t="shared" si="102"/>
        <v>0</v>
      </c>
      <c r="H493" s="63">
        <f>'Procurement Schedule'!N611</f>
        <v>0</v>
      </c>
      <c r="I493">
        <f t="shared" si="110"/>
        <v>1</v>
      </c>
      <c r="J493">
        <f t="shared" si="103"/>
        <v>1900</v>
      </c>
      <c r="K493" t="str">
        <f t="shared" si="104"/>
        <v>1_1900</v>
      </c>
      <c r="S493" t="str">
        <f t="shared" si="106"/>
        <v/>
      </c>
      <c r="T493" s="64" t="str">
        <f t="shared" si="105"/>
        <v/>
      </c>
      <c r="AA493" t="str">
        <f t="shared" si="107"/>
        <v/>
      </c>
      <c r="AB493" s="64" t="str">
        <f t="shared" si="108"/>
        <v/>
      </c>
    </row>
    <row r="494" spans="1:28" x14ac:dyDescent="0.35">
      <c r="A494">
        <f>'Procurement Schedule'!R612</f>
        <v>0</v>
      </c>
      <c r="B494" s="63">
        <f>'Procurement Schedule'!M612</f>
        <v>0</v>
      </c>
      <c r="C494">
        <f t="shared" si="109"/>
        <v>1</v>
      </c>
      <c r="D494">
        <f t="shared" si="100"/>
        <v>1900</v>
      </c>
      <c r="E494" t="str">
        <f t="shared" si="101"/>
        <v>1_1900</v>
      </c>
      <c r="G494">
        <f t="shared" si="102"/>
        <v>0</v>
      </c>
      <c r="H494" s="63">
        <f>'Procurement Schedule'!N612</f>
        <v>0</v>
      </c>
      <c r="I494">
        <f t="shared" si="110"/>
        <v>1</v>
      </c>
      <c r="J494">
        <f t="shared" si="103"/>
        <v>1900</v>
      </c>
      <c r="K494" t="str">
        <f t="shared" si="104"/>
        <v>1_1900</v>
      </c>
      <c r="S494" t="str">
        <f t="shared" si="106"/>
        <v/>
      </c>
      <c r="T494" s="64" t="str">
        <f t="shared" si="105"/>
        <v/>
      </c>
      <c r="AA494" t="str">
        <f t="shared" si="107"/>
        <v/>
      </c>
      <c r="AB494" s="64" t="str">
        <f t="shared" si="108"/>
        <v/>
      </c>
    </row>
    <row r="495" spans="1:28" x14ac:dyDescent="0.35">
      <c r="A495">
        <f>'Procurement Schedule'!R613</f>
        <v>0</v>
      </c>
      <c r="B495" s="63">
        <f>'Procurement Schedule'!M613</f>
        <v>0</v>
      </c>
      <c r="C495">
        <f t="shared" si="109"/>
        <v>1</v>
      </c>
      <c r="D495">
        <f t="shared" si="100"/>
        <v>1900</v>
      </c>
      <c r="E495" t="str">
        <f t="shared" si="101"/>
        <v>1_1900</v>
      </c>
      <c r="G495">
        <f t="shared" si="102"/>
        <v>0</v>
      </c>
      <c r="H495" s="63">
        <f>'Procurement Schedule'!N613</f>
        <v>0</v>
      </c>
      <c r="I495">
        <f t="shared" si="110"/>
        <v>1</v>
      </c>
      <c r="J495">
        <f t="shared" si="103"/>
        <v>1900</v>
      </c>
      <c r="K495" t="str">
        <f t="shared" si="104"/>
        <v>1_1900</v>
      </c>
      <c r="S495" t="str">
        <f t="shared" si="106"/>
        <v/>
      </c>
      <c r="T495" s="64" t="str">
        <f t="shared" si="105"/>
        <v/>
      </c>
      <c r="AA495" t="str">
        <f t="shared" si="107"/>
        <v/>
      </c>
      <c r="AB495" s="64" t="str">
        <f t="shared" si="108"/>
        <v/>
      </c>
    </row>
    <row r="496" spans="1:28" x14ac:dyDescent="0.35">
      <c r="A496">
        <f>'Procurement Schedule'!R614</f>
        <v>0</v>
      </c>
      <c r="B496" s="63">
        <f>'Procurement Schedule'!M614</f>
        <v>0</v>
      </c>
      <c r="C496">
        <f t="shared" si="109"/>
        <v>1</v>
      </c>
      <c r="D496">
        <f t="shared" si="100"/>
        <v>1900</v>
      </c>
      <c r="E496" t="str">
        <f t="shared" si="101"/>
        <v>1_1900</v>
      </c>
      <c r="G496">
        <f t="shared" si="102"/>
        <v>0</v>
      </c>
      <c r="H496" s="63">
        <f>'Procurement Schedule'!N614</f>
        <v>0</v>
      </c>
      <c r="I496">
        <f t="shared" si="110"/>
        <v>1</v>
      </c>
      <c r="J496">
        <f t="shared" si="103"/>
        <v>1900</v>
      </c>
      <c r="K496" t="str">
        <f t="shared" si="104"/>
        <v>1_1900</v>
      </c>
      <c r="S496" t="str">
        <f t="shared" si="106"/>
        <v/>
      </c>
      <c r="T496" s="64" t="str">
        <f t="shared" si="105"/>
        <v/>
      </c>
      <c r="AA496" t="str">
        <f t="shared" si="107"/>
        <v/>
      </c>
      <c r="AB496" s="64" t="str">
        <f t="shared" si="108"/>
        <v/>
      </c>
    </row>
    <row r="497" spans="1:28" x14ac:dyDescent="0.35">
      <c r="A497">
        <f>'Procurement Schedule'!R615</f>
        <v>0</v>
      </c>
      <c r="B497" s="63">
        <f>'Procurement Schedule'!M615</f>
        <v>0</v>
      </c>
      <c r="C497">
        <f t="shared" si="109"/>
        <v>1</v>
      </c>
      <c r="D497">
        <f t="shared" si="100"/>
        <v>1900</v>
      </c>
      <c r="E497" t="str">
        <f t="shared" si="101"/>
        <v>1_1900</v>
      </c>
      <c r="G497">
        <f t="shared" si="102"/>
        <v>0</v>
      </c>
      <c r="H497" s="63">
        <f>'Procurement Schedule'!N615</f>
        <v>0</v>
      </c>
      <c r="I497">
        <f t="shared" si="110"/>
        <v>1</v>
      </c>
      <c r="J497">
        <f t="shared" si="103"/>
        <v>1900</v>
      </c>
      <c r="K497" t="str">
        <f t="shared" si="104"/>
        <v>1_1900</v>
      </c>
      <c r="S497" t="str">
        <f t="shared" si="106"/>
        <v/>
      </c>
      <c r="T497" s="64" t="str">
        <f t="shared" si="105"/>
        <v/>
      </c>
      <c r="AA497" t="str">
        <f t="shared" si="107"/>
        <v/>
      </c>
      <c r="AB497" s="64" t="str">
        <f t="shared" si="108"/>
        <v/>
      </c>
    </row>
    <row r="498" spans="1:28" x14ac:dyDescent="0.35">
      <c r="A498">
        <f>'Procurement Schedule'!R616</f>
        <v>0</v>
      </c>
      <c r="B498" s="63">
        <f>'Procurement Schedule'!M616</f>
        <v>0</v>
      </c>
      <c r="C498">
        <f t="shared" si="109"/>
        <v>1</v>
      </c>
      <c r="D498">
        <f t="shared" si="100"/>
        <v>1900</v>
      </c>
      <c r="E498" t="str">
        <f t="shared" si="101"/>
        <v>1_1900</v>
      </c>
      <c r="G498">
        <f t="shared" si="102"/>
        <v>0</v>
      </c>
      <c r="H498" s="63">
        <f>'Procurement Schedule'!N616</f>
        <v>0</v>
      </c>
      <c r="I498">
        <f t="shared" si="110"/>
        <v>1</v>
      </c>
      <c r="J498">
        <f t="shared" si="103"/>
        <v>1900</v>
      </c>
      <c r="K498" t="str">
        <f t="shared" si="104"/>
        <v>1_1900</v>
      </c>
      <c r="S498" t="str">
        <f t="shared" si="106"/>
        <v/>
      </c>
      <c r="T498" s="64" t="str">
        <f t="shared" si="105"/>
        <v/>
      </c>
      <c r="AA498" t="str">
        <f t="shared" si="107"/>
        <v/>
      </c>
      <c r="AB498" s="64" t="str">
        <f t="shared" si="108"/>
        <v/>
      </c>
    </row>
    <row r="499" spans="1:28" x14ac:dyDescent="0.35">
      <c r="A499">
        <f>'Procurement Schedule'!R617</f>
        <v>0</v>
      </c>
      <c r="B499" s="63">
        <f>'Procurement Schedule'!M617</f>
        <v>0</v>
      </c>
      <c r="C499">
        <f t="shared" si="109"/>
        <v>1</v>
      </c>
      <c r="D499">
        <f t="shared" si="100"/>
        <v>1900</v>
      </c>
      <c r="E499" t="str">
        <f t="shared" si="101"/>
        <v>1_1900</v>
      </c>
      <c r="G499">
        <f t="shared" si="102"/>
        <v>0</v>
      </c>
      <c r="H499" s="63">
        <f>'Procurement Schedule'!N617</f>
        <v>0</v>
      </c>
      <c r="I499">
        <f t="shared" si="110"/>
        <v>1</v>
      </c>
      <c r="J499">
        <f t="shared" si="103"/>
        <v>1900</v>
      </c>
      <c r="K499" t="str">
        <f t="shared" si="104"/>
        <v>1_1900</v>
      </c>
      <c r="S499" t="str">
        <f t="shared" si="106"/>
        <v/>
      </c>
      <c r="T499" s="64" t="str">
        <f t="shared" si="105"/>
        <v/>
      </c>
      <c r="AA499" t="str">
        <f t="shared" si="107"/>
        <v/>
      </c>
      <c r="AB499" s="64" t="str">
        <f t="shared" si="108"/>
        <v/>
      </c>
    </row>
    <row r="500" spans="1:28" x14ac:dyDescent="0.35">
      <c r="A500">
        <f>'Procurement Schedule'!R618</f>
        <v>0</v>
      </c>
      <c r="B500" s="63">
        <f>'Procurement Schedule'!M618</f>
        <v>0</v>
      </c>
      <c r="C500">
        <f t="shared" si="109"/>
        <v>1</v>
      </c>
      <c r="D500">
        <f t="shared" si="100"/>
        <v>1900</v>
      </c>
      <c r="E500" t="str">
        <f t="shared" si="101"/>
        <v>1_1900</v>
      </c>
      <c r="G500">
        <f t="shared" si="102"/>
        <v>0</v>
      </c>
      <c r="H500" s="63">
        <f>'Procurement Schedule'!N618</f>
        <v>0</v>
      </c>
      <c r="I500">
        <f t="shared" si="110"/>
        <v>1</v>
      </c>
      <c r="J500">
        <f t="shared" si="103"/>
        <v>1900</v>
      </c>
      <c r="K500" t="str">
        <f t="shared" si="104"/>
        <v>1_1900</v>
      </c>
      <c r="S500" t="str">
        <f t="shared" si="106"/>
        <v/>
      </c>
      <c r="T500" s="64" t="str">
        <f t="shared" si="105"/>
        <v/>
      </c>
      <c r="AA500" t="str">
        <f t="shared" si="107"/>
        <v/>
      </c>
      <c r="AB500" s="64" t="str">
        <f t="shared" si="108"/>
        <v/>
      </c>
    </row>
    <row r="501" spans="1:28" x14ac:dyDescent="0.35">
      <c r="A501">
        <f>'Procurement Schedule'!R619</f>
        <v>0</v>
      </c>
      <c r="B501" s="63">
        <f>'Procurement Schedule'!M619</f>
        <v>0</v>
      </c>
      <c r="C501">
        <f t="shared" si="109"/>
        <v>1</v>
      </c>
      <c r="D501">
        <f t="shared" si="100"/>
        <v>1900</v>
      </c>
      <c r="E501" t="str">
        <f t="shared" si="101"/>
        <v>1_1900</v>
      </c>
      <c r="G501">
        <f t="shared" si="102"/>
        <v>0</v>
      </c>
      <c r="H501" s="63">
        <f>'Procurement Schedule'!N619</f>
        <v>0</v>
      </c>
      <c r="I501">
        <f t="shared" si="110"/>
        <v>1</v>
      </c>
      <c r="J501">
        <f t="shared" si="103"/>
        <v>1900</v>
      </c>
      <c r="K501" t="str">
        <f t="shared" si="104"/>
        <v>1_1900</v>
      </c>
      <c r="S501" t="str">
        <f t="shared" si="106"/>
        <v/>
      </c>
      <c r="T501" s="64" t="str">
        <f t="shared" si="105"/>
        <v/>
      </c>
      <c r="AA501" t="str">
        <f t="shared" si="107"/>
        <v/>
      </c>
      <c r="AB501" s="64" t="str">
        <f t="shared" si="108"/>
        <v/>
      </c>
    </row>
    <row r="502" spans="1:28" x14ac:dyDescent="0.35">
      <c r="A502">
        <f>'Procurement Schedule'!R620</f>
        <v>0</v>
      </c>
      <c r="B502" s="63">
        <f>'Procurement Schedule'!M620</f>
        <v>0</v>
      </c>
      <c r="C502">
        <f t="shared" si="109"/>
        <v>1</v>
      </c>
      <c r="D502">
        <f t="shared" si="100"/>
        <v>1900</v>
      </c>
      <c r="E502" t="str">
        <f t="shared" si="101"/>
        <v>1_1900</v>
      </c>
      <c r="G502">
        <f t="shared" si="102"/>
        <v>0</v>
      </c>
      <c r="H502" s="63">
        <f>'Procurement Schedule'!N620</f>
        <v>0</v>
      </c>
      <c r="I502">
        <f t="shared" si="110"/>
        <v>1</v>
      </c>
      <c r="J502">
        <f t="shared" si="103"/>
        <v>1900</v>
      </c>
      <c r="K502" t="str">
        <f t="shared" si="104"/>
        <v>1_1900</v>
      </c>
      <c r="S502" t="str">
        <f t="shared" si="106"/>
        <v/>
      </c>
      <c r="T502" s="64" t="str">
        <f t="shared" si="105"/>
        <v/>
      </c>
      <c r="AA502" t="str">
        <f t="shared" si="107"/>
        <v/>
      </c>
      <c r="AB502" s="64" t="str">
        <f t="shared" si="108"/>
        <v/>
      </c>
    </row>
    <row r="503" spans="1:28" x14ac:dyDescent="0.35">
      <c r="A503">
        <f>'Procurement Schedule'!R621</f>
        <v>0</v>
      </c>
      <c r="B503" s="63">
        <f>'Procurement Schedule'!M621</f>
        <v>0</v>
      </c>
      <c r="C503">
        <f t="shared" si="109"/>
        <v>1</v>
      </c>
      <c r="D503">
        <f t="shared" ref="D503:D566" si="111">YEAR(B503)</f>
        <v>1900</v>
      </c>
      <c r="E503" t="str">
        <f t="shared" ref="E503:E566" si="112">C503&amp;"_"&amp;D503</f>
        <v>1_1900</v>
      </c>
      <c r="G503">
        <f t="shared" ref="G503:G566" si="113">A503</f>
        <v>0</v>
      </c>
      <c r="H503" s="63">
        <f>'Procurement Schedule'!N621</f>
        <v>0</v>
      </c>
      <c r="I503">
        <f t="shared" si="110"/>
        <v>1</v>
      </c>
      <c r="J503">
        <f t="shared" ref="J503:J566" si="114">YEAR(H503)</f>
        <v>1900</v>
      </c>
      <c r="K503" t="str">
        <f t="shared" ref="K503:K566" si="115">I503&amp;"_"&amp;J503</f>
        <v>1_1900</v>
      </c>
      <c r="S503" t="str">
        <f t="shared" si="106"/>
        <v/>
      </c>
      <c r="T503" s="64" t="str">
        <f t="shared" si="105"/>
        <v/>
      </c>
      <c r="AA503" t="str">
        <f t="shared" si="107"/>
        <v/>
      </c>
      <c r="AB503" s="64" t="str">
        <f t="shared" si="108"/>
        <v/>
      </c>
    </row>
    <row r="504" spans="1:28" x14ac:dyDescent="0.35">
      <c r="A504">
        <f>'Procurement Schedule'!R622</f>
        <v>0</v>
      </c>
      <c r="B504" s="63">
        <f>'Procurement Schedule'!M622</f>
        <v>0</v>
      </c>
      <c r="C504">
        <f t="shared" si="109"/>
        <v>1</v>
      </c>
      <c r="D504">
        <f t="shared" si="111"/>
        <v>1900</v>
      </c>
      <c r="E504" t="str">
        <f t="shared" si="112"/>
        <v>1_1900</v>
      </c>
      <c r="G504">
        <f t="shared" si="113"/>
        <v>0</v>
      </c>
      <c r="H504" s="63">
        <f>'Procurement Schedule'!N622</f>
        <v>0</v>
      </c>
      <c r="I504">
        <f t="shared" si="110"/>
        <v>1</v>
      </c>
      <c r="J504">
        <f t="shared" si="114"/>
        <v>1900</v>
      </c>
      <c r="K504" t="str">
        <f t="shared" si="115"/>
        <v>1_1900</v>
      </c>
      <c r="S504" t="str">
        <f t="shared" si="106"/>
        <v/>
      </c>
      <c r="T504" s="64" t="str">
        <f t="shared" si="105"/>
        <v/>
      </c>
      <c r="AA504" t="str">
        <f t="shared" si="107"/>
        <v/>
      </c>
      <c r="AB504" s="64" t="str">
        <f t="shared" si="108"/>
        <v/>
      </c>
    </row>
    <row r="505" spans="1:28" x14ac:dyDescent="0.35">
      <c r="A505">
        <f>'Procurement Schedule'!R623</f>
        <v>0</v>
      </c>
      <c r="B505" s="63">
        <f>'Procurement Schedule'!M623</f>
        <v>0</v>
      </c>
      <c r="C505">
        <f t="shared" si="109"/>
        <v>1</v>
      </c>
      <c r="D505">
        <f t="shared" si="111"/>
        <v>1900</v>
      </c>
      <c r="E505" t="str">
        <f t="shared" si="112"/>
        <v>1_1900</v>
      </c>
      <c r="G505">
        <f t="shared" si="113"/>
        <v>0</v>
      </c>
      <c r="H505" s="63">
        <f>'Procurement Schedule'!N623</f>
        <v>0</v>
      </c>
      <c r="I505">
        <f t="shared" si="110"/>
        <v>1</v>
      </c>
      <c r="J505">
        <f t="shared" si="114"/>
        <v>1900</v>
      </c>
      <c r="K505" t="str">
        <f t="shared" si="115"/>
        <v>1_1900</v>
      </c>
      <c r="S505" t="str">
        <f t="shared" si="106"/>
        <v/>
      </c>
      <c r="T505" s="64" t="str">
        <f t="shared" si="105"/>
        <v/>
      </c>
      <c r="AA505" t="str">
        <f t="shared" si="107"/>
        <v/>
      </c>
      <c r="AB505" s="64" t="str">
        <f t="shared" si="108"/>
        <v/>
      </c>
    </row>
    <row r="506" spans="1:28" x14ac:dyDescent="0.35">
      <c r="A506">
        <f>'Procurement Schedule'!R624</f>
        <v>0</v>
      </c>
      <c r="B506" s="63">
        <f>'Procurement Schedule'!M624</f>
        <v>0</v>
      </c>
      <c r="C506">
        <f t="shared" si="109"/>
        <v>1</v>
      </c>
      <c r="D506">
        <f t="shared" si="111"/>
        <v>1900</v>
      </c>
      <c r="E506" t="str">
        <f t="shared" si="112"/>
        <v>1_1900</v>
      </c>
      <c r="G506">
        <f t="shared" si="113"/>
        <v>0</v>
      </c>
      <c r="H506" s="63">
        <f>'Procurement Schedule'!N624</f>
        <v>0</v>
      </c>
      <c r="I506">
        <f t="shared" si="110"/>
        <v>1</v>
      </c>
      <c r="J506">
        <f t="shared" si="114"/>
        <v>1900</v>
      </c>
      <c r="K506" t="str">
        <f t="shared" si="115"/>
        <v>1_1900</v>
      </c>
      <c r="S506" t="str">
        <f t="shared" si="106"/>
        <v/>
      </c>
      <c r="T506" s="64" t="str">
        <f t="shared" si="105"/>
        <v/>
      </c>
      <c r="AA506" t="str">
        <f t="shared" si="107"/>
        <v/>
      </c>
      <c r="AB506" s="64" t="str">
        <f t="shared" si="108"/>
        <v/>
      </c>
    </row>
    <row r="507" spans="1:28" x14ac:dyDescent="0.35">
      <c r="A507">
        <f>'Procurement Schedule'!R625</f>
        <v>0</v>
      </c>
      <c r="B507" s="63">
        <f>'Procurement Schedule'!M625</f>
        <v>0</v>
      </c>
      <c r="C507">
        <f t="shared" si="109"/>
        <v>1</v>
      </c>
      <c r="D507">
        <f t="shared" si="111"/>
        <v>1900</v>
      </c>
      <c r="E507" t="str">
        <f t="shared" si="112"/>
        <v>1_1900</v>
      </c>
      <c r="G507">
        <f t="shared" si="113"/>
        <v>0</v>
      </c>
      <c r="H507" s="63">
        <f>'Procurement Schedule'!N625</f>
        <v>0</v>
      </c>
      <c r="I507">
        <f t="shared" si="110"/>
        <v>1</v>
      </c>
      <c r="J507">
        <f t="shared" si="114"/>
        <v>1900</v>
      </c>
      <c r="K507" t="str">
        <f t="shared" si="115"/>
        <v>1_1900</v>
      </c>
      <c r="S507" t="str">
        <f t="shared" si="106"/>
        <v/>
      </c>
      <c r="T507" s="64" t="str">
        <f t="shared" si="105"/>
        <v/>
      </c>
      <c r="AA507" t="str">
        <f t="shared" si="107"/>
        <v/>
      </c>
      <c r="AB507" s="64" t="str">
        <f t="shared" si="108"/>
        <v/>
      </c>
    </row>
    <row r="508" spans="1:28" x14ac:dyDescent="0.35">
      <c r="A508">
        <f>'Procurement Schedule'!R626</f>
        <v>0</v>
      </c>
      <c r="B508" s="63">
        <f>'Procurement Schedule'!M626</f>
        <v>0</v>
      </c>
      <c r="C508">
        <f t="shared" si="109"/>
        <v>1</v>
      </c>
      <c r="D508">
        <f t="shared" si="111"/>
        <v>1900</v>
      </c>
      <c r="E508" t="str">
        <f t="shared" si="112"/>
        <v>1_1900</v>
      </c>
      <c r="G508">
        <f t="shared" si="113"/>
        <v>0</v>
      </c>
      <c r="H508" s="63">
        <f>'Procurement Schedule'!N626</f>
        <v>0</v>
      </c>
      <c r="I508">
        <f t="shared" si="110"/>
        <v>1</v>
      </c>
      <c r="J508">
        <f t="shared" si="114"/>
        <v>1900</v>
      </c>
      <c r="K508" t="str">
        <f t="shared" si="115"/>
        <v>1_1900</v>
      </c>
      <c r="S508" t="str">
        <f t="shared" si="106"/>
        <v/>
      </c>
      <c r="T508" s="64" t="str">
        <f t="shared" si="105"/>
        <v/>
      </c>
      <c r="AA508" t="str">
        <f t="shared" si="107"/>
        <v/>
      </c>
      <c r="AB508" s="64" t="str">
        <f t="shared" si="108"/>
        <v/>
      </c>
    </row>
    <row r="509" spans="1:28" x14ac:dyDescent="0.35">
      <c r="A509">
        <f>'Procurement Schedule'!R627</f>
        <v>0</v>
      </c>
      <c r="B509" s="63">
        <f>'Procurement Schedule'!M627</f>
        <v>0</v>
      </c>
      <c r="C509">
        <f t="shared" si="109"/>
        <v>1</v>
      </c>
      <c r="D509">
        <f t="shared" si="111"/>
        <v>1900</v>
      </c>
      <c r="E509" t="str">
        <f t="shared" si="112"/>
        <v>1_1900</v>
      </c>
      <c r="G509">
        <f t="shared" si="113"/>
        <v>0</v>
      </c>
      <c r="H509" s="63">
        <f>'Procurement Schedule'!N627</f>
        <v>0</v>
      </c>
      <c r="I509">
        <f t="shared" si="110"/>
        <v>1</v>
      </c>
      <c r="J509">
        <f t="shared" si="114"/>
        <v>1900</v>
      </c>
      <c r="K509" t="str">
        <f t="shared" si="115"/>
        <v>1_1900</v>
      </c>
      <c r="S509" t="str">
        <f t="shared" si="106"/>
        <v/>
      </c>
      <c r="T509" s="64" t="str">
        <f t="shared" si="105"/>
        <v/>
      </c>
      <c r="AA509" t="str">
        <f t="shared" si="107"/>
        <v/>
      </c>
      <c r="AB509" s="64" t="str">
        <f t="shared" si="108"/>
        <v/>
      </c>
    </row>
    <row r="510" spans="1:28" x14ac:dyDescent="0.35">
      <c r="A510">
        <f>'Procurement Schedule'!R628</f>
        <v>0</v>
      </c>
      <c r="B510" s="63">
        <f>'Procurement Schedule'!M628</f>
        <v>0</v>
      </c>
      <c r="C510">
        <f t="shared" si="109"/>
        <v>1</v>
      </c>
      <c r="D510">
        <f t="shared" si="111"/>
        <v>1900</v>
      </c>
      <c r="E510" t="str">
        <f t="shared" si="112"/>
        <v>1_1900</v>
      </c>
      <c r="G510">
        <f t="shared" si="113"/>
        <v>0</v>
      </c>
      <c r="H510" s="63">
        <f>'Procurement Schedule'!N628</f>
        <v>0</v>
      </c>
      <c r="I510">
        <f t="shared" si="110"/>
        <v>1</v>
      </c>
      <c r="J510">
        <f t="shared" si="114"/>
        <v>1900</v>
      </c>
      <c r="K510" t="str">
        <f t="shared" si="115"/>
        <v>1_1900</v>
      </c>
      <c r="S510" t="str">
        <f t="shared" si="106"/>
        <v/>
      </c>
      <c r="T510" s="64" t="str">
        <f t="shared" si="105"/>
        <v/>
      </c>
      <c r="AA510" t="str">
        <f t="shared" si="107"/>
        <v/>
      </c>
      <c r="AB510" s="64" t="str">
        <f t="shared" si="108"/>
        <v/>
      </c>
    </row>
    <row r="511" spans="1:28" x14ac:dyDescent="0.35">
      <c r="A511">
        <f>'Procurement Schedule'!R629</f>
        <v>0</v>
      </c>
      <c r="B511" s="63">
        <f>'Procurement Schedule'!M629</f>
        <v>0</v>
      </c>
      <c r="C511">
        <f t="shared" si="109"/>
        <v>1</v>
      </c>
      <c r="D511">
        <f t="shared" si="111"/>
        <v>1900</v>
      </c>
      <c r="E511" t="str">
        <f t="shared" si="112"/>
        <v>1_1900</v>
      </c>
      <c r="G511">
        <f t="shared" si="113"/>
        <v>0</v>
      </c>
      <c r="H511" s="63">
        <f>'Procurement Schedule'!N629</f>
        <v>0</v>
      </c>
      <c r="I511">
        <f t="shared" si="110"/>
        <v>1</v>
      </c>
      <c r="J511">
        <f t="shared" si="114"/>
        <v>1900</v>
      </c>
      <c r="K511" t="str">
        <f t="shared" si="115"/>
        <v>1_1900</v>
      </c>
      <c r="S511" t="str">
        <f t="shared" si="106"/>
        <v/>
      </c>
      <c r="T511" s="64" t="str">
        <f t="shared" si="105"/>
        <v/>
      </c>
      <c r="AA511" t="str">
        <f t="shared" si="107"/>
        <v/>
      </c>
      <c r="AB511" s="64" t="str">
        <f t="shared" si="108"/>
        <v/>
      </c>
    </row>
    <row r="512" spans="1:28" x14ac:dyDescent="0.35">
      <c r="A512">
        <f>'Procurement Schedule'!R630</f>
        <v>0</v>
      </c>
      <c r="B512" s="63">
        <f>'Procurement Schedule'!M630</f>
        <v>0</v>
      </c>
      <c r="C512">
        <f t="shared" si="109"/>
        <v>1</v>
      </c>
      <c r="D512">
        <f t="shared" si="111"/>
        <v>1900</v>
      </c>
      <c r="E512" t="str">
        <f t="shared" si="112"/>
        <v>1_1900</v>
      </c>
      <c r="G512">
        <f t="shared" si="113"/>
        <v>0</v>
      </c>
      <c r="H512" s="63">
        <f>'Procurement Schedule'!N630</f>
        <v>0</v>
      </c>
      <c r="I512">
        <f t="shared" si="110"/>
        <v>1</v>
      </c>
      <c r="J512">
        <f t="shared" si="114"/>
        <v>1900</v>
      </c>
      <c r="K512" t="str">
        <f t="shared" si="115"/>
        <v>1_1900</v>
      </c>
      <c r="S512" t="str">
        <f t="shared" si="106"/>
        <v/>
      </c>
      <c r="T512" s="64" t="str">
        <f t="shared" si="105"/>
        <v/>
      </c>
      <c r="AA512" t="str">
        <f t="shared" si="107"/>
        <v/>
      </c>
      <c r="AB512" s="64" t="str">
        <f t="shared" si="108"/>
        <v/>
      </c>
    </row>
    <row r="513" spans="1:28" x14ac:dyDescent="0.35">
      <c r="A513">
        <f>'Procurement Schedule'!R631</f>
        <v>0</v>
      </c>
      <c r="B513" s="63">
        <f>'Procurement Schedule'!M631</f>
        <v>0</v>
      </c>
      <c r="C513">
        <f t="shared" si="109"/>
        <v>1</v>
      </c>
      <c r="D513">
        <f t="shared" si="111"/>
        <v>1900</v>
      </c>
      <c r="E513" t="str">
        <f t="shared" si="112"/>
        <v>1_1900</v>
      </c>
      <c r="G513">
        <f t="shared" si="113"/>
        <v>0</v>
      </c>
      <c r="H513" s="63">
        <f>'Procurement Schedule'!N631</f>
        <v>0</v>
      </c>
      <c r="I513">
        <f t="shared" si="110"/>
        <v>1</v>
      </c>
      <c r="J513">
        <f t="shared" si="114"/>
        <v>1900</v>
      </c>
      <c r="K513" t="str">
        <f t="shared" si="115"/>
        <v>1_1900</v>
      </c>
      <c r="S513" t="str">
        <f t="shared" si="106"/>
        <v/>
      </c>
      <c r="T513" s="64" t="str">
        <f t="shared" si="105"/>
        <v/>
      </c>
      <c r="AA513" t="str">
        <f t="shared" si="107"/>
        <v/>
      </c>
      <c r="AB513" s="64" t="str">
        <f t="shared" si="108"/>
        <v/>
      </c>
    </row>
    <row r="514" spans="1:28" x14ac:dyDescent="0.35">
      <c r="A514">
        <f>'Procurement Schedule'!R632</f>
        <v>0</v>
      </c>
      <c r="B514" s="63">
        <f>'Procurement Schedule'!M632</f>
        <v>0</v>
      </c>
      <c r="C514">
        <f t="shared" si="109"/>
        <v>1</v>
      </c>
      <c r="D514">
        <f t="shared" si="111"/>
        <v>1900</v>
      </c>
      <c r="E514" t="str">
        <f t="shared" si="112"/>
        <v>1_1900</v>
      </c>
      <c r="G514">
        <f t="shared" si="113"/>
        <v>0</v>
      </c>
      <c r="H514" s="63">
        <f>'Procurement Schedule'!N632</f>
        <v>0</v>
      </c>
      <c r="I514">
        <f t="shared" si="110"/>
        <v>1</v>
      </c>
      <c r="J514">
        <f t="shared" si="114"/>
        <v>1900</v>
      </c>
      <c r="K514" t="str">
        <f t="shared" si="115"/>
        <v>1_1900</v>
      </c>
      <c r="S514" t="str">
        <f t="shared" si="106"/>
        <v/>
      </c>
      <c r="T514" s="64" t="str">
        <f t="shared" si="105"/>
        <v/>
      </c>
      <c r="AA514" t="str">
        <f t="shared" si="107"/>
        <v/>
      </c>
      <c r="AB514" s="64" t="str">
        <f t="shared" si="108"/>
        <v/>
      </c>
    </row>
    <row r="515" spans="1:28" x14ac:dyDescent="0.35">
      <c r="A515">
        <f>'Procurement Schedule'!R633</f>
        <v>0</v>
      </c>
      <c r="B515" s="63">
        <f>'Procurement Schedule'!M633</f>
        <v>0</v>
      </c>
      <c r="C515">
        <f t="shared" si="109"/>
        <v>1</v>
      </c>
      <c r="D515">
        <f t="shared" si="111"/>
        <v>1900</v>
      </c>
      <c r="E515" t="str">
        <f t="shared" si="112"/>
        <v>1_1900</v>
      </c>
      <c r="G515">
        <f t="shared" si="113"/>
        <v>0</v>
      </c>
      <c r="H515" s="63">
        <f>'Procurement Schedule'!N633</f>
        <v>0</v>
      </c>
      <c r="I515">
        <f t="shared" si="110"/>
        <v>1</v>
      </c>
      <c r="J515">
        <f t="shared" si="114"/>
        <v>1900</v>
      </c>
      <c r="K515" t="str">
        <f t="shared" si="115"/>
        <v>1_1900</v>
      </c>
      <c r="S515" t="str">
        <f t="shared" si="106"/>
        <v/>
      </c>
      <c r="T515" s="64" t="str">
        <f t="shared" si="105"/>
        <v/>
      </c>
      <c r="AA515" t="str">
        <f t="shared" si="107"/>
        <v/>
      </c>
      <c r="AB515" s="64" t="str">
        <f t="shared" si="108"/>
        <v/>
      </c>
    </row>
    <row r="516" spans="1:28" x14ac:dyDescent="0.35">
      <c r="A516">
        <f>'Procurement Schedule'!R634</f>
        <v>0</v>
      </c>
      <c r="B516" s="63">
        <f>'Procurement Schedule'!M634</f>
        <v>0</v>
      </c>
      <c r="C516">
        <f t="shared" si="109"/>
        <v>1</v>
      </c>
      <c r="D516">
        <f t="shared" si="111"/>
        <v>1900</v>
      </c>
      <c r="E516" t="str">
        <f t="shared" si="112"/>
        <v>1_1900</v>
      </c>
      <c r="G516">
        <f t="shared" si="113"/>
        <v>0</v>
      </c>
      <c r="H516" s="63">
        <f>'Procurement Schedule'!N634</f>
        <v>0</v>
      </c>
      <c r="I516">
        <f t="shared" si="110"/>
        <v>1</v>
      </c>
      <c r="J516">
        <f t="shared" si="114"/>
        <v>1900</v>
      </c>
      <c r="K516" t="str">
        <f t="shared" si="115"/>
        <v>1_1900</v>
      </c>
      <c r="S516" t="str">
        <f t="shared" si="106"/>
        <v/>
      </c>
      <c r="T516" s="64" t="str">
        <f t="shared" si="105"/>
        <v/>
      </c>
      <c r="AA516" t="str">
        <f t="shared" si="107"/>
        <v/>
      </c>
      <c r="AB516" s="64" t="str">
        <f t="shared" si="108"/>
        <v/>
      </c>
    </row>
    <row r="517" spans="1:28" x14ac:dyDescent="0.35">
      <c r="A517">
        <f>'Procurement Schedule'!R635</f>
        <v>0</v>
      </c>
      <c r="B517" s="63">
        <f>'Procurement Schedule'!M635</f>
        <v>0</v>
      </c>
      <c r="C517">
        <f t="shared" si="109"/>
        <v>1</v>
      </c>
      <c r="D517">
        <f t="shared" si="111"/>
        <v>1900</v>
      </c>
      <c r="E517" t="str">
        <f t="shared" si="112"/>
        <v>1_1900</v>
      </c>
      <c r="G517">
        <f t="shared" si="113"/>
        <v>0</v>
      </c>
      <c r="H517" s="63">
        <f>'Procurement Schedule'!N635</f>
        <v>0</v>
      </c>
      <c r="I517">
        <f t="shared" si="110"/>
        <v>1</v>
      </c>
      <c r="J517">
        <f t="shared" si="114"/>
        <v>1900</v>
      </c>
      <c r="K517" t="str">
        <f t="shared" si="115"/>
        <v>1_1900</v>
      </c>
      <c r="S517" t="str">
        <f t="shared" si="106"/>
        <v/>
      </c>
      <c r="T517" s="64" t="str">
        <f t="shared" ref="T517:T580" si="116">IFERROR(VLOOKUP(Q517,AD:AE,2,0),"")</f>
        <v/>
      </c>
      <c r="AA517" t="str">
        <f t="shared" si="107"/>
        <v/>
      </c>
      <c r="AB517" s="64" t="str">
        <f t="shared" si="108"/>
        <v/>
      </c>
    </row>
    <row r="518" spans="1:28" x14ac:dyDescent="0.35">
      <c r="A518">
        <f>'Procurement Schedule'!R636</f>
        <v>0</v>
      </c>
      <c r="B518" s="63">
        <f>'Procurement Schedule'!M636</f>
        <v>0</v>
      </c>
      <c r="C518">
        <f t="shared" si="109"/>
        <v>1</v>
      </c>
      <c r="D518">
        <f t="shared" si="111"/>
        <v>1900</v>
      </c>
      <c r="E518" t="str">
        <f t="shared" si="112"/>
        <v>1_1900</v>
      </c>
      <c r="G518">
        <f t="shared" si="113"/>
        <v>0</v>
      </c>
      <c r="H518" s="63">
        <f>'Procurement Schedule'!N636</f>
        <v>0</v>
      </c>
      <c r="I518">
        <f t="shared" si="110"/>
        <v>1</v>
      </c>
      <c r="J518">
        <f t="shared" si="114"/>
        <v>1900</v>
      </c>
      <c r="K518" t="str">
        <f t="shared" si="115"/>
        <v>1_1900</v>
      </c>
      <c r="S518" t="str">
        <f t="shared" si="106"/>
        <v/>
      </c>
      <c r="T518" s="64" t="str">
        <f t="shared" si="116"/>
        <v/>
      </c>
      <c r="AA518" t="str">
        <f t="shared" si="107"/>
        <v/>
      </c>
      <c r="AB518" s="64" t="str">
        <f t="shared" si="108"/>
        <v/>
      </c>
    </row>
    <row r="519" spans="1:28" x14ac:dyDescent="0.35">
      <c r="A519">
        <f>'Procurement Schedule'!R637</f>
        <v>0</v>
      </c>
      <c r="B519" s="63">
        <f>'Procurement Schedule'!M637</f>
        <v>0</v>
      </c>
      <c r="C519">
        <f t="shared" si="109"/>
        <v>1</v>
      </c>
      <c r="D519">
        <f t="shared" si="111"/>
        <v>1900</v>
      </c>
      <c r="E519" t="str">
        <f t="shared" si="112"/>
        <v>1_1900</v>
      </c>
      <c r="G519">
        <f t="shared" si="113"/>
        <v>0</v>
      </c>
      <c r="H519" s="63">
        <f>'Procurement Schedule'!N637</f>
        <v>0</v>
      </c>
      <c r="I519">
        <f t="shared" si="110"/>
        <v>1</v>
      </c>
      <c r="J519">
        <f t="shared" si="114"/>
        <v>1900</v>
      </c>
      <c r="K519" t="str">
        <f t="shared" si="115"/>
        <v>1_1900</v>
      </c>
      <c r="S519" t="str">
        <f t="shared" si="106"/>
        <v/>
      </c>
      <c r="T519" s="64" t="str">
        <f t="shared" si="116"/>
        <v/>
      </c>
      <c r="AA519" t="str">
        <f t="shared" si="107"/>
        <v/>
      </c>
      <c r="AB519" s="64" t="str">
        <f t="shared" si="108"/>
        <v/>
      </c>
    </row>
    <row r="520" spans="1:28" x14ac:dyDescent="0.35">
      <c r="A520">
        <f>'Procurement Schedule'!R638</f>
        <v>0</v>
      </c>
      <c r="B520" s="63">
        <f>'Procurement Schedule'!M638</f>
        <v>0</v>
      </c>
      <c r="C520">
        <f t="shared" si="109"/>
        <v>1</v>
      </c>
      <c r="D520">
        <f t="shared" si="111"/>
        <v>1900</v>
      </c>
      <c r="E520" t="str">
        <f t="shared" si="112"/>
        <v>1_1900</v>
      </c>
      <c r="G520">
        <f t="shared" si="113"/>
        <v>0</v>
      </c>
      <c r="H520" s="63">
        <f>'Procurement Schedule'!N638</f>
        <v>0</v>
      </c>
      <c r="I520">
        <f t="shared" si="110"/>
        <v>1</v>
      </c>
      <c r="J520">
        <f t="shared" si="114"/>
        <v>1900</v>
      </c>
      <c r="K520" t="str">
        <f t="shared" si="115"/>
        <v>1_1900</v>
      </c>
      <c r="S520" t="str">
        <f t="shared" si="106"/>
        <v/>
      </c>
      <c r="T520" s="64" t="str">
        <f t="shared" si="116"/>
        <v/>
      </c>
      <c r="AA520" t="str">
        <f t="shared" si="107"/>
        <v/>
      </c>
      <c r="AB520" s="64" t="str">
        <f t="shared" si="108"/>
        <v/>
      </c>
    </row>
    <row r="521" spans="1:28" x14ac:dyDescent="0.35">
      <c r="A521">
        <f>'Procurement Schedule'!R639</f>
        <v>0</v>
      </c>
      <c r="B521" s="63">
        <f>'Procurement Schedule'!M639</f>
        <v>0</v>
      </c>
      <c r="C521">
        <f t="shared" si="109"/>
        <v>1</v>
      </c>
      <c r="D521">
        <f t="shared" si="111"/>
        <v>1900</v>
      </c>
      <c r="E521" t="str">
        <f t="shared" si="112"/>
        <v>1_1900</v>
      </c>
      <c r="G521">
        <f t="shared" si="113"/>
        <v>0</v>
      </c>
      <c r="H521" s="63">
        <f>'Procurement Schedule'!N639</f>
        <v>0</v>
      </c>
      <c r="I521">
        <f t="shared" si="110"/>
        <v>1</v>
      </c>
      <c r="J521">
        <f t="shared" si="114"/>
        <v>1900</v>
      </c>
      <c r="K521" t="str">
        <f t="shared" si="115"/>
        <v>1_1900</v>
      </c>
      <c r="S521" t="str">
        <f t="shared" ref="S521:S584" si="117">IF(R521="","",S520+R521)</f>
        <v/>
      </c>
      <c r="T521" s="64" t="str">
        <f t="shared" si="116"/>
        <v/>
      </c>
      <c r="AA521" t="str">
        <f t="shared" si="107"/>
        <v/>
      </c>
      <c r="AB521" s="64" t="str">
        <f t="shared" si="108"/>
        <v/>
      </c>
    </row>
    <row r="522" spans="1:28" x14ac:dyDescent="0.35">
      <c r="A522">
        <f>'Procurement Schedule'!R640</f>
        <v>0</v>
      </c>
      <c r="B522" s="63">
        <f>'Procurement Schedule'!M640</f>
        <v>0</v>
      </c>
      <c r="C522">
        <f t="shared" si="109"/>
        <v>1</v>
      </c>
      <c r="D522">
        <f t="shared" si="111"/>
        <v>1900</v>
      </c>
      <c r="E522" t="str">
        <f t="shared" si="112"/>
        <v>1_1900</v>
      </c>
      <c r="G522">
        <f t="shared" si="113"/>
        <v>0</v>
      </c>
      <c r="H522" s="63">
        <f>'Procurement Schedule'!N640</f>
        <v>0</v>
      </c>
      <c r="I522">
        <f t="shared" si="110"/>
        <v>1</v>
      </c>
      <c r="J522">
        <f t="shared" si="114"/>
        <v>1900</v>
      </c>
      <c r="K522" t="str">
        <f t="shared" si="115"/>
        <v>1_1900</v>
      </c>
      <c r="S522" t="str">
        <f t="shared" si="117"/>
        <v/>
      </c>
      <c r="T522" s="64" t="str">
        <f t="shared" si="116"/>
        <v/>
      </c>
      <c r="AA522" t="str">
        <f t="shared" ref="AA522:AA585" si="118">IF(Z522="","",AA521+Z522)</f>
        <v/>
      </c>
      <c r="AB522" s="64" t="str">
        <f t="shared" ref="AB522:AB585" si="119">IFERROR(VLOOKUP(Y522,AD:AE,2,0),"")</f>
        <v/>
      </c>
    </row>
    <row r="523" spans="1:28" x14ac:dyDescent="0.35">
      <c r="A523">
        <f>'Procurement Schedule'!R641</f>
        <v>0</v>
      </c>
      <c r="B523" s="63">
        <f>'Procurement Schedule'!M641</f>
        <v>0</v>
      </c>
      <c r="C523">
        <f t="shared" si="109"/>
        <v>1</v>
      </c>
      <c r="D523">
        <f t="shared" si="111"/>
        <v>1900</v>
      </c>
      <c r="E523" t="str">
        <f t="shared" si="112"/>
        <v>1_1900</v>
      </c>
      <c r="G523">
        <f t="shared" si="113"/>
        <v>0</v>
      </c>
      <c r="H523" s="63">
        <f>'Procurement Schedule'!N641</f>
        <v>0</v>
      </c>
      <c r="I523">
        <f t="shared" si="110"/>
        <v>1</v>
      </c>
      <c r="J523">
        <f t="shared" si="114"/>
        <v>1900</v>
      </c>
      <c r="K523" t="str">
        <f t="shared" si="115"/>
        <v>1_1900</v>
      </c>
      <c r="S523" t="str">
        <f t="shared" si="117"/>
        <v/>
      </c>
      <c r="T523" s="64" t="str">
        <f t="shared" si="116"/>
        <v/>
      </c>
      <c r="AA523" t="str">
        <f t="shared" si="118"/>
        <v/>
      </c>
      <c r="AB523" s="64" t="str">
        <f t="shared" si="119"/>
        <v/>
      </c>
    </row>
    <row r="524" spans="1:28" x14ac:dyDescent="0.35">
      <c r="A524">
        <f>'Procurement Schedule'!R642</f>
        <v>0</v>
      </c>
      <c r="B524" s="63">
        <f>'Procurement Schedule'!M642</f>
        <v>0</v>
      </c>
      <c r="C524">
        <f t="shared" si="109"/>
        <v>1</v>
      </c>
      <c r="D524">
        <f t="shared" si="111"/>
        <v>1900</v>
      </c>
      <c r="E524" t="str">
        <f t="shared" si="112"/>
        <v>1_1900</v>
      </c>
      <c r="G524">
        <f t="shared" si="113"/>
        <v>0</v>
      </c>
      <c r="H524" s="63">
        <f>'Procurement Schedule'!N642</f>
        <v>0</v>
      </c>
      <c r="I524">
        <f t="shared" si="110"/>
        <v>1</v>
      </c>
      <c r="J524">
        <f t="shared" si="114"/>
        <v>1900</v>
      </c>
      <c r="K524" t="str">
        <f t="shared" si="115"/>
        <v>1_1900</v>
      </c>
      <c r="S524" t="str">
        <f t="shared" si="117"/>
        <v/>
      </c>
      <c r="T524" s="64" t="str">
        <f t="shared" si="116"/>
        <v/>
      </c>
      <c r="AA524" t="str">
        <f t="shared" si="118"/>
        <v/>
      </c>
      <c r="AB524" s="64" t="str">
        <f t="shared" si="119"/>
        <v/>
      </c>
    </row>
    <row r="525" spans="1:28" x14ac:dyDescent="0.35">
      <c r="A525">
        <f>'Procurement Schedule'!R643</f>
        <v>0</v>
      </c>
      <c r="B525" s="63">
        <f>'Procurement Schedule'!M643</f>
        <v>0</v>
      </c>
      <c r="C525">
        <f t="shared" si="109"/>
        <v>1</v>
      </c>
      <c r="D525">
        <f t="shared" si="111"/>
        <v>1900</v>
      </c>
      <c r="E525" t="str">
        <f t="shared" si="112"/>
        <v>1_1900</v>
      </c>
      <c r="G525">
        <f t="shared" si="113"/>
        <v>0</v>
      </c>
      <c r="H525" s="63">
        <f>'Procurement Schedule'!N643</f>
        <v>0</v>
      </c>
      <c r="I525">
        <f t="shared" si="110"/>
        <v>1</v>
      </c>
      <c r="J525">
        <f t="shared" si="114"/>
        <v>1900</v>
      </c>
      <c r="K525" t="str">
        <f t="shared" si="115"/>
        <v>1_1900</v>
      </c>
      <c r="S525" t="str">
        <f t="shared" si="117"/>
        <v/>
      </c>
      <c r="T525" s="64" t="str">
        <f t="shared" si="116"/>
        <v/>
      </c>
      <c r="AA525" t="str">
        <f t="shared" si="118"/>
        <v/>
      </c>
      <c r="AB525" s="64" t="str">
        <f t="shared" si="119"/>
        <v/>
      </c>
    </row>
    <row r="526" spans="1:28" x14ac:dyDescent="0.35">
      <c r="A526">
        <f>'Procurement Schedule'!R644</f>
        <v>0</v>
      </c>
      <c r="B526" s="63">
        <f>'Procurement Schedule'!M644</f>
        <v>0</v>
      </c>
      <c r="C526">
        <f t="shared" si="109"/>
        <v>1</v>
      </c>
      <c r="D526">
        <f t="shared" si="111"/>
        <v>1900</v>
      </c>
      <c r="E526" t="str">
        <f t="shared" si="112"/>
        <v>1_1900</v>
      </c>
      <c r="G526">
        <f t="shared" si="113"/>
        <v>0</v>
      </c>
      <c r="H526" s="63">
        <f>'Procurement Schedule'!N644</f>
        <v>0</v>
      </c>
      <c r="I526">
        <f t="shared" si="110"/>
        <v>1</v>
      </c>
      <c r="J526">
        <f t="shared" si="114"/>
        <v>1900</v>
      </c>
      <c r="K526" t="str">
        <f t="shared" si="115"/>
        <v>1_1900</v>
      </c>
      <c r="S526" t="str">
        <f t="shared" si="117"/>
        <v/>
      </c>
      <c r="T526" s="64" t="str">
        <f t="shared" si="116"/>
        <v/>
      </c>
      <c r="AA526" t="str">
        <f t="shared" si="118"/>
        <v/>
      </c>
      <c r="AB526" s="64" t="str">
        <f t="shared" si="119"/>
        <v/>
      </c>
    </row>
    <row r="527" spans="1:28" x14ac:dyDescent="0.35">
      <c r="A527">
        <f>'Procurement Schedule'!R645</f>
        <v>0</v>
      </c>
      <c r="B527" s="63">
        <f>'Procurement Schedule'!M645</f>
        <v>0</v>
      </c>
      <c r="C527">
        <f t="shared" si="109"/>
        <v>1</v>
      </c>
      <c r="D527">
        <f t="shared" si="111"/>
        <v>1900</v>
      </c>
      <c r="E527" t="str">
        <f t="shared" si="112"/>
        <v>1_1900</v>
      </c>
      <c r="G527">
        <f t="shared" si="113"/>
        <v>0</v>
      </c>
      <c r="H527" s="63">
        <f>'Procurement Schedule'!N645</f>
        <v>0</v>
      </c>
      <c r="I527">
        <f t="shared" si="110"/>
        <v>1</v>
      </c>
      <c r="J527">
        <f t="shared" si="114"/>
        <v>1900</v>
      </c>
      <c r="K527" t="str">
        <f t="shared" si="115"/>
        <v>1_1900</v>
      </c>
      <c r="S527" t="str">
        <f t="shared" si="117"/>
        <v/>
      </c>
      <c r="T527" s="64" t="str">
        <f t="shared" si="116"/>
        <v/>
      </c>
      <c r="AA527" t="str">
        <f t="shared" si="118"/>
        <v/>
      </c>
      <c r="AB527" s="64" t="str">
        <f t="shared" si="119"/>
        <v/>
      </c>
    </row>
    <row r="528" spans="1:28" x14ac:dyDescent="0.35">
      <c r="A528">
        <f>'Procurement Schedule'!R646</f>
        <v>0</v>
      </c>
      <c r="B528" s="63">
        <f>'Procurement Schedule'!M646</f>
        <v>0</v>
      </c>
      <c r="C528">
        <f t="shared" si="109"/>
        <v>1</v>
      </c>
      <c r="D528">
        <f t="shared" si="111"/>
        <v>1900</v>
      </c>
      <c r="E528" t="str">
        <f t="shared" si="112"/>
        <v>1_1900</v>
      </c>
      <c r="G528">
        <f t="shared" si="113"/>
        <v>0</v>
      </c>
      <c r="H528" s="63">
        <f>'Procurement Schedule'!N646</f>
        <v>0</v>
      </c>
      <c r="I528">
        <f t="shared" si="110"/>
        <v>1</v>
      </c>
      <c r="J528">
        <f t="shared" si="114"/>
        <v>1900</v>
      </c>
      <c r="K528" t="str">
        <f t="shared" si="115"/>
        <v>1_1900</v>
      </c>
      <c r="S528" t="str">
        <f t="shared" si="117"/>
        <v/>
      </c>
      <c r="T528" s="64" t="str">
        <f t="shared" si="116"/>
        <v/>
      </c>
      <c r="AA528" t="str">
        <f t="shared" si="118"/>
        <v/>
      </c>
      <c r="AB528" s="64" t="str">
        <f t="shared" si="119"/>
        <v/>
      </c>
    </row>
    <row r="529" spans="1:28" x14ac:dyDescent="0.35">
      <c r="A529">
        <f>'Procurement Schedule'!R647</f>
        <v>0</v>
      </c>
      <c r="B529" s="63">
        <f>'Procurement Schedule'!M647</f>
        <v>0</v>
      </c>
      <c r="C529">
        <f t="shared" si="109"/>
        <v>1</v>
      </c>
      <c r="D529">
        <f t="shared" si="111"/>
        <v>1900</v>
      </c>
      <c r="E529" t="str">
        <f t="shared" si="112"/>
        <v>1_1900</v>
      </c>
      <c r="G529">
        <f t="shared" si="113"/>
        <v>0</v>
      </c>
      <c r="H529" s="63">
        <f>'Procurement Schedule'!N647</f>
        <v>0</v>
      </c>
      <c r="I529">
        <f t="shared" si="110"/>
        <v>1</v>
      </c>
      <c r="J529">
        <f t="shared" si="114"/>
        <v>1900</v>
      </c>
      <c r="K529" t="str">
        <f t="shared" si="115"/>
        <v>1_1900</v>
      </c>
      <c r="S529" t="str">
        <f t="shared" si="117"/>
        <v/>
      </c>
      <c r="T529" s="64" t="str">
        <f t="shared" si="116"/>
        <v/>
      </c>
      <c r="AA529" t="str">
        <f t="shared" si="118"/>
        <v/>
      </c>
      <c r="AB529" s="64" t="str">
        <f t="shared" si="119"/>
        <v/>
      </c>
    </row>
    <row r="530" spans="1:28" x14ac:dyDescent="0.35">
      <c r="A530">
        <f>'Procurement Schedule'!R648</f>
        <v>0</v>
      </c>
      <c r="B530" s="63">
        <f>'Procurement Schedule'!M648</f>
        <v>0</v>
      </c>
      <c r="C530">
        <f t="shared" si="109"/>
        <v>1</v>
      </c>
      <c r="D530">
        <f t="shared" si="111"/>
        <v>1900</v>
      </c>
      <c r="E530" t="str">
        <f t="shared" si="112"/>
        <v>1_1900</v>
      </c>
      <c r="G530">
        <f t="shared" si="113"/>
        <v>0</v>
      </c>
      <c r="H530" s="63">
        <f>'Procurement Schedule'!N648</f>
        <v>0</v>
      </c>
      <c r="I530">
        <f t="shared" si="110"/>
        <v>1</v>
      </c>
      <c r="J530">
        <f t="shared" si="114"/>
        <v>1900</v>
      </c>
      <c r="K530" t="str">
        <f t="shared" si="115"/>
        <v>1_1900</v>
      </c>
      <c r="S530" t="str">
        <f t="shared" si="117"/>
        <v/>
      </c>
      <c r="T530" s="64" t="str">
        <f t="shared" si="116"/>
        <v/>
      </c>
      <c r="AA530" t="str">
        <f t="shared" si="118"/>
        <v/>
      </c>
      <c r="AB530" s="64" t="str">
        <f t="shared" si="119"/>
        <v/>
      </c>
    </row>
    <row r="531" spans="1:28" x14ac:dyDescent="0.35">
      <c r="A531">
        <f>'Procurement Schedule'!R649</f>
        <v>0</v>
      </c>
      <c r="B531" s="63">
        <f>'Procurement Schedule'!M649</f>
        <v>0</v>
      </c>
      <c r="C531">
        <f t="shared" ref="C531:C594" si="120">MONTH(B531)</f>
        <v>1</v>
      </c>
      <c r="D531">
        <f t="shared" si="111"/>
        <v>1900</v>
      </c>
      <c r="E531" t="str">
        <f t="shared" si="112"/>
        <v>1_1900</v>
      </c>
      <c r="G531">
        <f t="shared" si="113"/>
        <v>0</v>
      </c>
      <c r="H531" s="63">
        <f>'Procurement Schedule'!N649</f>
        <v>0</v>
      </c>
      <c r="I531">
        <f t="shared" si="110"/>
        <v>1</v>
      </c>
      <c r="J531">
        <f t="shared" si="114"/>
        <v>1900</v>
      </c>
      <c r="K531" t="str">
        <f t="shared" si="115"/>
        <v>1_1900</v>
      </c>
      <c r="S531" t="str">
        <f t="shared" si="117"/>
        <v/>
      </c>
      <c r="T531" s="64" t="str">
        <f t="shared" si="116"/>
        <v/>
      </c>
      <c r="AA531" t="str">
        <f t="shared" si="118"/>
        <v/>
      </c>
      <c r="AB531" s="64" t="str">
        <f t="shared" si="119"/>
        <v/>
      </c>
    </row>
    <row r="532" spans="1:28" x14ac:dyDescent="0.35">
      <c r="A532">
        <f>'Procurement Schedule'!R650</f>
        <v>0</v>
      </c>
      <c r="B532" s="63">
        <f>'Procurement Schedule'!M650</f>
        <v>0</v>
      </c>
      <c r="C532">
        <f t="shared" si="120"/>
        <v>1</v>
      </c>
      <c r="D532">
        <f t="shared" si="111"/>
        <v>1900</v>
      </c>
      <c r="E532" t="str">
        <f t="shared" si="112"/>
        <v>1_1900</v>
      </c>
      <c r="G532">
        <f t="shared" si="113"/>
        <v>0</v>
      </c>
      <c r="H532" s="63">
        <f>'Procurement Schedule'!N650</f>
        <v>0</v>
      </c>
      <c r="I532">
        <f t="shared" ref="I532:I595" si="121">MONTH(H532)</f>
        <v>1</v>
      </c>
      <c r="J532">
        <f t="shared" si="114"/>
        <v>1900</v>
      </c>
      <c r="K532" t="str">
        <f t="shared" si="115"/>
        <v>1_1900</v>
      </c>
      <c r="S532" t="str">
        <f t="shared" si="117"/>
        <v/>
      </c>
      <c r="T532" s="64" t="str">
        <f t="shared" si="116"/>
        <v/>
      </c>
      <c r="AA532" t="str">
        <f t="shared" si="118"/>
        <v/>
      </c>
      <c r="AB532" s="64" t="str">
        <f t="shared" si="119"/>
        <v/>
      </c>
    </row>
    <row r="533" spans="1:28" x14ac:dyDescent="0.35">
      <c r="A533">
        <f>'Procurement Schedule'!R651</f>
        <v>0</v>
      </c>
      <c r="B533" s="63">
        <f>'Procurement Schedule'!M651</f>
        <v>0</v>
      </c>
      <c r="C533">
        <f t="shared" si="120"/>
        <v>1</v>
      </c>
      <c r="D533">
        <f t="shared" si="111"/>
        <v>1900</v>
      </c>
      <c r="E533" t="str">
        <f t="shared" si="112"/>
        <v>1_1900</v>
      </c>
      <c r="G533">
        <f t="shared" si="113"/>
        <v>0</v>
      </c>
      <c r="H533" s="63">
        <f>'Procurement Schedule'!N651</f>
        <v>0</v>
      </c>
      <c r="I533">
        <f t="shared" si="121"/>
        <v>1</v>
      </c>
      <c r="J533">
        <f t="shared" si="114"/>
        <v>1900</v>
      </c>
      <c r="K533" t="str">
        <f t="shared" si="115"/>
        <v>1_1900</v>
      </c>
      <c r="S533" t="str">
        <f t="shared" si="117"/>
        <v/>
      </c>
      <c r="T533" s="64" t="str">
        <f t="shared" si="116"/>
        <v/>
      </c>
      <c r="AA533" t="str">
        <f t="shared" si="118"/>
        <v/>
      </c>
      <c r="AB533" s="64" t="str">
        <f t="shared" si="119"/>
        <v/>
      </c>
    </row>
    <row r="534" spans="1:28" x14ac:dyDescent="0.35">
      <c r="A534">
        <f>'Procurement Schedule'!R652</f>
        <v>0</v>
      </c>
      <c r="B534" s="63">
        <f>'Procurement Schedule'!M652</f>
        <v>0</v>
      </c>
      <c r="C534">
        <f t="shared" si="120"/>
        <v>1</v>
      </c>
      <c r="D534">
        <f t="shared" si="111"/>
        <v>1900</v>
      </c>
      <c r="E534" t="str">
        <f t="shared" si="112"/>
        <v>1_1900</v>
      </c>
      <c r="G534">
        <f t="shared" si="113"/>
        <v>0</v>
      </c>
      <c r="H534" s="63">
        <f>'Procurement Schedule'!N652</f>
        <v>0</v>
      </c>
      <c r="I534">
        <f t="shared" si="121"/>
        <v>1</v>
      </c>
      <c r="J534">
        <f t="shared" si="114"/>
        <v>1900</v>
      </c>
      <c r="K534" t="str">
        <f t="shared" si="115"/>
        <v>1_1900</v>
      </c>
      <c r="S534" t="str">
        <f t="shared" si="117"/>
        <v/>
      </c>
      <c r="T534" s="64" t="str">
        <f t="shared" si="116"/>
        <v/>
      </c>
      <c r="AA534" t="str">
        <f t="shared" si="118"/>
        <v/>
      </c>
      <c r="AB534" s="64" t="str">
        <f t="shared" si="119"/>
        <v/>
      </c>
    </row>
    <row r="535" spans="1:28" x14ac:dyDescent="0.35">
      <c r="A535">
        <f>'Procurement Schedule'!R653</f>
        <v>0</v>
      </c>
      <c r="B535" s="63">
        <f>'Procurement Schedule'!M653</f>
        <v>0</v>
      </c>
      <c r="C535">
        <f t="shared" si="120"/>
        <v>1</v>
      </c>
      <c r="D535">
        <f t="shared" si="111"/>
        <v>1900</v>
      </c>
      <c r="E535" t="str">
        <f t="shared" si="112"/>
        <v>1_1900</v>
      </c>
      <c r="G535">
        <f t="shared" si="113"/>
        <v>0</v>
      </c>
      <c r="H535" s="63">
        <f>'Procurement Schedule'!N653</f>
        <v>0</v>
      </c>
      <c r="I535">
        <f t="shared" si="121"/>
        <v>1</v>
      </c>
      <c r="J535">
        <f t="shared" si="114"/>
        <v>1900</v>
      </c>
      <c r="K535" t="str">
        <f t="shared" si="115"/>
        <v>1_1900</v>
      </c>
      <c r="S535" t="str">
        <f t="shared" si="117"/>
        <v/>
      </c>
      <c r="T535" s="64" t="str">
        <f t="shared" si="116"/>
        <v/>
      </c>
      <c r="AA535" t="str">
        <f t="shared" si="118"/>
        <v/>
      </c>
      <c r="AB535" s="64" t="str">
        <f t="shared" si="119"/>
        <v/>
      </c>
    </row>
    <row r="536" spans="1:28" x14ac:dyDescent="0.35">
      <c r="A536">
        <f>'Procurement Schedule'!R654</f>
        <v>0</v>
      </c>
      <c r="B536" s="63">
        <f>'Procurement Schedule'!M654</f>
        <v>0</v>
      </c>
      <c r="C536">
        <f t="shared" si="120"/>
        <v>1</v>
      </c>
      <c r="D536">
        <f t="shared" si="111"/>
        <v>1900</v>
      </c>
      <c r="E536" t="str">
        <f t="shared" si="112"/>
        <v>1_1900</v>
      </c>
      <c r="G536">
        <f t="shared" si="113"/>
        <v>0</v>
      </c>
      <c r="H536" s="63">
        <f>'Procurement Schedule'!N654</f>
        <v>0</v>
      </c>
      <c r="I536">
        <f t="shared" si="121"/>
        <v>1</v>
      </c>
      <c r="J536">
        <f t="shared" si="114"/>
        <v>1900</v>
      </c>
      <c r="K536" t="str">
        <f t="shared" si="115"/>
        <v>1_1900</v>
      </c>
      <c r="S536" t="str">
        <f t="shared" si="117"/>
        <v/>
      </c>
      <c r="T536" s="64" t="str">
        <f t="shared" si="116"/>
        <v/>
      </c>
      <c r="AA536" t="str">
        <f t="shared" si="118"/>
        <v/>
      </c>
      <c r="AB536" s="64" t="str">
        <f t="shared" si="119"/>
        <v/>
      </c>
    </row>
    <row r="537" spans="1:28" x14ac:dyDescent="0.35">
      <c r="A537">
        <f>'Procurement Schedule'!R655</f>
        <v>0</v>
      </c>
      <c r="B537" s="63">
        <f>'Procurement Schedule'!M655</f>
        <v>0</v>
      </c>
      <c r="C537">
        <f t="shared" si="120"/>
        <v>1</v>
      </c>
      <c r="D537">
        <f t="shared" si="111"/>
        <v>1900</v>
      </c>
      <c r="E537" t="str">
        <f t="shared" si="112"/>
        <v>1_1900</v>
      </c>
      <c r="G537">
        <f t="shared" si="113"/>
        <v>0</v>
      </c>
      <c r="H537" s="63">
        <f>'Procurement Schedule'!N655</f>
        <v>0</v>
      </c>
      <c r="I537">
        <f t="shared" si="121"/>
        <v>1</v>
      </c>
      <c r="J537">
        <f t="shared" si="114"/>
        <v>1900</v>
      </c>
      <c r="K537" t="str">
        <f t="shared" si="115"/>
        <v>1_1900</v>
      </c>
      <c r="S537" t="str">
        <f t="shared" si="117"/>
        <v/>
      </c>
      <c r="T537" s="64" t="str">
        <f t="shared" si="116"/>
        <v/>
      </c>
      <c r="AA537" t="str">
        <f t="shared" si="118"/>
        <v/>
      </c>
      <c r="AB537" s="64" t="str">
        <f t="shared" si="119"/>
        <v/>
      </c>
    </row>
    <row r="538" spans="1:28" x14ac:dyDescent="0.35">
      <c r="A538">
        <f>'Procurement Schedule'!R656</f>
        <v>0</v>
      </c>
      <c r="B538" s="63">
        <f>'Procurement Schedule'!M656</f>
        <v>0</v>
      </c>
      <c r="C538">
        <f t="shared" si="120"/>
        <v>1</v>
      </c>
      <c r="D538">
        <f t="shared" si="111"/>
        <v>1900</v>
      </c>
      <c r="E538" t="str">
        <f t="shared" si="112"/>
        <v>1_1900</v>
      </c>
      <c r="G538">
        <f t="shared" si="113"/>
        <v>0</v>
      </c>
      <c r="H538" s="63">
        <f>'Procurement Schedule'!N656</f>
        <v>0</v>
      </c>
      <c r="I538">
        <f t="shared" si="121"/>
        <v>1</v>
      </c>
      <c r="J538">
        <f t="shared" si="114"/>
        <v>1900</v>
      </c>
      <c r="K538" t="str">
        <f t="shared" si="115"/>
        <v>1_1900</v>
      </c>
      <c r="S538" t="str">
        <f t="shared" si="117"/>
        <v/>
      </c>
      <c r="T538" s="64" t="str">
        <f t="shared" si="116"/>
        <v/>
      </c>
      <c r="AA538" t="str">
        <f t="shared" si="118"/>
        <v/>
      </c>
      <c r="AB538" s="64" t="str">
        <f t="shared" si="119"/>
        <v/>
      </c>
    </row>
    <row r="539" spans="1:28" x14ac:dyDescent="0.35">
      <c r="A539">
        <f>'Procurement Schedule'!R657</f>
        <v>0</v>
      </c>
      <c r="B539" s="63">
        <f>'Procurement Schedule'!M657</f>
        <v>0</v>
      </c>
      <c r="C539">
        <f t="shared" si="120"/>
        <v>1</v>
      </c>
      <c r="D539">
        <f t="shared" si="111"/>
        <v>1900</v>
      </c>
      <c r="E539" t="str">
        <f t="shared" si="112"/>
        <v>1_1900</v>
      </c>
      <c r="G539">
        <f t="shared" si="113"/>
        <v>0</v>
      </c>
      <c r="H539" s="63">
        <f>'Procurement Schedule'!N657</f>
        <v>0</v>
      </c>
      <c r="I539">
        <f t="shared" si="121"/>
        <v>1</v>
      </c>
      <c r="J539">
        <f t="shared" si="114"/>
        <v>1900</v>
      </c>
      <c r="K539" t="str">
        <f t="shared" si="115"/>
        <v>1_1900</v>
      </c>
      <c r="S539" t="str">
        <f t="shared" si="117"/>
        <v/>
      </c>
      <c r="T539" s="64" t="str">
        <f t="shared" si="116"/>
        <v/>
      </c>
      <c r="AA539" t="str">
        <f t="shared" si="118"/>
        <v/>
      </c>
      <c r="AB539" s="64" t="str">
        <f t="shared" si="119"/>
        <v/>
      </c>
    </row>
    <row r="540" spans="1:28" x14ac:dyDescent="0.35">
      <c r="A540">
        <f>'Procurement Schedule'!R658</f>
        <v>0</v>
      </c>
      <c r="B540" s="63">
        <f>'Procurement Schedule'!M658</f>
        <v>0</v>
      </c>
      <c r="C540">
        <f t="shared" si="120"/>
        <v>1</v>
      </c>
      <c r="D540">
        <f t="shared" si="111"/>
        <v>1900</v>
      </c>
      <c r="E540" t="str">
        <f t="shared" si="112"/>
        <v>1_1900</v>
      </c>
      <c r="G540">
        <f t="shared" si="113"/>
        <v>0</v>
      </c>
      <c r="H540" s="63">
        <f>'Procurement Schedule'!N658</f>
        <v>0</v>
      </c>
      <c r="I540">
        <f t="shared" si="121"/>
        <v>1</v>
      </c>
      <c r="J540">
        <f t="shared" si="114"/>
        <v>1900</v>
      </c>
      <c r="K540" t="str">
        <f t="shared" si="115"/>
        <v>1_1900</v>
      </c>
      <c r="S540" t="str">
        <f t="shared" si="117"/>
        <v/>
      </c>
      <c r="T540" s="64" t="str">
        <f t="shared" si="116"/>
        <v/>
      </c>
      <c r="AA540" t="str">
        <f t="shared" si="118"/>
        <v/>
      </c>
      <c r="AB540" s="64" t="str">
        <f t="shared" si="119"/>
        <v/>
      </c>
    </row>
    <row r="541" spans="1:28" x14ac:dyDescent="0.35">
      <c r="A541">
        <f>'Procurement Schedule'!R659</f>
        <v>0</v>
      </c>
      <c r="B541" s="63">
        <f>'Procurement Schedule'!M659</f>
        <v>0</v>
      </c>
      <c r="C541">
        <f t="shared" si="120"/>
        <v>1</v>
      </c>
      <c r="D541">
        <f t="shared" si="111"/>
        <v>1900</v>
      </c>
      <c r="E541" t="str">
        <f t="shared" si="112"/>
        <v>1_1900</v>
      </c>
      <c r="G541">
        <f t="shared" si="113"/>
        <v>0</v>
      </c>
      <c r="H541" s="63">
        <f>'Procurement Schedule'!N659</f>
        <v>0</v>
      </c>
      <c r="I541">
        <f t="shared" si="121"/>
        <v>1</v>
      </c>
      <c r="J541">
        <f t="shared" si="114"/>
        <v>1900</v>
      </c>
      <c r="K541" t="str">
        <f t="shared" si="115"/>
        <v>1_1900</v>
      </c>
      <c r="S541" t="str">
        <f t="shared" si="117"/>
        <v/>
      </c>
      <c r="T541" s="64" t="str">
        <f t="shared" si="116"/>
        <v/>
      </c>
      <c r="AA541" t="str">
        <f t="shared" si="118"/>
        <v/>
      </c>
      <c r="AB541" s="64" t="str">
        <f t="shared" si="119"/>
        <v/>
      </c>
    </row>
    <row r="542" spans="1:28" x14ac:dyDescent="0.35">
      <c r="A542">
        <f>'Procurement Schedule'!R660</f>
        <v>0</v>
      </c>
      <c r="B542" s="63">
        <f>'Procurement Schedule'!M660</f>
        <v>0</v>
      </c>
      <c r="C542">
        <f t="shared" si="120"/>
        <v>1</v>
      </c>
      <c r="D542">
        <f t="shared" si="111"/>
        <v>1900</v>
      </c>
      <c r="E542" t="str">
        <f t="shared" si="112"/>
        <v>1_1900</v>
      </c>
      <c r="G542">
        <f t="shared" si="113"/>
        <v>0</v>
      </c>
      <c r="H542" s="63">
        <f>'Procurement Schedule'!N660</f>
        <v>0</v>
      </c>
      <c r="I542">
        <f t="shared" si="121"/>
        <v>1</v>
      </c>
      <c r="J542">
        <f t="shared" si="114"/>
        <v>1900</v>
      </c>
      <c r="K542" t="str">
        <f t="shared" si="115"/>
        <v>1_1900</v>
      </c>
      <c r="S542" t="str">
        <f t="shared" si="117"/>
        <v/>
      </c>
      <c r="T542" s="64" t="str">
        <f t="shared" si="116"/>
        <v/>
      </c>
      <c r="AA542" t="str">
        <f t="shared" si="118"/>
        <v/>
      </c>
      <c r="AB542" s="64" t="str">
        <f t="shared" si="119"/>
        <v/>
      </c>
    </row>
    <row r="543" spans="1:28" x14ac:dyDescent="0.35">
      <c r="A543">
        <f>'Procurement Schedule'!R661</f>
        <v>0</v>
      </c>
      <c r="B543" s="63">
        <f>'Procurement Schedule'!M661</f>
        <v>0</v>
      </c>
      <c r="C543">
        <f t="shared" si="120"/>
        <v>1</v>
      </c>
      <c r="D543">
        <f t="shared" si="111"/>
        <v>1900</v>
      </c>
      <c r="E543" t="str">
        <f t="shared" si="112"/>
        <v>1_1900</v>
      </c>
      <c r="G543">
        <f t="shared" si="113"/>
        <v>0</v>
      </c>
      <c r="H543" s="63">
        <f>'Procurement Schedule'!N661</f>
        <v>0</v>
      </c>
      <c r="I543">
        <f t="shared" si="121"/>
        <v>1</v>
      </c>
      <c r="J543">
        <f t="shared" si="114"/>
        <v>1900</v>
      </c>
      <c r="K543" t="str">
        <f t="shared" si="115"/>
        <v>1_1900</v>
      </c>
      <c r="S543" t="str">
        <f t="shared" si="117"/>
        <v/>
      </c>
      <c r="T543" s="64" t="str">
        <f t="shared" si="116"/>
        <v/>
      </c>
      <c r="AA543" t="str">
        <f t="shared" si="118"/>
        <v/>
      </c>
      <c r="AB543" s="64" t="str">
        <f t="shared" si="119"/>
        <v/>
      </c>
    </row>
    <row r="544" spans="1:28" x14ac:dyDescent="0.35">
      <c r="A544">
        <f>'Procurement Schedule'!R662</f>
        <v>0</v>
      </c>
      <c r="B544" s="63">
        <f>'Procurement Schedule'!M662</f>
        <v>0</v>
      </c>
      <c r="C544">
        <f t="shared" si="120"/>
        <v>1</v>
      </c>
      <c r="D544">
        <f t="shared" si="111"/>
        <v>1900</v>
      </c>
      <c r="E544" t="str">
        <f t="shared" si="112"/>
        <v>1_1900</v>
      </c>
      <c r="G544">
        <f t="shared" si="113"/>
        <v>0</v>
      </c>
      <c r="H544" s="63">
        <f>'Procurement Schedule'!N662</f>
        <v>0</v>
      </c>
      <c r="I544">
        <f t="shared" si="121"/>
        <v>1</v>
      </c>
      <c r="J544">
        <f t="shared" si="114"/>
        <v>1900</v>
      </c>
      <c r="K544" t="str">
        <f t="shared" si="115"/>
        <v>1_1900</v>
      </c>
      <c r="S544" t="str">
        <f t="shared" si="117"/>
        <v/>
      </c>
      <c r="T544" s="64" t="str">
        <f t="shared" si="116"/>
        <v/>
      </c>
      <c r="AA544" t="str">
        <f t="shared" si="118"/>
        <v/>
      </c>
      <c r="AB544" s="64" t="str">
        <f t="shared" si="119"/>
        <v/>
      </c>
    </row>
    <row r="545" spans="1:28" x14ac:dyDescent="0.35">
      <c r="A545">
        <f>'Procurement Schedule'!R663</f>
        <v>0</v>
      </c>
      <c r="B545" s="63">
        <f>'Procurement Schedule'!M663</f>
        <v>0</v>
      </c>
      <c r="C545">
        <f t="shared" si="120"/>
        <v>1</v>
      </c>
      <c r="D545">
        <f t="shared" si="111"/>
        <v>1900</v>
      </c>
      <c r="E545" t="str">
        <f t="shared" si="112"/>
        <v>1_1900</v>
      </c>
      <c r="G545">
        <f t="shared" si="113"/>
        <v>0</v>
      </c>
      <c r="H545" s="63">
        <f>'Procurement Schedule'!N663</f>
        <v>0</v>
      </c>
      <c r="I545">
        <f t="shared" si="121"/>
        <v>1</v>
      </c>
      <c r="J545">
        <f t="shared" si="114"/>
        <v>1900</v>
      </c>
      <c r="K545" t="str">
        <f t="shared" si="115"/>
        <v>1_1900</v>
      </c>
      <c r="S545" t="str">
        <f t="shared" si="117"/>
        <v/>
      </c>
      <c r="T545" s="64" t="str">
        <f t="shared" si="116"/>
        <v/>
      </c>
      <c r="AA545" t="str">
        <f t="shared" si="118"/>
        <v/>
      </c>
      <c r="AB545" s="64" t="str">
        <f t="shared" si="119"/>
        <v/>
      </c>
    </row>
    <row r="546" spans="1:28" x14ac:dyDescent="0.35">
      <c r="A546">
        <f>'Procurement Schedule'!R664</f>
        <v>0</v>
      </c>
      <c r="B546" s="63">
        <f>'Procurement Schedule'!M664</f>
        <v>0</v>
      </c>
      <c r="C546">
        <f t="shared" si="120"/>
        <v>1</v>
      </c>
      <c r="D546">
        <f t="shared" si="111"/>
        <v>1900</v>
      </c>
      <c r="E546" t="str">
        <f t="shared" si="112"/>
        <v>1_1900</v>
      </c>
      <c r="G546">
        <f t="shared" si="113"/>
        <v>0</v>
      </c>
      <c r="H546" s="63">
        <f>'Procurement Schedule'!N664</f>
        <v>0</v>
      </c>
      <c r="I546">
        <f t="shared" si="121"/>
        <v>1</v>
      </c>
      <c r="J546">
        <f t="shared" si="114"/>
        <v>1900</v>
      </c>
      <c r="K546" t="str">
        <f t="shared" si="115"/>
        <v>1_1900</v>
      </c>
      <c r="S546" t="str">
        <f t="shared" si="117"/>
        <v/>
      </c>
      <c r="T546" s="64" t="str">
        <f t="shared" si="116"/>
        <v/>
      </c>
      <c r="AA546" t="str">
        <f t="shared" si="118"/>
        <v/>
      </c>
      <c r="AB546" s="64" t="str">
        <f t="shared" si="119"/>
        <v/>
      </c>
    </row>
    <row r="547" spans="1:28" x14ac:dyDescent="0.35">
      <c r="A547">
        <f>'Procurement Schedule'!R665</f>
        <v>0</v>
      </c>
      <c r="B547" s="63">
        <f>'Procurement Schedule'!M665</f>
        <v>0</v>
      </c>
      <c r="C547">
        <f t="shared" si="120"/>
        <v>1</v>
      </c>
      <c r="D547">
        <f t="shared" si="111"/>
        <v>1900</v>
      </c>
      <c r="E547" t="str">
        <f t="shared" si="112"/>
        <v>1_1900</v>
      </c>
      <c r="G547">
        <f t="shared" si="113"/>
        <v>0</v>
      </c>
      <c r="H547" s="63">
        <f>'Procurement Schedule'!N665</f>
        <v>0</v>
      </c>
      <c r="I547">
        <f t="shared" si="121"/>
        <v>1</v>
      </c>
      <c r="J547">
        <f t="shared" si="114"/>
        <v>1900</v>
      </c>
      <c r="K547" t="str">
        <f t="shared" si="115"/>
        <v>1_1900</v>
      </c>
      <c r="S547" t="str">
        <f t="shared" si="117"/>
        <v/>
      </c>
      <c r="T547" s="64" t="str">
        <f t="shared" si="116"/>
        <v/>
      </c>
      <c r="AA547" t="str">
        <f t="shared" si="118"/>
        <v/>
      </c>
      <c r="AB547" s="64" t="str">
        <f t="shared" si="119"/>
        <v/>
      </c>
    </row>
    <row r="548" spans="1:28" x14ac:dyDescent="0.35">
      <c r="A548">
        <f>'Procurement Schedule'!R666</f>
        <v>0</v>
      </c>
      <c r="B548" s="63">
        <f>'Procurement Schedule'!M666</f>
        <v>0</v>
      </c>
      <c r="C548">
        <f t="shared" si="120"/>
        <v>1</v>
      </c>
      <c r="D548">
        <f t="shared" si="111"/>
        <v>1900</v>
      </c>
      <c r="E548" t="str">
        <f t="shared" si="112"/>
        <v>1_1900</v>
      </c>
      <c r="G548">
        <f t="shared" si="113"/>
        <v>0</v>
      </c>
      <c r="H548" s="63">
        <f>'Procurement Schedule'!N666</f>
        <v>0</v>
      </c>
      <c r="I548">
        <f t="shared" si="121"/>
        <v>1</v>
      </c>
      <c r="J548">
        <f t="shared" si="114"/>
        <v>1900</v>
      </c>
      <c r="K548" t="str">
        <f t="shared" si="115"/>
        <v>1_1900</v>
      </c>
      <c r="S548" t="str">
        <f t="shared" si="117"/>
        <v/>
      </c>
      <c r="T548" s="64" t="str">
        <f t="shared" si="116"/>
        <v/>
      </c>
      <c r="AA548" t="str">
        <f t="shared" si="118"/>
        <v/>
      </c>
      <c r="AB548" s="64" t="str">
        <f t="shared" si="119"/>
        <v/>
      </c>
    </row>
    <row r="549" spans="1:28" x14ac:dyDescent="0.35">
      <c r="A549">
        <f>'Procurement Schedule'!R667</f>
        <v>0</v>
      </c>
      <c r="B549" s="63">
        <f>'Procurement Schedule'!M667</f>
        <v>0</v>
      </c>
      <c r="C549">
        <f t="shared" si="120"/>
        <v>1</v>
      </c>
      <c r="D549">
        <f t="shared" si="111"/>
        <v>1900</v>
      </c>
      <c r="E549" t="str">
        <f t="shared" si="112"/>
        <v>1_1900</v>
      </c>
      <c r="G549">
        <f t="shared" si="113"/>
        <v>0</v>
      </c>
      <c r="H549" s="63">
        <f>'Procurement Schedule'!N667</f>
        <v>0</v>
      </c>
      <c r="I549">
        <f t="shared" si="121"/>
        <v>1</v>
      </c>
      <c r="J549">
        <f t="shared" si="114"/>
        <v>1900</v>
      </c>
      <c r="K549" t="str">
        <f t="shared" si="115"/>
        <v>1_1900</v>
      </c>
      <c r="S549" t="str">
        <f t="shared" si="117"/>
        <v/>
      </c>
      <c r="T549" s="64" t="str">
        <f t="shared" si="116"/>
        <v/>
      </c>
      <c r="AA549" t="str">
        <f t="shared" si="118"/>
        <v/>
      </c>
      <c r="AB549" s="64" t="str">
        <f t="shared" si="119"/>
        <v/>
      </c>
    </row>
    <row r="550" spans="1:28" x14ac:dyDescent="0.35">
      <c r="A550">
        <f>'Procurement Schedule'!R668</f>
        <v>0</v>
      </c>
      <c r="B550" s="63">
        <f>'Procurement Schedule'!M668</f>
        <v>0</v>
      </c>
      <c r="C550">
        <f t="shared" si="120"/>
        <v>1</v>
      </c>
      <c r="D550">
        <f t="shared" si="111"/>
        <v>1900</v>
      </c>
      <c r="E550" t="str">
        <f t="shared" si="112"/>
        <v>1_1900</v>
      </c>
      <c r="G550">
        <f t="shared" si="113"/>
        <v>0</v>
      </c>
      <c r="H550" s="63">
        <f>'Procurement Schedule'!N668</f>
        <v>0</v>
      </c>
      <c r="I550">
        <f t="shared" si="121"/>
        <v>1</v>
      </c>
      <c r="J550">
        <f t="shared" si="114"/>
        <v>1900</v>
      </c>
      <c r="K550" t="str">
        <f t="shared" si="115"/>
        <v>1_1900</v>
      </c>
      <c r="S550" t="str">
        <f t="shared" si="117"/>
        <v/>
      </c>
      <c r="T550" s="64" t="str">
        <f t="shared" si="116"/>
        <v/>
      </c>
      <c r="AA550" t="str">
        <f t="shared" si="118"/>
        <v/>
      </c>
      <c r="AB550" s="64" t="str">
        <f t="shared" si="119"/>
        <v/>
      </c>
    </row>
    <row r="551" spans="1:28" x14ac:dyDescent="0.35">
      <c r="A551">
        <f>'Procurement Schedule'!R669</f>
        <v>0</v>
      </c>
      <c r="B551" s="63">
        <f>'Procurement Schedule'!M669</f>
        <v>0</v>
      </c>
      <c r="C551">
        <f t="shared" si="120"/>
        <v>1</v>
      </c>
      <c r="D551">
        <f t="shared" si="111"/>
        <v>1900</v>
      </c>
      <c r="E551" t="str">
        <f t="shared" si="112"/>
        <v>1_1900</v>
      </c>
      <c r="G551">
        <f t="shared" si="113"/>
        <v>0</v>
      </c>
      <c r="H551" s="63">
        <f>'Procurement Schedule'!N669</f>
        <v>0</v>
      </c>
      <c r="I551">
        <f t="shared" si="121"/>
        <v>1</v>
      </c>
      <c r="J551">
        <f t="shared" si="114"/>
        <v>1900</v>
      </c>
      <c r="K551" t="str">
        <f t="shared" si="115"/>
        <v>1_1900</v>
      </c>
      <c r="S551" t="str">
        <f t="shared" si="117"/>
        <v/>
      </c>
      <c r="T551" s="64" t="str">
        <f t="shared" si="116"/>
        <v/>
      </c>
      <c r="AA551" t="str">
        <f t="shared" si="118"/>
        <v/>
      </c>
      <c r="AB551" s="64" t="str">
        <f t="shared" si="119"/>
        <v/>
      </c>
    </row>
    <row r="552" spans="1:28" x14ac:dyDescent="0.35">
      <c r="A552">
        <f>'Procurement Schedule'!R670</f>
        <v>0</v>
      </c>
      <c r="B552" s="63">
        <f>'Procurement Schedule'!M670</f>
        <v>0</v>
      </c>
      <c r="C552">
        <f t="shared" si="120"/>
        <v>1</v>
      </c>
      <c r="D552">
        <f t="shared" si="111"/>
        <v>1900</v>
      </c>
      <c r="E552" t="str">
        <f t="shared" si="112"/>
        <v>1_1900</v>
      </c>
      <c r="G552">
        <f t="shared" si="113"/>
        <v>0</v>
      </c>
      <c r="H552" s="63">
        <f>'Procurement Schedule'!N670</f>
        <v>0</v>
      </c>
      <c r="I552">
        <f t="shared" si="121"/>
        <v>1</v>
      </c>
      <c r="J552">
        <f t="shared" si="114"/>
        <v>1900</v>
      </c>
      <c r="K552" t="str">
        <f t="shared" si="115"/>
        <v>1_1900</v>
      </c>
      <c r="S552" t="str">
        <f t="shared" si="117"/>
        <v/>
      </c>
      <c r="T552" s="64" t="str">
        <f t="shared" si="116"/>
        <v/>
      </c>
      <c r="AA552" t="str">
        <f t="shared" si="118"/>
        <v/>
      </c>
      <c r="AB552" s="64" t="str">
        <f t="shared" si="119"/>
        <v/>
      </c>
    </row>
    <row r="553" spans="1:28" x14ac:dyDescent="0.35">
      <c r="A553">
        <f>'Procurement Schedule'!R671</f>
        <v>0</v>
      </c>
      <c r="B553" s="63">
        <f>'Procurement Schedule'!M671</f>
        <v>0</v>
      </c>
      <c r="C553">
        <f t="shared" si="120"/>
        <v>1</v>
      </c>
      <c r="D553">
        <f t="shared" si="111"/>
        <v>1900</v>
      </c>
      <c r="E553" t="str">
        <f t="shared" si="112"/>
        <v>1_1900</v>
      </c>
      <c r="G553">
        <f t="shared" si="113"/>
        <v>0</v>
      </c>
      <c r="H553" s="63">
        <f>'Procurement Schedule'!N671</f>
        <v>0</v>
      </c>
      <c r="I553">
        <f t="shared" si="121"/>
        <v>1</v>
      </c>
      <c r="J553">
        <f t="shared" si="114"/>
        <v>1900</v>
      </c>
      <c r="K553" t="str">
        <f t="shared" si="115"/>
        <v>1_1900</v>
      </c>
      <c r="S553" t="str">
        <f t="shared" si="117"/>
        <v/>
      </c>
      <c r="T553" s="64" t="str">
        <f t="shared" si="116"/>
        <v/>
      </c>
      <c r="AA553" t="str">
        <f t="shared" si="118"/>
        <v/>
      </c>
      <c r="AB553" s="64" t="str">
        <f t="shared" si="119"/>
        <v/>
      </c>
    </row>
    <row r="554" spans="1:28" x14ac:dyDescent="0.35">
      <c r="A554">
        <f>'Procurement Schedule'!R672</f>
        <v>0</v>
      </c>
      <c r="B554" s="63">
        <f>'Procurement Schedule'!M672</f>
        <v>0</v>
      </c>
      <c r="C554">
        <f t="shared" si="120"/>
        <v>1</v>
      </c>
      <c r="D554">
        <f t="shared" si="111"/>
        <v>1900</v>
      </c>
      <c r="E554" t="str">
        <f t="shared" si="112"/>
        <v>1_1900</v>
      </c>
      <c r="G554">
        <f t="shared" si="113"/>
        <v>0</v>
      </c>
      <c r="H554" s="63">
        <f>'Procurement Schedule'!N672</f>
        <v>0</v>
      </c>
      <c r="I554">
        <f t="shared" si="121"/>
        <v>1</v>
      </c>
      <c r="J554">
        <f t="shared" si="114"/>
        <v>1900</v>
      </c>
      <c r="K554" t="str">
        <f t="shared" si="115"/>
        <v>1_1900</v>
      </c>
      <c r="S554" t="str">
        <f t="shared" si="117"/>
        <v/>
      </c>
      <c r="T554" s="64" t="str">
        <f t="shared" si="116"/>
        <v/>
      </c>
      <c r="AA554" t="str">
        <f t="shared" si="118"/>
        <v/>
      </c>
      <c r="AB554" s="64" t="str">
        <f t="shared" si="119"/>
        <v/>
      </c>
    </row>
    <row r="555" spans="1:28" x14ac:dyDescent="0.35">
      <c r="A555">
        <f>'Procurement Schedule'!R673</f>
        <v>0</v>
      </c>
      <c r="B555" s="63">
        <f>'Procurement Schedule'!M673</f>
        <v>0</v>
      </c>
      <c r="C555">
        <f t="shared" si="120"/>
        <v>1</v>
      </c>
      <c r="D555">
        <f t="shared" si="111"/>
        <v>1900</v>
      </c>
      <c r="E555" t="str">
        <f t="shared" si="112"/>
        <v>1_1900</v>
      </c>
      <c r="G555">
        <f t="shared" si="113"/>
        <v>0</v>
      </c>
      <c r="H555" s="63">
        <f>'Procurement Schedule'!N673</f>
        <v>0</v>
      </c>
      <c r="I555">
        <f t="shared" si="121"/>
        <v>1</v>
      </c>
      <c r="J555">
        <f t="shared" si="114"/>
        <v>1900</v>
      </c>
      <c r="K555" t="str">
        <f t="shared" si="115"/>
        <v>1_1900</v>
      </c>
      <c r="S555" t="str">
        <f t="shared" si="117"/>
        <v/>
      </c>
      <c r="T555" s="64" t="str">
        <f t="shared" si="116"/>
        <v/>
      </c>
      <c r="AA555" t="str">
        <f t="shared" si="118"/>
        <v/>
      </c>
      <c r="AB555" s="64" t="str">
        <f t="shared" si="119"/>
        <v/>
      </c>
    </row>
    <row r="556" spans="1:28" x14ac:dyDescent="0.35">
      <c r="A556">
        <f>'Procurement Schedule'!R674</f>
        <v>0</v>
      </c>
      <c r="B556" s="63">
        <f>'Procurement Schedule'!M674</f>
        <v>0</v>
      </c>
      <c r="C556">
        <f t="shared" si="120"/>
        <v>1</v>
      </c>
      <c r="D556">
        <f t="shared" si="111"/>
        <v>1900</v>
      </c>
      <c r="E556" t="str">
        <f t="shared" si="112"/>
        <v>1_1900</v>
      </c>
      <c r="G556">
        <f t="shared" si="113"/>
        <v>0</v>
      </c>
      <c r="H556" s="63">
        <f>'Procurement Schedule'!N674</f>
        <v>0</v>
      </c>
      <c r="I556">
        <f t="shared" si="121"/>
        <v>1</v>
      </c>
      <c r="J556">
        <f t="shared" si="114"/>
        <v>1900</v>
      </c>
      <c r="K556" t="str">
        <f t="shared" si="115"/>
        <v>1_1900</v>
      </c>
      <c r="S556" t="str">
        <f t="shared" si="117"/>
        <v/>
      </c>
      <c r="T556" s="64" t="str">
        <f t="shared" si="116"/>
        <v/>
      </c>
      <c r="AA556" t="str">
        <f t="shared" si="118"/>
        <v/>
      </c>
      <c r="AB556" s="64" t="str">
        <f t="shared" si="119"/>
        <v/>
      </c>
    </row>
    <row r="557" spans="1:28" x14ac:dyDescent="0.35">
      <c r="A557">
        <f>'Procurement Schedule'!R675</f>
        <v>0</v>
      </c>
      <c r="B557" s="63">
        <f>'Procurement Schedule'!M675</f>
        <v>0</v>
      </c>
      <c r="C557">
        <f t="shared" si="120"/>
        <v>1</v>
      </c>
      <c r="D557">
        <f t="shared" si="111"/>
        <v>1900</v>
      </c>
      <c r="E557" t="str">
        <f t="shared" si="112"/>
        <v>1_1900</v>
      </c>
      <c r="G557">
        <f t="shared" si="113"/>
        <v>0</v>
      </c>
      <c r="H557" s="63">
        <f>'Procurement Schedule'!N675</f>
        <v>0</v>
      </c>
      <c r="I557">
        <f t="shared" si="121"/>
        <v>1</v>
      </c>
      <c r="J557">
        <f t="shared" si="114"/>
        <v>1900</v>
      </c>
      <c r="K557" t="str">
        <f t="shared" si="115"/>
        <v>1_1900</v>
      </c>
      <c r="S557" t="str">
        <f t="shared" si="117"/>
        <v/>
      </c>
      <c r="T557" s="64" t="str">
        <f t="shared" si="116"/>
        <v/>
      </c>
      <c r="AA557" t="str">
        <f t="shared" si="118"/>
        <v/>
      </c>
      <c r="AB557" s="64" t="str">
        <f t="shared" si="119"/>
        <v/>
      </c>
    </row>
    <row r="558" spans="1:28" x14ac:dyDescent="0.35">
      <c r="A558">
        <f>'Procurement Schedule'!R676</f>
        <v>0</v>
      </c>
      <c r="B558" s="63">
        <f>'Procurement Schedule'!M676</f>
        <v>0</v>
      </c>
      <c r="C558">
        <f t="shared" si="120"/>
        <v>1</v>
      </c>
      <c r="D558">
        <f t="shared" si="111"/>
        <v>1900</v>
      </c>
      <c r="E558" t="str">
        <f t="shared" si="112"/>
        <v>1_1900</v>
      </c>
      <c r="G558">
        <f t="shared" si="113"/>
        <v>0</v>
      </c>
      <c r="H558" s="63">
        <f>'Procurement Schedule'!N676</f>
        <v>0</v>
      </c>
      <c r="I558">
        <f t="shared" si="121"/>
        <v>1</v>
      </c>
      <c r="J558">
        <f t="shared" si="114"/>
        <v>1900</v>
      </c>
      <c r="K558" t="str">
        <f t="shared" si="115"/>
        <v>1_1900</v>
      </c>
      <c r="S558" t="str">
        <f t="shared" si="117"/>
        <v/>
      </c>
      <c r="T558" s="64" t="str">
        <f t="shared" si="116"/>
        <v/>
      </c>
      <c r="AA558" t="str">
        <f t="shared" si="118"/>
        <v/>
      </c>
      <c r="AB558" s="64" t="str">
        <f t="shared" si="119"/>
        <v/>
      </c>
    </row>
    <row r="559" spans="1:28" x14ac:dyDescent="0.35">
      <c r="A559">
        <f>'Procurement Schedule'!R677</f>
        <v>0</v>
      </c>
      <c r="B559" s="63">
        <f>'Procurement Schedule'!M677</f>
        <v>0</v>
      </c>
      <c r="C559">
        <f t="shared" si="120"/>
        <v>1</v>
      </c>
      <c r="D559">
        <f t="shared" si="111"/>
        <v>1900</v>
      </c>
      <c r="E559" t="str">
        <f t="shared" si="112"/>
        <v>1_1900</v>
      </c>
      <c r="G559">
        <f t="shared" si="113"/>
        <v>0</v>
      </c>
      <c r="H559" s="63">
        <f>'Procurement Schedule'!N677</f>
        <v>0</v>
      </c>
      <c r="I559">
        <f t="shared" si="121"/>
        <v>1</v>
      </c>
      <c r="J559">
        <f t="shared" si="114"/>
        <v>1900</v>
      </c>
      <c r="K559" t="str">
        <f t="shared" si="115"/>
        <v>1_1900</v>
      </c>
      <c r="S559" t="str">
        <f t="shared" si="117"/>
        <v/>
      </c>
      <c r="T559" s="64" t="str">
        <f t="shared" si="116"/>
        <v/>
      </c>
      <c r="AA559" t="str">
        <f t="shared" si="118"/>
        <v/>
      </c>
      <c r="AB559" s="64" t="str">
        <f t="shared" si="119"/>
        <v/>
      </c>
    </row>
    <row r="560" spans="1:28" x14ac:dyDescent="0.35">
      <c r="A560">
        <f>'Procurement Schedule'!R678</f>
        <v>0</v>
      </c>
      <c r="B560" s="63">
        <f>'Procurement Schedule'!M678</f>
        <v>0</v>
      </c>
      <c r="C560">
        <f t="shared" si="120"/>
        <v>1</v>
      </c>
      <c r="D560">
        <f t="shared" si="111"/>
        <v>1900</v>
      </c>
      <c r="E560" t="str">
        <f t="shared" si="112"/>
        <v>1_1900</v>
      </c>
      <c r="G560">
        <f t="shared" si="113"/>
        <v>0</v>
      </c>
      <c r="H560" s="63">
        <f>'Procurement Schedule'!N678</f>
        <v>0</v>
      </c>
      <c r="I560">
        <f t="shared" si="121"/>
        <v>1</v>
      </c>
      <c r="J560">
        <f t="shared" si="114"/>
        <v>1900</v>
      </c>
      <c r="K560" t="str">
        <f t="shared" si="115"/>
        <v>1_1900</v>
      </c>
      <c r="S560" t="str">
        <f t="shared" si="117"/>
        <v/>
      </c>
      <c r="T560" s="64" t="str">
        <f t="shared" si="116"/>
        <v/>
      </c>
      <c r="AA560" t="str">
        <f t="shared" si="118"/>
        <v/>
      </c>
      <c r="AB560" s="64" t="str">
        <f t="shared" si="119"/>
        <v/>
      </c>
    </row>
    <row r="561" spans="1:28" x14ac:dyDescent="0.35">
      <c r="A561">
        <f>'Procurement Schedule'!R679</f>
        <v>0</v>
      </c>
      <c r="B561" s="63">
        <f>'Procurement Schedule'!M679</f>
        <v>0</v>
      </c>
      <c r="C561">
        <f t="shared" si="120"/>
        <v>1</v>
      </c>
      <c r="D561">
        <f t="shared" si="111"/>
        <v>1900</v>
      </c>
      <c r="E561" t="str">
        <f t="shared" si="112"/>
        <v>1_1900</v>
      </c>
      <c r="G561">
        <f t="shared" si="113"/>
        <v>0</v>
      </c>
      <c r="H561" s="63">
        <f>'Procurement Schedule'!N679</f>
        <v>0</v>
      </c>
      <c r="I561">
        <f t="shared" si="121"/>
        <v>1</v>
      </c>
      <c r="J561">
        <f t="shared" si="114"/>
        <v>1900</v>
      </c>
      <c r="K561" t="str">
        <f t="shared" si="115"/>
        <v>1_1900</v>
      </c>
      <c r="S561" t="str">
        <f t="shared" si="117"/>
        <v/>
      </c>
      <c r="T561" s="64" t="str">
        <f t="shared" si="116"/>
        <v/>
      </c>
      <c r="AA561" t="str">
        <f t="shared" si="118"/>
        <v/>
      </c>
      <c r="AB561" s="64" t="str">
        <f t="shared" si="119"/>
        <v/>
      </c>
    </row>
    <row r="562" spans="1:28" x14ac:dyDescent="0.35">
      <c r="A562">
        <f>'Procurement Schedule'!R680</f>
        <v>0</v>
      </c>
      <c r="B562" s="63">
        <f>'Procurement Schedule'!M680</f>
        <v>0</v>
      </c>
      <c r="C562">
        <f t="shared" si="120"/>
        <v>1</v>
      </c>
      <c r="D562">
        <f t="shared" si="111"/>
        <v>1900</v>
      </c>
      <c r="E562" t="str">
        <f t="shared" si="112"/>
        <v>1_1900</v>
      </c>
      <c r="G562">
        <f t="shared" si="113"/>
        <v>0</v>
      </c>
      <c r="H562" s="63">
        <f>'Procurement Schedule'!N680</f>
        <v>0</v>
      </c>
      <c r="I562">
        <f t="shared" si="121"/>
        <v>1</v>
      </c>
      <c r="J562">
        <f t="shared" si="114"/>
        <v>1900</v>
      </c>
      <c r="K562" t="str">
        <f t="shared" si="115"/>
        <v>1_1900</v>
      </c>
      <c r="S562" t="str">
        <f t="shared" si="117"/>
        <v/>
      </c>
      <c r="T562" s="64" t="str">
        <f t="shared" si="116"/>
        <v/>
      </c>
      <c r="AA562" t="str">
        <f t="shared" si="118"/>
        <v/>
      </c>
      <c r="AB562" s="64" t="str">
        <f t="shared" si="119"/>
        <v/>
      </c>
    </row>
    <row r="563" spans="1:28" x14ac:dyDescent="0.35">
      <c r="A563">
        <f>'Procurement Schedule'!R681</f>
        <v>0</v>
      </c>
      <c r="B563" s="63">
        <f>'Procurement Schedule'!M681</f>
        <v>0</v>
      </c>
      <c r="C563">
        <f t="shared" si="120"/>
        <v>1</v>
      </c>
      <c r="D563">
        <f t="shared" si="111"/>
        <v>1900</v>
      </c>
      <c r="E563" t="str">
        <f t="shared" si="112"/>
        <v>1_1900</v>
      </c>
      <c r="G563">
        <f t="shared" si="113"/>
        <v>0</v>
      </c>
      <c r="H563" s="63">
        <f>'Procurement Schedule'!N681</f>
        <v>0</v>
      </c>
      <c r="I563">
        <f t="shared" si="121"/>
        <v>1</v>
      </c>
      <c r="J563">
        <f t="shared" si="114"/>
        <v>1900</v>
      </c>
      <c r="K563" t="str">
        <f t="shared" si="115"/>
        <v>1_1900</v>
      </c>
      <c r="S563" t="str">
        <f t="shared" si="117"/>
        <v/>
      </c>
      <c r="T563" s="64" t="str">
        <f t="shared" si="116"/>
        <v/>
      </c>
      <c r="AA563" t="str">
        <f t="shared" si="118"/>
        <v/>
      </c>
      <c r="AB563" s="64" t="str">
        <f t="shared" si="119"/>
        <v/>
      </c>
    </row>
    <row r="564" spans="1:28" x14ac:dyDescent="0.35">
      <c r="A564">
        <f>'Procurement Schedule'!R682</f>
        <v>0</v>
      </c>
      <c r="B564" s="63">
        <f>'Procurement Schedule'!M682</f>
        <v>0</v>
      </c>
      <c r="C564">
        <f t="shared" si="120"/>
        <v>1</v>
      </c>
      <c r="D564">
        <f t="shared" si="111"/>
        <v>1900</v>
      </c>
      <c r="E564" t="str">
        <f t="shared" si="112"/>
        <v>1_1900</v>
      </c>
      <c r="G564">
        <f t="shared" si="113"/>
        <v>0</v>
      </c>
      <c r="H564" s="63">
        <f>'Procurement Schedule'!N682</f>
        <v>0</v>
      </c>
      <c r="I564">
        <f t="shared" si="121"/>
        <v>1</v>
      </c>
      <c r="J564">
        <f t="shared" si="114"/>
        <v>1900</v>
      </c>
      <c r="K564" t="str">
        <f t="shared" si="115"/>
        <v>1_1900</v>
      </c>
      <c r="S564" t="str">
        <f t="shared" si="117"/>
        <v/>
      </c>
      <c r="T564" s="64" t="str">
        <f t="shared" si="116"/>
        <v/>
      </c>
      <c r="AA564" t="str">
        <f t="shared" si="118"/>
        <v/>
      </c>
      <c r="AB564" s="64" t="str">
        <f t="shared" si="119"/>
        <v/>
      </c>
    </row>
    <row r="565" spans="1:28" x14ac:dyDescent="0.35">
      <c r="A565">
        <f>'Procurement Schedule'!R683</f>
        <v>0</v>
      </c>
      <c r="B565" s="63">
        <f>'Procurement Schedule'!M683</f>
        <v>0</v>
      </c>
      <c r="C565">
        <f t="shared" si="120"/>
        <v>1</v>
      </c>
      <c r="D565">
        <f t="shared" si="111"/>
        <v>1900</v>
      </c>
      <c r="E565" t="str">
        <f t="shared" si="112"/>
        <v>1_1900</v>
      </c>
      <c r="G565">
        <f t="shared" si="113"/>
        <v>0</v>
      </c>
      <c r="H565" s="63">
        <f>'Procurement Schedule'!N683</f>
        <v>0</v>
      </c>
      <c r="I565">
        <f t="shared" si="121"/>
        <v>1</v>
      </c>
      <c r="J565">
        <f t="shared" si="114"/>
        <v>1900</v>
      </c>
      <c r="K565" t="str">
        <f t="shared" si="115"/>
        <v>1_1900</v>
      </c>
      <c r="S565" t="str">
        <f t="shared" si="117"/>
        <v/>
      </c>
      <c r="T565" s="64" t="str">
        <f t="shared" si="116"/>
        <v/>
      </c>
      <c r="AA565" t="str">
        <f t="shared" si="118"/>
        <v/>
      </c>
      <c r="AB565" s="64" t="str">
        <f t="shared" si="119"/>
        <v/>
      </c>
    </row>
    <row r="566" spans="1:28" x14ac:dyDescent="0.35">
      <c r="A566">
        <f>'Procurement Schedule'!R684</f>
        <v>0</v>
      </c>
      <c r="B566" s="63">
        <f>'Procurement Schedule'!M684</f>
        <v>0</v>
      </c>
      <c r="C566">
        <f t="shared" si="120"/>
        <v>1</v>
      </c>
      <c r="D566">
        <f t="shared" si="111"/>
        <v>1900</v>
      </c>
      <c r="E566" t="str">
        <f t="shared" si="112"/>
        <v>1_1900</v>
      </c>
      <c r="G566">
        <f t="shared" si="113"/>
        <v>0</v>
      </c>
      <c r="H566" s="63">
        <f>'Procurement Schedule'!N684</f>
        <v>0</v>
      </c>
      <c r="I566">
        <f t="shared" si="121"/>
        <v>1</v>
      </c>
      <c r="J566">
        <f t="shared" si="114"/>
        <v>1900</v>
      </c>
      <c r="K566" t="str">
        <f t="shared" si="115"/>
        <v>1_1900</v>
      </c>
      <c r="S566" t="str">
        <f t="shared" si="117"/>
        <v/>
      </c>
      <c r="T566" s="64" t="str">
        <f t="shared" si="116"/>
        <v/>
      </c>
      <c r="AA566" t="str">
        <f t="shared" si="118"/>
        <v/>
      </c>
      <c r="AB566" s="64" t="str">
        <f t="shared" si="119"/>
        <v/>
      </c>
    </row>
    <row r="567" spans="1:28" x14ac:dyDescent="0.35">
      <c r="A567">
        <f>'Procurement Schedule'!R685</f>
        <v>0</v>
      </c>
      <c r="B567" s="63">
        <f>'Procurement Schedule'!M685</f>
        <v>0</v>
      </c>
      <c r="C567">
        <f t="shared" si="120"/>
        <v>1</v>
      </c>
      <c r="D567">
        <f t="shared" ref="D567:D630" si="122">YEAR(B567)</f>
        <v>1900</v>
      </c>
      <c r="E567" t="str">
        <f t="shared" ref="E567:E630" si="123">C567&amp;"_"&amp;D567</f>
        <v>1_1900</v>
      </c>
      <c r="G567">
        <f t="shared" ref="G567:G630" si="124">A567</f>
        <v>0</v>
      </c>
      <c r="H567" s="63">
        <f>'Procurement Schedule'!N685</f>
        <v>0</v>
      </c>
      <c r="I567">
        <f t="shared" si="121"/>
        <v>1</v>
      </c>
      <c r="J567">
        <f t="shared" ref="J567:J630" si="125">YEAR(H567)</f>
        <v>1900</v>
      </c>
      <c r="K567" t="str">
        <f t="shared" ref="K567:K630" si="126">I567&amp;"_"&amp;J567</f>
        <v>1_1900</v>
      </c>
      <c r="S567" t="str">
        <f t="shared" si="117"/>
        <v/>
      </c>
      <c r="T567" s="64" t="str">
        <f t="shared" si="116"/>
        <v/>
      </c>
      <c r="AA567" t="str">
        <f t="shared" si="118"/>
        <v/>
      </c>
      <c r="AB567" s="64" t="str">
        <f t="shared" si="119"/>
        <v/>
      </c>
    </row>
    <row r="568" spans="1:28" x14ac:dyDescent="0.35">
      <c r="A568">
        <f>'Procurement Schedule'!R686</f>
        <v>0</v>
      </c>
      <c r="B568" s="63">
        <f>'Procurement Schedule'!M686</f>
        <v>0</v>
      </c>
      <c r="C568">
        <f t="shared" si="120"/>
        <v>1</v>
      </c>
      <c r="D568">
        <f t="shared" si="122"/>
        <v>1900</v>
      </c>
      <c r="E568" t="str">
        <f t="shared" si="123"/>
        <v>1_1900</v>
      </c>
      <c r="G568">
        <f t="shared" si="124"/>
        <v>0</v>
      </c>
      <c r="H568" s="63">
        <f>'Procurement Schedule'!N686</f>
        <v>0</v>
      </c>
      <c r="I568">
        <f t="shared" si="121"/>
        <v>1</v>
      </c>
      <c r="J568">
        <f t="shared" si="125"/>
        <v>1900</v>
      </c>
      <c r="K568" t="str">
        <f t="shared" si="126"/>
        <v>1_1900</v>
      </c>
      <c r="S568" t="str">
        <f t="shared" si="117"/>
        <v/>
      </c>
      <c r="T568" s="64" t="str">
        <f t="shared" si="116"/>
        <v/>
      </c>
      <c r="AA568" t="str">
        <f t="shared" si="118"/>
        <v/>
      </c>
      <c r="AB568" s="64" t="str">
        <f t="shared" si="119"/>
        <v/>
      </c>
    </row>
    <row r="569" spans="1:28" x14ac:dyDescent="0.35">
      <c r="A569">
        <f>'Procurement Schedule'!R687</f>
        <v>0</v>
      </c>
      <c r="B569" s="63">
        <f>'Procurement Schedule'!M687</f>
        <v>0</v>
      </c>
      <c r="C569">
        <f t="shared" si="120"/>
        <v>1</v>
      </c>
      <c r="D569">
        <f t="shared" si="122"/>
        <v>1900</v>
      </c>
      <c r="E569" t="str">
        <f t="shared" si="123"/>
        <v>1_1900</v>
      </c>
      <c r="G569">
        <f t="shared" si="124"/>
        <v>0</v>
      </c>
      <c r="H569" s="63">
        <f>'Procurement Schedule'!N687</f>
        <v>0</v>
      </c>
      <c r="I569">
        <f t="shared" si="121"/>
        <v>1</v>
      </c>
      <c r="J569">
        <f t="shared" si="125"/>
        <v>1900</v>
      </c>
      <c r="K569" t="str">
        <f t="shared" si="126"/>
        <v>1_1900</v>
      </c>
      <c r="S569" t="str">
        <f t="shared" si="117"/>
        <v/>
      </c>
      <c r="T569" s="64" t="str">
        <f t="shared" si="116"/>
        <v/>
      </c>
      <c r="AA569" t="str">
        <f t="shared" si="118"/>
        <v/>
      </c>
      <c r="AB569" s="64" t="str">
        <f t="shared" si="119"/>
        <v/>
      </c>
    </row>
    <row r="570" spans="1:28" x14ac:dyDescent="0.35">
      <c r="A570">
        <f>'Procurement Schedule'!R688</f>
        <v>0</v>
      </c>
      <c r="B570" s="63">
        <f>'Procurement Schedule'!M688</f>
        <v>0</v>
      </c>
      <c r="C570">
        <f t="shared" si="120"/>
        <v>1</v>
      </c>
      <c r="D570">
        <f t="shared" si="122"/>
        <v>1900</v>
      </c>
      <c r="E570" t="str">
        <f t="shared" si="123"/>
        <v>1_1900</v>
      </c>
      <c r="G570">
        <f t="shared" si="124"/>
        <v>0</v>
      </c>
      <c r="H570" s="63">
        <f>'Procurement Schedule'!N688</f>
        <v>0</v>
      </c>
      <c r="I570">
        <f t="shared" si="121"/>
        <v>1</v>
      </c>
      <c r="J570">
        <f t="shared" si="125"/>
        <v>1900</v>
      </c>
      <c r="K570" t="str">
        <f t="shared" si="126"/>
        <v>1_1900</v>
      </c>
      <c r="S570" t="str">
        <f t="shared" si="117"/>
        <v/>
      </c>
      <c r="T570" s="64" t="str">
        <f t="shared" si="116"/>
        <v/>
      </c>
      <c r="AA570" t="str">
        <f t="shared" si="118"/>
        <v/>
      </c>
      <c r="AB570" s="64" t="str">
        <f t="shared" si="119"/>
        <v/>
      </c>
    </row>
    <row r="571" spans="1:28" x14ac:dyDescent="0.35">
      <c r="A571">
        <f>'Procurement Schedule'!R689</f>
        <v>0</v>
      </c>
      <c r="B571" s="63">
        <f>'Procurement Schedule'!M689</f>
        <v>0</v>
      </c>
      <c r="C571">
        <f t="shared" si="120"/>
        <v>1</v>
      </c>
      <c r="D571">
        <f t="shared" si="122"/>
        <v>1900</v>
      </c>
      <c r="E571" t="str">
        <f t="shared" si="123"/>
        <v>1_1900</v>
      </c>
      <c r="G571">
        <f t="shared" si="124"/>
        <v>0</v>
      </c>
      <c r="H571" s="63">
        <f>'Procurement Schedule'!N689</f>
        <v>0</v>
      </c>
      <c r="I571">
        <f t="shared" si="121"/>
        <v>1</v>
      </c>
      <c r="J571">
        <f t="shared" si="125"/>
        <v>1900</v>
      </c>
      <c r="K571" t="str">
        <f t="shared" si="126"/>
        <v>1_1900</v>
      </c>
      <c r="S571" t="str">
        <f t="shared" si="117"/>
        <v/>
      </c>
      <c r="T571" s="64" t="str">
        <f t="shared" si="116"/>
        <v/>
      </c>
      <c r="AA571" t="str">
        <f t="shared" si="118"/>
        <v/>
      </c>
      <c r="AB571" s="64" t="str">
        <f t="shared" si="119"/>
        <v/>
      </c>
    </row>
    <row r="572" spans="1:28" x14ac:dyDescent="0.35">
      <c r="A572">
        <f>'Procurement Schedule'!R690</f>
        <v>0</v>
      </c>
      <c r="B572" s="63">
        <f>'Procurement Schedule'!M690</f>
        <v>0</v>
      </c>
      <c r="C572">
        <f t="shared" si="120"/>
        <v>1</v>
      </c>
      <c r="D572">
        <f t="shared" si="122"/>
        <v>1900</v>
      </c>
      <c r="E572" t="str">
        <f t="shared" si="123"/>
        <v>1_1900</v>
      </c>
      <c r="G572">
        <f t="shared" si="124"/>
        <v>0</v>
      </c>
      <c r="H572" s="63">
        <f>'Procurement Schedule'!N690</f>
        <v>0</v>
      </c>
      <c r="I572">
        <f t="shared" si="121"/>
        <v>1</v>
      </c>
      <c r="J572">
        <f t="shared" si="125"/>
        <v>1900</v>
      </c>
      <c r="K572" t="str">
        <f t="shared" si="126"/>
        <v>1_1900</v>
      </c>
      <c r="S572" t="str">
        <f t="shared" si="117"/>
        <v/>
      </c>
      <c r="T572" s="64" t="str">
        <f t="shared" si="116"/>
        <v/>
      </c>
      <c r="AA572" t="str">
        <f t="shared" si="118"/>
        <v/>
      </c>
      <c r="AB572" s="64" t="str">
        <f t="shared" si="119"/>
        <v/>
      </c>
    </row>
    <row r="573" spans="1:28" x14ac:dyDescent="0.35">
      <c r="A573">
        <f>'Procurement Schedule'!R691</f>
        <v>0</v>
      </c>
      <c r="B573" s="63">
        <f>'Procurement Schedule'!M691</f>
        <v>0</v>
      </c>
      <c r="C573">
        <f t="shared" si="120"/>
        <v>1</v>
      </c>
      <c r="D573">
        <f t="shared" si="122"/>
        <v>1900</v>
      </c>
      <c r="E573" t="str">
        <f t="shared" si="123"/>
        <v>1_1900</v>
      </c>
      <c r="G573">
        <f t="shared" si="124"/>
        <v>0</v>
      </c>
      <c r="H573" s="63">
        <f>'Procurement Schedule'!N691</f>
        <v>0</v>
      </c>
      <c r="I573">
        <f t="shared" si="121"/>
        <v>1</v>
      </c>
      <c r="J573">
        <f t="shared" si="125"/>
        <v>1900</v>
      </c>
      <c r="K573" t="str">
        <f t="shared" si="126"/>
        <v>1_1900</v>
      </c>
      <c r="S573" t="str">
        <f t="shared" si="117"/>
        <v/>
      </c>
      <c r="T573" s="64" t="str">
        <f t="shared" si="116"/>
        <v/>
      </c>
      <c r="AA573" t="str">
        <f t="shared" si="118"/>
        <v/>
      </c>
      <c r="AB573" s="64" t="str">
        <f t="shared" si="119"/>
        <v/>
      </c>
    </row>
    <row r="574" spans="1:28" x14ac:dyDescent="0.35">
      <c r="A574">
        <f>'Procurement Schedule'!R692</f>
        <v>0</v>
      </c>
      <c r="B574" s="63">
        <f>'Procurement Schedule'!M692</f>
        <v>0</v>
      </c>
      <c r="C574">
        <f t="shared" si="120"/>
        <v>1</v>
      </c>
      <c r="D574">
        <f t="shared" si="122"/>
        <v>1900</v>
      </c>
      <c r="E574" t="str">
        <f t="shared" si="123"/>
        <v>1_1900</v>
      </c>
      <c r="G574">
        <f t="shared" si="124"/>
        <v>0</v>
      </c>
      <c r="H574" s="63">
        <f>'Procurement Schedule'!N692</f>
        <v>0</v>
      </c>
      <c r="I574">
        <f t="shared" si="121"/>
        <v>1</v>
      </c>
      <c r="J574">
        <f t="shared" si="125"/>
        <v>1900</v>
      </c>
      <c r="K574" t="str">
        <f t="shared" si="126"/>
        <v>1_1900</v>
      </c>
      <c r="S574" t="str">
        <f t="shared" si="117"/>
        <v/>
      </c>
      <c r="T574" s="64" t="str">
        <f t="shared" si="116"/>
        <v/>
      </c>
      <c r="AA574" t="str">
        <f t="shared" si="118"/>
        <v/>
      </c>
      <c r="AB574" s="64" t="str">
        <f t="shared" si="119"/>
        <v/>
      </c>
    </row>
    <row r="575" spans="1:28" x14ac:dyDescent="0.35">
      <c r="A575">
        <f>'Procurement Schedule'!R693</f>
        <v>0</v>
      </c>
      <c r="B575" s="63">
        <f>'Procurement Schedule'!M693</f>
        <v>0</v>
      </c>
      <c r="C575">
        <f t="shared" si="120"/>
        <v>1</v>
      </c>
      <c r="D575">
        <f t="shared" si="122"/>
        <v>1900</v>
      </c>
      <c r="E575" t="str">
        <f t="shared" si="123"/>
        <v>1_1900</v>
      </c>
      <c r="G575">
        <f t="shared" si="124"/>
        <v>0</v>
      </c>
      <c r="H575" s="63">
        <f>'Procurement Schedule'!N693</f>
        <v>0</v>
      </c>
      <c r="I575">
        <f t="shared" si="121"/>
        <v>1</v>
      </c>
      <c r="J575">
        <f t="shared" si="125"/>
        <v>1900</v>
      </c>
      <c r="K575" t="str">
        <f t="shared" si="126"/>
        <v>1_1900</v>
      </c>
      <c r="S575" t="str">
        <f t="shared" si="117"/>
        <v/>
      </c>
      <c r="T575" s="64" t="str">
        <f t="shared" si="116"/>
        <v/>
      </c>
      <c r="AA575" t="str">
        <f t="shared" si="118"/>
        <v/>
      </c>
      <c r="AB575" s="64" t="str">
        <f t="shared" si="119"/>
        <v/>
      </c>
    </row>
    <row r="576" spans="1:28" x14ac:dyDescent="0.35">
      <c r="A576">
        <f>'Procurement Schedule'!R694</f>
        <v>0</v>
      </c>
      <c r="B576" s="63">
        <f>'Procurement Schedule'!M694</f>
        <v>0</v>
      </c>
      <c r="C576">
        <f t="shared" si="120"/>
        <v>1</v>
      </c>
      <c r="D576">
        <f t="shared" si="122"/>
        <v>1900</v>
      </c>
      <c r="E576" t="str">
        <f t="shared" si="123"/>
        <v>1_1900</v>
      </c>
      <c r="G576">
        <f t="shared" si="124"/>
        <v>0</v>
      </c>
      <c r="H576" s="63">
        <f>'Procurement Schedule'!N694</f>
        <v>0</v>
      </c>
      <c r="I576">
        <f t="shared" si="121"/>
        <v>1</v>
      </c>
      <c r="J576">
        <f t="shared" si="125"/>
        <v>1900</v>
      </c>
      <c r="K576" t="str">
        <f t="shared" si="126"/>
        <v>1_1900</v>
      </c>
      <c r="S576" t="str">
        <f t="shared" si="117"/>
        <v/>
      </c>
      <c r="T576" s="64" t="str">
        <f t="shared" si="116"/>
        <v/>
      </c>
      <c r="AA576" t="str">
        <f t="shared" si="118"/>
        <v/>
      </c>
      <c r="AB576" s="64" t="str">
        <f t="shared" si="119"/>
        <v/>
      </c>
    </row>
    <row r="577" spans="1:28" x14ac:dyDescent="0.35">
      <c r="A577">
        <f>'Procurement Schedule'!R695</f>
        <v>0</v>
      </c>
      <c r="B577" s="63">
        <f>'Procurement Schedule'!M695</f>
        <v>0</v>
      </c>
      <c r="C577">
        <f t="shared" si="120"/>
        <v>1</v>
      </c>
      <c r="D577">
        <f t="shared" si="122"/>
        <v>1900</v>
      </c>
      <c r="E577" t="str">
        <f t="shared" si="123"/>
        <v>1_1900</v>
      </c>
      <c r="G577">
        <f t="shared" si="124"/>
        <v>0</v>
      </c>
      <c r="H577" s="63">
        <f>'Procurement Schedule'!N695</f>
        <v>0</v>
      </c>
      <c r="I577">
        <f t="shared" si="121"/>
        <v>1</v>
      </c>
      <c r="J577">
        <f t="shared" si="125"/>
        <v>1900</v>
      </c>
      <c r="K577" t="str">
        <f t="shared" si="126"/>
        <v>1_1900</v>
      </c>
      <c r="S577" t="str">
        <f t="shared" si="117"/>
        <v/>
      </c>
      <c r="T577" s="64" t="str">
        <f t="shared" si="116"/>
        <v/>
      </c>
      <c r="AA577" t="str">
        <f t="shared" si="118"/>
        <v/>
      </c>
      <c r="AB577" s="64" t="str">
        <f t="shared" si="119"/>
        <v/>
      </c>
    </row>
    <row r="578" spans="1:28" x14ac:dyDescent="0.35">
      <c r="A578">
        <f>'Procurement Schedule'!R696</f>
        <v>0</v>
      </c>
      <c r="B578" s="63">
        <f>'Procurement Schedule'!M696</f>
        <v>0</v>
      </c>
      <c r="C578">
        <f t="shared" si="120"/>
        <v>1</v>
      </c>
      <c r="D578">
        <f t="shared" si="122"/>
        <v>1900</v>
      </c>
      <c r="E578" t="str">
        <f t="shared" si="123"/>
        <v>1_1900</v>
      </c>
      <c r="G578">
        <f t="shared" si="124"/>
        <v>0</v>
      </c>
      <c r="H578" s="63">
        <f>'Procurement Schedule'!N696</f>
        <v>0</v>
      </c>
      <c r="I578">
        <f t="shared" si="121"/>
        <v>1</v>
      </c>
      <c r="J578">
        <f t="shared" si="125"/>
        <v>1900</v>
      </c>
      <c r="K578" t="str">
        <f t="shared" si="126"/>
        <v>1_1900</v>
      </c>
      <c r="S578" t="str">
        <f t="shared" si="117"/>
        <v/>
      </c>
      <c r="T578" s="64" t="str">
        <f t="shared" si="116"/>
        <v/>
      </c>
      <c r="AA578" t="str">
        <f t="shared" si="118"/>
        <v/>
      </c>
      <c r="AB578" s="64" t="str">
        <f t="shared" si="119"/>
        <v/>
      </c>
    </row>
    <row r="579" spans="1:28" x14ac:dyDescent="0.35">
      <c r="A579">
        <f>'Procurement Schedule'!R697</f>
        <v>0</v>
      </c>
      <c r="B579" s="63">
        <f>'Procurement Schedule'!M697</f>
        <v>0</v>
      </c>
      <c r="C579">
        <f t="shared" si="120"/>
        <v>1</v>
      </c>
      <c r="D579">
        <f t="shared" si="122"/>
        <v>1900</v>
      </c>
      <c r="E579" t="str">
        <f t="shared" si="123"/>
        <v>1_1900</v>
      </c>
      <c r="G579">
        <f t="shared" si="124"/>
        <v>0</v>
      </c>
      <c r="H579" s="63">
        <f>'Procurement Schedule'!N697</f>
        <v>0</v>
      </c>
      <c r="I579">
        <f t="shared" si="121"/>
        <v>1</v>
      </c>
      <c r="J579">
        <f t="shared" si="125"/>
        <v>1900</v>
      </c>
      <c r="K579" t="str">
        <f t="shared" si="126"/>
        <v>1_1900</v>
      </c>
      <c r="S579" t="str">
        <f t="shared" si="117"/>
        <v/>
      </c>
      <c r="T579" s="64" t="str">
        <f t="shared" si="116"/>
        <v/>
      </c>
      <c r="AA579" t="str">
        <f t="shared" si="118"/>
        <v/>
      </c>
      <c r="AB579" s="64" t="str">
        <f t="shared" si="119"/>
        <v/>
      </c>
    </row>
    <row r="580" spans="1:28" x14ac:dyDescent="0.35">
      <c r="A580">
        <f>'Procurement Schedule'!R698</f>
        <v>0</v>
      </c>
      <c r="B580" s="63">
        <f>'Procurement Schedule'!M698</f>
        <v>0</v>
      </c>
      <c r="C580">
        <f t="shared" si="120"/>
        <v>1</v>
      </c>
      <c r="D580">
        <f t="shared" si="122"/>
        <v>1900</v>
      </c>
      <c r="E580" t="str">
        <f t="shared" si="123"/>
        <v>1_1900</v>
      </c>
      <c r="G580">
        <f t="shared" si="124"/>
        <v>0</v>
      </c>
      <c r="H580" s="63">
        <f>'Procurement Schedule'!N698</f>
        <v>0</v>
      </c>
      <c r="I580">
        <f t="shared" si="121"/>
        <v>1</v>
      </c>
      <c r="J580">
        <f t="shared" si="125"/>
        <v>1900</v>
      </c>
      <c r="K580" t="str">
        <f t="shared" si="126"/>
        <v>1_1900</v>
      </c>
      <c r="S580" t="str">
        <f t="shared" si="117"/>
        <v/>
      </c>
      <c r="T580" s="64" t="str">
        <f t="shared" si="116"/>
        <v/>
      </c>
      <c r="AA580" t="str">
        <f t="shared" si="118"/>
        <v/>
      </c>
      <c r="AB580" s="64" t="str">
        <f t="shared" si="119"/>
        <v/>
      </c>
    </row>
    <row r="581" spans="1:28" x14ac:dyDescent="0.35">
      <c r="A581">
        <f>'Procurement Schedule'!R699</f>
        <v>0</v>
      </c>
      <c r="B581" s="63">
        <f>'Procurement Schedule'!M699</f>
        <v>0</v>
      </c>
      <c r="C581">
        <f t="shared" si="120"/>
        <v>1</v>
      </c>
      <c r="D581">
        <f t="shared" si="122"/>
        <v>1900</v>
      </c>
      <c r="E581" t="str">
        <f t="shared" si="123"/>
        <v>1_1900</v>
      </c>
      <c r="G581">
        <f t="shared" si="124"/>
        <v>0</v>
      </c>
      <c r="H581" s="63">
        <f>'Procurement Schedule'!N699</f>
        <v>0</v>
      </c>
      <c r="I581">
        <f t="shared" si="121"/>
        <v>1</v>
      </c>
      <c r="J581">
        <f t="shared" si="125"/>
        <v>1900</v>
      </c>
      <c r="K581" t="str">
        <f t="shared" si="126"/>
        <v>1_1900</v>
      </c>
      <c r="S581" t="str">
        <f t="shared" si="117"/>
        <v/>
      </c>
      <c r="T581" s="64" t="str">
        <f t="shared" ref="T581:T644" si="127">IFERROR(VLOOKUP(Q581,AD:AE,2,0),"")</f>
        <v/>
      </c>
      <c r="AA581" t="str">
        <f t="shared" si="118"/>
        <v/>
      </c>
      <c r="AB581" s="64" t="str">
        <f t="shared" si="119"/>
        <v/>
      </c>
    </row>
    <row r="582" spans="1:28" x14ac:dyDescent="0.35">
      <c r="A582">
        <f>'Procurement Schedule'!R700</f>
        <v>0</v>
      </c>
      <c r="B582" s="63">
        <f>'Procurement Schedule'!M700</f>
        <v>0</v>
      </c>
      <c r="C582">
        <f t="shared" si="120"/>
        <v>1</v>
      </c>
      <c r="D582">
        <f t="shared" si="122"/>
        <v>1900</v>
      </c>
      <c r="E582" t="str">
        <f t="shared" si="123"/>
        <v>1_1900</v>
      </c>
      <c r="G582">
        <f t="shared" si="124"/>
        <v>0</v>
      </c>
      <c r="H582" s="63">
        <f>'Procurement Schedule'!N700</f>
        <v>0</v>
      </c>
      <c r="I582">
        <f t="shared" si="121"/>
        <v>1</v>
      </c>
      <c r="J582">
        <f t="shared" si="125"/>
        <v>1900</v>
      </c>
      <c r="K582" t="str">
        <f t="shared" si="126"/>
        <v>1_1900</v>
      </c>
      <c r="S582" t="str">
        <f t="shared" si="117"/>
        <v/>
      </c>
      <c r="T582" s="64" t="str">
        <f t="shared" si="127"/>
        <v/>
      </c>
      <c r="AA582" t="str">
        <f t="shared" si="118"/>
        <v/>
      </c>
      <c r="AB582" s="64" t="str">
        <f t="shared" si="119"/>
        <v/>
      </c>
    </row>
    <row r="583" spans="1:28" x14ac:dyDescent="0.35">
      <c r="A583">
        <f>'Procurement Schedule'!R701</f>
        <v>0</v>
      </c>
      <c r="B583" s="63">
        <f>'Procurement Schedule'!M701</f>
        <v>0</v>
      </c>
      <c r="C583">
        <f t="shared" si="120"/>
        <v>1</v>
      </c>
      <c r="D583">
        <f t="shared" si="122"/>
        <v>1900</v>
      </c>
      <c r="E583" t="str">
        <f t="shared" si="123"/>
        <v>1_1900</v>
      </c>
      <c r="G583">
        <f t="shared" si="124"/>
        <v>0</v>
      </c>
      <c r="H583" s="63">
        <f>'Procurement Schedule'!N701</f>
        <v>0</v>
      </c>
      <c r="I583">
        <f t="shared" si="121"/>
        <v>1</v>
      </c>
      <c r="J583">
        <f t="shared" si="125"/>
        <v>1900</v>
      </c>
      <c r="K583" t="str">
        <f t="shared" si="126"/>
        <v>1_1900</v>
      </c>
      <c r="S583" t="str">
        <f t="shared" si="117"/>
        <v/>
      </c>
      <c r="T583" s="64" t="str">
        <f t="shared" si="127"/>
        <v/>
      </c>
      <c r="AA583" t="str">
        <f t="shared" si="118"/>
        <v/>
      </c>
      <c r="AB583" s="64" t="str">
        <f t="shared" si="119"/>
        <v/>
      </c>
    </row>
    <row r="584" spans="1:28" x14ac:dyDescent="0.35">
      <c r="A584">
        <f>'Procurement Schedule'!R702</f>
        <v>0</v>
      </c>
      <c r="B584" s="63">
        <f>'Procurement Schedule'!M702</f>
        <v>0</v>
      </c>
      <c r="C584">
        <f t="shared" si="120"/>
        <v>1</v>
      </c>
      <c r="D584">
        <f t="shared" si="122"/>
        <v>1900</v>
      </c>
      <c r="E584" t="str">
        <f t="shared" si="123"/>
        <v>1_1900</v>
      </c>
      <c r="G584">
        <f t="shared" si="124"/>
        <v>0</v>
      </c>
      <c r="H584" s="63">
        <f>'Procurement Schedule'!N702</f>
        <v>0</v>
      </c>
      <c r="I584">
        <f t="shared" si="121"/>
        <v>1</v>
      </c>
      <c r="J584">
        <f t="shared" si="125"/>
        <v>1900</v>
      </c>
      <c r="K584" t="str">
        <f t="shared" si="126"/>
        <v>1_1900</v>
      </c>
      <c r="S584" t="str">
        <f t="shared" si="117"/>
        <v/>
      </c>
      <c r="T584" s="64" t="str">
        <f t="shared" si="127"/>
        <v/>
      </c>
      <c r="AA584" t="str">
        <f t="shared" si="118"/>
        <v/>
      </c>
      <c r="AB584" s="64" t="str">
        <f t="shared" si="119"/>
        <v/>
      </c>
    </row>
    <row r="585" spans="1:28" x14ac:dyDescent="0.35">
      <c r="A585">
        <f>'Procurement Schedule'!R703</f>
        <v>0</v>
      </c>
      <c r="B585" s="63">
        <f>'Procurement Schedule'!M703</f>
        <v>0</v>
      </c>
      <c r="C585">
        <f t="shared" si="120"/>
        <v>1</v>
      </c>
      <c r="D585">
        <f t="shared" si="122"/>
        <v>1900</v>
      </c>
      <c r="E585" t="str">
        <f t="shared" si="123"/>
        <v>1_1900</v>
      </c>
      <c r="G585">
        <f t="shared" si="124"/>
        <v>0</v>
      </c>
      <c r="H585" s="63">
        <f>'Procurement Schedule'!N703</f>
        <v>0</v>
      </c>
      <c r="I585">
        <f t="shared" si="121"/>
        <v>1</v>
      </c>
      <c r="J585">
        <f t="shared" si="125"/>
        <v>1900</v>
      </c>
      <c r="K585" t="str">
        <f t="shared" si="126"/>
        <v>1_1900</v>
      </c>
      <c r="S585" t="str">
        <f t="shared" ref="S585:S648" si="128">IF(R585="","",S584+R585)</f>
        <v/>
      </c>
      <c r="T585" s="64" t="str">
        <f t="shared" si="127"/>
        <v/>
      </c>
      <c r="AA585" t="str">
        <f t="shared" si="118"/>
        <v/>
      </c>
      <c r="AB585" s="64" t="str">
        <f t="shared" si="119"/>
        <v/>
      </c>
    </row>
    <row r="586" spans="1:28" x14ac:dyDescent="0.35">
      <c r="A586">
        <f>'Procurement Schedule'!R704</f>
        <v>0</v>
      </c>
      <c r="B586" s="63">
        <f>'Procurement Schedule'!M704</f>
        <v>0</v>
      </c>
      <c r="C586">
        <f t="shared" si="120"/>
        <v>1</v>
      </c>
      <c r="D586">
        <f t="shared" si="122"/>
        <v>1900</v>
      </c>
      <c r="E586" t="str">
        <f t="shared" si="123"/>
        <v>1_1900</v>
      </c>
      <c r="G586">
        <f t="shared" si="124"/>
        <v>0</v>
      </c>
      <c r="H586" s="63">
        <f>'Procurement Schedule'!N704</f>
        <v>0</v>
      </c>
      <c r="I586">
        <f t="shared" si="121"/>
        <v>1</v>
      </c>
      <c r="J586">
        <f t="shared" si="125"/>
        <v>1900</v>
      </c>
      <c r="K586" t="str">
        <f t="shared" si="126"/>
        <v>1_1900</v>
      </c>
      <c r="S586" t="str">
        <f t="shared" si="128"/>
        <v/>
      </c>
      <c r="T586" s="64" t="str">
        <f t="shared" si="127"/>
        <v/>
      </c>
      <c r="AA586" t="str">
        <f t="shared" ref="AA586:AA649" si="129">IF(Z586="","",AA585+Z586)</f>
        <v/>
      </c>
      <c r="AB586" s="64" t="str">
        <f t="shared" ref="AB586:AB649" si="130">IFERROR(VLOOKUP(Y586,AD:AE,2,0),"")</f>
        <v/>
      </c>
    </row>
    <row r="587" spans="1:28" x14ac:dyDescent="0.35">
      <c r="A587">
        <f>'Procurement Schedule'!R705</f>
        <v>0</v>
      </c>
      <c r="B587" s="63">
        <f>'Procurement Schedule'!M705</f>
        <v>0</v>
      </c>
      <c r="C587">
        <f t="shared" si="120"/>
        <v>1</v>
      </c>
      <c r="D587">
        <f t="shared" si="122"/>
        <v>1900</v>
      </c>
      <c r="E587" t="str">
        <f t="shared" si="123"/>
        <v>1_1900</v>
      </c>
      <c r="G587">
        <f t="shared" si="124"/>
        <v>0</v>
      </c>
      <c r="H587" s="63">
        <f>'Procurement Schedule'!N705</f>
        <v>0</v>
      </c>
      <c r="I587">
        <f t="shared" si="121"/>
        <v>1</v>
      </c>
      <c r="J587">
        <f t="shared" si="125"/>
        <v>1900</v>
      </c>
      <c r="K587" t="str">
        <f t="shared" si="126"/>
        <v>1_1900</v>
      </c>
      <c r="S587" t="str">
        <f t="shared" si="128"/>
        <v/>
      </c>
      <c r="T587" s="64" t="str">
        <f t="shared" si="127"/>
        <v/>
      </c>
      <c r="AA587" t="str">
        <f t="shared" si="129"/>
        <v/>
      </c>
      <c r="AB587" s="64" t="str">
        <f t="shared" si="130"/>
        <v/>
      </c>
    </row>
    <row r="588" spans="1:28" x14ac:dyDescent="0.35">
      <c r="A588">
        <f>'Procurement Schedule'!R706</f>
        <v>0</v>
      </c>
      <c r="B588" s="63">
        <f>'Procurement Schedule'!M706</f>
        <v>0</v>
      </c>
      <c r="C588">
        <f t="shared" si="120"/>
        <v>1</v>
      </c>
      <c r="D588">
        <f t="shared" si="122"/>
        <v>1900</v>
      </c>
      <c r="E588" t="str">
        <f t="shared" si="123"/>
        <v>1_1900</v>
      </c>
      <c r="G588">
        <f t="shared" si="124"/>
        <v>0</v>
      </c>
      <c r="H588" s="63">
        <f>'Procurement Schedule'!N706</f>
        <v>0</v>
      </c>
      <c r="I588">
        <f t="shared" si="121"/>
        <v>1</v>
      </c>
      <c r="J588">
        <f t="shared" si="125"/>
        <v>1900</v>
      </c>
      <c r="K588" t="str">
        <f t="shared" si="126"/>
        <v>1_1900</v>
      </c>
      <c r="S588" t="str">
        <f t="shared" si="128"/>
        <v/>
      </c>
      <c r="T588" s="64" t="str">
        <f t="shared" si="127"/>
        <v/>
      </c>
      <c r="AA588" t="str">
        <f t="shared" si="129"/>
        <v/>
      </c>
      <c r="AB588" s="64" t="str">
        <f t="shared" si="130"/>
        <v/>
      </c>
    </row>
    <row r="589" spans="1:28" x14ac:dyDescent="0.35">
      <c r="A589">
        <f>'Procurement Schedule'!R707</f>
        <v>0</v>
      </c>
      <c r="B589" s="63">
        <f>'Procurement Schedule'!M707</f>
        <v>0</v>
      </c>
      <c r="C589">
        <f t="shared" si="120"/>
        <v>1</v>
      </c>
      <c r="D589">
        <f t="shared" si="122"/>
        <v>1900</v>
      </c>
      <c r="E589" t="str">
        <f t="shared" si="123"/>
        <v>1_1900</v>
      </c>
      <c r="G589">
        <f t="shared" si="124"/>
        <v>0</v>
      </c>
      <c r="H589" s="63">
        <f>'Procurement Schedule'!N707</f>
        <v>0</v>
      </c>
      <c r="I589">
        <f t="shared" si="121"/>
        <v>1</v>
      </c>
      <c r="J589">
        <f t="shared" si="125"/>
        <v>1900</v>
      </c>
      <c r="K589" t="str">
        <f t="shared" si="126"/>
        <v>1_1900</v>
      </c>
      <c r="S589" t="str">
        <f t="shared" si="128"/>
        <v/>
      </c>
      <c r="T589" s="64" t="str">
        <f t="shared" si="127"/>
        <v/>
      </c>
      <c r="AA589" t="str">
        <f t="shared" si="129"/>
        <v/>
      </c>
      <c r="AB589" s="64" t="str">
        <f t="shared" si="130"/>
        <v/>
      </c>
    </row>
    <row r="590" spans="1:28" x14ac:dyDescent="0.35">
      <c r="A590">
        <f>'Procurement Schedule'!R708</f>
        <v>0</v>
      </c>
      <c r="B590" s="63">
        <f>'Procurement Schedule'!M708</f>
        <v>0</v>
      </c>
      <c r="C590">
        <f t="shared" si="120"/>
        <v>1</v>
      </c>
      <c r="D590">
        <f t="shared" si="122"/>
        <v>1900</v>
      </c>
      <c r="E590" t="str">
        <f t="shared" si="123"/>
        <v>1_1900</v>
      </c>
      <c r="G590">
        <f t="shared" si="124"/>
        <v>0</v>
      </c>
      <c r="H590" s="63">
        <f>'Procurement Schedule'!N708</f>
        <v>0</v>
      </c>
      <c r="I590">
        <f t="shared" si="121"/>
        <v>1</v>
      </c>
      <c r="J590">
        <f t="shared" si="125"/>
        <v>1900</v>
      </c>
      <c r="K590" t="str">
        <f t="shared" si="126"/>
        <v>1_1900</v>
      </c>
      <c r="S590" t="str">
        <f t="shared" si="128"/>
        <v/>
      </c>
      <c r="T590" s="64" t="str">
        <f t="shared" si="127"/>
        <v/>
      </c>
      <c r="AA590" t="str">
        <f t="shared" si="129"/>
        <v/>
      </c>
      <c r="AB590" s="64" t="str">
        <f t="shared" si="130"/>
        <v/>
      </c>
    </row>
    <row r="591" spans="1:28" x14ac:dyDescent="0.35">
      <c r="A591">
        <f>'Procurement Schedule'!R709</f>
        <v>0</v>
      </c>
      <c r="B591" s="63">
        <f>'Procurement Schedule'!M709</f>
        <v>0</v>
      </c>
      <c r="C591">
        <f t="shared" si="120"/>
        <v>1</v>
      </c>
      <c r="D591">
        <f t="shared" si="122"/>
        <v>1900</v>
      </c>
      <c r="E591" t="str">
        <f t="shared" si="123"/>
        <v>1_1900</v>
      </c>
      <c r="G591">
        <f t="shared" si="124"/>
        <v>0</v>
      </c>
      <c r="H591" s="63">
        <f>'Procurement Schedule'!N709</f>
        <v>0</v>
      </c>
      <c r="I591">
        <f t="shared" si="121"/>
        <v>1</v>
      </c>
      <c r="J591">
        <f t="shared" si="125"/>
        <v>1900</v>
      </c>
      <c r="K591" t="str">
        <f t="shared" si="126"/>
        <v>1_1900</v>
      </c>
      <c r="S591" t="str">
        <f t="shared" si="128"/>
        <v/>
      </c>
      <c r="T591" s="64" t="str">
        <f t="shared" si="127"/>
        <v/>
      </c>
      <c r="AA591" t="str">
        <f t="shared" si="129"/>
        <v/>
      </c>
      <c r="AB591" s="64" t="str">
        <f t="shared" si="130"/>
        <v/>
      </c>
    </row>
    <row r="592" spans="1:28" x14ac:dyDescent="0.35">
      <c r="A592">
        <f>'Procurement Schedule'!R710</f>
        <v>0</v>
      </c>
      <c r="B592" s="63">
        <f>'Procurement Schedule'!M710</f>
        <v>0</v>
      </c>
      <c r="C592">
        <f t="shared" si="120"/>
        <v>1</v>
      </c>
      <c r="D592">
        <f t="shared" si="122"/>
        <v>1900</v>
      </c>
      <c r="E592" t="str">
        <f t="shared" si="123"/>
        <v>1_1900</v>
      </c>
      <c r="G592">
        <f t="shared" si="124"/>
        <v>0</v>
      </c>
      <c r="H592" s="63">
        <f>'Procurement Schedule'!N710</f>
        <v>0</v>
      </c>
      <c r="I592">
        <f t="shared" si="121"/>
        <v>1</v>
      </c>
      <c r="J592">
        <f t="shared" si="125"/>
        <v>1900</v>
      </c>
      <c r="K592" t="str">
        <f t="shared" si="126"/>
        <v>1_1900</v>
      </c>
      <c r="S592" t="str">
        <f t="shared" si="128"/>
        <v/>
      </c>
      <c r="T592" s="64" t="str">
        <f t="shared" si="127"/>
        <v/>
      </c>
      <c r="AA592" t="str">
        <f t="shared" si="129"/>
        <v/>
      </c>
      <c r="AB592" s="64" t="str">
        <f t="shared" si="130"/>
        <v/>
      </c>
    </row>
    <row r="593" spans="1:28" x14ac:dyDescent="0.35">
      <c r="A593">
        <f>'Procurement Schedule'!R711</f>
        <v>0</v>
      </c>
      <c r="B593" s="63">
        <f>'Procurement Schedule'!M711</f>
        <v>0</v>
      </c>
      <c r="C593">
        <f t="shared" si="120"/>
        <v>1</v>
      </c>
      <c r="D593">
        <f t="shared" si="122"/>
        <v>1900</v>
      </c>
      <c r="E593" t="str">
        <f t="shared" si="123"/>
        <v>1_1900</v>
      </c>
      <c r="G593">
        <f t="shared" si="124"/>
        <v>0</v>
      </c>
      <c r="H593" s="63">
        <f>'Procurement Schedule'!N711</f>
        <v>0</v>
      </c>
      <c r="I593">
        <f t="shared" si="121"/>
        <v>1</v>
      </c>
      <c r="J593">
        <f t="shared" si="125"/>
        <v>1900</v>
      </c>
      <c r="K593" t="str">
        <f t="shared" si="126"/>
        <v>1_1900</v>
      </c>
      <c r="S593" t="str">
        <f t="shared" si="128"/>
        <v/>
      </c>
      <c r="T593" s="64" t="str">
        <f t="shared" si="127"/>
        <v/>
      </c>
      <c r="AA593" t="str">
        <f t="shared" si="129"/>
        <v/>
      </c>
      <c r="AB593" s="64" t="str">
        <f t="shared" si="130"/>
        <v/>
      </c>
    </row>
    <row r="594" spans="1:28" x14ac:dyDescent="0.35">
      <c r="A594">
        <f>'Procurement Schedule'!R712</f>
        <v>0</v>
      </c>
      <c r="B594" s="63">
        <f>'Procurement Schedule'!M712</f>
        <v>0</v>
      </c>
      <c r="C594">
        <f t="shared" si="120"/>
        <v>1</v>
      </c>
      <c r="D594">
        <f t="shared" si="122"/>
        <v>1900</v>
      </c>
      <c r="E594" t="str">
        <f t="shared" si="123"/>
        <v>1_1900</v>
      </c>
      <c r="G594">
        <f t="shared" si="124"/>
        <v>0</v>
      </c>
      <c r="H594" s="63">
        <f>'Procurement Schedule'!N712</f>
        <v>0</v>
      </c>
      <c r="I594">
        <f t="shared" si="121"/>
        <v>1</v>
      </c>
      <c r="J594">
        <f t="shared" si="125"/>
        <v>1900</v>
      </c>
      <c r="K594" t="str">
        <f t="shared" si="126"/>
        <v>1_1900</v>
      </c>
      <c r="S594" t="str">
        <f t="shared" si="128"/>
        <v/>
      </c>
      <c r="T594" s="64" t="str">
        <f t="shared" si="127"/>
        <v/>
      </c>
      <c r="AA594" t="str">
        <f t="shared" si="129"/>
        <v/>
      </c>
      <c r="AB594" s="64" t="str">
        <f t="shared" si="130"/>
        <v/>
      </c>
    </row>
    <row r="595" spans="1:28" x14ac:dyDescent="0.35">
      <c r="A595">
        <f>'Procurement Schedule'!R713</f>
        <v>0</v>
      </c>
      <c r="B595" s="63">
        <f>'Procurement Schedule'!M713</f>
        <v>0</v>
      </c>
      <c r="C595">
        <f t="shared" ref="C595:C658" si="131">MONTH(B595)</f>
        <v>1</v>
      </c>
      <c r="D595">
        <f t="shared" si="122"/>
        <v>1900</v>
      </c>
      <c r="E595" t="str">
        <f t="shared" si="123"/>
        <v>1_1900</v>
      </c>
      <c r="G595">
        <f t="shared" si="124"/>
        <v>0</v>
      </c>
      <c r="H595" s="63">
        <f>'Procurement Schedule'!N713</f>
        <v>0</v>
      </c>
      <c r="I595">
        <f t="shared" si="121"/>
        <v>1</v>
      </c>
      <c r="J595">
        <f t="shared" si="125"/>
        <v>1900</v>
      </c>
      <c r="K595" t="str">
        <f t="shared" si="126"/>
        <v>1_1900</v>
      </c>
      <c r="S595" t="str">
        <f t="shared" si="128"/>
        <v/>
      </c>
      <c r="T595" s="64" t="str">
        <f t="shared" si="127"/>
        <v/>
      </c>
      <c r="AA595" t="str">
        <f t="shared" si="129"/>
        <v/>
      </c>
      <c r="AB595" s="64" t="str">
        <f t="shared" si="130"/>
        <v/>
      </c>
    </row>
    <row r="596" spans="1:28" x14ac:dyDescent="0.35">
      <c r="A596">
        <f>'Procurement Schedule'!R714</f>
        <v>0</v>
      </c>
      <c r="B596" s="63">
        <f>'Procurement Schedule'!M714</f>
        <v>0</v>
      </c>
      <c r="C596">
        <f t="shared" si="131"/>
        <v>1</v>
      </c>
      <c r="D596">
        <f t="shared" si="122"/>
        <v>1900</v>
      </c>
      <c r="E596" t="str">
        <f t="shared" si="123"/>
        <v>1_1900</v>
      </c>
      <c r="G596">
        <f t="shared" si="124"/>
        <v>0</v>
      </c>
      <c r="H596" s="63">
        <f>'Procurement Schedule'!N714</f>
        <v>0</v>
      </c>
      <c r="I596">
        <f t="shared" ref="I596:I659" si="132">MONTH(H596)</f>
        <v>1</v>
      </c>
      <c r="J596">
        <f t="shared" si="125"/>
        <v>1900</v>
      </c>
      <c r="K596" t="str">
        <f t="shared" si="126"/>
        <v>1_1900</v>
      </c>
      <c r="S596" t="str">
        <f t="shared" si="128"/>
        <v/>
      </c>
      <c r="T596" s="64" t="str">
        <f t="shared" si="127"/>
        <v/>
      </c>
      <c r="AA596" t="str">
        <f t="shared" si="129"/>
        <v/>
      </c>
      <c r="AB596" s="64" t="str">
        <f t="shared" si="130"/>
        <v/>
      </c>
    </row>
    <row r="597" spans="1:28" x14ac:dyDescent="0.35">
      <c r="A597">
        <f>'Procurement Schedule'!R715</f>
        <v>0</v>
      </c>
      <c r="B597" s="63">
        <f>'Procurement Schedule'!M715</f>
        <v>0</v>
      </c>
      <c r="C597">
        <f t="shared" si="131"/>
        <v>1</v>
      </c>
      <c r="D597">
        <f t="shared" si="122"/>
        <v>1900</v>
      </c>
      <c r="E597" t="str">
        <f t="shared" si="123"/>
        <v>1_1900</v>
      </c>
      <c r="G597">
        <f t="shared" si="124"/>
        <v>0</v>
      </c>
      <c r="H597" s="63">
        <f>'Procurement Schedule'!N715</f>
        <v>0</v>
      </c>
      <c r="I597">
        <f t="shared" si="132"/>
        <v>1</v>
      </c>
      <c r="J597">
        <f t="shared" si="125"/>
        <v>1900</v>
      </c>
      <c r="K597" t="str">
        <f t="shared" si="126"/>
        <v>1_1900</v>
      </c>
      <c r="S597" t="str">
        <f t="shared" si="128"/>
        <v/>
      </c>
      <c r="T597" s="64" t="str">
        <f t="shared" si="127"/>
        <v/>
      </c>
      <c r="AA597" t="str">
        <f t="shared" si="129"/>
        <v/>
      </c>
      <c r="AB597" s="64" t="str">
        <f t="shared" si="130"/>
        <v/>
      </c>
    </row>
    <row r="598" spans="1:28" x14ac:dyDescent="0.35">
      <c r="A598">
        <f>'Procurement Schedule'!R716</f>
        <v>0</v>
      </c>
      <c r="B598" s="63">
        <f>'Procurement Schedule'!M716</f>
        <v>0</v>
      </c>
      <c r="C598">
        <f t="shared" si="131"/>
        <v>1</v>
      </c>
      <c r="D598">
        <f t="shared" si="122"/>
        <v>1900</v>
      </c>
      <c r="E598" t="str">
        <f t="shared" si="123"/>
        <v>1_1900</v>
      </c>
      <c r="G598">
        <f t="shared" si="124"/>
        <v>0</v>
      </c>
      <c r="H598" s="63">
        <f>'Procurement Schedule'!N716</f>
        <v>0</v>
      </c>
      <c r="I598">
        <f t="shared" si="132"/>
        <v>1</v>
      </c>
      <c r="J598">
        <f t="shared" si="125"/>
        <v>1900</v>
      </c>
      <c r="K598" t="str">
        <f t="shared" si="126"/>
        <v>1_1900</v>
      </c>
      <c r="S598" t="str">
        <f t="shared" si="128"/>
        <v/>
      </c>
      <c r="T598" s="64" t="str">
        <f t="shared" si="127"/>
        <v/>
      </c>
      <c r="AA598" t="str">
        <f t="shared" si="129"/>
        <v/>
      </c>
      <c r="AB598" s="64" t="str">
        <f t="shared" si="130"/>
        <v/>
      </c>
    </row>
    <row r="599" spans="1:28" x14ac:dyDescent="0.35">
      <c r="A599">
        <f>'Procurement Schedule'!R717</f>
        <v>0</v>
      </c>
      <c r="B599" s="63">
        <f>'Procurement Schedule'!M717</f>
        <v>0</v>
      </c>
      <c r="C599">
        <f t="shared" si="131"/>
        <v>1</v>
      </c>
      <c r="D599">
        <f t="shared" si="122"/>
        <v>1900</v>
      </c>
      <c r="E599" t="str">
        <f t="shared" si="123"/>
        <v>1_1900</v>
      </c>
      <c r="G599">
        <f t="shared" si="124"/>
        <v>0</v>
      </c>
      <c r="H599" s="63">
        <f>'Procurement Schedule'!N717</f>
        <v>0</v>
      </c>
      <c r="I599">
        <f t="shared" si="132"/>
        <v>1</v>
      </c>
      <c r="J599">
        <f t="shared" si="125"/>
        <v>1900</v>
      </c>
      <c r="K599" t="str">
        <f t="shared" si="126"/>
        <v>1_1900</v>
      </c>
      <c r="S599" t="str">
        <f t="shared" si="128"/>
        <v/>
      </c>
      <c r="T599" s="64" t="str">
        <f t="shared" si="127"/>
        <v/>
      </c>
      <c r="AA599" t="str">
        <f t="shared" si="129"/>
        <v/>
      </c>
      <c r="AB599" s="64" t="str">
        <f t="shared" si="130"/>
        <v/>
      </c>
    </row>
    <row r="600" spans="1:28" x14ac:dyDescent="0.35">
      <c r="A600">
        <f>'Procurement Schedule'!R718</f>
        <v>0</v>
      </c>
      <c r="B600" s="63">
        <f>'Procurement Schedule'!M718</f>
        <v>0</v>
      </c>
      <c r="C600">
        <f t="shared" si="131"/>
        <v>1</v>
      </c>
      <c r="D600">
        <f t="shared" si="122"/>
        <v>1900</v>
      </c>
      <c r="E600" t="str">
        <f t="shared" si="123"/>
        <v>1_1900</v>
      </c>
      <c r="G600">
        <f t="shared" si="124"/>
        <v>0</v>
      </c>
      <c r="H600" s="63">
        <f>'Procurement Schedule'!N718</f>
        <v>0</v>
      </c>
      <c r="I600">
        <f t="shared" si="132"/>
        <v>1</v>
      </c>
      <c r="J600">
        <f t="shared" si="125"/>
        <v>1900</v>
      </c>
      <c r="K600" t="str">
        <f t="shared" si="126"/>
        <v>1_1900</v>
      </c>
      <c r="S600" t="str">
        <f t="shared" si="128"/>
        <v/>
      </c>
      <c r="T600" s="64" t="str">
        <f t="shared" si="127"/>
        <v/>
      </c>
      <c r="AA600" t="str">
        <f t="shared" si="129"/>
        <v/>
      </c>
      <c r="AB600" s="64" t="str">
        <f t="shared" si="130"/>
        <v/>
      </c>
    </row>
    <row r="601" spans="1:28" x14ac:dyDescent="0.35">
      <c r="A601">
        <f>'Procurement Schedule'!R719</f>
        <v>0</v>
      </c>
      <c r="B601" s="63">
        <f>'Procurement Schedule'!M719</f>
        <v>0</v>
      </c>
      <c r="C601">
        <f t="shared" si="131"/>
        <v>1</v>
      </c>
      <c r="D601">
        <f t="shared" si="122"/>
        <v>1900</v>
      </c>
      <c r="E601" t="str">
        <f t="shared" si="123"/>
        <v>1_1900</v>
      </c>
      <c r="G601">
        <f t="shared" si="124"/>
        <v>0</v>
      </c>
      <c r="H601" s="63">
        <f>'Procurement Schedule'!N719</f>
        <v>0</v>
      </c>
      <c r="I601">
        <f t="shared" si="132"/>
        <v>1</v>
      </c>
      <c r="J601">
        <f t="shared" si="125"/>
        <v>1900</v>
      </c>
      <c r="K601" t="str">
        <f t="shared" si="126"/>
        <v>1_1900</v>
      </c>
      <c r="S601" t="str">
        <f t="shared" si="128"/>
        <v/>
      </c>
      <c r="T601" s="64" t="str">
        <f t="shared" si="127"/>
        <v/>
      </c>
      <c r="AA601" t="str">
        <f t="shared" si="129"/>
        <v/>
      </c>
      <c r="AB601" s="64" t="str">
        <f t="shared" si="130"/>
        <v/>
      </c>
    </row>
    <row r="602" spans="1:28" x14ac:dyDescent="0.35">
      <c r="A602">
        <f>'Procurement Schedule'!R720</f>
        <v>0</v>
      </c>
      <c r="B602" s="63">
        <f>'Procurement Schedule'!M720</f>
        <v>0</v>
      </c>
      <c r="C602">
        <f t="shared" si="131"/>
        <v>1</v>
      </c>
      <c r="D602">
        <f t="shared" si="122"/>
        <v>1900</v>
      </c>
      <c r="E602" t="str">
        <f t="shared" si="123"/>
        <v>1_1900</v>
      </c>
      <c r="G602">
        <f t="shared" si="124"/>
        <v>0</v>
      </c>
      <c r="H602" s="63">
        <f>'Procurement Schedule'!N720</f>
        <v>0</v>
      </c>
      <c r="I602">
        <f t="shared" si="132"/>
        <v>1</v>
      </c>
      <c r="J602">
        <f t="shared" si="125"/>
        <v>1900</v>
      </c>
      <c r="K602" t="str">
        <f t="shared" si="126"/>
        <v>1_1900</v>
      </c>
      <c r="S602" t="str">
        <f t="shared" si="128"/>
        <v/>
      </c>
      <c r="T602" s="64" t="str">
        <f t="shared" si="127"/>
        <v/>
      </c>
      <c r="AA602" t="str">
        <f t="shared" si="129"/>
        <v/>
      </c>
      <c r="AB602" s="64" t="str">
        <f t="shared" si="130"/>
        <v/>
      </c>
    </row>
    <row r="603" spans="1:28" x14ac:dyDescent="0.35">
      <c r="A603">
        <f>'Procurement Schedule'!R721</f>
        <v>0</v>
      </c>
      <c r="B603" s="63">
        <f>'Procurement Schedule'!M721</f>
        <v>0</v>
      </c>
      <c r="C603">
        <f t="shared" si="131"/>
        <v>1</v>
      </c>
      <c r="D603">
        <f t="shared" si="122"/>
        <v>1900</v>
      </c>
      <c r="E603" t="str">
        <f t="shared" si="123"/>
        <v>1_1900</v>
      </c>
      <c r="G603">
        <f t="shared" si="124"/>
        <v>0</v>
      </c>
      <c r="H603" s="63">
        <f>'Procurement Schedule'!N721</f>
        <v>0</v>
      </c>
      <c r="I603">
        <f t="shared" si="132"/>
        <v>1</v>
      </c>
      <c r="J603">
        <f t="shared" si="125"/>
        <v>1900</v>
      </c>
      <c r="K603" t="str">
        <f t="shared" si="126"/>
        <v>1_1900</v>
      </c>
      <c r="S603" t="str">
        <f t="shared" si="128"/>
        <v/>
      </c>
      <c r="T603" s="64" t="str">
        <f t="shared" si="127"/>
        <v/>
      </c>
      <c r="AA603" t="str">
        <f t="shared" si="129"/>
        <v/>
      </c>
      <c r="AB603" s="64" t="str">
        <f t="shared" si="130"/>
        <v/>
      </c>
    </row>
    <row r="604" spans="1:28" x14ac:dyDescent="0.35">
      <c r="A604">
        <f>'Procurement Schedule'!R722</f>
        <v>0</v>
      </c>
      <c r="B604" s="63">
        <f>'Procurement Schedule'!M722</f>
        <v>0</v>
      </c>
      <c r="C604">
        <f t="shared" si="131"/>
        <v>1</v>
      </c>
      <c r="D604">
        <f t="shared" si="122"/>
        <v>1900</v>
      </c>
      <c r="E604" t="str">
        <f t="shared" si="123"/>
        <v>1_1900</v>
      </c>
      <c r="G604">
        <f t="shared" si="124"/>
        <v>0</v>
      </c>
      <c r="H604" s="63">
        <f>'Procurement Schedule'!N722</f>
        <v>0</v>
      </c>
      <c r="I604">
        <f t="shared" si="132"/>
        <v>1</v>
      </c>
      <c r="J604">
        <f t="shared" si="125"/>
        <v>1900</v>
      </c>
      <c r="K604" t="str">
        <f t="shared" si="126"/>
        <v>1_1900</v>
      </c>
      <c r="S604" t="str">
        <f t="shared" si="128"/>
        <v/>
      </c>
      <c r="T604" s="64" t="str">
        <f t="shared" si="127"/>
        <v/>
      </c>
      <c r="AA604" t="str">
        <f t="shared" si="129"/>
        <v/>
      </c>
      <c r="AB604" s="64" t="str">
        <f t="shared" si="130"/>
        <v/>
      </c>
    </row>
    <row r="605" spans="1:28" x14ac:dyDescent="0.35">
      <c r="A605">
        <f>'Procurement Schedule'!R723</f>
        <v>0</v>
      </c>
      <c r="B605" s="63">
        <f>'Procurement Schedule'!M723</f>
        <v>0</v>
      </c>
      <c r="C605">
        <f t="shared" si="131"/>
        <v>1</v>
      </c>
      <c r="D605">
        <f t="shared" si="122"/>
        <v>1900</v>
      </c>
      <c r="E605" t="str">
        <f t="shared" si="123"/>
        <v>1_1900</v>
      </c>
      <c r="G605">
        <f t="shared" si="124"/>
        <v>0</v>
      </c>
      <c r="H605" s="63">
        <f>'Procurement Schedule'!N723</f>
        <v>0</v>
      </c>
      <c r="I605">
        <f t="shared" si="132"/>
        <v>1</v>
      </c>
      <c r="J605">
        <f t="shared" si="125"/>
        <v>1900</v>
      </c>
      <c r="K605" t="str">
        <f t="shared" si="126"/>
        <v>1_1900</v>
      </c>
      <c r="S605" t="str">
        <f t="shared" si="128"/>
        <v/>
      </c>
      <c r="T605" s="64" t="str">
        <f t="shared" si="127"/>
        <v/>
      </c>
      <c r="AA605" t="str">
        <f t="shared" si="129"/>
        <v/>
      </c>
      <c r="AB605" s="64" t="str">
        <f t="shared" si="130"/>
        <v/>
      </c>
    </row>
    <row r="606" spans="1:28" x14ac:dyDescent="0.35">
      <c r="A606">
        <f>'Procurement Schedule'!R724</f>
        <v>0</v>
      </c>
      <c r="B606" s="63">
        <f>'Procurement Schedule'!M724</f>
        <v>0</v>
      </c>
      <c r="C606">
        <f t="shared" si="131"/>
        <v>1</v>
      </c>
      <c r="D606">
        <f t="shared" si="122"/>
        <v>1900</v>
      </c>
      <c r="E606" t="str">
        <f t="shared" si="123"/>
        <v>1_1900</v>
      </c>
      <c r="G606">
        <f t="shared" si="124"/>
        <v>0</v>
      </c>
      <c r="H606" s="63">
        <f>'Procurement Schedule'!N724</f>
        <v>0</v>
      </c>
      <c r="I606">
        <f t="shared" si="132"/>
        <v>1</v>
      </c>
      <c r="J606">
        <f t="shared" si="125"/>
        <v>1900</v>
      </c>
      <c r="K606" t="str">
        <f t="shared" si="126"/>
        <v>1_1900</v>
      </c>
      <c r="S606" t="str">
        <f t="shared" si="128"/>
        <v/>
      </c>
      <c r="T606" s="64" t="str">
        <f t="shared" si="127"/>
        <v/>
      </c>
      <c r="AA606" t="str">
        <f t="shared" si="129"/>
        <v/>
      </c>
      <c r="AB606" s="64" t="str">
        <f t="shared" si="130"/>
        <v/>
      </c>
    </row>
    <row r="607" spans="1:28" x14ac:dyDescent="0.35">
      <c r="A607">
        <f>'Procurement Schedule'!R725</f>
        <v>0</v>
      </c>
      <c r="B607" s="63">
        <f>'Procurement Schedule'!M725</f>
        <v>0</v>
      </c>
      <c r="C607">
        <f t="shared" si="131"/>
        <v>1</v>
      </c>
      <c r="D607">
        <f t="shared" si="122"/>
        <v>1900</v>
      </c>
      <c r="E607" t="str">
        <f t="shared" si="123"/>
        <v>1_1900</v>
      </c>
      <c r="G607">
        <f t="shared" si="124"/>
        <v>0</v>
      </c>
      <c r="H607" s="63">
        <f>'Procurement Schedule'!N725</f>
        <v>0</v>
      </c>
      <c r="I607">
        <f t="shared" si="132"/>
        <v>1</v>
      </c>
      <c r="J607">
        <f t="shared" si="125"/>
        <v>1900</v>
      </c>
      <c r="K607" t="str">
        <f t="shared" si="126"/>
        <v>1_1900</v>
      </c>
      <c r="S607" t="str">
        <f t="shared" si="128"/>
        <v/>
      </c>
      <c r="T607" s="64" t="str">
        <f t="shared" si="127"/>
        <v/>
      </c>
      <c r="AA607" t="str">
        <f t="shared" si="129"/>
        <v/>
      </c>
      <c r="AB607" s="64" t="str">
        <f t="shared" si="130"/>
        <v/>
      </c>
    </row>
    <row r="608" spans="1:28" x14ac:dyDescent="0.35">
      <c r="A608">
        <f>'Procurement Schedule'!R726</f>
        <v>0</v>
      </c>
      <c r="B608" s="63">
        <f>'Procurement Schedule'!M726</f>
        <v>0</v>
      </c>
      <c r="C608">
        <f t="shared" si="131"/>
        <v>1</v>
      </c>
      <c r="D608">
        <f t="shared" si="122"/>
        <v>1900</v>
      </c>
      <c r="E608" t="str">
        <f t="shared" si="123"/>
        <v>1_1900</v>
      </c>
      <c r="G608">
        <f t="shared" si="124"/>
        <v>0</v>
      </c>
      <c r="H608" s="63">
        <f>'Procurement Schedule'!N726</f>
        <v>0</v>
      </c>
      <c r="I608">
        <f t="shared" si="132"/>
        <v>1</v>
      </c>
      <c r="J608">
        <f t="shared" si="125"/>
        <v>1900</v>
      </c>
      <c r="K608" t="str">
        <f t="shared" si="126"/>
        <v>1_1900</v>
      </c>
      <c r="S608" t="str">
        <f t="shared" si="128"/>
        <v/>
      </c>
      <c r="T608" s="64" t="str">
        <f t="shared" si="127"/>
        <v/>
      </c>
      <c r="AA608" t="str">
        <f t="shared" si="129"/>
        <v/>
      </c>
      <c r="AB608" s="64" t="str">
        <f t="shared" si="130"/>
        <v/>
      </c>
    </row>
    <row r="609" spans="1:28" x14ac:dyDescent="0.35">
      <c r="A609">
        <f>'Procurement Schedule'!R727</f>
        <v>0</v>
      </c>
      <c r="B609" s="63">
        <f>'Procurement Schedule'!M727</f>
        <v>0</v>
      </c>
      <c r="C609">
        <f t="shared" si="131"/>
        <v>1</v>
      </c>
      <c r="D609">
        <f t="shared" si="122"/>
        <v>1900</v>
      </c>
      <c r="E609" t="str">
        <f t="shared" si="123"/>
        <v>1_1900</v>
      </c>
      <c r="G609">
        <f t="shared" si="124"/>
        <v>0</v>
      </c>
      <c r="H609" s="63">
        <f>'Procurement Schedule'!N727</f>
        <v>0</v>
      </c>
      <c r="I609">
        <f t="shared" si="132"/>
        <v>1</v>
      </c>
      <c r="J609">
        <f t="shared" si="125"/>
        <v>1900</v>
      </c>
      <c r="K609" t="str">
        <f t="shared" si="126"/>
        <v>1_1900</v>
      </c>
      <c r="S609" t="str">
        <f t="shared" si="128"/>
        <v/>
      </c>
      <c r="T609" s="64" t="str">
        <f t="shared" si="127"/>
        <v/>
      </c>
      <c r="AA609" t="str">
        <f t="shared" si="129"/>
        <v/>
      </c>
      <c r="AB609" s="64" t="str">
        <f t="shared" si="130"/>
        <v/>
      </c>
    </row>
    <row r="610" spans="1:28" x14ac:dyDescent="0.35">
      <c r="A610">
        <f>'Procurement Schedule'!R728</f>
        <v>0</v>
      </c>
      <c r="B610" s="63">
        <f>'Procurement Schedule'!M728</f>
        <v>0</v>
      </c>
      <c r="C610">
        <f t="shared" si="131"/>
        <v>1</v>
      </c>
      <c r="D610">
        <f t="shared" si="122"/>
        <v>1900</v>
      </c>
      <c r="E610" t="str">
        <f t="shared" si="123"/>
        <v>1_1900</v>
      </c>
      <c r="G610">
        <f t="shared" si="124"/>
        <v>0</v>
      </c>
      <c r="H610" s="63">
        <f>'Procurement Schedule'!N728</f>
        <v>0</v>
      </c>
      <c r="I610">
        <f t="shared" si="132"/>
        <v>1</v>
      </c>
      <c r="J610">
        <f t="shared" si="125"/>
        <v>1900</v>
      </c>
      <c r="K610" t="str">
        <f t="shared" si="126"/>
        <v>1_1900</v>
      </c>
      <c r="S610" t="str">
        <f t="shared" si="128"/>
        <v/>
      </c>
      <c r="T610" s="64" t="str">
        <f t="shared" si="127"/>
        <v/>
      </c>
      <c r="AA610" t="str">
        <f t="shared" si="129"/>
        <v/>
      </c>
      <c r="AB610" s="64" t="str">
        <f t="shared" si="130"/>
        <v/>
      </c>
    </row>
    <row r="611" spans="1:28" x14ac:dyDescent="0.35">
      <c r="A611">
        <f>'Procurement Schedule'!R729</f>
        <v>0</v>
      </c>
      <c r="B611" s="63">
        <f>'Procurement Schedule'!M729</f>
        <v>0</v>
      </c>
      <c r="C611">
        <f t="shared" si="131"/>
        <v>1</v>
      </c>
      <c r="D611">
        <f t="shared" si="122"/>
        <v>1900</v>
      </c>
      <c r="E611" t="str">
        <f t="shared" si="123"/>
        <v>1_1900</v>
      </c>
      <c r="G611">
        <f t="shared" si="124"/>
        <v>0</v>
      </c>
      <c r="H611" s="63">
        <f>'Procurement Schedule'!N729</f>
        <v>0</v>
      </c>
      <c r="I611">
        <f t="shared" si="132"/>
        <v>1</v>
      </c>
      <c r="J611">
        <f t="shared" si="125"/>
        <v>1900</v>
      </c>
      <c r="K611" t="str">
        <f t="shared" si="126"/>
        <v>1_1900</v>
      </c>
      <c r="S611" t="str">
        <f t="shared" si="128"/>
        <v/>
      </c>
      <c r="T611" s="64" t="str">
        <f t="shared" si="127"/>
        <v/>
      </c>
      <c r="AA611" t="str">
        <f t="shared" si="129"/>
        <v/>
      </c>
      <c r="AB611" s="64" t="str">
        <f t="shared" si="130"/>
        <v/>
      </c>
    </row>
    <row r="612" spans="1:28" x14ac:dyDescent="0.35">
      <c r="A612">
        <f>'Procurement Schedule'!R730</f>
        <v>0</v>
      </c>
      <c r="B612" s="63">
        <f>'Procurement Schedule'!M730</f>
        <v>0</v>
      </c>
      <c r="C612">
        <f t="shared" si="131"/>
        <v>1</v>
      </c>
      <c r="D612">
        <f t="shared" si="122"/>
        <v>1900</v>
      </c>
      <c r="E612" t="str">
        <f t="shared" si="123"/>
        <v>1_1900</v>
      </c>
      <c r="G612">
        <f t="shared" si="124"/>
        <v>0</v>
      </c>
      <c r="H612" s="63">
        <f>'Procurement Schedule'!N730</f>
        <v>0</v>
      </c>
      <c r="I612">
        <f t="shared" si="132"/>
        <v>1</v>
      </c>
      <c r="J612">
        <f t="shared" si="125"/>
        <v>1900</v>
      </c>
      <c r="K612" t="str">
        <f t="shared" si="126"/>
        <v>1_1900</v>
      </c>
      <c r="S612" t="str">
        <f t="shared" si="128"/>
        <v/>
      </c>
      <c r="T612" s="64" t="str">
        <f t="shared" si="127"/>
        <v/>
      </c>
      <c r="AA612" t="str">
        <f t="shared" si="129"/>
        <v/>
      </c>
      <c r="AB612" s="64" t="str">
        <f t="shared" si="130"/>
        <v/>
      </c>
    </row>
    <row r="613" spans="1:28" x14ac:dyDescent="0.35">
      <c r="A613">
        <f>'Procurement Schedule'!R731</f>
        <v>0</v>
      </c>
      <c r="B613" s="63">
        <f>'Procurement Schedule'!M731</f>
        <v>0</v>
      </c>
      <c r="C613">
        <f t="shared" si="131"/>
        <v>1</v>
      </c>
      <c r="D613">
        <f t="shared" si="122"/>
        <v>1900</v>
      </c>
      <c r="E613" t="str">
        <f t="shared" si="123"/>
        <v>1_1900</v>
      </c>
      <c r="G613">
        <f t="shared" si="124"/>
        <v>0</v>
      </c>
      <c r="H613" s="63">
        <f>'Procurement Schedule'!N731</f>
        <v>0</v>
      </c>
      <c r="I613">
        <f t="shared" si="132"/>
        <v>1</v>
      </c>
      <c r="J613">
        <f t="shared" si="125"/>
        <v>1900</v>
      </c>
      <c r="K613" t="str">
        <f t="shared" si="126"/>
        <v>1_1900</v>
      </c>
      <c r="S613" t="str">
        <f t="shared" si="128"/>
        <v/>
      </c>
      <c r="T613" s="64" t="str">
        <f t="shared" si="127"/>
        <v/>
      </c>
      <c r="AA613" t="str">
        <f t="shared" si="129"/>
        <v/>
      </c>
      <c r="AB613" s="64" t="str">
        <f t="shared" si="130"/>
        <v/>
      </c>
    </row>
    <row r="614" spans="1:28" x14ac:dyDescent="0.35">
      <c r="A614">
        <f>'Procurement Schedule'!R732</f>
        <v>0</v>
      </c>
      <c r="B614" s="63">
        <f>'Procurement Schedule'!M732</f>
        <v>0</v>
      </c>
      <c r="C614">
        <f t="shared" si="131"/>
        <v>1</v>
      </c>
      <c r="D614">
        <f t="shared" si="122"/>
        <v>1900</v>
      </c>
      <c r="E614" t="str">
        <f t="shared" si="123"/>
        <v>1_1900</v>
      </c>
      <c r="G614">
        <f t="shared" si="124"/>
        <v>0</v>
      </c>
      <c r="H614" s="63">
        <f>'Procurement Schedule'!N732</f>
        <v>0</v>
      </c>
      <c r="I614">
        <f t="shared" si="132"/>
        <v>1</v>
      </c>
      <c r="J614">
        <f t="shared" si="125"/>
        <v>1900</v>
      </c>
      <c r="K614" t="str">
        <f t="shared" si="126"/>
        <v>1_1900</v>
      </c>
      <c r="S614" t="str">
        <f t="shared" si="128"/>
        <v/>
      </c>
      <c r="T614" s="64" t="str">
        <f t="shared" si="127"/>
        <v/>
      </c>
      <c r="AA614" t="str">
        <f t="shared" si="129"/>
        <v/>
      </c>
      <c r="AB614" s="64" t="str">
        <f t="shared" si="130"/>
        <v/>
      </c>
    </row>
    <row r="615" spans="1:28" x14ac:dyDescent="0.35">
      <c r="A615">
        <f>'Procurement Schedule'!R733</f>
        <v>0</v>
      </c>
      <c r="B615" s="63">
        <f>'Procurement Schedule'!M733</f>
        <v>0</v>
      </c>
      <c r="C615">
        <f t="shared" si="131"/>
        <v>1</v>
      </c>
      <c r="D615">
        <f t="shared" si="122"/>
        <v>1900</v>
      </c>
      <c r="E615" t="str">
        <f t="shared" si="123"/>
        <v>1_1900</v>
      </c>
      <c r="G615">
        <f t="shared" si="124"/>
        <v>0</v>
      </c>
      <c r="H615" s="63">
        <f>'Procurement Schedule'!N733</f>
        <v>0</v>
      </c>
      <c r="I615">
        <f t="shared" si="132"/>
        <v>1</v>
      </c>
      <c r="J615">
        <f t="shared" si="125"/>
        <v>1900</v>
      </c>
      <c r="K615" t="str">
        <f t="shared" si="126"/>
        <v>1_1900</v>
      </c>
      <c r="S615" t="str">
        <f t="shared" si="128"/>
        <v/>
      </c>
      <c r="T615" s="64" t="str">
        <f t="shared" si="127"/>
        <v/>
      </c>
      <c r="AA615" t="str">
        <f t="shared" si="129"/>
        <v/>
      </c>
      <c r="AB615" s="64" t="str">
        <f t="shared" si="130"/>
        <v/>
      </c>
    </row>
    <row r="616" spans="1:28" x14ac:dyDescent="0.35">
      <c r="A616">
        <f>'Procurement Schedule'!R734</f>
        <v>0</v>
      </c>
      <c r="B616" s="63">
        <f>'Procurement Schedule'!M734</f>
        <v>0</v>
      </c>
      <c r="C616">
        <f t="shared" si="131"/>
        <v>1</v>
      </c>
      <c r="D616">
        <f t="shared" si="122"/>
        <v>1900</v>
      </c>
      <c r="E616" t="str">
        <f t="shared" si="123"/>
        <v>1_1900</v>
      </c>
      <c r="G616">
        <f t="shared" si="124"/>
        <v>0</v>
      </c>
      <c r="H616" s="63">
        <f>'Procurement Schedule'!N734</f>
        <v>0</v>
      </c>
      <c r="I616">
        <f t="shared" si="132"/>
        <v>1</v>
      </c>
      <c r="J616">
        <f t="shared" si="125"/>
        <v>1900</v>
      </c>
      <c r="K616" t="str">
        <f t="shared" si="126"/>
        <v>1_1900</v>
      </c>
      <c r="S616" t="str">
        <f t="shared" si="128"/>
        <v/>
      </c>
      <c r="T616" s="64" t="str">
        <f t="shared" si="127"/>
        <v/>
      </c>
      <c r="AA616" t="str">
        <f t="shared" si="129"/>
        <v/>
      </c>
      <c r="AB616" s="64" t="str">
        <f t="shared" si="130"/>
        <v/>
      </c>
    </row>
    <row r="617" spans="1:28" x14ac:dyDescent="0.35">
      <c r="A617">
        <f>'Procurement Schedule'!R735</f>
        <v>0</v>
      </c>
      <c r="B617" s="63">
        <f>'Procurement Schedule'!M735</f>
        <v>0</v>
      </c>
      <c r="C617">
        <f t="shared" si="131"/>
        <v>1</v>
      </c>
      <c r="D617">
        <f t="shared" si="122"/>
        <v>1900</v>
      </c>
      <c r="E617" t="str">
        <f t="shared" si="123"/>
        <v>1_1900</v>
      </c>
      <c r="G617">
        <f t="shared" si="124"/>
        <v>0</v>
      </c>
      <c r="H617" s="63">
        <f>'Procurement Schedule'!N735</f>
        <v>0</v>
      </c>
      <c r="I617">
        <f t="shared" si="132"/>
        <v>1</v>
      </c>
      <c r="J617">
        <f t="shared" si="125"/>
        <v>1900</v>
      </c>
      <c r="K617" t="str">
        <f t="shared" si="126"/>
        <v>1_1900</v>
      </c>
      <c r="S617" t="str">
        <f t="shared" si="128"/>
        <v/>
      </c>
      <c r="T617" s="64" t="str">
        <f t="shared" si="127"/>
        <v/>
      </c>
      <c r="AA617" t="str">
        <f t="shared" si="129"/>
        <v/>
      </c>
      <c r="AB617" s="64" t="str">
        <f t="shared" si="130"/>
        <v/>
      </c>
    </row>
    <row r="618" spans="1:28" x14ac:dyDescent="0.35">
      <c r="A618">
        <f>'Procurement Schedule'!R736</f>
        <v>0</v>
      </c>
      <c r="B618" s="63">
        <f>'Procurement Schedule'!M736</f>
        <v>0</v>
      </c>
      <c r="C618">
        <f t="shared" si="131"/>
        <v>1</v>
      </c>
      <c r="D618">
        <f t="shared" si="122"/>
        <v>1900</v>
      </c>
      <c r="E618" t="str">
        <f t="shared" si="123"/>
        <v>1_1900</v>
      </c>
      <c r="G618">
        <f t="shared" si="124"/>
        <v>0</v>
      </c>
      <c r="H618" s="63">
        <f>'Procurement Schedule'!N736</f>
        <v>0</v>
      </c>
      <c r="I618">
        <f t="shared" si="132"/>
        <v>1</v>
      </c>
      <c r="J618">
        <f t="shared" si="125"/>
        <v>1900</v>
      </c>
      <c r="K618" t="str">
        <f t="shared" si="126"/>
        <v>1_1900</v>
      </c>
      <c r="S618" t="str">
        <f t="shared" si="128"/>
        <v/>
      </c>
      <c r="T618" s="64" t="str">
        <f t="shared" si="127"/>
        <v/>
      </c>
      <c r="AA618" t="str">
        <f t="shared" si="129"/>
        <v/>
      </c>
      <c r="AB618" s="64" t="str">
        <f t="shared" si="130"/>
        <v/>
      </c>
    </row>
    <row r="619" spans="1:28" x14ac:dyDescent="0.35">
      <c r="A619">
        <f>'Procurement Schedule'!R737</f>
        <v>0</v>
      </c>
      <c r="B619" s="63">
        <f>'Procurement Schedule'!M737</f>
        <v>0</v>
      </c>
      <c r="C619">
        <f t="shared" si="131"/>
        <v>1</v>
      </c>
      <c r="D619">
        <f t="shared" si="122"/>
        <v>1900</v>
      </c>
      <c r="E619" t="str">
        <f t="shared" si="123"/>
        <v>1_1900</v>
      </c>
      <c r="G619">
        <f t="shared" si="124"/>
        <v>0</v>
      </c>
      <c r="H619" s="63">
        <f>'Procurement Schedule'!N737</f>
        <v>0</v>
      </c>
      <c r="I619">
        <f t="shared" si="132"/>
        <v>1</v>
      </c>
      <c r="J619">
        <f t="shared" si="125"/>
        <v>1900</v>
      </c>
      <c r="K619" t="str">
        <f t="shared" si="126"/>
        <v>1_1900</v>
      </c>
      <c r="S619" t="str">
        <f t="shared" si="128"/>
        <v/>
      </c>
      <c r="T619" s="64" t="str">
        <f t="shared" si="127"/>
        <v/>
      </c>
      <c r="AA619" t="str">
        <f t="shared" si="129"/>
        <v/>
      </c>
      <c r="AB619" s="64" t="str">
        <f t="shared" si="130"/>
        <v/>
      </c>
    </row>
    <row r="620" spans="1:28" x14ac:dyDescent="0.35">
      <c r="A620">
        <f>'Procurement Schedule'!R738</f>
        <v>0</v>
      </c>
      <c r="B620" s="63">
        <f>'Procurement Schedule'!M738</f>
        <v>0</v>
      </c>
      <c r="C620">
        <f t="shared" si="131"/>
        <v>1</v>
      </c>
      <c r="D620">
        <f t="shared" si="122"/>
        <v>1900</v>
      </c>
      <c r="E620" t="str">
        <f t="shared" si="123"/>
        <v>1_1900</v>
      </c>
      <c r="G620">
        <f t="shared" si="124"/>
        <v>0</v>
      </c>
      <c r="H620" s="63">
        <f>'Procurement Schedule'!N738</f>
        <v>0</v>
      </c>
      <c r="I620">
        <f t="shared" si="132"/>
        <v>1</v>
      </c>
      <c r="J620">
        <f t="shared" si="125"/>
        <v>1900</v>
      </c>
      <c r="K620" t="str">
        <f t="shared" si="126"/>
        <v>1_1900</v>
      </c>
      <c r="S620" t="str">
        <f t="shared" si="128"/>
        <v/>
      </c>
      <c r="T620" s="64" t="str">
        <f t="shared" si="127"/>
        <v/>
      </c>
      <c r="AA620" t="str">
        <f t="shared" si="129"/>
        <v/>
      </c>
      <c r="AB620" s="64" t="str">
        <f t="shared" si="130"/>
        <v/>
      </c>
    </row>
    <row r="621" spans="1:28" x14ac:dyDescent="0.35">
      <c r="A621">
        <f>'Procurement Schedule'!R739</f>
        <v>0</v>
      </c>
      <c r="B621" s="63">
        <f>'Procurement Schedule'!M739</f>
        <v>0</v>
      </c>
      <c r="C621">
        <f t="shared" si="131"/>
        <v>1</v>
      </c>
      <c r="D621">
        <f t="shared" si="122"/>
        <v>1900</v>
      </c>
      <c r="E621" t="str">
        <f t="shared" si="123"/>
        <v>1_1900</v>
      </c>
      <c r="G621">
        <f t="shared" si="124"/>
        <v>0</v>
      </c>
      <c r="H621" s="63">
        <f>'Procurement Schedule'!N739</f>
        <v>0</v>
      </c>
      <c r="I621">
        <f t="shared" si="132"/>
        <v>1</v>
      </c>
      <c r="J621">
        <f t="shared" si="125"/>
        <v>1900</v>
      </c>
      <c r="K621" t="str">
        <f t="shared" si="126"/>
        <v>1_1900</v>
      </c>
      <c r="S621" t="str">
        <f t="shared" si="128"/>
        <v/>
      </c>
      <c r="T621" s="64" t="str">
        <f t="shared" si="127"/>
        <v/>
      </c>
      <c r="AA621" t="str">
        <f t="shared" si="129"/>
        <v/>
      </c>
      <c r="AB621" s="64" t="str">
        <f t="shared" si="130"/>
        <v/>
      </c>
    </row>
    <row r="622" spans="1:28" x14ac:dyDescent="0.35">
      <c r="A622">
        <f>'Procurement Schedule'!R740</f>
        <v>0</v>
      </c>
      <c r="B622" s="63">
        <f>'Procurement Schedule'!M740</f>
        <v>0</v>
      </c>
      <c r="C622">
        <f t="shared" si="131"/>
        <v>1</v>
      </c>
      <c r="D622">
        <f t="shared" si="122"/>
        <v>1900</v>
      </c>
      <c r="E622" t="str">
        <f t="shared" si="123"/>
        <v>1_1900</v>
      </c>
      <c r="G622">
        <f t="shared" si="124"/>
        <v>0</v>
      </c>
      <c r="H622" s="63">
        <f>'Procurement Schedule'!N740</f>
        <v>0</v>
      </c>
      <c r="I622">
        <f t="shared" si="132"/>
        <v>1</v>
      </c>
      <c r="J622">
        <f t="shared" si="125"/>
        <v>1900</v>
      </c>
      <c r="K622" t="str">
        <f t="shared" si="126"/>
        <v>1_1900</v>
      </c>
      <c r="S622" t="str">
        <f t="shared" si="128"/>
        <v/>
      </c>
      <c r="T622" s="64" t="str">
        <f t="shared" si="127"/>
        <v/>
      </c>
      <c r="AA622" t="str">
        <f t="shared" si="129"/>
        <v/>
      </c>
      <c r="AB622" s="64" t="str">
        <f t="shared" si="130"/>
        <v/>
      </c>
    </row>
    <row r="623" spans="1:28" x14ac:dyDescent="0.35">
      <c r="A623">
        <f>'Procurement Schedule'!R741</f>
        <v>0</v>
      </c>
      <c r="B623" s="63">
        <f>'Procurement Schedule'!M741</f>
        <v>0</v>
      </c>
      <c r="C623">
        <f t="shared" si="131"/>
        <v>1</v>
      </c>
      <c r="D623">
        <f t="shared" si="122"/>
        <v>1900</v>
      </c>
      <c r="E623" t="str">
        <f t="shared" si="123"/>
        <v>1_1900</v>
      </c>
      <c r="G623">
        <f t="shared" si="124"/>
        <v>0</v>
      </c>
      <c r="H623" s="63">
        <f>'Procurement Schedule'!N741</f>
        <v>0</v>
      </c>
      <c r="I623">
        <f t="shared" si="132"/>
        <v>1</v>
      </c>
      <c r="J623">
        <f t="shared" si="125"/>
        <v>1900</v>
      </c>
      <c r="K623" t="str">
        <f t="shared" si="126"/>
        <v>1_1900</v>
      </c>
      <c r="S623" t="str">
        <f t="shared" si="128"/>
        <v/>
      </c>
      <c r="T623" s="64" t="str">
        <f t="shared" si="127"/>
        <v/>
      </c>
      <c r="AA623" t="str">
        <f t="shared" si="129"/>
        <v/>
      </c>
      <c r="AB623" s="64" t="str">
        <f t="shared" si="130"/>
        <v/>
      </c>
    </row>
    <row r="624" spans="1:28" x14ac:dyDescent="0.35">
      <c r="A624">
        <f>'Procurement Schedule'!R742</f>
        <v>0</v>
      </c>
      <c r="B624" s="63">
        <f>'Procurement Schedule'!M742</f>
        <v>0</v>
      </c>
      <c r="C624">
        <f t="shared" si="131"/>
        <v>1</v>
      </c>
      <c r="D624">
        <f t="shared" si="122"/>
        <v>1900</v>
      </c>
      <c r="E624" t="str">
        <f t="shared" si="123"/>
        <v>1_1900</v>
      </c>
      <c r="G624">
        <f t="shared" si="124"/>
        <v>0</v>
      </c>
      <c r="H624" s="63">
        <f>'Procurement Schedule'!N742</f>
        <v>0</v>
      </c>
      <c r="I624">
        <f t="shared" si="132"/>
        <v>1</v>
      </c>
      <c r="J624">
        <f t="shared" si="125"/>
        <v>1900</v>
      </c>
      <c r="K624" t="str">
        <f t="shared" si="126"/>
        <v>1_1900</v>
      </c>
      <c r="S624" t="str">
        <f t="shared" si="128"/>
        <v/>
      </c>
      <c r="T624" s="64" t="str">
        <f t="shared" si="127"/>
        <v/>
      </c>
      <c r="AA624" t="str">
        <f t="shared" si="129"/>
        <v/>
      </c>
      <c r="AB624" s="64" t="str">
        <f t="shared" si="130"/>
        <v/>
      </c>
    </row>
    <row r="625" spans="1:28" x14ac:dyDescent="0.35">
      <c r="A625">
        <f>'Procurement Schedule'!R743</f>
        <v>0</v>
      </c>
      <c r="B625" s="63">
        <f>'Procurement Schedule'!M743</f>
        <v>0</v>
      </c>
      <c r="C625">
        <f t="shared" si="131"/>
        <v>1</v>
      </c>
      <c r="D625">
        <f t="shared" si="122"/>
        <v>1900</v>
      </c>
      <c r="E625" t="str">
        <f t="shared" si="123"/>
        <v>1_1900</v>
      </c>
      <c r="G625">
        <f t="shared" si="124"/>
        <v>0</v>
      </c>
      <c r="H625" s="63">
        <f>'Procurement Schedule'!N743</f>
        <v>0</v>
      </c>
      <c r="I625">
        <f t="shared" si="132"/>
        <v>1</v>
      </c>
      <c r="J625">
        <f t="shared" si="125"/>
        <v>1900</v>
      </c>
      <c r="K625" t="str">
        <f t="shared" si="126"/>
        <v>1_1900</v>
      </c>
      <c r="S625" t="str">
        <f t="shared" si="128"/>
        <v/>
      </c>
      <c r="T625" s="64" t="str">
        <f t="shared" si="127"/>
        <v/>
      </c>
      <c r="AA625" t="str">
        <f t="shared" si="129"/>
        <v/>
      </c>
      <c r="AB625" s="64" t="str">
        <f t="shared" si="130"/>
        <v/>
      </c>
    </row>
    <row r="626" spans="1:28" x14ac:dyDescent="0.35">
      <c r="A626">
        <f>'Procurement Schedule'!R744</f>
        <v>0</v>
      </c>
      <c r="B626" s="63">
        <f>'Procurement Schedule'!M744</f>
        <v>0</v>
      </c>
      <c r="C626">
        <f t="shared" si="131"/>
        <v>1</v>
      </c>
      <c r="D626">
        <f t="shared" si="122"/>
        <v>1900</v>
      </c>
      <c r="E626" t="str">
        <f t="shared" si="123"/>
        <v>1_1900</v>
      </c>
      <c r="G626">
        <f t="shared" si="124"/>
        <v>0</v>
      </c>
      <c r="H626" s="63">
        <f>'Procurement Schedule'!N744</f>
        <v>0</v>
      </c>
      <c r="I626">
        <f t="shared" si="132"/>
        <v>1</v>
      </c>
      <c r="J626">
        <f t="shared" si="125"/>
        <v>1900</v>
      </c>
      <c r="K626" t="str">
        <f t="shared" si="126"/>
        <v>1_1900</v>
      </c>
      <c r="S626" t="str">
        <f t="shared" si="128"/>
        <v/>
      </c>
      <c r="T626" s="64" t="str">
        <f t="shared" si="127"/>
        <v/>
      </c>
      <c r="AA626" t="str">
        <f t="shared" si="129"/>
        <v/>
      </c>
      <c r="AB626" s="64" t="str">
        <f t="shared" si="130"/>
        <v/>
      </c>
    </row>
    <row r="627" spans="1:28" x14ac:dyDescent="0.35">
      <c r="A627">
        <f>'Procurement Schedule'!R745</f>
        <v>0</v>
      </c>
      <c r="B627" s="63">
        <f>'Procurement Schedule'!M745</f>
        <v>0</v>
      </c>
      <c r="C627">
        <f t="shared" si="131"/>
        <v>1</v>
      </c>
      <c r="D627">
        <f t="shared" si="122"/>
        <v>1900</v>
      </c>
      <c r="E627" t="str">
        <f t="shared" si="123"/>
        <v>1_1900</v>
      </c>
      <c r="G627">
        <f t="shared" si="124"/>
        <v>0</v>
      </c>
      <c r="H627" s="63">
        <f>'Procurement Schedule'!N745</f>
        <v>0</v>
      </c>
      <c r="I627">
        <f t="shared" si="132"/>
        <v>1</v>
      </c>
      <c r="J627">
        <f t="shared" si="125"/>
        <v>1900</v>
      </c>
      <c r="K627" t="str">
        <f t="shared" si="126"/>
        <v>1_1900</v>
      </c>
      <c r="S627" t="str">
        <f t="shared" si="128"/>
        <v/>
      </c>
      <c r="T627" s="64" t="str">
        <f t="shared" si="127"/>
        <v/>
      </c>
      <c r="AA627" t="str">
        <f t="shared" si="129"/>
        <v/>
      </c>
      <c r="AB627" s="64" t="str">
        <f t="shared" si="130"/>
        <v/>
      </c>
    </row>
    <row r="628" spans="1:28" x14ac:dyDescent="0.35">
      <c r="A628">
        <f>'Procurement Schedule'!R746</f>
        <v>0</v>
      </c>
      <c r="B628" s="63">
        <f>'Procurement Schedule'!M746</f>
        <v>0</v>
      </c>
      <c r="C628">
        <f t="shared" si="131"/>
        <v>1</v>
      </c>
      <c r="D628">
        <f t="shared" si="122"/>
        <v>1900</v>
      </c>
      <c r="E628" t="str">
        <f t="shared" si="123"/>
        <v>1_1900</v>
      </c>
      <c r="G628">
        <f t="shared" si="124"/>
        <v>0</v>
      </c>
      <c r="H628" s="63">
        <f>'Procurement Schedule'!N746</f>
        <v>0</v>
      </c>
      <c r="I628">
        <f t="shared" si="132"/>
        <v>1</v>
      </c>
      <c r="J628">
        <f t="shared" si="125"/>
        <v>1900</v>
      </c>
      <c r="K628" t="str">
        <f t="shared" si="126"/>
        <v>1_1900</v>
      </c>
      <c r="S628" t="str">
        <f t="shared" si="128"/>
        <v/>
      </c>
      <c r="T628" s="64" t="str">
        <f t="shared" si="127"/>
        <v/>
      </c>
      <c r="AA628" t="str">
        <f t="shared" si="129"/>
        <v/>
      </c>
      <c r="AB628" s="64" t="str">
        <f t="shared" si="130"/>
        <v/>
      </c>
    </row>
    <row r="629" spans="1:28" x14ac:dyDescent="0.35">
      <c r="A629">
        <f>'Procurement Schedule'!R747</f>
        <v>0</v>
      </c>
      <c r="B629" s="63">
        <f>'Procurement Schedule'!M747</f>
        <v>0</v>
      </c>
      <c r="C629">
        <f t="shared" si="131"/>
        <v>1</v>
      </c>
      <c r="D629">
        <f t="shared" si="122"/>
        <v>1900</v>
      </c>
      <c r="E629" t="str">
        <f t="shared" si="123"/>
        <v>1_1900</v>
      </c>
      <c r="G629">
        <f t="shared" si="124"/>
        <v>0</v>
      </c>
      <c r="H629" s="63">
        <f>'Procurement Schedule'!N747</f>
        <v>0</v>
      </c>
      <c r="I629">
        <f t="shared" si="132"/>
        <v>1</v>
      </c>
      <c r="J629">
        <f t="shared" si="125"/>
        <v>1900</v>
      </c>
      <c r="K629" t="str">
        <f t="shared" si="126"/>
        <v>1_1900</v>
      </c>
      <c r="S629" t="str">
        <f t="shared" si="128"/>
        <v/>
      </c>
      <c r="T629" s="64" t="str">
        <f t="shared" si="127"/>
        <v/>
      </c>
      <c r="AA629" t="str">
        <f t="shared" si="129"/>
        <v/>
      </c>
      <c r="AB629" s="64" t="str">
        <f t="shared" si="130"/>
        <v/>
      </c>
    </row>
    <row r="630" spans="1:28" x14ac:dyDescent="0.35">
      <c r="A630">
        <f>'Procurement Schedule'!R748</f>
        <v>0</v>
      </c>
      <c r="B630" s="63">
        <f>'Procurement Schedule'!M748</f>
        <v>0</v>
      </c>
      <c r="C630">
        <f t="shared" si="131"/>
        <v>1</v>
      </c>
      <c r="D630">
        <f t="shared" si="122"/>
        <v>1900</v>
      </c>
      <c r="E630" t="str">
        <f t="shared" si="123"/>
        <v>1_1900</v>
      </c>
      <c r="G630">
        <f t="shared" si="124"/>
        <v>0</v>
      </c>
      <c r="H630" s="63">
        <f>'Procurement Schedule'!N748</f>
        <v>0</v>
      </c>
      <c r="I630">
        <f t="shared" si="132"/>
        <v>1</v>
      </c>
      <c r="J630">
        <f t="shared" si="125"/>
        <v>1900</v>
      </c>
      <c r="K630" t="str">
        <f t="shared" si="126"/>
        <v>1_1900</v>
      </c>
      <c r="S630" t="str">
        <f t="shared" si="128"/>
        <v/>
      </c>
      <c r="T630" s="64" t="str">
        <f t="shared" si="127"/>
        <v/>
      </c>
      <c r="AA630" t="str">
        <f t="shared" si="129"/>
        <v/>
      </c>
      <c r="AB630" s="64" t="str">
        <f t="shared" si="130"/>
        <v/>
      </c>
    </row>
    <row r="631" spans="1:28" x14ac:dyDescent="0.35">
      <c r="A631">
        <f>'Procurement Schedule'!R749</f>
        <v>0</v>
      </c>
      <c r="B631" s="63">
        <f>'Procurement Schedule'!M749</f>
        <v>0</v>
      </c>
      <c r="C631">
        <f t="shared" si="131"/>
        <v>1</v>
      </c>
      <c r="D631">
        <f t="shared" ref="D631:D694" si="133">YEAR(B631)</f>
        <v>1900</v>
      </c>
      <c r="E631" t="str">
        <f t="shared" ref="E631:E694" si="134">C631&amp;"_"&amp;D631</f>
        <v>1_1900</v>
      </c>
      <c r="G631">
        <f t="shared" ref="G631:G694" si="135">A631</f>
        <v>0</v>
      </c>
      <c r="H631" s="63">
        <f>'Procurement Schedule'!N749</f>
        <v>0</v>
      </c>
      <c r="I631">
        <f t="shared" si="132"/>
        <v>1</v>
      </c>
      <c r="J631">
        <f t="shared" ref="J631:J694" si="136">YEAR(H631)</f>
        <v>1900</v>
      </c>
      <c r="K631" t="str">
        <f t="shared" ref="K631:K694" si="137">I631&amp;"_"&amp;J631</f>
        <v>1_1900</v>
      </c>
      <c r="S631" t="str">
        <f t="shared" si="128"/>
        <v/>
      </c>
      <c r="T631" s="64" t="str">
        <f t="shared" si="127"/>
        <v/>
      </c>
      <c r="AA631" t="str">
        <f t="shared" si="129"/>
        <v/>
      </c>
      <c r="AB631" s="64" t="str">
        <f t="shared" si="130"/>
        <v/>
      </c>
    </row>
    <row r="632" spans="1:28" x14ac:dyDescent="0.35">
      <c r="A632">
        <f>'Procurement Schedule'!R750</f>
        <v>0</v>
      </c>
      <c r="B632" s="63">
        <f>'Procurement Schedule'!M750</f>
        <v>0</v>
      </c>
      <c r="C632">
        <f t="shared" si="131"/>
        <v>1</v>
      </c>
      <c r="D632">
        <f t="shared" si="133"/>
        <v>1900</v>
      </c>
      <c r="E632" t="str">
        <f t="shared" si="134"/>
        <v>1_1900</v>
      </c>
      <c r="G632">
        <f t="shared" si="135"/>
        <v>0</v>
      </c>
      <c r="H632" s="63">
        <f>'Procurement Schedule'!N750</f>
        <v>0</v>
      </c>
      <c r="I632">
        <f t="shared" si="132"/>
        <v>1</v>
      </c>
      <c r="J632">
        <f t="shared" si="136"/>
        <v>1900</v>
      </c>
      <c r="K632" t="str">
        <f t="shared" si="137"/>
        <v>1_1900</v>
      </c>
      <c r="S632" t="str">
        <f t="shared" si="128"/>
        <v/>
      </c>
      <c r="T632" s="64" t="str">
        <f t="shared" si="127"/>
        <v/>
      </c>
      <c r="AA632" t="str">
        <f t="shared" si="129"/>
        <v/>
      </c>
      <c r="AB632" s="64" t="str">
        <f t="shared" si="130"/>
        <v/>
      </c>
    </row>
    <row r="633" spans="1:28" x14ac:dyDescent="0.35">
      <c r="A633">
        <f>'Procurement Schedule'!R751</f>
        <v>0</v>
      </c>
      <c r="B633" s="63">
        <f>'Procurement Schedule'!M751</f>
        <v>0</v>
      </c>
      <c r="C633">
        <f t="shared" si="131"/>
        <v>1</v>
      </c>
      <c r="D633">
        <f t="shared" si="133"/>
        <v>1900</v>
      </c>
      <c r="E633" t="str">
        <f t="shared" si="134"/>
        <v>1_1900</v>
      </c>
      <c r="G633">
        <f t="shared" si="135"/>
        <v>0</v>
      </c>
      <c r="H633" s="63">
        <f>'Procurement Schedule'!N751</f>
        <v>0</v>
      </c>
      <c r="I633">
        <f t="shared" si="132"/>
        <v>1</v>
      </c>
      <c r="J633">
        <f t="shared" si="136"/>
        <v>1900</v>
      </c>
      <c r="K633" t="str">
        <f t="shared" si="137"/>
        <v>1_1900</v>
      </c>
      <c r="S633" t="str">
        <f t="shared" si="128"/>
        <v/>
      </c>
      <c r="T633" s="64" t="str">
        <f t="shared" si="127"/>
        <v/>
      </c>
      <c r="AA633" t="str">
        <f t="shared" si="129"/>
        <v/>
      </c>
      <c r="AB633" s="64" t="str">
        <f t="shared" si="130"/>
        <v/>
      </c>
    </row>
    <row r="634" spans="1:28" x14ac:dyDescent="0.35">
      <c r="A634">
        <f>'Procurement Schedule'!R752</f>
        <v>0</v>
      </c>
      <c r="B634" s="63">
        <f>'Procurement Schedule'!M752</f>
        <v>0</v>
      </c>
      <c r="C634">
        <f t="shared" si="131"/>
        <v>1</v>
      </c>
      <c r="D634">
        <f t="shared" si="133"/>
        <v>1900</v>
      </c>
      <c r="E634" t="str">
        <f t="shared" si="134"/>
        <v>1_1900</v>
      </c>
      <c r="G634">
        <f t="shared" si="135"/>
        <v>0</v>
      </c>
      <c r="H634" s="63">
        <f>'Procurement Schedule'!N752</f>
        <v>0</v>
      </c>
      <c r="I634">
        <f t="shared" si="132"/>
        <v>1</v>
      </c>
      <c r="J634">
        <f t="shared" si="136"/>
        <v>1900</v>
      </c>
      <c r="K634" t="str">
        <f t="shared" si="137"/>
        <v>1_1900</v>
      </c>
      <c r="S634" t="str">
        <f t="shared" si="128"/>
        <v/>
      </c>
      <c r="T634" s="64" t="str">
        <f t="shared" si="127"/>
        <v/>
      </c>
      <c r="AA634" t="str">
        <f t="shared" si="129"/>
        <v/>
      </c>
      <c r="AB634" s="64" t="str">
        <f t="shared" si="130"/>
        <v/>
      </c>
    </row>
    <row r="635" spans="1:28" x14ac:dyDescent="0.35">
      <c r="A635">
        <f>'Procurement Schedule'!R753</f>
        <v>0</v>
      </c>
      <c r="B635" s="63">
        <f>'Procurement Schedule'!M753</f>
        <v>0</v>
      </c>
      <c r="C635">
        <f t="shared" si="131"/>
        <v>1</v>
      </c>
      <c r="D635">
        <f t="shared" si="133"/>
        <v>1900</v>
      </c>
      <c r="E635" t="str">
        <f t="shared" si="134"/>
        <v>1_1900</v>
      </c>
      <c r="G635">
        <f t="shared" si="135"/>
        <v>0</v>
      </c>
      <c r="H635" s="63">
        <f>'Procurement Schedule'!N753</f>
        <v>0</v>
      </c>
      <c r="I635">
        <f t="shared" si="132"/>
        <v>1</v>
      </c>
      <c r="J635">
        <f t="shared" si="136"/>
        <v>1900</v>
      </c>
      <c r="K635" t="str">
        <f t="shared" si="137"/>
        <v>1_1900</v>
      </c>
      <c r="S635" t="str">
        <f t="shared" si="128"/>
        <v/>
      </c>
      <c r="T635" s="64" t="str">
        <f t="shared" si="127"/>
        <v/>
      </c>
      <c r="AA635" t="str">
        <f t="shared" si="129"/>
        <v/>
      </c>
      <c r="AB635" s="64" t="str">
        <f t="shared" si="130"/>
        <v/>
      </c>
    </row>
    <row r="636" spans="1:28" x14ac:dyDescent="0.35">
      <c r="A636">
        <f>'Procurement Schedule'!R754</f>
        <v>0</v>
      </c>
      <c r="B636" s="63">
        <f>'Procurement Schedule'!M754</f>
        <v>0</v>
      </c>
      <c r="C636">
        <f t="shared" si="131"/>
        <v>1</v>
      </c>
      <c r="D636">
        <f t="shared" si="133"/>
        <v>1900</v>
      </c>
      <c r="E636" t="str">
        <f t="shared" si="134"/>
        <v>1_1900</v>
      </c>
      <c r="G636">
        <f t="shared" si="135"/>
        <v>0</v>
      </c>
      <c r="H636" s="63">
        <f>'Procurement Schedule'!N754</f>
        <v>0</v>
      </c>
      <c r="I636">
        <f t="shared" si="132"/>
        <v>1</v>
      </c>
      <c r="J636">
        <f t="shared" si="136"/>
        <v>1900</v>
      </c>
      <c r="K636" t="str">
        <f t="shared" si="137"/>
        <v>1_1900</v>
      </c>
      <c r="S636" t="str">
        <f t="shared" si="128"/>
        <v/>
      </c>
      <c r="T636" s="64" t="str">
        <f t="shared" si="127"/>
        <v/>
      </c>
      <c r="AA636" t="str">
        <f t="shared" si="129"/>
        <v/>
      </c>
      <c r="AB636" s="64" t="str">
        <f t="shared" si="130"/>
        <v/>
      </c>
    </row>
    <row r="637" spans="1:28" x14ac:dyDescent="0.35">
      <c r="A637">
        <f>'Procurement Schedule'!R755</f>
        <v>0</v>
      </c>
      <c r="B637" s="63">
        <f>'Procurement Schedule'!M755</f>
        <v>0</v>
      </c>
      <c r="C637">
        <f t="shared" si="131"/>
        <v>1</v>
      </c>
      <c r="D637">
        <f t="shared" si="133"/>
        <v>1900</v>
      </c>
      <c r="E637" t="str">
        <f t="shared" si="134"/>
        <v>1_1900</v>
      </c>
      <c r="G637">
        <f t="shared" si="135"/>
        <v>0</v>
      </c>
      <c r="H637" s="63">
        <f>'Procurement Schedule'!N755</f>
        <v>0</v>
      </c>
      <c r="I637">
        <f t="shared" si="132"/>
        <v>1</v>
      </c>
      <c r="J637">
        <f t="shared" si="136"/>
        <v>1900</v>
      </c>
      <c r="K637" t="str">
        <f t="shared" si="137"/>
        <v>1_1900</v>
      </c>
      <c r="S637" t="str">
        <f t="shared" si="128"/>
        <v/>
      </c>
      <c r="T637" s="64" t="str">
        <f t="shared" si="127"/>
        <v/>
      </c>
      <c r="AA637" t="str">
        <f t="shared" si="129"/>
        <v/>
      </c>
      <c r="AB637" s="64" t="str">
        <f t="shared" si="130"/>
        <v/>
      </c>
    </row>
    <row r="638" spans="1:28" x14ac:dyDescent="0.35">
      <c r="A638">
        <f>'Procurement Schedule'!R756</f>
        <v>0</v>
      </c>
      <c r="B638" s="63">
        <f>'Procurement Schedule'!M756</f>
        <v>0</v>
      </c>
      <c r="C638">
        <f t="shared" si="131"/>
        <v>1</v>
      </c>
      <c r="D638">
        <f t="shared" si="133"/>
        <v>1900</v>
      </c>
      <c r="E638" t="str">
        <f t="shared" si="134"/>
        <v>1_1900</v>
      </c>
      <c r="G638">
        <f t="shared" si="135"/>
        <v>0</v>
      </c>
      <c r="H638" s="63">
        <f>'Procurement Schedule'!N756</f>
        <v>0</v>
      </c>
      <c r="I638">
        <f t="shared" si="132"/>
        <v>1</v>
      </c>
      <c r="J638">
        <f t="shared" si="136"/>
        <v>1900</v>
      </c>
      <c r="K638" t="str">
        <f t="shared" si="137"/>
        <v>1_1900</v>
      </c>
      <c r="S638" t="str">
        <f t="shared" si="128"/>
        <v/>
      </c>
      <c r="T638" s="64" t="str">
        <f t="shared" si="127"/>
        <v/>
      </c>
      <c r="AA638" t="str">
        <f t="shared" si="129"/>
        <v/>
      </c>
      <c r="AB638" s="64" t="str">
        <f t="shared" si="130"/>
        <v/>
      </c>
    </row>
    <row r="639" spans="1:28" x14ac:dyDescent="0.35">
      <c r="A639">
        <f>'Procurement Schedule'!R757</f>
        <v>0</v>
      </c>
      <c r="B639" s="63">
        <f>'Procurement Schedule'!M757</f>
        <v>0</v>
      </c>
      <c r="C639">
        <f t="shared" si="131"/>
        <v>1</v>
      </c>
      <c r="D639">
        <f t="shared" si="133"/>
        <v>1900</v>
      </c>
      <c r="E639" t="str">
        <f t="shared" si="134"/>
        <v>1_1900</v>
      </c>
      <c r="G639">
        <f t="shared" si="135"/>
        <v>0</v>
      </c>
      <c r="H639" s="63">
        <f>'Procurement Schedule'!N757</f>
        <v>0</v>
      </c>
      <c r="I639">
        <f t="shared" si="132"/>
        <v>1</v>
      </c>
      <c r="J639">
        <f t="shared" si="136"/>
        <v>1900</v>
      </c>
      <c r="K639" t="str">
        <f t="shared" si="137"/>
        <v>1_1900</v>
      </c>
      <c r="S639" t="str">
        <f t="shared" si="128"/>
        <v/>
      </c>
      <c r="T639" s="64" t="str">
        <f t="shared" si="127"/>
        <v/>
      </c>
      <c r="AA639" t="str">
        <f t="shared" si="129"/>
        <v/>
      </c>
      <c r="AB639" s="64" t="str">
        <f t="shared" si="130"/>
        <v/>
      </c>
    </row>
    <row r="640" spans="1:28" x14ac:dyDescent="0.35">
      <c r="A640">
        <f>'Procurement Schedule'!R758</f>
        <v>0</v>
      </c>
      <c r="B640" s="63">
        <f>'Procurement Schedule'!M758</f>
        <v>0</v>
      </c>
      <c r="C640">
        <f t="shared" si="131"/>
        <v>1</v>
      </c>
      <c r="D640">
        <f t="shared" si="133"/>
        <v>1900</v>
      </c>
      <c r="E640" t="str">
        <f t="shared" si="134"/>
        <v>1_1900</v>
      </c>
      <c r="G640">
        <f t="shared" si="135"/>
        <v>0</v>
      </c>
      <c r="H640" s="63">
        <f>'Procurement Schedule'!N758</f>
        <v>0</v>
      </c>
      <c r="I640">
        <f t="shared" si="132"/>
        <v>1</v>
      </c>
      <c r="J640">
        <f t="shared" si="136"/>
        <v>1900</v>
      </c>
      <c r="K640" t="str">
        <f t="shared" si="137"/>
        <v>1_1900</v>
      </c>
      <c r="S640" t="str">
        <f t="shared" si="128"/>
        <v/>
      </c>
      <c r="T640" s="64" t="str">
        <f t="shared" si="127"/>
        <v/>
      </c>
      <c r="AA640" t="str">
        <f t="shared" si="129"/>
        <v/>
      </c>
      <c r="AB640" s="64" t="str">
        <f t="shared" si="130"/>
        <v/>
      </c>
    </row>
    <row r="641" spans="1:28" x14ac:dyDescent="0.35">
      <c r="A641">
        <f>'Procurement Schedule'!R759</f>
        <v>0</v>
      </c>
      <c r="B641" s="63">
        <f>'Procurement Schedule'!M759</f>
        <v>0</v>
      </c>
      <c r="C641">
        <f t="shared" si="131"/>
        <v>1</v>
      </c>
      <c r="D641">
        <f t="shared" si="133"/>
        <v>1900</v>
      </c>
      <c r="E641" t="str">
        <f t="shared" si="134"/>
        <v>1_1900</v>
      </c>
      <c r="G641">
        <f t="shared" si="135"/>
        <v>0</v>
      </c>
      <c r="H641" s="63">
        <f>'Procurement Schedule'!N759</f>
        <v>0</v>
      </c>
      <c r="I641">
        <f t="shared" si="132"/>
        <v>1</v>
      </c>
      <c r="J641">
        <f t="shared" si="136"/>
        <v>1900</v>
      </c>
      <c r="K641" t="str">
        <f t="shared" si="137"/>
        <v>1_1900</v>
      </c>
      <c r="S641" t="str">
        <f t="shared" si="128"/>
        <v/>
      </c>
      <c r="T641" s="64" t="str">
        <f t="shared" si="127"/>
        <v/>
      </c>
      <c r="AA641" t="str">
        <f t="shared" si="129"/>
        <v/>
      </c>
      <c r="AB641" s="64" t="str">
        <f t="shared" si="130"/>
        <v/>
      </c>
    </row>
    <row r="642" spans="1:28" x14ac:dyDescent="0.35">
      <c r="A642">
        <f>'Procurement Schedule'!R760</f>
        <v>0</v>
      </c>
      <c r="B642" s="63">
        <f>'Procurement Schedule'!M760</f>
        <v>0</v>
      </c>
      <c r="C642">
        <f t="shared" si="131"/>
        <v>1</v>
      </c>
      <c r="D642">
        <f t="shared" si="133"/>
        <v>1900</v>
      </c>
      <c r="E642" t="str">
        <f t="shared" si="134"/>
        <v>1_1900</v>
      </c>
      <c r="G642">
        <f t="shared" si="135"/>
        <v>0</v>
      </c>
      <c r="H642" s="63">
        <f>'Procurement Schedule'!N760</f>
        <v>0</v>
      </c>
      <c r="I642">
        <f t="shared" si="132"/>
        <v>1</v>
      </c>
      <c r="J642">
        <f t="shared" si="136"/>
        <v>1900</v>
      </c>
      <c r="K642" t="str">
        <f t="shared" si="137"/>
        <v>1_1900</v>
      </c>
      <c r="S642" t="str">
        <f t="shared" si="128"/>
        <v/>
      </c>
      <c r="T642" s="64" t="str">
        <f t="shared" si="127"/>
        <v/>
      </c>
      <c r="AA642" t="str">
        <f t="shared" si="129"/>
        <v/>
      </c>
      <c r="AB642" s="64" t="str">
        <f t="shared" si="130"/>
        <v/>
      </c>
    </row>
    <row r="643" spans="1:28" x14ac:dyDescent="0.35">
      <c r="A643">
        <f>'Procurement Schedule'!R761</f>
        <v>0</v>
      </c>
      <c r="B643" s="63">
        <f>'Procurement Schedule'!M761</f>
        <v>0</v>
      </c>
      <c r="C643">
        <f t="shared" si="131"/>
        <v>1</v>
      </c>
      <c r="D643">
        <f t="shared" si="133"/>
        <v>1900</v>
      </c>
      <c r="E643" t="str">
        <f t="shared" si="134"/>
        <v>1_1900</v>
      </c>
      <c r="G643">
        <f t="shared" si="135"/>
        <v>0</v>
      </c>
      <c r="H643" s="63">
        <f>'Procurement Schedule'!N761</f>
        <v>0</v>
      </c>
      <c r="I643">
        <f t="shared" si="132"/>
        <v>1</v>
      </c>
      <c r="J643">
        <f t="shared" si="136"/>
        <v>1900</v>
      </c>
      <c r="K643" t="str">
        <f t="shared" si="137"/>
        <v>1_1900</v>
      </c>
      <c r="S643" t="str">
        <f t="shared" si="128"/>
        <v/>
      </c>
      <c r="T643" s="64" t="str">
        <f t="shared" si="127"/>
        <v/>
      </c>
      <c r="AA643" t="str">
        <f t="shared" si="129"/>
        <v/>
      </c>
      <c r="AB643" s="64" t="str">
        <f t="shared" si="130"/>
        <v/>
      </c>
    </row>
    <row r="644" spans="1:28" x14ac:dyDescent="0.35">
      <c r="A644">
        <f>'Procurement Schedule'!R762</f>
        <v>0</v>
      </c>
      <c r="B644" s="63">
        <f>'Procurement Schedule'!M762</f>
        <v>0</v>
      </c>
      <c r="C644">
        <f t="shared" si="131"/>
        <v>1</v>
      </c>
      <c r="D644">
        <f t="shared" si="133"/>
        <v>1900</v>
      </c>
      <c r="E644" t="str">
        <f t="shared" si="134"/>
        <v>1_1900</v>
      </c>
      <c r="G644">
        <f t="shared" si="135"/>
        <v>0</v>
      </c>
      <c r="H644" s="63">
        <f>'Procurement Schedule'!N762</f>
        <v>0</v>
      </c>
      <c r="I644">
        <f t="shared" si="132"/>
        <v>1</v>
      </c>
      <c r="J644">
        <f t="shared" si="136"/>
        <v>1900</v>
      </c>
      <c r="K644" t="str">
        <f t="shared" si="137"/>
        <v>1_1900</v>
      </c>
      <c r="S644" t="str">
        <f t="shared" si="128"/>
        <v/>
      </c>
      <c r="T644" s="64" t="str">
        <f t="shared" si="127"/>
        <v/>
      </c>
      <c r="AA644" t="str">
        <f t="shared" si="129"/>
        <v/>
      </c>
      <c r="AB644" s="64" t="str">
        <f t="shared" si="130"/>
        <v/>
      </c>
    </row>
    <row r="645" spans="1:28" x14ac:dyDescent="0.35">
      <c r="A645">
        <f>'Procurement Schedule'!R763</f>
        <v>0</v>
      </c>
      <c r="B645" s="63">
        <f>'Procurement Schedule'!M763</f>
        <v>0</v>
      </c>
      <c r="C645">
        <f t="shared" si="131"/>
        <v>1</v>
      </c>
      <c r="D645">
        <f t="shared" si="133"/>
        <v>1900</v>
      </c>
      <c r="E645" t="str">
        <f t="shared" si="134"/>
        <v>1_1900</v>
      </c>
      <c r="G645">
        <f t="shared" si="135"/>
        <v>0</v>
      </c>
      <c r="H645" s="63">
        <f>'Procurement Schedule'!N763</f>
        <v>0</v>
      </c>
      <c r="I645">
        <f t="shared" si="132"/>
        <v>1</v>
      </c>
      <c r="J645">
        <f t="shared" si="136"/>
        <v>1900</v>
      </c>
      <c r="K645" t="str">
        <f t="shared" si="137"/>
        <v>1_1900</v>
      </c>
      <c r="S645" t="str">
        <f t="shared" si="128"/>
        <v/>
      </c>
      <c r="T645" s="64" t="str">
        <f t="shared" ref="T645:T708" si="138">IFERROR(VLOOKUP(Q645,AD:AE,2,0),"")</f>
        <v/>
      </c>
      <c r="AA645" t="str">
        <f t="shared" si="129"/>
        <v/>
      </c>
      <c r="AB645" s="64" t="str">
        <f t="shared" si="130"/>
        <v/>
      </c>
    </row>
    <row r="646" spans="1:28" x14ac:dyDescent="0.35">
      <c r="A646">
        <f>'Procurement Schedule'!R764</f>
        <v>0</v>
      </c>
      <c r="B646" s="63">
        <f>'Procurement Schedule'!M764</f>
        <v>0</v>
      </c>
      <c r="C646">
        <f t="shared" si="131"/>
        <v>1</v>
      </c>
      <c r="D646">
        <f t="shared" si="133"/>
        <v>1900</v>
      </c>
      <c r="E646" t="str">
        <f t="shared" si="134"/>
        <v>1_1900</v>
      </c>
      <c r="G646">
        <f t="shared" si="135"/>
        <v>0</v>
      </c>
      <c r="H646" s="63">
        <f>'Procurement Schedule'!N764</f>
        <v>0</v>
      </c>
      <c r="I646">
        <f t="shared" si="132"/>
        <v>1</v>
      </c>
      <c r="J646">
        <f t="shared" si="136"/>
        <v>1900</v>
      </c>
      <c r="K646" t="str">
        <f t="shared" si="137"/>
        <v>1_1900</v>
      </c>
      <c r="S646" t="str">
        <f t="shared" si="128"/>
        <v/>
      </c>
      <c r="T646" s="64" t="str">
        <f t="shared" si="138"/>
        <v/>
      </c>
      <c r="AA646" t="str">
        <f t="shared" si="129"/>
        <v/>
      </c>
      <c r="AB646" s="64" t="str">
        <f t="shared" si="130"/>
        <v/>
      </c>
    </row>
    <row r="647" spans="1:28" x14ac:dyDescent="0.35">
      <c r="A647">
        <f>'Procurement Schedule'!R765</f>
        <v>0</v>
      </c>
      <c r="B647" s="63">
        <f>'Procurement Schedule'!M765</f>
        <v>0</v>
      </c>
      <c r="C647">
        <f t="shared" si="131"/>
        <v>1</v>
      </c>
      <c r="D647">
        <f t="shared" si="133"/>
        <v>1900</v>
      </c>
      <c r="E647" t="str">
        <f t="shared" si="134"/>
        <v>1_1900</v>
      </c>
      <c r="G647">
        <f t="shared" si="135"/>
        <v>0</v>
      </c>
      <c r="H647" s="63">
        <f>'Procurement Schedule'!N765</f>
        <v>0</v>
      </c>
      <c r="I647">
        <f t="shared" si="132"/>
        <v>1</v>
      </c>
      <c r="J647">
        <f t="shared" si="136"/>
        <v>1900</v>
      </c>
      <c r="K647" t="str">
        <f t="shared" si="137"/>
        <v>1_1900</v>
      </c>
      <c r="S647" t="str">
        <f t="shared" si="128"/>
        <v/>
      </c>
      <c r="T647" s="64" t="str">
        <f t="shared" si="138"/>
        <v/>
      </c>
      <c r="AA647" t="str">
        <f t="shared" si="129"/>
        <v/>
      </c>
      <c r="AB647" s="64" t="str">
        <f t="shared" si="130"/>
        <v/>
      </c>
    </row>
    <row r="648" spans="1:28" x14ac:dyDescent="0.35">
      <c r="A648">
        <f>'Procurement Schedule'!R766</f>
        <v>0</v>
      </c>
      <c r="B648" s="63">
        <f>'Procurement Schedule'!M766</f>
        <v>0</v>
      </c>
      <c r="C648">
        <f t="shared" si="131"/>
        <v>1</v>
      </c>
      <c r="D648">
        <f t="shared" si="133"/>
        <v>1900</v>
      </c>
      <c r="E648" t="str">
        <f t="shared" si="134"/>
        <v>1_1900</v>
      </c>
      <c r="G648">
        <f t="shared" si="135"/>
        <v>0</v>
      </c>
      <c r="H648" s="63">
        <f>'Procurement Schedule'!N766</f>
        <v>0</v>
      </c>
      <c r="I648">
        <f t="shared" si="132"/>
        <v>1</v>
      </c>
      <c r="J648">
        <f t="shared" si="136"/>
        <v>1900</v>
      </c>
      <c r="K648" t="str">
        <f t="shared" si="137"/>
        <v>1_1900</v>
      </c>
      <c r="S648" t="str">
        <f t="shared" si="128"/>
        <v/>
      </c>
      <c r="T648" s="64" t="str">
        <f t="shared" si="138"/>
        <v/>
      </c>
      <c r="AA648" t="str">
        <f t="shared" si="129"/>
        <v/>
      </c>
      <c r="AB648" s="64" t="str">
        <f t="shared" si="130"/>
        <v/>
      </c>
    </row>
    <row r="649" spans="1:28" x14ac:dyDescent="0.35">
      <c r="A649">
        <f>'Procurement Schedule'!R767</f>
        <v>0</v>
      </c>
      <c r="B649" s="63">
        <f>'Procurement Schedule'!M767</f>
        <v>0</v>
      </c>
      <c r="C649">
        <f t="shared" si="131"/>
        <v>1</v>
      </c>
      <c r="D649">
        <f t="shared" si="133"/>
        <v>1900</v>
      </c>
      <c r="E649" t="str">
        <f t="shared" si="134"/>
        <v>1_1900</v>
      </c>
      <c r="G649">
        <f t="shared" si="135"/>
        <v>0</v>
      </c>
      <c r="H649" s="63">
        <f>'Procurement Schedule'!N767</f>
        <v>0</v>
      </c>
      <c r="I649">
        <f t="shared" si="132"/>
        <v>1</v>
      </c>
      <c r="J649">
        <f t="shared" si="136"/>
        <v>1900</v>
      </c>
      <c r="K649" t="str">
        <f t="shared" si="137"/>
        <v>1_1900</v>
      </c>
      <c r="S649" t="str">
        <f t="shared" ref="S649:S712" si="139">IF(R649="","",S648+R649)</f>
        <v/>
      </c>
      <c r="T649" s="64" t="str">
        <f t="shared" si="138"/>
        <v/>
      </c>
      <c r="AA649" t="str">
        <f t="shared" si="129"/>
        <v/>
      </c>
      <c r="AB649" s="64" t="str">
        <f t="shared" si="130"/>
        <v/>
      </c>
    </row>
    <row r="650" spans="1:28" x14ac:dyDescent="0.35">
      <c r="A650">
        <f>'Procurement Schedule'!R768</f>
        <v>0</v>
      </c>
      <c r="B650" s="63">
        <f>'Procurement Schedule'!M768</f>
        <v>0</v>
      </c>
      <c r="C650">
        <f t="shared" si="131"/>
        <v>1</v>
      </c>
      <c r="D650">
        <f t="shared" si="133"/>
        <v>1900</v>
      </c>
      <c r="E650" t="str">
        <f t="shared" si="134"/>
        <v>1_1900</v>
      </c>
      <c r="G650">
        <f t="shared" si="135"/>
        <v>0</v>
      </c>
      <c r="H650" s="63">
        <f>'Procurement Schedule'!N768</f>
        <v>0</v>
      </c>
      <c r="I650">
        <f t="shared" si="132"/>
        <v>1</v>
      </c>
      <c r="J650">
        <f t="shared" si="136"/>
        <v>1900</v>
      </c>
      <c r="K650" t="str">
        <f t="shared" si="137"/>
        <v>1_1900</v>
      </c>
      <c r="S650" t="str">
        <f t="shared" si="139"/>
        <v/>
      </c>
      <c r="T650" s="64" t="str">
        <f t="shared" si="138"/>
        <v/>
      </c>
      <c r="AA650" t="str">
        <f t="shared" ref="AA650:AA713" si="140">IF(Z650="","",AA649+Z650)</f>
        <v/>
      </c>
      <c r="AB650" s="64" t="str">
        <f t="shared" ref="AB650:AB713" si="141">IFERROR(VLOOKUP(Y650,AD:AE,2,0),"")</f>
        <v/>
      </c>
    </row>
    <row r="651" spans="1:28" x14ac:dyDescent="0.35">
      <c r="A651">
        <f>'Procurement Schedule'!R769</f>
        <v>0</v>
      </c>
      <c r="B651" s="63">
        <f>'Procurement Schedule'!M769</f>
        <v>0</v>
      </c>
      <c r="C651">
        <f t="shared" si="131"/>
        <v>1</v>
      </c>
      <c r="D651">
        <f t="shared" si="133"/>
        <v>1900</v>
      </c>
      <c r="E651" t="str">
        <f t="shared" si="134"/>
        <v>1_1900</v>
      </c>
      <c r="G651">
        <f t="shared" si="135"/>
        <v>0</v>
      </c>
      <c r="H651" s="63">
        <f>'Procurement Schedule'!N769</f>
        <v>0</v>
      </c>
      <c r="I651">
        <f t="shared" si="132"/>
        <v>1</v>
      </c>
      <c r="J651">
        <f t="shared" si="136"/>
        <v>1900</v>
      </c>
      <c r="K651" t="str">
        <f t="shared" si="137"/>
        <v>1_1900</v>
      </c>
      <c r="S651" t="str">
        <f t="shared" si="139"/>
        <v/>
      </c>
      <c r="T651" s="64" t="str">
        <f t="shared" si="138"/>
        <v/>
      </c>
      <c r="AA651" t="str">
        <f t="shared" si="140"/>
        <v/>
      </c>
      <c r="AB651" s="64" t="str">
        <f t="shared" si="141"/>
        <v/>
      </c>
    </row>
    <row r="652" spans="1:28" x14ac:dyDescent="0.35">
      <c r="A652">
        <f>'Procurement Schedule'!R770</f>
        <v>0</v>
      </c>
      <c r="B652" s="63">
        <f>'Procurement Schedule'!M770</f>
        <v>0</v>
      </c>
      <c r="C652">
        <f t="shared" si="131"/>
        <v>1</v>
      </c>
      <c r="D652">
        <f t="shared" si="133"/>
        <v>1900</v>
      </c>
      <c r="E652" t="str">
        <f t="shared" si="134"/>
        <v>1_1900</v>
      </c>
      <c r="G652">
        <f t="shared" si="135"/>
        <v>0</v>
      </c>
      <c r="H652" s="63">
        <f>'Procurement Schedule'!N770</f>
        <v>0</v>
      </c>
      <c r="I652">
        <f t="shared" si="132"/>
        <v>1</v>
      </c>
      <c r="J652">
        <f t="shared" si="136"/>
        <v>1900</v>
      </c>
      <c r="K652" t="str">
        <f t="shared" si="137"/>
        <v>1_1900</v>
      </c>
      <c r="S652" t="str">
        <f t="shared" si="139"/>
        <v/>
      </c>
      <c r="T652" s="64" t="str">
        <f t="shared" si="138"/>
        <v/>
      </c>
      <c r="AA652" t="str">
        <f t="shared" si="140"/>
        <v/>
      </c>
      <c r="AB652" s="64" t="str">
        <f t="shared" si="141"/>
        <v/>
      </c>
    </row>
    <row r="653" spans="1:28" x14ac:dyDescent="0.35">
      <c r="A653">
        <f>'Procurement Schedule'!R771</f>
        <v>0</v>
      </c>
      <c r="B653" s="63">
        <f>'Procurement Schedule'!M771</f>
        <v>0</v>
      </c>
      <c r="C653">
        <f t="shared" si="131"/>
        <v>1</v>
      </c>
      <c r="D653">
        <f t="shared" si="133"/>
        <v>1900</v>
      </c>
      <c r="E653" t="str">
        <f t="shared" si="134"/>
        <v>1_1900</v>
      </c>
      <c r="G653">
        <f t="shared" si="135"/>
        <v>0</v>
      </c>
      <c r="H653" s="63">
        <f>'Procurement Schedule'!N771</f>
        <v>0</v>
      </c>
      <c r="I653">
        <f t="shared" si="132"/>
        <v>1</v>
      </c>
      <c r="J653">
        <f t="shared" si="136"/>
        <v>1900</v>
      </c>
      <c r="K653" t="str">
        <f t="shared" si="137"/>
        <v>1_1900</v>
      </c>
      <c r="S653" t="str">
        <f t="shared" si="139"/>
        <v/>
      </c>
      <c r="T653" s="64" t="str">
        <f t="shared" si="138"/>
        <v/>
      </c>
      <c r="AA653" t="str">
        <f t="shared" si="140"/>
        <v/>
      </c>
      <c r="AB653" s="64" t="str">
        <f t="shared" si="141"/>
        <v/>
      </c>
    </row>
    <row r="654" spans="1:28" x14ac:dyDescent="0.35">
      <c r="A654">
        <f>'Procurement Schedule'!R772</f>
        <v>0</v>
      </c>
      <c r="B654" s="63">
        <f>'Procurement Schedule'!M772</f>
        <v>0</v>
      </c>
      <c r="C654">
        <f t="shared" si="131"/>
        <v>1</v>
      </c>
      <c r="D654">
        <f t="shared" si="133"/>
        <v>1900</v>
      </c>
      <c r="E654" t="str">
        <f t="shared" si="134"/>
        <v>1_1900</v>
      </c>
      <c r="G654">
        <f t="shared" si="135"/>
        <v>0</v>
      </c>
      <c r="H654" s="63">
        <f>'Procurement Schedule'!N772</f>
        <v>0</v>
      </c>
      <c r="I654">
        <f t="shared" si="132"/>
        <v>1</v>
      </c>
      <c r="J654">
        <f t="shared" si="136"/>
        <v>1900</v>
      </c>
      <c r="K654" t="str">
        <f t="shared" si="137"/>
        <v>1_1900</v>
      </c>
      <c r="S654" t="str">
        <f t="shared" si="139"/>
        <v/>
      </c>
      <c r="T654" s="64" t="str">
        <f t="shared" si="138"/>
        <v/>
      </c>
      <c r="AA654" t="str">
        <f t="shared" si="140"/>
        <v/>
      </c>
      <c r="AB654" s="64" t="str">
        <f t="shared" si="141"/>
        <v/>
      </c>
    </row>
    <row r="655" spans="1:28" x14ac:dyDescent="0.35">
      <c r="A655">
        <f>'Procurement Schedule'!R773</f>
        <v>0</v>
      </c>
      <c r="B655" s="63">
        <f>'Procurement Schedule'!M773</f>
        <v>0</v>
      </c>
      <c r="C655">
        <f t="shared" si="131"/>
        <v>1</v>
      </c>
      <c r="D655">
        <f t="shared" si="133"/>
        <v>1900</v>
      </c>
      <c r="E655" t="str">
        <f t="shared" si="134"/>
        <v>1_1900</v>
      </c>
      <c r="G655">
        <f t="shared" si="135"/>
        <v>0</v>
      </c>
      <c r="H655" s="63">
        <f>'Procurement Schedule'!N773</f>
        <v>0</v>
      </c>
      <c r="I655">
        <f t="shared" si="132"/>
        <v>1</v>
      </c>
      <c r="J655">
        <f t="shared" si="136"/>
        <v>1900</v>
      </c>
      <c r="K655" t="str">
        <f t="shared" si="137"/>
        <v>1_1900</v>
      </c>
      <c r="S655" t="str">
        <f t="shared" si="139"/>
        <v/>
      </c>
      <c r="T655" s="64" t="str">
        <f t="shared" si="138"/>
        <v/>
      </c>
      <c r="AA655" t="str">
        <f t="shared" si="140"/>
        <v/>
      </c>
      <c r="AB655" s="64" t="str">
        <f t="shared" si="141"/>
        <v/>
      </c>
    </row>
    <row r="656" spans="1:28" x14ac:dyDescent="0.35">
      <c r="A656">
        <f>'Procurement Schedule'!R774</f>
        <v>0</v>
      </c>
      <c r="B656" s="63">
        <f>'Procurement Schedule'!M774</f>
        <v>0</v>
      </c>
      <c r="C656">
        <f t="shared" si="131"/>
        <v>1</v>
      </c>
      <c r="D656">
        <f t="shared" si="133"/>
        <v>1900</v>
      </c>
      <c r="E656" t="str">
        <f t="shared" si="134"/>
        <v>1_1900</v>
      </c>
      <c r="G656">
        <f t="shared" si="135"/>
        <v>0</v>
      </c>
      <c r="H656" s="63">
        <f>'Procurement Schedule'!N774</f>
        <v>0</v>
      </c>
      <c r="I656">
        <f t="shared" si="132"/>
        <v>1</v>
      </c>
      <c r="J656">
        <f t="shared" si="136"/>
        <v>1900</v>
      </c>
      <c r="K656" t="str">
        <f t="shared" si="137"/>
        <v>1_1900</v>
      </c>
      <c r="S656" t="str">
        <f t="shared" si="139"/>
        <v/>
      </c>
      <c r="T656" s="64" t="str">
        <f t="shared" si="138"/>
        <v/>
      </c>
      <c r="AA656" t="str">
        <f t="shared" si="140"/>
        <v/>
      </c>
      <c r="AB656" s="64" t="str">
        <f t="shared" si="141"/>
        <v/>
      </c>
    </row>
    <row r="657" spans="1:28" x14ac:dyDescent="0.35">
      <c r="A657">
        <f>'Procurement Schedule'!R775</f>
        <v>0</v>
      </c>
      <c r="B657" s="63">
        <f>'Procurement Schedule'!M775</f>
        <v>0</v>
      </c>
      <c r="C657">
        <f t="shared" si="131"/>
        <v>1</v>
      </c>
      <c r="D657">
        <f t="shared" si="133"/>
        <v>1900</v>
      </c>
      <c r="E657" t="str">
        <f t="shared" si="134"/>
        <v>1_1900</v>
      </c>
      <c r="G657">
        <f t="shared" si="135"/>
        <v>0</v>
      </c>
      <c r="H657" s="63">
        <f>'Procurement Schedule'!N775</f>
        <v>0</v>
      </c>
      <c r="I657">
        <f t="shared" si="132"/>
        <v>1</v>
      </c>
      <c r="J657">
        <f t="shared" si="136"/>
        <v>1900</v>
      </c>
      <c r="K657" t="str">
        <f t="shared" si="137"/>
        <v>1_1900</v>
      </c>
      <c r="S657" t="str">
        <f t="shared" si="139"/>
        <v/>
      </c>
      <c r="T657" s="64" t="str">
        <f t="shared" si="138"/>
        <v/>
      </c>
      <c r="AA657" t="str">
        <f t="shared" si="140"/>
        <v/>
      </c>
      <c r="AB657" s="64" t="str">
        <f t="shared" si="141"/>
        <v/>
      </c>
    </row>
    <row r="658" spans="1:28" x14ac:dyDescent="0.35">
      <c r="A658">
        <f>'Procurement Schedule'!R776</f>
        <v>0</v>
      </c>
      <c r="B658" s="63">
        <f>'Procurement Schedule'!M776</f>
        <v>0</v>
      </c>
      <c r="C658">
        <f t="shared" si="131"/>
        <v>1</v>
      </c>
      <c r="D658">
        <f t="shared" si="133"/>
        <v>1900</v>
      </c>
      <c r="E658" t="str">
        <f t="shared" si="134"/>
        <v>1_1900</v>
      </c>
      <c r="G658">
        <f t="shared" si="135"/>
        <v>0</v>
      </c>
      <c r="H658" s="63">
        <f>'Procurement Schedule'!N776</f>
        <v>0</v>
      </c>
      <c r="I658">
        <f t="shared" si="132"/>
        <v>1</v>
      </c>
      <c r="J658">
        <f t="shared" si="136"/>
        <v>1900</v>
      </c>
      <c r="K658" t="str">
        <f t="shared" si="137"/>
        <v>1_1900</v>
      </c>
      <c r="S658" t="str">
        <f t="shared" si="139"/>
        <v/>
      </c>
      <c r="T658" s="64" t="str">
        <f t="shared" si="138"/>
        <v/>
      </c>
      <c r="AA658" t="str">
        <f t="shared" si="140"/>
        <v/>
      </c>
      <c r="AB658" s="64" t="str">
        <f t="shared" si="141"/>
        <v/>
      </c>
    </row>
    <row r="659" spans="1:28" x14ac:dyDescent="0.35">
      <c r="A659">
        <f>'Procurement Schedule'!R777</f>
        <v>0</v>
      </c>
      <c r="B659" s="63">
        <f>'Procurement Schedule'!M777</f>
        <v>0</v>
      </c>
      <c r="C659">
        <f t="shared" ref="C659:C722" si="142">MONTH(B659)</f>
        <v>1</v>
      </c>
      <c r="D659">
        <f t="shared" si="133"/>
        <v>1900</v>
      </c>
      <c r="E659" t="str">
        <f t="shared" si="134"/>
        <v>1_1900</v>
      </c>
      <c r="G659">
        <f t="shared" si="135"/>
        <v>0</v>
      </c>
      <c r="H659" s="63">
        <f>'Procurement Schedule'!N777</f>
        <v>0</v>
      </c>
      <c r="I659">
        <f t="shared" si="132"/>
        <v>1</v>
      </c>
      <c r="J659">
        <f t="shared" si="136"/>
        <v>1900</v>
      </c>
      <c r="K659" t="str">
        <f t="shared" si="137"/>
        <v>1_1900</v>
      </c>
      <c r="S659" t="str">
        <f t="shared" si="139"/>
        <v/>
      </c>
      <c r="T659" s="64" t="str">
        <f t="shared" si="138"/>
        <v/>
      </c>
      <c r="AA659" t="str">
        <f t="shared" si="140"/>
        <v/>
      </c>
      <c r="AB659" s="64" t="str">
        <f t="shared" si="141"/>
        <v/>
      </c>
    </row>
    <row r="660" spans="1:28" x14ac:dyDescent="0.35">
      <c r="A660">
        <f>'Procurement Schedule'!R778</f>
        <v>0</v>
      </c>
      <c r="B660" s="63">
        <f>'Procurement Schedule'!M778</f>
        <v>0</v>
      </c>
      <c r="C660">
        <f t="shared" si="142"/>
        <v>1</v>
      </c>
      <c r="D660">
        <f t="shared" si="133"/>
        <v>1900</v>
      </c>
      <c r="E660" t="str">
        <f t="shared" si="134"/>
        <v>1_1900</v>
      </c>
      <c r="G660">
        <f t="shared" si="135"/>
        <v>0</v>
      </c>
      <c r="H660" s="63">
        <f>'Procurement Schedule'!N778</f>
        <v>0</v>
      </c>
      <c r="I660">
        <f t="shared" ref="I660:I723" si="143">MONTH(H660)</f>
        <v>1</v>
      </c>
      <c r="J660">
        <f t="shared" si="136"/>
        <v>1900</v>
      </c>
      <c r="K660" t="str">
        <f t="shared" si="137"/>
        <v>1_1900</v>
      </c>
      <c r="S660" t="str">
        <f t="shared" si="139"/>
        <v/>
      </c>
      <c r="T660" s="64" t="str">
        <f t="shared" si="138"/>
        <v/>
      </c>
      <c r="AA660" t="str">
        <f t="shared" si="140"/>
        <v/>
      </c>
      <c r="AB660" s="64" t="str">
        <f t="shared" si="141"/>
        <v/>
      </c>
    </row>
    <row r="661" spans="1:28" x14ac:dyDescent="0.35">
      <c r="A661">
        <f>'Procurement Schedule'!R779</f>
        <v>0</v>
      </c>
      <c r="B661" s="63">
        <f>'Procurement Schedule'!M779</f>
        <v>0</v>
      </c>
      <c r="C661">
        <f t="shared" si="142"/>
        <v>1</v>
      </c>
      <c r="D661">
        <f t="shared" si="133"/>
        <v>1900</v>
      </c>
      <c r="E661" t="str">
        <f t="shared" si="134"/>
        <v>1_1900</v>
      </c>
      <c r="G661">
        <f t="shared" si="135"/>
        <v>0</v>
      </c>
      <c r="H661" s="63">
        <f>'Procurement Schedule'!N779</f>
        <v>0</v>
      </c>
      <c r="I661">
        <f t="shared" si="143"/>
        <v>1</v>
      </c>
      <c r="J661">
        <f t="shared" si="136"/>
        <v>1900</v>
      </c>
      <c r="K661" t="str">
        <f t="shared" si="137"/>
        <v>1_1900</v>
      </c>
      <c r="S661" t="str">
        <f t="shared" si="139"/>
        <v/>
      </c>
      <c r="T661" s="64" t="str">
        <f t="shared" si="138"/>
        <v/>
      </c>
      <c r="AA661" t="str">
        <f t="shared" si="140"/>
        <v/>
      </c>
      <c r="AB661" s="64" t="str">
        <f t="shared" si="141"/>
        <v/>
      </c>
    </row>
    <row r="662" spans="1:28" x14ac:dyDescent="0.35">
      <c r="A662">
        <f>'Procurement Schedule'!R780</f>
        <v>0</v>
      </c>
      <c r="B662" s="63">
        <f>'Procurement Schedule'!M780</f>
        <v>0</v>
      </c>
      <c r="C662">
        <f t="shared" si="142"/>
        <v>1</v>
      </c>
      <c r="D662">
        <f t="shared" si="133"/>
        <v>1900</v>
      </c>
      <c r="E662" t="str">
        <f t="shared" si="134"/>
        <v>1_1900</v>
      </c>
      <c r="G662">
        <f t="shared" si="135"/>
        <v>0</v>
      </c>
      <c r="H662" s="63">
        <f>'Procurement Schedule'!N780</f>
        <v>0</v>
      </c>
      <c r="I662">
        <f t="shared" si="143"/>
        <v>1</v>
      </c>
      <c r="J662">
        <f t="shared" si="136"/>
        <v>1900</v>
      </c>
      <c r="K662" t="str">
        <f t="shared" si="137"/>
        <v>1_1900</v>
      </c>
      <c r="S662" t="str">
        <f t="shared" si="139"/>
        <v/>
      </c>
      <c r="T662" s="64" t="str">
        <f t="shared" si="138"/>
        <v/>
      </c>
      <c r="AA662" t="str">
        <f t="shared" si="140"/>
        <v/>
      </c>
      <c r="AB662" s="64" t="str">
        <f t="shared" si="141"/>
        <v/>
      </c>
    </row>
    <row r="663" spans="1:28" x14ac:dyDescent="0.35">
      <c r="A663">
        <f>'Procurement Schedule'!R781</f>
        <v>0</v>
      </c>
      <c r="B663" s="63">
        <f>'Procurement Schedule'!M781</f>
        <v>0</v>
      </c>
      <c r="C663">
        <f t="shared" si="142"/>
        <v>1</v>
      </c>
      <c r="D663">
        <f t="shared" si="133"/>
        <v>1900</v>
      </c>
      <c r="E663" t="str">
        <f t="shared" si="134"/>
        <v>1_1900</v>
      </c>
      <c r="G663">
        <f t="shared" si="135"/>
        <v>0</v>
      </c>
      <c r="H663" s="63">
        <f>'Procurement Schedule'!N781</f>
        <v>0</v>
      </c>
      <c r="I663">
        <f t="shared" si="143"/>
        <v>1</v>
      </c>
      <c r="J663">
        <f t="shared" si="136"/>
        <v>1900</v>
      </c>
      <c r="K663" t="str">
        <f t="shared" si="137"/>
        <v>1_1900</v>
      </c>
      <c r="S663" t="str">
        <f t="shared" si="139"/>
        <v/>
      </c>
      <c r="T663" s="64" t="str">
        <f t="shared" si="138"/>
        <v/>
      </c>
      <c r="AA663" t="str">
        <f t="shared" si="140"/>
        <v/>
      </c>
      <c r="AB663" s="64" t="str">
        <f t="shared" si="141"/>
        <v/>
      </c>
    </row>
    <row r="664" spans="1:28" x14ac:dyDescent="0.35">
      <c r="A664">
        <f>'Procurement Schedule'!R782</f>
        <v>0</v>
      </c>
      <c r="B664" s="63">
        <f>'Procurement Schedule'!M782</f>
        <v>0</v>
      </c>
      <c r="C664">
        <f t="shared" si="142"/>
        <v>1</v>
      </c>
      <c r="D664">
        <f t="shared" si="133"/>
        <v>1900</v>
      </c>
      <c r="E664" t="str">
        <f t="shared" si="134"/>
        <v>1_1900</v>
      </c>
      <c r="G664">
        <f t="shared" si="135"/>
        <v>0</v>
      </c>
      <c r="H664" s="63">
        <f>'Procurement Schedule'!N782</f>
        <v>0</v>
      </c>
      <c r="I664">
        <f t="shared" si="143"/>
        <v>1</v>
      </c>
      <c r="J664">
        <f t="shared" si="136"/>
        <v>1900</v>
      </c>
      <c r="K664" t="str">
        <f t="shared" si="137"/>
        <v>1_1900</v>
      </c>
      <c r="S664" t="str">
        <f t="shared" si="139"/>
        <v/>
      </c>
      <c r="T664" s="64" t="str">
        <f t="shared" si="138"/>
        <v/>
      </c>
      <c r="AA664" t="str">
        <f t="shared" si="140"/>
        <v/>
      </c>
      <c r="AB664" s="64" t="str">
        <f t="shared" si="141"/>
        <v/>
      </c>
    </row>
    <row r="665" spans="1:28" x14ac:dyDescent="0.35">
      <c r="A665">
        <f>'Procurement Schedule'!R783</f>
        <v>0</v>
      </c>
      <c r="B665" s="63">
        <f>'Procurement Schedule'!M783</f>
        <v>0</v>
      </c>
      <c r="C665">
        <f t="shared" si="142"/>
        <v>1</v>
      </c>
      <c r="D665">
        <f t="shared" si="133"/>
        <v>1900</v>
      </c>
      <c r="E665" t="str">
        <f t="shared" si="134"/>
        <v>1_1900</v>
      </c>
      <c r="G665">
        <f t="shared" si="135"/>
        <v>0</v>
      </c>
      <c r="H665" s="63">
        <f>'Procurement Schedule'!N783</f>
        <v>0</v>
      </c>
      <c r="I665">
        <f t="shared" si="143"/>
        <v>1</v>
      </c>
      <c r="J665">
        <f t="shared" si="136"/>
        <v>1900</v>
      </c>
      <c r="K665" t="str">
        <f t="shared" si="137"/>
        <v>1_1900</v>
      </c>
      <c r="S665" t="str">
        <f t="shared" si="139"/>
        <v/>
      </c>
      <c r="T665" s="64" t="str">
        <f t="shared" si="138"/>
        <v/>
      </c>
      <c r="AA665" t="str">
        <f t="shared" si="140"/>
        <v/>
      </c>
      <c r="AB665" s="64" t="str">
        <f t="shared" si="141"/>
        <v/>
      </c>
    </row>
    <row r="666" spans="1:28" x14ac:dyDescent="0.35">
      <c r="A666">
        <f>'Procurement Schedule'!R784</f>
        <v>0</v>
      </c>
      <c r="B666" s="63">
        <f>'Procurement Schedule'!M784</f>
        <v>0</v>
      </c>
      <c r="C666">
        <f t="shared" si="142"/>
        <v>1</v>
      </c>
      <c r="D666">
        <f t="shared" si="133"/>
        <v>1900</v>
      </c>
      <c r="E666" t="str">
        <f t="shared" si="134"/>
        <v>1_1900</v>
      </c>
      <c r="G666">
        <f t="shared" si="135"/>
        <v>0</v>
      </c>
      <c r="H666" s="63">
        <f>'Procurement Schedule'!N784</f>
        <v>0</v>
      </c>
      <c r="I666">
        <f t="shared" si="143"/>
        <v>1</v>
      </c>
      <c r="J666">
        <f t="shared" si="136"/>
        <v>1900</v>
      </c>
      <c r="K666" t="str">
        <f t="shared" si="137"/>
        <v>1_1900</v>
      </c>
      <c r="S666" t="str">
        <f t="shared" si="139"/>
        <v/>
      </c>
      <c r="T666" s="64" t="str">
        <f t="shared" si="138"/>
        <v/>
      </c>
      <c r="AA666" t="str">
        <f t="shared" si="140"/>
        <v/>
      </c>
      <c r="AB666" s="64" t="str">
        <f t="shared" si="141"/>
        <v/>
      </c>
    </row>
    <row r="667" spans="1:28" x14ac:dyDescent="0.35">
      <c r="A667">
        <f>'Procurement Schedule'!R785</f>
        <v>0</v>
      </c>
      <c r="B667" s="63">
        <f>'Procurement Schedule'!M785</f>
        <v>0</v>
      </c>
      <c r="C667">
        <f t="shared" si="142"/>
        <v>1</v>
      </c>
      <c r="D667">
        <f t="shared" si="133"/>
        <v>1900</v>
      </c>
      <c r="E667" t="str">
        <f t="shared" si="134"/>
        <v>1_1900</v>
      </c>
      <c r="G667">
        <f t="shared" si="135"/>
        <v>0</v>
      </c>
      <c r="H667" s="63">
        <f>'Procurement Schedule'!N785</f>
        <v>0</v>
      </c>
      <c r="I667">
        <f t="shared" si="143"/>
        <v>1</v>
      </c>
      <c r="J667">
        <f t="shared" si="136"/>
        <v>1900</v>
      </c>
      <c r="K667" t="str">
        <f t="shared" si="137"/>
        <v>1_1900</v>
      </c>
      <c r="S667" t="str">
        <f t="shared" si="139"/>
        <v/>
      </c>
      <c r="T667" s="64" t="str">
        <f t="shared" si="138"/>
        <v/>
      </c>
      <c r="AA667" t="str">
        <f t="shared" si="140"/>
        <v/>
      </c>
      <c r="AB667" s="64" t="str">
        <f t="shared" si="141"/>
        <v/>
      </c>
    </row>
    <row r="668" spans="1:28" x14ac:dyDescent="0.35">
      <c r="A668">
        <f>'Procurement Schedule'!R786</f>
        <v>0</v>
      </c>
      <c r="B668" s="63">
        <f>'Procurement Schedule'!M786</f>
        <v>0</v>
      </c>
      <c r="C668">
        <f t="shared" si="142"/>
        <v>1</v>
      </c>
      <c r="D668">
        <f t="shared" si="133"/>
        <v>1900</v>
      </c>
      <c r="E668" t="str">
        <f t="shared" si="134"/>
        <v>1_1900</v>
      </c>
      <c r="G668">
        <f t="shared" si="135"/>
        <v>0</v>
      </c>
      <c r="H668" s="63">
        <f>'Procurement Schedule'!N786</f>
        <v>0</v>
      </c>
      <c r="I668">
        <f t="shared" si="143"/>
        <v>1</v>
      </c>
      <c r="J668">
        <f t="shared" si="136"/>
        <v>1900</v>
      </c>
      <c r="K668" t="str">
        <f t="shared" si="137"/>
        <v>1_1900</v>
      </c>
      <c r="S668" t="str">
        <f t="shared" si="139"/>
        <v/>
      </c>
      <c r="T668" s="64" t="str">
        <f t="shared" si="138"/>
        <v/>
      </c>
      <c r="AA668" t="str">
        <f t="shared" si="140"/>
        <v/>
      </c>
      <c r="AB668" s="64" t="str">
        <f t="shared" si="141"/>
        <v/>
      </c>
    </row>
    <row r="669" spans="1:28" x14ac:dyDescent="0.35">
      <c r="A669">
        <f>'Procurement Schedule'!R787</f>
        <v>0</v>
      </c>
      <c r="B669" s="63">
        <f>'Procurement Schedule'!M787</f>
        <v>0</v>
      </c>
      <c r="C669">
        <f t="shared" si="142"/>
        <v>1</v>
      </c>
      <c r="D669">
        <f t="shared" si="133"/>
        <v>1900</v>
      </c>
      <c r="E669" t="str">
        <f t="shared" si="134"/>
        <v>1_1900</v>
      </c>
      <c r="G669">
        <f t="shared" si="135"/>
        <v>0</v>
      </c>
      <c r="H669" s="63">
        <f>'Procurement Schedule'!N787</f>
        <v>0</v>
      </c>
      <c r="I669">
        <f t="shared" si="143"/>
        <v>1</v>
      </c>
      <c r="J669">
        <f t="shared" si="136"/>
        <v>1900</v>
      </c>
      <c r="K669" t="str">
        <f t="shared" si="137"/>
        <v>1_1900</v>
      </c>
      <c r="S669" t="str">
        <f t="shared" si="139"/>
        <v/>
      </c>
      <c r="T669" s="64" t="str">
        <f t="shared" si="138"/>
        <v/>
      </c>
      <c r="AA669" t="str">
        <f t="shared" si="140"/>
        <v/>
      </c>
      <c r="AB669" s="64" t="str">
        <f t="shared" si="141"/>
        <v/>
      </c>
    </row>
    <row r="670" spans="1:28" x14ac:dyDescent="0.35">
      <c r="A670">
        <f>'Procurement Schedule'!R788</f>
        <v>0</v>
      </c>
      <c r="B670" s="63">
        <f>'Procurement Schedule'!M788</f>
        <v>0</v>
      </c>
      <c r="C670">
        <f t="shared" si="142"/>
        <v>1</v>
      </c>
      <c r="D670">
        <f t="shared" si="133"/>
        <v>1900</v>
      </c>
      <c r="E670" t="str">
        <f t="shared" si="134"/>
        <v>1_1900</v>
      </c>
      <c r="G670">
        <f t="shared" si="135"/>
        <v>0</v>
      </c>
      <c r="H670" s="63">
        <f>'Procurement Schedule'!N788</f>
        <v>0</v>
      </c>
      <c r="I670">
        <f t="shared" si="143"/>
        <v>1</v>
      </c>
      <c r="J670">
        <f t="shared" si="136"/>
        <v>1900</v>
      </c>
      <c r="K670" t="str">
        <f t="shared" si="137"/>
        <v>1_1900</v>
      </c>
      <c r="S670" t="str">
        <f t="shared" si="139"/>
        <v/>
      </c>
      <c r="T670" s="64" t="str">
        <f t="shared" si="138"/>
        <v/>
      </c>
      <c r="AA670" t="str">
        <f t="shared" si="140"/>
        <v/>
      </c>
      <c r="AB670" s="64" t="str">
        <f t="shared" si="141"/>
        <v/>
      </c>
    </row>
    <row r="671" spans="1:28" x14ac:dyDescent="0.35">
      <c r="A671">
        <f>'Procurement Schedule'!R789</f>
        <v>0</v>
      </c>
      <c r="B671" s="63">
        <f>'Procurement Schedule'!M789</f>
        <v>0</v>
      </c>
      <c r="C671">
        <f t="shared" si="142"/>
        <v>1</v>
      </c>
      <c r="D671">
        <f t="shared" si="133"/>
        <v>1900</v>
      </c>
      <c r="E671" t="str">
        <f t="shared" si="134"/>
        <v>1_1900</v>
      </c>
      <c r="G671">
        <f t="shared" si="135"/>
        <v>0</v>
      </c>
      <c r="H671" s="63">
        <f>'Procurement Schedule'!N789</f>
        <v>0</v>
      </c>
      <c r="I671">
        <f t="shared" si="143"/>
        <v>1</v>
      </c>
      <c r="J671">
        <f t="shared" si="136"/>
        <v>1900</v>
      </c>
      <c r="K671" t="str">
        <f t="shared" si="137"/>
        <v>1_1900</v>
      </c>
      <c r="S671" t="str">
        <f t="shared" si="139"/>
        <v/>
      </c>
      <c r="T671" s="64" t="str">
        <f t="shared" si="138"/>
        <v/>
      </c>
      <c r="AA671" t="str">
        <f t="shared" si="140"/>
        <v/>
      </c>
      <c r="AB671" s="64" t="str">
        <f t="shared" si="141"/>
        <v/>
      </c>
    </row>
    <row r="672" spans="1:28" x14ac:dyDescent="0.35">
      <c r="A672">
        <f>'Procurement Schedule'!R790</f>
        <v>0</v>
      </c>
      <c r="B672" s="63">
        <f>'Procurement Schedule'!M790</f>
        <v>0</v>
      </c>
      <c r="C672">
        <f t="shared" si="142"/>
        <v>1</v>
      </c>
      <c r="D672">
        <f t="shared" si="133"/>
        <v>1900</v>
      </c>
      <c r="E672" t="str">
        <f t="shared" si="134"/>
        <v>1_1900</v>
      </c>
      <c r="G672">
        <f t="shared" si="135"/>
        <v>0</v>
      </c>
      <c r="H672" s="63">
        <f>'Procurement Schedule'!N790</f>
        <v>0</v>
      </c>
      <c r="I672">
        <f t="shared" si="143"/>
        <v>1</v>
      </c>
      <c r="J672">
        <f t="shared" si="136"/>
        <v>1900</v>
      </c>
      <c r="K672" t="str">
        <f t="shared" si="137"/>
        <v>1_1900</v>
      </c>
      <c r="S672" t="str">
        <f t="shared" si="139"/>
        <v/>
      </c>
      <c r="T672" s="64" t="str">
        <f t="shared" si="138"/>
        <v/>
      </c>
      <c r="AA672" t="str">
        <f t="shared" si="140"/>
        <v/>
      </c>
      <c r="AB672" s="64" t="str">
        <f t="shared" si="141"/>
        <v/>
      </c>
    </row>
    <row r="673" spans="1:28" x14ac:dyDescent="0.35">
      <c r="A673">
        <f>'Procurement Schedule'!R791</f>
        <v>0</v>
      </c>
      <c r="B673" s="63">
        <f>'Procurement Schedule'!M791</f>
        <v>0</v>
      </c>
      <c r="C673">
        <f t="shared" si="142"/>
        <v>1</v>
      </c>
      <c r="D673">
        <f t="shared" si="133"/>
        <v>1900</v>
      </c>
      <c r="E673" t="str">
        <f t="shared" si="134"/>
        <v>1_1900</v>
      </c>
      <c r="G673">
        <f t="shared" si="135"/>
        <v>0</v>
      </c>
      <c r="H673" s="63">
        <f>'Procurement Schedule'!N791</f>
        <v>0</v>
      </c>
      <c r="I673">
        <f t="shared" si="143"/>
        <v>1</v>
      </c>
      <c r="J673">
        <f t="shared" si="136"/>
        <v>1900</v>
      </c>
      <c r="K673" t="str">
        <f t="shared" si="137"/>
        <v>1_1900</v>
      </c>
      <c r="S673" t="str">
        <f t="shared" si="139"/>
        <v/>
      </c>
      <c r="T673" s="64" t="str">
        <f t="shared" si="138"/>
        <v/>
      </c>
      <c r="AA673" t="str">
        <f t="shared" si="140"/>
        <v/>
      </c>
      <c r="AB673" s="64" t="str">
        <f t="shared" si="141"/>
        <v/>
      </c>
    </row>
    <row r="674" spans="1:28" x14ac:dyDescent="0.35">
      <c r="A674">
        <f>'Procurement Schedule'!R792</f>
        <v>0</v>
      </c>
      <c r="B674" s="63">
        <f>'Procurement Schedule'!M792</f>
        <v>0</v>
      </c>
      <c r="C674">
        <f t="shared" si="142"/>
        <v>1</v>
      </c>
      <c r="D674">
        <f t="shared" si="133"/>
        <v>1900</v>
      </c>
      <c r="E674" t="str">
        <f t="shared" si="134"/>
        <v>1_1900</v>
      </c>
      <c r="G674">
        <f t="shared" si="135"/>
        <v>0</v>
      </c>
      <c r="H674" s="63">
        <f>'Procurement Schedule'!N792</f>
        <v>0</v>
      </c>
      <c r="I674">
        <f t="shared" si="143"/>
        <v>1</v>
      </c>
      <c r="J674">
        <f t="shared" si="136"/>
        <v>1900</v>
      </c>
      <c r="K674" t="str">
        <f t="shared" si="137"/>
        <v>1_1900</v>
      </c>
      <c r="S674" t="str">
        <f t="shared" si="139"/>
        <v/>
      </c>
      <c r="T674" s="64" t="str">
        <f t="shared" si="138"/>
        <v/>
      </c>
      <c r="AA674" t="str">
        <f t="shared" si="140"/>
        <v/>
      </c>
      <c r="AB674" s="64" t="str">
        <f t="shared" si="141"/>
        <v/>
      </c>
    </row>
    <row r="675" spans="1:28" x14ac:dyDescent="0.35">
      <c r="A675">
        <f>'Procurement Schedule'!R793</f>
        <v>0</v>
      </c>
      <c r="B675" s="63">
        <f>'Procurement Schedule'!M793</f>
        <v>0</v>
      </c>
      <c r="C675">
        <f t="shared" si="142"/>
        <v>1</v>
      </c>
      <c r="D675">
        <f t="shared" si="133"/>
        <v>1900</v>
      </c>
      <c r="E675" t="str">
        <f t="shared" si="134"/>
        <v>1_1900</v>
      </c>
      <c r="G675">
        <f t="shared" si="135"/>
        <v>0</v>
      </c>
      <c r="H675" s="63">
        <f>'Procurement Schedule'!N793</f>
        <v>0</v>
      </c>
      <c r="I675">
        <f t="shared" si="143"/>
        <v>1</v>
      </c>
      <c r="J675">
        <f t="shared" si="136"/>
        <v>1900</v>
      </c>
      <c r="K675" t="str">
        <f t="shared" si="137"/>
        <v>1_1900</v>
      </c>
      <c r="S675" t="str">
        <f t="shared" si="139"/>
        <v/>
      </c>
      <c r="T675" s="64" t="str">
        <f t="shared" si="138"/>
        <v/>
      </c>
      <c r="AA675" t="str">
        <f t="shared" si="140"/>
        <v/>
      </c>
      <c r="AB675" s="64" t="str">
        <f t="shared" si="141"/>
        <v/>
      </c>
    </row>
    <row r="676" spans="1:28" x14ac:dyDescent="0.35">
      <c r="A676">
        <f>'Procurement Schedule'!R794</f>
        <v>0</v>
      </c>
      <c r="B676" s="63">
        <f>'Procurement Schedule'!M794</f>
        <v>0</v>
      </c>
      <c r="C676">
        <f t="shared" si="142"/>
        <v>1</v>
      </c>
      <c r="D676">
        <f t="shared" si="133"/>
        <v>1900</v>
      </c>
      <c r="E676" t="str">
        <f t="shared" si="134"/>
        <v>1_1900</v>
      </c>
      <c r="G676">
        <f t="shared" si="135"/>
        <v>0</v>
      </c>
      <c r="H676" s="63">
        <f>'Procurement Schedule'!N794</f>
        <v>0</v>
      </c>
      <c r="I676">
        <f t="shared" si="143"/>
        <v>1</v>
      </c>
      <c r="J676">
        <f t="shared" si="136"/>
        <v>1900</v>
      </c>
      <c r="K676" t="str">
        <f t="shared" si="137"/>
        <v>1_1900</v>
      </c>
      <c r="S676" t="str">
        <f t="shared" si="139"/>
        <v/>
      </c>
      <c r="T676" s="64" t="str">
        <f t="shared" si="138"/>
        <v/>
      </c>
      <c r="AA676" t="str">
        <f t="shared" si="140"/>
        <v/>
      </c>
      <c r="AB676" s="64" t="str">
        <f t="shared" si="141"/>
        <v/>
      </c>
    </row>
    <row r="677" spans="1:28" x14ac:dyDescent="0.35">
      <c r="A677">
        <f>'Procurement Schedule'!R795</f>
        <v>0</v>
      </c>
      <c r="B677" s="63">
        <f>'Procurement Schedule'!M795</f>
        <v>0</v>
      </c>
      <c r="C677">
        <f t="shared" si="142"/>
        <v>1</v>
      </c>
      <c r="D677">
        <f t="shared" si="133"/>
        <v>1900</v>
      </c>
      <c r="E677" t="str">
        <f t="shared" si="134"/>
        <v>1_1900</v>
      </c>
      <c r="G677">
        <f t="shared" si="135"/>
        <v>0</v>
      </c>
      <c r="H677" s="63">
        <f>'Procurement Schedule'!N795</f>
        <v>0</v>
      </c>
      <c r="I677">
        <f t="shared" si="143"/>
        <v>1</v>
      </c>
      <c r="J677">
        <f t="shared" si="136"/>
        <v>1900</v>
      </c>
      <c r="K677" t="str">
        <f t="shared" si="137"/>
        <v>1_1900</v>
      </c>
      <c r="S677" t="str">
        <f t="shared" si="139"/>
        <v/>
      </c>
      <c r="T677" s="64" t="str">
        <f t="shared" si="138"/>
        <v/>
      </c>
      <c r="AA677" t="str">
        <f t="shared" si="140"/>
        <v/>
      </c>
      <c r="AB677" s="64" t="str">
        <f t="shared" si="141"/>
        <v/>
      </c>
    </row>
    <row r="678" spans="1:28" x14ac:dyDescent="0.35">
      <c r="A678">
        <f>'Procurement Schedule'!R796</f>
        <v>0</v>
      </c>
      <c r="B678" s="63">
        <f>'Procurement Schedule'!M796</f>
        <v>0</v>
      </c>
      <c r="C678">
        <f t="shared" si="142"/>
        <v>1</v>
      </c>
      <c r="D678">
        <f t="shared" si="133"/>
        <v>1900</v>
      </c>
      <c r="E678" t="str">
        <f t="shared" si="134"/>
        <v>1_1900</v>
      </c>
      <c r="G678">
        <f t="shared" si="135"/>
        <v>0</v>
      </c>
      <c r="H678" s="63">
        <f>'Procurement Schedule'!N796</f>
        <v>0</v>
      </c>
      <c r="I678">
        <f t="shared" si="143"/>
        <v>1</v>
      </c>
      <c r="J678">
        <f t="shared" si="136"/>
        <v>1900</v>
      </c>
      <c r="K678" t="str">
        <f t="shared" si="137"/>
        <v>1_1900</v>
      </c>
      <c r="S678" t="str">
        <f t="shared" si="139"/>
        <v/>
      </c>
      <c r="T678" s="64" t="str">
        <f t="shared" si="138"/>
        <v/>
      </c>
      <c r="AA678" t="str">
        <f t="shared" si="140"/>
        <v/>
      </c>
      <c r="AB678" s="64" t="str">
        <f t="shared" si="141"/>
        <v/>
      </c>
    </row>
    <row r="679" spans="1:28" x14ac:dyDescent="0.35">
      <c r="A679">
        <f>'Procurement Schedule'!R797</f>
        <v>0</v>
      </c>
      <c r="B679" s="63">
        <f>'Procurement Schedule'!M797</f>
        <v>0</v>
      </c>
      <c r="C679">
        <f t="shared" si="142"/>
        <v>1</v>
      </c>
      <c r="D679">
        <f t="shared" si="133"/>
        <v>1900</v>
      </c>
      <c r="E679" t="str">
        <f t="shared" si="134"/>
        <v>1_1900</v>
      </c>
      <c r="G679">
        <f t="shared" si="135"/>
        <v>0</v>
      </c>
      <c r="H679" s="63">
        <f>'Procurement Schedule'!N797</f>
        <v>0</v>
      </c>
      <c r="I679">
        <f t="shared" si="143"/>
        <v>1</v>
      </c>
      <c r="J679">
        <f t="shared" si="136"/>
        <v>1900</v>
      </c>
      <c r="K679" t="str">
        <f t="shared" si="137"/>
        <v>1_1900</v>
      </c>
      <c r="S679" t="str">
        <f t="shared" si="139"/>
        <v/>
      </c>
      <c r="T679" s="64" t="str">
        <f t="shared" si="138"/>
        <v/>
      </c>
      <c r="AA679" t="str">
        <f t="shared" si="140"/>
        <v/>
      </c>
      <c r="AB679" s="64" t="str">
        <f t="shared" si="141"/>
        <v/>
      </c>
    </row>
    <row r="680" spans="1:28" x14ac:dyDescent="0.35">
      <c r="A680">
        <f>'Procurement Schedule'!R798</f>
        <v>0</v>
      </c>
      <c r="B680" s="63">
        <f>'Procurement Schedule'!M798</f>
        <v>0</v>
      </c>
      <c r="C680">
        <f t="shared" si="142"/>
        <v>1</v>
      </c>
      <c r="D680">
        <f t="shared" si="133"/>
        <v>1900</v>
      </c>
      <c r="E680" t="str">
        <f t="shared" si="134"/>
        <v>1_1900</v>
      </c>
      <c r="G680">
        <f t="shared" si="135"/>
        <v>0</v>
      </c>
      <c r="H680" s="63">
        <f>'Procurement Schedule'!N798</f>
        <v>0</v>
      </c>
      <c r="I680">
        <f t="shared" si="143"/>
        <v>1</v>
      </c>
      <c r="J680">
        <f t="shared" si="136"/>
        <v>1900</v>
      </c>
      <c r="K680" t="str">
        <f t="shared" si="137"/>
        <v>1_1900</v>
      </c>
      <c r="S680" t="str">
        <f t="shared" si="139"/>
        <v/>
      </c>
      <c r="T680" s="64" t="str">
        <f t="shared" si="138"/>
        <v/>
      </c>
      <c r="AA680" t="str">
        <f t="shared" si="140"/>
        <v/>
      </c>
      <c r="AB680" s="64" t="str">
        <f t="shared" si="141"/>
        <v/>
      </c>
    </row>
    <row r="681" spans="1:28" x14ac:dyDescent="0.35">
      <c r="A681">
        <f>'Procurement Schedule'!R799</f>
        <v>0</v>
      </c>
      <c r="B681" s="63">
        <f>'Procurement Schedule'!M799</f>
        <v>0</v>
      </c>
      <c r="C681">
        <f t="shared" si="142"/>
        <v>1</v>
      </c>
      <c r="D681">
        <f t="shared" si="133"/>
        <v>1900</v>
      </c>
      <c r="E681" t="str">
        <f t="shared" si="134"/>
        <v>1_1900</v>
      </c>
      <c r="G681">
        <f t="shared" si="135"/>
        <v>0</v>
      </c>
      <c r="H681" s="63">
        <f>'Procurement Schedule'!N799</f>
        <v>0</v>
      </c>
      <c r="I681">
        <f t="shared" si="143"/>
        <v>1</v>
      </c>
      <c r="J681">
        <f t="shared" si="136"/>
        <v>1900</v>
      </c>
      <c r="K681" t="str">
        <f t="shared" si="137"/>
        <v>1_1900</v>
      </c>
      <c r="S681" t="str">
        <f t="shared" si="139"/>
        <v/>
      </c>
      <c r="T681" s="64" t="str">
        <f t="shared" si="138"/>
        <v/>
      </c>
      <c r="AA681" t="str">
        <f t="shared" si="140"/>
        <v/>
      </c>
      <c r="AB681" s="64" t="str">
        <f t="shared" si="141"/>
        <v/>
      </c>
    </row>
    <row r="682" spans="1:28" x14ac:dyDescent="0.35">
      <c r="A682">
        <f>'Procurement Schedule'!R800</f>
        <v>0</v>
      </c>
      <c r="B682" s="63">
        <f>'Procurement Schedule'!M800</f>
        <v>0</v>
      </c>
      <c r="C682">
        <f t="shared" si="142"/>
        <v>1</v>
      </c>
      <c r="D682">
        <f t="shared" si="133"/>
        <v>1900</v>
      </c>
      <c r="E682" t="str">
        <f t="shared" si="134"/>
        <v>1_1900</v>
      </c>
      <c r="G682">
        <f t="shared" si="135"/>
        <v>0</v>
      </c>
      <c r="H682" s="63">
        <f>'Procurement Schedule'!N800</f>
        <v>0</v>
      </c>
      <c r="I682">
        <f t="shared" si="143"/>
        <v>1</v>
      </c>
      <c r="J682">
        <f t="shared" si="136"/>
        <v>1900</v>
      </c>
      <c r="K682" t="str">
        <f t="shared" si="137"/>
        <v>1_1900</v>
      </c>
      <c r="S682" t="str">
        <f t="shared" si="139"/>
        <v/>
      </c>
      <c r="T682" s="64" t="str">
        <f t="shared" si="138"/>
        <v/>
      </c>
      <c r="AA682" t="str">
        <f t="shared" si="140"/>
        <v/>
      </c>
      <c r="AB682" s="64" t="str">
        <f t="shared" si="141"/>
        <v/>
      </c>
    </row>
    <row r="683" spans="1:28" x14ac:dyDescent="0.35">
      <c r="A683">
        <f>'Procurement Schedule'!R801</f>
        <v>0</v>
      </c>
      <c r="B683" s="63">
        <f>'Procurement Schedule'!M801</f>
        <v>0</v>
      </c>
      <c r="C683">
        <f t="shared" si="142"/>
        <v>1</v>
      </c>
      <c r="D683">
        <f t="shared" si="133"/>
        <v>1900</v>
      </c>
      <c r="E683" t="str">
        <f t="shared" si="134"/>
        <v>1_1900</v>
      </c>
      <c r="G683">
        <f t="shared" si="135"/>
        <v>0</v>
      </c>
      <c r="H683" s="63">
        <f>'Procurement Schedule'!N801</f>
        <v>0</v>
      </c>
      <c r="I683">
        <f t="shared" si="143"/>
        <v>1</v>
      </c>
      <c r="J683">
        <f t="shared" si="136"/>
        <v>1900</v>
      </c>
      <c r="K683" t="str">
        <f t="shared" si="137"/>
        <v>1_1900</v>
      </c>
      <c r="S683" t="str">
        <f t="shared" si="139"/>
        <v/>
      </c>
      <c r="T683" s="64" t="str">
        <f t="shared" si="138"/>
        <v/>
      </c>
      <c r="AA683" t="str">
        <f t="shared" si="140"/>
        <v/>
      </c>
      <c r="AB683" s="64" t="str">
        <f t="shared" si="141"/>
        <v/>
      </c>
    </row>
    <row r="684" spans="1:28" x14ac:dyDescent="0.35">
      <c r="A684">
        <f>'Procurement Schedule'!R802</f>
        <v>0</v>
      </c>
      <c r="B684" s="63">
        <f>'Procurement Schedule'!M802</f>
        <v>0</v>
      </c>
      <c r="C684">
        <f t="shared" si="142"/>
        <v>1</v>
      </c>
      <c r="D684">
        <f t="shared" si="133"/>
        <v>1900</v>
      </c>
      <c r="E684" t="str">
        <f t="shared" si="134"/>
        <v>1_1900</v>
      </c>
      <c r="G684">
        <f t="shared" si="135"/>
        <v>0</v>
      </c>
      <c r="H684" s="63">
        <f>'Procurement Schedule'!N802</f>
        <v>0</v>
      </c>
      <c r="I684">
        <f t="shared" si="143"/>
        <v>1</v>
      </c>
      <c r="J684">
        <f t="shared" si="136"/>
        <v>1900</v>
      </c>
      <c r="K684" t="str">
        <f t="shared" si="137"/>
        <v>1_1900</v>
      </c>
      <c r="S684" t="str">
        <f t="shared" si="139"/>
        <v/>
      </c>
      <c r="T684" s="64" t="str">
        <f t="shared" si="138"/>
        <v/>
      </c>
      <c r="AA684" t="str">
        <f t="shared" si="140"/>
        <v/>
      </c>
      <c r="AB684" s="64" t="str">
        <f t="shared" si="141"/>
        <v/>
      </c>
    </row>
    <row r="685" spans="1:28" x14ac:dyDescent="0.35">
      <c r="A685">
        <f>'Procurement Schedule'!R803</f>
        <v>0</v>
      </c>
      <c r="B685" s="63">
        <f>'Procurement Schedule'!M803</f>
        <v>0</v>
      </c>
      <c r="C685">
        <f t="shared" si="142"/>
        <v>1</v>
      </c>
      <c r="D685">
        <f t="shared" si="133"/>
        <v>1900</v>
      </c>
      <c r="E685" t="str">
        <f t="shared" si="134"/>
        <v>1_1900</v>
      </c>
      <c r="G685">
        <f t="shared" si="135"/>
        <v>0</v>
      </c>
      <c r="H685" s="63">
        <f>'Procurement Schedule'!N803</f>
        <v>0</v>
      </c>
      <c r="I685">
        <f t="shared" si="143"/>
        <v>1</v>
      </c>
      <c r="J685">
        <f t="shared" si="136"/>
        <v>1900</v>
      </c>
      <c r="K685" t="str">
        <f t="shared" si="137"/>
        <v>1_1900</v>
      </c>
      <c r="S685" t="str">
        <f t="shared" si="139"/>
        <v/>
      </c>
      <c r="T685" s="64" t="str">
        <f t="shared" si="138"/>
        <v/>
      </c>
      <c r="AA685" t="str">
        <f t="shared" si="140"/>
        <v/>
      </c>
      <c r="AB685" s="64" t="str">
        <f t="shared" si="141"/>
        <v/>
      </c>
    </row>
    <row r="686" spans="1:28" x14ac:dyDescent="0.35">
      <c r="A686">
        <f>'Procurement Schedule'!R804</f>
        <v>0</v>
      </c>
      <c r="B686" s="63">
        <f>'Procurement Schedule'!M804</f>
        <v>0</v>
      </c>
      <c r="C686">
        <f t="shared" si="142"/>
        <v>1</v>
      </c>
      <c r="D686">
        <f t="shared" si="133"/>
        <v>1900</v>
      </c>
      <c r="E686" t="str">
        <f t="shared" si="134"/>
        <v>1_1900</v>
      </c>
      <c r="G686">
        <f t="shared" si="135"/>
        <v>0</v>
      </c>
      <c r="H686" s="63">
        <f>'Procurement Schedule'!N804</f>
        <v>0</v>
      </c>
      <c r="I686">
        <f t="shared" si="143"/>
        <v>1</v>
      </c>
      <c r="J686">
        <f t="shared" si="136"/>
        <v>1900</v>
      </c>
      <c r="K686" t="str">
        <f t="shared" si="137"/>
        <v>1_1900</v>
      </c>
      <c r="S686" t="str">
        <f t="shared" si="139"/>
        <v/>
      </c>
      <c r="T686" s="64" t="str">
        <f t="shared" si="138"/>
        <v/>
      </c>
      <c r="AA686" t="str">
        <f t="shared" si="140"/>
        <v/>
      </c>
      <c r="AB686" s="64" t="str">
        <f t="shared" si="141"/>
        <v/>
      </c>
    </row>
    <row r="687" spans="1:28" x14ac:dyDescent="0.35">
      <c r="A687">
        <f>'Procurement Schedule'!R805</f>
        <v>0</v>
      </c>
      <c r="B687" s="63">
        <f>'Procurement Schedule'!M805</f>
        <v>0</v>
      </c>
      <c r="C687">
        <f t="shared" si="142"/>
        <v>1</v>
      </c>
      <c r="D687">
        <f t="shared" si="133"/>
        <v>1900</v>
      </c>
      <c r="E687" t="str">
        <f t="shared" si="134"/>
        <v>1_1900</v>
      </c>
      <c r="G687">
        <f t="shared" si="135"/>
        <v>0</v>
      </c>
      <c r="H687" s="63">
        <f>'Procurement Schedule'!N805</f>
        <v>0</v>
      </c>
      <c r="I687">
        <f t="shared" si="143"/>
        <v>1</v>
      </c>
      <c r="J687">
        <f t="shared" si="136"/>
        <v>1900</v>
      </c>
      <c r="K687" t="str">
        <f t="shared" si="137"/>
        <v>1_1900</v>
      </c>
      <c r="S687" t="str">
        <f t="shared" si="139"/>
        <v/>
      </c>
      <c r="T687" s="64" t="str">
        <f t="shared" si="138"/>
        <v/>
      </c>
      <c r="AA687" t="str">
        <f t="shared" si="140"/>
        <v/>
      </c>
      <c r="AB687" s="64" t="str">
        <f t="shared" si="141"/>
        <v/>
      </c>
    </row>
    <row r="688" spans="1:28" x14ac:dyDescent="0.35">
      <c r="A688">
        <f>'Procurement Schedule'!R806</f>
        <v>0</v>
      </c>
      <c r="B688" s="63">
        <f>'Procurement Schedule'!M806</f>
        <v>0</v>
      </c>
      <c r="C688">
        <f t="shared" si="142"/>
        <v>1</v>
      </c>
      <c r="D688">
        <f t="shared" si="133"/>
        <v>1900</v>
      </c>
      <c r="E688" t="str">
        <f t="shared" si="134"/>
        <v>1_1900</v>
      </c>
      <c r="G688">
        <f t="shared" si="135"/>
        <v>0</v>
      </c>
      <c r="H688" s="63">
        <f>'Procurement Schedule'!N806</f>
        <v>0</v>
      </c>
      <c r="I688">
        <f t="shared" si="143"/>
        <v>1</v>
      </c>
      <c r="J688">
        <f t="shared" si="136"/>
        <v>1900</v>
      </c>
      <c r="K688" t="str">
        <f t="shared" si="137"/>
        <v>1_1900</v>
      </c>
      <c r="S688" t="str">
        <f t="shared" si="139"/>
        <v/>
      </c>
      <c r="T688" s="64" t="str">
        <f t="shared" si="138"/>
        <v/>
      </c>
      <c r="AA688" t="str">
        <f t="shared" si="140"/>
        <v/>
      </c>
      <c r="AB688" s="64" t="str">
        <f t="shared" si="141"/>
        <v/>
      </c>
    </row>
    <row r="689" spans="1:28" x14ac:dyDescent="0.35">
      <c r="A689">
        <f>'Procurement Schedule'!R807</f>
        <v>0</v>
      </c>
      <c r="B689" s="63">
        <f>'Procurement Schedule'!M807</f>
        <v>0</v>
      </c>
      <c r="C689">
        <f t="shared" si="142"/>
        <v>1</v>
      </c>
      <c r="D689">
        <f t="shared" si="133"/>
        <v>1900</v>
      </c>
      <c r="E689" t="str">
        <f t="shared" si="134"/>
        <v>1_1900</v>
      </c>
      <c r="G689">
        <f t="shared" si="135"/>
        <v>0</v>
      </c>
      <c r="H689" s="63">
        <f>'Procurement Schedule'!N807</f>
        <v>0</v>
      </c>
      <c r="I689">
        <f t="shared" si="143"/>
        <v>1</v>
      </c>
      <c r="J689">
        <f t="shared" si="136"/>
        <v>1900</v>
      </c>
      <c r="K689" t="str">
        <f t="shared" si="137"/>
        <v>1_1900</v>
      </c>
      <c r="S689" t="str">
        <f t="shared" si="139"/>
        <v/>
      </c>
      <c r="T689" s="64" t="str">
        <f t="shared" si="138"/>
        <v/>
      </c>
      <c r="AA689" t="str">
        <f t="shared" si="140"/>
        <v/>
      </c>
      <c r="AB689" s="64" t="str">
        <f t="shared" si="141"/>
        <v/>
      </c>
    </row>
    <row r="690" spans="1:28" x14ac:dyDescent="0.35">
      <c r="A690">
        <f>'Procurement Schedule'!R808</f>
        <v>0</v>
      </c>
      <c r="B690" s="63">
        <f>'Procurement Schedule'!M808</f>
        <v>0</v>
      </c>
      <c r="C690">
        <f t="shared" si="142"/>
        <v>1</v>
      </c>
      <c r="D690">
        <f t="shared" si="133"/>
        <v>1900</v>
      </c>
      <c r="E690" t="str">
        <f t="shared" si="134"/>
        <v>1_1900</v>
      </c>
      <c r="G690">
        <f t="shared" si="135"/>
        <v>0</v>
      </c>
      <c r="H690" s="63">
        <f>'Procurement Schedule'!N808</f>
        <v>0</v>
      </c>
      <c r="I690">
        <f t="shared" si="143"/>
        <v>1</v>
      </c>
      <c r="J690">
        <f t="shared" si="136"/>
        <v>1900</v>
      </c>
      <c r="K690" t="str">
        <f t="shared" si="137"/>
        <v>1_1900</v>
      </c>
      <c r="S690" t="str">
        <f t="shared" si="139"/>
        <v/>
      </c>
      <c r="T690" s="64" t="str">
        <f t="shared" si="138"/>
        <v/>
      </c>
      <c r="AA690" t="str">
        <f t="shared" si="140"/>
        <v/>
      </c>
      <c r="AB690" s="64" t="str">
        <f t="shared" si="141"/>
        <v/>
      </c>
    </row>
    <row r="691" spans="1:28" x14ac:dyDescent="0.35">
      <c r="A691">
        <f>'Procurement Schedule'!R809</f>
        <v>0</v>
      </c>
      <c r="B691" s="63">
        <f>'Procurement Schedule'!M809</f>
        <v>0</v>
      </c>
      <c r="C691">
        <f t="shared" si="142"/>
        <v>1</v>
      </c>
      <c r="D691">
        <f t="shared" si="133"/>
        <v>1900</v>
      </c>
      <c r="E691" t="str">
        <f t="shared" si="134"/>
        <v>1_1900</v>
      </c>
      <c r="G691">
        <f t="shared" si="135"/>
        <v>0</v>
      </c>
      <c r="H691" s="63">
        <f>'Procurement Schedule'!N809</f>
        <v>0</v>
      </c>
      <c r="I691">
        <f t="shared" si="143"/>
        <v>1</v>
      </c>
      <c r="J691">
        <f t="shared" si="136"/>
        <v>1900</v>
      </c>
      <c r="K691" t="str">
        <f t="shared" si="137"/>
        <v>1_1900</v>
      </c>
      <c r="S691" t="str">
        <f t="shared" si="139"/>
        <v/>
      </c>
      <c r="T691" s="64" t="str">
        <f t="shared" si="138"/>
        <v/>
      </c>
      <c r="AA691" t="str">
        <f t="shared" si="140"/>
        <v/>
      </c>
      <c r="AB691" s="64" t="str">
        <f t="shared" si="141"/>
        <v/>
      </c>
    </row>
    <row r="692" spans="1:28" x14ac:dyDescent="0.35">
      <c r="A692">
        <f>'Procurement Schedule'!R810</f>
        <v>0</v>
      </c>
      <c r="B692" s="63">
        <f>'Procurement Schedule'!M810</f>
        <v>0</v>
      </c>
      <c r="C692">
        <f t="shared" si="142"/>
        <v>1</v>
      </c>
      <c r="D692">
        <f t="shared" si="133"/>
        <v>1900</v>
      </c>
      <c r="E692" t="str">
        <f t="shared" si="134"/>
        <v>1_1900</v>
      </c>
      <c r="G692">
        <f t="shared" si="135"/>
        <v>0</v>
      </c>
      <c r="H692" s="63">
        <f>'Procurement Schedule'!N810</f>
        <v>0</v>
      </c>
      <c r="I692">
        <f t="shared" si="143"/>
        <v>1</v>
      </c>
      <c r="J692">
        <f t="shared" si="136"/>
        <v>1900</v>
      </c>
      <c r="K692" t="str">
        <f t="shared" si="137"/>
        <v>1_1900</v>
      </c>
      <c r="S692" t="str">
        <f t="shared" si="139"/>
        <v/>
      </c>
      <c r="T692" s="64" t="str">
        <f t="shared" si="138"/>
        <v/>
      </c>
      <c r="AA692" t="str">
        <f t="shared" si="140"/>
        <v/>
      </c>
      <c r="AB692" s="64" t="str">
        <f t="shared" si="141"/>
        <v/>
      </c>
    </row>
    <row r="693" spans="1:28" x14ac:dyDescent="0.35">
      <c r="A693">
        <f>'Procurement Schedule'!R811</f>
        <v>0</v>
      </c>
      <c r="B693" s="63">
        <f>'Procurement Schedule'!M811</f>
        <v>0</v>
      </c>
      <c r="C693">
        <f t="shared" si="142"/>
        <v>1</v>
      </c>
      <c r="D693">
        <f t="shared" si="133"/>
        <v>1900</v>
      </c>
      <c r="E693" t="str">
        <f t="shared" si="134"/>
        <v>1_1900</v>
      </c>
      <c r="G693">
        <f t="shared" si="135"/>
        <v>0</v>
      </c>
      <c r="H693" s="63">
        <f>'Procurement Schedule'!N811</f>
        <v>0</v>
      </c>
      <c r="I693">
        <f t="shared" si="143"/>
        <v>1</v>
      </c>
      <c r="J693">
        <f t="shared" si="136"/>
        <v>1900</v>
      </c>
      <c r="K693" t="str">
        <f t="shared" si="137"/>
        <v>1_1900</v>
      </c>
      <c r="S693" t="str">
        <f t="shared" si="139"/>
        <v/>
      </c>
      <c r="T693" s="64" t="str">
        <f t="shared" si="138"/>
        <v/>
      </c>
      <c r="AA693" t="str">
        <f t="shared" si="140"/>
        <v/>
      </c>
      <c r="AB693" s="64" t="str">
        <f t="shared" si="141"/>
        <v/>
      </c>
    </row>
    <row r="694" spans="1:28" x14ac:dyDescent="0.35">
      <c r="A694">
        <f>'Procurement Schedule'!R812</f>
        <v>0</v>
      </c>
      <c r="B694" s="63">
        <f>'Procurement Schedule'!M812</f>
        <v>0</v>
      </c>
      <c r="C694">
        <f t="shared" si="142"/>
        <v>1</v>
      </c>
      <c r="D694">
        <f t="shared" si="133"/>
        <v>1900</v>
      </c>
      <c r="E694" t="str">
        <f t="shared" si="134"/>
        <v>1_1900</v>
      </c>
      <c r="G694">
        <f t="shared" si="135"/>
        <v>0</v>
      </c>
      <c r="H694" s="63">
        <f>'Procurement Schedule'!N812</f>
        <v>0</v>
      </c>
      <c r="I694">
        <f t="shared" si="143"/>
        <v>1</v>
      </c>
      <c r="J694">
        <f t="shared" si="136"/>
        <v>1900</v>
      </c>
      <c r="K694" t="str">
        <f t="shared" si="137"/>
        <v>1_1900</v>
      </c>
      <c r="S694" t="str">
        <f t="shared" si="139"/>
        <v/>
      </c>
      <c r="T694" s="64" t="str">
        <f t="shared" si="138"/>
        <v/>
      </c>
      <c r="AA694" t="str">
        <f t="shared" si="140"/>
        <v/>
      </c>
      <c r="AB694" s="64" t="str">
        <f t="shared" si="141"/>
        <v/>
      </c>
    </row>
    <row r="695" spans="1:28" x14ac:dyDescent="0.35">
      <c r="A695">
        <f>'Procurement Schedule'!R813</f>
        <v>0</v>
      </c>
      <c r="B695" s="63">
        <f>'Procurement Schedule'!M813</f>
        <v>0</v>
      </c>
      <c r="C695">
        <f t="shared" si="142"/>
        <v>1</v>
      </c>
      <c r="D695">
        <f t="shared" ref="D695:D758" si="144">YEAR(B695)</f>
        <v>1900</v>
      </c>
      <c r="E695" t="str">
        <f t="shared" ref="E695:E758" si="145">C695&amp;"_"&amp;D695</f>
        <v>1_1900</v>
      </c>
      <c r="G695">
        <f t="shared" ref="G695:G758" si="146">A695</f>
        <v>0</v>
      </c>
      <c r="H695" s="63">
        <f>'Procurement Schedule'!N813</f>
        <v>0</v>
      </c>
      <c r="I695">
        <f t="shared" si="143"/>
        <v>1</v>
      </c>
      <c r="J695">
        <f t="shared" ref="J695:J758" si="147">YEAR(H695)</f>
        <v>1900</v>
      </c>
      <c r="K695" t="str">
        <f t="shared" ref="K695:K758" si="148">I695&amp;"_"&amp;J695</f>
        <v>1_1900</v>
      </c>
      <c r="S695" t="str">
        <f t="shared" si="139"/>
        <v/>
      </c>
      <c r="T695" s="64" t="str">
        <f t="shared" si="138"/>
        <v/>
      </c>
      <c r="AA695" t="str">
        <f t="shared" si="140"/>
        <v/>
      </c>
      <c r="AB695" s="64" t="str">
        <f t="shared" si="141"/>
        <v/>
      </c>
    </row>
    <row r="696" spans="1:28" x14ac:dyDescent="0.35">
      <c r="A696">
        <f>'Procurement Schedule'!R814</f>
        <v>0</v>
      </c>
      <c r="B696" s="63">
        <f>'Procurement Schedule'!M814</f>
        <v>0</v>
      </c>
      <c r="C696">
        <f t="shared" si="142"/>
        <v>1</v>
      </c>
      <c r="D696">
        <f t="shared" si="144"/>
        <v>1900</v>
      </c>
      <c r="E696" t="str">
        <f t="shared" si="145"/>
        <v>1_1900</v>
      </c>
      <c r="G696">
        <f t="shared" si="146"/>
        <v>0</v>
      </c>
      <c r="H696" s="63">
        <f>'Procurement Schedule'!N814</f>
        <v>0</v>
      </c>
      <c r="I696">
        <f t="shared" si="143"/>
        <v>1</v>
      </c>
      <c r="J696">
        <f t="shared" si="147"/>
        <v>1900</v>
      </c>
      <c r="K696" t="str">
        <f t="shared" si="148"/>
        <v>1_1900</v>
      </c>
      <c r="S696" t="str">
        <f t="shared" si="139"/>
        <v/>
      </c>
      <c r="T696" s="64" t="str">
        <f t="shared" si="138"/>
        <v/>
      </c>
      <c r="AA696" t="str">
        <f t="shared" si="140"/>
        <v/>
      </c>
      <c r="AB696" s="64" t="str">
        <f t="shared" si="141"/>
        <v/>
      </c>
    </row>
    <row r="697" spans="1:28" x14ac:dyDescent="0.35">
      <c r="A697">
        <f>'Procurement Schedule'!R815</f>
        <v>0</v>
      </c>
      <c r="B697" s="63">
        <f>'Procurement Schedule'!M815</f>
        <v>0</v>
      </c>
      <c r="C697">
        <f t="shared" si="142"/>
        <v>1</v>
      </c>
      <c r="D697">
        <f t="shared" si="144"/>
        <v>1900</v>
      </c>
      <c r="E697" t="str">
        <f t="shared" si="145"/>
        <v>1_1900</v>
      </c>
      <c r="G697">
        <f t="shared" si="146"/>
        <v>0</v>
      </c>
      <c r="H697" s="63">
        <f>'Procurement Schedule'!N815</f>
        <v>0</v>
      </c>
      <c r="I697">
        <f t="shared" si="143"/>
        <v>1</v>
      </c>
      <c r="J697">
        <f t="shared" si="147"/>
        <v>1900</v>
      </c>
      <c r="K697" t="str">
        <f t="shared" si="148"/>
        <v>1_1900</v>
      </c>
      <c r="S697" t="str">
        <f t="shared" si="139"/>
        <v/>
      </c>
      <c r="T697" s="64" t="str">
        <f t="shared" si="138"/>
        <v/>
      </c>
      <c r="AA697" t="str">
        <f t="shared" si="140"/>
        <v/>
      </c>
      <c r="AB697" s="64" t="str">
        <f t="shared" si="141"/>
        <v/>
      </c>
    </row>
    <row r="698" spans="1:28" x14ac:dyDescent="0.35">
      <c r="A698">
        <f>'Procurement Schedule'!R816</f>
        <v>0</v>
      </c>
      <c r="B698" s="63">
        <f>'Procurement Schedule'!M816</f>
        <v>0</v>
      </c>
      <c r="C698">
        <f t="shared" si="142"/>
        <v>1</v>
      </c>
      <c r="D698">
        <f t="shared" si="144"/>
        <v>1900</v>
      </c>
      <c r="E698" t="str">
        <f t="shared" si="145"/>
        <v>1_1900</v>
      </c>
      <c r="G698">
        <f t="shared" si="146"/>
        <v>0</v>
      </c>
      <c r="H698" s="63">
        <f>'Procurement Schedule'!N816</f>
        <v>0</v>
      </c>
      <c r="I698">
        <f t="shared" si="143"/>
        <v>1</v>
      </c>
      <c r="J698">
        <f t="shared" si="147"/>
        <v>1900</v>
      </c>
      <c r="K698" t="str">
        <f t="shared" si="148"/>
        <v>1_1900</v>
      </c>
      <c r="S698" t="str">
        <f t="shared" si="139"/>
        <v/>
      </c>
      <c r="T698" s="64" t="str">
        <f t="shared" si="138"/>
        <v/>
      </c>
      <c r="AA698" t="str">
        <f t="shared" si="140"/>
        <v/>
      </c>
      <c r="AB698" s="64" t="str">
        <f t="shared" si="141"/>
        <v/>
      </c>
    </row>
    <row r="699" spans="1:28" x14ac:dyDescent="0.35">
      <c r="A699">
        <f>'Procurement Schedule'!R817</f>
        <v>0</v>
      </c>
      <c r="B699" s="63">
        <f>'Procurement Schedule'!M817</f>
        <v>0</v>
      </c>
      <c r="C699">
        <f t="shared" si="142"/>
        <v>1</v>
      </c>
      <c r="D699">
        <f t="shared" si="144"/>
        <v>1900</v>
      </c>
      <c r="E699" t="str">
        <f t="shared" si="145"/>
        <v>1_1900</v>
      </c>
      <c r="G699">
        <f t="shared" si="146"/>
        <v>0</v>
      </c>
      <c r="H699" s="63">
        <f>'Procurement Schedule'!N817</f>
        <v>0</v>
      </c>
      <c r="I699">
        <f t="shared" si="143"/>
        <v>1</v>
      </c>
      <c r="J699">
        <f t="shared" si="147"/>
        <v>1900</v>
      </c>
      <c r="K699" t="str">
        <f t="shared" si="148"/>
        <v>1_1900</v>
      </c>
      <c r="S699" t="str">
        <f t="shared" si="139"/>
        <v/>
      </c>
      <c r="T699" s="64" t="str">
        <f t="shared" si="138"/>
        <v/>
      </c>
      <c r="AA699" t="str">
        <f t="shared" si="140"/>
        <v/>
      </c>
      <c r="AB699" s="64" t="str">
        <f t="shared" si="141"/>
        <v/>
      </c>
    </row>
    <row r="700" spans="1:28" x14ac:dyDescent="0.35">
      <c r="A700">
        <f>'Procurement Schedule'!R818</f>
        <v>0</v>
      </c>
      <c r="B700" s="63">
        <f>'Procurement Schedule'!M818</f>
        <v>0</v>
      </c>
      <c r="C700">
        <f t="shared" si="142"/>
        <v>1</v>
      </c>
      <c r="D700">
        <f t="shared" si="144"/>
        <v>1900</v>
      </c>
      <c r="E700" t="str">
        <f t="shared" si="145"/>
        <v>1_1900</v>
      </c>
      <c r="G700">
        <f t="shared" si="146"/>
        <v>0</v>
      </c>
      <c r="H700" s="63">
        <f>'Procurement Schedule'!N818</f>
        <v>0</v>
      </c>
      <c r="I700">
        <f t="shared" si="143"/>
        <v>1</v>
      </c>
      <c r="J700">
        <f t="shared" si="147"/>
        <v>1900</v>
      </c>
      <c r="K700" t="str">
        <f t="shared" si="148"/>
        <v>1_1900</v>
      </c>
      <c r="S700" t="str">
        <f t="shared" si="139"/>
        <v/>
      </c>
      <c r="T700" s="64" t="str">
        <f t="shared" si="138"/>
        <v/>
      </c>
      <c r="AA700" t="str">
        <f t="shared" si="140"/>
        <v/>
      </c>
      <c r="AB700" s="64" t="str">
        <f t="shared" si="141"/>
        <v/>
      </c>
    </row>
    <row r="701" spans="1:28" x14ac:dyDescent="0.35">
      <c r="A701">
        <f>'Procurement Schedule'!R819</f>
        <v>0</v>
      </c>
      <c r="B701" s="63">
        <f>'Procurement Schedule'!M819</f>
        <v>0</v>
      </c>
      <c r="C701">
        <f t="shared" si="142"/>
        <v>1</v>
      </c>
      <c r="D701">
        <f t="shared" si="144"/>
        <v>1900</v>
      </c>
      <c r="E701" t="str">
        <f t="shared" si="145"/>
        <v>1_1900</v>
      </c>
      <c r="G701">
        <f t="shared" si="146"/>
        <v>0</v>
      </c>
      <c r="H701" s="63">
        <f>'Procurement Schedule'!N819</f>
        <v>0</v>
      </c>
      <c r="I701">
        <f t="shared" si="143"/>
        <v>1</v>
      </c>
      <c r="J701">
        <f t="shared" si="147"/>
        <v>1900</v>
      </c>
      <c r="K701" t="str">
        <f t="shared" si="148"/>
        <v>1_1900</v>
      </c>
      <c r="S701" t="str">
        <f t="shared" si="139"/>
        <v/>
      </c>
      <c r="T701" s="64" t="str">
        <f t="shared" si="138"/>
        <v/>
      </c>
      <c r="AA701" t="str">
        <f t="shared" si="140"/>
        <v/>
      </c>
      <c r="AB701" s="64" t="str">
        <f t="shared" si="141"/>
        <v/>
      </c>
    </row>
    <row r="702" spans="1:28" x14ac:dyDescent="0.35">
      <c r="A702">
        <f>'Procurement Schedule'!R820</f>
        <v>0</v>
      </c>
      <c r="B702" s="63">
        <f>'Procurement Schedule'!M820</f>
        <v>0</v>
      </c>
      <c r="C702">
        <f t="shared" si="142"/>
        <v>1</v>
      </c>
      <c r="D702">
        <f t="shared" si="144"/>
        <v>1900</v>
      </c>
      <c r="E702" t="str">
        <f t="shared" si="145"/>
        <v>1_1900</v>
      </c>
      <c r="G702">
        <f t="shared" si="146"/>
        <v>0</v>
      </c>
      <c r="H702" s="63">
        <f>'Procurement Schedule'!N820</f>
        <v>0</v>
      </c>
      <c r="I702">
        <f t="shared" si="143"/>
        <v>1</v>
      </c>
      <c r="J702">
        <f t="shared" si="147"/>
        <v>1900</v>
      </c>
      <c r="K702" t="str">
        <f t="shared" si="148"/>
        <v>1_1900</v>
      </c>
      <c r="S702" t="str">
        <f t="shared" si="139"/>
        <v/>
      </c>
      <c r="T702" s="64" t="str">
        <f t="shared" si="138"/>
        <v/>
      </c>
      <c r="AA702" t="str">
        <f t="shared" si="140"/>
        <v/>
      </c>
      <c r="AB702" s="64" t="str">
        <f t="shared" si="141"/>
        <v/>
      </c>
    </row>
    <row r="703" spans="1:28" x14ac:dyDescent="0.35">
      <c r="A703">
        <f>'Procurement Schedule'!R821</f>
        <v>0</v>
      </c>
      <c r="B703" s="63">
        <f>'Procurement Schedule'!M821</f>
        <v>0</v>
      </c>
      <c r="C703">
        <f t="shared" si="142"/>
        <v>1</v>
      </c>
      <c r="D703">
        <f t="shared" si="144"/>
        <v>1900</v>
      </c>
      <c r="E703" t="str">
        <f t="shared" si="145"/>
        <v>1_1900</v>
      </c>
      <c r="G703">
        <f t="shared" si="146"/>
        <v>0</v>
      </c>
      <c r="H703" s="63">
        <f>'Procurement Schedule'!N821</f>
        <v>0</v>
      </c>
      <c r="I703">
        <f t="shared" si="143"/>
        <v>1</v>
      </c>
      <c r="J703">
        <f t="shared" si="147"/>
        <v>1900</v>
      </c>
      <c r="K703" t="str">
        <f t="shared" si="148"/>
        <v>1_1900</v>
      </c>
      <c r="S703" t="str">
        <f t="shared" si="139"/>
        <v/>
      </c>
      <c r="T703" s="64" t="str">
        <f t="shared" si="138"/>
        <v/>
      </c>
      <c r="AA703" t="str">
        <f t="shared" si="140"/>
        <v/>
      </c>
      <c r="AB703" s="64" t="str">
        <f t="shared" si="141"/>
        <v/>
      </c>
    </row>
    <row r="704" spans="1:28" x14ac:dyDescent="0.35">
      <c r="A704">
        <f>'Procurement Schedule'!R822</f>
        <v>0</v>
      </c>
      <c r="B704" s="63">
        <f>'Procurement Schedule'!M822</f>
        <v>0</v>
      </c>
      <c r="C704">
        <f t="shared" si="142"/>
        <v>1</v>
      </c>
      <c r="D704">
        <f t="shared" si="144"/>
        <v>1900</v>
      </c>
      <c r="E704" t="str">
        <f t="shared" si="145"/>
        <v>1_1900</v>
      </c>
      <c r="G704">
        <f t="shared" si="146"/>
        <v>0</v>
      </c>
      <c r="H704" s="63">
        <f>'Procurement Schedule'!N822</f>
        <v>0</v>
      </c>
      <c r="I704">
        <f t="shared" si="143"/>
        <v>1</v>
      </c>
      <c r="J704">
        <f t="shared" si="147"/>
        <v>1900</v>
      </c>
      <c r="K704" t="str">
        <f t="shared" si="148"/>
        <v>1_1900</v>
      </c>
      <c r="S704" t="str">
        <f t="shared" si="139"/>
        <v/>
      </c>
      <c r="T704" s="64" t="str">
        <f t="shared" si="138"/>
        <v/>
      </c>
      <c r="AA704" t="str">
        <f t="shared" si="140"/>
        <v/>
      </c>
      <c r="AB704" s="64" t="str">
        <f t="shared" si="141"/>
        <v/>
      </c>
    </row>
    <row r="705" spans="1:28" x14ac:dyDescent="0.35">
      <c r="A705">
        <f>'Procurement Schedule'!R823</f>
        <v>0</v>
      </c>
      <c r="B705" s="63">
        <f>'Procurement Schedule'!M823</f>
        <v>0</v>
      </c>
      <c r="C705">
        <f t="shared" si="142"/>
        <v>1</v>
      </c>
      <c r="D705">
        <f t="shared" si="144"/>
        <v>1900</v>
      </c>
      <c r="E705" t="str">
        <f t="shared" si="145"/>
        <v>1_1900</v>
      </c>
      <c r="G705">
        <f t="shared" si="146"/>
        <v>0</v>
      </c>
      <c r="H705" s="63">
        <f>'Procurement Schedule'!N823</f>
        <v>0</v>
      </c>
      <c r="I705">
        <f t="shared" si="143"/>
        <v>1</v>
      </c>
      <c r="J705">
        <f t="shared" si="147"/>
        <v>1900</v>
      </c>
      <c r="K705" t="str">
        <f t="shared" si="148"/>
        <v>1_1900</v>
      </c>
      <c r="S705" t="str">
        <f t="shared" si="139"/>
        <v/>
      </c>
      <c r="T705" s="64" t="str">
        <f t="shared" si="138"/>
        <v/>
      </c>
      <c r="AA705" t="str">
        <f t="shared" si="140"/>
        <v/>
      </c>
      <c r="AB705" s="64" t="str">
        <f t="shared" si="141"/>
        <v/>
      </c>
    </row>
    <row r="706" spans="1:28" x14ac:dyDescent="0.35">
      <c r="A706">
        <f>'Procurement Schedule'!R824</f>
        <v>0</v>
      </c>
      <c r="B706" s="63">
        <f>'Procurement Schedule'!M824</f>
        <v>0</v>
      </c>
      <c r="C706">
        <f t="shared" si="142"/>
        <v>1</v>
      </c>
      <c r="D706">
        <f t="shared" si="144"/>
        <v>1900</v>
      </c>
      <c r="E706" t="str">
        <f t="shared" si="145"/>
        <v>1_1900</v>
      </c>
      <c r="G706">
        <f t="shared" si="146"/>
        <v>0</v>
      </c>
      <c r="H706" s="63">
        <f>'Procurement Schedule'!N824</f>
        <v>0</v>
      </c>
      <c r="I706">
        <f t="shared" si="143"/>
        <v>1</v>
      </c>
      <c r="J706">
        <f t="shared" si="147"/>
        <v>1900</v>
      </c>
      <c r="K706" t="str">
        <f t="shared" si="148"/>
        <v>1_1900</v>
      </c>
      <c r="S706" t="str">
        <f t="shared" si="139"/>
        <v/>
      </c>
      <c r="T706" s="64" t="str">
        <f t="shared" si="138"/>
        <v/>
      </c>
      <c r="AA706" t="str">
        <f t="shared" si="140"/>
        <v/>
      </c>
      <c r="AB706" s="64" t="str">
        <f t="shared" si="141"/>
        <v/>
      </c>
    </row>
    <row r="707" spans="1:28" x14ac:dyDescent="0.35">
      <c r="A707">
        <f>'Procurement Schedule'!R825</f>
        <v>0</v>
      </c>
      <c r="B707" s="63">
        <f>'Procurement Schedule'!M825</f>
        <v>0</v>
      </c>
      <c r="C707">
        <f t="shared" si="142"/>
        <v>1</v>
      </c>
      <c r="D707">
        <f t="shared" si="144"/>
        <v>1900</v>
      </c>
      <c r="E707" t="str">
        <f t="shared" si="145"/>
        <v>1_1900</v>
      </c>
      <c r="G707">
        <f t="shared" si="146"/>
        <v>0</v>
      </c>
      <c r="H707" s="63">
        <f>'Procurement Schedule'!N825</f>
        <v>0</v>
      </c>
      <c r="I707">
        <f t="shared" si="143"/>
        <v>1</v>
      </c>
      <c r="J707">
        <f t="shared" si="147"/>
        <v>1900</v>
      </c>
      <c r="K707" t="str">
        <f t="shared" si="148"/>
        <v>1_1900</v>
      </c>
      <c r="S707" t="str">
        <f t="shared" si="139"/>
        <v/>
      </c>
      <c r="T707" s="64" t="str">
        <f t="shared" si="138"/>
        <v/>
      </c>
      <c r="AA707" t="str">
        <f t="shared" si="140"/>
        <v/>
      </c>
      <c r="AB707" s="64" t="str">
        <f t="shared" si="141"/>
        <v/>
      </c>
    </row>
    <row r="708" spans="1:28" x14ac:dyDescent="0.35">
      <c r="A708">
        <f>'Procurement Schedule'!R826</f>
        <v>0</v>
      </c>
      <c r="B708" s="63">
        <f>'Procurement Schedule'!M826</f>
        <v>0</v>
      </c>
      <c r="C708">
        <f t="shared" si="142"/>
        <v>1</v>
      </c>
      <c r="D708">
        <f t="shared" si="144"/>
        <v>1900</v>
      </c>
      <c r="E708" t="str">
        <f t="shared" si="145"/>
        <v>1_1900</v>
      </c>
      <c r="G708">
        <f t="shared" si="146"/>
        <v>0</v>
      </c>
      <c r="H708" s="63">
        <f>'Procurement Schedule'!N826</f>
        <v>0</v>
      </c>
      <c r="I708">
        <f t="shared" si="143"/>
        <v>1</v>
      </c>
      <c r="J708">
        <f t="shared" si="147"/>
        <v>1900</v>
      </c>
      <c r="K708" t="str">
        <f t="shared" si="148"/>
        <v>1_1900</v>
      </c>
      <c r="S708" t="str">
        <f t="shared" si="139"/>
        <v/>
      </c>
      <c r="T708" s="64" t="str">
        <f t="shared" si="138"/>
        <v/>
      </c>
      <c r="AA708" t="str">
        <f t="shared" si="140"/>
        <v/>
      </c>
      <c r="AB708" s="64" t="str">
        <f t="shared" si="141"/>
        <v/>
      </c>
    </row>
    <row r="709" spans="1:28" x14ac:dyDescent="0.35">
      <c r="A709">
        <f>'Procurement Schedule'!R827</f>
        <v>0</v>
      </c>
      <c r="B709" s="63">
        <f>'Procurement Schedule'!M827</f>
        <v>0</v>
      </c>
      <c r="C709">
        <f t="shared" si="142"/>
        <v>1</v>
      </c>
      <c r="D709">
        <f t="shared" si="144"/>
        <v>1900</v>
      </c>
      <c r="E709" t="str">
        <f t="shared" si="145"/>
        <v>1_1900</v>
      </c>
      <c r="G709">
        <f t="shared" si="146"/>
        <v>0</v>
      </c>
      <c r="H709" s="63">
        <f>'Procurement Schedule'!N827</f>
        <v>0</v>
      </c>
      <c r="I709">
        <f t="shared" si="143"/>
        <v>1</v>
      </c>
      <c r="J709">
        <f t="shared" si="147"/>
        <v>1900</v>
      </c>
      <c r="K709" t="str">
        <f t="shared" si="148"/>
        <v>1_1900</v>
      </c>
      <c r="S709" t="str">
        <f t="shared" si="139"/>
        <v/>
      </c>
      <c r="T709" s="64" t="str">
        <f t="shared" ref="T709:T772" si="149">IFERROR(VLOOKUP(Q709,AD:AE,2,0),"")</f>
        <v/>
      </c>
      <c r="AA709" t="str">
        <f t="shared" si="140"/>
        <v/>
      </c>
      <c r="AB709" s="64" t="str">
        <f t="shared" si="141"/>
        <v/>
      </c>
    </row>
    <row r="710" spans="1:28" x14ac:dyDescent="0.35">
      <c r="A710">
        <f>'Procurement Schedule'!R828</f>
        <v>0</v>
      </c>
      <c r="B710" s="63">
        <f>'Procurement Schedule'!M828</f>
        <v>0</v>
      </c>
      <c r="C710">
        <f t="shared" si="142"/>
        <v>1</v>
      </c>
      <c r="D710">
        <f t="shared" si="144"/>
        <v>1900</v>
      </c>
      <c r="E710" t="str">
        <f t="shared" si="145"/>
        <v>1_1900</v>
      </c>
      <c r="G710">
        <f t="shared" si="146"/>
        <v>0</v>
      </c>
      <c r="H710" s="63">
        <f>'Procurement Schedule'!N828</f>
        <v>0</v>
      </c>
      <c r="I710">
        <f t="shared" si="143"/>
        <v>1</v>
      </c>
      <c r="J710">
        <f t="shared" si="147"/>
        <v>1900</v>
      </c>
      <c r="K710" t="str">
        <f t="shared" si="148"/>
        <v>1_1900</v>
      </c>
      <c r="S710" t="str">
        <f t="shared" si="139"/>
        <v/>
      </c>
      <c r="T710" s="64" t="str">
        <f t="shared" si="149"/>
        <v/>
      </c>
      <c r="AA710" t="str">
        <f t="shared" si="140"/>
        <v/>
      </c>
      <c r="AB710" s="64" t="str">
        <f t="shared" si="141"/>
        <v/>
      </c>
    </row>
    <row r="711" spans="1:28" x14ac:dyDescent="0.35">
      <c r="A711">
        <f>'Procurement Schedule'!R829</f>
        <v>0</v>
      </c>
      <c r="B711" s="63">
        <f>'Procurement Schedule'!M829</f>
        <v>0</v>
      </c>
      <c r="C711">
        <f t="shared" si="142"/>
        <v>1</v>
      </c>
      <c r="D711">
        <f t="shared" si="144"/>
        <v>1900</v>
      </c>
      <c r="E711" t="str">
        <f t="shared" si="145"/>
        <v>1_1900</v>
      </c>
      <c r="G711">
        <f t="shared" si="146"/>
        <v>0</v>
      </c>
      <c r="H711" s="63">
        <f>'Procurement Schedule'!N829</f>
        <v>0</v>
      </c>
      <c r="I711">
        <f t="shared" si="143"/>
        <v>1</v>
      </c>
      <c r="J711">
        <f t="shared" si="147"/>
        <v>1900</v>
      </c>
      <c r="K711" t="str">
        <f t="shared" si="148"/>
        <v>1_1900</v>
      </c>
      <c r="S711" t="str">
        <f t="shared" si="139"/>
        <v/>
      </c>
      <c r="T711" s="64" t="str">
        <f t="shared" si="149"/>
        <v/>
      </c>
      <c r="AA711" t="str">
        <f t="shared" si="140"/>
        <v/>
      </c>
      <c r="AB711" s="64" t="str">
        <f t="shared" si="141"/>
        <v/>
      </c>
    </row>
    <row r="712" spans="1:28" x14ac:dyDescent="0.35">
      <c r="A712">
        <f>'Procurement Schedule'!R830</f>
        <v>0</v>
      </c>
      <c r="B712" s="63">
        <f>'Procurement Schedule'!M830</f>
        <v>0</v>
      </c>
      <c r="C712">
        <f t="shared" si="142"/>
        <v>1</v>
      </c>
      <c r="D712">
        <f t="shared" si="144"/>
        <v>1900</v>
      </c>
      <c r="E712" t="str">
        <f t="shared" si="145"/>
        <v>1_1900</v>
      </c>
      <c r="G712">
        <f t="shared" si="146"/>
        <v>0</v>
      </c>
      <c r="H712" s="63">
        <f>'Procurement Schedule'!N830</f>
        <v>0</v>
      </c>
      <c r="I712">
        <f t="shared" si="143"/>
        <v>1</v>
      </c>
      <c r="J712">
        <f t="shared" si="147"/>
        <v>1900</v>
      </c>
      <c r="K712" t="str">
        <f t="shared" si="148"/>
        <v>1_1900</v>
      </c>
      <c r="S712" t="str">
        <f t="shared" si="139"/>
        <v/>
      </c>
      <c r="T712" s="64" t="str">
        <f t="shared" si="149"/>
        <v/>
      </c>
      <c r="AA712" t="str">
        <f t="shared" si="140"/>
        <v/>
      </c>
      <c r="AB712" s="64" t="str">
        <f t="shared" si="141"/>
        <v/>
      </c>
    </row>
    <row r="713" spans="1:28" x14ac:dyDescent="0.35">
      <c r="A713">
        <f>'Procurement Schedule'!R831</f>
        <v>0</v>
      </c>
      <c r="B713" s="63">
        <f>'Procurement Schedule'!M831</f>
        <v>0</v>
      </c>
      <c r="C713">
        <f t="shared" si="142"/>
        <v>1</v>
      </c>
      <c r="D713">
        <f t="shared" si="144"/>
        <v>1900</v>
      </c>
      <c r="E713" t="str">
        <f t="shared" si="145"/>
        <v>1_1900</v>
      </c>
      <c r="G713">
        <f t="shared" si="146"/>
        <v>0</v>
      </c>
      <c r="H713" s="63">
        <f>'Procurement Schedule'!N831</f>
        <v>0</v>
      </c>
      <c r="I713">
        <f t="shared" si="143"/>
        <v>1</v>
      </c>
      <c r="J713">
        <f t="shared" si="147"/>
        <v>1900</v>
      </c>
      <c r="K713" t="str">
        <f t="shared" si="148"/>
        <v>1_1900</v>
      </c>
      <c r="S713" t="str">
        <f t="shared" ref="S713:S776" si="150">IF(R713="","",S712+R713)</f>
        <v/>
      </c>
      <c r="T713" s="64" t="str">
        <f t="shared" si="149"/>
        <v/>
      </c>
      <c r="AA713" t="str">
        <f t="shared" si="140"/>
        <v/>
      </c>
      <c r="AB713" s="64" t="str">
        <f t="shared" si="141"/>
        <v/>
      </c>
    </row>
    <row r="714" spans="1:28" x14ac:dyDescent="0.35">
      <c r="A714">
        <f>'Procurement Schedule'!R832</f>
        <v>0</v>
      </c>
      <c r="B714" s="63">
        <f>'Procurement Schedule'!M832</f>
        <v>0</v>
      </c>
      <c r="C714">
        <f t="shared" si="142"/>
        <v>1</v>
      </c>
      <c r="D714">
        <f t="shared" si="144"/>
        <v>1900</v>
      </c>
      <c r="E714" t="str">
        <f t="shared" si="145"/>
        <v>1_1900</v>
      </c>
      <c r="G714">
        <f t="shared" si="146"/>
        <v>0</v>
      </c>
      <c r="H714" s="63">
        <f>'Procurement Schedule'!N832</f>
        <v>0</v>
      </c>
      <c r="I714">
        <f t="shared" si="143"/>
        <v>1</v>
      </c>
      <c r="J714">
        <f t="shared" si="147"/>
        <v>1900</v>
      </c>
      <c r="K714" t="str">
        <f t="shared" si="148"/>
        <v>1_1900</v>
      </c>
      <c r="S714" t="str">
        <f t="shared" si="150"/>
        <v/>
      </c>
      <c r="T714" s="64" t="str">
        <f t="shared" si="149"/>
        <v/>
      </c>
      <c r="AA714" t="str">
        <f t="shared" ref="AA714:AA777" si="151">IF(Z714="","",AA713+Z714)</f>
        <v/>
      </c>
      <c r="AB714" s="64" t="str">
        <f t="shared" ref="AB714:AB777" si="152">IFERROR(VLOOKUP(Y714,AD:AE,2,0),"")</f>
        <v/>
      </c>
    </row>
    <row r="715" spans="1:28" x14ac:dyDescent="0.35">
      <c r="A715">
        <f>'Procurement Schedule'!R833</f>
        <v>0</v>
      </c>
      <c r="B715" s="63">
        <f>'Procurement Schedule'!M833</f>
        <v>0</v>
      </c>
      <c r="C715">
        <f t="shared" si="142"/>
        <v>1</v>
      </c>
      <c r="D715">
        <f t="shared" si="144"/>
        <v>1900</v>
      </c>
      <c r="E715" t="str">
        <f t="shared" si="145"/>
        <v>1_1900</v>
      </c>
      <c r="G715">
        <f t="shared" si="146"/>
        <v>0</v>
      </c>
      <c r="H715" s="63">
        <f>'Procurement Schedule'!N833</f>
        <v>0</v>
      </c>
      <c r="I715">
        <f t="shared" si="143"/>
        <v>1</v>
      </c>
      <c r="J715">
        <f t="shared" si="147"/>
        <v>1900</v>
      </c>
      <c r="K715" t="str">
        <f t="shared" si="148"/>
        <v>1_1900</v>
      </c>
      <c r="S715" t="str">
        <f t="shared" si="150"/>
        <v/>
      </c>
      <c r="T715" s="64" t="str">
        <f t="shared" si="149"/>
        <v/>
      </c>
      <c r="AA715" t="str">
        <f t="shared" si="151"/>
        <v/>
      </c>
      <c r="AB715" s="64" t="str">
        <f t="shared" si="152"/>
        <v/>
      </c>
    </row>
    <row r="716" spans="1:28" x14ac:dyDescent="0.35">
      <c r="A716">
        <f>'Procurement Schedule'!R834</f>
        <v>0</v>
      </c>
      <c r="B716" s="63">
        <f>'Procurement Schedule'!M834</f>
        <v>0</v>
      </c>
      <c r="C716">
        <f t="shared" si="142"/>
        <v>1</v>
      </c>
      <c r="D716">
        <f t="shared" si="144"/>
        <v>1900</v>
      </c>
      <c r="E716" t="str">
        <f t="shared" si="145"/>
        <v>1_1900</v>
      </c>
      <c r="G716">
        <f t="shared" si="146"/>
        <v>0</v>
      </c>
      <c r="H716" s="63">
        <f>'Procurement Schedule'!N834</f>
        <v>0</v>
      </c>
      <c r="I716">
        <f t="shared" si="143"/>
        <v>1</v>
      </c>
      <c r="J716">
        <f t="shared" si="147"/>
        <v>1900</v>
      </c>
      <c r="K716" t="str">
        <f t="shared" si="148"/>
        <v>1_1900</v>
      </c>
      <c r="S716" t="str">
        <f t="shared" si="150"/>
        <v/>
      </c>
      <c r="T716" s="64" t="str">
        <f t="shared" si="149"/>
        <v/>
      </c>
      <c r="AA716" t="str">
        <f t="shared" si="151"/>
        <v/>
      </c>
      <c r="AB716" s="64" t="str">
        <f t="shared" si="152"/>
        <v/>
      </c>
    </row>
    <row r="717" spans="1:28" x14ac:dyDescent="0.35">
      <c r="A717">
        <f>'Procurement Schedule'!R835</f>
        <v>0</v>
      </c>
      <c r="B717" s="63">
        <f>'Procurement Schedule'!M835</f>
        <v>0</v>
      </c>
      <c r="C717">
        <f t="shared" si="142"/>
        <v>1</v>
      </c>
      <c r="D717">
        <f t="shared" si="144"/>
        <v>1900</v>
      </c>
      <c r="E717" t="str">
        <f t="shared" si="145"/>
        <v>1_1900</v>
      </c>
      <c r="G717">
        <f t="shared" si="146"/>
        <v>0</v>
      </c>
      <c r="H717" s="63">
        <f>'Procurement Schedule'!N835</f>
        <v>0</v>
      </c>
      <c r="I717">
        <f t="shared" si="143"/>
        <v>1</v>
      </c>
      <c r="J717">
        <f t="shared" si="147"/>
        <v>1900</v>
      </c>
      <c r="K717" t="str">
        <f t="shared" si="148"/>
        <v>1_1900</v>
      </c>
      <c r="S717" t="str">
        <f t="shared" si="150"/>
        <v/>
      </c>
      <c r="T717" s="64" t="str">
        <f t="shared" si="149"/>
        <v/>
      </c>
      <c r="AA717" t="str">
        <f t="shared" si="151"/>
        <v/>
      </c>
      <c r="AB717" s="64" t="str">
        <f t="shared" si="152"/>
        <v/>
      </c>
    </row>
    <row r="718" spans="1:28" x14ac:dyDescent="0.35">
      <c r="A718">
        <f>'Procurement Schedule'!R836</f>
        <v>0</v>
      </c>
      <c r="B718" s="63">
        <f>'Procurement Schedule'!M836</f>
        <v>0</v>
      </c>
      <c r="C718">
        <f t="shared" si="142"/>
        <v>1</v>
      </c>
      <c r="D718">
        <f t="shared" si="144"/>
        <v>1900</v>
      </c>
      <c r="E718" t="str">
        <f t="shared" si="145"/>
        <v>1_1900</v>
      </c>
      <c r="G718">
        <f t="shared" si="146"/>
        <v>0</v>
      </c>
      <c r="H718" s="63">
        <f>'Procurement Schedule'!N836</f>
        <v>0</v>
      </c>
      <c r="I718">
        <f t="shared" si="143"/>
        <v>1</v>
      </c>
      <c r="J718">
        <f t="shared" si="147"/>
        <v>1900</v>
      </c>
      <c r="K718" t="str">
        <f t="shared" si="148"/>
        <v>1_1900</v>
      </c>
      <c r="S718" t="str">
        <f t="shared" si="150"/>
        <v/>
      </c>
      <c r="T718" s="64" t="str">
        <f t="shared" si="149"/>
        <v/>
      </c>
      <c r="AA718" t="str">
        <f t="shared" si="151"/>
        <v/>
      </c>
      <c r="AB718" s="64" t="str">
        <f t="shared" si="152"/>
        <v/>
      </c>
    </row>
    <row r="719" spans="1:28" x14ac:dyDescent="0.35">
      <c r="A719">
        <f>'Procurement Schedule'!R837</f>
        <v>0</v>
      </c>
      <c r="B719" s="63">
        <f>'Procurement Schedule'!M837</f>
        <v>0</v>
      </c>
      <c r="C719">
        <f t="shared" si="142"/>
        <v>1</v>
      </c>
      <c r="D719">
        <f t="shared" si="144"/>
        <v>1900</v>
      </c>
      <c r="E719" t="str">
        <f t="shared" si="145"/>
        <v>1_1900</v>
      </c>
      <c r="G719">
        <f t="shared" si="146"/>
        <v>0</v>
      </c>
      <c r="H719" s="63">
        <f>'Procurement Schedule'!N837</f>
        <v>0</v>
      </c>
      <c r="I719">
        <f t="shared" si="143"/>
        <v>1</v>
      </c>
      <c r="J719">
        <f t="shared" si="147"/>
        <v>1900</v>
      </c>
      <c r="K719" t="str">
        <f t="shared" si="148"/>
        <v>1_1900</v>
      </c>
      <c r="S719" t="str">
        <f t="shared" si="150"/>
        <v/>
      </c>
      <c r="T719" s="64" t="str">
        <f t="shared" si="149"/>
        <v/>
      </c>
      <c r="AA719" t="str">
        <f t="shared" si="151"/>
        <v/>
      </c>
      <c r="AB719" s="64" t="str">
        <f t="shared" si="152"/>
        <v/>
      </c>
    </row>
    <row r="720" spans="1:28" x14ac:dyDescent="0.35">
      <c r="A720">
        <f>'Procurement Schedule'!R838</f>
        <v>0</v>
      </c>
      <c r="B720" s="63">
        <f>'Procurement Schedule'!M838</f>
        <v>0</v>
      </c>
      <c r="C720">
        <f t="shared" si="142"/>
        <v>1</v>
      </c>
      <c r="D720">
        <f t="shared" si="144"/>
        <v>1900</v>
      </c>
      <c r="E720" t="str">
        <f t="shared" si="145"/>
        <v>1_1900</v>
      </c>
      <c r="G720">
        <f t="shared" si="146"/>
        <v>0</v>
      </c>
      <c r="H720" s="63">
        <f>'Procurement Schedule'!N838</f>
        <v>0</v>
      </c>
      <c r="I720">
        <f t="shared" si="143"/>
        <v>1</v>
      </c>
      <c r="J720">
        <f t="shared" si="147"/>
        <v>1900</v>
      </c>
      <c r="K720" t="str">
        <f t="shared" si="148"/>
        <v>1_1900</v>
      </c>
      <c r="S720" t="str">
        <f t="shared" si="150"/>
        <v/>
      </c>
      <c r="T720" s="64" t="str">
        <f t="shared" si="149"/>
        <v/>
      </c>
      <c r="AA720" t="str">
        <f t="shared" si="151"/>
        <v/>
      </c>
      <c r="AB720" s="64" t="str">
        <f t="shared" si="152"/>
        <v/>
      </c>
    </row>
    <row r="721" spans="1:28" x14ac:dyDescent="0.35">
      <c r="A721">
        <f>'Procurement Schedule'!R839</f>
        <v>0</v>
      </c>
      <c r="B721" s="63">
        <f>'Procurement Schedule'!M839</f>
        <v>0</v>
      </c>
      <c r="C721">
        <f t="shared" si="142"/>
        <v>1</v>
      </c>
      <c r="D721">
        <f t="shared" si="144"/>
        <v>1900</v>
      </c>
      <c r="E721" t="str">
        <f t="shared" si="145"/>
        <v>1_1900</v>
      </c>
      <c r="G721">
        <f t="shared" si="146"/>
        <v>0</v>
      </c>
      <c r="H721" s="63">
        <f>'Procurement Schedule'!N839</f>
        <v>0</v>
      </c>
      <c r="I721">
        <f t="shared" si="143"/>
        <v>1</v>
      </c>
      <c r="J721">
        <f t="shared" si="147"/>
        <v>1900</v>
      </c>
      <c r="K721" t="str">
        <f t="shared" si="148"/>
        <v>1_1900</v>
      </c>
      <c r="S721" t="str">
        <f t="shared" si="150"/>
        <v/>
      </c>
      <c r="T721" s="64" t="str">
        <f t="shared" si="149"/>
        <v/>
      </c>
      <c r="AA721" t="str">
        <f t="shared" si="151"/>
        <v/>
      </c>
      <c r="AB721" s="64" t="str">
        <f t="shared" si="152"/>
        <v/>
      </c>
    </row>
    <row r="722" spans="1:28" x14ac:dyDescent="0.35">
      <c r="A722">
        <f>'Procurement Schedule'!R840</f>
        <v>0</v>
      </c>
      <c r="B722" s="63">
        <f>'Procurement Schedule'!M840</f>
        <v>0</v>
      </c>
      <c r="C722">
        <f t="shared" si="142"/>
        <v>1</v>
      </c>
      <c r="D722">
        <f t="shared" si="144"/>
        <v>1900</v>
      </c>
      <c r="E722" t="str">
        <f t="shared" si="145"/>
        <v>1_1900</v>
      </c>
      <c r="G722">
        <f t="shared" si="146"/>
        <v>0</v>
      </c>
      <c r="H722" s="63">
        <f>'Procurement Schedule'!N840</f>
        <v>0</v>
      </c>
      <c r="I722">
        <f t="shared" si="143"/>
        <v>1</v>
      </c>
      <c r="J722">
        <f t="shared" si="147"/>
        <v>1900</v>
      </c>
      <c r="K722" t="str">
        <f t="shared" si="148"/>
        <v>1_1900</v>
      </c>
      <c r="S722" t="str">
        <f t="shared" si="150"/>
        <v/>
      </c>
      <c r="T722" s="64" t="str">
        <f t="shared" si="149"/>
        <v/>
      </c>
      <c r="AA722" t="str">
        <f t="shared" si="151"/>
        <v/>
      </c>
      <c r="AB722" s="64" t="str">
        <f t="shared" si="152"/>
        <v/>
      </c>
    </row>
    <row r="723" spans="1:28" x14ac:dyDescent="0.35">
      <c r="A723">
        <f>'Procurement Schedule'!R841</f>
        <v>0</v>
      </c>
      <c r="B723" s="63">
        <f>'Procurement Schedule'!M841</f>
        <v>0</v>
      </c>
      <c r="C723">
        <f t="shared" ref="C723:C786" si="153">MONTH(B723)</f>
        <v>1</v>
      </c>
      <c r="D723">
        <f t="shared" si="144"/>
        <v>1900</v>
      </c>
      <c r="E723" t="str">
        <f t="shared" si="145"/>
        <v>1_1900</v>
      </c>
      <c r="G723">
        <f t="shared" si="146"/>
        <v>0</v>
      </c>
      <c r="H723" s="63">
        <f>'Procurement Schedule'!N841</f>
        <v>0</v>
      </c>
      <c r="I723">
        <f t="shared" si="143"/>
        <v>1</v>
      </c>
      <c r="J723">
        <f t="shared" si="147"/>
        <v>1900</v>
      </c>
      <c r="K723" t="str">
        <f t="shared" si="148"/>
        <v>1_1900</v>
      </c>
      <c r="S723" t="str">
        <f t="shared" si="150"/>
        <v/>
      </c>
      <c r="T723" s="64" t="str">
        <f t="shared" si="149"/>
        <v/>
      </c>
      <c r="AA723" t="str">
        <f t="shared" si="151"/>
        <v/>
      </c>
      <c r="AB723" s="64" t="str">
        <f t="shared" si="152"/>
        <v/>
      </c>
    </row>
    <row r="724" spans="1:28" x14ac:dyDescent="0.35">
      <c r="A724">
        <f>'Procurement Schedule'!R842</f>
        <v>0</v>
      </c>
      <c r="B724" s="63">
        <f>'Procurement Schedule'!M842</f>
        <v>0</v>
      </c>
      <c r="C724">
        <f t="shared" si="153"/>
        <v>1</v>
      </c>
      <c r="D724">
        <f t="shared" si="144"/>
        <v>1900</v>
      </c>
      <c r="E724" t="str">
        <f t="shared" si="145"/>
        <v>1_1900</v>
      </c>
      <c r="G724">
        <f t="shared" si="146"/>
        <v>0</v>
      </c>
      <c r="H724" s="63">
        <f>'Procurement Schedule'!N842</f>
        <v>0</v>
      </c>
      <c r="I724">
        <f t="shared" ref="I724:I787" si="154">MONTH(H724)</f>
        <v>1</v>
      </c>
      <c r="J724">
        <f t="shared" si="147"/>
        <v>1900</v>
      </c>
      <c r="K724" t="str">
        <f t="shared" si="148"/>
        <v>1_1900</v>
      </c>
      <c r="S724" t="str">
        <f t="shared" si="150"/>
        <v/>
      </c>
      <c r="T724" s="64" t="str">
        <f t="shared" si="149"/>
        <v/>
      </c>
      <c r="AA724" t="str">
        <f t="shared" si="151"/>
        <v/>
      </c>
      <c r="AB724" s="64" t="str">
        <f t="shared" si="152"/>
        <v/>
      </c>
    </row>
    <row r="725" spans="1:28" x14ac:dyDescent="0.35">
      <c r="A725">
        <f>'Procurement Schedule'!R843</f>
        <v>0</v>
      </c>
      <c r="B725" s="63">
        <f>'Procurement Schedule'!M843</f>
        <v>0</v>
      </c>
      <c r="C725">
        <f t="shared" si="153"/>
        <v>1</v>
      </c>
      <c r="D725">
        <f t="shared" si="144"/>
        <v>1900</v>
      </c>
      <c r="E725" t="str">
        <f t="shared" si="145"/>
        <v>1_1900</v>
      </c>
      <c r="G725">
        <f t="shared" si="146"/>
        <v>0</v>
      </c>
      <c r="H725" s="63">
        <f>'Procurement Schedule'!N843</f>
        <v>0</v>
      </c>
      <c r="I725">
        <f t="shared" si="154"/>
        <v>1</v>
      </c>
      <c r="J725">
        <f t="shared" si="147"/>
        <v>1900</v>
      </c>
      <c r="K725" t="str">
        <f t="shared" si="148"/>
        <v>1_1900</v>
      </c>
      <c r="S725" t="str">
        <f t="shared" si="150"/>
        <v/>
      </c>
      <c r="T725" s="64" t="str">
        <f t="shared" si="149"/>
        <v/>
      </c>
      <c r="AA725" t="str">
        <f t="shared" si="151"/>
        <v/>
      </c>
      <c r="AB725" s="64" t="str">
        <f t="shared" si="152"/>
        <v/>
      </c>
    </row>
    <row r="726" spans="1:28" x14ac:dyDescent="0.35">
      <c r="A726">
        <f>'Procurement Schedule'!R844</f>
        <v>0</v>
      </c>
      <c r="B726" s="63">
        <f>'Procurement Schedule'!M844</f>
        <v>0</v>
      </c>
      <c r="C726">
        <f t="shared" si="153"/>
        <v>1</v>
      </c>
      <c r="D726">
        <f t="shared" si="144"/>
        <v>1900</v>
      </c>
      <c r="E726" t="str">
        <f t="shared" si="145"/>
        <v>1_1900</v>
      </c>
      <c r="G726">
        <f t="shared" si="146"/>
        <v>0</v>
      </c>
      <c r="H726" s="63">
        <f>'Procurement Schedule'!N844</f>
        <v>0</v>
      </c>
      <c r="I726">
        <f t="shared" si="154"/>
        <v>1</v>
      </c>
      <c r="J726">
        <f t="shared" si="147"/>
        <v>1900</v>
      </c>
      <c r="K726" t="str">
        <f t="shared" si="148"/>
        <v>1_1900</v>
      </c>
      <c r="S726" t="str">
        <f t="shared" si="150"/>
        <v/>
      </c>
      <c r="T726" s="64" t="str">
        <f t="shared" si="149"/>
        <v/>
      </c>
      <c r="AA726" t="str">
        <f t="shared" si="151"/>
        <v/>
      </c>
      <c r="AB726" s="64" t="str">
        <f t="shared" si="152"/>
        <v/>
      </c>
    </row>
    <row r="727" spans="1:28" x14ac:dyDescent="0.35">
      <c r="A727">
        <f>'Procurement Schedule'!R845</f>
        <v>0</v>
      </c>
      <c r="B727" s="63">
        <f>'Procurement Schedule'!M845</f>
        <v>0</v>
      </c>
      <c r="C727">
        <f t="shared" si="153"/>
        <v>1</v>
      </c>
      <c r="D727">
        <f t="shared" si="144"/>
        <v>1900</v>
      </c>
      <c r="E727" t="str">
        <f t="shared" si="145"/>
        <v>1_1900</v>
      </c>
      <c r="G727">
        <f t="shared" si="146"/>
        <v>0</v>
      </c>
      <c r="H727" s="63">
        <f>'Procurement Schedule'!N845</f>
        <v>0</v>
      </c>
      <c r="I727">
        <f t="shared" si="154"/>
        <v>1</v>
      </c>
      <c r="J727">
        <f t="shared" si="147"/>
        <v>1900</v>
      </c>
      <c r="K727" t="str">
        <f t="shared" si="148"/>
        <v>1_1900</v>
      </c>
      <c r="S727" t="str">
        <f t="shared" si="150"/>
        <v/>
      </c>
      <c r="T727" s="64" t="str">
        <f t="shared" si="149"/>
        <v/>
      </c>
      <c r="AA727" t="str">
        <f t="shared" si="151"/>
        <v/>
      </c>
      <c r="AB727" s="64" t="str">
        <f t="shared" si="152"/>
        <v/>
      </c>
    </row>
    <row r="728" spans="1:28" x14ac:dyDescent="0.35">
      <c r="A728">
        <f>'Procurement Schedule'!R846</f>
        <v>0</v>
      </c>
      <c r="B728" s="63">
        <f>'Procurement Schedule'!M846</f>
        <v>0</v>
      </c>
      <c r="C728">
        <f t="shared" si="153"/>
        <v>1</v>
      </c>
      <c r="D728">
        <f t="shared" si="144"/>
        <v>1900</v>
      </c>
      <c r="E728" t="str">
        <f t="shared" si="145"/>
        <v>1_1900</v>
      </c>
      <c r="G728">
        <f t="shared" si="146"/>
        <v>0</v>
      </c>
      <c r="H728" s="63">
        <f>'Procurement Schedule'!N846</f>
        <v>0</v>
      </c>
      <c r="I728">
        <f t="shared" si="154"/>
        <v>1</v>
      </c>
      <c r="J728">
        <f t="shared" si="147"/>
        <v>1900</v>
      </c>
      <c r="K728" t="str">
        <f t="shared" si="148"/>
        <v>1_1900</v>
      </c>
      <c r="S728" t="str">
        <f t="shared" si="150"/>
        <v/>
      </c>
      <c r="T728" s="64" t="str">
        <f t="shared" si="149"/>
        <v/>
      </c>
      <c r="AA728" t="str">
        <f t="shared" si="151"/>
        <v/>
      </c>
      <c r="AB728" s="64" t="str">
        <f t="shared" si="152"/>
        <v/>
      </c>
    </row>
    <row r="729" spans="1:28" x14ac:dyDescent="0.35">
      <c r="A729">
        <f>'Procurement Schedule'!R847</f>
        <v>0</v>
      </c>
      <c r="B729" s="63">
        <f>'Procurement Schedule'!M847</f>
        <v>0</v>
      </c>
      <c r="C729">
        <f t="shared" si="153"/>
        <v>1</v>
      </c>
      <c r="D729">
        <f t="shared" si="144"/>
        <v>1900</v>
      </c>
      <c r="E729" t="str">
        <f t="shared" si="145"/>
        <v>1_1900</v>
      </c>
      <c r="G729">
        <f t="shared" si="146"/>
        <v>0</v>
      </c>
      <c r="H729" s="63">
        <f>'Procurement Schedule'!N847</f>
        <v>0</v>
      </c>
      <c r="I729">
        <f t="shared" si="154"/>
        <v>1</v>
      </c>
      <c r="J729">
        <f t="shared" si="147"/>
        <v>1900</v>
      </c>
      <c r="K729" t="str">
        <f t="shared" si="148"/>
        <v>1_1900</v>
      </c>
      <c r="S729" t="str">
        <f t="shared" si="150"/>
        <v/>
      </c>
      <c r="T729" s="64" t="str">
        <f t="shared" si="149"/>
        <v/>
      </c>
      <c r="AA729" t="str">
        <f t="shared" si="151"/>
        <v/>
      </c>
      <c r="AB729" s="64" t="str">
        <f t="shared" si="152"/>
        <v/>
      </c>
    </row>
    <row r="730" spans="1:28" x14ac:dyDescent="0.35">
      <c r="A730">
        <f>'Procurement Schedule'!R848</f>
        <v>0</v>
      </c>
      <c r="B730" s="63">
        <f>'Procurement Schedule'!M848</f>
        <v>0</v>
      </c>
      <c r="C730">
        <f t="shared" si="153"/>
        <v>1</v>
      </c>
      <c r="D730">
        <f t="shared" si="144"/>
        <v>1900</v>
      </c>
      <c r="E730" t="str">
        <f t="shared" si="145"/>
        <v>1_1900</v>
      </c>
      <c r="G730">
        <f t="shared" si="146"/>
        <v>0</v>
      </c>
      <c r="H730" s="63">
        <f>'Procurement Schedule'!N848</f>
        <v>0</v>
      </c>
      <c r="I730">
        <f t="shared" si="154"/>
        <v>1</v>
      </c>
      <c r="J730">
        <f t="shared" si="147"/>
        <v>1900</v>
      </c>
      <c r="K730" t="str">
        <f t="shared" si="148"/>
        <v>1_1900</v>
      </c>
      <c r="S730" t="str">
        <f t="shared" si="150"/>
        <v/>
      </c>
      <c r="T730" s="64" t="str">
        <f t="shared" si="149"/>
        <v/>
      </c>
      <c r="AA730" t="str">
        <f t="shared" si="151"/>
        <v/>
      </c>
      <c r="AB730" s="64" t="str">
        <f t="shared" si="152"/>
        <v/>
      </c>
    </row>
    <row r="731" spans="1:28" x14ac:dyDescent="0.35">
      <c r="A731">
        <f>'Procurement Schedule'!R849</f>
        <v>0</v>
      </c>
      <c r="B731" s="63">
        <f>'Procurement Schedule'!M849</f>
        <v>0</v>
      </c>
      <c r="C731">
        <f t="shared" si="153"/>
        <v>1</v>
      </c>
      <c r="D731">
        <f t="shared" si="144"/>
        <v>1900</v>
      </c>
      <c r="E731" t="str">
        <f t="shared" si="145"/>
        <v>1_1900</v>
      </c>
      <c r="G731">
        <f t="shared" si="146"/>
        <v>0</v>
      </c>
      <c r="H731" s="63">
        <f>'Procurement Schedule'!N849</f>
        <v>0</v>
      </c>
      <c r="I731">
        <f t="shared" si="154"/>
        <v>1</v>
      </c>
      <c r="J731">
        <f t="shared" si="147"/>
        <v>1900</v>
      </c>
      <c r="K731" t="str">
        <f t="shared" si="148"/>
        <v>1_1900</v>
      </c>
      <c r="S731" t="str">
        <f t="shared" si="150"/>
        <v/>
      </c>
      <c r="T731" s="64" t="str">
        <f t="shared" si="149"/>
        <v/>
      </c>
      <c r="AA731" t="str">
        <f t="shared" si="151"/>
        <v/>
      </c>
      <c r="AB731" s="64" t="str">
        <f t="shared" si="152"/>
        <v/>
      </c>
    </row>
    <row r="732" spans="1:28" x14ac:dyDescent="0.35">
      <c r="A732">
        <f>'Procurement Schedule'!R850</f>
        <v>0</v>
      </c>
      <c r="B732" s="63">
        <f>'Procurement Schedule'!M850</f>
        <v>0</v>
      </c>
      <c r="C732">
        <f t="shared" si="153"/>
        <v>1</v>
      </c>
      <c r="D732">
        <f t="shared" si="144"/>
        <v>1900</v>
      </c>
      <c r="E732" t="str">
        <f t="shared" si="145"/>
        <v>1_1900</v>
      </c>
      <c r="G732">
        <f t="shared" si="146"/>
        <v>0</v>
      </c>
      <c r="H732" s="63">
        <f>'Procurement Schedule'!N850</f>
        <v>0</v>
      </c>
      <c r="I732">
        <f t="shared" si="154"/>
        <v>1</v>
      </c>
      <c r="J732">
        <f t="shared" si="147"/>
        <v>1900</v>
      </c>
      <c r="K732" t="str">
        <f t="shared" si="148"/>
        <v>1_1900</v>
      </c>
      <c r="S732" t="str">
        <f t="shared" si="150"/>
        <v/>
      </c>
      <c r="T732" s="64" t="str">
        <f t="shared" si="149"/>
        <v/>
      </c>
      <c r="AA732" t="str">
        <f t="shared" si="151"/>
        <v/>
      </c>
      <c r="AB732" s="64" t="str">
        <f t="shared" si="152"/>
        <v/>
      </c>
    </row>
    <row r="733" spans="1:28" x14ac:dyDescent="0.35">
      <c r="A733">
        <f>'Procurement Schedule'!R851</f>
        <v>0</v>
      </c>
      <c r="B733" s="63">
        <f>'Procurement Schedule'!M851</f>
        <v>0</v>
      </c>
      <c r="C733">
        <f t="shared" si="153"/>
        <v>1</v>
      </c>
      <c r="D733">
        <f t="shared" si="144"/>
        <v>1900</v>
      </c>
      <c r="E733" t="str">
        <f t="shared" si="145"/>
        <v>1_1900</v>
      </c>
      <c r="G733">
        <f t="shared" si="146"/>
        <v>0</v>
      </c>
      <c r="H733" s="63">
        <f>'Procurement Schedule'!N851</f>
        <v>0</v>
      </c>
      <c r="I733">
        <f t="shared" si="154"/>
        <v>1</v>
      </c>
      <c r="J733">
        <f t="shared" si="147"/>
        <v>1900</v>
      </c>
      <c r="K733" t="str">
        <f t="shared" si="148"/>
        <v>1_1900</v>
      </c>
      <c r="S733" t="str">
        <f t="shared" si="150"/>
        <v/>
      </c>
      <c r="T733" s="64" t="str">
        <f t="shared" si="149"/>
        <v/>
      </c>
      <c r="AA733" t="str">
        <f t="shared" si="151"/>
        <v/>
      </c>
      <c r="AB733" s="64" t="str">
        <f t="shared" si="152"/>
        <v/>
      </c>
    </row>
    <row r="734" spans="1:28" x14ac:dyDescent="0.35">
      <c r="A734">
        <f>'Procurement Schedule'!R852</f>
        <v>0</v>
      </c>
      <c r="B734" s="63">
        <f>'Procurement Schedule'!M852</f>
        <v>0</v>
      </c>
      <c r="C734">
        <f t="shared" si="153"/>
        <v>1</v>
      </c>
      <c r="D734">
        <f t="shared" si="144"/>
        <v>1900</v>
      </c>
      <c r="E734" t="str">
        <f t="shared" si="145"/>
        <v>1_1900</v>
      </c>
      <c r="G734">
        <f t="shared" si="146"/>
        <v>0</v>
      </c>
      <c r="H734" s="63">
        <f>'Procurement Schedule'!N852</f>
        <v>0</v>
      </c>
      <c r="I734">
        <f t="shared" si="154"/>
        <v>1</v>
      </c>
      <c r="J734">
        <f t="shared" si="147"/>
        <v>1900</v>
      </c>
      <c r="K734" t="str">
        <f t="shared" si="148"/>
        <v>1_1900</v>
      </c>
      <c r="S734" t="str">
        <f t="shared" si="150"/>
        <v/>
      </c>
      <c r="T734" s="64" t="str">
        <f t="shared" si="149"/>
        <v/>
      </c>
      <c r="AA734" t="str">
        <f t="shared" si="151"/>
        <v/>
      </c>
      <c r="AB734" s="64" t="str">
        <f t="shared" si="152"/>
        <v/>
      </c>
    </row>
    <row r="735" spans="1:28" x14ac:dyDescent="0.35">
      <c r="A735">
        <f>'Procurement Schedule'!R853</f>
        <v>0</v>
      </c>
      <c r="B735" s="63">
        <f>'Procurement Schedule'!M853</f>
        <v>0</v>
      </c>
      <c r="C735">
        <f t="shared" si="153"/>
        <v>1</v>
      </c>
      <c r="D735">
        <f t="shared" si="144"/>
        <v>1900</v>
      </c>
      <c r="E735" t="str">
        <f t="shared" si="145"/>
        <v>1_1900</v>
      </c>
      <c r="G735">
        <f t="shared" si="146"/>
        <v>0</v>
      </c>
      <c r="H735" s="63">
        <f>'Procurement Schedule'!N853</f>
        <v>0</v>
      </c>
      <c r="I735">
        <f t="shared" si="154"/>
        <v>1</v>
      </c>
      <c r="J735">
        <f t="shared" si="147"/>
        <v>1900</v>
      </c>
      <c r="K735" t="str">
        <f t="shared" si="148"/>
        <v>1_1900</v>
      </c>
      <c r="S735" t="str">
        <f t="shared" si="150"/>
        <v/>
      </c>
      <c r="T735" s="64" t="str">
        <f t="shared" si="149"/>
        <v/>
      </c>
      <c r="AA735" t="str">
        <f t="shared" si="151"/>
        <v/>
      </c>
      <c r="AB735" s="64" t="str">
        <f t="shared" si="152"/>
        <v/>
      </c>
    </row>
    <row r="736" spans="1:28" x14ac:dyDescent="0.35">
      <c r="A736">
        <f>'Procurement Schedule'!R854</f>
        <v>0</v>
      </c>
      <c r="B736" s="63">
        <f>'Procurement Schedule'!M854</f>
        <v>0</v>
      </c>
      <c r="C736">
        <f t="shared" si="153"/>
        <v>1</v>
      </c>
      <c r="D736">
        <f t="shared" si="144"/>
        <v>1900</v>
      </c>
      <c r="E736" t="str">
        <f t="shared" si="145"/>
        <v>1_1900</v>
      </c>
      <c r="G736">
        <f t="shared" si="146"/>
        <v>0</v>
      </c>
      <c r="H736" s="63">
        <f>'Procurement Schedule'!N854</f>
        <v>0</v>
      </c>
      <c r="I736">
        <f t="shared" si="154"/>
        <v>1</v>
      </c>
      <c r="J736">
        <f t="shared" si="147"/>
        <v>1900</v>
      </c>
      <c r="K736" t="str">
        <f t="shared" si="148"/>
        <v>1_1900</v>
      </c>
      <c r="S736" t="str">
        <f t="shared" si="150"/>
        <v/>
      </c>
      <c r="T736" s="64" t="str">
        <f t="shared" si="149"/>
        <v/>
      </c>
      <c r="AA736" t="str">
        <f t="shared" si="151"/>
        <v/>
      </c>
      <c r="AB736" s="64" t="str">
        <f t="shared" si="152"/>
        <v/>
      </c>
    </row>
    <row r="737" spans="1:28" x14ac:dyDescent="0.35">
      <c r="A737">
        <f>'Procurement Schedule'!R855</f>
        <v>0</v>
      </c>
      <c r="B737" s="63">
        <f>'Procurement Schedule'!M855</f>
        <v>0</v>
      </c>
      <c r="C737">
        <f t="shared" si="153"/>
        <v>1</v>
      </c>
      <c r="D737">
        <f t="shared" si="144"/>
        <v>1900</v>
      </c>
      <c r="E737" t="str">
        <f t="shared" si="145"/>
        <v>1_1900</v>
      </c>
      <c r="G737">
        <f t="shared" si="146"/>
        <v>0</v>
      </c>
      <c r="H737" s="63">
        <f>'Procurement Schedule'!N855</f>
        <v>0</v>
      </c>
      <c r="I737">
        <f t="shared" si="154"/>
        <v>1</v>
      </c>
      <c r="J737">
        <f t="shared" si="147"/>
        <v>1900</v>
      </c>
      <c r="K737" t="str">
        <f t="shared" si="148"/>
        <v>1_1900</v>
      </c>
      <c r="S737" t="str">
        <f t="shared" si="150"/>
        <v/>
      </c>
      <c r="T737" s="64" t="str">
        <f t="shared" si="149"/>
        <v/>
      </c>
      <c r="AA737" t="str">
        <f t="shared" si="151"/>
        <v/>
      </c>
      <c r="AB737" s="64" t="str">
        <f t="shared" si="152"/>
        <v/>
      </c>
    </row>
    <row r="738" spans="1:28" x14ac:dyDescent="0.35">
      <c r="A738">
        <f>'Procurement Schedule'!R856</f>
        <v>0</v>
      </c>
      <c r="B738" s="63">
        <f>'Procurement Schedule'!M856</f>
        <v>0</v>
      </c>
      <c r="C738">
        <f t="shared" si="153"/>
        <v>1</v>
      </c>
      <c r="D738">
        <f t="shared" si="144"/>
        <v>1900</v>
      </c>
      <c r="E738" t="str">
        <f t="shared" si="145"/>
        <v>1_1900</v>
      </c>
      <c r="G738">
        <f t="shared" si="146"/>
        <v>0</v>
      </c>
      <c r="H738" s="63">
        <f>'Procurement Schedule'!N856</f>
        <v>0</v>
      </c>
      <c r="I738">
        <f t="shared" si="154"/>
        <v>1</v>
      </c>
      <c r="J738">
        <f t="shared" si="147"/>
        <v>1900</v>
      </c>
      <c r="K738" t="str">
        <f t="shared" si="148"/>
        <v>1_1900</v>
      </c>
      <c r="S738" t="str">
        <f t="shared" si="150"/>
        <v/>
      </c>
      <c r="T738" s="64" t="str">
        <f t="shared" si="149"/>
        <v/>
      </c>
      <c r="AA738" t="str">
        <f t="shared" si="151"/>
        <v/>
      </c>
      <c r="AB738" s="64" t="str">
        <f t="shared" si="152"/>
        <v/>
      </c>
    </row>
    <row r="739" spans="1:28" x14ac:dyDescent="0.35">
      <c r="A739">
        <f>'Procurement Schedule'!R857</f>
        <v>0</v>
      </c>
      <c r="B739" s="63">
        <f>'Procurement Schedule'!M857</f>
        <v>0</v>
      </c>
      <c r="C739">
        <f t="shared" si="153"/>
        <v>1</v>
      </c>
      <c r="D739">
        <f t="shared" si="144"/>
        <v>1900</v>
      </c>
      <c r="E739" t="str">
        <f t="shared" si="145"/>
        <v>1_1900</v>
      </c>
      <c r="G739">
        <f t="shared" si="146"/>
        <v>0</v>
      </c>
      <c r="H739" s="63">
        <f>'Procurement Schedule'!N857</f>
        <v>0</v>
      </c>
      <c r="I739">
        <f t="shared" si="154"/>
        <v>1</v>
      </c>
      <c r="J739">
        <f t="shared" si="147"/>
        <v>1900</v>
      </c>
      <c r="K739" t="str">
        <f t="shared" si="148"/>
        <v>1_1900</v>
      </c>
      <c r="S739" t="str">
        <f t="shared" si="150"/>
        <v/>
      </c>
      <c r="T739" s="64" t="str">
        <f t="shared" si="149"/>
        <v/>
      </c>
      <c r="AA739" t="str">
        <f t="shared" si="151"/>
        <v/>
      </c>
      <c r="AB739" s="64" t="str">
        <f t="shared" si="152"/>
        <v/>
      </c>
    </row>
    <row r="740" spans="1:28" x14ac:dyDescent="0.35">
      <c r="A740">
        <f>'Procurement Schedule'!R858</f>
        <v>0</v>
      </c>
      <c r="B740" s="63">
        <f>'Procurement Schedule'!M858</f>
        <v>0</v>
      </c>
      <c r="C740">
        <f t="shared" si="153"/>
        <v>1</v>
      </c>
      <c r="D740">
        <f t="shared" si="144"/>
        <v>1900</v>
      </c>
      <c r="E740" t="str">
        <f t="shared" si="145"/>
        <v>1_1900</v>
      </c>
      <c r="G740">
        <f t="shared" si="146"/>
        <v>0</v>
      </c>
      <c r="H740" s="63">
        <f>'Procurement Schedule'!N858</f>
        <v>0</v>
      </c>
      <c r="I740">
        <f t="shared" si="154"/>
        <v>1</v>
      </c>
      <c r="J740">
        <f t="shared" si="147"/>
        <v>1900</v>
      </c>
      <c r="K740" t="str">
        <f t="shared" si="148"/>
        <v>1_1900</v>
      </c>
      <c r="S740" t="str">
        <f t="shared" si="150"/>
        <v/>
      </c>
      <c r="T740" s="64" t="str">
        <f t="shared" si="149"/>
        <v/>
      </c>
      <c r="AA740" t="str">
        <f t="shared" si="151"/>
        <v/>
      </c>
      <c r="AB740" s="64" t="str">
        <f t="shared" si="152"/>
        <v/>
      </c>
    </row>
    <row r="741" spans="1:28" x14ac:dyDescent="0.35">
      <c r="A741">
        <f>'Procurement Schedule'!R859</f>
        <v>0</v>
      </c>
      <c r="B741" s="63">
        <f>'Procurement Schedule'!M859</f>
        <v>0</v>
      </c>
      <c r="C741">
        <f t="shared" si="153"/>
        <v>1</v>
      </c>
      <c r="D741">
        <f t="shared" si="144"/>
        <v>1900</v>
      </c>
      <c r="E741" t="str">
        <f t="shared" si="145"/>
        <v>1_1900</v>
      </c>
      <c r="G741">
        <f t="shared" si="146"/>
        <v>0</v>
      </c>
      <c r="H741" s="63">
        <f>'Procurement Schedule'!N859</f>
        <v>0</v>
      </c>
      <c r="I741">
        <f t="shared" si="154"/>
        <v>1</v>
      </c>
      <c r="J741">
        <f t="shared" si="147"/>
        <v>1900</v>
      </c>
      <c r="K741" t="str">
        <f t="shared" si="148"/>
        <v>1_1900</v>
      </c>
      <c r="S741" t="str">
        <f t="shared" si="150"/>
        <v/>
      </c>
      <c r="T741" s="64" t="str">
        <f t="shared" si="149"/>
        <v/>
      </c>
      <c r="AA741" t="str">
        <f t="shared" si="151"/>
        <v/>
      </c>
      <c r="AB741" s="64" t="str">
        <f t="shared" si="152"/>
        <v/>
      </c>
    </row>
    <row r="742" spans="1:28" x14ac:dyDescent="0.35">
      <c r="A742">
        <f>'Procurement Schedule'!R860</f>
        <v>0</v>
      </c>
      <c r="B742" s="63">
        <f>'Procurement Schedule'!M860</f>
        <v>0</v>
      </c>
      <c r="C742">
        <f t="shared" si="153"/>
        <v>1</v>
      </c>
      <c r="D742">
        <f t="shared" si="144"/>
        <v>1900</v>
      </c>
      <c r="E742" t="str">
        <f t="shared" si="145"/>
        <v>1_1900</v>
      </c>
      <c r="G742">
        <f t="shared" si="146"/>
        <v>0</v>
      </c>
      <c r="H742" s="63">
        <f>'Procurement Schedule'!N860</f>
        <v>0</v>
      </c>
      <c r="I742">
        <f t="shared" si="154"/>
        <v>1</v>
      </c>
      <c r="J742">
        <f t="shared" si="147"/>
        <v>1900</v>
      </c>
      <c r="K742" t="str">
        <f t="shared" si="148"/>
        <v>1_1900</v>
      </c>
      <c r="S742" t="str">
        <f t="shared" si="150"/>
        <v/>
      </c>
      <c r="T742" s="64" t="str">
        <f t="shared" si="149"/>
        <v/>
      </c>
      <c r="AA742" t="str">
        <f t="shared" si="151"/>
        <v/>
      </c>
      <c r="AB742" s="64" t="str">
        <f t="shared" si="152"/>
        <v/>
      </c>
    </row>
    <row r="743" spans="1:28" x14ac:dyDescent="0.35">
      <c r="A743">
        <f>'Procurement Schedule'!R861</f>
        <v>0</v>
      </c>
      <c r="B743" s="63">
        <f>'Procurement Schedule'!M861</f>
        <v>0</v>
      </c>
      <c r="C743">
        <f t="shared" si="153"/>
        <v>1</v>
      </c>
      <c r="D743">
        <f t="shared" si="144"/>
        <v>1900</v>
      </c>
      <c r="E743" t="str">
        <f t="shared" si="145"/>
        <v>1_1900</v>
      </c>
      <c r="G743">
        <f t="shared" si="146"/>
        <v>0</v>
      </c>
      <c r="H743" s="63">
        <f>'Procurement Schedule'!N861</f>
        <v>0</v>
      </c>
      <c r="I743">
        <f t="shared" si="154"/>
        <v>1</v>
      </c>
      <c r="J743">
        <f t="shared" si="147"/>
        <v>1900</v>
      </c>
      <c r="K743" t="str">
        <f t="shared" si="148"/>
        <v>1_1900</v>
      </c>
      <c r="S743" t="str">
        <f t="shared" si="150"/>
        <v/>
      </c>
      <c r="T743" s="64" t="str">
        <f t="shared" si="149"/>
        <v/>
      </c>
      <c r="AA743" t="str">
        <f t="shared" si="151"/>
        <v/>
      </c>
      <c r="AB743" s="64" t="str">
        <f t="shared" si="152"/>
        <v/>
      </c>
    </row>
    <row r="744" spans="1:28" x14ac:dyDescent="0.35">
      <c r="A744">
        <f>'Procurement Schedule'!R862</f>
        <v>0</v>
      </c>
      <c r="B744" s="63">
        <f>'Procurement Schedule'!M862</f>
        <v>0</v>
      </c>
      <c r="C744">
        <f t="shared" si="153"/>
        <v>1</v>
      </c>
      <c r="D744">
        <f t="shared" si="144"/>
        <v>1900</v>
      </c>
      <c r="E744" t="str">
        <f t="shared" si="145"/>
        <v>1_1900</v>
      </c>
      <c r="G744">
        <f t="shared" si="146"/>
        <v>0</v>
      </c>
      <c r="H744" s="63">
        <f>'Procurement Schedule'!N862</f>
        <v>0</v>
      </c>
      <c r="I744">
        <f t="shared" si="154"/>
        <v>1</v>
      </c>
      <c r="J744">
        <f t="shared" si="147"/>
        <v>1900</v>
      </c>
      <c r="K744" t="str">
        <f t="shared" si="148"/>
        <v>1_1900</v>
      </c>
      <c r="S744" t="str">
        <f t="shared" si="150"/>
        <v/>
      </c>
      <c r="T744" s="64" t="str">
        <f t="shared" si="149"/>
        <v/>
      </c>
      <c r="AA744" t="str">
        <f t="shared" si="151"/>
        <v/>
      </c>
      <c r="AB744" s="64" t="str">
        <f t="shared" si="152"/>
        <v/>
      </c>
    </row>
    <row r="745" spans="1:28" x14ac:dyDescent="0.35">
      <c r="A745">
        <f>'Procurement Schedule'!R863</f>
        <v>0</v>
      </c>
      <c r="B745" s="63">
        <f>'Procurement Schedule'!M863</f>
        <v>0</v>
      </c>
      <c r="C745">
        <f t="shared" si="153"/>
        <v>1</v>
      </c>
      <c r="D745">
        <f t="shared" si="144"/>
        <v>1900</v>
      </c>
      <c r="E745" t="str">
        <f t="shared" si="145"/>
        <v>1_1900</v>
      </c>
      <c r="G745">
        <f t="shared" si="146"/>
        <v>0</v>
      </c>
      <c r="H745" s="63">
        <f>'Procurement Schedule'!N863</f>
        <v>0</v>
      </c>
      <c r="I745">
        <f t="shared" si="154"/>
        <v>1</v>
      </c>
      <c r="J745">
        <f t="shared" si="147"/>
        <v>1900</v>
      </c>
      <c r="K745" t="str">
        <f t="shared" si="148"/>
        <v>1_1900</v>
      </c>
      <c r="S745" t="str">
        <f t="shared" si="150"/>
        <v/>
      </c>
      <c r="T745" s="64" t="str">
        <f t="shared" si="149"/>
        <v/>
      </c>
      <c r="AA745" t="str">
        <f t="shared" si="151"/>
        <v/>
      </c>
      <c r="AB745" s="64" t="str">
        <f t="shared" si="152"/>
        <v/>
      </c>
    </row>
    <row r="746" spans="1:28" x14ac:dyDescent="0.35">
      <c r="A746">
        <f>'Procurement Schedule'!R864</f>
        <v>0</v>
      </c>
      <c r="B746" s="63">
        <f>'Procurement Schedule'!M864</f>
        <v>0</v>
      </c>
      <c r="C746">
        <f t="shared" si="153"/>
        <v>1</v>
      </c>
      <c r="D746">
        <f t="shared" si="144"/>
        <v>1900</v>
      </c>
      <c r="E746" t="str">
        <f t="shared" si="145"/>
        <v>1_1900</v>
      </c>
      <c r="G746">
        <f t="shared" si="146"/>
        <v>0</v>
      </c>
      <c r="H746" s="63">
        <f>'Procurement Schedule'!N864</f>
        <v>0</v>
      </c>
      <c r="I746">
        <f t="shared" si="154"/>
        <v>1</v>
      </c>
      <c r="J746">
        <f t="shared" si="147"/>
        <v>1900</v>
      </c>
      <c r="K746" t="str">
        <f t="shared" si="148"/>
        <v>1_1900</v>
      </c>
      <c r="S746" t="str">
        <f t="shared" si="150"/>
        <v/>
      </c>
      <c r="T746" s="64" t="str">
        <f t="shared" si="149"/>
        <v/>
      </c>
      <c r="AA746" t="str">
        <f t="shared" si="151"/>
        <v/>
      </c>
      <c r="AB746" s="64" t="str">
        <f t="shared" si="152"/>
        <v/>
      </c>
    </row>
    <row r="747" spans="1:28" x14ac:dyDescent="0.35">
      <c r="A747">
        <f>'Procurement Schedule'!R865</f>
        <v>0</v>
      </c>
      <c r="B747" s="63">
        <f>'Procurement Schedule'!M865</f>
        <v>0</v>
      </c>
      <c r="C747">
        <f t="shared" si="153"/>
        <v>1</v>
      </c>
      <c r="D747">
        <f t="shared" si="144"/>
        <v>1900</v>
      </c>
      <c r="E747" t="str">
        <f t="shared" si="145"/>
        <v>1_1900</v>
      </c>
      <c r="G747">
        <f t="shared" si="146"/>
        <v>0</v>
      </c>
      <c r="H747" s="63">
        <f>'Procurement Schedule'!N865</f>
        <v>0</v>
      </c>
      <c r="I747">
        <f t="shared" si="154"/>
        <v>1</v>
      </c>
      <c r="J747">
        <f t="shared" si="147"/>
        <v>1900</v>
      </c>
      <c r="K747" t="str">
        <f t="shared" si="148"/>
        <v>1_1900</v>
      </c>
      <c r="S747" t="str">
        <f t="shared" si="150"/>
        <v/>
      </c>
      <c r="T747" s="64" t="str">
        <f t="shared" si="149"/>
        <v/>
      </c>
      <c r="AA747" t="str">
        <f t="shared" si="151"/>
        <v/>
      </c>
      <c r="AB747" s="64" t="str">
        <f t="shared" si="152"/>
        <v/>
      </c>
    </row>
    <row r="748" spans="1:28" x14ac:dyDescent="0.35">
      <c r="A748">
        <f>'Procurement Schedule'!R866</f>
        <v>0</v>
      </c>
      <c r="B748" s="63">
        <f>'Procurement Schedule'!M866</f>
        <v>0</v>
      </c>
      <c r="C748">
        <f t="shared" si="153"/>
        <v>1</v>
      </c>
      <c r="D748">
        <f t="shared" si="144"/>
        <v>1900</v>
      </c>
      <c r="E748" t="str">
        <f t="shared" si="145"/>
        <v>1_1900</v>
      </c>
      <c r="G748">
        <f t="shared" si="146"/>
        <v>0</v>
      </c>
      <c r="H748" s="63">
        <f>'Procurement Schedule'!N866</f>
        <v>0</v>
      </c>
      <c r="I748">
        <f t="shared" si="154"/>
        <v>1</v>
      </c>
      <c r="J748">
        <f t="shared" si="147"/>
        <v>1900</v>
      </c>
      <c r="K748" t="str">
        <f t="shared" si="148"/>
        <v>1_1900</v>
      </c>
      <c r="S748" t="str">
        <f t="shared" si="150"/>
        <v/>
      </c>
      <c r="T748" s="64" t="str">
        <f t="shared" si="149"/>
        <v/>
      </c>
      <c r="AA748" t="str">
        <f t="shared" si="151"/>
        <v/>
      </c>
      <c r="AB748" s="64" t="str">
        <f t="shared" si="152"/>
        <v/>
      </c>
    </row>
    <row r="749" spans="1:28" x14ac:dyDescent="0.35">
      <c r="A749">
        <f>'Procurement Schedule'!R867</f>
        <v>0</v>
      </c>
      <c r="B749" s="63">
        <f>'Procurement Schedule'!M867</f>
        <v>0</v>
      </c>
      <c r="C749">
        <f t="shared" si="153"/>
        <v>1</v>
      </c>
      <c r="D749">
        <f t="shared" si="144"/>
        <v>1900</v>
      </c>
      <c r="E749" t="str">
        <f t="shared" si="145"/>
        <v>1_1900</v>
      </c>
      <c r="G749">
        <f t="shared" si="146"/>
        <v>0</v>
      </c>
      <c r="H749" s="63">
        <f>'Procurement Schedule'!N867</f>
        <v>0</v>
      </c>
      <c r="I749">
        <f t="shared" si="154"/>
        <v>1</v>
      </c>
      <c r="J749">
        <f t="shared" si="147"/>
        <v>1900</v>
      </c>
      <c r="K749" t="str">
        <f t="shared" si="148"/>
        <v>1_1900</v>
      </c>
      <c r="S749" t="str">
        <f t="shared" si="150"/>
        <v/>
      </c>
      <c r="T749" s="64" t="str">
        <f t="shared" si="149"/>
        <v/>
      </c>
      <c r="AA749" t="str">
        <f t="shared" si="151"/>
        <v/>
      </c>
      <c r="AB749" s="64" t="str">
        <f t="shared" si="152"/>
        <v/>
      </c>
    </row>
    <row r="750" spans="1:28" x14ac:dyDescent="0.35">
      <c r="A750">
        <f>'Procurement Schedule'!R868</f>
        <v>0</v>
      </c>
      <c r="B750" s="63">
        <f>'Procurement Schedule'!M868</f>
        <v>0</v>
      </c>
      <c r="C750">
        <f t="shared" si="153"/>
        <v>1</v>
      </c>
      <c r="D750">
        <f t="shared" si="144"/>
        <v>1900</v>
      </c>
      <c r="E750" t="str">
        <f t="shared" si="145"/>
        <v>1_1900</v>
      </c>
      <c r="G750">
        <f t="shared" si="146"/>
        <v>0</v>
      </c>
      <c r="H750" s="63">
        <f>'Procurement Schedule'!N868</f>
        <v>0</v>
      </c>
      <c r="I750">
        <f t="shared" si="154"/>
        <v>1</v>
      </c>
      <c r="J750">
        <f t="shared" si="147"/>
        <v>1900</v>
      </c>
      <c r="K750" t="str">
        <f t="shared" si="148"/>
        <v>1_1900</v>
      </c>
      <c r="S750" t="str">
        <f t="shared" si="150"/>
        <v/>
      </c>
      <c r="T750" s="64" t="str">
        <f t="shared" si="149"/>
        <v/>
      </c>
      <c r="AA750" t="str">
        <f t="shared" si="151"/>
        <v/>
      </c>
      <c r="AB750" s="64" t="str">
        <f t="shared" si="152"/>
        <v/>
      </c>
    </row>
    <row r="751" spans="1:28" x14ac:dyDescent="0.35">
      <c r="A751">
        <f>'Procurement Schedule'!R869</f>
        <v>0</v>
      </c>
      <c r="B751" s="63">
        <f>'Procurement Schedule'!M869</f>
        <v>0</v>
      </c>
      <c r="C751">
        <f t="shared" si="153"/>
        <v>1</v>
      </c>
      <c r="D751">
        <f t="shared" si="144"/>
        <v>1900</v>
      </c>
      <c r="E751" t="str">
        <f t="shared" si="145"/>
        <v>1_1900</v>
      </c>
      <c r="G751">
        <f t="shared" si="146"/>
        <v>0</v>
      </c>
      <c r="H751" s="63">
        <f>'Procurement Schedule'!N869</f>
        <v>0</v>
      </c>
      <c r="I751">
        <f t="shared" si="154"/>
        <v>1</v>
      </c>
      <c r="J751">
        <f t="shared" si="147"/>
        <v>1900</v>
      </c>
      <c r="K751" t="str">
        <f t="shared" si="148"/>
        <v>1_1900</v>
      </c>
      <c r="S751" t="str">
        <f t="shared" si="150"/>
        <v/>
      </c>
      <c r="T751" s="64" t="str">
        <f t="shared" si="149"/>
        <v/>
      </c>
      <c r="AA751" t="str">
        <f t="shared" si="151"/>
        <v/>
      </c>
      <c r="AB751" s="64" t="str">
        <f t="shared" si="152"/>
        <v/>
      </c>
    </row>
    <row r="752" spans="1:28" x14ac:dyDescent="0.35">
      <c r="A752">
        <f>'Procurement Schedule'!R870</f>
        <v>0</v>
      </c>
      <c r="B752" s="63">
        <f>'Procurement Schedule'!M870</f>
        <v>0</v>
      </c>
      <c r="C752">
        <f t="shared" si="153"/>
        <v>1</v>
      </c>
      <c r="D752">
        <f t="shared" si="144"/>
        <v>1900</v>
      </c>
      <c r="E752" t="str">
        <f t="shared" si="145"/>
        <v>1_1900</v>
      </c>
      <c r="G752">
        <f t="shared" si="146"/>
        <v>0</v>
      </c>
      <c r="H752" s="63">
        <f>'Procurement Schedule'!N870</f>
        <v>0</v>
      </c>
      <c r="I752">
        <f t="shared" si="154"/>
        <v>1</v>
      </c>
      <c r="J752">
        <f t="shared" si="147"/>
        <v>1900</v>
      </c>
      <c r="K752" t="str">
        <f t="shared" si="148"/>
        <v>1_1900</v>
      </c>
      <c r="S752" t="str">
        <f t="shared" si="150"/>
        <v/>
      </c>
      <c r="T752" s="64" t="str">
        <f t="shared" si="149"/>
        <v/>
      </c>
      <c r="AA752" t="str">
        <f t="shared" si="151"/>
        <v/>
      </c>
      <c r="AB752" s="64" t="str">
        <f t="shared" si="152"/>
        <v/>
      </c>
    </row>
    <row r="753" spans="1:28" x14ac:dyDescent="0.35">
      <c r="A753">
        <f>'Procurement Schedule'!R871</f>
        <v>0</v>
      </c>
      <c r="B753" s="63">
        <f>'Procurement Schedule'!M871</f>
        <v>0</v>
      </c>
      <c r="C753">
        <f t="shared" si="153"/>
        <v>1</v>
      </c>
      <c r="D753">
        <f t="shared" si="144"/>
        <v>1900</v>
      </c>
      <c r="E753" t="str">
        <f t="shared" si="145"/>
        <v>1_1900</v>
      </c>
      <c r="G753">
        <f t="shared" si="146"/>
        <v>0</v>
      </c>
      <c r="H753" s="63">
        <f>'Procurement Schedule'!N871</f>
        <v>0</v>
      </c>
      <c r="I753">
        <f t="shared" si="154"/>
        <v>1</v>
      </c>
      <c r="J753">
        <f t="shared" si="147"/>
        <v>1900</v>
      </c>
      <c r="K753" t="str">
        <f t="shared" si="148"/>
        <v>1_1900</v>
      </c>
      <c r="S753" t="str">
        <f t="shared" si="150"/>
        <v/>
      </c>
      <c r="T753" s="64" t="str">
        <f t="shared" si="149"/>
        <v/>
      </c>
      <c r="AA753" t="str">
        <f t="shared" si="151"/>
        <v/>
      </c>
      <c r="AB753" s="64" t="str">
        <f t="shared" si="152"/>
        <v/>
      </c>
    </row>
    <row r="754" spans="1:28" x14ac:dyDescent="0.35">
      <c r="A754">
        <f>'Procurement Schedule'!R872</f>
        <v>0</v>
      </c>
      <c r="B754" s="63">
        <f>'Procurement Schedule'!M872</f>
        <v>0</v>
      </c>
      <c r="C754">
        <f t="shared" si="153"/>
        <v>1</v>
      </c>
      <c r="D754">
        <f t="shared" si="144"/>
        <v>1900</v>
      </c>
      <c r="E754" t="str">
        <f t="shared" si="145"/>
        <v>1_1900</v>
      </c>
      <c r="G754">
        <f t="shared" si="146"/>
        <v>0</v>
      </c>
      <c r="H754" s="63">
        <f>'Procurement Schedule'!N872</f>
        <v>0</v>
      </c>
      <c r="I754">
        <f t="shared" si="154"/>
        <v>1</v>
      </c>
      <c r="J754">
        <f t="shared" si="147"/>
        <v>1900</v>
      </c>
      <c r="K754" t="str">
        <f t="shared" si="148"/>
        <v>1_1900</v>
      </c>
      <c r="S754" t="str">
        <f t="shared" si="150"/>
        <v/>
      </c>
      <c r="T754" s="64" t="str">
        <f t="shared" si="149"/>
        <v/>
      </c>
      <c r="AA754" t="str">
        <f t="shared" si="151"/>
        <v/>
      </c>
      <c r="AB754" s="64" t="str">
        <f t="shared" si="152"/>
        <v/>
      </c>
    </row>
    <row r="755" spans="1:28" x14ac:dyDescent="0.35">
      <c r="A755">
        <f>'Procurement Schedule'!R873</f>
        <v>0</v>
      </c>
      <c r="B755" s="63">
        <f>'Procurement Schedule'!M873</f>
        <v>0</v>
      </c>
      <c r="C755">
        <f t="shared" si="153"/>
        <v>1</v>
      </c>
      <c r="D755">
        <f t="shared" si="144"/>
        <v>1900</v>
      </c>
      <c r="E755" t="str">
        <f t="shared" si="145"/>
        <v>1_1900</v>
      </c>
      <c r="G755">
        <f t="shared" si="146"/>
        <v>0</v>
      </c>
      <c r="H755" s="63">
        <f>'Procurement Schedule'!N873</f>
        <v>0</v>
      </c>
      <c r="I755">
        <f t="shared" si="154"/>
        <v>1</v>
      </c>
      <c r="J755">
        <f t="shared" si="147"/>
        <v>1900</v>
      </c>
      <c r="K755" t="str">
        <f t="shared" si="148"/>
        <v>1_1900</v>
      </c>
      <c r="S755" t="str">
        <f t="shared" si="150"/>
        <v/>
      </c>
      <c r="T755" s="64" t="str">
        <f t="shared" si="149"/>
        <v/>
      </c>
      <c r="AA755" t="str">
        <f t="shared" si="151"/>
        <v/>
      </c>
      <c r="AB755" s="64" t="str">
        <f t="shared" si="152"/>
        <v/>
      </c>
    </row>
    <row r="756" spans="1:28" x14ac:dyDescent="0.35">
      <c r="A756">
        <f>'Procurement Schedule'!R874</f>
        <v>0</v>
      </c>
      <c r="B756" s="63">
        <f>'Procurement Schedule'!M874</f>
        <v>0</v>
      </c>
      <c r="C756">
        <f t="shared" si="153"/>
        <v>1</v>
      </c>
      <c r="D756">
        <f t="shared" si="144"/>
        <v>1900</v>
      </c>
      <c r="E756" t="str">
        <f t="shared" si="145"/>
        <v>1_1900</v>
      </c>
      <c r="G756">
        <f t="shared" si="146"/>
        <v>0</v>
      </c>
      <c r="H756" s="63">
        <f>'Procurement Schedule'!N874</f>
        <v>0</v>
      </c>
      <c r="I756">
        <f t="shared" si="154"/>
        <v>1</v>
      </c>
      <c r="J756">
        <f t="shared" si="147"/>
        <v>1900</v>
      </c>
      <c r="K756" t="str">
        <f t="shared" si="148"/>
        <v>1_1900</v>
      </c>
      <c r="S756" t="str">
        <f t="shared" si="150"/>
        <v/>
      </c>
      <c r="T756" s="64" t="str">
        <f t="shared" si="149"/>
        <v/>
      </c>
      <c r="AA756" t="str">
        <f t="shared" si="151"/>
        <v/>
      </c>
      <c r="AB756" s="64" t="str">
        <f t="shared" si="152"/>
        <v/>
      </c>
    </row>
    <row r="757" spans="1:28" x14ac:dyDescent="0.35">
      <c r="A757">
        <f>'Procurement Schedule'!R875</f>
        <v>0</v>
      </c>
      <c r="B757" s="63">
        <f>'Procurement Schedule'!M875</f>
        <v>0</v>
      </c>
      <c r="C757">
        <f t="shared" si="153"/>
        <v>1</v>
      </c>
      <c r="D757">
        <f t="shared" si="144"/>
        <v>1900</v>
      </c>
      <c r="E757" t="str">
        <f t="shared" si="145"/>
        <v>1_1900</v>
      </c>
      <c r="G757">
        <f t="shared" si="146"/>
        <v>0</v>
      </c>
      <c r="H757" s="63">
        <f>'Procurement Schedule'!N875</f>
        <v>0</v>
      </c>
      <c r="I757">
        <f t="shared" si="154"/>
        <v>1</v>
      </c>
      <c r="J757">
        <f t="shared" si="147"/>
        <v>1900</v>
      </c>
      <c r="K757" t="str">
        <f t="shared" si="148"/>
        <v>1_1900</v>
      </c>
      <c r="S757" t="str">
        <f t="shared" si="150"/>
        <v/>
      </c>
      <c r="T757" s="64" t="str">
        <f t="shared" si="149"/>
        <v/>
      </c>
      <c r="AA757" t="str">
        <f t="shared" si="151"/>
        <v/>
      </c>
      <c r="AB757" s="64" t="str">
        <f t="shared" si="152"/>
        <v/>
      </c>
    </row>
    <row r="758" spans="1:28" x14ac:dyDescent="0.35">
      <c r="A758">
        <f>'Procurement Schedule'!R876</f>
        <v>0</v>
      </c>
      <c r="B758" s="63">
        <f>'Procurement Schedule'!M876</f>
        <v>0</v>
      </c>
      <c r="C758">
        <f t="shared" si="153"/>
        <v>1</v>
      </c>
      <c r="D758">
        <f t="shared" si="144"/>
        <v>1900</v>
      </c>
      <c r="E758" t="str">
        <f t="shared" si="145"/>
        <v>1_1900</v>
      </c>
      <c r="G758">
        <f t="shared" si="146"/>
        <v>0</v>
      </c>
      <c r="H758" s="63">
        <f>'Procurement Schedule'!N876</f>
        <v>0</v>
      </c>
      <c r="I758">
        <f t="shared" si="154"/>
        <v>1</v>
      </c>
      <c r="J758">
        <f t="shared" si="147"/>
        <v>1900</v>
      </c>
      <c r="K758" t="str">
        <f t="shared" si="148"/>
        <v>1_1900</v>
      </c>
      <c r="S758" t="str">
        <f t="shared" si="150"/>
        <v/>
      </c>
      <c r="T758" s="64" t="str">
        <f t="shared" si="149"/>
        <v/>
      </c>
      <c r="AA758" t="str">
        <f t="shared" si="151"/>
        <v/>
      </c>
      <c r="AB758" s="64" t="str">
        <f t="shared" si="152"/>
        <v/>
      </c>
    </row>
    <row r="759" spans="1:28" x14ac:dyDescent="0.35">
      <c r="A759">
        <f>'Procurement Schedule'!R877</f>
        <v>0</v>
      </c>
      <c r="B759" s="63">
        <f>'Procurement Schedule'!M877</f>
        <v>0</v>
      </c>
      <c r="C759">
        <f t="shared" si="153"/>
        <v>1</v>
      </c>
      <c r="D759">
        <f t="shared" ref="D759:D822" si="155">YEAR(B759)</f>
        <v>1900</v>
      </c>
      <c r="E759" t="str">
        <f t="shared" ref="E759:E822" si="156">C759&amp;"_"&amp;D759</f>
        <v>1_1900</v>
      </c>
      <c r="G759">
        <f t="shared" ref="G759:G822" si="157">A759</f>
        <v>0</v>
      </c>
      <c r="H759" s="63">
        <f>'Procurement Schedule'!N877</f>
        <v>0</v>
      </c>
      <c r="I759">
        <f t="shared" si="154"/>
        <v>1</v>
      </c>
      <c r="J759">
        <f t="shared" ref="J759:J822" si="158">YEAR(H759)</f>
        <v>1900</v>
      </c>
      <c r="K759" t="str">
        <f t="shared" ref="K759:K822" si="159">I759&amp;"_"&amp;J759</f>
        <v>1_1900</v>
      </c>
      <c r="S759" t="str">
        <f t="shared" si="150"/>
        <v/>
      </c>
      <c r="T759" s="64" t="str">
        <f t="shared" si="149"/>
        <v/>
      </c>
      <c r="AA759" t="str">
        <f t="shared" si="151"/>
        <v/>
      </c>
      <c r="AB759" s="64" t="str">
        <f t="shared" si="152"/>
        <v/>
      </c>
    </row>
    <row r="760" spans="1:28" x14ac:dyDescent="0.35">
      <c r="A760">
        <f>'Procurement Schedule'!R878</f>
        <v>0</v>
      </c>
      <c r="B760" s="63">
        <f>'Procurement Schedule'!M878</f>
        <v>0</v>
      </c>
      <c r="C760">
        <f t="shared" si="153"/>
        <v>1</v>
      </c>
      <c r="D760">
        <f t="shared" si="155"/>
        <v>1900</v>
      </c>
      <c r="E760" t="str">
        <f t="shared" si="156"/>
        <v>1_1900</v>
      </c>
      <c r="G760">
        <f t="shared" si="157"/>
        <v>0</v>
      </c>
      <c r="H760" s="63">
        <f>'Procurement Schedule'!N878</f>
        <v>0</v>
      </c>
      <c r="I760">
        <f t="shared" si="154"/>
        <v>1</v>
      </c>
      <c r="J760">
        <f t="shared" si="158"/>
        <v>1900</v>
      </c>
      <c r="K760" t="str">
        <f t="shared" si="159"/>
        <v>1_1900</v>
      </c>
      <c r="S760" t="str">
        <f t="shared" si="150"/>
        <v/>
      </c>
      <c r="T760" s="64" t="str">
        <f t="shared" si="149"/>
        <v/>
      </c>
      <c r="AA760" t="str">
        <f t="shared" si="151"/>
        <v/>
      </c>
      <c r="AB760" s="64" t="str">
        <f t="shared" si="152"/>
        <v/>
      </c>
    </row>
    <row r="761" spans="1:28" x14ac:dyDescent="0.35">
      <c r="A761">
        <f>'Procurement Schedule'!R879</f>
        <v>0</v>
      </c>
      <c r="B761" s="63">
        <f>'Procurement Schedule'!M879</f>
        <v>0</v>
      </c>
      <c r="C761">
        <f t="shared" si="153"/>
        <v>1</v>
      </c>
      <c r="D761">
        <f t="shared" si="155"/>
        <v>1900</v>
      </c>
      <c r="E761" t="str">
        <f t="shared" si="156"/>
        <v>1_1900</v>
      </c>
      <c r="G761">
        <f t="shared" si="157"/>
        <v>0</v>
      </c>
      <c r="H761" s="63">
        <f>'Procurement Schedule'!N879</f>
        <v>0</v>
      </c>
      <c r="I761">
        <f t="shared" si="154"/>
        <v>1</v>
      </c>
      <c r="J761">
        <f t="shared" si="158"/>
        <v>1900</v>
      </c>
      <c r="K761" t="str">
        <f t="shared" si="159"/>
        <v>1_1900</v>
      </c>
      <c r="S761" t="str">
        <f t="shared" si="150"/>
        <v/>
      </c>
      <c r="T761" s="64" t="str">
        <f t="shared" si="149"/>
        <v/>
      </c>
      <c r="AA761" t="str">
        <f t="shared" si="151"/>
        <v/>
      </c>
      <c r="AB761" s="64" t="str">
        <f t="shared" si="152"/>
        <v/>
      </c>
    </row>
    <row r="762" spans="1:28" x14ac:dyDescent="0.35">
      <c r="A762">
        <f>'Procurement Schedule'!R880</f>
        <v>0</v>
      </c>
      <c r="B762" s="63">
        <f>'Procurement Schedule'!M880</f>
        <v>0</v>
      </c>
      <c r="C762">
        <f t="shared" si="153"/>
        <v>1</v>
      </c>
      <c r="D762">
        <f t="shared" si="155"/>
        <v>1900</v>
      </c>
      <c r="E762" t="str">
        <f t="shared" si="156"/>
        <v>1_1900</v>
      </c>
      <c r="G762">
        <f t="shared" si="157"/>
        <v>0</v>
      </c>
      <c r="H762" s="63">
        <f>'Procurement Schedule'!N880</f>
        <v>0</v>
      </c>
      <c r="I762">
        <f t="shared" si="154"/>
        <v>1</v>
      </c>
      <c r="J762">
        <f t="shared" si="158"/>
        <v>1900</v>
      </c>
      <c r="K762" t="str">
        <f t="shared" si="159"/>
        <v>1_1900</v>
      </c>
      <c r="S762" t="str">
        <f t="shared" si="150"/>
        <v/>
      </c>
      <c r="T762" s="64" t="str">
        <f t="shared" si="149"/>
        <v/>
      </c>
      <c r="AA762" t="str">
        <f t="shared" si="151"/>
        <v/>
      </c>
      <c r="AB762" s="64" t="str">
        <f t="shared" si="152"/>
        <v/>
      </c>
    </row>
    <row r="763" spans="1:28" x14ac:dyDescent="0.35">
      <c r="A763">
        <f>'Procurement Schedule'!R881</f>
        <v>0</v>
      </c>
      <c r="B763" s="63">
        <f>'Procurement Schedule'!M881</f>
        <v>0</v>
      </c>
      <c r="C763">
        <f t="shared" si="153"/>
        <v>1</v>
      </c>
      <c r="D763">
        <f t="shared" si="155"/>
        <v>1900</v>
      </c>
      <c r="E763" t="str">
        <f t="shared" si="156"/>
        <v>1_1900</v>
      </c>
      <c r="G763">
        <f t="shared" si="157"/>
        <v>0</v>
      </c>
      <c r="H763" s="63">
        <f>'Procurement Schedule'!N881</f>
        <v>0</v>
      </c>
      <c r="I763">
        <f t="shared" si="154"/>
        <v>1</v>
      </c>
      <c r="J763">
        <f t="shared" si="158"/>
        <v>1900</v>
      </c>
      <c r="K763" t="str">
        <f t="shared" si="159"/>
        <v>1_1900</v>
      </c>
      <c r="S763" t="str">
        <f t="shared" si="150"/>
        <v/>
      </c>
      <c r="T763" s="64" t="str">
        <f t="shared" si="149"/>
        <v/>
      </c>
      <c r="AA763" t="str">
        <f t="shared" si="151"/>
        <v/>
      </c>
      <c r="AB763" s="64" t="str">
        <f t="shared" si="152"/>
        <v/>
      </c>
    </row>
    <row r="764" spans="1:28" x14ac:dyDescent="0.35">
      <c r="A764">
        <f>'Procurement Schedule'!R882</f>
        <v>0</v>
      </c>
      <c r="B764" s="63">
        <f>'Procurement Schedule'!M882</f>
        <v>0</v>
      </c>
      <c r="C764">
        <f t="shared" si="153"/>
        <v>1</v>
      </c>
      <c r="D764">
        <f t="shared" si="155"/>
        <v>1900</v>
      </c>
      <c r="E764" t="str">
        <f t="shared" si="156"/>
        <v>1_1900</v>
      </c>
      <c r="G764">
        <f t="shared" si="157"/>
        <v>0</v>
      </c>
      <c r="H764" s="63">
        <f>'Procurement Schedule'!N882</f>
        <v>0</v>
      </c>
      <c r="I764">
        <f t="shared" si="154"/>
        <v>1</v>
      </c>
      <c r="J764">
        <f t="shared" si="158"/>
        <v>1900</v>
      </c>
      <c r="K764" t="str">
        <f t="shared" si="159"/>
        <v>1_1900</v>
      </c>
      <c r="S764" t="str">
        <f t="shared" si="150"/>
        <v/>
      </c>
      <c r="T764" s="64" t="str">
        <f t="shared" si="149"/>
        <v/>
      </c>
      <c r="AA764" t="str">
        <f t="shared" si="151"/>
        <v/>
      </c>
      <c r="AB764" s="64" t="str">
        <f t="shared" si="152"/>
        <v/>
      </c>
    </row>
    <row r="765" spans="1:28" x14ac:dyDescent="0.35">
      <c r="A765">
        <f>'Procurement Schedule'!R883</f>
        <v>0</v>
      </c>
      <c r="B765" s="63">
        <f>'Procurement Schedule'!M883</f>
        <v>0</v>
      </c>
      <c r="C765">
        <f t="shared" si="153"/>
        <v>1</v>
      </c>
      <c r="D765">
        <f t="shared" si="155"/>
        <v>1900</v>
      </c>
      <c r="E765" t="str">
        <f t="shared" si="156"/>
        <v>1_1900</v>
      </c>
      <c r="G765">
        <f t="shared" si="157"/>
        <v>0</v>
      </c>
      <c r="H765" s="63">
        <f>'Procurement Schedule'!N883</f>
        <v>0</v>
      </c>
      <c r="I765">
        <f t="shared" si="154"/>
        <v>1</v>
      </c>
      <c r="J765">
        <f t="shared" si="158"/>
        <v>1900</v>
      </c>
      <c r="K765" t="str">
        <f t="shared" si="159"/>
        <v>1_1900</v>
      </c>
      <c r="S765" t="str">
        <f t="shared" si="150"/>
        <v/>
      </c>
      <c r="T765" s="64" t="str">
        <f t="shared" si="149"/>
        <v/>
      </c>
      <c r="AA765" t="str">
        <f t="shared" si="151"/>
        <v/>
      </c>
      <c r="AB765" s="64" t="str">
        <f t="shared" si="152"/>
        <v/>
      </c>
    </row>
    <row r="766" spans="1:28" x14ac:dyDescent="0.35">
      <c r="A766">
        <f>'Procurement Schedule'!R884</f>
        <v>0</v>
      </c>
      <c r="B766" s="63">
        <f>'Procurement Schedule'!M884</f>
        <v>0</v>
      </c>
      <c r="C766">
        <f t="shared" si="153"/>
        <v>1</v>
      </c>
      <c r="D766">
        <f t="shared" si="155"/>
        <v>1900</v>
      </c>
      <c r="E766" t="str">
        <f t="shared" si="156"/>
        <v>1_1900</v>
      </c>
      <c r="G766">
        <f t="shared" si="157"/>
        <v>0</v>
      </c>
      <c r="H766" s="63">
        <f>'Procurement Schedule'!N884</f>
        <v>0</v>
      </c>
      <c r="I766">
        <f t="shared" si="154"/>
        <v>1</v>
      </c>
      <c r="J766">
        <f t="shared" si="158"/>
        <v>1900</v>
      </c>
      <c r="K766" t="str">
        <f t="shared" si="159"/>
        <v>1_1900</v>
      </c>
      <c r="S766" t="str">
        <f t="shared" si="150"/>
        <v/>
      </c>
      <c r="T766" s="64" t="str">
        <f t="shared" si="149"/>
        <v/>
      </c>
      <c r="AA766" t="str">
        <f t="shared" si="151"/>
        <v/>
      </c>
      <c r="AB766" s="64" t="str">
        <f t="shared" si="152"/>
        <v/>
      </c>
    </row>
    <row r="767" spans="1:28" x14ac:dyDescent="0.35">
      <c r="A767">
        <f>'Procurement Schedule'!R885</f>
        <v>0</v>
      </c>
      <c r="B767" s="63">
        <f>'Procurement Schedule'!M885</f>
        <v>0</v>
      </c>
      <c r="C767">
        <f t="shared" si="153"/>
        <v>1</v>
      </c>
      <c r="D767">
        <f t="shared" si="155"/>
        <v>1900</v>
      </c>
      <c r="E767" t="str">
        <f t="shared" si="156"/>
        <v>1_1900</v>
      </c>
      <c r="G767">
        <f t="shared" si="157"/>
        <v>0</v>
      </c>
      <c r="H767" s="63">
        <f>'Procurement Schedule'!N885</f>
        <v>0</v>
      </c>
      <c r="I767">
        <f t="shared" si="154"/>
        <v>1</v>
      </c>
      <c r="J767">
        <f t="shared" si="158"/>
        <v>1900</v>
      </c>
      <c r="K767" t="str">
        <f t="shared" si="159"/>
        <v>1_1900</v>
      </c>
      <c r="S767" t="str">
        <f t="shared" si="150"/>
        <v/>
      </c>
      <c r="T767" s="64" t="str">
        <f t="shared" si="149"/>
        <v/>
      </c>
      <c r="AA767" t="str">
        <f t="shared" si="151"/>
        <v/>
      </c>
      <c r="AB767" s="64" t="str">
        <f t="shared" si="152"/>
        <v/>
      </c>
    </row>
    <row r="768" spans="1:28" x14ac:dyDescent="0.35">
      <c r="A768">
        <f>'Procurement Schedule'!R886</f>
        <v>0</v>
      </c>
      <c r="B768" s="63">
        <f>'Procurement Schedule'!M886</f>
        <v>0</v>
      </c>
      <c r="C768">
        <f t="shared" si="153"/>
        <v>1</v>
      </c>
      <c r="D768">
        <f t="shared" si="155"/>
        <v>1900</v>
      </c>
      <c r="E768" t="str">
        <f t="shared" si="156"/>
        <v>1_1900</v>
      </c>
      <c r="G768">
        <f t="shared" si="157"/>
        <v>0</v>
      </c>
      <c r="H768" s="63">
        <f>'Procurement Schedule'!N886</f>
        <v>0</v>
      </c>
      <c r="I768">
        <f t="shared" si="154"/>
        <v>1</v>
      </c>
      <c r="J768">
        <f t="shared" si="158"/>
        <v>1900</v>
      </c>
      <c r="K768" t="str">
        <f t="shared" si="159"/>
        <v>1_1900</v>
      </c>
      <c r="S768" t="str">
        <f t="shared" si="150"/>
        <v/>
      </c>
      <c r="T768" s="64" t="str">
        <f t="shared" si="149"/>
        <v/>
      </c>
      <c r="AA768" t="str">
        <f t="shared" si="151"/>
        <v/>
      </c>
      <c r="AB768" s="64" t="str">
        <f t="shared" si="152"/>
        <v/>
      </c>
    </row>
    <row r="769" spans="1:28" x14ac:dyDescent="0.35">
      <c r="A769">
        <f>'Procurement Schedule'!R887</f>
        <v>0</v>
      </c>
      <c r="B769" s="63">
        <f>'Procurement Schedule'!M887</f>
        <v>0</v>
      </c>
      <c r="C769">
        <f t="shared" si="153"/>
        <v>1</v>
      </c>
      <c r="D769">
        <f t="shared" si="155"/>
        <v>1900</v>
      </c>
      <c r="E769" t="str">
        <f t="shared" si="156"/>
        <v>1_1900</v>
      </c>
      <c r="G769">
        <f t="shared" si="157"/>
        <v>0</v>
      </c>
      <c r="H769" s="63">
        <f>'Procurement Schedule'!N887</f>
        <v>0</v>
      </c>
      <c r="I769">
        <f t="shared" si="154"/>
        <v>1</v>
      </c>
      <c r="J769">
        <f t="shared" si="158"/>
        <v>1900</v>
      </c>
      <c r="K769" t="str">
        <f t="shared" si="159"/>
        <v>1_1900</v>
      </c>
      <c r="S769" t="str">
        <f t="shared" si="150"/>
        <v/>
      </c>
      <c r="T769" s="64" t="str">
        <f t="shared" si="149"/>
        <v/>
      </c>
      <c r="AA769" t="str">
        <f t="shared" si="151"/>
        <v/>
      </c>
      <c r="AB769" s="64" t="str">
        <f t="shared" si="152"/>
        <v/>
      </c>
    </row>
    <row r="770" spans="1:28" x14ac:dyDescent="0.35">
      <c r="A770">
        <f>'Procurement Schedule'!R888</f>
        <v>0</v>
      </c>
      <c r="B770" s="63">
        <f>'Procurement Schedule'!M888</f>
        <v>0</v>
      </c>
      <c r="C770">
        <f t="shared" si="153"/>
        <v>1</v>
      </c>
      <c r="D770">
        <f t="shared" si="155"/>
        <v>1900</v>
      </c>
      <c r="E770" t="str">
        <f t="shared" si="156"/>
        <v>1_1900</v>
      </c>
      <c r="G770">
        <f t="shared" si="157"/>
        <v>0</v>
      </c>
      <c r="H770" s="63">
        <f>'Procurement Schedule'!N888</f>
        <v>0</v>
      </c>
      <c r="I770">
        <f t="shared" si="154"/>
        <v>1</v>
      </c>
      <c r="J770">
        <f t="shared" si="158"/>
        <v>1900</v>
      </c>
      <c r="K770" t="str">
        <f t="shared" si="159"/>
        <v>1_1900</v>
      </c>
      <c r="S770" t="str">
        <f t="shared" si="150"/>
        <v/>
      </c>
      <c r="T770" s="64" t="str">
        <f t="shared" si="149"/>
        <v/>
      </c>
      <c r="AA770" t="str">
        <f t="shared" si="151"/>
        <v/>
      </c>
      <c r="AB770" s="64" t="str">
        <f t="shared" si="152"/>
        <v/>
      </c>
    </row>
    <row r="771" spans="1:28" x14ac:dyDescent="0.35">
      <c r="A771">
        <f>'Procurement Schedule'!R889</f>
        <v>0</v>
      </c>
      <c r="B771" s="63">
        <f>'Procurement Schedule'!M889</f>
        <v>0</v>
      </c>
      <c r="C771">
        <f t="shared" si="153"/>
        <v>1</v>
      </c>
      <c r="D771">
        <f t="shared" si="155"/>
        <v>1900</v>
      </c>
      <c r="E771" t="str">
        <f t="shared" si="156"/>
        <v>1_1900</v>
      </c>
      <c r="G771">
        <f t="shared" si="157"/>
        <v>0</v>
      </c>
      <c r="H771" s="63">
        <f>'Procurement Schedule'!N889</f>
        <v>0</v>
      </c>
      <c r="I771">
        <f t="shared" si="154"/>
        <v>1</v>
      </c>
      <c r="J771">
        <f t="shared" si="158"/>
        <v>1900</v>
      </c>
      <c r="K771" t="str">
        <f t="shared" si="159"/>
        <v>1_1900</v>
      </c>
      <c r="S771" t="str">
        <f t="shared" si="150"/>
        <v/>
      </c>
      <c r="T771" s="64" t="str">
        <f t="shared" si="149"/>
        <v/>
      </c>
      <c r="AA771" t="str">
        <f t="shared" si="151"/>
        <v/>
      </c>
      <c r="AB771" s="64" t="str">
        <f t="shared" si="152"/>
        <v/>
      </c>
    </row>
    <row r="772" spans="1:28" x14ac:dyDescent="0.35">
      <c r="A772">
        <f>'Procurement Schedule'!R890</f>
        <v>0</v>
      </c>
      <c r="B772" s="63">
        <f>'Procurement Schedule'!M890</f>
        <v>0</v>
      </c>
      <c r="C772">
        <f t="shared" si="153"/>
        <v>1</v>
      </c>
      <c r="D772">
        <f t="shared" si="155"/>
        <v>1900</v>
      </c>
      <c r="E772" t="str">
        <f t="shared" si="156"/>
        <v>1_1900</v>
      </c>
      <c r="G772">
        <f t="shared" si="157"/>
        <v>0</v>
      </c>
      <c r="H772" s="63">
        <f>'Procurement Schedule'!N890</f>
        <v>0</v>
      </c>
      <c r="I772">
        <f t="shared" si="154"/>
        <v>1</v>
      </c>
      <c r="J772">
        <f t="shared" si="158"/>
        <v>1900</v>
      </c>
      <c r="K772" t="str">
        <f t="shared" si="159"/>
        <v>1_1900</v>
      </c>
      <c r="S772" t="str">
        <f t="shared" si="150"/>
        <v/>
      </c>
      <c r="T772" s="64" t="str">
        <f t="shared" si="149"/>
        <v/>
      </c>
      <c r="AA772" t="str">
        <f t="shared" si="151"/>
        <v/>
      </c>
      <c r="AB772" s="64" t="str">
        <f t="shared" si="152"/>
        <v/>
      </c>
    </row>
    <row r="773" spans="1:28" x14ac:dyDescent="0.35">
      <c r="A773">
        <f>'Procurement Schedule'!R891</f>
        <v>0</v>
      </c>
      <c r="B773" s="63">
        <f>'Procurement Schedule'!M891</f>
        <v>0</v>
      </c>
      <c r="C773">
        <f t="shared" si="153"/>
        <v>1</v>
      </c>
      <c r="D773">
        <f t="shared" si="155"/>
        <v>1900</v>
      </c>
      <c r="E773" t="str">
        <f t="shared" si="156"/>
        <v>1_1900</v>
      </c>
      <c r="G773">
        <f t="shared" si="157"/>
        <v>0</v>
      </c>
      <c r="H773" s="63">
        <f>'Procurement Schedule'!N891</f>
        <v>0</v>
      </c>
      <c r="I773">
        <f t="shared" si="154"/>
        <v>1</v>
      </c>
      <c r="J773">
        <f t="shared" si="158"/>
        <v>1900</v>
      </c>
      <c r="K773" t="str">
        <f t="shared" si="159"/>
        <v>1_1900</v>
      </c>
      <c r="S773" t="str">
        <f t="shared" si="150"/>
        <v/>
      </c>
      <c r="T773" s="64" t="str">
        <f t="shared" ref="T773:T836" si="160">IFERROR(VLOOKUP(Q773,AD:AE,2,0),"")</f>
        <v/>
      </c>
      <c r="AA773" t="str">
        <f t="shared" si="151"/>
        <v/>
      </c>
      <c r="AB773" s="64" t="str">
        <f t="shared" si="152"/>
        <v/>
      </c>
    </row>
    <row r="774" spans="1:28" x14ac:dyDescent="0.35">
      <c r="A774">
        <f>'Procurement Schedule'!R892</f>
        <v>0</v>
      </c>
      <c r="B774" s="63">
        <f>'Procurement Schedule'!M892</f>
        <v>0</v>
      </c>
      <c r="C774">
        <f t="shared" si="153"/>
        <v>1</v>
      </c>
      <c r="D774">
        <f t="shared" si="155"/>
        <v>1900</v>
      </c>
      <c r="E774" t="str">
        <f t="shared" si="156"/>
        <v>1_1900</v>
      </c>
      <c r="G774">
        <f t="shared" si="157"/>
        <v>0</v>
      </c>
      <c r="H774" s="63">
        <f>'Procurement Schedule'!N892</f>
        <v>0</v>
      </c>
      <c r="I774">
        <f t="shared" si="154"/>
        <v>1</v>
      </c>
      <c r="J774">
        <f t="shared" si="158"/>
        <v>1900</v>
      </c>
      <c r="K774" t="str">
        <f t="shared" si="159"/>
        <v>1_1900</v>
      </c>
      <c r="S774" t="str">
        <f t="shared" si="150"/>
        <v/>
      </c>
      <c r="T774" s="64" t="str">
        <f t="shared" si="160"/>
        <v/>
      </c>
      <c r="AA774" t="str">
        <f t="shared" si="151"/>
        <v/>
      </c>
      <c r="AB774" s="64" t="str">
        <f t="shared" si="152"/>
        <v/>
      </c>
    </row>
    <row r="775" spans="1:28" x14ac:dyDescent="0.35">
      <c r="A775">
        <f>'Procurement Schedule'!R893</f>
        <v>0</v>
      </c>
      <c r="B775" s="63">
        <f>'Procurement Schedule'!M893</f>
        <v>0</v>
      </c>
      <c r="C775">
        <f t="shared" si="153"/>
        <v>1</v>
      </c>
      <c r="D775">
        <f t="shared" si="155"/>
        <v>1900</v>
      </c>
      <c r="E775" t="str">
        <f t="shared" si="156"/>
        <v>1_1900</v>
      </c>
      <c r="G775">
        <f t="shared" si="157"/>
        <v>0</v>
      </c>
      <c r="H775" s="63">
        <f>'Procurement Schedule'!N893</f>
        <v>0</v>
      </c>
      <c r="I775">
        <f t="shared" si="154"/>
        <v>1</v>
      </c>
      <c r="J775">
        <f t="shared" si="158"/>
        <v>1900</v>
      </c>
      <c r="K775" t="str">
        <f t="shared" si="159"/>
        <v>1_1900</v>
      </c>
      <c r="S775" t="str">
        <f t="shared" si="150"/>
        <v/>
      </c>
      <c r="T775" s="64" t="str">
        <f t="shared" si="160"/>
        <v/>
      </c>
      <c r="AA775" t="str">
        <f t="shared" si="151"/>
        <v/>
      </c>
      <c r="AB775" s="64" t="str">
        <f t="shared" si="152"/>
        <v/>
      </c>
    </row>
    <row r="776" spans="1:28" x14ac:dyDescent="0.35">
      <c r="A776">
        <f>'Procurement Schedule'!R894</f>
        <v>0</v>
      </c>
      <c r="B776" s="63">
        <f>'Procurement Schedule'!M894</f>
        <v>0</v>
      </c>
      <c r="C776">
        <f t="shared" si="153"/>
        <v>1</v>
      </c>
      <c r="D776">
        <f t="shared" si="155"/>
        <v>1900</v>
      </c>
      <c r="E776" t="str">
        <f t="shared" si="156"/>
        <v>1_1900</v>
      </c>
      <c r="G776">
        <f t="shared" si="157"/>
        <v>0</v>
      </c>
      <c r="H776" s="63">
        <f>'Procurement Schedule'!N894</f>
        <v>0</v>
      </c>
      <c r="I776">
        <f t="shared" si="154"/>
        <v>1</v>
      </c>
      <c r="J776">
        <f t="shared" si="158"/>
        <v>1900</v>
      </c>
      <c r="K776" t="str">
        <f t="shared" si="159"/>
        <v>1_1900</v>
      </c>
      <c r="S776" t="str">
        <f t="shared" si="150"/>
        <v/>
      </c>
      <c r="T776" s="64" t="str">
        <f t="shared" si="160"/>
        <v/>
      </c>
      <c r="AA776" t="str">
        <f t="shared" si="151"/>
        <v/>
      </c>
      <c r="AB776" s="64" t="str">
        <f t="shared" si="152"/>
        <v/>
      </c>
    </row>
    <row r="777" spans="1:28" x14ac:dyDescent="0.35">
      <c r="A777">
        <f>'Procurement Schedule'!R895</f>
        <v>0</v>
      </c>
      <c r="B777" s="63">
        <f>'Procurement Schedule'!M895</f>
        <v>0</v>
      </c>
      <c r="C777">
        <f t="shared" si="153"/>
        <v>1</v>
      </c>
      <c r="D777">
        <f t="shared" si="155"/>
        <v>1900</v>
      </c>
      <c r="E777" t="str">
        <f t="shared" si="156"/>
        <v>1_1900</v>
      </c>
      <c r="G777">
        <f t="shared" si="157"/>
        <v>0</v>
      </c>
      <c r="H777" s="63">
        <f>'Procurement Schedule'!N895</f>
        <v>0</v>
      </c>
      <c r="I777">
        <f t="shared" si="154"/>
        <v>1</v>
      </c>
      <c r="J777">
        <f t="shared" si="158"/>
        <v>1900</v>
      </c>
      <c r="K777" t="str">
        <f t="shared" si="159"/>
        <v>1_1900</v>
      </c>
      <c r="S777" t="str">
        <f t="shared" ref="S777:S840" si="161">IF(R777="","",S776+R777)</f>
        <v/>
      </c>
      <c r="T777" s="64" t="str">
        <f t="shared" si="160"/>
        <v/>
      </c>
      <c r="AA777" t="str">
        <f t="shared" si="151"/>
        <v/>
      </c>
      <c r="AB777" s="64" t="str">
        <f t="shared" si="152"/>
        <v/>
      </c>
    </row>
    <row r="778" spans="1:28" x14ac:dyDescent="0.35">
      <c r="A778">
        <f>'Procurement Schedule'!R896</f>
        <v>0</v>
      </c>
      <c r="B778" s="63">
        <f>'Procurement Schedule'!M896</f>
        <v>0</v>
      </c>
      <c r="C778">
        <f t="shared" si="153"/>
        <v>1</v>
      </c>
      <c r="D778">
        <f t="shared" si="155"/>
        <v>1900</v>
      </c>
      <c r="E778" t="str">
        <f t="shared" si="156"/>
        <v>1_1900</v>
      </c>
      <c r="G778">
        <f t="shared" si="157"/>
        <v>0</v>
      </c>
      <c r="H778" s="63">
        <f>'Procurement Schedule'!N896</f>
        <v>0</v>
      </c>
      <c r="I778">
        <f t="shared" si="154"/>
        <v>1</v>
      </c>
      <c r="J778">
        <f t="shared" si="158"/>
        <v>1900</v>
      </c>
      <c r="K778" t="str">
        <f t="shared" si="159"/>
        <v>1_1900</v>
      </c>
      <c r="S778" t="str">
        <f t="shared" si="161"/>
        <v/>
      </c>
      <c r="T778" s="64" t="str">
        <f t="shared" si="160"/>
        <v/>
      </c>
      <c r="AA778" t="str">
        <f t="shared" ref="AA778:AA841" si="162">IF(Z778="","",AA777+Z778)</f>
        <v/>
      </c>
      <c r="AB778" s="64" t="str">
        <f t="shared" ref="AB778:AB841" si="163">IFERROR(VLOOKUP(Y778,AD:AE,2,0),"")</f>
        <v/>
      </c>
    </row>
    <row r="779" spans="1:28" x14ac:dyDescent="0.35">
      <c r="A779">
        <f>'Procurement Schedule'!R897</f>
        <v>0</v>
      </c>
      <c r="B779" s="63">
        <f>'Procurement Schedule'!M897</f>
        <v>0</v>
      </c>
      <c r="C779">
        <f t="shared" si="153"/>
        <v>1</v>
      </c>
      <c r="D779">
        <f t="shared" si="155"/>
        <v>1900</v>
      </c>
      <c r="E779" t="str">
        <f t="shared" si="156"/>
        <v>1_1900</v>
      </c>
      <c r="G779">
        <f t="shared" si="157"/>
        <v>0</v>
      </c>
      <c r="H779" s="63">
        <f>'Procurement Schedule'!N897</f>
        <v>0</v>
      </c>
      <c r="I779">
        <f t="shared" si="154"/>
        <v>1</v>
      </c>
      <c r="J779">
        <f t="shared" si="158"/>
        <v>1900</v>
      </c>
      <c r="K779" t="str">
        <f t="shared" si="159"/>
        <v>1_1900</v>
      </c>
      <c r="S779" t="str">
        <f t="shared" si="161"/>
        <v/>
      </c>
      <c r="T779" s="64" t="str">
        <f t="shared" si="160"/>
        <v/>
      </c>
      <c r="AA779" t="str">
        <f t="shared" si="162"/>
        <v/>
      </c>
      <c r="AB779" s="64" t="str">
        <f t="shared" si="163"/>
        <v/>
      </c>
    </row>
    <row r="780" spans="1:28" x14ac:dyDescent="0.35">
      <c r="A780">
        <f>'Procurement Schedule'!R898</f>
        <v>0</v>
      </c>
      <c r="B780" s="63">
        <f>'Procurement Schedule'!M898</f>
        <v>0</v>
      </c>
      <c r="C780">
        <f t="shared" si="153"/>
        <v>1</v>
      </c>
      <c r="D780">
        <f t="shared" si="155"/>
        <v>1900</v>
      </c>
      <c r="E780" t="str">
        <f t="shared" si="156"/>
        <v>1_1900</v>
      </c>
      <c r="G780">
        <f t="shared" si="157"/>
        <v>0</v>
      </c>
      <c r="H780" s="63">
        <f>'Procurement Schedule'!N898</f>
        <v>0</v>
      </c>
      <c r="I780">
        <f t="shared" si="154"/>
        <v>1</v>
      </c>
      <c r="J780">
        <f t="shared" si="158"/>
        <v>1900</v>
      </c>
      <c r="K780" t="str">
        <f t="shared" si="159"/>
        <v>1_1900</v>
      </c>
      <c r="S780" t="str">
        <f t="shared" si="161"/>
        <v/>
      </c>
      <c r="T780" s="64" t="str">
        <f t="shared" si="160"/>
        <v/>
      </c>
      <c r="AA780" t="str">
        <f t="shared" si="162"/>
        <v/>
      </c>
      <c r="AB780" s="64" t="str">
        <f t="shared" si="163"/>
        <v/>
      </c>
    </row>
    <row r="781" spans="1:28" x14ac:dyDescent="0.35">
      <c r="A781">
        <f>'Procurement Schedule'!R899</f>
        <v>0</v>
      </c>
      <c r="B781" s="63">
        <f>'Procurement Schedule'!M899</f>
        <v>0</v>
      </c>
      <c r="C781">
        <f t="shared" si="153"/>
        <v>1</v>
      </c>
      <c r="D781">
        <f t="shared" si="155"/>
        <v>1900</v>
      </c>
      <c r="E781" t="str">
        <f t="shared" si="156"/>
        <v>1_1900</v>
      </c>
      <c r="G781">
        <f t="shared" si="157"/>
        <v>0</v>
      </c>
      <c r="H781" s="63">
        <f>'Procurement Schedule'!N899</f>
        <v>0</v>
      </c>
      <c r="I781">
        <f t="shared" si="154"/>
        <v>1</v>
      </c>
      <c r="J781">
        <f t="shared" si="158"/>
        <v>1900</v>
      </c>
      <c r="K781" t="str">
        <f t="shared" si="159"/>
        <v>1_1900</v>
      </c>
      <c r="S781" t="str">
        <f t="shared" si="161"/>
        <v/>
      </c>
      <c r="T781" s="64" t="str">
        <f t="shared" si="160"/>
        <v/>
      </c>
      <c r="AA781" t="str">
        <f t="shared" si="162"/>
        <v/>
      </c>
      <c r="AB781" s="64" t="str">
        <f t="shared" si="163"/>
        <v/>
      </c>
    </row>
    <row r="782" spans="1:28" x14ac:dyDescent="0.35">
      <c r="A782">
        <f>'Procurement Schedule'!R900</f>
        <v>0</v>
      </c>
      <c r="B782" s="63">
        <f>'Procurement Schedule'!M900</f>
        <v>0</v>
      </c>
      <c r="C782">
        <f t="shared" si="153"/>
        <v>1</v>
      </c>
      <c r="D782">
        <f t="shared" si="155"/>
        <v>1900</v>
      </c>
      <c r="E782" t="str">
        <f t="shared" si="156"/>
        <v>1_1900</v>
      </c>
      <c r="G782">
        <f t="shared" si="157"/>
        <v>0</v>
      </c>
      <c r="H782" s="63">
        <f>'Procurement Schedule'!N900</f>
        <v>0</v>
      </c>
      <c r="I782">
        <f t="shared" si="154"/>
        <v>1</v>
      </c>
      <c r="J782">
        <f t="shared" si="158"/>
        <v>1900</v>
      </c>
      <c r="K782" t="str">
        <f t="shared" si="159"/>
        <v>1_1900</v>
      </c>
      <c r="S782" t="str">
        <f t="shared" si="161"/>
        <v/>
      </c>
      <c r="T782" s="64" t="str">
        <f t="shared" si="160"/>
        <v/>
      </c>
      <c r="AA782" t="str">
        <f t="shared" si="162"/>
        <v/>
      </c>
      <c r="AB782" s="64" t="str">
        <f t="shared" si="163"/>
        <v/>
      </c>
    </row>
    <row r="783" spans="1:28" x14ac:dyDescent="0.35">
      <c r="A783">
        <f>'Procurement Schedule'!R901</f>
        <v>0</v>
      </c>
      <c r="B783" s="63">
        <f>'Procurement Schedule'!M901</f>
        <v>0</v>
      </c>
      <c r="C783">
        <f t="shared" si="153"/>
        <v>1</v>
      </c>
      <c r="D783">
        <f t="shared" si="155"/>
        <v>1900</v>
      </c>
      <c r="E783" t="str">
        <f t="shared" si="156"/>
        <v>1_1900</v>
      </c>
      <c r="G783">
        <f t="shared" si="157"/>
        <v>0</v>
      </c>
      <c r="H783" s="63">
        <f>'Procurement Schedule'!N901</f>
        <v>0</v>
      </c>
      <c r="I783">
        <f t="shared" si="154"/>
        <v>1</v>
      </c>
      <c r="J783">
        <f t="shared" si="158"/>
        <v>1900</v>
      </c>
      <c r="K783" t="str">
        <f t="shared" si="159"/>
        <v>1_1900</v>
      </c>
      <c r="S783" t="str">
        <f t="shared" si="161"/>
        <v/>
      </c>
      <c r="T783" s="64" t="str">
        <f t="shared" si="160"/>
        <v/>
      </c>
      <c r="AA783" t="str">
        <f t="shared" si="162"/>
        <v/>
      </c>
      <c r="AB783" s="64" t="str">
        <f t="shared" si="163"/>
        <v/>
      </c>
    </row>
    <row r="784" spans="1:28" x14ac:dyDescent="0.35">
      <c r="A784">
        <f>'Procurement Schedule'!R902</f>
        <v>0</v>
      </c>
      <c r="B784" s="63">
        <f>'Procurement Schedule'!M902</f>
        <v>0</v>
      </c>
      <c r="C784">
        <f t="shared" si="153"/>
        <v>1</v>
      </c>
      <c r="D784">
        <f t="shared" si="155"/>
        <v>1900</v>
      </c>
      <c r="E784" t="str">
        <f t="shared" si="156"/>
        <v>1_1900</v>
      </c>
      <c r="G784">
        <f t="shared" si="157"/>
        <v>0</v>
      </c>
      <c r="H784" s="63">
        <f>'Procurement Schedule'!N902</f>
        <v>0</v>
      </c>
      <c r="I784">
        <f t="shared" si="154"/>
        <v>1</v>
      </c>
      <c r="J784">
        <f t="shared" si="158"/>
        <v>1900</v>
      </c>
      <c r="K784" t="str">
        <f t="shared" si="159"/>
        <v>1_1900</v>
      </c>
      <c r="S784" t="str">
        <f t="shared" si="161"/>
        <v/>
      </c>
      <c r="T784" s="64" t="str">
        <f t="shared" si="160"/>
        <v/>
      </c>
      <c r="AA784" t="str">
        <f t="shared" si="162"/>
        <v/>
      </c>
      <c r="AB784" s="64" t="str">
        <f t="shared" si="163"/>
        <v/>
      </c>
    </row>
    <row r="785" spans="1:28" x14ac:dyDescent="0.35">
      <c r="A785">
        <f>'Procurement Schedule'!R903</f>
        <v>0</v>
      </c>
      <c r="B785" s="63">
        <f>'Procurement Schedule'!M903</f>
        <v>0</v>
      </c>
      <c r="C785">
        <f t="shared" si="153"/>
        <v>1</v>
      </c>
      <c r="D785">
        <f t="shared" si="155"/>
        <v>1900</v>
      </c>
      <c r="E785" t="str">
        <f t="shared" si="156"/>
        <v>1_1900</v>
      </c>
      <c r="G785">
        <f t="shared" si="157"/>
        <v>0</v>
      </c>
      <c r="H785" s="63">
        <f>'Procurement Schedule'!N903</f>
        <v>0</v>
      </c>
      <c r="I785">
        <f t="shared" si="154"/>
        <v>1</v>
      </c>
      <c r="J785">
        <f t="shared" si="158"/>
        <v>1900</v>
      </c>
      <c r="K785" t="str">
        <f t="shared" si="159"/>
        <v>1_1900</v>
      </c>
      <c r="S785" t="str">
        <f t="shared" si="161"/>
        <v/>
      </c>
      <c r="T785" s="64" t="str">
        <f t="shared" si="160"/>
        <v/>
      </c>
      <c r="AA785" t="str">
        <f t="shared" si="162"/>
        <v/>
      </c>
      <c r="AB785" s="64" t="str">
        <f t="shared" si="163"/>
        <v/>
      </c>
    </row>
    <row r="786" spans="1:28" x14ac:dyDescent="0.35">
      <c r="A786">
        <f>'Procurement Schedule'!R904</f>
        <v>0</v>
      </c>
      <c r="B786" s="63">
        <f>'Procurement Schedule'!M904</f>
        <v>0</v>
      </c>
      <c r="C786">
        <f t="shared" si="153"/>
        <v>1</v>
      </c>
      <c r="D786">
        <f t="shared" si="155"/>
        <v>1900</v>
      </c>
      <c r="E786" t="str">
        <f t="shared" si="156"/>
        <v>1_1900</v>
      </c>
      <c r="G786">
        <f t="shared" si="157"/>
        <v>0</v>
      </c>
      <c r="H786" s="63">
        <f>'Procurement Schedule'!N904</f>
        <v>0</v>
      </c>
      <c r="I786">
        <f t="shared" si="154"/>
        <v>1</v>
      </c>
      <c r="J786">
        <f t="shared" si="158"/>
        <v>1900</v>
      </c>
      <c r="K786" t="str">
        <f t="shared" si="159"/>
        <v>1_1900</v>
      </c>
      <c r="S786" t="str">
        <f t="shared" si="161"/>
        <v/>
      </c>
      <c r="T786" s="64" t="str">
        <f t="shared" si="160"/>
        <v/>
      </c>
      <c r="AA786" t="str">
        <f t="shared" si="162"/>
        <v/>
      </c>
      <c r="AB786" s="64" t="str">
        <f t="shared" si="163"/>
        <v/>
      </c>
    </row>
    <row r="787" spans="1:28" x14ac:dyDescent="0.35">
      <c r="A787">
        <f>'Procurement Schedule'!R905</f>
        <v>0</v>
      </c>
      <c r="B787" s="63">
        <f>'Procurement Schedule'!M905</f>
        <v>0</v>
      </c>
      <c r="C787">
        <f t="shared" ref="C787:C850" si="164">MONTH(B787)</f>
        <v>1</v>
      </c>
      <c r="D787">
        <f t="shared" si="155"/>
        <v>1900</v>
      </c>
      <c r="E787" t="str">
        <f t="shared" si="156"/>
        <v>1_1900</v>
      </c>
      <c r="G787">
        <f t="shared" si="157"/>
        <v>0</v>
      </c>
      <c r="H787" s="63">
        <f>'Procurement Schedule'!N905</f>
        <v>0</v>
      </c>
      <c r="I787">
        <f t="shared" si="154"/>
        <v>1</v>
      </c>
      <c r="J787">
        <f t="shared" si="158"/>
        <v>1900</v>
      </c>
      <c r="K787" t="str">
        <f t="shared" si="159"/>
        <v>1_1900</v>
      </c>
      <c r="S787" t="str">
        <f t="shared" si="161"/>
        <v/>
      </c>
      <c r="T787" s="64" t="str">
        <f t="shared" si="160"/>
        <v/>
      </c>
      <c r="AA787" t="str">
        <f t="shared" si="162"/>
        <v/>
      </c>
      <c r="AB787" s="64" t="str">
        <f t="shared" si="163"/>
        <v/>
      </c>
    </row>
    <row r="788" spans="1:28" x14ac:dyDescent="0.35">
      <c r="A788">
        <f>'Procurement Schedule'!R906</f>
        <v>0</v>
      </c>
      <c r="B788" s="63">
        <f>'Procurement Schedule'!M906</f>
        <v>0</v>
      </c>
      <c r="C788">
        <f t="shared" si="164"/>
        <v>1</v>
      </c>
      <c r="D788">
        <f t="shared" si="155"/>
        <v>1900</v>
      </c>
      <c r="E788" t="str">
        <f t="shared" si="156"/>
        <v>1_1900</v>
      </c>
      <c r="G788">
        <f t="shared" si="157"/>
        <v>0</v>
      </c>
      <c r="H788" s="63">
        <f>'Procurement Schedule'!N906</f>
        <v>0</v>
      </c>
      <c r="I788">
        <f t="shared" ref="I788:I851" si="165">MONTH(H788)</f>
        <v>1</v>
      </c>
      <c r="J788">
        <f t="shared" si="158"/>
        <v>1900</v>
      </c>
      <c r="K788" t="str">
        <f t="shared" si="159"/>
        <v>1_1900</v>
      </c>
      <c r="S788" t="str">
        <f t="shared" si="161"/>
        <v/>
      </c>
      <c r="T788" s="64" t="str">
        <f t="shared" si="160"/>
        <v/>
      </c>
      <c r="AA788" t="str">
        <f t="shared" si="162"/>
        <v/>
      </c>
      <c r="AB788" s="64" t="str">
        <f t="shared" si="163"/>
        <v/>
      </c>
    </row>
    <row r="789" spans="1:28" x14ac:dyDescent="0.35">
      <c r="A789">
        <f>'Procurement Schedule'!R907</f>
        <v>0</v>
      </c>
      <c r="B789" s="63">
        <f>'Procurement Schedule'!M907</f>
        <v>0</v>
      </c>
      <c r="C789">
        <f t="shared" si="164"/>
        <v>1</v>
      </c>
      <c r="D789">
        <f t="shared" si="155"/>
        <v>1900</v>
      </c>
      <c r="E789" t="str">
        <f t="shared" si="156"/>
        <v>1_1900</v>
      </c>
      <c r="G789">
        <f t="shared" si="157"/>
        <v>0</v>
      </c>
      <c r="H789" s="63">
        <f>'Procurement Schedule'!N907</f>
        <v>0</v>
      </c>
      <c r="I789">
        <f t="shared" si="165"/>
        <v>1</v>
      </c>
      <c r="J789">
        <f t="shared" si="158"/>
        <v>1900</v>
      </c>
      <c r="K789" t="str">
        <f t="shared" si="159"/>
        <v>1_1900</v>
      </c>
      <c r="S789" t="str">
        <f t="shared" si="161"/>
        <v/>
      </c>
      <c r="T789" s="64" t="str">
        <f t="shared" si="160"/>
        <v/>
      </c>
      <c r="AA789" t="str">
        <f t="shared" si="162"/>
        <v/>
      </c>
      <c r="AB789" s="64" t="str">
        <f t="shared" si="163"/>
        <v/>
      </c>
    </row>
    <row r="790" spans="1:28" x14ac:dyDescent="0.35">
      <c r="A790">
        <f>'Procurement Schedule'!R908</f>
        <v>0</v>
      </c>
      <c r="B790" s="63">
        <f>'Procurement Schedule'!M908</f>
        <v>0</v>
      </c>
      <c r="C790">
        <f t="shared" si="164"/>
        <v>1</v>
      </c>
      <c r="D790">
        <f t="shared" si="155"/>
        <v>1900</v>
      </c>
      <c r="E790" t="str">
        <f t="shared" si="156"/>
        <v>1_1900</v>
      </c>
      <c r="G790">
        <f t="shared" si="157"/>
        <v>0</v>
      </c>
      <c r="H790" s="63">
        <f>'Procurement Schedule'!N908</f>
        <v>0</v>
      </c>
      <c r="I790">
        <f t="shared" si="165"/>
        <v>1</v>
      </c>
      <c r="J790">
        <f t="shared" si="158"/>
        <v>1900</v>
      </c>
      <c r="K790" t="str">
        <f t="shared" si="159"/>
        <v>1_1900</v>
      </c>
      <c r="S790" t="str">
        <f t="shared" si="161"/>
        <v/>
      </c>
      <c r="T790" s="64" t="str">
        <f t="shared" si="160"/>
        <v/>
      </c>
      <c r="AA790" t="str">
        <f t="shared" si="162"/>
        <v/>
      </c>
      <c r="AB790" s="64" t="str">
        <f t="shared" si="163"/>
        <v/>
      </c>
    </row>
    <row r="791" spans="1:28" x14ac:dyDescent="0.35">
      <c r="A791">
        <f>'Procurement Schedule'!R909</f>
        <v>0</v>
      </c>
      <c r="B791" s="63">
        <f>'Procurement Schedule'!M909</f>
        <v>0</v>
      </c>
      <c r="C791">
        <f t="shared" si="164"/>
        <v>1</v>
      </c>
      <c r="D791">
        <f t="shared" si="155"/>
        <v>1900</v>
      </c>
      <c r="E791" t="str">
        <f t="shared" si="156"/>
        <v>1_1900</v>
      </c>
      <c r="G791">
        <f t="shared" si="157"/>
        <v>0</v>
      </c>
      <c r="H791" s="63">
        <f>'Procurement Schedule'!N909</f>
        <v>0</v>
      </c>
      <c r="I791">
        <f t="shared" si="165"/>
        <v>1</v>
      </c>
      <c r="J791">
        <f t="shared" si="158"/>
        <v>1900</v>
      </c>
      <c r="K791" t="str">
        <f t="shared" si="159"/>
        <v>1_1900</v>
      </c>
      <c r="S791" t="str">
        <f t="shared" si="161"/>
        <v/>
      </c>
      <c r="T791" s="64" t="str">
        <f t="shared" si="160"/>
        <v/>
      </c>
      <c r="AA791" t="str">
        <f t="shared" si="162"/>
        <v/>
      </c>
      <c r="AB791" s="64" t="str">
        <f t="shared" si="163"/>
        <v/>
      </c>
    </row>
    <row r="792" spans="1:28" x14ac:dyDescent="0.35">
      <c r="A792">
        <f>'Procurement Schedule'!R910</f>
        <v>0</v>
      </c>
      <c r="B792" s="63">
        <f>'Procurement Schedule'!M910</f>
        <v>0</v>
      </c>
      <c r="C792">
        <f t="shared" si="164"/>
        <v>1</v>
      </c>
      <c r="D792">
        <f t="shared" si="155"/>
        <v>1900</v>
      </c>
      <c r="E792" t="str">
        <f t="shared" si="156"/>
        <v>1_1900</v>
      </c>
      <c r="G792">
        <f t="shared" si="157"/>
        <v>0</v>
      </c>
      <c r="H792" s="63">
        <f>'Procurement Schedule'!N910</f>
        <v>0</v>
      </c>
      <c r="I792">
        <f t="shared" si="165"/>
        <v>1</v>
      </c>
      <c r="J792">
        <f t="shared" si="158"/>
        <v>1900</v>
      </c>
      <c r="K792" t="str">
        <f t="shared" si="159"/>
        <v>1_1900</v>
      </c>
      <c r="S792" t="str">
        <f t="shared" si="161"/>
        <v/>
      </c>
      <c r="T792" s="64" t="str">
        <f t="shared" si="160"/>
        <v/>
      </c>
      <c r="AA792" t="str">
        <f t="shared" si="162"/>
        <v/>
      </c>
      <c r="AB792" s="64" t="str">
        <f t="shared" si="163"/>
        <v/>
      </c>
    </row>
    <row r="793" spans="1:28" x14ac:dyDescent="0.35">
      <c r="A793">
        <f>'Procurement Schedule'!R911</f>
        <v>0</v>
      </c>
      <c r="B793" s="63">
        <f>'Procurement Schedule'!M911</f>
        <v>0</v>
      </c>
      <c r="C793">
        <f t="shared" si="164"/>
        <v>1</v>
      </c>
      <c r="D793">
        <f t="shared" si="155"/>
        <v>1900</v>
      </c>
      <c r="E793" t="str">
        <f t="shared" si="156"/>
        <v>1_1900</v>
      </c>
      <c r="G793">
        <f t="shared" si="157"/>
        <v>0</v>
      </c>
      <c r="H793" s="63">
        <f>'Procurement Schedule'!N911</f>
        <v>0</v>
      </c>
      <c r="I793">
        <f t="shared" si="165"/>
        <v>1</v>
      </c>
      <c r="J793">
        <f t="shared" si="158"/>
        <v>1900</v>
      </c>
      <c r="K793" t="str">
        <f t="shared" si="159"/>
        <v>1_1900</v>
      </c>
      <c r="S793" t="str">
        <f t="shared" si="161"/>
        <v/>
      </c>
      <c r="T793" s="64" t="str">
        <f t="shared" si="160"/>
        <v/>
      </c>
      <c r="AA793" t="str">
        <f t="shared" si="162"/>
        <v/>
      </c>
      <c r="AB793" s="64" t="str">
        <f t="shared" si="163"/>
        <v/>
      </c>
    </row>
    <row r="794" spans="1:28" x14ac:dyDescent="0.35">
      <c r="A794">
        <f>'Procurement Schedule'!R912</f>
        <v>0</v>
      </c>
      <c r="B794" s="63">
        <f>'Procurement Schedule'!M912</f>
        <v>0</v>
      </c>
      <c r="C794">
        <f t="shared" si="164"/>
        <v>1</v>
      </c>
      <c r="D794">
        <f t="shared" si="155"/>
        <v>1900</v>
      </c>
      <c r="E794" t="str">
        <f t="shared" si="156"/>
        <v>1_1900</v>
      </c>
      <c r="G794">
        <f t="shared" si="157"/>
        <v>0</v>
      </c>
      <c r="H794" s="63">
        <f>'Procurement Schedule'!N912</f>
        <v>0</v>
      </c>
      <c r="I794">
        <f t="shared" si="165"/>
        <v>1</v>
      </c>
      <c r="J794">
        <f t="shared" si="158"/>
        <v>1900</v>
      </c>
      <c r="K794" t="str">
        <f t="shared" si="159"/>
        <v>1_1900</v>
      </c>
      <c r="S794" t="str">
        <f t="shared" si="161"/>
        <v/>
      </c>
      <c r="T794" s="64" t="str">
        <f t="shared" si="160"/>
        <v/>
      </c>
      <c r="AA794" t="str">
        <f t="shared" si="162"/>
        <v/>
      </c>
      <c r="AB794" s="64" t="str">
        <f t="shared" si="163"/>
        <v/>
      </c>
    </row>
    <row r="795" spans="1:28" x14ac:dyDescent="0.35">
      <c r="A795">
        <f>'Procurement Schedule'!R913</f>
        <v>0</v>
      </c>
      <c r="B795" s="63">
        <f>'Procurement Schedule'!M913</f>
        <v>0</v>
      </c>
      <c r="C795">
        <f t="shared" si="164"/>
        <v>1</v>
      </c>
      <c r="D795">
        <f t="shared" si="155"/>
        <v>1900</v>
      </c>
      <c r="E795" t="str">
        <f t="shared" si="156"/>
        <v>1_1900</v>
      </c>
      <c r="G795">
        <f t="shared" si="157"/>
        <v>0</v>
      </c>
      <c r="H795" s="63">
        <f>'Procurement Schedule'!N913</f>
        <v>0</v>
      </c>
      <c r="I795">
        <f t="shared" si="165"/>
        <v>1</v>
      </c>
      <c r="J795">
        <f t="shared" si="158"/>
        <v>1900</v>
      </c>
      <c r="K795" t="str">
        <f t="shared" si="159"/>
        <v>1_1900</v>
      </c>
      <c r="S795" t="str">
        <f t="shared" si="161"/>
        <v/>
      </c>
      <c r="T795" s="64" t="str">
        <f t="shared" si="160"/>
        <v/>
      </c>
      <c r="AA795" t="str">
        <f t="shared" si="162"/>
        <v/>
      </c>
      <c r="AB795" s="64" t="str">
        <f t="shared" si="163"/>
        <v/>
      </c>
    </row>
    <row r="796" spans="1:28" x14ac:dyDescent="0.35">
      <c r="A796">
        <f>'Procurement Schedule'!R914</f>
        <v>0</v>
      </c>
      <c r="B796" s="63">
        <f>'Procurement Schedule'!M914</f>
        <v>0</v>
      </c>
      <c r="C796">
        <f t="shared" si="164"/>
        <v>1</v>
      </c>
      <c r="D796">
        <f t="shared" si="155"/>
        <v>1900</v>
      </c>
      <c r="E796" t="str">
        <f t="shared" si="156"/>
        <v>1_1900</v>
      </c>
      <c r="G796">
        <f t="shared" si="157"/>
        <v>0</v>
      </c>
      <c r="H796" s="63">
        <f>'Procurement Schedule'!N914</f>
        <v>0</v>
      </c>
      <c r="I796">
        <f t="shared" si="165"/>
        <v>1</v>
      </c>
      <c r="J796">
        <f t="shared" si="158"/>
        <v>1900</v>
      </c>
      <c r="K796" t="str">
        <f t="shared" si="159"/>
        <v>1_1900</v>
      </c>
      <c r="S796" t="str">
        <f t="shared" si="161"/>
        <v/>
      </c>
      <c r="T796" s="64" t="str">
        <f t="shared" si="160"/>
        <v/>
      </c>
      <c r="AA796" t="str">
        <f t="shared" si="162"/>
        <v/>
      </c>
      <c r="AB796" s="64" t="str">
        <f t="shared" si="163"/>
        <v/>
      </c>
    </row>
    <row r="797" spans="1:28" x14ac:dyDescent="0.35">
      <c r="A797">
        <f>'Procurement Schedule'!R915</f>
        <v>0</v>
      </c>
      <c r="B797" s="63">
        <f>'Procurement Schedule'!M915</f>
        <v>0</v>
      </c>
      <c r="C797">
        <f t="shared" si="164"/>
        <v>1</v>
      </c>
      <c r="D797">
        <f t="shared" si="155"/>
        <v>1900</v>
      </c>
      <c r="E797" t="str">
        <f t="shared" si="156"/>
        <v>1_1900</v>
      </c>
      <c r="G797">
        <f t="shared" si="157"/>
        <v>0</v>
      </c>
      <c r="H797" s="63">
        <f>'Procurement Schedule'!N915</f>
        <v>0</v>
      </c>
      <c r="I797">
        <f t="shared" si="165"/>
        <v>1</v>
      </c>
      <c r="J797">
        <f t="shared" si="158"/>
        <v>1900</v>
      </c>
      <c r="K797" t="str">
        <f t="shared" si="159"/>
        <v>1_1900</v>
      </c>
      <c r="S797" t="str">
        <f t="shared" si="161"/>
        <v/>
      </c>
      <c r="T797" s="64" t="str">
        <f t="shared" si="160"/>
        <v/>
      </c>
      <c r="AA797" t="str">
        <f t="shared" si="162"/>
        <v/>
      </c>
      <c r="AB797" s="64" t="str">
        <f t="shared" si="163"/>
        <v/>
      </c>
    </row>
    <row r="798" spans="1:28" x14ac:dyDescent="0.35">
      <c r="A798">
        <f>'Procurement Schedule'!R916</f>
        <v>0</v>
      </c>
      <c r="B798" s="63">
        <f>'Procurement Schedule'!M916</f>
        <v>0</v>
      </c>
      <c r="C798">
        <f t="shared" si="164"/>
        <v>1</v>
      </c>
      <c r="D798">
        <f t="shared" si="155"/>
        <v>1900</v>
      </c>
      <c r="E798" t="str">
        <f t="shared" si="156"/>
        <v>1_1900</v>
      </c>
      <c r="G798">
        <f t="shared" si="157"/>
        <v>0</v>
      </c>
      <c r="H798" s="63">
        <f>'Procurement Schedule'!N916</f>
        <v>0</v>
      </c>
      <c r="I798">
        <f t="shared" si="165"/>
        <v>1</v>
      </c>
      <c r="J798">
        <f t="shared" si="158"/>
        <v>1900</v>
      </c>
      <c r="K798" t="str">
        <f t="shared" si="159"/>
        <v>1_1900</v>
      </c>
      <c r="S798" t="str">
        <f t="shared" si="161"/>
        <v/>
      </c>
      <c r="T798" s="64" t="str">
        <f t="shared" si="160"/>
        <v/>
      </c>
      <c r="AA798" t="str">
        <f t="shared" si="162"/>
        <v/>
      </c>
      <c r="AB798" s="64" t="str">
        <f t="shared" si="163"/>
        <v/>
      </c>
    </row>
    <row r="799" spans="1:28" x14ac:dyDescent="0.35">
      <c r="A799">
        <f>'Procurement Schedule'!R917</f>
        <v>0</v>
      </c>
      <c r="B799" s="63">
        <f>'Procurement Schedule'!M917</f>
        <v>0</v>
      </c>
      <c r="C799">
        <f t="shared" si="164"/>
        <v>1</v>
      </c>
      <c r="D799">
        <f t="shared" si="155"/>
        <v>1900</v>
      </c>
      <c r="E799" t="str">
        <f t="shared" si="156"/>
        <v>1_1900</v>
      </c>
      <c r="G799">
        <f t="shared" si="157"/>
        <v>0</v>
      </c>
      <c r="H799" s="63">
        <f>'Procurement Schedule'!N917</f>
        <v>0</v>
      </c>
      <c r="I799">
        <f t="shared" si="165"/>
        <v>1</v>
      </c>
      <c r="J799">
        <f t="shared" si="158"/>
        <v>1900</v>
      </c>
      <c r="K799" t="str">
        <f t="shared" si="159"/>
        <v>1_1900</v>
      </c>
      <c r="S799" t="str">
        <f t="shared" si="161"/>
        <v/>
      </c>
      <c r="T799" s="64" t="str">
        <f t="shared" si="160"/>
        <v/>
      </c>
      <c r="AA799" t="str">
        <f t="shared" si="162"/>
        <v/>
      </c>
      <c r="AB799" s="64" t="str">
        <f t="shared" si="163"/>
        <v/>
      </c>
    </row>
    <row r="800" spans="1:28" x14ac:dyDescent="0.35">
      <c r="A800">
        <f>'Procurement Schedule'!R918</f>
        <v>0</v>
      </c>
      <c r="B800" s="63">
        <f>'Procurement Schedule'!M918</f>
        <v>0</v>
      </c>
      <c r="C800">
        <f t="shared" si="164"/>
        <v>1</v>
      </c>
      <c r="D800">
        <f t="shared" si="155"/>
        <v>1900</v>
      </c>
      <c r="E800" t="str">
        <f t="shared" si="156"/>
        <v>1_1900</v>
      </c>
      <c r="G800">
        <f t="shared" si="157"/>
        <v>0</v>
      </c>
      <c r="H800" s="63">
        <f>'Procurement Schedule'!N918</f>
        <v>0</v>
      </c>
      <c r="I800">
        <f t="shared" si="165"/>
        <v>1</v>
      </c>
      <c r="J800">
        <f t="shared" si="158"/>
        <v>1900</v>
      </c>
      <c r="K800" t="str">
        <f t="shared" si="159"/>
        <v>1_1900</v>
      </c>
      <c r="S800" t="str">
        <f t="shared" si="161"/>
        <v/>
      </c>
      <c r="T800" s="64" t="str">
        <f t="shared" si="160"/>
        <v/>
      </c>
      <c r="AA800" t="str">
        <f t="shared" si="162"/>
        <v/>
      </c>
      <c r="AB800" s="64" t="str">
        <f t="shared" si="163"/>
        <v/>
      </c>
    </row>
    <row r="801" spans="1:28" x14ac:dyDescent="0.35">
      <c r="A801">
        <f>'Procurement Schedule'!R919</f>
        <v>0</v>
      </c>
      <c r="B801" s="63">
        <f>'Procurement Schedule'!M919</f>
        <v>0</v>
      </c>
      <c r="C801">
        <f t="shared" si="164"/>
        <v>1</v>
      </c>
      <c r="D801">
        <f t="shared" si="155"/>
        <v>1900</v>
      </c>
      <c r="E801" t="str">
        <f t="shared" si="156"/>
        <v>1_1900</v>
      </c>
      <c r="G801">
        <f t="shared" si="157"/>
        <v>0</v>
      </c>
      <c r="H801" s="63">
        <f>'Procurement Schedule'!N919</f>
        <v>0</v>
      </c>
      <c r="I801">
        <f t="shared" si="165"/>
        <v>1</v>
      </c>
      <c r="J801">
        <f t="shared" si="158"/>
        <v>1900</v>
      </c>
      <c r="K801" t="str">
        <f t="shared" si="159"/>
        <v>1_1900</v>
      </c>
      <c r="S801" t="str">
        <f t="shared" si="161"/>
        <v/>
      </c>
      <c r="T801" s="64" t="str">
        <f t="shared" si="160"/>
        <v/>
      </c>
      <c r="AA801" t="str">
        <f t="shared" si="162"/>
        <v/>
      </c>
      <c r="AB801" s="64" t="str">
        <f t="shared" si="163"/>
        <v/>
      </c>
    </row>
    <row r="802" spans="1:28" x14ac:dyDescent="0.35">
      <c r="A802">
        <f>'Procurement Schedule'!R920</f>
        <v>0</v>
      </c>
      <c r="B802" s="63">
        <f>'Procurement Schedule'!M920</f>
        <v>0</v>
      </c>
      <c r="C802">
        <f t="shared" si="164"/>
        <v>1</v>
      </c>
      <c r="D802">
        <f t="shared" si="155"/>
        <v>1900</v>
      </c>
      <c r="E802" t="str">
        <f t="shared" si="156"/>
        <v>1_1900</v>
      </c>
      <c r="G802">
        <f t="shared" si="157"/>
        <v>0</v>
      </c>
      <c r="H802" s="63">
        <f>'Procurement Schedule'!N920</f>
        <v>0</v>
      </c>
      <c r="I802">
        <f t="shared" si="165"/>
        <v>1</v>
      </c>
      <c r="J802">
        <f t="shared" si="158"/>
        <v>1900</v>
      </c>
      <c r="K802" t="str">
        <f t="shared" si="159"/>
        <v>1_1900</v>
      </c>
      <c r="S802" t="str">
        <f t="shared" si="161"/>
        <v/>
      </c>
      <c r="T802" s="64" t="str">
        <f t="shared" si="160"/>
        <v/>
      </c>
      <c r="AA802" t="str">
        <f t="shared" si="162"/>
        <v/>
      </c>
      <c r="AB802" s="64" t="str">
        <f t="shared" si="163"/>
        <v/>
      </c>
    </row>
    <row r="803" spans="1:28" x14ac:dyDescent="0.35">
      <c r="A803">
        <f>'Procurement Schedule'!R921</f>
        <v>0</v>
      </c>
      <c r="B803" s="63">
        <f>'Procurement Schedule'!M921</f>
        <v>0</v>
      </c>
      <c r="C803">
        <f t="shared" si="164"/>
        <v>1</v>
      </c>
      <c r="D803">
        <f t="shared" si="155"/>
        <v>1900</v>
      </c>
      <c r="E803" t="str">
        <f t="shared" si="156"/>
        <v>1_1900</v>
      </c>
      <c r="G803">
        <f t="shared" si="157"/>
        <v>0</v>
      </c>
      <c r="H803" s="63">
        <f>'Procurement Schedule'!N921</f>
        <v>0</v>
      </c>
      <c r="I803">
        <f t="shared" si="165"/>
        <v>1</v>
      </c>
      <c r="J803">
        <f t="shared" si="158"/>
        <v>1900</v>
      </c>
      <c r="K803" t="str">
        <f t="shared" si="159"/>
        <v>1_1900</v>
      </c>
      <c r="S803" t="str">
        <f t="shared" si="161"/>
        <v/>
      </c>
      <c r="T803" s="64" t="str">
        <f t="shared" si="160"/>
        <v/>
      </c>
      <c r="AA803" t="str">
        <f t="shared" si="162"/>
        <v/>
      </c>
      <c r="AB803" s="64" t="str">
        <f t="shared" si="163"/>
        <v/>
      </c>
    </row>
    <row r="804" spans="1:28" x14ac:dyDescent="0.35">
      <c r="A804">
        <f>'Procurement Schedule'!R922</f>
        <v>0</v>
      </c>
      <c r="B804" s="63">
        <f>'Procurement Schedule'!M922</f>
        <v>0</v>
      </c>
      <c r="C804">
        <f t="shared" si="164"/>
        <v>1</v>
      </c>
      <c r="D804">
        <f t="shared" si="155"/>
        <v>1900</v>
      </c>
      <c r="E804" t="str">
        <f t="shared" si="156"/>
        <v>1_1900</v>
      </c>
      <c r="G804">
        <f t="shared" si="157"/>
        <v>0</v>
      </c>
      <c r="H804" s="63">
        <f>'Procurement Schedule'!N922</f>
        <v>0</v>
      </c>
      <c r="I804">
        <f t="shared" si="165"/>
        <v>1</v>
      </c>
      <c r="J804">
        <f t="shared" si="158"/>
        <v>1900</v>
      </c>
      <c r="K804" t="str">
        <f t="shared" si="159"/>
        <v>1_1900</v>
      </c>
      <c r="S804" t="str">
        <f t="shared" si="161"/>
        <v/>
      </c>
      <c r="T804" s="64" t="str">
        <f t="shared" si="160"/>
        <v/>
      </c>
      <c r="AA804" t="str">
        <f t="shared" si="162"/>
        <v/>
      </c>
      <c r="AB804" s="64" t="str">
        <f t="shared" si="163"/>
        <v/>
      </c>
    </row>
    <row r="805" spans="1:28" x14ac:dyDescent="0.35">
      <c r="A805">
        <f>'Procurement Schedule'!R923</f>
        <v>0</v>
      </c>
      <c r="B805" s="63">
        <f>'Procurement Schedule'!M923</f>
        <v>0</v>
      </c>
      <c r="C805">
        <f t="shared" si="164"/>
        <v>1</v>
      </c>
      <c r="D805">
        <f t="shared" si="155"/>
        <v>1900</v>
      </c>
      <c r="E805" t="str">
        <f t="shared" si="156"/>
        <v>1_1900</v>
      </c>
      <c r="G805">
        <f t="shared" si="157"/>
        <v>0</v>
      </c>
      <c r="H805" s="63">
        <f>'Procurement Schedule'!N923</f>
        <v>0</v>
      </c>
      <c r="I805">
        <f t="shared" si="165"/>
        <v>1</v>
      </c>
      <c r="J805">
        <f t="shared" si="158"/>
        <v>1900</v>
      </c>
      <c r="K805" t="str">
        <f t="shared" si="159"/>
        <v>1_1900</v>
      </c>
      <c r="S805" t="str">
        <f t="shared" si="161"/>
        <v/>
      </c>
      <c r="T805" s="64" t="str">
        <f t="shared" si="160"/>
        <v/>
      </c>
      <c r="AA805" t="str">
        <f t="shared" si="162"/>
        <v/>
      </c>
      <c r="AB805" s="64" t="str">
        <f t="shared" si="163"/>
        <v/>
      </c>
    </row>
    <row r="806" spans="1:28" x14ac:dyDescent="0.35">
      <c r="A806">
        <f>'Procurement Schedule'!R924</f>
        <v>0</v>
      </c>
      <c r="B806" s="63">
        <f>'Procurement Schedule'!M924</f>
        <v>0</v>
      </c>
      <c r="C806">
        <f t="shared" si="164"/>
        <v>1</v>
      </c>
      <c r="D806">
        <f t="shared" si="155"/>
        <v>1900</v>
      </c>
      <c r="E806" t="str">
        <f t="shared" si="156"/>
        <v>1_1900</v>
      </c>
      <c r="G806">
        <f t="shared" si="157"/>
        <v>0</v>
      </c>
      <c r="H806" s="63">
        <f>'Procurement Schedule'!N924</f>
        <v>0</v>
      </c>
      <c r="I806">
        <f t="shared" si="165"/>
        <v>1</v>
      </c>
      <c r="J806">
        <f t="shared" si="158"/>
        <v>1900</v>
      </c>
      <c r="K806" t="str">
        <f t="shared" si="159"/>
        <v>1_1900</v>
      </c>
      <c r="S806" t="str">
        <f t="shared" si="161"/>
        <v/>
      </c>
      <c r="T806" s="64" t="str">
        <f t="shared" si="160"/>
        <v/>
      </c>
      <c r="AA806" t="str">
        <f t="shared" si="162"/>
        <v/>
      </c>
      <c r="AB806" s="64" t="str">
        <f t="shared" si="163"/>
        <v/>
      </c>
    </row>
    <row r="807" spans="1:28" x14ac:dyDescent="0.35">
      <c r="A807">
        <f>'Procurement Schedule'!R925</f>
        <v>0</v>
      </c>
      <c r="B807" s="63">
        <f>'Procurement Schedule'!M925</f>
        <v>0</v>
      </c>
      <c r="C807">
        <f t="shared" si="164"/>
        <v>1</v>
      </c>
      <c r="D807">
        <f t="shared" si="155"/>
        <v>1900</v>
      </c>
      <c r="E807" t="str">
        <f t="shared" si="156"/>
        <v>1_1900</v>
      </c>
      <c r="G807">
        <f t="shared" si="157"/>
        <v>0</v>
      </c>
      <c r="H807" s="63">
        <f>'Procurement Schedule'!N925</f>
        <v>0</v>
      </c>
      <c r="I807">
        <f t="shared" si="165"/>
        <v>1</v>
      </c>
      <c r="J807">
        <f t="shared" si="158"/>
        <v>1900</v>
      </c>
      <c r="K807" t="str">
        <f t="shared" si="159"/>
        <v>1_1900</v>
      </c>
      <c r="S807" t="str">
        <f t="shared" si="161"/>
        <v/>
      </c>
      <c r="T807" s="64" t="str">
        <f t="shared" si="160"/>
        <v/>
      </c>
      <c r="AA807" t="str">
        <f t="shared" si="162"/>
        <v/>
      </c>
      <c r="AB807" s="64" t="str">
        <f t="shared" si="163"/>
        <v/>
      </c>
    </row>
    <row r="808" spans="1:28" x14ac:dyDescent="0.35">
      <c r="A808">
        <f>'Procurement Schedule'!R926</f>
        <v>0</v>
      </c>
      <c r="B808" s="63">
        <f>'Procurement Schedule'!M926</f>
        <v>0</v>
      </c>
      <c r="C808">
        <f t="shared" si="164"/>
        <v>1</v>
      </c>
      <c r="D808">
        <f t="shared" si="155"/>
        <v>1900</v>
      </c>
      <c r="E808" t="str">
        <f t="shared" si="156"/>
        <v>1_1900</v>
      </c>
      <c r="G808">
        <f t="shared" si="157"/>
        <v>0</v>
      </c>
      <c r="H808" s="63">
        <f>'Procurement Schedule'!N926</f>
        <v>0</v>
      </c>
      <c r="I808">
        <f t="shared" si="165"/>
        <v>1</v>
      </c>
      <c r="J808">
        <f t="shared" si="158"/>
        <v>1900</v>
      </c>
      <c r="K808" t="str">
        <f t="shared" si="159"/>
        <v>1_1900</v>
      </c>
      <c r="S808" t="str">
        <f t="shared" si="161"/>
        <v/>
      </c>
      <c r="T808" s="64" t="str">
        <f t="shared" si="160"/>
        <v/>
      </c>
      <c r="AA808" t="str">
        <f t="shared" si="162"/>
        <v/>
      </c>
      <c r="AB808" s="64" t="str">
        <f t="shared" si="163"/>
        <v/>
      </c>
    </row>
    <row r="809" spans="1:28" x14ac:dyDescent="0.35">
      <c r="A809">
        <f>'Procurement Schedule'!R927</f>
        <v>0</v>
      </c>
      <c r="B809" s="63">
        <f>'Procurement Schedule'!M927</f>
        <v>0</v>
      </c>
      <c r="C809">
        <f t="shared" si="164"/>
        <v>1</v>
      </c>
      <c r="D809">
        <f t="shared" si="155"/>
        <v>1900</v>
      </c>
      <c r="E809" t="str">
        <f t="shared" si="156"/>
        <v>1_1900</v>
      </c>
      <c r="G809">
        <f t="shared" si="157"/>
        <v>0</v>
      </c>
      <c r="H809" s="63">
        <f>'Procurement Schedule'!N927</f>
        <v>0</v>
      </c>
      <c r="I809">
        <f t="shared" si="165"/>
        <v>1</v>
      </c>
      <c r="J809">
        <f t="shared" si="158"/>
        <v>1900</v>
      </c>
      <c r="K809" t="str">
        <f t="shared" si="159"/>
        <v>1_1900</v>
      </c>
      <c r="S809" t="str">
        <f t="shared" si="161"/>
        <v/>
      </c>
      <c r="T809" s="64" t="str">
        <f t="shared" si="160"/>
        <v/>
      </c>
      <c r="AA809" t="str">
        <f t="shared" si="162"/>
        <v/>
      </c>
      <c r="AB809" s="64" t="str">
        <f t="shared" si="163"/>
        <v/>
      </c>
    </row>
    <row r="810" spans="1:28" x14ac:dyDescent="0.35">
      <c r="A810">
        <f>'Procurement Schedule'!R928</f>
        <v>0</v>
      </c>
      <c r="B810" s="63">
        <f>'Procurement Schedule'!M928</f>
        <v>0</v>
      </c>
      <c r="C810">
        <f t="shared" si="164"/>
        <v>1</v>
      </c>
      <c r="D810">
        <f t="shared" si="155"/>
        <v>1900</v>
      </c>
      <c r="E810" t="str">
        <f t="shared" si="156"/>
        <v>1_1900</v>
      </c>
      <c r="G810">
        <f t="shared" si="157"/>
        <v>0</v>
      </c>
      <c r="H810" s="63">
        <f>'Procurement Schedule'!N928</f>
        <v>0</v>
      </c>
      <c r="I810">
        <f t="shared" si="165"/>
        <v>1</v>
      </c>
      <c r="J810">
        <f t="shared" si="158"/>
        <v>1900</v>
      </c>
      <c r="K810" t="str">
        <f t="shared" si="159"/>
        <v>1_1900</v>
      </c>
      <c r="S810" t="str">
        <f t="shared" si="161"/>
        <v/>
      </c>
      <c r="T810" s="64" t="str">
        <f t="shared" si="160"/>
        <v/>
      </c>
      <c r="AA810" t="str">
        <f t="shared" si="162"/>
        <v/>
      </c>
      <c r="AB810" s="64" t="str">
        <f t="shared" si="163"/>
        <v/>
      </c>
    </row>
    <row r="811" spans="1:28" x14ac:dyDescent="0.35">
      <c r="A811">
        <f>'Procurement Schedule'!R929</f>
        <v>0</v>
      </c>
      <c r="B811" s="63">
        <f>'Procurement Schedule'!M929</f>
        <v>0</v>
      </c>
      <c r="C811">
        <f t="shared" si="164"/>
        <v>1</v>
      </c>
      <c r="D811">
        <f t="shared" si="155"/>
        <v>1900</v>
      </c>
      <c r="E811" t="str">
        <f t="shared" si="156"/>
        <v>1_1900</v>
      </c>
      <c r="G811">
        <f t="shared" si="157"/>
        <v>0</v>
      </c>
      <c r="H811" s="63">
        <f>'Procurement Schedule'!N929</f>
        <v>0</v>
      </c>
      <c r="I811">
        <f t="shared" si="165"/>
        <v>1</v>
      </c>
      <c r="J811">
        <f t="shared" si="158"/>
        <v>1900</v>
      </c>
      <c r="K811" t="str">
        <f t="shared" si="159"/>
        <v>1_1900</v>
      </c>
      <c r="S811" t="str">
        <f t="shared" si="161"/>
        <v/>
      </c>
      <c r="T811" s="64" t="str">
        <f t="shared" si="160"/>
        <v/>
      </c>
      <c r="AA811" t="str">
        <f t="shared" si="162"/>
        <v/>
      </c>
      <c r="AB811" s="64" t="str">
        <f t="shared" si="163"/>
        <v/>
      </c>
    </row>
    <row r="812" spans="1:28" x14ac:dyDescent="0.35">
      <c r="A812">
        <f>'Procurement Schedule'!R930</f>
        <v>0</v>
      </c>
      <c r="B812" s="63">
        <f>'Procurement Schedule'!M930</f>
        <v>0</v>
      </c>
      <c r="C812">
        <f t="shared" si="164"/>
        <v>1</v>
      </c>
      <c r="D812">
        <f t="shared" si="155"/>
        <v>1900</v>
      </c>
      <c r="E812" t="str">
        <f t="shared" si="156"/>
        <v>1_1900</v>
      </c>
      <c r="G812">
        <f t="shared" si="157"/>
        <v>0</v>
      </c>
      <c r="H812" s="63">
        <f>'Procurement Schedule'!N930</f>
        <v>0</v>
      </c>
      <c r="I812">
        <f t="shared" si="165"/>
        <v>1</v>
      </c>
      <c r="J812">
        <f t="shared" si="158"/>
        <v>1900</v>
      </c>
      <c r="K812" t="str">
        <f t="shared" si="159"/>
        <v>1_1900</v>
      </c>
      <c r="S812" t="str">
        <f t="shared" si="161"/>
        <v/>
      </c>
      <c r="T812" s="64" t="str">
        <f t="shared" si="160"/>
        <v/>
      </c>
      <c r="AA812" t="str">
        <f t="shared" si="162"/>
        <v/>
      </c>
      <c r="AB812" s="64" t="str">
        <f t="shared" si="163"/>
        <v/>
      </c>
    </row>
    <row r="813" spans="1:28" x14ac:dyDescent="0.35">
      <c r="A813">
        <f>'Procurement Schedule'!R931</f>
        <v>0</v>
      </c>
      <c r="B813" s="63">
        <f>'Procurement Schedule'!M931</f>
        <v>0</v>
      </c>
      <c r="C813">
        <f t="shared" si="164"/>
        <v>1</v>
      </c>
      <c r="D813">
        <f t="shared" si="155"/>
        <v>1900</v>
      </c>
      <c r="E813" t="str">
        <f t="shared" si="156"/>
        <v>1_1900</v>
      </c>
      <c r="G813">
        <f t="shared" si="157"/>
        <v>0</v>
      </c>
      <c r="H813" s="63">
        <f>'Procurement Schedule'!N931</f>
        <v>0</v>
      </c>
      <c r="I813">
        <f t="shared" si="165"/>
        <v>1</v>
      </c>
      <c r="J813">
        <f t="shared" si="158"/>
        <v>1900</v>
      </c>
      <c r="K813" t="str">
        <f t="shared" si="159"/>
        <v>1_1900</v>
      </c>
      <c r="S813" t="str">
        <f t="shared" si="161"/>
        <v/>
      </c>
      <c r="T813" s="64" t="str">
        <f t="shared" si="160"/>
        <v/>
      </c>
      <c r="AA813" t="str">
        <f t="shared" si="162"/>
        <v/>
      </c>
      <c r="AB813" s="64" t="str">
        <f t="shared" si="163"/>
        <v/>
      </c>
    </row>
    <row r="814" spans="1:28" x14ac:dyDescent="0.35">
      <c r="A814">
        <f>'Procurement Schedule'!R932</f>
        <v>0</v>
      </c>
      <c r="B814" s="63">
        <f>'Procurement Schedule'!M932</f>
        <v>0</v>
      </c>
      <c r="C814">
        <f t="shared" si="164"/>
        <v>1</v>
      </c>
      <c r="D814">
        <f t="shared" si="155"/>
        <v>1900</v>
      </c>
      <c r="E814" t="str">
        <f t="shared" si="156"/>
        <v>1_1900</v>
      </c>
      <c r="G814">
        <f t="shared" si="157"/>
        <v>0</v>
      </c>
      <c r="H814" s="63">
        <f>'Procurement Schedule'!N932</f>
        <v>0</v>
      </c>
      <c r="I814">
        <f t="shared" si="165"/>
        <v>1</v>
      </c>
      <c r="J814">
        <f t="shared" si="158"/>
        <v>1900</v>
      </c>
      <c r="K814" t="str">
        <f t="shared" si="159"/>
        <v>1_1900</v>
      </c>
      <c r="S814" t="str">
        <f t="shared" si="161"/>
        <v/>
      </c>
      <c r="T814" s="64" t="str">
        <f t="shared" si="160"/>
        <v/>
      </c>
      <c r="AA814" t="str">
        <f t="shared" si="162"/>
        <v/>
      </c>
      <c r="AB814" s="64" t="str">
        <f t="shared" si="163"/>
        <v/>
      </c>
    </row>
    <row r="815" spans="1:28" x14ac:dyDescent="0.35">
      <c r="A815">
        <f>'Procurement Schedule'!R933</f>
        <v>0</v>
      </c>
      <c r="B815" s="63">
        <f>'Procurement Schedule'!M933</f>
        <v>0</v>
      </c>
      <c r="C815">
        <f t="shared" si="164"/>
        <v>1</v>
      </c>
      <c r="D815">
        <f t="shared" si="155"/>
        <v>1900</v>
      </c>
      <c r="E815" t="str">
        <f t="shared" si="156"/>
        <v>1_1900</v>
      </c>
      <c r="G815">
        <f t="shared" si="157"/>
        <v>0</v>
      </c>
      <c r="H815" s="63">
        <f>'Procurement Schedule'!N933</f>
        <v>0</v>
      </c>
      <c r="I815">
        <f t="shared" si="165"/>
        <v>1</v>
      </c>
      <c r="J815">
        <f t="shared" si="158"/>
        <v>1900</v>
      </c>
      <c r="K815" t="str">
        <f t="shared" si="159"/>
        <v>1_1900</v>
      </c>
      <c r="S815" t="str">
        <f t="shared" si="161"/>
        <v/>
      </c>
      <c r="T815" s="64" t="str">
        <f t="shared" si="160"/>
        <v/>
      </c>
      <c r="AA815" t="str">
        <f t="shared" si="162"/>
        <v/>
      </c>
      <c r="AB815" s="64" t="str">
        <f t="shared" si="163"/>
        <v/>
      </c>
    </row>
    <row r="816" spans="1:28" x14ac:dyDescent="0.35">
      <c r="A816">
        <f>'Procurement Schedule'!R934</f>
        <v>0</v>
      </c>
      <c r="B816" s="63">
        <f>'Procurement Schedule'!M934</f>
        <v>0</v>
      </c>
      <c r="C816">
        <f t="shared" si="164"/>
        <v>1</v>
      </c>
      <c r="D816">
        <f t="shared" si="155"/>
        <v>1900</v>
      </c>
      <c r="E816" t="str">
        <f t="shared" si="156"/>
        <v>1_1900</v>
      </c>
      <c r="G816">
        <f t="shared" si="157"/>
        <v>0</v>
      </c>
      <c r="H816" s="63">
        <f>'Procurement Schedule'!N934</f>
        <v>0</v>
      </c>
      <c r="I816">
        <f t="shared" si="165"/>
        <v>1</v>
      </c>
      <c r="J816">
        <f t="shared" si="158"/>
        <v>1900</v>
      </c>
      <c r="K816" t="str">
        <f t="shared" si="159"/>
        <v>1_1900</v>
      </c>
      <c r="S816" t="str">
        <f t="shared" si="161"/>
        <v/>
      </c>
      <c r="T816" s="64" t="str">
        <f t="shared" si="160"/>
        <v/>
      </c>
      <c r="AA816" t="str">
        <f t="shared" si="162"/>
        <v/>
      </c>
      <c r="AB816" s="64" t="str">
        <f t="shared" si="163"/>
        <v/>
      </c>
    </row>
    <row r="817" spans="1:28" x14ac:dyDescent="0.35">
      <c r="A817">
        <f>'Procurement Schedule'!R935</f>
        <v>0</v>
      </c>
      <c r="B817" s="63">
        <f>'Procurement Schedule'!M935</f>
        <v>0</v>
      </c>
      <c r="C817">
        <f t="shared" si="164"/>
        <v>1</v>
      </c>
      <c r="D817">
        <f t="shared" si="155"/>
        <v>1900</v>
      </c>
      <c r="E817" t="str">
        <f t="shared" si="156"/>
        <v>1_1900</v>
      </c>
      <c r="G817">
        <f t="shared" si="157"/>
        <v>0</v>
      </c>
      <c r="H817" s="63">
        <f>'Procurement Schedule'!N935</f>
        <v>0</v>
      </c>
      <c r="I817">
        <f t="shared" si="165"/>
        <v>1</v>
      </c>
      <c r="J817">
        <f t="shared" si="158"/>
        <v>1900</v>
      </c>
      <c r="K817" t="str">
        <f t="shared" si="159"/>
        <v>1_1900</v>
      </c>
      <c r="S817" t="str">
        <f t="shared" si="161"/>
        <v/>
      </c>
      <c r="T817" s="64" t="str">
        <f t="shared" si="160"/>
        <v/>
      </c>
      <c r="AA817" t="str">
        <f t="shared" si="162"/>
        <v/>
      </c>
      <c r="AB817" s="64" t="str">
        <f t="shared" si="163"/>
        <v/>
      </c>
    </row>
    <row r="818" spans="1:28" x14ac:dyDescent="0.35">
      <c r="A818">
        <f>'Procurement Schedule'!R936</f>
        <v>0</v>
      </c>
      <c r="B818" s="63">
        <f>'Procurement Schedule'!M936</f>
        <v>0</v>
      </c>
      <c r="C818">
        <f t="shared" si="164"/>
        <v>1</v>
      </c>
      <c r="D818">
        <f t="shared" si="155"/>
        <v>1900</v>
      </c>
      <c r="E818" t="str">
        <f t="shared" si="156"/>
        <v>1_1900</v>
      </c>
      <c r="G818">
        <f t="shared" si="157"/>
        <v>0</v>
      </c>
      <c r="H818" s="63">
        <f>'Procurement Schedule'!N936</f>
        <v>0</v>
      </c>
      <c r="I818">
        <f t="shared" si="165"/>
        <v>1</v>
      </c>
      <c r="J818">
        <f t="shared" si="158"/>
        <v>1900</v>
      </c>
      <c r="K818" t="str">
        <f t="shared" si="159"/>
        <v>1_1900</v>
      </c>
      <c r="S818" t="str">
        <f t="shared" si="161"/>
        <v/>
      </c>
      <c r="T818" s="64" t="str">
        <f t="shared" si="160"/>
        <v/>
      </c>
      <c r="AA818" t="str">
        <f t="shared" si="162"/>
        <v/>
      </c>
      <c r="AB818" s="64" t="str">
        <f t="shared" si="163"/>
        <v/>
      </c>
    </row>
    <row r="819" spans="1:28" x14ac:dyDescent="0.35">
      <c r="A819">
        <f>'Procurement Schedule'!R937</f>
        <v>0</v>
      </c>
      <c r="B819" s="63">
        <f>'Procurement Schedule'!M937</f>
        <v>0</v>
      </c>
      <c r="C819">
        <f t="shared" si="164"/>
        <v>1</v>
      </c>
      <c r="D819">
        <f t="shared" si="155"/>
        <v>1900</v>
      </c>
      <c r="E819" t="str">
        <f t="shared" si="156"/>
        <v>1_1900</v>
      </c>
      <c r="G819">
        <f t="shared" si="157"/>
        <v>0</v>
      </c>
      <c r="H819" s="63">
        <f>'Procurement Schedule'!N937</f>
        <v>0</v>
      </c>
      <c r="I819">
        <f t="shared" si="165"/>
        <v>1</v>
      </c>
      <c r="J819">
        <f t="shared" si="158"/>
        <v>1900</v>
      </c>
      <c r="K819" t="str">
        <f t="shared" si="159"/>
        <v>1_1900</v>
      </c>
      <c r="S819" t="str">
        <f t="shared" si="161"/>
        <v/>
      </c>
      <c r="T819" s="64" t="str">
        <f t="shared" si="160"/>
        <v/>
      </c>
      <c r="AA819" t="str">
        <f t="shared" si="162"/>
        <v/>
      </c>
      <c r="AB819" s="64" t="str">
        <f t="shared" si="163"/>
        <v/>
      </c>
    </row>
    <row r="820" spans="1:28" x14ac:dyDescent="0.35">
      <c r="A820">
        <f>'Procurement Schedule'!R938</f>
        <v>0</v>
      </c>
      <c r="B820" s="63">
        <f>'Procurement Schedule'!M938</f>
        <v>0</v>
      </c>
      <c r="C820">
        <f t="shared" si="164"/>
        <v>1</v>
      </c>
      <c r="D820">
        <f t="shared" si="155"/>
        <v>1900</v>
      </c>
      <c r="E820" t="str">
        <f t="shared" si="156"/>
        <v>1_1900</v>
      </c>
      <c r="G820">
        <f t="shared" si="157"/>
        <v>0</v>
      </c>
      <c r="H820" s="63">
        <f>'Procurement Schedule'!N938</f>
        <v>0</v>
      </c>
      <c r="I820">
        <f t="shared" si="165"/>
        <v>1</v>
      </c>
      <c r="J820">
        <f t="shared" si="158"/>
        <v>1900</v>
      </c>
      <c r="K820" t="str">
        <f t="shared" si="159"/>
        <v>1_1900</v>
      </c>
      <c r="S820" t="str">
        <f t="shared" si="161"/>
        <v/>
      </c>
      <c r="T820" s="64" t="str">
        <f t="shared" si="160"/>
        <v/>
      </c>
      <c r="AA820" t="str">
        <f t="shared" si="162"/>
        <v/>
      </c>
      <c r="AB820" s="64" t="str">
        <f t="shared" si="163"/>
        <v/>
      </c>
    </row>
    <row r="821" spans="1:28" x14ac:dyDescent="0.35">
      <c r="A821">
        <f>'Procurement Schedule'!R939</f>
        <v>0</v>
      </c>
      <c r="B821" s="63">
        <f>'Procurement Schedule'!M939</f>
        <v>0</v>
      </c>
      <c r="C821">
        <f t="shared" si="164"/>
        <v>1</v>
      </c>
      <c r="D821">
        <f t="shared" si="155"/>
        <v>1900</v>
      </c>
      <c r="E821" t="str">
        <f t="shared" si="156"/>
        <v>1_1900</v>
      </c>
      <c r="G821">
        <f t="shared" si="157"/>
        <v>0</v>
      </c>
      <c r="H821" s="63">
        <f>'Procurement Schedule'!N939</f>
        <v>0</v>
      </c>
      <c r="I821">
        <f t="shared" si="165"/>
        <v>1</v>
      </c>
      <c r="J821">
        <f t="shared" si="158"/>
        <v>1900</v>
      </c>
      <c r="K821" t="str">
        <f t="shared" si="159"/>
        <v>1_1900</v>
      </c>
      <c r="S821" t="str">
        <f t="shared" si="161"/>
        <v/>
      </c>
      <c r="T821" s="64" t="str">
        <f t="shared" si="160"/>
        <v/>
      </c>
      <c r="AA821" t="str">
        <f t="shared" si="162"/>
        <v/>
      </c>
      <c r="AB821" s="64" t="str">
        <f t="shared" si="163"/>
        <v/>
      </c>
    </row>
    <row r="822" spans="1:28" x14ac:dyDescent="0.35">
      <c r="A822">
        <f>'Procurement Schedule'!R940</f>
        <v>0</v>
      </c>
      <c r="B822" s="63">
        <f>'Procurement Schedule'!M940</f>
        <v>0</v>
      </c>
      <c r="C822">
        <f t="shared" si="164"/>
        <v>1</v>
      </c>
      <c r="D822">
        <f t="shared" si="155"/>
        <v>1900</v>
      </c>
      <c r="E822" t="str">
        <f t="shared" si="156"/>
        <v>1_1900</v>
      </c>
      <c r="G822">
        <f t="shared" si="157"/>
        <v>0</v>
      </c>
      <c r="H822" s="63">
        <f>'Procurement Schedule'!N940</f>
        <v>0</v>
      </c>
      <c r="I822">
        <f t="shared" si="165"/>
        <v>1</v>
      </c>
      <c r="J822">
        <f t="shared" si="158"/>
        <v>1900</v>
      </c>
      <c r="K822" t="str">
        <f t="shared" si="159"/>
        <v>1_1900</v>
      </c>
      <c r="S822" t="str">
        <f t="shared" si="161"/>
        <v/>
      </c>
      <c r="T822" s="64" t="str">
        <f t="shared" si="160"/>
        <v/>
      </c>
      <c r="AA822" t="str">
        <f t="shared" si="162"/>
        <v/>
      </c>
      <c r="AB822" s="64" t="str">
        <f t="shared" si="163"/>
        <v/>
      </c>
    </row>
    <row r="823" spans="1:28" x14ac:dyDescent="0.35">
      <c r="A823">
        <f>'Procurement Schedule'!R941</f>
        <v>0</v>
      </c>
      <c r="B823" s="63">
        <f>'Procurement Schedule'!M941</f>
        <v>0</v>
      </c>
      <c r="C823">
        <f t="shared" si="164"/>
        <v>1</v>
      </c>
      <c r="D823">
        <f t="shared" ref="D823:D886" si="166">YEAR(B823)</f>
        <v>1900</v>
      </c>
      <c r="E823" t="str">
        <f t="shared" ref="E823:E886" si="167">C823&amp;"_"&amp;D823</f>
        <v>1_1900</v>
      </c>
      <c r="G823">
        <f t="shared" ref="G823:G886" si="168">A823</f>
        <v>0</v>
      </c>
      <c r="H823" s="63">
        <f>'Procurement Schedule'!N941</f>
        <v>0</v>
      </c>
      <c r="I823">
        <f t="shared" si="165"/>
        <v>1</v>
      </c>
      <c r="J823">
        <f t="shared" ref="J823:J886" si="169">YEAR(H823)</f>
        <v>1900</v>
      </c>
      <c r="K823" t="str">
        <f t="shared" ref="K823:K886" si="170">I823&amp;"_"&amp;J823</f>
        <v>1_1900</v>
      </c>
      <c r="S823" t="str">
        <f t="shared" si="161"/>
        <v/>
      </c>
      <c r="T823" s="64" t="str">
        <f t="shared" si="160"/>
        <v/>
      </c>
      <c r="AA823" t="str">
        <f t="shared" si="162"/>
        <v/>
      </c>
      <c r="AB823" s="64" t="str">
        <f t="shared" si="163"/>
        <v/>
      </c>
    </row>
    <row r="824" spans="1:28" x14ac:dyDescent="0.35">
      <c r="A824">
        <f>'Procurement Schedule'!R942</f>
        <v>0</v>
      </c>
      <c r="B824" s="63">
        <f>'Procurement Schedule'!M942</f>
        <v>0</v>
      </c>
      <c r="C824">
        <f t="shared" si="164"/>
        <v>1</v>
      </c>
      <c r="D824">
        <f t="shared" si="166"/>
        <v>1900</v>
      </c>
      <c r="E824" t="str">
        <f t="shared" si="167"/>
        <v>1_1900</v>
      </c>
      <c r="G824">
        <f t="shared" si="168"/>
        <v>0</v>
      </c>
      <c r="H824" s="63">
        <f>'Procurement Schedule'!N942</f>
        <v>0</v>
      </c>
      <c r="I824">
        <f t="shared" si="165"/>
        <v>1</v>
      </c>
      <c r="J824">
        <f t="shared" si="169"/>
        <v>1900</v>
      </c>
      <c r="K824" t="str">
        <f t="shared" si="170"/>
        <v>1_1900</v>
      </c>
      <c r="S824" t="str">
        <f t="shared" si="161"/>
        <v/>
      </c>
      <c r="T824" s="64" t="str">
        <f t="shared" si="160"/>
        <v/>
      </c>
      <c r="AA824" t="str">
        <f t="shared" si="162"/>
        <v/>
      </c>
      <c r="AB824" s="64" t="str">
        <f t="shared" si="163"/>
        <v/>
      </c>
    </row>
    <row r="825" spans="1:28" x14ac:dyDescent="0.35">
      <c r="A825">
        <f>'Procurement Schedule'!R943</f>
        <v>0</v>
      </c>
      <c r="B825" s="63">
        <f>'Procurement Schedule'!M943</f>
        <v>0</v>
      </c>
      <c r="C825">
        <f t="shared" si="164"/>
        <v>1</v>
      </c>
      <c r="D825">
        <f t="shared" si="166"/>
        <v>1900</v>
      </c>
      <c r="E825" t="str">
        <f t="shared" si="167"/>
        <v>1_1900</v>
      </c>
      <c r="G825">
        <f t="shared" si="168"/>
        <v>0</v>
      </c>
      <c r="H825" s="63">
        <f>'Procurement Schedule'!N943</f>
        <v>0</v>
      </c>
      <c r="I825">
        <f t="shared" si="165"/>
        <v>1</v>
      </c>
      <c r="J825">
        <f t="shared" si="169"/>
        <v>1900</v>
      </c>
      <c r="K825" t="str">
        <f t="shared" si="170"/>
        <v>1_1900</v>
      </c>
      <c r="S825" t="str">
        <f t="shared" si="161"/>
        <v/>
      </c>
      <c r="T825" s="64" t="str">
        <f t="shared" si="160"/>
        <v/>
      </c>
      <c r="AA825" t="str">
        <f t="shared" si="162"/>
        <v/>
      </c>
      <c r="AB825" s="64" t="str">
        <f t="shared" si="163"/>
        <v/>
      </c>
    </row>
    <row r="826" spans="1:28" x14ac:dyDescent="0.35">
      <c r="A826">
        <f>'Procurement Schedule'!R944</f>
        <v>0</v>
      </c>
      <c r="B826" s="63">
        <f>'Procurement Schedule'!M944</f>
        <v>0</v>
      </c>
      <c r="C826">
        <f t="shared" si="164"/>
        <v>1</v>
      </c>
      <c r="D826">
        <f t="shared" si="166"/>
        <v>1900</v>
      </c>
      <c r="E826" t="str">
        <f t="shared" si="167"/>
        <v>1_1900</v>
      </c>
      <c r="G826">
        <f t="shared" si="168"/>
        <v>0</v>
      </c>
      <c r="H826" s="63">
        <f>'Procurement Schedule'!N944</f>
        <v>0</v>
      </c>
      <c r="I826">
        <f t="shared" si="165"/>
        <v>1</v>
      </c>
      <c r="J826">
        <f t="shared" si="169"/>
        <v>1900</v>
      </c>
      <c r="K826" t="str">
        <f t="shared" si="170"/>
        <v>1_1900</v>
      </c>
      <c r="S826" t="str">
        <f t="shared" si="161"/>
        <v/>
      </c>
      <c r="T826" s="64" t="str">
        <f t="shared" si="160"/>
        <v/>
      </c>
      <c r="AA826" t="str">
        <f t="shared" si="162"/>
        <v/>
      </c>
      <c r="AB826" s="64" t="str">
        <f t="shared" si="163"/>
        <v/>
      </c>
    </row>
    <row r="827" spans="1:28" x14ac:dyDescent="0.35">
      <c r="A827">
        <f>'Procurement Schedule'!R945</f>
        <v>0</v>
      </c>
      <c r="B827" s="63">
        <f>'Procurement Schedule'!M945</f>
        <v>0</v>
      </c>
      <c r="C827">
        <f t="shared" si="164"/>
        <v>1</v>
      </c>
      <c r="D827">
        <f t="shared" si="166"/>
        <v>1900</v>
      </c>
      <c r="E827" t="str">
        <f t="shared" si="167"/>
        <v>1_1900</v>
      </c>
      <c r="G827">
        <f t="shared" si="168"/>
        <v>0</v>
      </c>
      <c r="H827" s="63">
        <f>'Procurement Schedule'!N945</f>
        <v>0</v>
      </c>
      <c r="I827">
        <f t="shared" si="165"/>
        <v>1</v>
      </c>
      <c r="J827">
        <f t="shared" si="169"/>
        <v>1900</v>
      </c>
      <c r="K827" t="str">
        <f t="shared" si="170"/>
        <v>1_1900</v>
      </c>
      <c r="S827" t="str">
        <f t="shared" si="161"/>
        <v/>
      </c>
      <c r="T827" s="64" t="str">
        <f t="shared" si="160"/>
        <v/>
      </c>
      <c r="AA827" t="str">
        <f t="shared" si="162"/>
        <v/>
      </c>
      <c r="AB827" s="64" t="str">
        <f t="shared" si="163"/>
        <v/>
      </c>
    </row>
    <row r="828" spans="1:28" x14ac:dyDescent="0.35">
      <c r="A828">
        <f>'Procurement Schedule'!R946</f>
        <v>0</v>
      </c>
      <c r="B828" s="63">
        <f>'Procurement Schedule'!M946</f>
        <v>0</v>
      </c>
      <c r="C828">
        <f t="shared" si="164"/>
        <v>1</v>
      </c>
      <c r="D828">
        <f t="shared" si="166"/>
        <v>1900</v>
      </c>
      <c r="E828" t="str">
        <f t="shared" si="167"/>
        <v>1_1900</v>
      </c>
      <c r="G828">
        <f t="shared" si="168"/>
        <v>0</v>
      </c>
      <c r="H828" s="63">
        <f>'Procurement Schedule'!N946</f>
        <v>0</v>
      </c>
      <c r="I828">
        <f t="shared" si="165"/>
        <v>1</v>
      </c>
      <c r="J828">
        <f t="shared" si="169"/>
        <v>1900</v>
      </c>
      <c r="K828" t="str">
        <f t="shared" si="170"/>
        <v>1_1900</v>
      </c>
      <c r="S828" t="str">
        <f t="shared" si="161"/>
        <v/>
      </c>
      <c r="T828" s="64" t="str">
        <f t="shared" si="160"/>
        <v/>
      </c>
      <c r="AA828" t="str">
        <f t="shared" si="162"/>
        <v/>
      </c>
      <c r="AB828" s="64" t="str">
        <f t="shared" si="163"/>
        <v/>
      </c>
    </row>
    <row r="829" spans="1:28" x14ac:dyDescent="0.35">
      <c r="A829">
        <f>'Procurement Schedule'!R947</f>
        <v>0</v>
      </c>
      <c r="B829" s="63">
        <f>'Procurement Schedule'!M947</f>
        <v>0</v>
      </c>
      <c r="C829">
        <f t="shared" si="164"/>
        <v>1</v>
      </c>
      <c r="D829">
        <f t="shared" si="166"/>
        <v>1900</v>
      </c>
      <c r="E829" t="str">
        <f t="shared" si="167"/>
        <v>1_1900</v>
      </c>
      <c r="G829">
        <f t="shared" si="168"/>
        <v>0</v>
      </c>
      <c r="H829" s="63">
        <f>'Procurement Schedule'!N947</f>
        <v>0</v>
      </c>
      <c r="I829">
        <f t="shared" si="165"/>
        <v>1</v>
      </c>
      <c r="J829">
        <f t="shared" si="169"/>
        <v>1900</v>
      </c>
      <c r="K829" t="str">
        <f t="shared" si="170"/>
        <v>1_1900</v>
      </c>
      <c r="S829" t="str">
        <f t="shared" si="161"/>
        <v/>
      </c>
      <c r="T829" s="64" t="str">
        <f t="shared" si="160"/>
        <v/>
      </c>
      <c r="AA829" t="str">
        <f t="shared" si="162"/>
        <v/>
      </c>
      <c r="AB829" s="64" t="str">
        <f t="shared" si="163"/>
        <v/>
      </c>
    </row>
    <row r="830" spans="1:28" x14ac:dyDescent="0.35">
      <c r="A830">
        <f>'Procurement Schedule'!R948</f>
        <v>0</v>
      </c>
      <c r="B830" s="63">
        <f>'Procurement Schedule'!M948</f>
        <v>0</v>
      </c>
      <c r="C830">
        <f t="shared" si="164"/>
        <v>1</v>
      </c>
      <c r="D830">
        <f t="shared" si="166"/>
        <v>1900</v>
      </c>
      <c r="E830" t="str">
        <f t="shared" si="167"/>
        <v>1_1900</v>
      </c>
      <c r="G830">
        <f t="shared" si="168"/>
        <v>0</v>
      </c>
      <c r="H830" s="63">
        <f>'Procurement Schedule'!N948</f>
        <v>0</v>
      </c>
      <c r="I830">
        <f t="shared" si="165"/>
        <v>1</v>
      </c>
      <c r="J830">
        <f t="shared" si="169"/>
        <v>1900</v>
      </c>
      <c r="K830" t="str">
        <f t="shared" si="170"/>
        <v>1_1900</v>
      </c>
      <c r="S830" t="str">
        <f t="shared" si="161"/>
        <v/>
      </c>
      <c r="T830" s="64" t="str">
        <f t="shared" si="160"/>
        <v/>
      </c>
      <c r="AA830" t="str">
        <f t="shared" si="162"/>
        <v/>
      </c>
      <c r="AB830" s="64" t="str">
        <f t="shared" si="163"/>
        <v/>
      </c>
    </row>
    <row r="831" spans="1:28" x14ac:dyDescent="0.35">
      <c r="A831">
        <f>'Procurement Schedule'!R949</f>
        <v>0</v>
      </c>
      <c r="B831" s="63">
        <f>'Procurement Schedule'!M949</f>
        <v>0</v>
      </c>
      <c r="C831">
        <f t="shared" si="164"/>
        <v>1</v>
      </c>
      <c r="D831">
        <f t="shared" si="166"/>
        <v>1900</v>
      </c>
      <c r="E831" t="str">
        <f t="shared" si="167"/>
        <v>1_1900</v>
      </c>
      <c r="G831">
        <f t="shared" si="168"/>
        <v>0</v>
      </c>
      <c r="H831" s="63">
        <f>'Procurement Schedule'!N949</f>
        <v>0</v>
      </c>
      <c r="I831">
        <f t="shared" si="165"/>
        <v>1</v>
      </c>
      <c r="J831">
        <f t="shared" si="169"/>
        <v>1900</v>
      </c>
      <c r="K831" t="str">
        <f t="shared" si="170"/>
        <v>1_1900</v>
      </c>
      <c r="S831" t="str">
        <f t="shared" si="161"/>
        <v/>
      </c>
      <c r="T831" s="64" t="str">
        <f t="shared" si="160"/>
        <v/>
      </c>
      <c r="AA831" t="str">
        <f t="shared" si="162"/>
        <v/>
      </c>
      <c r="AB831" s="64" t="str">
        <f t="shared" si="163"/>
        <v/>
      </c>
    </row>
    <row r="832" spans="1:28" x14ac:dyDescent="0.35">
      <c r="A832">
        <f>'Procurement Schedule'!R950</f>
        <v>0</v>
      </c>
      <c r="B832" s="63">
        <f>'Procurement Schedule'!M950</f>
        <v>0</v>
      </c>
      <c r="C832">
        <f t="shared" si="164"/>
        <v>1</v>
      </c>
      <c r="D832">
        <f t="shared" si="166"/>
        <v>1900</v>
      </c>
      <c r="E832" t="str">
        <f t="shared" si="167"/>
        <v>1_1900</v>
      </c>
      <c r="G832">
        <f t="shared" si="168"/>
        <v>0</v>
      </c>
      <c r="H832" s="63">
        <f>'Procurement Schedule'!N950</f>
        <v>0</v>
      </c>
      <c r="I832">
        <f t="shared" si="165"/>
        <v>1</v>
      </c>
      <c r="J832">
        <f t="shared" si="169"/>
        <v>1900</v>
      </c>
      <c r="K832" t="str">
        <f t="shared" si="170"/>
        <v>1_1900</v>
      </c>
      <c r="S832" t="str">
        <f t="shared" si="161"/>
        <v/>
      </c>
      <c r="T832" s="64" t="str">
        <f t="shared" si="160"/>
        <v/>
      </c>
      <c r="AA832" t="str">
        <f t="shared" si="162"/>
        <v/>
      </c>
      <c r="AB832" s="64" t="str">
        <f t="shared" si="163"/>
        <v/>
      </c>
    </row>
    <row r="833" spans="1:28" x14ac:dyDescent="0.35">
      <c r="A833">
        <f>'Procurement Schedule'!R951</f>
        <v>0</v>
      </c>
      <c r="B833" s="63">
        <f>'Procurement Schedule'!M951</f>
        <v>0</v>
      </c>
      <c r="C833">
        <f t="shared" si="164"/>
        <v>1</v>
      </c>
      <c r="D833">
        <f t="shared" si="166"/>
        <v>1900</v>
      </c>
      <c r="E833" t="str">
        <f t="shared" si="167"/>
        <v>1_1900</v>
      </c>
      <c r="G833">
        <f t="shared" si="168"/>
        <v>0</v>
      </c>
      <c r="H833" s="63">
        <f>'Procurement Schedule'!N951</f>
        <v>0</v>
      </c>
      <c r="I833">
        <f t="shared" si="165"/>
        <v>1</v>
      </c>
      <c r="J833">
        <f t="shared" si="169"/>
        <v>1900</v>
      </c>
      <c r="K833" t="str">
        <f t="shared" si="170"/>
        <v>1_1900</v>
      </c>
      <c r="S833" t="str">
        <f t="shared" si="161"/>
        <v/>
      </c>
      <c r="T833" s="64" t="str">
        <f t="shared" si="160"/>
        <v/>
      </c>
      <c r="AA833" t="str">
        <f t="shared" si="162"/>
        <v/>
      </c>
      <c r="AB833" s="64" t="str">
        <f t="shared" si="163"/>
        <v/>
      </c>
    </row>
    <row r="834" spans="1:28" x14ac:dyDescent="0.35">
      <c r="A834">
        <f>'Procurement Schedule'!R952</f>
        <v>0</v>
      </c>
      <c r="B834" s="63">
        <f>'Procurement Schedule'!M952</f>
        <v>0</v>
      </c>
      <c r="C834">
        <f t="shared" si="164"/>
        <v>1</v>
      </c>
      <c r="D834">
        <f t="shared" si="166"/>
        <v>1900</v>
      </c>
      <c r="E834" t="str">
        <f t="shared" si="167"/>
        <v>1_1900</v>
      </c>
      <c r="G834">
        <f t="shared" si="168"/>
        <v>0</v>
      </c>
      <c r="H834" s="63">
        <f>'Procurement Schedule'!N952</f>
        <v>0</v>
      </c>
      <c r="I834">
        <f t="shared" si="165"/>
        <v>1</v>
      </c>
      <c r="J834">
        <f t="shared" si="169"/>
        <v>1900</v>
      </c>
      <c r="K834" t="str">
        <f t="shared" si="170"/>
        <v>1_1900</v>
      </c>
      <c r="S834" t="str">
        <f t="shared" si="161"/>
        <v/>
      </c>
      <c r="T834" s="64" t="str">
        <f t="shared" si="160"/>
        <v/>
      </c>
      <c r="AA834" t="str">
        <f t="shared" si="162"/>
        <v/>
      </c>
      <c r="AB834" s="64" t="str">
        <f t="shared" si="163"/>
        <v/>
      </c>
    </row>
    <row r="835" spans="1:28" x14ac:dyDescent="0.35">
      <c r="A835">
        <f>'Procurement Schedule'!R953</f>
        <v>0</v>
      </c>
      <c r="B835" s="63">
        <f>'Procurement Schedule'!M953</f>
        <v>0</v>
      </c>
      <c r="C835">
        <f t="shared" si="164"/>
        <v>1</v>
      </c>
      <c r="D835">
        <f t="shared" si="166"/>
        <v>1900</v>
      </c>
      <c r="E835" t="str">
        <f t="shared" si="167"/>
        <v>1_1900</v>
      </c>
      <c r="G835">
        <f t="shared" si="168"/>
        <v>0</v>
      </c>
      <c r="H835" s="63">
        <f>'Procurement Schedule'!N953</f>
        <v>0</v>
      </c>
      <c r="I835">
        <f t="shared" si="165"/>
        <v>1</v>
      </c>
      <c r="J835">
        <f t="shared" si="169"/>
        <v>1900</v>
      </c>
      <c r="K835" t="str">
        <f t="shared" si="170"/>
        <v>1_1900</v>
      </c>
      <c r="S835" t="str">
        <f t="shared" si="161"/>
        <v/>
      </c>
      <c r="T835" s="64" t="str">
        <f t="shared" si="160"/>
        <v/>
      </c>
      <c r="AA835" t="str">
        <f t="shared" si="162"/>
        <v/>
      </c>
      <c r="AB835" s="64" t="str">
        <f t="shared" si="163"/>
        <v/>
      </c>
    </row>
    <row r="836" spans="1:28" x14ac:dyDescent="0.35">
      <c r="A836">
        <f>'Procurement Schedule'!R954</f>
        <v>0</v>
      </c>
      <c r="B836" s="63">
        <f>'Procurement Schedule'!M954</f>
        <v>0</v>
      </c>
      <c r="C836">
        <f t="shared" si="164"/>
        <v>1</v>
      </c>
      <c r="D836">
        <f t="shared" si="166"/>
        <v>1900</v>
      </c>
      <c r="E836" t="str">
        <f t="shared" si="167"/>
        <v>1_1900</v>
      </c>
      <c r="G836">
        <f t="shared" si="168"/>
        <v>0</v>
      </c>
      <c r="H836" s="63">
        <f>'Procurement Schedule'!N954</f>
        <v>0</v>
      </c>
      <c r="I836">
        <f t="shared" si="165"/>
        <v>1</v>
      </c>
      <c r="J836">
        <f t="shared" si="169"/>
        <v>1900</v>
      </c>
      <c r="K836" t="str">
        <f t="shared" si="170"/>
        <v>1_1900</v>
      </c>
      <c r="S836" t="str">
        <f t="shared" si="161"/>
        <v/>
      </c>
      <c r="T836" s="64" t="str">
        <f t="shared" si="160"/>
        <v/>
      </c>
      <c r="AA836" t="str">
        <f t="shared" si="162"/>
        <v/>
      </c>
      <c r="AB836" s="64" t="str">
        <f t="shared" si="163"/>
        <v/>
      </c>
    </row>
    <row r="837" spans="1:28" x14ac:dyDescent="0.35">
      <c r="A837">
        <f>'Procurement Schedule'!R955</f>
        <v>0</v>
      </c>
      <c r="B837" s="63">
        <f>'Procurement Schedule'!M955</f>
        <v>0</v>
      </c>
      <c r="C837">
        <f t="shared" si="164"/>
        <v>1</v>
      </c>
      <c r="D837">
        <f t="shared" si="166"/>
        <v>1900</v>
      </c>
      <c r="E837" t="str">
        <f t="shared" si="167"/>
        <v>1_1900</v>
      </c>
      <c r="G837">
        <f t="shared" si="168"/>
        <v>0</v>
      </c>
      <c r="H837" s="63">
        <f>'Procurement Schedule'!N955</f>
        <v>0</v>
      </c>
      <c r="I837">
        <f t="shared" si="165"/>
        <v>1</v>
      </c>
      <c r="J837">
        <f t="shared" si="169"/>
        <v>1900</v>
      </c>
      <c r="K837" t="str">
        <f t="shared" si="170"/>
        <v>1_1900</v>
      </c>
      <c r="S837" t="str">
        <f t="shared" si="161"/>
        <v/>
      </c>
      <c r="T837" s="64" t="str">
        <f t="shared" ref="T837:T900" si="171">IFERROR(VLOOKUP(Q837,AD:AE,2,0),"")</f>
        <v/>
      </c>
      <c r="AA837" t="str">
        <f t="shared" si="162"/>
        <v/>
      </c>
      <c r="AB837" s="64" t="str">
        <f t="shared" si="163"/>
        <v/>
      </c>
    </row>
    <row r="838" spans="1:28" x14ac:dyDescent="0.35">
      <c r="A838">
        <f>'Procurement Schedule'!R956</f>
        <v>0</v>
      </c>
      <c r="B838" s="63">
        <f>'Procurement Schedule'!M956</f>
        <v>0</v>
      </c>
      <c r="C838">
        <f t="shared" si="164"/>
        <v>1</v>
      </c>
      <c r="D838">
        <f t="shared" si="166"/>
        <v>1900</v>
      </c>
      <c r="E838" t="str">
        <f t="shared" si="167"/>
        <v>1_1900</v>
      </c>
      <c r="G838">
        <f t="shared" si="168"/>
        <v>0</v>
      </c>
      <c r="H838" s="63">
        <f>'Procurement Schedule'!N956</f>
        <v>0</v>
      </c>
      <c r="I838">
        <f t="shared" si="165"/>
        <v>1</v>
      </c>
      <c r="J838">
        <f t="shared" si="169"/>
        <v>1900</v>
      </c>
      <c r="K838" t="str">
        <f t="shared" si="170"/>
        <v>1_1900</v>
      </c>
      <c r="S838" t="str">
        <f t="shared" si="161"/>
        <v/>
      </c>
      <c r="T838" s="64" t="str">
        <f t="shared" si="171"/>
        <v/>
      </c>
      <c r="AA838" t="str">
        <f t="shared" si="162"/>
        <v/>
      </c>
      <c r="AB838" s="64" t="str">
        <f t="shared" si="163"/>
        <v/>
      </c>
    </row>
    <row r="839" spans="1:28" x14ac:dyDescent="0.35">
      <c r="A839">
        <f>'Procurement Schedule'!R957</f>
        <v>0</v>
      </c>
      <c r="B839" s="63">
        <f>'Procurement Schedule'!M957</f>
        <v>0</v>
      </c>
      <c r="C839">
        <f t="shared" si="164"/>
        <v>1</v>
      </c>
      <c r="D839">
        <f t="shared" si="166"/>
        <v>1900</v>
      </c>
      <c r="E839" t="str">
        <f t="shared" si="167"/>
        <v>1_1900</v>
      </c>
      <c r="G839">
        <f t="shared" si="168"/>
        <v>0</v>
      </c>
      <c r="H839" s="63">
        <f>'Procurement Schedule'!N957</f>
        <v>0</v>
      </c>
      <c r="I839">
        <f t="shared" si="165"/>
        <v>1</v>
      </c>
      <c r="J839">
        <f t="shared" si="169"/>
        <v>1900</v>
      </c>
      <c r="K839" t="str">
        <f t="shared" si="170"/>
        <v>1_1900</v>
      </c>
      <c r="S839" t="str">
        <f t="shared" si="161"/>
        <v/>
      </c>
      <c r="T839" s="64" t="str">
        <f t="shared" si="171"/>
        <v/>
      </c>
      <c r="AA839" t="str">
        <f t="shared" si="162"/>
        <v/>
      </c>
      <c r="AB839" s="64" t="str">
        <f t="shared" si="163"/>
        <v/>
      </c>
    </row>
    <row r="840" spans="1:28" x14ac:dyDescent="0.35">
      <c r="A840">
        <f>'Procurement Schedule'!R958</f>
        <v>0</v>
      </c>
      <c r="B840" s="63">
        <f>'Procurement Schedule'!M958</f>
        <v>0</v>
      </c>
      <c r="C840">
        <f t="shared" si="164"/>
        <v>1</v>
      </c>
      <c r="D840">
        <f t="shared" si="166"/>
        <v>1900</v>
      </c>
      <c r="E840" t="str">
        <f t="shared" si="167"/>
        <v>1_1900</v>
      </c>
      <c r="G840">
        <f t="shared" si="168"/>
        <v>0</v>
      </c>
      <c r="H840" s="63">
        <f>'Procurement Schedule'!N958</f>
        <v>0</v>
      </c>
      <c r="I840">
        <f t="shared" si="165"/>
        <v>1</v>
      </c>
      <c r="J840">
        <f t="shared" si="169"/>
        <v>1900</v>
      </c>
      <c r="K840" t="str">
        <f t="shared" si="170"/>
        <v>1_1900</v>
      </c>
      <c r="S840" t="str">
        <f t="shared" si="161"/>
        <v/>
      </c>
      <c r="T840" s="64" t="str">
        <f t="shared" si="171"/>
        <v/>
      </c>
      <c r="AA840" t="str">
        <f t="shared" si="162"/>
        <v/>
      </c>
      <c r="AB840" s="64" t="str">
        <f t="shared" si="163"/>
        <v/>
      </c>
    </row>
    <row r="841" spans="1:28" x14ac:dyDescent="0.35">
      <c r="A841">
        <f>'Procurement Schedule'!R959</f>
        <v>0</v>
      </c>
      <c r="B841" s="63">
        <f>'Procurement Schedule'!M959</f>
        <v>0</v>
      </c>
      <c r="C841">
        <f t="shared" si="164"/>
        <v>1</v>
      </c>
      <c r="D841">
        <f t="shared" si="166"/>
        <v>1900</v>
      </c>
      <c r="E841" t="str">
        <f t="shared" si="167"/>
        <v>1_1900</v>
      </c>
      <c r="G841">
        <f t="shared" si="168"/>
        <v>0</v>
      </c>
      <c r="H841" s="63">
        <f>'Procurement Schedule'!N959</f>
        <v>0</v>
      </c>
      <c r="I841">
        <f t="shared" si="165"/>
        <v>1</v>
      </c>
      <c r="J841">
        <f t="shared" si="169"/>
        <v>1900</v>
      </c>
      <c r="K841" t="str">
        <f t="shared" si="170"/>
        <v>1_1900</v>
      </c>
      <c r="S841" t="str">
        <f t="shared" ref="S841:S904" si="172">IF(R841="","",S840+R841)</f>
        <v/>
      </c>
      <c r="T841" s="64" t="str">
        <f t="shared" si="171"/>
        <v/>
      </c>
      <c r="AA841" t="str">
        <f t="shared" si="162"/>
        <v/>
      </c>
      <c r="AB841" s="64" t="str">
        <f t="shared" si="163"/>
        <v/>
      </c>
    </row>
    <row r="842" spans="1:28" x14ac:dyDescent="0.35">
      <c r="A842">
        <f>'Procurement Schedule'!R960</f>
        <v>0</v>
      </c>
      <c r="B842" s="63">
        <f>'Procurement Schedule'!M960</f>
        <v>0</v>
      </c>
      <c r="C842">
        <f t="shared" si="164"/>
        <v>1</v>
      </c>
      <c r="D842">
        <f t="shared" si="166"/>
        <v>1900</v>
      </c>
      <c r="E842" t="str">
        <f t="shared" si="167"/>
        <v>1_1900</v>
      </c>
      <c r="G842">
        <f t="shared" si="168"/>
        <v>0</v>
      </c>
      <c r="H842" s="63">
        <f>'Procurement Schedule'!N960</f>
        <v>0</v>
      </c>
      <c r="I842">
        <f t="shared" si="165"/>
        <v>1</v>
      </c>
      <c r="J842">
        <f t="shared" si="169"/>
        <v>1900</v>
      </c>
      <c r="K842" t="str">
        <f t="shared" si="170"/>
        <v>1_1900</v>
      </c>
      <c r="S842" t="str">
        <f t="shared" si="172"/>
        <v/>
      </c>
      <c r="T842" s="64" t="str">
        <f t="shared" si="171"/>
        <v/>
      </c>
      <c r="AA842" t="str">
        <f t="shared" ref="AA842:AA905" si="173">IF(Z842="","",AA841+Z842)</f>
        <v/>
      </c>
      <c r="AB842" s="64" t="str">
        <f t="shared" ref="AB842:AB905" si="174">IFERROR(VLOOKUP(Y842,AD:AE,2,0),"")</f>
        <v/>
      </c>
    </row>
    <row r="843" spans="1:28" x14ac:dyDescent="0.35">
      <c r="A843">
        <f>'Procurement Schedule'!R961</f>
        <v>0</v>
      </c>
      <c r="B843" s="63">
        <f>'Procurement Schedule'!M961</f>
        <v>0</v>
      </c>
      <c r="C843">
        <f t="shared" si="164"/>
        <v>1</v>
      </c>
      <c r="D843">
        <f t="shared" si="166"/>
        <v>1900</v>
      </c>
      <c r="E843" t="str">
        <f t="shared" si="167"/>
        <v>1_1900</v>
      </c>
      <c r="G843">
        <f t="shared" si="168"/>
        <v>0</v>
      </c>
      <c r="H843" s="63">
        <f>'Procurement Schedule'!N961</f>
        <v>0</v>
      </c>
      <c r="I843">
        <f t="shared" si="165"/>
        <v>1</v>
      </c>
      <c r="J843">
        <f t="shared" si="169"/>
        <v>1900</v>
      </c>
      <c r="K843" t="str">
        <f t="shared" si="170"/>
        <v>1_1900</v>
      </c>
      <c r="S843" t="str">
        <f t="shared" si="172"/>
        <v/>
      </c>
      <c r="T843" s="64" t="str">
        <f t="shared" si="171"/>
        <v/>
      </c>
      <c r="AA843" t="str">
        <f t="shared" si="173"/>
        <v/>
      </c>
      <c r="AB843" s="64" t="str">
        <f t="shared" si="174"/>
        <v/>
      </c>
    </row>
    <row r="844" spans="1:28" x14ac:dyDescent="0.35">
      <c r="A844">
        <f>'Procurement Schedule'!R962</f>
        <v>0</v>
      </c>
      <c r="B844" s="63">
        <f>'Procurement Schedule'!M962</f>
        <v>0</v>
      </c>
      <c r="C844">
        <f t="shared" si="164"/>
        <v>1</v>
      </c>
      <c r="D844">
        <f t="shared" si="166"/>
        <v>1900</v>
      </c>
      <c r="E844" t="str">
        <f t="shared" si="167"/>
        <v>1_1900</v>
      </c>
      <c r="G844">
        <f t="shared" si="168"/>
        <v>0</v>
      </c>
      <c r="H844" s="63">
        <f>'Procurement Schedule'!N962</f>
        <v>0</v>
      </c>
      <c r="I844">
        <f t="shared" si="165"/>
        <v>1</v>
      </c>
      <c r="J844">
        <f t="shared" si="169"/>
        <v>1900</v>
      </c>
      <c r="K844" t="str">
        <f t="shared" si="170"/>
        <v>1_1900</v>
      </c>
      <c r="S844" t="str">
        <f t="shared" si="172"/>
        <v/>
      </c>
      <c r="T844" s="64" t="str">
        <f t="shared" si="171"/>
        <v/>
      </c>
      <c r="AA844" t="str">
        <f t="shared" si="173"/>
        <v/>
      </c>
      <c r="AB844" s="64" t="str">
        <f t="shared" si="174"/>
        <v/>
      </c>
    </row>
    <row r="845" spans="1:28" x14ac:dyDescent="0.35">
      <c r="A845">
        <f>'Procurement Schedule'!R963</f>
        <v>0</v>
      </c>
      <c r="B845" s="63">
        <f>'Procurement Schedule'!M963</f>
        <v>0</v>
      </c>
      <c r="C845">
        <f t="shared" si="164"/>
        <v>1</v>
      </c>
      <c r="D845">
        <f t="shared" si="166"/>
        <v>1900</v>
      </c>
      <c r="E845" t="str">
        <f t="shared" si="167"/>
        <v>1_1900</v>
      </c>
      <c r="G845">
        <f t="shared" si="168"/>
        <v>0</v>
      </c>
      <c r="H845" s="63">
        <f>'Procurement Schedule'!N963</f>
        <v>0</v>
      </c>
      <c r="I845">
        <f t="shared" si="165"/>
        <v>1</v>
      </c>
      <c r="J845">
        <f t="shared" si="169"/>
        <v>1900</v>
      </c>
      <c r="K845" t="str">
        <f t="shared" si="170"/>
        <v>1_1900</v>
      </c>
      <c r="S845" t="str">
        <f t="shared" si="172"/>
        <v/>
      </c>
      <c r="T845" s="64" t="str">
        <f t="shared" si="171"/>
        <v/>
      </c>
      <c r="AA845" t="str">
        <f t="shared" si="173"/>
        <v/>
      </c>
      <c r="AB845" s="64" t="str">
        <f t="shared" si="174"/>
        <v/>
      </c>
    </row>
    <row r="846" spans="1:28" x14ac:dyDescent="0.35">
      <c r="A846">
        <f>'Procurement Schedule'!R964</f>
        <v>0</v>
      </c>
      <c r="B846" s="63">
        <f>'Procurement Schedule'!M964</f>
        <v>0</v>
      </c>
      <c r="C846">
        <f t="shared" si="164"/>
        <v>1</v>
      </c>
      <c r="D846">
        <f t="shared" si="166"/>
        <v>1900</v>
      </c>
      <c r="E846" t="str">
        <f t="shared" si="167"/>
        <v>1_1900</v>
      </c>
      <c r="G846">
        <f t="shared" si="168"/>
        <v>0</v>
      </c>
      <c r="H846" s="63">
        <f>'Procurement Schedule'!N964</f>
        <v>0</v>
      </c>
      <c r="I846">
        <f t="shared" si="165"/>
        <v>1</v>
      </c>
      <c r="J846">
        <f t="shared" si="169"/>
        <v>1900</v>
      </c>
      <c r="K846" t="str">
        <f t="shared" si="170"/>
        <v>1_1900</v>
      </c>
      <c r="S846" t="str">
        <f t="shared" si="172"/>
        <v/>
      </c>
      <c r="T846" s="64" t="str">
        <f t="shared" si="171"/>
        <v/>
      </c>
      <c r="AA846" t="str">
        <f t="shared" si="173"/>
        <v/>
      </c>
      <c r="AB846" s="64" t="str">
        <f t="shared" si="174"/>
        <v/>
      </c>
    </row>
    <row r="847" spans="1:28" x14ac:dyDescent="0.35">
      <c r="A847">
        <f>'Procurement Schedule'!R965</f>
        <v>0</v>
      </c>
      <c r="B847" s="63">
        <f>'Procurement Schedule'!M965</f>
        <v>0</v>
      </c>
      <c r="C847">
        <f t="shared" si="164"/>
        <v>1</v>
      </c>
      <c r="D847">
        <f t="shared" si="166"/>
        <v>1900</v>
      </c>
      <c r="E847" t="str">
        <f t="shared" si="167"/>
        <v>1_1900</v>
      </c>
      <c r="G847">
        <f t="shared" si="168"/>
        <v>0</v>
      </c>
      <c r="H847" s="63">
        <f>'Procurement Schedule'!N965</f>
        <v>0</v>
      </c>
      <c r="I847">
        <f t="shared" si="165"/>
        <v>1</v>
      </c>
      <c r="J847">
        <f t="shared" si="169"/>
        <v>1900</v>
      </c>
      <c r="K847" t="str">
        <f t="shared" si="170"/>
        <v>1_1900</v>
      </c>
      <c r="S847" t="str">
        <f t="shared" si="172"/>
        <v/>
      </c>
      <c r="T847" s="64" t="str">
        <f t="shared" si="171"/>
        <v/>
      </c>
      <c r="AA847" t="str">
        <f t="shared" si="173"/>
        <v/>
      </c>
      <c r="AB847" s="64" t="str">
        <f t="shared" si="174"/>
        <v/>
      </c>
    </row>
    <row r="848" spans="1:28" x14ac:dyDescent="0.35">
      <c r="A848">
        <f>'Procurement Schedule'!R966</f>
        <v>0</v>
      </c>
      <c r="B848" s="63">
        <f>'Procurement Schedule'!M966</f>
        <v>0</v>
      </c>
      <c r="C848">
        <f t="shared" si="164"/>
        <v>1</v>
      </c>
      <c r="D848">
        <f t="shared" si="166"/>
        <v>1900</v>
      </c>
      <c r="E848" t="str">
        <f t="shared" si="167"/>
        <v>1_1900</v>
      </c>
      <c r="G848">
        <f t="shared" si="168"/>
        <v>0</v>
      </c>
      <c r="H848" s="63">
        <f>'Procurement Schedule'!N966</f>
        <v>0</v>
      </c>
      <c r="I848">
        <f t="shared" si="165"/>
        <v>1</v>
      </c>
      <c r="J848">
        <f t="shared" si="169"/>
        <v>1900</v>
      </c>
      <c r="K848" t="str">
        <f t="shared" si="170"/>
        <v>1_1900</v>
      </c>
      <c r="S848" t="str">
        <f t="shared" si="172"/>
        <v/>
      </c>
      <c r="T848" s="64" t="str">
        <f t="shared" si="171"/>
        <v/>
      </c>
      <c r="AA848" t="str">
        <f t="shared" si="173"/>
        <v/>
      </c>
      <c r="AB848" s="64" t="str">
        <f t="shared" si="174"/>
        <v/>
      </c>
    </row>
    <row r="849" spans="1:28" x14ac:dyDescent="0.35">
      <c r="A849">
        <f>'Procurement Schedule'!R967</f>
        <v>0</v>
      </c>
      <c r="B849" s="63">
        <f>'Procurement Schedule'!M967</f>
        <v>0</v>
      </c>
      <c r="C849">
        <f t="shared" si="164"/>
        <v>1</v>
      </c>
      <c r="D849">
        <f t="shared" si="166"/>
        <v>1900</v>
      </c>
      <c r="E849" t="str">
        <f t="shared" si="167"/>
        <v>1_1900</v>
      </c>
      <c r="G849">
        <f t="shared" si="168"/>
        <v>0</v>
      </c>
      <c r="H849" s="63">
        <f>'Procurement Schedule'!N967</f>
        <v>0</v>
      </c>
      <c r="I849">
        <f t="shared" si="165"/>
        <v>1</v>
      </c>
      <c r="J849">
        <f t="shared" si="169"/>
        <v>1900</v>
      </c>
      <c r="K849" t="str">
        <f t="shared" si="170"/>
        <v>1_1900</v>
      </c>
      <c r="S849" t="str">
        <f t="shared" si="172"/>
        <v/>
      </c>
      <c r="T849" s="64" t="str">
        <f t="shared" si="171"/>
        <v/>
      </c>
      <c r="AA849" t="str">
        <f t="shared" si="173"/>
        <v/>
      </c>
      <c r="AB849" s="64" t="str">
        <f t="shared" si="174"/>
        <v/>
      </c>
    </row>
    <row r="850" spans="1:28" x14ac:dyDescent="0.35">
      <c r="A850">
        <f>'Procurement Schedule'!R968</f>
        <v>0</v>
      </c>
      <c r="B850" s="63">
        <f>'Procurement Schedule'!M968</f>
        <v>0</v>
      </c>
      <c r="C850">
        <f t="shared" si="164"/>
        <v>1</v>
      </c>
      <c r="D850">
        <f t="shared" si="166"/>
        <v>1900</v>
      </c>
      <c r="E850" t="str">
        <f t="shared" si="167"/>
        <v>1_1900</v>
      </c>
      <c r="G850">
        <f t="shared" si="168"/>
        <v>0</v>
      </c>
      <c r="H850" s="63">
        <f>'Procurement Schedule'!N968</f>
        <v>0</v>
      </c>
      <c r="I850">
        <f t="shared" si="165"/>
        <v>1</v>
      </c>
      <c r="J850">
        <f t="shared" si="169"/>
        <v>1900</v>
      </c>
      <c r="K850" t="str">
        <f t="shared" si="170"/>
        <v>1_1900</v>
      </c>
      <c r="S850" t="str">
        <f t="shared" si="172"/>
        <v/>
      </c>
      <c r="T850" s="64" t="str">
        <f t="shared" si="171"/>
        <v/>
      </c>
      <c r="AA850" t="str">
        <f t="shared" si="173"/>
        <v/>
      </c>
      <c r="AB850" s="64" t="str">
        <f t="shared" si="174"/>
        <v/>
      </c>
    </row>
    <row r="851" spans="1:28" x14ac:dyDescent="0.35">
      <c r="A851">
        <f>'Procurement Schedule'!R969</f>
        <v>0</v>
      </c>
      <c r="B851" s="63">
        <f>'Procurement Schedule'!M969</f>
        <v>0</v>
      </c>
      <c r="C851">
        <f t="shared" ref="C851:C914" si="175">MONTH(B851)</f>
        <v>1</v>
      </c>
      <c r="D851">
        <f t="shared" si="166"/>
        <v>1900</v>
      </c>
      <c r="E851" t="str">
        <f t="shared" si="167"/>
        <v>1_1900</v>
      </c>
      <c r="G851">
        <f t="shared" si="168"/>
        <v>0</v>
      </c>
      <c r="H851" s="63">
        <f>'Procurement Schedule'!N969</f>
        <v>0</v>
      </c>
      <c r="I851">
        <f t="shared" si="165"/>
        <v>1</v>
      </c>
      <c r="J851">
        <f t="shared" si="169"/>
        <v>1900</v>
      </c>
      <c r="K851" t="str">
        <f t="shared" si="170"/>
        <v>1_1900</v>
      </c>
      <c r="S851" t="str">
        <f t="shared" si="172"/>
        <v/>
      </c>
      <c r="T851" s="64" t="str">
        <f t="shared" si="171"/>
        <v/>
      </c>
      <c r="AA851" t="str">
        <f t="shared" si="173"/>
        <v/>
      </c>
      <c r="AB851" s="64" t="str">
        <f t="shared" si="174"/>
        <v/>
      </c>
    </row>
    <row r="852" spans="1:28" x14ac:dyDescent="0.35">
      <c r="A852">
        <f>'Procurement Schedule'!R970</f>
        <v>0</v>
      </c>
      <c r="B852" s="63">
        <f>'Procurement Schedule'!M970</f>
        <v>0</v>
      </c>
      <c r="C852">
        <f t="shared" si="175"/>
        <v>1</v>
      </c>
      <c r="D852">
        <f t="shared" si="166"/>
        <v>1900</v>
      </c>
      <c r="E852" t="str">
        <f t="shared" si="167"/>
        <v>1_1900</v>
      </c>
      <c r="G852">
        <f t="shared" si="168"/>
        <v>0</v>
      </c>
      <c r="H852" s="63">
        <f>'Procurement Schedule'!N970</f>
        <v>0</v>
      </c>
      <c r="I852">
        <f t="shared" ref="I852:I915" si="176">MONTH(H852)</f>
        <v>1</v>
      </c>
      <c r="J852">
        <f t="shared" si="169"/>
        <v>1900</v>
      </c>
      <c r="K852" t="str">
        <f t="shared" si="170"/>
        <v>1_1900</v>
      </c>
      <c r="S852" t="str">
        <f t="shared" si="172"/>
        <v/>
      </c>
      <c r="T852" s="64" t="str">
        <f t="shared" si="171"/>
        <v/>
      </c>
      <c r="AA852" t="str">
        <f t="shared" si="173"/>
        <v/>
      </c>
      <c r="AB852" s="64" t="str">
        <f t="shared" si="174"/>
        <v/>
      </c>
    </row>
    <row r="853" spans="1:28" x14ac:dyDescent="0.35">
      <c r="A853">
        <f>'Procurement Schedule'!R971</f>
        <v>0</v>
      </c>
      <c r="B853" s="63">
        <f>'Procurement Schedule'!M971</f>
        <v>0</v>
      </c>
      <c r="C853">
        <f t="shared" si="175"/>
        <v>1</v>
      </c>
      <c r="D853">
        <f t="shared" si="166"/>
        <v>1900</v>
      </c>
      <c r="E853" t="str">
        <f t="shared" si="167"/>
        <v>1_1900</v>
      </c>
      <c r="G853">
        <f t="shared" si="168"/>
        <v>0</v>
      </c>
      <c r="H853" s="63">
        <f>'Procurement Schedule'!N971</f>
        <v>0</v>
      </c>
      <c r="I853">
        <f t="shared" si="176"/>
        <v>1</v>
      </c>
      <c r="J853">
        <f t="shared" si="169"/>
        <v>1900</v>
      </c>
      <c r="K853" t="str">
        <f t="shared" si="170"/>
        <v>1_1900</v>
      </c>
      <c r="S853" t="str">
        <f t="shared" si="172"/>
        <v/>
      </c>
      <c r="T853" s="64" t="str">
        <f t="shared" si="171"/>
        <v/>
      </c>
      <c r="AA853" t="str">
        <f t="shared" si="173"/>
        <v/>
      </c>
      <c r="AB853" s="64" t="str">
        <f t="shared" si="174"/>
        <v/>
      </c>
    </row>
    <row r="854" spans="1:28" x14ac:dyDescent="0.35">
      <c r="A854">
        <f>'Procurement Schedule'!R972</f>
        <v>0</v>
      </c>
      <c r="B854" s="63">
        <f>'Procurement Schedule'!M972</f>
        <v>0</v>
      </c>
      <c r="C854">
        <f t="shared" si="175"/>
        <v>1</v>
      </c>
      <c r="D854">
        <f t="shared" si="166"/>
        <v>1900</v>
      </c>
      <c r="E854" t="str">
        <f t="shared" si="167"/>
        <v>1_1900</v>
      </c>
      <c r="G854">
        <f t="shared" si="168"/>
        <v>0</v>
      </c>
      <c r="H854" s="63">
        <f>'Procurement Schedule'!N972</f>
        <v>0</v>
      </c>
      <c r="I854">
        <f t="shared" si="176"/>
        <v>1</v>
      </c>
      <c r="J854">
        <f t="shared" si="169"/>
        <v>1900</v>
      </c>
      <c r="K854" t="str">
        <f t="shared" si="170"/>
        <v>1_1900</v>
      </c>
      <c r="S854" t="str">
        <f t="shared" si="172"/>
        <v/>
      </c>
      <c r="T854" s="64" t="str">
        <f t="shared" si="171"/>
        <v/>
      </c>
      <c r="AA854" t="str">
        <f t="shared" si="173"/>
        <v/>
      </c>
      <c r="AB854" s="64" t="str">
        <f t="shared" si="174"/>
        <v/>
      </c>
    </row>
    <row r="855" spans="1:28" x14ac:dyDescent="0.35">
      <c r="A855">
        <f>'Procurement Schedule'!R973</f>
        <v>0</v>
      </c>
      <c r="B855" s="63">
        <f>'Procurement Schedule'!M973</f>
        <v>0</v>
      </c>
      <c r="C855">
        <f t="shared" si="175"/>
        <v>1</v>
      </c>
      <c r="D855">
        <f t="shared" si="166"/>
        <v>1900</v>
      </c>
      <c r="E855" t="str">
        <f t="shared" si="167"/>
        <v>1_1900</v>
      </c>
      <c r="G855">
        <f t="shared" si="168"/>
        <v>0</v>
      </c>
      <c r="H855" s="63">
        <f>'Procurement Schedule'!N973</f>
        <v>0</v>
      </c>
      <c r="I855">
        <f t="shared" si="176"/>
        <v>1</v>
      </c>
      <c r="J855">
        <f t="shared" si="169"/>
        <v>1900</v>
      </c>
      <c r="K855" t="str">
        <f t="shared" si="170"/>
        <v>1_1900</v>
      </c>
      <c r="S855" t="str">
        <f t="shared" si="172"/>
        <v/>
      </c>
      <c r="T855" s="64" t="str">
        <f t="shared" si="171"/>
        <v/>
      </c>
      <c r="AA855" t="str">
        <f t="shared" si="173"/>
        <v/>
      </c>
      <c r="AB855" s="64" t="str">
        <f t="shared" si="174"/>
        <v/>
      </c>
    </row>
    <row r="856" spans="1:28" x14ac:dyDescent="0.35">
      <c r="A856">
        <f>'Procurement Schedule'!R974</f>
        <v>0</v>
      </c>
      <c r="B856" s="63">
        <f>'Procurement Schedule'!M974</f>
        <v>0</v>
      </c>
      <c r="C856">
        <f t="shared" si="175"/>
        <v>1</v>
      </c>
      <c r="D856">
        <f t="shared" si="166"/>
        <v>1900</v>
      </c>
      <c r="E856" t="str">
        <f t="shared" si="167"/>
        <v>1_1900</v>
      </c>
      <c r="G856">
        <f t="shared" si="168"/>
        <v>0</v>
      </c>
      <c r="H856" s="63">
        <f>'Procurement Schedule'!N974</f>
        <v>0</v>
      </c>
      <c r="I856">
        <f t="shared" si="176"/>
        <v>1</v>
      </c>
      <c r="J856">
        <f t="shared" si="169"/>
        <v>1900</v>
      </c>
      <c r="K856" t="str">
        <f t="shared" si="170"/>
        <v>1_1900</v>
      </c>
      <c r="S856" t="str">
        <f t="shared" si="172"/>
        <v/>
      </c>
      <c r="T856" s="64" t="str">
        <f t="shared" si="171"/>
        <v/>
      </c>
      <c r="AA856" t="str">
        <f t="shared" si="173"/>
        <v/>
      </c>
      <c r="AB856" s="64" t="str">
        <f t="shared" si="174"/>
        <v/>
      </c>
    </row>
    <row r="857" spans="1:28" x14ac:dyDescent="0.35">
      <c r="A857">
        <f>'Procurement Schedule'!R975</f>
        <v>0</v>
      </c>
      <c r="B857" s="63">
        <f>'Procurement Schedule'!M975</f>
        <v>0</v>
      </c>
      <c r="C857">
        <f t="shared" si="175"/>
        <v>1</v>
      </c>
      <c r="D857">
        <f t="shared" si="166"/>
        <v>1900</v>
      </c>
      <c r="E857" t="str">
        <f t="shared" si="167"/>
        <v>1_1900</v>
      </c>
      <c r="G857">
        <f t="shared" si="168"/>
        <v>0</v>
      </c>
      <c r="H857" s="63">
        <f>'Procurement Schedule'!N975</f>
        <v>0</v>
      </c>
      <c r="I857">
        <f t="shared" si="176"/>
        <v>1</v>
      </c>
      <c r="J857">
        <f t="shared" si="169"/>
        <v>1900</v>
      </c>
      <c r="K857" t="str">
        <f t="shared" si="170"/>
        <v>1_1900</v>
      </c>
      <c r="S857" t="str">
        <f t="shared" si="172"/>
        <v/>
      </c>
      <c r="T857" s="64" t="str">
        <f t="shared" si="171"/>
        <v/>
      </c>
      <c r="AA857" t="str">
        <f t="shared" si="173"/>
        <v/>
      </c>
      <c r="AB857" s="64" t="str">
        <f t="shared" si="174"/>
        <v/>
      </c>
    </row>
    <row r="858" spans="1:28" x14ac:dyDescent="0.35">
      <c r="A858">
        <f>'Procurement Schedule'!R976</f>
        <v>0</v>
      </c>
      <c r="B858" s="63">
        <f>'Procurement Schedule'!M976</f>
        <v>0</v>
      </c>
      <c r="C858">
        <f t="shared" si="175"/>
        <v>1</v>
      </c>
      <c r="D858">
        <f t="shared" si="166"/>
        <v>1900</v>
      </c>
      <c r="E858" t="str">
        <f t="shared" si="167"/>
        <v>1_1900</v>
      </c>
      <c r="G858">
        <f t="shared" si="168"/>
        <v>0</v>
      </c>
      <c r="H858" s="63">
        <f>'Procurement Schedule'!N976</f>
        <v>0</v>
      </c>
      <c r="I858">
        <f t="shared" si="176"/>
        <v>1</v>
      </c>
      <c r="J858">
        <f t="shared" si="169"/>
        <v>1900</v>
      </c>
      <c r="K858" t="str">
        <f t="shared" si="170"/>
        <v>1_1900</v>
      </c>
      <c r="S858" t="str">
        <f t="shared" si="172"/>
        <v/>
      </c>
      <c r="T858" s="64" t="str">
        <f t="shared" si="171"/>
        <v/>
      </c>
      <c r="AA858" t="str">
        <f t="shared" si="173"/>
        <v/>
      </c>
      <c r="AB858" s="64" t="str">
        <f t="shared" si="174"/>
        <v/>
      </c>
    </row>
    <row r="859" spans="1:28" x14ac:dyDescent="0.35">
      <c r="A859">
        <f>'Procurement Schedule'!R977</f>
        <v>0</v>
      </c>
      <c r="B859" s="63">
        <f>'Procurement Schedule'!M977</f>
        <v>0</v>
      </c>
      <c r="C859">
        <f t="shared" si="175"/>
        <v>1</v>
      </c>
      <c r="D859">
        <f t="shared" si="166"/>
        <v>1900</v>
      </c>
      <c r="E859" t="str">
        <f t="shared" si="167"/>
        <v>1_1900</v>
      </c>
      <c r="G859">
        <f t="shared" si="168"/>
        <v>0</v>
      </c>
      <c r="H859" s="63">
        <f>'Procurement Schedule'!N977</f>
        <v>0</v>
      </c>
      <c r="I859">
        <f t="shared" si="176"/>
        <v>1</v>
      </c>
      <c r="J859">
        <f t="shared" si="169"/>
        <v>1900</v>
      </c>
      <c r="K859" t="str">
        <f t="shared" si="170"/>
        <v>1_1900</v>
      </c>
      <c r="S859" t="str">
        <f t="shared" si="172"/>
        <v/>
      </c>
      <c r="T859" s="64" t="str">
        <f t="shared" si="171"/>
        <v/>
      </c>
      <c r="AA859" t="str">
        <f t="shared" si="173"/>
        <v/>
      </c>
      <c r="AB859" s="64" t="str">
        <f t="shared" si="174"/>
        <v/>
      </c>
    </row>
    <row r="860" spans="1:28" x14ac:dyDescent="0.35">
      <c r="A860">
        <f>'Procurement Schedule'!R978</f>
        <v>0</v>
      </c>
      <c r="B860" s="63">
        <f>'Procurement Schedule'!M978</f>
        <v>0</v>
      </c>
      <c r="C860">
        <f t="shared" si="175"/>
        <v>1</v>
      </c>
      <c r="D860">
        <f t="shared" si="166"/>
        <v>1900</v>
      </c>
      <c r="E860" t="str">
        <f t="shared" si="167"/>
        <v>1_1900</v>
      </c>
      <c r="G860">
        <f t="shared" si="168"/>
        <v>0</v>
      </c>
      <c r="H860" s="63">
        <f>'Procurement Schedule'!N978</f>
        <v>0</v>
      </c>
      <c r="I860">
        <f t="shared" si="176"/>
        <v>1</v>
      </c>
      <c r="J860">
        <f t="shared" si="169"/>
        <v>1900</v>
      </c>
      <c r="K860" t="str">
        <f t="shared" si="170"/>
        <v>1_1900</v>
      </c>
      <c r="S860" t="str">
        <f t="shared" si="172"/>
        <v/>
      </c>
      <c r="T860" s="64" t="str">
        <f t="shared" si="171"/>
        <v/>
      </c>
      <c r="AA860" t="str">
        <f t="shared" si="173"/>
        <v/>
      </c>
      <c r="AB860" s="64" t="str">
        <f t="shared" si="174"/>
        <v/>
      </c>
    </row>
    <row r="861" spans="1:28" x14ac:dyDescent="0.35">
      <c r="A861">
        <f>'Procurement Schedule'!R979</f>
        <v>0</v>
      </c>
      <c r="B861" s="63">
        <f>'Procurement Schedule'!M979</f>
        <v>0</v>
      </c>
      <c r="C861">
        <f t="shared" si="175"/>
        <v>1</v>
      </c>
      <c r="D861">
        <f t="shared" si="166"/>
        <v>1900</v>
      </c>
      <c r="E861" t="str">
        <f t="shared" si="167"/>
        <v>1_1900</v>
      </c>
      <c r="G861">
        <f t="shared" si="168"/>
        <v>0</v>
      </c>
      <c r="H861" s="63">
        <f>'Procurement Schedule'!N979</f>
        <v>0</v>
      </c>
      <c r="I861">
        <f t="shared" si="176"/>
        <v>1</v>
      </c>
      <c r="J861">
        <f t="shared" si="169"/>
        <v>1900</v>
      </c>
      <c r="K861" t="str">
        <f t="shared" si="170"/>
        <v>1_1900</v>
      </c>
      <c r="S861" t="str">
        <f t="shared" si="172"/>
        <v/>
      </c>
      <c r="T861" s="64" t="str">
        <f t="shared" si="171"/>
        <v/>
      </c>
      <c r="AA861" t="str">
        <f t="shared" si="173"/>
        <v/>
      </c>
      <c r="AB861" s="64" t="str">
        <f t="shared" si="174"/>
        <v/>
      </c>
    </row>
    <row r="862" spans="1:28" x14ac:dyDescent="0.35">
      <c r="A862">
        <f>'Procurement Schedule'!R980</f>
        <v>0</v>
      </c>
      <c r="B862" s="63">
        <f>'Procurement Schedule'!M980</f>
        <v>0</v>
      </c>
      <c r="C862">
        <f t="shared" si="175"/>
        <v>1</v>
      </c>
      <c r="D862">
        <f t="shared" si="166"/>
        <v>1900</v>
      </c>
      <c r="E862" t="str">
        <f t="shared" si="167"/>
        <v>1_1900</v>
      </c>
      <c r="G862">
        <f t="shared" si="168"/>
        <v>0</v>
      </c>
      <c r="H862" s="63">
        <f>'Procurement Schedule'!N980</f>
        <v>0</v>
      </c>
      <c r="I862">
        <f t="shared" si="176"/>
        <v>1</v>
      </c>
      <c r="J862">
        <f t="shared" si="169"/>
        <v>1900</v>
      </c>
      <c r="K862" t="str">
        <f t="shared" si="170"/>
        <v>1_1900</v>
      </c>
      <c r="S862" t="str">
        <f t="shared" si="172"/>
        <v/>
      </c>
      <c r="T862" s="64" t="str">
        <f t="shared" si="171"/>
        <v/>
      </c>
      <c r="AA862" t="str">
        <f t="shared" si="173"/>
        <v/>
      </c>
      <c r="AB862" s="64" t="str">
        <f t="shared" si="174"/>
        <v/>
      </c>
    </row>
    <row r="863" spans="1:28" x14ac:dyDescent="0.35">
      <c r="A863">
        <f>'Procurement Schedule'!R981</f>
        <v>0</v>
      </c>
      <c r="B863" s="63">
        <f>'Procurement Schedule'!M981</f>
        <v>0</v>
      </c>
      <c r="C863">
        <f t="shared" si="175"/>
        <v>1</v>
      </c>
      <c r="D863">
        <f t="shared" si="166"/>
        <v>1900</v>
      </c>
      <c r="E863" t="str">
        <f t="shared" si="167"/>
        <v>1_1900</v>
      </c>
      <c r="G863">
        <f t="shared" si="168"/>
        <v>0</v>
      </c>
      <c r="H863" s="63">
        <f>'Procurement Schedule'!N981</f>
        <v>0</v>
      </c>
      <c r="I863">
        <f t="shared" si="176"/>
        <v>1</v>
      </c>
      <c r="J863">
        <f t="shared" si="169"/>
        <v>1900</v>
      </c>
      <c r="K863" t="str">
        <f t="shared" si="170"/>
        <v>1_1900</v>
      </c>
      <c r="S863" t="str">
        <f t="shared" si="172"/>
        <v/>
      </c>
      <c r="T863" s="64" t="str">
        <f t="shared" si="171"/>
        <v/>
      </c>
      <c r="AA863" t="str">
        <f t="shared" si="173"/>
        <v/>
      </c>
      <c r="AB863" s="64" t="str">
        <f t="shared" si="174"/>
        <v/>
      </c>
    </row>
    <row r="864" spans="1:28" x14ac:dyDescent="0.35">
      <c r="A864">
        <f>'Procurement Schedule'!R982</f>
        <v>0</v>
      </c>
      <c r="B864" s="63">
        <f>'Procurement Schedule'!M982</f>
        <v>0</v>
      </c>
      <c r="C864">
        <f t="shared" si="175"/>
        <v>1</v>
      </c>
      <c r="D864">
        <f t="shared" si="166"/>
        <v>1900</v>
      </c>
      <c r="E864" t="str">
        <f t="shared" si="167"/>
        <v>1_1900</v>
      </c>
      <c r="G864">
        <f t="shared" si="168"/>
        <v>0</v>
      </c>
      <c r="H864" s="63">
        <f>'Procurement Schedule'!N982</f>
        <v>0</v>
      </c>
      <c r="I864">
        <f t="shared" si="176"/>
        <v>1</v>
      </c>
      <c r="J864">
        <f t="shared" si="169"/>
        <v>1900</v>
      </c>
      <c r="K864" t="str">
        <f t="shared" si="170"/>
        <v>1_1900</v>
      </c>
      <c r="S864" t="str">
        <f t="shared" si="172"/>
        <v/>
      </c>
      <c r="T864" s="64" t="str">
        <f t="shared" si="171"/>
        <v/>
      </c>
      <c r="AA864" t="str">
        <f t="shared" si="173"/>
        <v/>
      </c>
      <c r="AB864" s="64" t="str">
        <f t="shared" si="174"/>
        <v/>
      </c>
    </row>
    <row r="865" spans="1:28" x14ac:dyDescent="0.35">
      <c r="A865">
        <f>'Procurement Schedule'!R983</f>
        <v>0</v>
      </c>
      <c r="B865" s="63">
        <f>'Procurement Schedule'!M983</f>
        <v>0</v>
      </c>
      <c r="C865">
        <f t="shared" si="175"/>
        <v>1</v>
      </c>
      <c r="D865">
        <f t="shared" si="166"/>
        <v>1900</v>
      </c>
      <c r="E865" t="str">
        <f t="shared" si="167"/>
        <v>1_1900</v>
      </c>
      <c r="G865">
        <f t="shared" si="168"/>
        <v>0</v>
      </c>
      <c r="H865" s="63">
        <f>'Procurement Schedule'!N983</f>
        <v>0</v>
      </c>
      <c r="I865">
        <f t="shared" si="176"/>
        <v>1</v>
      </c>
      <c r="J865">
        <f t="shared" si="169"/>
        <v>1900</v>
      </c>
      <c r="K865" t="str">
        <f t="shared" si="170"/>
        <v>1_1900</v>
      </c>
      <c r="S865" t="str">
        <f t="shared" si="172"/>
        <v/>
      </c>
      <c r="T865" s="64" t="str">
        <f t="shared" si="171"/>
        <v/>
      </c>
      <c r="AA865" t="str">
        <f t="shared" si="173"/>
        <v/>
      </c>
      <c r="AB865" s="64" t="str">
        <f t="shared" si="174"/>
        <v/>
      </c>
    </row>
    <row r="866" spans="1:28" x14ac:dyDescent="0.35">
      <c r="A866">
        <f>'Procurement Schedule'!R984</f>
        <v>0</v>
      </c>
      <c r="B866" s="63">
        <f>'Procurement Schedule'!M984</f>
        <v>0</v>
      </c>
      <c r="C866">
        <f t="shared" si="175"/>
        <v>1</v>
      </c>
      <c r="D866">
        <f t="shared" si="166"/>
        <v>1900</v>
      </c>
      <c r="E866" t="str">
        <f t="shared" si="167"/>
        <v>1_1900</v>
      </c>
      <c r="G866">
        <f t="shared" si="168"/>
        <v>0</v>
      </c>
      <c r="H866" s="63">
        <f>'Procurement Schedule'!N984</f>
        <v>0</v>
      </c>
      <c r="I866">
        <f t="shared" si="176"/>
        <v>1</v>
      </c>
      <c r="J866">
        <f t="shared" si="169"/>
        <v>1900</v>
      </c>
      <c r="K866" t="str">
        <f t="shared" si="170"/>
        <v>1_1900</v>
      </c>
      <c r="S866" t="str">
        <f t="shared" si="172"/>
        <v/>
      </c>
      <c r="T866" s="64" t="str">
        <f t="shared" si="171"/>
        <v/>
      </c>
      <c r="AA866" t="str">
        <f t="shared" si="173"/>
        <v/>
      </c>
      <c r="AB866" s="64" t="str">
        <f t="shared" si="174"/>
        <v/>
      </c>
    </row>
    <row r="867" spans="1:28" x14ac:dyDescent="0.35">
      <c r="A867">
        <f>'Procurement Schedule'!R985</f>
        <v>0</v>
      </c>
      <c r="B867" s="63">
        <f>'Procurement Schedule'!M985</f>
        <v>0</v>
      </c>
      <c r="C867">
        <f t="shared" si="175"/>
        <v>1</v>
      </c>
      <c r="D867">
        <f t="shared" si="166"/>
        <v>1900</v>
      </c>
      <c r="E867" t="str">
        <f t="shared" si="167"/>
        <v>1_1900</v>
      </c>
      <c r="G867">
        <f t="shared" si="168"/>
        <v>0</v>
      </c>
      <c r="H867" s="63">
        <f>'Procurement Schedule'!N985</f>
        <v>0</v>
      </c>
      <c r="I867">
        <f t="shared" si="176"/>
        <v>1</v>
      </c>
      <c r="J867">
        <f t="shared" si="169"/>
        <v>1900</v>
      </c>
      <c r="K867" t="str">
        <f t="shared" si="170"/>
        <v>1_1900</v>
      </c>
      <c r="S867" t="str">
        <f t="shared" si="172"/>
        <v/>
      </c>
      <c r="T867" s="64" t="str">
        <f t="shared" si="171"/>
        <v/>
      </c>
      <c r="AA867" t="str">
        <f t="shared" si="173"/>
        <v/>
      </c>
      <c r="AB867" s="64" t="str">
        <f t="shared" si="174"/>
        <v/>
      </c>
    </row>
    <row r="868" spans="1:28" x14ac:dyDescent="0.35">
      <c r="A868">
        <f>'Procurement Schedule'!R986</f>
        <v>0</v>
      </c>
      <c r="B868" s="63">
        <f>'Procurement Schedule'!M986</f>
        <v>0</v>
      </c>
      <c r="C868">
        <f t="shared" si="175"/>
        <v>1</v>
      </c>
      <c r="D868">
        <f t="shared" si="166"/>
        <v>1900</v>
      </c>
      <c r="E868" t="str">
        <f t="shared" si="167"/>
        <v>1_1900</v>
      </c>
      <c r="G868">
        <f t="shared" si="168"/>
        <v>0</v>
      </c>
      <c r="H868" s="63">
        <f>'Procurement Schedule'!N986</f>
        <v>0</v>
      </c>
      <c r="I868">
        <f t="shared" si="176"/>
        <v>1</v>
      </c>
      <c r="J868">
        <f t="shared" si="169"/>
        <v>1900</v>
      </c>
      <c r="K868" t="str">
        <f t="shared" si="170"/>
        <v>1_1900</v>
      </c>
      <c r="S868" t="str">
        <f t="shared" si="172"/>
        <v/>
      </c>
      <c r="T868" s="64" t="str">
        <f t="shared" si="171"/>
        <v/>
      </c>
      <c r="AA868" t="str">
        <f t="shared" si="173"/>
        <v/>
      </c>
      <c r="AB868" s="64" t="str">
        <f t="shared" si="174"/>
        <v/>
      </c>
    </row>
    <row r="869" spans="1:28" x14ac:dyDescent="0.35">
      <c r="A869">
        <f>'Procurement Schedule'!R987</f>
        <v>0</v>
      </c>
      <c r="B869" s="63">
        <f>'Procurement Schedule'!M987</f>
        <v>0</v>
      </c>
      <c r="C869">
        <f t="shared" si="175"/>
        <v>1</v>
      </c>
      <c r="D869">
        <f t="shared" si="166"/>
        <v>1900</v>
      </c>
      <c r="E869" t="str">
        <f t="shared" si="167"/>
        <v>1_1900</v>
      </c>
      <c r="G869">
        <f t="shared" si="168"/>
        <v>0</v>
      </c>
      <c r="H869" s="63">
        <f>'Procurement Schedule'!N987</f>
        <v>0</v>
      </c>
      <c r="I869">
        <f t="shared" si="176"/>
        <v>1</v>
      </c>
      <c r="J869">
        <f t="shared" si="169"/>
        <v>1900</v>
      </c>
      <c r="K869" t="str">
        <f t="shared" si="170"/>
        <v>1_1900</v>
      </c>
      <c r="S869" t="str">
        <f t="shared" si="172"/>
        <v/>
      </c>
      <c r="T869" s="64" t="str">
        <f t="shared" si="171"/>
        <v/>
      </c>
      <c r="AA869" t="str">
        <f t="shared" si="173"/>
        <v/>
      </c>
      <c r="AB869" s="64" t="str">
        <f t="shared" si="174"/>
        <v/>
      </c>
    </row>
    <row r="870" spans="1:28" x14ac:dyDescent="0.35">
      <c r="A870">
        <f>'Procurement Schedule'!R988</f>
        <v>0</v>
      </c>
      <c r="B870" s="63">
        <f>'Procurement Schedule'!M988</f>
        <v>0</v>
      </c>
      <c r="C870">
        <f t="shared" si="175"/>
        <v>1</v>
      </c>
      <c r="D870">
        <f t="shared" si="166"/>
        <v>1900</v>
      </c>
      <c r="E870" t="str">
        <f t="shared" si="167"/>
        <v>1_1900</v>
      </c>
      <c r="G870">
        <f t="shared" si="168"/>
        <v>0</v>
      </c>
      <c r="H870" s="63">
        <f>'Procurement Schedule'!N988</f>
        <v>0</v>
      </c>
      <c r="I870">
        <f t="shared" si="176"/>
        <v>1</v>
      </c>
      <c r="J870">
        <f t="shared" si="169"/>
        <v>1900</v>
      </c>
      <c r="K870" t="str">
        <f t="shared" si="170"/>
        <v>1_1900</v>
      </c>
      <c r="S870" t="str">
        <f t="shared" si="172"/>
        <v/>
      </c>
      <c r="T870" s="64" t="str">
        <f t="shared" si="171"/>
        <v/>
      </c>
      <c r="AA870" t="str">
        <f t="shared" si="173"/>
        <v/>
      </c>
      <c r="AB870" s="64" t="str">
        <f t="shared" si="174"/>
        <v/>
      </c>
    </row>
    <row r="871" spans="1:28" x14ac:dyDescent="0.35">
      <c r="A871">
        <f>'Procurement Schedule'!R989</f>
        <v>0</v>
      </c>
      <c r="B871" s="63">
        <f>'Procurement Schedule'!M989</f>
        <v>0</v>
      </c>
      <c r="C871">
        <f t="shared" si="175"/>
        <v>1</v>
      </c>
      <c r="D871">
        <f t="shared" si="166"/>
        <v>1900</v>
      </c>
      <c r="E871" t="str">
        <f t="shared" si="167"/>
        <v>1_1900</v>
      </c>
      <c r="G871">
        <f t="shared" si="168"/>
        <v>0</v>
      </c>
      <c r="H871" s="63">
        <f>'Procurement Schedule'!N989</f>
        <v>0</v>
      </c>
      <c r="I871">
        <f t="shared" si="176"/>
        <v>1</v>
      </c>
      <c r="J871">
        <f t="shared" si="169"/>
        <v>1900</v>
      </c>
      <c r="K871" t="str">
        <f t="shared" si="170"/>
        <v>1_1900</v>
      </c>
      <c r="S871" t="str">
        <f t="shared" si="172"/>
        <v/>
      </c>
      <c r="T871" s="64" t="str">
        <f t="shared" si="171"/>
        <v/>
      </c>
      <c r="AA871" t="str">
        <f t="shared" si="173"/>
        <v/>
      </c>
      <c r="AB871" s="64" t="str">
        <f t="shared" si="174"/>
        <v/>
      </c>
    </row>
    <row r="872" spans="1:28" x14ac:dyDescent="0.35">
      <c r="A872">
        <f>'Procurement Schedule'!R990</f>
        <v>0</v>
      </c>
      <c r="B872" s="63">
        <f>'Procurement Schedule'!M990</f>
        <v>0</v>
      </c>
      <c r="C872">
        <f t="shared" si="175"/>
        <v>1</v>
      </c>
      <c r="D872">
        <f t="shared" si="166"/>
        <v>1900</v>
      </c>
      <c r="E872" t="str">
        <f t="shared" si="167"/>
        <v>1_1900</v>
      </c>
      <c r="G872">
        <f t="shared" si="168"/>
        <v>0</v>
      </c>
      <c r="H872" s="63">
        <f>'Procurement Schedule'!N990</f>
        <v>0</v>
      </c>
      <c r="I872">
        <f t="shared" si="176"/>
        <v>1</v>
      </c>
      <c r="J872">
        <f t="shared" si="169"/>
        <v>1900</v>
      </c>
      <c r="K872" t="str">
        <f t="shared" si="170"/>
        <v>1_1900</v>
      </c>
      <c r="S872" t="str">
        <f t="shared" si="172"/>
        <v/>
      </c>
      <c r="T872" s="64" t="str">
        <f t="shared" si="171"/>
        <v/>
      </c>
      <c r="AA872" t="str">
        <f t="shared" si="173"/>
        <v/>
      </c>
      <c r="AB872" s="64" t="str">
        <f t="shared" si="174"/>
        <v/>
      </c>
    </row>
    <row r="873" spans="1:28" x14ac:dyDescent="0.35">
      <c r="A873">
        <f>'Procurement Schedule'!R991</f>
        <v>0</v>
      </c>
      <c r="B873" s="63">
        <f>'Procurement Schedule'!M991</f>
        <v>0</v>
      </c>
      <c r="C873">
        <f t="shared" si="175"/>
        <v>1</v>
      </c>
      <c r="D873">
        <f t="shared" si="166"/>
        <v>1900</v>
      </c>
      <c r="E873" t="str">
        <f t="shared" si="167"/>
        <v>1_1900</v>
      </c>
      <c r="G873">
        <f t="shared" si="168"/>
        <v>0</v>
      </c>
      <c r="H873" s="63">
        <f>'Procurement Schedule'!N991</f>
        <v>0</v>
      </c>
      <c r="I873">
        <f t="shared" si="176"/>
        <v>1</v>
      </c>
      <c r="J873">
        <f t="shared" si="169"/>
        <v>1900</v>
      </c>
      <c r="K873" t="str">
        <f t="shared" si="170"/>
        <v>1_1900</v>
      </c>
      <c r="S873" t="str">
        <f t="shared" si="172"/>
        <v/>
      </c>
      <c r="T873" s="64" t="str">
        <f t="shared" si="171"/>
        <v/>
      </c>
      <c r="AA873" t="str">
        <f t="shared" si="173"/>
        <v/>
      </c>
      <c r="AB873" s="64" t="str">
        <f t="shared" si="174"/>
        <v/>
      </c>
    </row>
    <row r="874" spans="1:28" x14ac:dyDescent="0.35">
      <c r="A874">
        <f>'Procurement Schedule'!R992</f>
        <v>0</v>
      </c>
      <c r="B874" s="63">
        <f>'Procurement Schedule'!M992</f>
        <v>0</v>
      </c>
      <c r="C874">
        <f t="shared" si="175"/>
        <v>1</v>
      </c>
      <c r="D874">
        <f t="shared" si="166"/>
        <v>1900</v>
      </c>
      <c r="E874" t="str">
        <f t="shared" si="167"/>
        <v>1_1900</v>
      </c>
      <c r="G874">
        <f t="shared" si="168"/>
        <v>0</v>
      </c>
      <c r="H874" s="63">
        <f>'Procurement Schedule'!N992</f>
        <v>0</v>
      </c>
      <c r="I874">
        <f t="shared" si="176"/>
        <v>1</v>
      </c>
      <c r="J874">
        <f t="shared" si="169"/>
        <v>1900</v>
      </c>
      <c r="K874" t="str">
        <f t="shared" si="170"/>
        <v>1_1900</v>
      </c>
      <c r="S874" t="str">
        <f t="shared" si="172"/>
        <v/>
      </c>
      <c r="T874" s="64" t="str">
        <f t="shared" si="171"/>
        <v/>
      </c>
      <c r="AA874" t="str">
        <f t="shared" si="173"/>
        <v/>
      </c>
      <c r="AB874" s="64" t="str">
        <f t="shared" si="174"/>
        <v/>
      </c>
    </row>
    <row r="875" spans="1:28" x14ac:dyDescent="0.35">
      <c r="A875">
        <f>'Procurement Schedule'!R993</f>
        <v>0</v>
      </c>
      <c r="B875" s="63">
        <f>'Procurement Schedule'!M993</f>
        <v>0</v>
      </c>
      <c r="C875">
        <f t="shared" si="175"/>
        <v>1</v>
      </c>
      <c r="D875">
        <f t="shared" si="166"/>
        <v>1900</v>
      </c>
      <c r="E875" t="str">
        <f t="shared" si="167"/>
        <v>1_1900</v>
      </c>
      <c r="G875">
        <f t="shared" si="168"/>
        <v>0</v>
      </c>
      <c r="H875" s="63">
        <f>'Procurement Schedule'!N993</f>
        <v>0</v>
      </c>
      <c r="I875">
        <f t="shared" si="176"/>
        <v>1</v>
      </c>
      <c r="J875">
        <f t="shared" si="169"/>
        <v>1900</v>
      </c>
      <c r="K875" t="str">
        <f t="shared" si="170"/>
        <v>1_1900</v>
      </c>
      <c r="S875" t="str">
        <f t="shared" si="172"/>
        <v/>
      </c>
      <c r="T875" s="64" t="str">
        <f t="shared" si="171"/>
        <v/>
      </c>
      <c r="AA875" t="str">
        <f t="shared" si="173"/>
        <v/>
      </c>
      <c r="AB875" s="64" t="str">
        <f t="shared" si="174"/>
        <v/>
      </c>
    </row>
    <row r="876" spans="1:28" x14ac:dyDescent="0.35">
      <c r="A876">
        <f>'Procurement Schedule'!R994</f>
        <v>0</v>
      </c>
      <c r="B876" s="63">
        <f>'Procurement Schedule'!M994</f>
        <v>0</v>
      </c>
      <c r="C876">
        <f t="shared" si="175"/>
        <v>1</v>
      </c>
      <c r="D876">
        <f t="shared" si="166"/>
        <v>1900</v>
      </c>
      <c r="E876" t="str">
        <f t="shared" si="167"/>
        <v>1_1900</v>
      </c>
      <c r="G876">
        <f t="shared" si="168"/>
        <v>0</v>
      </c>
      <c r="H876" s="63">
        <f>'Procurement Schedule'!N994</f>
        <v>0</v>
      </c>
      <c r="I876">
        <f t="shared" si="176"/>
        <v>1</v>
      </c>
      <c r="J876">
        <f t="shared" si="169"/>
        <v>1900</v>
      </c>
      <c r="K876" t="str">
        <f t="shared" si="170"/>
        <v>1_1900</v>
      </c>
      <c r="S876" t="str">
        <f t="shared" si="172"/>
        <v/>
      </c>
      <c r="T876" s="64" t="str">
        <f t="shared" si="171"/>
        <v/>
      </c>
      <c r="AA876" t="str">
        <f t="shared" si="173"/>
        <v/>
      </c>
      <c r="AB876" s="64" t="str">
        <f t="shared" si="174"/>
        <v/>
      </c>
    </row>
    <row r="877" spans="1:28" x14ac:dyDescent="0.35">
      <c r="A877">
        <f>'Procurement Schedule'!R995</f>
        <v>0</v>
      </c>
      <c r="B877" s="63">
        <f>'Procurement Schedule'!M995</f>
        <v>0</v>
      </c>
      <c r="C877">
        <f t="shared" si="175"/>
        <v>1</v>
      </c>
      <c r="D877">
        <f t="shared" si="166"/>
        <v>1900</v>
      </c>
      <c r="E877" t="str">
        <f t="shared" si="167"/>
        <v>1_1900</v>
      </c>
      <c r="G877">
        <f t="shared" si="168"/>
        <v>0</v>
      </c>
      <c r="H877" s="63">
        <f>'Procurement Schedule'!N995</f>
        <v>0</v>
      </c>
      <c r="I877">
        <f t="shared" si="176"/>
        <v>1</v>
      </c>
      <c r="J877">
        <f t="shared" si="169"/>
        <v>1900</v>
      </c>
      <c r="K877" t="str">
        <f t="shared" si="170"/>
        <v>1_1900</v>
      </c>
      <c r="S877" t="str">
        <f t="shared" si="172"/>
        <v/>
      </c>
      <c r="T877" s="64" t="str">
        <f t="shared" si="171"/>
        <v/>
      </c>
      <c r="AA877" t="str">
        <f t="shared" si="173"/>
        <v/>
      </c>
      <c r="AB877" s="64" t="str">
        <f t="shared" si="174"/>
        <v/>
      </c>
    </row>
    <row r="878" spans="1:28" x14ac:dyDescent="0.35">
      <c r="A878">
        <f>'Procurement Schedule'!R996</f>
        <v>0</v>
      </c>
      <c r="B878" s="63">
        <f>'Procurement Schedule'!M996</f>
        <v>0</v>
      </c>
      <c r="C878">
        <f t="shared" si="175"/>
        <v>1</v>
      </c>
      <c r="D878">
        <f t="shared" si="166"/>
        <v>1900</v>
      </c>
      <c r="E878" t="str">
        <f t="shared" si="167"/>
        <v>1_1900</v>
      </c>
      <c r="G878">
        <f t="shared" si="168"/>
        <v>0</v>
      </c>
      <c r="H878" s="63">
        <f>'Procurement Schedule'!N996</f>
        <v>0</v>
      </c>
      <c r="I878">
        <f t="shared" si="176"/>
        <v>1</v>
      </c>
      <c r="J878">
        <f t="shared" si="169"/>
        <v>1900</v>
      </c>
      <c r="K878" t="str">
        <f t="shared" si="170"/>
        <v>1_1900</v>
      </c>
      <c r="S878" t="str">
        <f t="shared" si="172"/>
        <v/>
      </c>
      <c r="T878" s="64" t="str">
        <f t="shared" si="171"/>
        <v/>
      </c>
      <c r="AA878" t="str">
        <f t="shared" si="173"/>
        <v/>
      </c>
      <c r="AB878" s="64" t="str">
        <f t="shared" si="174"/>
        <v/>
      </c>
    </row>
    <row r="879" spans="1:28" x14ac:dyDescent="0.35">
      <c r="A879">
        <f>'Procurement Schedule'!R997</f>
        <v>0</v>
      </c>
      <c r="B879" s="63">
        <f>'Procurement Schedule'!M997</f>
        <v>0</v>
      </c>
      <c r="C879">
        <f t="shared" si="175"/>
        <v>1</v>
      </c>
      <c r="D879">
        <f t="shared" si="166"/>
        <v>1900</v>
      </c>
      <c r="E879" t="str">
        <f t="shared" si="167"/>
        <v>1_1900</v>
      </c>
      <c r="G879">
        <f t="shared" si="168"/>
        <v>0</v>
      </c>
      <c r="H879" s="63">
        <f>'Procurement Schedule'!N997</f>
        <v>0</v>
      </c>
      <c r="I879">
        <f t="shared" si="176"/>
        <v>1</v>
      </c>
      <c r="J879">
        <f t="shared" si="169"/>
        <v>1900</v>
      </c>
      <c r="K879" t="str">
        <f t="shared" si="170"/>
        <v>1_1900</v>
      </c>
      <c r="S879" t="str">
        <f t="shared" si="172"/>
        <v/>
      </c>
      <c r="T879" s="64" t="str">
        <f t="shared" si="171"/>
        <v/>
      </c>
      <c r="AA879" t="str">
        <f t="shared" si="173"/>
        <v/>
      </c>
      <c r="AB879" s="64" t="str">
        <f t="shared" si="174"/>
        <v/>
      </c>
    </row>
    <row r="880" spans="1:28" x14ac:dyDescent="0.35">
      <c r="A880">
        <f>'Procurement Schedule'!R998</f>
        <v>0</v>
      </c>
      <c r="B880" s="63">
        <f>'Procurement Schedule'!M998</f>
        <v>0</v>
      </c>
      <c r="C880">
        <f t="shared" si="175"/>
        <v>1</v>
      </c>
      <c r="D880">
        <f t="shared" si="166"/>
        <v>1900</v>
      </c>
      <c r="E880" t="str">
        <f t="shared" si="167"/>
        <v>1_1900</v>
      </c>
      <c r="G880">
        <f t="shared" si="168"/>
        <v>0</v>
      </c>
      <c r="H880" s="63">
        <f>'Procurement Schedule'!N998</f>
        <v>0</v>
      </c>
      <c r="I880">
        <f t="shared" si="176"/>
        <v>1</v>
      </c>
      <c r="J880">
        <f t="shared" si="169"/>
        <v>1900</v>
      </c>
      <c r="K880" t="str">
        <f t="shared" si="170"/>
        <v>1_1900</v>
      </c>
      <c r="S880" t="str">
        <f t="shared" si="172"/>
        <v/>
      </c>
      <c r="T880" s="64" t="str">
        <f t="shared" si="171"/>
        <v/>
      </c>
      <c r="AA880" t="str">
        <f t="shared" si="173"/>
        <v/>
      </c>
      <c r="AB880" s="64" t="str">
        <f t="shared" si="174"/>
        <v/>
      </c>
    </row>
    <row r="881" spans="1:28" x14ac:dyDescent="0.35">
      <c r="A881">
        <f>'Procurement Schedule'!R999</f>
        <v>0</v>
      </c>
      <c r="B881" s="63">
        <f>'Procurement Schedule'!M999</f>
        <v>0</v>
      </c>
      <c r="C881">
        <f t="shared" si="175"/>
        <v>1</v>
      </c>
      <c r="D881">
        <f t="shared" si="166"/>
        <v>1900</v>
      </c>
      <c r="E881" t="str">
        <f t="shared" si="167"/>
        <v>1_1900</v>
      </c>
      <c r="G881">
        <f t="shared" si="168"/>
        <v>0</v>
      </c>
      <c r="H881" s="63">
        <f>'Procurement Schedule'!N999</f>
        <v>0</v>
      </c>
      <c r="I881">
        <f t="shared" si="176"/>
        <v>1</v>
      </c>
      <c r="J881">
        <f t="shared" si="169"/>
        <v>1900</v>
      </c>
      <c r="K881" t="str">
        <f t="shared" si="170"/>
        <v>1_1900</v>
      </c>
      <c r="S881" t="str">
        <f t="shared" si="172"/>
        <v/>
      </c>
      <c r="T881" s="64" t="str">
        <f t="shared" si="171"/>
        <v/>
      </c>
      <c r="AA881" t="str">
        <f t="shared" si="173"/>
        <v/>
      </c>
      <c r="AB881" s="64" t="str">
        <f t="shared" si="174"/>
        <v/>
      </c>
    </row>
    <row r="882" spans="1:28" x14ac:dyDescent="0.35">
      <c r="A882">
        <f>'Procurement Schedule'!R1000</f>
        <v>0</v>
      </c>
      <c r="B882" s="63">
        <f>'Procurement Schedule'!M1000</f>
        <v>0</v>
      </c>
      <c r="C882">
        <f t="shared" si="175"/>
        <v>1</v>
      </c>
      <c r="D882">
        <f t="shared" si="166"/>
        <v>1900</v>
      </c>
      <c r="E882" t="str">
        <f t="shared" si="167"/>
        <v>1_1900</v>
      </c>
      <c r="G882">
        <f t="shared" si="168"/>
        <v>0</v>
      </c>
      <c r="H882" s="63">
        <f>'Procurement Schedule'!N1000</f>
        <v>0</v>
      </c>
      <c r="I882">
        <f t="shared" si="176"/>
        <v>1</v>
      </c>
      <c r="J882">
        <f t="shared" si="169"/>
        <v>1900</v>
      </c>
      <c r="K882" t="str">
        <f t="shared" si="170"/>
        <v>1_1900</v>
      </c>
      <c r="S882" t="str">
        <f t="shared" si="172"/>
        <v/>
      </c>
      <c r="T882" s="64" t="str">
        <f t="shared" si="171"/>
        <v/>
      </c>
      <c r="AA882" t="str">
        <f t="shared" si="173"/>
        <v/>
      </c>
      <c r="AB882" s="64" t="str">
        <f t="shared" si="174"/>
        <v/>
      </c>
    </row>
    <row r="883" spans="1:28" x14ac:dyDescent="0.35">
      <c r="A883">
        <f>'Procurement Schedule'!R1001</f>
        <v>0</v>
      </c>
      <c r="B883" s="63">
        <f>'Procurement Schedule'!M1001</f>
        <v>0</v>
      </c>
      <c r="C883">
        <f t="shared" si="175"/>
        <v>1</v>
      </c>
      <c r="D883">
        <f t="shared" si="166"/>
        <v>1900</v>
      </c>
      <c r="E883" t="str">
        <f t="shared" si="167"/>
        <v>1_1900</v>
      </c>
      <c r="G883">
        <f t="shared" si="168"/>
        <v>0</v>
      </c>
      <c r="H883" s="63">
        <f>'Procurement Schedule'!N1001</f>
        <v>0</v>
      </c>
      <c r="I883">
        <f t="shared" si="176"/>
        <v>1</v>
      </c>
      <c r="J883">
        <f t="shared" si="169"/>
        <v>1900</v>
      </c>
      <c r="K883" t="str">
        <f t="shared" si="170"/>
        <v>1_1900</v>
      </c>
      <c r="S883" t="str">
        <f t="shared" si="172"/>
        <v/>
      </c>
      <c r="T883" s="64" t="str">
        <f t="shared" si="171"/>
        <v/>
      </c>
      <c r="AA883" t="str">
        <f t="shared" si="173"/>
        <v/>
      </c>
      <c r="AB883" s="64" t="str">
        <f t="shared" si="174"/>
        <v/>
      </c>
    </row>
    <row r="884" spans="1:28" x14ac:dyDescent="0.35">
      <c r="A884">
        <f>'Procurement Schedule'!R1002</f>
        <v>0</v>
      </c>
      <c r="B884" s="63">
        <f>'Procurement Schedule'!M1002</f>
        <v>0</v>
      </c>
      <c r="C884">
        <f t="shared" si="175"/>
        <v>1</v>
      </c>
      <c r="D884">
        <f t="shared" si="166"/>
        <v>1900</v>
      </c>
      <c r="E884" t="str">
        <f t="shared" si="167"/>
        <v>1_1900</v>
      </c>
      <c r="G884">
        <f t="shared" si="168"/>
        <v>0</v>
      </c>
      <c r="H884" s="63">
        <f>'Procurement Schedule'!N1002</f>
        <v>0</v>
      </c>
      <c r="I884">
        <f t="shared" si="176"/>
        <v>1</v>
      </c>
      <c r="J884">
        <f t="shared" si="169"/>
        <v>1900</v>
      </c>
      <c r="K884" t="str">
        <f t="shared" si="170"/>
        <v>1_1900</v>
      </c>
      <c r="S884" t="str">
        <f t="shared" si="172"/>
        <v/>
      </c>
      <c r="T884" s="64" t="str">
        <f t="shared" si="171"/>
        <v/>
      </c>
      <c r="AA884" t="str">
        <f t="shared" si="173"/>
        <v/>
      </c>
      <c r="AB884" s="64" t="str">
        <f t="shared" si="174"/>
        <v/>
      </c>
    </row>
    <row r="885" spans="1:28" x14ac:dyDescent="0.35">
      <c r="A885">
        <f>'Procurement Schedule'!R1003</f>
        <v>0</v>
      </c>
      <c r="B885" s="63">
        <f>'Procurement Schedule'!M1003</f>
        <v>0</v>
      </c>
      <c r="C885">
        <f t="shared" si="175"/>
        <v>1</v>
      </c>
      <c r="D885">
        <f t="shared" si="166"/>
        <v>1900</v>
      </c>
      <c r="E885" t="str">
        <f t="shared" si="167"/>
        <v>1_1900</v>
      </c>
      <c r="G885">
        <f t="shared" si="168"/>
        <v>0</v>
      </c>
      <c r="H885" s="63">
        <f>'Procurement Schedule'!N1003</f>
        <v>0</v>
      </c>
      <c r="I885">
        <f t="shared" si="176"/>
        <v>1</v>
      </c>
      <c r="J885">
        <f t="shared" si="169"/>
        <v>1900</v>
      </c>
      <c r="K885" t="str">
        <f t="shared" si="170"/>
        <v>1_1900</v>
      </c>
      <c r="S885" t="str">
        <f t="shared" si="172"/>
        <v/>
      </c>
      <c r="T885" s="64" t="str">
        <f t="shared" si="171"/>
        <v/>
      </c>
      <c r="AA885" t="str">
        <f t="shared" si="173"/>
        <v/>
      </c>
      <c r="AB885" s="64" t="str">
        <f t="shared" si="174"/>
        <v/>
      </c>
    </row>
    <row r="886" spans="1:28" x14ac:dyDescent="0.35">
      <c r="A886">
        <f>'Procurement Schedule'!R1004</f>
        <v>0</v>
      </c>
      <c r="B886" s="63">
        <f>'Procurement Schedule'!M1004</f>
        <v>0</v>
      </c>
      <c r="C886">
        <f t="shared" si="175"/>
        <v>1</v>
      </c>
      <c r="D886">
        <f t="shared" si="166"/>
        <v>1900</v>
      </c>
      <c r="E886" t="str">
        <f t="shared" si="167"/>
        <v>1_1900</v>
      </c>
      <c r="G886">
        <f t="shared" si="168"/>
        <v>0</v>
      </c>
      <c r="H886" s="63">
        <f>'Procurement Schedule'!N1004</f>
        <v>0</v>
      </c>
      <c r="I886">
        <f t="shared" si="176"/>
        <v>1</v>
      </c>
      <c r="J886">
        <f t="shared" si="169"/>
        <v>1900</v>
      </c>
      <c r="K886" t="str">
        <f t="shared" si="170"/>
        <v>1_1900</v>
      </c>
      <c r="S886" t="str">
        <f t="shared" si="172"/>
        <v/>
      </c>
      <c r="T886" s="64" t="str">
        <f t="shared" si="171"/>
        <v/>
      </c>
      <c r="AA886" t="str">
        <f t="shared" si="173"/>
        <v/>
      </c>
      <c r="AB886" s="64" t="str">
        <f t="shared" si="174"/>
        <v/>
      </c>
    </row>
    <row r="887" spans="1:28" x14ac:dyDescent="0.35">
      <c r="A887">
        <f>'Procurement Schedule'!R1005</f>
        <v>0</v>
      </c>
      <c r="B887" s="63">
        <f>'Procurement Schedule'!M1005</f>
        <v>0</v>
      </c>
      <c r="C887">
        <f t="shared" si="175"/>
        <v>1</v>
      </c>
      <c r="D887">
        <f t="shared" ref="D887:D950" si="177">YEAR(B887)</f>
        <v>1900</v>
      </c>
      <c r="E887" t="str">
        <f t="shared" ref="E887:E950" si="178">C887&amp;"_"&amp;D887</f>
        <v>1_1900</v>
      </c>
      <c r="G887">
        <f t="shared" ref="G887:G950" si="179">A887</f>
        <v>0</v>
      </c>
      <c r="H887" s="63">
        <f>'Procurement Schedule'!N1005</f>
        <v>0</v>
      </c>
      <c r="I887">
        <f t="shared" si="176"/>
        <v>1</v>
      </c>
      <c r="J887">
        <f t="shared" ref="J887:J950" si="180">YEAR(H887)</f>
        <v>1900</v>
      </c>
      <c r="K887" t="str">
        <f t="shared" ref="K887:K950" si="181">I887&amp;"_"&amp;J887</f>
        <v>1_1900</v>
      </c>
      <c r="S887" t="str">
        <f t="shared" si="172"/>
        <v/>
      </c>
      <c r="T887" s="64" t="str">
        <f t="shared" si="171"/>
        <v/>
      </c>
      <c r="AA887" t="str">
        <f t="shared" si="173"/>
        <v/>
      </c>
      <c r="AB887" s="64" t="str">
        <f t="shared" si="174"/>
        <v/>
      </c>
    </row>
    <row r="888" spans="1:28" x14ac:dyDescent="0.35">
      <c r="A888">
        <f>'Procurement Schedule'!R1006</f>
        <v>0</v>
      </c>
      <c r="B888" s="63">
        <f>'Procurement Schedule'!M1006</f>
        <v>0</v>
      </c>
      <c r="C888">
        <f t="shared" si="175"/>
        <v>1</v>
      </c>
      <c r="D888">
        <f t="shared" si="177"/>
        <v>1900</v>
      </c>
      <c r="E888" t="str">
        <f t="shared" si="178"/>
        <v>1_1900</v>
      </c>
      <c r="G888">
        <f t="shared" si="179"/>
        <v>0</v>
      </c>
      <c r="H888" s="63">
        <f>'Procurement Schedule'!N1006</f>
        <v>0</v>
      </c>
      <c r="I888">
        <f t="shared" si="176"/>
        <v>1</v>
      </c>
      <c r="J888">
        <f t="shared" si="180"/>
        <v>1900</v>
      </c>
      <c r="K888" t="str">
        <f t="shared" si="181"/>
        <v>1_1900</v>
      </c>
      <c r="S888" t="str">
        <f t="shared" si="172"/>
        <v/>
      </c>
      <c r="T888" s="64" t="str">
        <f t="shared" si="171"/>
        <v/>
      </c>
      <c r="AA888" t="str">
        <f t="shared" si="173"/>
        <v/>
      </c>
      <c r="AB888" s="64" t="str">
        <f t="shared" si="174"/>
        <v/>
      </c>
    </row>
    <row r="889" spans="1:28" x14ac:dyDescent="0.35">
      <c r="A889">
        <f>'Procurement Schedule'!R1007</f>
        <v>0</v>
      </c>
      <c r="B889" s="63">
        <f>'Procurement Schedule'!M1007</f>
        <v>0</v>
      </c>
      <c r="C889">
        <f t="shared" si="175"/>
        <v>1</v>
      </c>
      <c r="D889">
        <f t="shared" si="177"/>
        <v>1900</v>
      </c>
      <c r="E889" t="str">
        <f t="shared" si="178"/>
        <v>1_1900</v>
      </c>
      <c r="G889">
        <f t="shared" si="179"/>
        <v>0</v>
      </c>
      <c r="H889" s="63">
        <f>'Procurement Schedule'!N1007</f>
        <v>0</v>
      </c>
      <c r="I889">
        <f t="shared" si="176"/>
        <v>1</v>
      </c>
      <c r="J889">
        <f t="shared" si="180"/>
        <v>1900</v>
      </c>
      <c r="K889" t="str">
        <f t="shared" si="181"/>
        <v>1_1900</v>
      </c>
      <c r="S889" t="str">
        <f t="shared" si="172"/>
        <v/>
      </c>
      <c r="T889" s="64" t="str">
        <f t="shared" si="171"/>
        <v/>
      </c>
      <c r="AA889" t="str">
        <f t="shared" si="173"/>
        <v/>
      </c>
      <c r="AB889" s="64" t="str">
        <f t="shared" si="174"/>
        <v/>
      </c>
    </row>
    <row r="890" spans="1:28" x14ac:dyDescent="0.35">
      <c r="A890">
        <f>'Procurement Schedule'!R1008</f>
        <v>0</v>
      </c>
      <c r="B890" s="63">
        <f>'Procurement Schedule'!M1008</f>
        <v>0</v>
      </c>
      <c r="C890">
        <f t="shared" si="175"/>
        <v>1</v>
      </c>
      <c r="D890">
        <f t="shared" si="177"/>
        <v>1900</v>
      </c>
      <c r="E890" t="str">
        <f t="shared" si="178"/>
        <v>1_1900</v>
      </c>
      <c r="G890">
        <f t="shared" si="179"/>
        <v>0</v>
      </c>
      <c r="H890" s="63">
        <f>'Procurement Schedule'!N1008</f>
        <v>0</v>
      </c>
      <c r="I890">
        <f t="shared" si="176"/>
        <v>1</v>
      </c>
      <c r="J890">
        <f t="shared" si="180"/>
        <v>1900</v>
      </c>
      <c r="K890" t="str">
        <f t="shared" si="181"/>
        <v>1_1900</v>
      </c>
      <c r="S890" t="str">
        <f t="shared" si="172"/>
        <v/>
      </c>
      <c r="T890" s="64" t="str">
        <f t="shared" si="171"/>
        <v/>
      </c>
      <c r="AA890" t="str">
        <f t="shared" si="173"/>
        <v/>
      </c>
      <c r="AB890" s="64" t="str">
        <f t="shared" si="174"/>
        <v/>
      </c>
    </row>
    <row r="891" spans="1:28" x14ac:dyDescent="0.35">
      <c r="A891">
        <f>'Procurement Schedule'!R1009</f>
        <v>0</v>
      </c>
      <c r="B891" s="63">
        <f>'Procurement Schedule'!M1009</f>
        <v>0</v>
      </c>
      <c r="C891">
        <f t="shared" si="175"/>
        <v>1</v>
      </c>
      <c r="D891">
        <f t="shared" si="177"/>
        <v>1900</v>
      </c>
      <c r="E891" t="str">
        <f t="shared" si="178"/>
        <v>1_1900</v>
      </c>
      <c r="G891">
        <f t="shared" si="179"/>
        <v>0</v>
      </c>
      <c r="H891" s="63">
        <f>'Procurement Schedule'!N1009</f>
        <v>0</v>
      </c>
      <c r="I891">
        <f t="shared" si="176"/>
        <v>1</v>
      </c>
      <c r="J891">
        <f t="shared" si="180"/>
        <v>1900</v>
      </c>
      <c r="K891" t="str">
        <f t="shared" si="181"/>
        <v>1_1900</v>
      </c>
      <c r="S891" t="str">
        <f t="shared" si="172"/>
        <v/>
      </c>
      <c r="T891" s="64" t="str">
        <f t="shared" si="171"/>
        <v/>
      </c>
      <c r="AA891" t="str">
        <f t="shared" si="173"/>
        <v/>
      </c>
      <c r="AB891" s="64" t="str">
        <f t="shared" si="174"/>
        <v/>
      </c>
    </row>
    <row r="892" spans="1:28" x14ac:dyDescent="0.35">
      <c r="A892">
        <f>'Procurement Schedule'!R1010</f>
        <v>0</v>
      </c>
      <c r="B892" s="63">
        <f>'Procurement Schedule'!M1010</f>
        <v>0</v>
      </c>
      <c r="C892">
        <f t="shared" si="175"/>
        <v>1</v>
      </c>
      <c r="D892">
        <f t="shared" si="177"/>
        <v>1900</v>
      </c>
      <c r="E892" t="str">
        <f t="shared" si="178"/>
        <v>1_1900</v>
      </c>
      <c r="G892">
        <f t="shared" si="179"/>
        <v>0</v>
      </c>
      <c r="H892" s="63">
        <f>'Procurement Schedule'!N1010</f>
        <v>0</v>
      </c>
      <c r="I892">
        <f t="shared" si="176"/>
        <v>1</v>
      </c>
      <c r="J892">
        <f t="shared" si="180"/>
        <v>1900</v>
      </c>
      <c r="K892" t="str">
        <f t="shared" si="181"/>
        <v>1_1900</v>
      </c>
      <c r="S892" t="str">
        <f t="shared" si="172"/>
        <v/>
      </c>
      <c r="T892" s="64" t="str">
        <f t="shared" si="171"/>
        <v/>
      </c>
      <c r="AA892" t="str">
        <f t="shared" si="173"/>
        <v/>
      </c>
      <c r="AB892" s="64" t="str">
        <f t="shared" si="174"/>
        <v/>
      </c>
    </row>
    <row r="893" spans="1:28" x14ac:dyDescent="0.35">
      <c r="A893">
        <f>'Procurement Schedule'!R1011</f>
        <v>0</v>
      </c>
      <c r="B893" s="63">
        <f>'Procurement Schedule'!M1011</f>
        <v>0</v>
      </c>
      <c r="C893">
        <f t="shared" si="175"/>
        <v>1</v>
      </c>
      <c r="D893">
        <f t="shared" si="177"/>
        <v>1900</v>
      </c>
      <c r="E893" t="str">
        <f t="shared" si="178"/>
        <v>1_1900</v>
      </c>
      <c r="G893">
        <f t="shared" si="179"/>
        <v>0</v>
      </c>
      <c r="H893" s="63">
        <f>'Procurement Schedule'!N1011</f>
        <v>0</v>
      </c>
      <c r="I893">
        <f t="shared" si="176"/>
        <v>1</v>
      </c>
      <c r="J893">
        <f t="shared" si="180"/>
        <v>1900</v>
      </c>
      <c r="K893" t="str">
        <f t="shared" si="181"/>
        <v>1_1900</v>
      </c>
      <c r="S893" t="str">
        <f t="shared" si="172"/>
        <v/>
      </c>
      <c r="T893" s="64" t="str">
        <f t="shared" si="171"/>
        <v/>
      </c>
      <c r="AA893" t="str">
        <f t="shared" si="173"/>
        <v/>
      </c>
      <c r="AB893" s="64" t="str">
        <f t="shared" si="174"/>
        <v/>
      </c>
    </row>
    <row r="894" spans="1:28" x14ac:dyDescent="0.35">
      <c r="A894">
        <f>'Procurement Schedule'!R1012</f>
        <v>0</v>
      </c>
      <c r="B894" s="63">
        <f>'Procurement Schedule'!M1012</f>
        <v>0</v>
      </c>
      <c r="C894">
        <f t="shared" si="175"/>
        <v>1</v>
      </c>
      <c r="D894">
        <f t="shared" si="177"/>
        <v>1900</v>
      </c>
      <c r="E894" t="str">
        <f t="shared" si="178"/>
        <v>1_1900</v>
      </c>
      <c r="G894">
        <f t="shared" si="179"/>
        <v>0</v>
      </c>
      <c r="H894" s="63">
        <f>'Procurement Schedule'!N1012</f>
        <v>0</v>
      </c>
      <c r="I894">
        <f t="shared" si="176"/>
        <v>1</v>
      </c>
      <c r="J894">
        <f t="shared" si="180"/>
        <v>1900</v>
      </c>
      <c r="K894" t="str">
        <f t="shared" si="181"/>
        <v>1_1900</v>
      </c>
      <c r="S894" t="str">
        <f t="shared" si="172"/>
        <v/>
      </c>
      <c r="T894" s="64" t="str">
        <f t="shared" si="171"/>
        <v/>
      </c>
      <c r="AA894" t="str">
        <f t="shared" si="173"/>
        <v/>
      </c>
      <c r="AB894" s="64" t="str">
        <f t="shared" si="174"/>
        <v/>
      </c>
    </row>
    <row r="895" spans="1:28" x14ac:dyDescent="0.35">
      <c r="A895">
        <f>'Procurement Schedule'!R1013</f>
        <v>0</v>
      </c>
      <c r="B895" s="63">
        <f>'Procurement Schedule'!M1013</f>
        <v>0</v>
      </c>
      <c r="C895">
        <f t="shared" si="175"/>
        <v>1</v>
      </c>
      <c r="D895">
        <f t="shared" si="177"/>
        <v>1900</v>
      </c>
      <c r="E895" t="str">
        <f t="shared" si="178"/>
        <v>1_1900</v>
      </c>
      <c r="G895">
        <f t="shared" si="179"/>
        <v>0</v>
      </c>
      <c r="H895" s="63">
        <f>'Procurement Schedule'!N1013</f>
        <v>0</v>
      </c>
      <c r="I895">
        <f t="shared" si="176"/>
        <v>1</v>
      </c>
      <c r="J895">
        <f t="shared" si="180"/>
        <v>1900</v>
      </c>
      <c r="K895" t="str">
        <f t="shared" si="181"/>
        <v>1_1900</v>
      </c>
      <c r="S895" t="str">
        <f t="shared" si="172"/>
        <v/>
      </c>
      <c r="T895" s="64" t="str">
        <f t="shared" si="171"/>
        <v/>
      </c>
      <c r="AA895" t="str">
        <f t="shared" si="173"/>
        <v/>
      </c>
      <c r="AB895" s="64" t="str">
        <f t="shared" si="174"/>
        <v/>
      </c>
    </row>
    <row r="896" spans="1:28" x14ac:dyDescent="0.35">
      <c r="A896">
        <f>'Procurement Schedule'!R1014</f>
        <v>0</v>
      </c>
      <c r="B896" s="63">
        <f>'Procurement Schedule'!M1014</f>
        <v>0</v>
      </c>
      <c r="C896">
        <f t="shared" si="175"/>
        <v>1</v>
      </c>
      <c r="D896">
        <f t="shared" si="177"/>
        <v>1900</v>
      </c>
      <c r="E896" t="str">
        <f t="shared" si="178"/>
        <v>1_1900</v>
      </c>
      <c r="G896">
        <f t="shared" si="179"/>
        <v>0</v>
      </c>
      <c r="H896" s="63">
        <f>'Procurement Schedule'!N1014</f>
        <v>0</v>
      </c>
      <c r="I896">
        <f t="shared" si="176"/>
        <v>1</v>
      </c>
      <c r="J896">
        <f t="shared" si="180"/>
        <v>1900</v>
      </c>
      <c r="K896" t="str">
        <f t="shared" si="181"/>
        <v>1_1900</v>
      </c>
      <c r="S896" t="str">
        <f t="shared" si="172"/>
        <v/>
      </c>
      <c r="T896" s="64" t="str">
        <f t="shared" si="171"/>
        <v/>
      </c>
      <c r="AA896" t="str">
        <f t="shared" si="173"/>
        <v/>
      </c>
      <c r="AB896" s="64" t="str">
        <f t="shared" si="174"/>
        <v/>
      </c>
    </row>
    <row r="897" spans="1:28" x14ac:dyDescent="0.35">
      <c r="A897">
        <f>'Procurement Schedule'!R1015</f>
        <v>0</v>
      </c>
      <c r="B897" s="63">
        <f>'Procurement Schedule'!M1015</f>
        <v>0</v>
      </c>
      <c r="C897">
        <f t="shared" si="175"/>
        <v>1</v>
      </c>
      <c r="D897">
        <f t="shared" si="177"/>
        <v>1900</v>
      </c>
      <c r="E897" t="str">
        <f t="shared" si="178"/>
        <v>1_1900</v>
      </c>
      <c r="G897">
        <f t="shared" si="179"/>
        <v>0</v>
      </c>
      <c r="H897" s="63">
        <f>'Procurement Schedule'!N1015</f>
        <v>0</v>
      </c>
      <c r="I897">
        <f t="shared" si="176"/>
        <v>1</v>
      </c>
      <c r="J897">
        <f t="shared" si="180"/>
        <v>1900</v>
      </c>
      <c r="K897" t="str">
        <f t="shared" si="181"/>
        <v>1_1900</v>
      </c>
      <c r="S897" t="str">
        <f t="shared" si="172"/>
        <v/>
      </c>
      <c r="T897" s="64" t="str">
        <f t="shared" si="171"/>
        <v/>
      </c>
      <c r="AA897" t="str">
        <f t="shared" si="173"/>
        <v/>
      </c>
      <c r="AB897" s="64" t="str">
        <f t="shared" si="174"/>
        <v/>
      </c>
    </row>
    <row r="898" spans="1:28" x14ac:dyDescent="0.35">
      <c r="A898">
        <f>'Procurement Schedule'!R1016</f>
        <v>0</v>
      </c>
      <c r="B898" s="63">
        <f>'Procurement Schedule'!M1016</f>
        <v>0</v>
      </c>
      <c r="C898">
        <f t="shared" si="175"/>
        <v>1</v>
      </c>
      <c r="D898">
        <f t="shared" si="177"/>
        <v>1900</v>
      </c>
      <c r="E898" t="str">
        <f t="shared" si="178"/>
        <v>1_1900</v>
      </c>
      <c r="G898">
        <f t="shared" si="179"/>
        <v>0</v>
      </c>
      <c r="H898" s="63">
        <f>'Procurement Schedule'!N1016</f>
        <v>0</v>
      </c>
      <c r="I898">
        <f t="shared" si="176"/>
        <v>1</v>
      </c>
      <c r="J898">
        <f t="shared" si="180"/>
        <v>1900</v>
      </c>
      <c r="K898" t="str">
        <f t="shared" si="181"/>
        <v>1_1900</v>
      </c>
      <c r="S898" t="str">
        <f t="shared" si="172"/>
        <v/>
      </c>
      <c r="T898" s="64" t="str">
        <f t="shared" si="171"/>
        <v/>
      </c>
      <c r="AA898" t="str">
        <f t="shared" si="173"/>
        <v/>
      </c>
      <c r="AB898" s="64" t="str">
        <f t="shared" si="174"/>
        <v/>
      </c>
    </row>
    <row r="899" spans="1:28" x14ac:dyDescent="0.35">
      <c r="A899">
        <f>'Procurement Schedule'!R1017</f>
        <v>0</v>
      </c>
      <c r="B899" s="63">
        <f>'Procurement Schedule'!M1017</f>
        <v>0</v>
      </c>
      <c r="C899">
        <f t="shared" si="175"/>
        <v>1</v>
      </c>
      <c r="D899">
        <f t="shared" si="177"/>
        <v>1900</v>
      </c>
      <c r="E899" t="str">
        <f t="shared" si="178"/>
        <v>1_1900</v>
      </c>
      <c r="G899">
        <f t="shared" si="179"/>
        <v>0</v>
      </c>
      <c r="H899" s="63">
        <f>'Procurement Schedule'!N1017</f>
        <v>0</v>
      </c>
      <c r="I899">
        <f t="shared" si="176"/>
        <v>1</v>
      </c>
      <c r="J899">
        <f t="shared" si="180"/>
        <v>1900</v>
      </c>
      <c r="K899" t="str">
        <f t="shared" si="181"/>
        <v>1_1900</v>
      </c>
      <c r="S899" t="str">
        <f t="shared" si="172"/>
        <v/>
      </c>
      <c r="T899" s="64" t="str">
        <f t="shared" si="171"/>
        <v/>
      </c>
      <c r="AA899" t="str">
        <f t="shared" si="173"/>
        <v/>
      </c>
      <c r="AB899" s="64" t="str">
        <f t="shared" si="174"/>
        <v/>
      </c>
    </row>
    <row r="900" spans="1:28" x14ac:dyDescent="0.35">
      <c r="A900">
        <f>'Procurement Schedule'!R1018</f>
        <v>0</v>
      </c>
      <c r="B900" s="63">
        <f>'Procurement Schedule'!M1018</f>
        <v>0</v>
      </c>
      <c r="C900">
        <f t="shared" si="175"/>
        <v>1</v>
      </c>
      <c r="D900">
        <f t="shared" si="177"/>
        <v>1900</v>
      </c>
      <c r="E900" t="str">
        <f t="shared" si="178"/>
        <v>1_1900</v>
      </c>
      <c r="G900">
        <f t="shared" si="179"/>
        <v>0</v>
      </c>
      <c r="H900" s="63">
        <f>'Procurement Schedule'!N1018</f>
        <v>0</v>
      </c>
      <c r="I900">
        <f t="shared" si="176"/>
        <v>1</v>
      </c>
      <c r="J900">
        <f t="shared" si="180"/>
        <v>1900</v>
      </c>
      <c r="K900" t="str">
        <f t="shared" si="181"/>
        <v>1_1900</v>
      </c>
      <c r="S900" t="str">
        <f t="shared" si="172"/>
        <v/>
      </c>
      <c r="T900" s="64" t="str">
        <f t="shared" si="171"/>
        <v/>
      </c>
      <c r="AA900" t="str">
        <f t="shared" si="173"/>
        <v/>
      </c>
      <c r="AB900" s="64" t="str">
        <f t="shared" si="174"/>
        <v/>
      </c>
    </row>
    <row r="901" spans="1:28" x14ac:dyDescent="0.35">
      <c r="A901">
        <f>'Procurement Schedule'!R1019</f>
        <v>0</v>
      </c>
      <c r="B901" s="63">
        <f>'Procurement Schedule'!M1019</f>
        <v>0</v>
      </c>
      <c r="C901">
        <f t="shared" si="175"/>
        <v>1</v>
      </c>
      <c r="D901">
        <f t="shared" si="177"/>
        <v>1900</v>
      </c>
      <c r="E901" t="str">
        <f t="shared" si="178"/>
        <v>1_1900</v>
      </c>
      <c r="G901">
        <f t="shared" si="179"/>
        <v>0</v>
      </c>
      <c r="H901" s="63">
        <f>'Procurement Schedule'!N1019</f>
        <v>0</v>
      </c>
      <c r="I901">
        <f t="shared" si="176"/>
        <v>1</v>
      </c>
      <c r="J901">
        <f t="shared" si="180"/>
        <v>1900</v>
      </c>
      <c r="K901" t="str">
        <f t="shared" si="181"/>
        <v>1_1900</v>
      </c>
      <c r="S901" t="str">
        <f t="shared" si="172"/>
        <v/>
      </c>
      <c r="T901" s="64" t="str">
        <f t="shared" ref="T901:T964" si="182">IFERROR(VLOOKUP(Q901,AD:AE,2,0),"")</f>
        <v/>
      </c>
      <c r="AA901" t="str">
        <f t="shared" si="173"/>
        <v/>
      </c>
      <c r="AB901" s="64" t="str">
        <f t="shared" si="174"/>
        <v/>
      </c>
    </row>
    <row r="902" spans="1:28" x14ac:dyDescent="0.35">
      <c r="A902">
        <f>'Procurement Schedule'!R1020</f>
        <v>0</v>
      </c>
      <c r="B902" s="63">
        <f>'Procurement Schedule'!M1020</f>
        <v>0</v>
      </c>
      <c r="C902">
        <f t="shared" si="175"/>
        <v>1</v>
      </c>
      <c r="D902">
        <f t="shared" si="177"/>
        <v>1900</v>
      </c>
      <c r="E902" t="str">
        <f t="shared" si="178"/>
        <v>1_1900</v>
      </c>
      <c r="G902">
        <f t="shared" si="179"/>
        <v>0</v>
      </c>
      <c r="H902" s="63">
        <f>'Procurement Schedule'!N1020</f>
        <v>0</v>
      </c>
      <c r="I902">
        <f t="shared" si="176"/>
        <v>1</v>
      </c>
      <c r="J902">
        <f t="shared" si="180"/>
        <v>1900</v>
      </c>
      <c r="K902" t="str">
        <f t="shared" si="181"/>
        <v>1_1900</v>
      </c>
      <c r="S902" t="str">
        <f t="shared" si="172"/>
        <v/>
      </c>
      <c r="T902" s="64" t="str">
        <f t="shared" si="182"/>
        <v/>
      </c>
      <c r="AA902" t="str">
        <f t="shared" si="173"/>
        <v/>
      </c>
      <c r="AB902" s="64" t="str">
        <f t="shared" si="174"/>
        <v/>
      </c>
    </row>
    <row r="903" spans="1:28" x14ac:dyDescent="0.35">
      <c r="A903">
        <f>'Procurement Schedule'!R1021</f>
        <v>0</v>
      </c>
      <c r="B903" s="63">
        <f>'Procurement Schedule'!M1021</f>
        <v>0</v>
      </c>
      <c r="C903">
        <f t="shared" si="175"/>
        <v>1</v>
      </c>
      <c r="D903">
        <f t="shared" si="177"/>
        <v>1900</v>
      </c>
      <c r="E903" t="str">
        <f t="shared" si="178"/>
        <v>1_1900</v>
      </c>
      <c r="G903">
        <f t="shared" si="179"/>
        <v>0</v>
      </c>
      <c r="H903" s="63">
        <f>'Procurement Schedule'!N1021</f>
        <v>0</v>
      </c>
      <c r="I903">
        <f t="shared" si="176"/>
        <v>1</v>
      </c>
      <c r="J903">
        <f t="shared" si="180"/>
        <v>1900</v>
      </c>
      <c r="K903" t="str">
        <f t="shared" si="181"/>
        <v>1_1900</v>
      </c>
      <c r="S903" t="str">
        <f t="shared" si="172"/>
        <v/>
      </c>
      <c r="T903" s="64" t="str">
        <f t="shared" si="182"/>
        <v/>
      </c>
      <c r="AA903" t="str">
        <f t="shared" si="173"/>
        <v/>
      </c>
      <c r="AB903" s="64" t="str">
        <f t="shared" si="174"/>
        <v/>
      </c>
    </row>
    <row r="904" spans="1:28" x14ac:dyDescent="0.35">
      <c r="A904">
        <f>'Procurement Schedule'!R1022</f>
        <v>0</v>
      </c>
      <c r="B904" s="63">
        <f>'Procurement Schedule'!M1022</f>
        <v>0</v>
      </c>
      <c r="C904">
        <f t="shared" si="175"/>
        <v>1</v>
      </c>
      <c r="D904">
        <f t="shared" si="177"/>
        <v>1900</v>
      </c>
      <c r="E904" t="str">
        <f t="shared" si="178"/>
        <v>1_1900</v>
      </c>
      <c r="G904">
        <f t="shared" si="179"/>
        <v>0</v>
      </c>
      <c r="H904" s="63">
        <f>'Procurement Schedule'!N1022</f>
        <v>0</v>
      </c>
      <c r="I904">
        <f t="shared" si="176"/>
        <v>1</v>
      </c>
      <c r="J904">
        <f t="shared" si="180"/>
        <v>1900</v>
      </c>
      <c r="K904" t="str">
        <f t="shared" si="181"/>
        <v>1_1900</v>
      </c>
      <c r="S904" t="str">
        <f t="shared" si="172"/>
        <v/>
      </c>
      <c r="T904" s="64" t="str">
        <f t="shared" si="182"/>
        <v/>
      </c>
      <c r="AA904" t="str">
        <f t="shared" si="173"/>
        <v/>
      </c>
      <c r="AB904" s="64" t="str">
        <f t="shared" si="174"/>
        <v/>
      </c>
    </row>
    <row r="905" spans="1:28" x14ac:dyDescent="0.35">
      <c r="A905">
        <f>'Procurement Schedule'!R1023</f>
        <v>0</v>
      </c>
      <c r="B905" s="63">
        <f>'Procurement Schedule'!M1023</f>
        <v>0</v>
      </c>
      <c r="C905">
        <f t="shared" si="175"/>
        <v>1</v>
      </c>
      <c r="D905">
        <f t="shared" si="177"/>
        <v>1900</v>
      </c>
      <c r="E905" t="str">
        <f t="shared" si="178"/>
        <v>1_1900</v>
      </c>
      <c r="G905">
        <f t="shared" si="179"/>
        <v>0</v>
      </c>
      <c r="H905" s="63">
        <f>'Procurement Schedule'!N1023</f>
        <v>0</v>
      </c>
      <c r="I905">
        <f t="shared" si="176"/>
        <v>1</v>
      </c>
      <c r="J905">
        <f t="shared" si="180"/>
        <v>1900</v>
      </c>
      <c r="K905" t="str">
        <f t="shared" si="181"/>
        <v>1_1900</v>
      </c>
      <c r="S905" t="str">
        <f t="shared" ref="S905:S968" si="183">IF(R905="","",S904+R905)</f>
        <v/>
      </c>
      <c r="T905" s="64" t="str">
        <f t="shared" si="182"/>
        <v/>
      </c>
      <c r="AA905" t="str">
        <f t="shared" si="173"/>
        <v/>
      </c>
      <c r="AB905" s="64" t="str">
        <f t="shared" si="174"/>
        <v/>
      </c>
    </row>
    <row r="906" spans="1:28" x14ac:dyDescent="0.35">
      <c r="A906">
        <f>'Procurement Schedule'!R1024</f>
        <v>0</v>
      </c>
      <c r="B906" s="63">
        <f>'Procurement Schedule'!M1024</f>
        <v>0</v>
      </c>
      <c r="C906">
        <f t="shared" si="175"/>
        <v>1</v>
      </c>
      <c r="D906">
        <f t="shared" si="177"/>
        <v>1900</v>
      </c>
      <c r="E906" t="str">
        <f t="shared" si="178"/>
        <v>1_1900</v>
      </c>
      <c r="G906">
        <f t="shared" si="179"/>
        <v>0</v>
      </c>
      <c r="H906" s="63">
        <f>'Procurement Schedule'!N1024</f>
        <v>0</v>
      </c>
      <c r="I906">
        <f t="shared" si="176"/>
        <v>1</v>
      </c>
      <c r="J906">
        <f t="shared" si="180"/>
        <v>1900</v>
      </c>
      <c r="K906" t="str">
        <f t="shared" si="181"/>
        <v>1_1900</v>
      </c>
      <c r="S906" t="str">
        <f t="shared" si="183"/>
        <v/>
      </c>
      <c r="T906" s="64" t="str">
        <f t="shared" si="182"/>
        <v/>
      </c>
      <c r="AA906" t="str">
        <f t="shared" ref="AA906:AA969" si="184">IF(Z906="","",AA905+Z906)</f>
        <v/>
      </c>
      <c r="AB906" s="64" t="str">
        <f t="shared" ref="AB906:AB969" si="185">IFERROR(VLOOKUP(Y906,AD:AE,2,0),"")</f>
        <v/>
      </c>
    </row>
    <row r="907" spans="1:28" x14ac:dyDescent="0.35">
      <c r="A907">
        <f>'Procurement Schedule'!R1025</f>
        <v>0</v>
      </c>
      <c r="B907" s="63">
        <f>'Procurement Schedule'!M1025</f>
        <v>0</v>
      </c>
      <c r="C907">
        <f t="shared" si="175"/>
        <v>1</v>
      </c>
      <c r="D907">
        <f t="shared" si="177"/>
        <v>1900</v>
      </c>
      <c r="E907" t="str">
        <f t="shared" si="178"/>
        <v>1_1900</v>
      </c>
      <c r="G907">
        <f t="shared" si="179"/>
        <v>0</v>
      </c>
      <c r="H907" s="63">
        <f>'Procurement Schedule'!N1025</f>
        <v>0</v>
      </c>
      <c r="I907">
        <f t="shared" si="176"/>
        <v>1</v>
      </c>
      <c r="J907">
        <f t="shared" si="180"/>
        <v>1900</v>
      </c>
      <c r="K907" t="str">
        <f t="shared" si="181"/>
        <v>1_1900</v>
      </c>
      <c r="S907" t="str">
        <f t="shared" si="183"/>
        <v/>
      </c>
      <c r="T907" s="64" t="str">
        <f t="shared" si="182"/>
        <v/>
      </c>
      <c r="AA907" t="str">
        <f t="shared" si="184"/>
        <v/>
      </c>
      <c r="AB907" s="64" t="str">
        <f t="shared" si="185"/>
        <v/>
      </c>
    </row>
    <row r="908" spans="1:28" x14ac:dyDescent="0.35">
      <c r="A908">
        <f>'Procurement Schedule'!R1026</f>
        <v>0</v>
      </c>
      <c r="B908" s="63">
        <f>'Procurement Schedule'!M1026</f>
        <v>0</v>
      </c>
      <c r="C908">
        <f t="shared" si="175"/>
        <v>1</v>
      </c>
      <c r="D908">
        <f t="shared" si="177"/>
        <v>1900</v>
      </c>
      <c r="E908" t="str">
        <f t="shared" si="178"/>
        <v>1_1900</v>
      </c>
      <c r="G908">
        <f t="shared" si="179"/>
        <v>0</v>
      </c>
      <c r="H908" s="63">
        <f>'Procurement Schedule'!N1026</f>
        <v>0</v>
      </c>
      <c r="I908">
        <f t="shared" si="176"/>
        <v>1</v>
      </c>
      <c r="J908">
        <f t="shared" si="180"/>
        <v>1900</v>
      </c>
      <c r="K908" t="str">
        <f t="shared" si="181"/>
        <v>1_1900</v>
      </c>
      <c r="S908" t="str">
        <f t="shared" si="183"/>
        <v/>
      </c>
      <c r="T908" s="64" t="str">
        <f t="shared" si="182"/>
        <v/>
      </c>
      <c r="AA908" t="str">
        <f t="shared" si="184"/>
        <v/>
      </c>
      <c r="AB908" s="64" t="str">
        <f t="shared" si="185"/>
        <v/>
      </c>
    </row>
    <row r="909" spans="1:28" x14ac:dyDescent="0.35">
      <c r="A909">
        <f>'Procurement Schedule'!R1027</f>
        <v>0</v>
      </c>
      <c r="B909" s="63">
        <f>'Procurement Schedule'!M1027</f>
        <v>0</v>
      </c>
      <c r="C909">
        <f t="shared" si="175"/>
        <v>1</v>
      </c>
      <c r="D909">
        <f t="shared" si="177"/>
        <v>1900</v>
      </c>
      <c r="E909" t="str">
        <f t="shared" si="178"/>
        <v>1_1900</v>
      </c>
      <c r="G909">
        <f t="shared" si="179"/>
        <v>0</v>
      </c>
      <c r="H909" s="63">
        <f>'Procurement Schedule'!N1027</f>
        <v>0</v>
      </c>
      <c r="I909">
        <f t="shared" si="176"/>
        <v>1</v>
      </c>
      <c r="J909">
        <f t="shared" si="180"/>
        <v>1900</v>
      </c>
      <c r="K909" t="str">
        <f t="shared" si="181"/>
        <v>1_1900</v>
      </c>
      <c r="S909" t="str">
        <f t="shared" si="183"/>
        <v/>
      </c>
      <c r="T909" s="64" t="str">
        <f t="shared" si="182"/>
        <v/>
      </c>
      <c r="AA909" t="str">
        <f t="shared" si="184"/>
        <v/>
      </c>
      <c r="AB909" s="64" t="str">
        <f t="shared" si="185"/>
        <v/>
      </c>
    </row>
    <row r="910" spans="1:28" x14ac:dyDescent="0.35">
      <c r="A910">
        <f>'Procurement Schedule'!R1028</f>
        <v>0</v>
      </c>
      <c r="B910" s="63">
        <f>'Procurement Schedule'!M1028</f>
        <v>0</v>
      </c>
      <c r="C910">
        <f t="shared" si="175"/>
        <v>1</v>
      </c>
      <c r="D910">
        <f t="shared" si="177"/>
        <v>1900</v>
      </c>
      <c r="E910" t="str">
        <f t="shared" si="178"/>
        <v>1_1900</v>
      </c>
      <c r="G910">
        <f t="shared" si="179"/>
        <v>0</v>
      </c>
      <c r="H910" s="63">
        <f>'Procurement Schedule'!N1028</f>
        <v>0</v>
      </c>
      <c r="I910">
        <f t="shared" si="176"/>
        <v>1</v>
      </c>
      <c r="J910">
        <f t="shared" si="180"/>
        <v>1900</v>
      </c>
      <c r="K910" t="str">
        <f t="shared" si="181"/>
        <v>1_1900</v>
      </c>
      <c r="S910" t="str">
        <f t="shared" si="183"/>
        <v/>
      </c>
      <c r="T910" s="64" t="str">
        <f t="shared" si="182"/>
        <v/>
      </c>
      <c r="AA910" t="str">
        <f t="shared" si="184"/>
        <v/>
      </c>
      <c r="AB910" s="64" t="str">
        <f t="shared" si="185"/>
        <v/>
      </c>
    </row>
    <row r="911" spans="1:28" x14ac:dyDescent="0.35">
      <c r="A911">
        <f>'Procurement Schedule'!R1029</f>
        <v>0</v>
      </c>
      <c r="B911" s="63">
        <f>'Procurement Schedule'!M1029</f>
        <v>0</v>
      </c>
      <c r="C911">
        <f t="shared" si="175"/>
        <v>1</v>
      </c>
      <c r="D911">
        <f t="shared" si="177"/>
        <v>1900</v>
      </c>
      <c r="E911" t="str">
        <f t="shared" si="178"/>
        <v>1_1900</v>
      </c>
      <c r="G911">
        <f t="shared" si="179"/>
        <v>0</v>
      </c>
      <c r="H911" s="63">
        <f>'Procurement Schedule'!N1029</f>
        <v>0</v>
      </c>
      <c r="I911">
        <f t="shared" si="176"/>
        <v>1</v>
      </c>
      <c r="J911">
        <f t="shared" si="180"/>
        <v>1900</v>
      </c>
      <c r="K911" t="str">
        <f t="shared" si="181"/>
        <v>1_1900</v>
      </c>
      <c r="S911" t="str">
        <f t="shared" si="183"/>
        <v/>
      </c>
      <c r="T911" s="64" t="str">
        <f t="shared" si="182"/>
        <v/>
      </c>
      <c r="AA911" t="str">
        <f t="shared" si="184"/>
        <v/>
      </c>
      <c r="AB911" s="64" t="str">
        <f t="shared" si="185"/>
        <v/>
      </c>
    </row>
    <row r="912" spans="1:28" x14ac:dyDescent="0.35">
      <c r="A912">
        <f>'Procurement Schedule'!R1030</f>
        <v>0</v>
      </c>
      <c r="B912" s="63">
        <f>'Procurement Schedule'!M1030</f>
        <v>0</v>
      </c>
      <c r="C912">
        <f t="shared" si="175"/>
        <v>1</v>
      </c>
      <c r="D912">
        <f t="shared" si="177"/>
        <v>1900</v>
      </c>
      <c r="E912" t="str">
        <f t="shared" si="178"/>
        <v>1_1900</v>
      </c>
      <c r="G912">
        <f t="shared" si="179"/>
        <v>0</v>
      </c>
      <c r="H912" s="63">
        <f>'Procurement Schedule'!N1030</f>
        <v>0</v>
      </c>
      <c r="I912">
        <f t="shared" si="176"/>
        <v>1</v>
      </c>
      <c r="J912">
        <f t="shared" si="180"/>
        <v>1900</v>
      </c>
      <c r="K912" t="str">
        <f t="shared" si="181"/>
        <v>1_1900</v>
      </c>
      <c r="S912" t="str">
        <f t="shared" si="183"/>
        <v/>
      </c>
      <c r="T912" s="64" t="str">
        <f t="shared" si="182"/>
        <v/>
      </c>
      <c r="AA912" t="str">
        <f t="shared" si="184"/>
        <v/>
      </c>
      <c r="AB912" s="64" t="str">
        <f t="shared" si="185"/>
        <v/>
      </c>
    </row>
    <row r="913" spans="1:28" x14ac:dyDescent="0.35">
      <c r="A913">
        <f>'Procurement Schedule'!R1031</f>
        <v>0</v>
      </c>
      <c r="B913" s="63">
        <f>'Procurement Schedule'!M1031</f>
        <v>0</v>
      </c>
      <c r="C913">
        <f t="shared" si="175"/>
        <v>1</v>
      </c>
      <c r="D913">
        <f t="shared" si="177"/>
        <v>1900</v>
      </c>
      <c r="E913" t="str">
        <f t="shared" si="178"/>
        <v>1_1900</v>
      </c>
      <c r="G913">
        <f t="shared" si="179"/>
        <v>0</v>
      </c>
      <c r="H913" s="63">
        <f>'Procurement Schedule'!N1031</f>
        <v>0</v>
      </c>
      <c r="I913">
        <f t="shared" si="176"/>
        <v>1</v>
      </c>
      <c r="J913">
        <f t="shared" si="180"/>
        <v>1900</v>
      </c>
      <c r="K913" t="str">
        <f t="shared" si="181"/>
        <v>1_1900</v>
      </c>
      <c r="S913" t="str">
        <f t="shared" si="183"/>
        <v/>
      </c>
      <c r="T913" s="64" t="str">
        <f t="shared" si="182"/>
        <v/>
      </c>
      <c r="AA913" t="str">
        <f t="shared" si="184"/>
        <v/>
      </c>
      <c r="AB913" s="64" t="str">
        <f t="shared" si="185"/>
        <v/>
      </c>
    </row>
    <row r="914" spans="1:28" x14ac:dyDescent="0.35">
      <c r="A914">
        <f>'Procurement Schedule'!R1032</f>
        <v>0</v>
      </c>
      <c r="B914" s="63">
        <f>'Procurement Schedule'!M1032</f>
        <v>0</v>
      </c>
      <c r="C914">
        <f t="shared" si="175"/>
        <v>1</v>
      </c>
      <c r="D914">
        <f t="shared" si="177"/>
        <v>1900</v>
      </c>
      <c r="E914" t="str">
        <f t="shared" si="178"/>
        <v>1_1900</v>
      </c>
      <c r="G914">
        <f t="shared" si="179"/>
        <v>0</v>
      </c>
      <c r="H914" s="63">
        <f>'Procurement Schedule'!N1032</f>
        <v>0</v>
      </c>
      <c r="I914">
        <f t="shared" si="176"/>
        <v>1</v>
      </c>
      <c r="J914">
        <f t="shared" si="180"/>
        <v>1900</v>
      </c>
      <c r="K914" t="str">
        <f t="shared" si="181"/>
        <v>1_1900</v>
      </c>
      <c r="S914" t="str">
        <f t="shared" si="183"/>
        <v/>
      </c>
      <c r="T914" s="64" t="str">
        <f t="shared" si="182"/>
        <v/>
      </c>
      <c r="AA914" t="str">
        <f t="shared" si="184"/>
        <v/>
      </c>
      <c r="AB914" s="64" t="str">
        <f t="shared" si="185"/>
        <v/>
      </c>
    </row>
    <row r="915" spans="1:28" x14ac:dyDescent="0.35">
      <c r="A915">
        <f>'Procurement Schedule'!R1033</f>
        <v>0</v>
      </c>
      <c r="B915" s="63">
        <f>'Procurement Schedule'!M1033</f>
        <v>0</v>
      </c>
      <c r="C915">
        <f t="shared" ref="C915:C978" si="186">MONTH(B915)</f>
        <v>1</v>
      </c>
      <c r="D915">
        <f t="shared" si="177"/>
        <v>1900</v>
      </c>
      <c r="E915" t="str">
        <f t="shared" si="178"/>
        <v>1_1900</v>
      </c>
      <c r="G915">
        <f t="shared" si="179"/>
        <v>0</v>
      </c>
      <c r="H915" s="63">
        <f>'Procurement Schedule'!N1033</f>
        <v>0</v>
      </c>
      <c r="I915">
        <f t="shared" si="176"/>
        <v>1</v>
      </c>
      <c r="J915">
        <f t="shared" si="180"/>
        <v>1900</v>
      </c>
      <c r="K915" t="str">
        <f t="shared" si="181"/>
        <v>1_1900</v>
      </c>
      <c r="S915" t="str">
        <f t="shared" si="183"/>
        <v/>
      </c>
      <c r="T915" s="64" t="str">
        <f t="shared" si="182"/>
        <v/>
      </c>
      <c r="AA915" t="str">
        <f t="shared" si="184"/>
        <v/>
      </c>
      <c r="AB915" s="64" t="str">
        <f t="shared" si="185"/>
        <v/>
      </c>
    </row>
    <row r="916" spans="1:28" x14ac:dyDescent="0.35">
      <c r="A916">
        <f>'Procurement Schedule'!R1034</f>
        <v>0</v>
      </c>
      <c r="B916" s="63">
        <f>'Procurement Schedule'!M1034</f>
        <v>0</v>
      </c>
      <c r="C916">
        <f t="shared" si="186"/>
        <v>1</v>
      </c>
      <c r="D916">
        <f t="shared" si="177"/>
        <v>1900</v>
      </c>
      <c r="E916" t="str">
        <f t="shared" si="178"/>
        <v>1_1900</v>
      </c>
      <c r="G916">
        <f t="shared" si="179"/>
        <v>0</v>
      </c>
      <c r="H916" s="63">
        <f>'Procurement Schedule'!N1034</f>
        <v>0</v>
      </c>
      <c r="I916">
        <f t="shared" ref="I916:I979" si="187">MONTH(H916)</f>
        <v>1</v>
      </c>
      <c r="J916">
        <f t="shared" si="180"/>
        <v>1900</v>
      </c>
      <c r="K916" t="str">
        <f t="shared" si="181"/>
        <v>1_1900</v>
      </c>
      <c r="S916" t="str">
        <f t="shared" si="183"/>
        <v/>
      </c>
      <c r="T916" s="64" t="str">
        <f t="shared" si="182"/>
        <v/>
      </c>
      <c r="AA916" t="str">
        <f t="shared" si="184"/>
        <v/>
      </c>
      <c r="AB916" s="64" t="str">
        <f t="shared" si="185"/>
        <v/>
      </c>
    </row>
    <row r="917" spans="1:28" x14ac:dyDescent="0.35">
      <c r="A917">
        <f>'Procurement Schedule'!R1035</f>
        <v>0</v>
      </c>
      <c r="B917" s="63">
        <f>'Procurement Schedule'!M1035</f>
        <v>0</v>
      </c>
      <c r="C917">
        <f t="shared" si="186"/>
        <v>1</v>
      </c>
      <c r="D917">
        <f t="shared" si="177"/>
        <v>1900</v>
      </c>
      <c r="E917" t="str">
        <f t="shared" si="178"/>
        <v>1_1900</v>
      </c>
      <c r="G917">
        <f t="shared" si="179"/>
        <v>0</v>
      </c>
      <c r="H917" s="63">
        <f>'Procurement Schedule'!N1035</f>
        <v>0</v>
      </c>
      <c r="I917">
        <f t="shared" si="187"/>
        <v>1</v>
      </c>
      <c r="J917">
        <f t="shared" si="180"/>
        <v>1900</v>
      </c>
      <c r="K917" t="str">
        <f t="shared" si="181"/>
        <v>1_1900</v>
      </c>
      <c r="S917" t="str">
        <f t="shared" si="183"/>
        <v/>
      </c>
      <c r="T917" s="64" t="str">
        <f t="shared" si="182"/>
        <v/>
      </c>
      <c r="AA917" t="str">
        <f t="shared" si="184"/>
        <v/>
      </c>
      <c r="AB917" s="64" t="str">
        <f t="shared" si="185"/>
        <v/>
      </c>
    </row>
    <row r="918" spans="1:28" x14ac:dyDescent="0.35">
      <c r="A918">
        <f>'Procurement Schedule'!R1036</f>
        <v>0</v>
      </c>
      <c r="B918" s="63">
        <f>'Procurement Schedule'!M1036</f>
        <v>0</v>
      </c>
      <c r="C918">
        <f t="shared" si="186"/>
        <v>1</v>
      </c>
      <c r="D918">
        <f t="shared" si="177"/>
        <v>1900</v>
      </c>
      <c r="E918" t="str">
        <f t="shared" si="178"/>
        <v>1_1900</v>
      </c>
      <c r="G918">
        <f t="shared" si="179"/>
        <v>0</v>
      </c>
      <c r="H918" s="63">
        <f>'Procurement Schedule'!N1036</f>
        <v>0</v>
      </c>
      <c r="I918">
        <f t="shared" si="187"/>
        <v>1</v>
      </c>
      <c r="J918">
        <f t="shared" si="180"/>
        <v>1900</v>
      </c>
      <c r="K918" t="str">
        <f t="shared" si="181"/>
        <v>1_1900</v>
      </c>
      <c r="S918" t="str">
        <f t="shared" si="183"/>
        <v/>
      </c>
      <c r="T918" s="64" t="str">
        <f t="shared" si="182"/>
        <v/>
      </c>
      <c r="AA918" t="str">
        <f t="shared" si="184"/>
        <v/>
      </c>
      <c r="AB918" s="64" t="str">
        <f t="shared" si="185"/>
        <v/>
      </c>
    </row>
    <row r="919" spans="1:28" x14ac:dyDescent="0.35">
      <c r="A919">
        <f>'Procurement Schedule'!R1037</f>
        <v>0</v>
      </c>
      <c r="B919" s="63">
        <f>'Procurement Schedule'!M1037</f>
        <v>0</v>
      </c>
      <c r="C919">
        <f t="shared" si="186"/>
        <v>1</v>
      </c>
      <c r="D919">
        <f t="shared" si="177"/>
        <v>1900</v>
      </c>
      <c r="E919" t="str">
        <f t="shared" si="178"/>
        <v>1_1900</v>
      </c>
      <c r="G919">
        <f t="shared" si="179"/>
        <v>0</v>
      </c>
      <c r="H919" s="63">
        <f>'Procurement Schedule'!N1037</f>
        <v>0</v>
      </c>
      <c r="I919">
        <f t="shared" si="187"/>
        <v>1</v>
      </c>
      <c r="J919">
        <f t="shared" si="180"/>
        <v>1900</v>
      </c>
      <c r="K919" t="str">
        <f t="shared" si="181"/>
        <v>1_1900</v>
      </c>
      <c r="S919" t="str">
        <f t="shared" si="183"/>
        <v/>
      </c>
      <c r="T919" s="64" t="str">
        <f t="shared" si="182"/>
        <v/>
      </c>
      <c r="AA919" t="str">
        <f t="shared" si="184"/>
        <v/>
      </c>
      <c r="AB919" s="64" t="str">
        <f t="shared" si="185"/>
        <v/>
      </c>
    </row>
    <row r="920" spans="1:28" x14ac:dyDescent="0.35">
      <c r="A920">
        <f>'Procurement Schedule'!R1038</f>
        <v>0</v>
      </c>
      <c r="B920" s="63">
        <f>'Procurement Schedule'!M1038</f>
        <v>0</v>
      </c>
      <c r="C920">
        <f t="shared" si="186"/>
        <v>1</v>
      </c>
      <c r="D920">
        <f t="shared" si="177"/>
        <v>1900</v>
      </c>
      <c r="E920" t="str">
        <f t="shared" si="178"/>
        <v>1_1900</v>
      </c>
      <c r="G920">
        <f t="shared" si="179"/>
        <v>0</v>
      </c>
      <c r="H920" s="63">
        <f>'Procurement Schedule'!N1038</f>
        <v>0</v>
      </c>
      <c r="I920">
        <f t="shared" si="187"/>
        <v>1</v>
      </c>
      <c r="J920">
        <f t="shared" si="180"/>
        <v>1900</v>
      </c>
      <c r="K920" t="str">
        <f t="shared" si="181"/>
        <v>1_1900</v>
      </c>
      <c r="S920" t="str">
        <f t="shared" si="183"/>
        <v/>
      </c>
      <c r="T920" s="64" t="str">
        <f t="shared" si="182"/>
        <v/>
      </c>
      <c r="AA920" t="str">
        <f t="shared" si="184"/>
        <v/>
      </c>
      <c r="AB920" s="64" t="str">
        <f t="shared" si="185"/>
        <v/>
      </c>
    </row>
    <row r="921" spans="1:28" x14ac:dyDescent="0.35">
      <c r="A921">
        <f>'Procurement Schedule'!R1039</f>
        <v>0</v>
      </c>
      <c r="B921" s="63">
        <f>'Procurement Schedule'!M1039</f>
        <v>0</v>
      </c>
      <c r="C921">
        <f t="shared" si="186"/>
        <v>1</v>
      </c>
      <c r="D921">
        <f t="shared" si="177"/>
        <v>1900</v>
      </c>
      <c r="E921" t="str">
        <f t="shared" si="178"/>
        <v>1_1900</v>
      </c>
      <c r="G921">
        <f t="shared" si="179"/>
        <v>0</v>
      </c>
      <c r="H921" s="63">
        <f>'Procurement Schedule'!N1039</f>
        <v>0</v>
      </c>
      <c r="I921">
        <f t="shared" si="187"/>
        <v>1</v>
      </c>
      <c r="J921">
        <f t="shared" si="180"/>
        <v>1900</v>
      </c>
      <c r="K921" t="str">
        <f t="shared" si="181"/>
        <v>1_1900</v>
      </c>
      <c r="S921" t="str">
        <f t="shared" si="183"/>
        <v/>
      </c>
      <c r="T921" s="64" t="str">
        <f t="shared" si="182"/>
        <v/>
      </c>
      <c r="AA921" t="str">
        <f t="shared" si="184"/>
        <v/>
      </c>
      <c r="AB921" s="64" t="str">
        <f t="shared" si="185"/>
        <v/>
      </c>
    </row>
    <row r="922" spans="1:28" x14ac:dyDescent="0.35">
      <c r="A922">
        <f>'Procurement Schedule'!R1040</f>
        <v>0</v>
      </c>
      <c r="B922" s="63">
        <f>'Procurement Schedule'!M1040</f>
        <v>0</v>
      </c>
      <c r="C922">
        <f t="shared" si="186"/>
        <v>1</v>
      </c>
      <c r="D922">
        <f t="shared" si="177"/>
        <v>1900</v>
      </c>
      <c r="E922" t="str">
        <f t="shared" si="178"/>
        <v>1_1900</v>
      </c>
      <c r="G922">
        <f t="shared" si="179"/>
        <v>0</v>
      </c>
      <c r="H922" s="63">
        <f>'Procurement Schedule'!N1040</f>
        <v>0</v>
      </c>
      <c r="I922">
        <f t="shared" si="187"/>
        <v>1</v>
      </c>
      <c r="J922">
        <f t="shared" si="180"/>
        <v>1900</v>
      </c>
      <c r="K922" t="str">
        <f t="shared" si="181"/>
        <v>1_1900</v>
      </c>
      <c r="S922" t="str">
        <f t="shared" si="183"/>
        <v/>
      </c>
      <c r="T922" s="64" t="str">
        <f t="shared" si="182"/>
        <v/>
      </c>
      <c r="AA922" t="str">
        <f t="shared" si="184"/>
        <v/>
      </c>
      <c r="AB922" s="64" t="str">
        <f t="shared" si="185"/>
        <v/>
      </c>
    </row>
    <row r="923" spans="1:28" x14ac:dyDescent="0.35">
      <c r="A923">
        <f>'Procurement Schedule'!R1041</f>
        <v>0</v>
      </c>
      <c r="B923" s="63">
        <f>'Procurement Schedule'!M1041</f>
        <v>0</v>
      </c>
      <c r="C923">
        <f t="shared" si="186"/>
        <v>1</v>
      </c>
      <c r="D923">
        <f t="shared" si="177"/>
        <v>1900</v>
      </c>
      <c r="E923" t="str">
        <f t="shared" si="178"/>
        <v>1_1900</v>
      </c>
      <c r="G923">
        <f t="shared" si="179"/>
        <v>0</v>
      </c>
      <c r="H923" s="63">
        <f>'Procurement Schedule'!N1041</f>
        <v>0</v>
      </c>
      <c r="I923">
        <f t="shared" si="187"/>
        <v>1</v>
      </c>
      <c r="J923">
        <f t="shared" si="180"/>
        <v>1900</v>
      </c>
      <c r="K923" t="str">
        <f t="shared" si="181"/>
        <v>1_1900</v>
      </c>
      <c r="S923" t="str">
        <f t="shared" si="183"/>
        <v/>
      </c>
      <c r="T923" s="64" t="str">
        <f t="shared" si="182"/>
        <v/>
      </c>
      <c r="AA923" t="str">
        <f t="shared" si="184"/>
        <v/>
      </c>
      <c r="AB923" s="64" t="str">
        <f t="shared" si="185"/>
        <v/>
      </c>
    </row>
    <row r="924" spans="1:28" x14ac:dyDescent="0.35">
      <c r="A924">
        <f>'Procurement Schedule'!R1042</f>
        <v>0</v>
      </c>
      <c r="B924" s="63">
        <f>'Procurement Schedule'!M1042</f>
        <v>0</v>
      </c>
      <c r="C924">
        <f t="shared" si="186"/>
        <v>1</v>
      </c>
      <c r="D924">
        <f t="shared" si="177"/>
        <v>1900</v>
      </c>
      <c r="E924" t="str">
        <f t="shared" si="178"/>
        <v>1_1900</v>
      </c>
      <c r="G924">
        <f t="shared" si="179"/>
        <v>0</v>
      </c>
      <c r="H924" s="63">
        <f>'Procurement Schedule'!N1042</f>
        <v>0</v>
      </c>
      <c r="I924">
        <f t="shared" si="187"/>
        <v>1</v>
      </c>
      <c r="J924">
        <f t="shared" si="180"/>
        <v>1900</v>
      </c>
      <c r="K924" t="str">
        <f t="shared" si="181"/>
        <v>1_1900</v>
      </c>
      <c r="S924" t="str">
        <f t="shared" si="183"/>
        <v/>
      </c>
      <c r="T924" s="64" t="str">
        <f t="shared" si="182"/>
        <v/>
      </c>
      <c r="AA924" t="str">
        <f t="shared" si="184"/>
        <v/>
      </c>
      <c r="AB924" s="64" t="str">
        <f t="shared" si="185"/>
        <v/>
      </c>
    </row>
    <row r="925" spans="1:28" x14ac:dyDescent="0.35">
      <c r="A925">
        <f>'Procurement Schedule'!R1043</f>
        <v>0</v>
      </c>
      <c r="B925" s="63">
        <f>'Procurement Schedule'!M1043</f>
        <v>0</v>
      </c>
      <c r="C925">
        <f t="shared" si="186"/>
        <v>1</v>
      </c>
      <c r="D925">
        <f t="shared" si="177"/>
        <v>1900</v>
      </c>
      <c r="E925" t="str">
        <f t="shared" si="178"/>
        <v>1_1900</v>
      </c>
      <c r="G925">
        <f t="shared" si="179"/>
        <v>0</v>
      </c>
      <c r="H925" s="63">
        <f>'Procurement Schedule'!N1043</f>
        <v>0</v>
      </c>
      <c r="I925">
        <f t="shared" si="187"/>
        <v>1</v>
      </c>
      <c r="J925">
        <f t="shared" si="180"/>
        <v>1900</v>
      </c>
      <c r="K925" t="str">
        <f t="shared" si="181"/>
        <v>1_1900</v>
      </c>
      <c r="S925" t="str">
        <f t="shared" si="183"/>
        <v/>
      </c>
      <c r="T925" s="64" t="str">
        <f t="shared" si="182"/>
        <v/>
      </c>
      <c r="AA925" t="str">
        <f t="shared" si="184"/>
        <v/>
      </c>
      <c r="AB925" s="64" t="str">
        <f t="shared" si="185"/>
        <v/>
      </c>
    </row>
    <row r="926" spans="1:28" x14ac:dyDescent="0.35">
      <c r="A926">
        <f>'Procurement Schedule'!R1044</f>
        <v>0</v>
      </c>
      <c r="B926" s="63">
        <f>'Procurement Schedule'!M1044</f>
        <v>0</v>
      </c>
      <c r="C926">
        <f t="shared" si="186"/>
        <v>1</v>
      </c>
      <c r="D926">
        <f t="shared" si="177"/>
        <v>1900</v>
      </c>
      <c r="E926" t="str">
        <f t="shared" si="178"/>
        <v>1_1900</v>
      </c>
      <c r="G926">
        <f t="shared" si="179"/>
        <v>0</v>
      </c>
      <c r="H926" s="63">
        <f>'Procurement Schedule'!N1044</f>
        <v>0</v>
      </c>
      <c r="I926">
        <f t="shared" si="187"/>
        <v>1</v>
      </c>
      <c r="J926">
        <f t="shared" si="180"/>
        <v>1900</v>
      </c>
      <c r="K926" t="str">
        <f t="shared" si="181"/>
        <v>1_1900</v>
      </c>
      <c r="S926" t="str">
        <f t="shared" si="183"/>
        <v/>
      </c>
      <c r="T926" s="64" t="str">
        <f t="shared" si="182"/>
        <v/>
      </c>
      <c r="AA926" t="str">
        <f t="shared" si="184"/>
        <v/>
      </c>
      <c r="AB926" s="64" t="str">
        <f t="shared" si="185"/>
        <v/>
      </c>
    </row>
    <row r="927" spans="1:28" x14ac:dyDescent="0.35">
      <c r="A927">
        <f>'Procurement Schedule'!R1045</f>
        <v>0</v>
      </c>
      <c r="B927" s="63">
        <f>'Procurement Schedule'!M1045</f>
        <v>0</v>
      </c>
      <c r="C927">
        <f t="shared" si="186"/>
        <v>1</v>
      </c>
      <c r="D927">
        <f t="shared" si="177"/>
        <v>1900</v>
      </c>
      <c r="E927" t="str">
        <f t="shared" si="178"/>
        <v>1_1900</v>
      </c>
      <c r="G927">
        <f t="shared" si="179"/>
        <v>0</v>
      </c>
      <c r="H927" s="63">
        <f>'Procurement Schedule'!N1045</f>
        <v>0</v>
      </c>
      <c r="I927">
        <f t="shared" si="187"/>
        <v>1</v>
      </c>
      <c r="J927">
        <f t="shared" si="180"/>
        <v>1900</v>
      </c>
      <c r="K927" t="str">
        <f t="shared" si="181"/>
        <v>1_1900</v>
      </c>
      <c r="S927" t="str">
        <f t="shared" si="183"/>
        <v/>
      </c>
      <c r="T927" s="64" t="str">
        <f t="shared" si="182"/>
        <v/>
      </c>
      <c r="AA927" t="str">
        <f t="shared" si="184"/>
        <v/>
      </c>
      <c r="AB927" s="64" t="str">
        <f t="shared" si="185"/>
        <v/>
      </c>
    </row>
    <row r="928" spans="1:28" x14ac:dyDescent="0.35">
      <c r="A928">
        <f>'Procurement Schedule'!R1046</f>
        <v>0</v>
      </c>
      <c r="B928" s="63">
        <f>'Procurement Schedule'!M1046</f>
        <v>0</v>
      </c>
      <c r="C928">
        <f t="shared" si="186"/>
        <v>1</v>
      </c>
      <c r="D928">
        <f t="shared" si="177"/>
        <v>1900</v>
      </c>
      <c r="E928" t="str">
        <f t="shared" si="178"/>
        <v>1_1900</v>
      </c>
      <c r="G928">
        <f t="shared" si="179"/>
        <v>0</v>
      </c>
      <c r="H928" s="63">
        <f>'Procurement Schedule'!N1046</f>
        <v>0</v>
      </c>
      <c r="I928">
        <f t="shared" si="187"/>
        <v>1</v>
      </c>
      <c r="J928">
        <f t="shared" si="180"/>
        <v>1900</v>
      </c>
      <c r="K928" t="str">
        <f t="shared" si="181"/>
        <v>1_1900</v>
      </c>
      <c r="S928" t="str">
        <f t="shared" si="183"/>
        <v/>
      </c>
      <c r="T928" s="64" t="str">
        <f t="shared" si="182"/>
        <v/>
      </c>
      <c r="AA928" t="str">
        <f t="shared" si="184"/>
        <v/>
      </c>
      <c r="AB928" s="64" t="str">
        <f t="shared" si="185"/>
        <v/>
      </c>
    </row>
    <row r="929" spans="1:28" x14ac:dyDescent="0.35">
      <c r="A929">
        <f>'Procurement Schedule'!R1047</f>
        <v>0</v>
      </c>
      <c r="B929" s="63">
        <f>'Procurement Schedule'!M1047</f>
        <v>0</v>
      </c>
      <c r="C929">
        <f t="shared" si="186"/>
        <v>1</v>
      </c>
      <c r="D929">
        <f t="shared" si="177"/>
        <v>1900</v>
      </c>
      <c r="E929" t="str">
        <f t="shared" si="178"/>
        <v>1_1900</v>
      </c>
      <c r="G929">
        <f t="shared" si="179"/>
        <v>0</v>
      </c>
      <c r="H929" s="63">
        <f>'Procurement Schedule'!N1047</f>
        <v>0</v>
      </c>
      <c r="I929">
        <f t="shared" si="187"/>
        <v>1</v>
      </c>
      <c r="J929">
        <f t="shared" si="180"/>
        <v>1900</v>
      </c>
      <c r="K929" t="str">
        <f t="shared" si="181"/>
        <v>1_1900</v>
      </c>
      <c r="S929" t="str">
        <f t="shared" si="183"/>
        <v/>
      </c>
      <c r="T929" s="64" t="str">
        <f t="shared" si="182"/>
        <v/>
      </c>
      <c r="AA929" t="str">
        <f t="shared" si="184"/>
        <v/>
      </c>
      <c r="AB929" s="64" t="str">
        <f t="shared" si="185"/>
        <v/>
      </c>
    </row>
    <row r="930" spans="1:28" x14ac:dyDescent="0.35">
      <c r="A930">
        <f>'Procurement Schedule'!R1048</f>
        <v>0</v>
      </c>
      <c r="B930" s="63">
        <f>'Procurement Schedule'!M1048</f>
        <v>0</v>
      </c>
      <c r="C930">
        <f t="shared" si="186"/>
        <v>1</v>
      </c>
      <c r="D930">
        <f t="shared" si="177"/>
        <v>1900</v>
      </c>
      <c r="E930" t="str">
        <f t="shared" si="178"/>
        <v>1_1900</v>
      </c>
      <c r="G930">
        <f t="shared" si="179"/>
        <v>0</v>
      </c>
      <c r="H930" s="63">
        <f>'Procurement Schedule'!N1048</f>
        <v>0</v>
      </c>
      <c r="I930">
        <f t="shared" si="187"/>
        <v>1</v>
      </c>
      <c r="J930">
        <f t="shared" si="180"/>
        <v>1900</v>
      </c>
      <c r="K930" t="str">
        <f t="shared" si="181"/>
        <v>1_1900</v>
      </c>
      <c r="S930" t="str">
        <f t="shared" si="183"/>
        <v/>
      </c>
      <c r="T930" s="64" t="str">
        <f t="shared" si="182"/>
        <v/>
      </c>
      <c r="AA930" t="str">
        <f t="shared" si="184"/>
        <v/>
      </c>
      <c r="AB930" s="64" t="str">
        <f t="shared" si="185"/>
        <v/>
      </c>
    </row>
    <row r="931" spans="1:28" x14ac:dyDescent="0.35">
      <c r="A931">
        <f>'Procurement Schedule'!R1049</f>
        <v>0</v>
      </c>
      <c r="B931" s="63">
        <f>'Procurement Schedule'!M1049</f>
        <v>0</v>
      </c>
      <c r="C931">
        <f t="shared" si="186"/>
        <v>1</v>
      </c>
      <c r="D931">
        <f t="shared" si="177"/>
        <v>1900</v>
      </c>
      <c r="E931" t="str">
        <f t="shared" si="178"/>
        <v>1_1900</v>
      </c>
      <c r="G931">
        <f t="shared" si="179"/>
        <v>0</v>
      </c>
      <c r="H931" s="63">
        <f>'Procurement Schedule'!N1049</f>
        <v>0</v>
      </c>
      <c r="I931">
        <f t="shared" si="187"/>
        <v>1</v>
      </c>
      <c r="J931">
        <f t="shared" si="180"/>
        <v>1900</v>
      </c>
      <c r="K931" t="str">
        <f t="shared" si="181"/>
        <v>1_1900</v>
      </c>
      <c r="S931" t="str">
        <f t="shared" si="183"/>
        <v/>
      </c>
      <c r="T931" s="64" t="str">
        <f t="shared" si="182"/>
        <v/>
      </c>
      <c r="AA931" t="str">
        <f t="shared" si="184"/>
        <v/>
      </c>
      <c r="AB931" s="64" t="str">
        <f t="shared" si="185"/>
        <v/>
      </c>
    </row>
    <row r="932" spans="1:28" x14ac:dyDescent="0.35">
      <c r="A932">
        <f>'Procurement Schedule'!R1050</f>
        <v>0</v>
      </c>
      <c r="B932" s="63">
        <f>'Procurement Schedule'!M1050</f>
        <v>0</v>
      </c>
      <c r="C932">
        <f t="shared" si="186"/>
        <v>1</v>
      </c>
      <c r="D932">
        <f t="shared" si="177"/>
        <v>1900</v>
      </c>
      <c r="E932" t="str">
        <f t="shared" si="178"/>
        <v>1_1900</v>
      </c>
      <c r="G932">
        <f t="shared" si="179"/>
        <v>0</v>
      </c>
      <c r="H932" s="63">
        <f>'Procurement Schedule'!N1050</f>
        <v>0</v>
      </c>
      <c r="I932">
        <f t="shared" si="187"/>
        <v>1</v>
      </c>
      <c r="J932">
        <f t="shared" si="180"/>
        <v>1900</v>
      </c>
      <c r="K932" t="str">
        <f t="shared" si="181"/>
        <v>1_1900</v>
      </c>
      <c r="S932" t="str">
        <f t="shared" si="183"/>
        <v/>
      </c>
      <c r="T932" s="64" t="str">
        <f t="shared" si="182"/>
        <v/>
      </c>
      <c r="AA932" t="str">
        <f t="shared" si="184"/>
        <v/>
      </c>
      <c r="AB932" s="64" t="str">
        <f t="shared" si="185"/>
        <v/>
      </c>
    </row>
    <row r="933" spans="1:28" x14ac:dyDescent="0.35">
      <c r="A933">
        <f>'Procurement Schedule'!R1051</f>
        <v>0</v>
      </c>
      <c r="B933" s="63">
        <f>'Procurement Schedule'!M1051</f>
        <v>0</v>
      </c>
      <c r="C933">
        <f t="shared" si="186"/>
        <v>1</v>
      </c>
      <c r="D933">
        <f t="shared" si="177"/>
        <v>1900</v>
      </c>
      <c r="E933" t="str">
        <f t="shared" si="178"/>
        <v>1_1900</v>
      </c>
      <c r="G933">
        <f t="shared" si="179"/>
        <v>0</v>
      </c>
      <c r="H933" s="63">
        <f>'Procurement Schedule'!N1051</f>
        <v>0</v>
      </c>
      <c r="I933">
        <f t="shared" si="187"/>
        <v>1</v>
      </c>
      <c r="J933">
        <f t="shared" si="180"/>
        <v>1900</v>
      </c>
      <c r="K933" t="str">
        <f t="shared" si="181"/>
        <v>1_1900</v>
      </c>
      <c r="S933" t="str">
        <f t="shared" si="183"/>
        <v/>
      </c>
      <c r="T933" s="64" t="str">
        <f t="shared" si="182"/>
        <v/>
      </c>
      <c r="AA933" t="str">
        <f t="shared" si="184"/>
        <v/>
      </c>
      <c r="AB933" s="64" t="str">
        <f t="shared" si="185"/>
        <v/>
      </c>
    </row>
    <row r="934" spans="1:28" x14ac:dyDescent="0.35">
      <c r="A934">
        <f>'Procurement Schedule'!R1052</f>
        <v>0</v>
      </c>
      <c r="B934" s="63">
        <f>'Procurement Schedule'!M1052</f>
        <v>0</v>
      </c>
      <c r="C934">
        <f t="shared" si="186"/>
        <v>1</v>
      </c>
      <c r="D934">
        <f t="shared" si="177"/>
        <v>1900</v>
      </c>
      <c r="E934" t="str">
        <f t="shared" si="178"/>
        <v>1_1900</v>
      </c>
      <c r="G934">
        <f t="shared" si="179"/>
        <v>0</v>
      </c>
      <c r="H934" s="63">
        <f>'Procurement Schedule'!N1052</f>
        <v>0</v>
      </c>
      <c r="I934">
        <f t="shared" si="187"/>
        <v>1</v>
      </c>
      <c r="J934">
        <f t="shared" si="180"/>
        <v>1900</v>
      </c>
      <c r="K934" t="str">
        <f t="shared" si="181"/>
        <v>1_1900</v>
      </c>
      <c r="S934" t="str">
        <f t="shared" si="183"/>
        <v/>
      </c>
      <c r="T934" s="64" t="str">
        <f t="shared" si="182"/>
        <v/>
      </c>
      <c r="AA934" t="str">
        <f t="shared" si="184"/>
        <v/>
      </c>
      <c r="AB934" s="64" t="str">
        <f t="shared" si="185"/>
        <v/>
      </c>
    </row>
    <row r="935" spans="1:28" x14ac:dyDescent="0.35">
      <c r="A935">
        <f>'Procurement Schedule'!R1053</f>
        <v>0</v>
      </c>
      <c r="B935" s="63">
        <f>'Procurement Schedule'!M1053</f>
        <v>0</v>
      </c>
      <c r="C935">
        <f t="shared" si="186"/>
        <v>1</v>
      </c>
      <c r="D935">
        <f t="shared" si="177"/>
        <v>1900</v>
      </c>
      <c r="E935" t="str">
        <f t="shared" si="178"/>
        <v>1_1900</v>
      </c>
      <c r="G935">
        <f t="shared" si="179"/>
        <v>0</v>
      </c>
      <c r="H935" s="63">
        <f>'Procurement Schedule'!N1053</f>
        <v>0</v>
      </c>
      <c r="I935">
        <f t="shared" si="187"/>
        <v>1</v>
      </c>
      <c r="J935">
        <f t="shared" si="180"/>
        <v>1900</v>
      </c>
      <c r="K935" t="str">
        <f t="shared" si="181"/>
        <v>1_1900</v>
      </c>
      <c r="S935" t="str">
        <f t="shared" si="183"/>
        <v/>
      </c>
      <c r="T935" s="64" t="str">
        <f t="shared" si="182"/>
        <v/>
      </c>
      <c r="AA935" t="str">
        <f t="shared" si="184"/>
        <v/>
      </c>
      <c r="AB935" s="64" t="str">
        <f t="shared" si="185"/>
        <v/>
      </c>
    </row>
    <row r="936" spans="1:28" x14ac:dyDescent="0.35">
      <c r="A936">
        <f>'Procurement Schedule'!R1054</f>
        <v>0</v>
      </c>
      <c r="B936" s="63">
        <f>'Procurement Schedule'!M1054</f>
        <v>0</v>
      </c>
      <c r="C936">
        <f t="shared" si="186"/>
        <v>1</v>
      </c>
      <c r="D936">
        <f t="shared" si="177"/>
        <v>1900</v>
      </c>
      <c r="E936" t="str">
        <f t="shared" si="178"/>
        <v>1_1900</v>
      </c>
      <c r="G936">
        <f t="shared" si="179"/>
        <v>0</v>
      </c>
      <c r="H936" s="63">
        <f>'Procurement Schedule'!N1054</f>
        <v>0</v>
      </c>
      <c r="I936">
        <f t="shared" si="187"/>
        <v>1</v>
      </c>
      <c r="J936">
        <f t="shared" si="180"/>
        <v>1900</v>
      </c>
      <c r="K936" t="str">
        <f t="shared" si="181"/>
        <v>1_1900</v>
      </c>
      <c r="S936" t="str">
        <f t="shared" si="183"/>
        <v/>
      </c>
      <c r="T936" s="64" t="str">
        <f t="shared" si="182"/>
        <v/>
      </c>
      <c r="AA936" t="str">
        <f t="shared" si="184"/>
        <v/>
      </c>
      <c r="AB936" s="64" t="str">
        <f t="shared" si="185"/>
        <v/>
      </c>
    </row>
    <row r="937" spans="1:28" x14ac:dyDescent="0.35">
      <c r="A937">
        <f>'Procurement Schedule'!R1055</f>
        <v>0</v>
      </c>
      <c r="B937" s="63">
        <f>'Procurement Schedule'!M1055</f>
        <v>0</v>
      </c>
      <c r="C937">
        <f t="shared" si="186"/>
        <v>1</v>
      </c>
      <c r="D937">
        <f t="shared" si="177"/>
        <v>1900</v>
      </c>
      <c r="E937" t="str">
        <f t="shared" si="178"/>
        <v>1_1900</v>
      </c>
      <c r="G937">
        <f t="shared" si="179"/>
        <v>0</v>
      </c>
      <c r="H937" s="63">
        <f>'Procurement Schedule'!N1055</f>
        <v>0</v>
      </c>
      <c r="I937">
        <f t="shared" si="187"/>
        <v>1</v>
      </c>
      <c r="J937">
        <f t="shared" si="180"/>
        <v>1900</v>
      </c>
      <c r="K937" t="str">
        <f t="shared" si="181"/>
        <v>1_1900</v>
      </c>
      <c r="S937" t="str">
        <f t="shared" si="183"/>
        <v/>
      </c>
      <c r="T937" s="64" t="str">
        <f t="shared" si="182"/>
        <v/>
      </c>
      <c r="AA937" t="str">
        <f t="shared" si="184"/>
        <v/>
      </c>
      <c r="AB937" s="64" t="str">
        <f t="shared" si="185"/>
        <v/>
      </c>
    </row>
    <row r="938" spans="1:28" x14ac:dyDescent="0.35">
      <c r="A938">
        <f>'Procurement Schedule'!R1056</f>
        <v>0</v>
      </c>
      <c r="B938" s="63">
        <f>'Procurement Schedule'!M1056</f>
        <v>0</v>
      </c>
      <c r="C938">
        <f t="shared" si="186"/>
        <v>1</v>
      </c>
      <c r="D938">
        <f t="shared" si="177"/>
        <v>1900</v>
      </c>
      <c r="E938" t="str">
        <f t="shared" si="178"/>
        <v>1_1900</v>
      </c>
      <c r="G938">
        <f t="shared" si="179"/>
        <v>0</v>
      </c>
      <c r="H938" s="63">
        <f>'Procurement Schedule'!N1056</f>
        <v>0</v>
      </c>
      <c r="I938">
        <f t="shared" si="187"/>
        <v>1</v>
      </c>
      <c r="J938">
        <f t="shared" si="180"/>
        <v>1900</v>
      </c>
      <c r="K938" t="str">
        <f t="shared" si="181"/>
        <v>1_1900</v>
      </c>
      <c r="S938" t="str">
        <f t="shared" si="183"/>
        <v/>
      </c>
      <c r="T938" s="64" t="str">
        <f t="shared" si="182"/>
        <v/>
      </c>
      <c r="AA938" t="str">
        <f t="shared" si="184"/>
        <v/>
      </c>
      <c r="AB938" s="64" t="str">
        <f t="shared" si="185"/>
        <v/>
      </c>
    </row>
    <row r="939" spans="1:28" x14ac:dyDescent="0.35">
      <c r="A939">
        <f>'Procurement Schedule'!R1057</f>
        <v>0</v>
      </c>
      <c r="B939" s="63">
        <f>'Procurement Schedule'!M1057</f>
        <v>0</v>
      </c>
      <c r="C939">
        <f t="shared" si="186"/>
        <v>1</v>
      </c>
      <c r="D939">
        <f t="shared" si="177"/>
        <v>1900</v>
      </c>
      <c r="E939" t="str">
        <f t="shared" si="178"/>
        <v>1_1900</v>
      </c>
      <c r="G939">
        <f t="shared" si="179"/>
        <v>0</v>
      </c>
      <c r="H939" s="63">
        <f>'Procurement Schedule'!N1057</f>
        <v>0</v>
      </c>
      <c r="I939">
        <f t="shared" si="187"/>
        <v>1</v>
      </c>
      <c r="J939">
        <f t="shared" si="180"/>
        <v>1900</v>
      </c>
      <c r="K939" t="str">
        <f t="shared" si="181"/>
        <v>1_1900</v>
      </c>
      <c r="S939" t="str">
        <f t="shared" si="183"/>
        <v/>
      </c>
      <c r="T939" s="64" t="str">
        <f t="shared" si="182"/>
        <v/>
      </c>
      <c r="AA939" t="str">
        <f t="shared" si="184"/>
        <v/>
      </c>
      <c r="AB939" s="64" t="str">
        <f t="shared" si="185"/>
        <v/>
      </c>
    </row>
    <row r="940" spans="1:28" x14ac:dyDescent="0.35">
      <c r="A940">
        <f>'Procurement Schedule'!R1058</f>
        <v>0</v>
      </c>
      <c r="B940" s="63">
        <f>'Procurement Schedule'!M1058</f>
        <v>0</v>
      </c>
      <c r="C940">
        <f t="shared" si="186"/>
        <v>1</v>
      </c>
      <c r="D940">
        <f t="shared" si="177"/>
        <v>1900</v>
      </c>
      <c r="E940" t="str">
        <f t="shared" si="178"/>
        <v>1_1900</v>
      </c>
      <c r="G940">
        <f t="shared" si="179"/>
        <v>0</v>
      </c>
      <c r="H940" s="63">
        <f>'Procurement Schedule'!N1058</f>
        <v>0</v>
      </c>
      <c r="I940">
        <f t="shared" si="187"/>
        <v>1</v>
      </c>
      <c r="J940">
        <f t="shared" si="180"/>
        <v>1900</v>
      </c>
      <c r="K940" t="str">
        <f t="shared" si="181"/>
        <v>1_1900</v>
      </c>
      <c r="S940" t="str">
        <f t="shared" si="183"/>
        <v/>
      </c>
      <c r="T940" s="64" t="str">
        <f t="shared" si="182"/>
        <v/>
      </c>
      <c r="AA940" t="str">
        <f t="shared" si="184"/>
        <v/>
      </c>
      <c r="AB940" s="64" t="str">
        <f t="shared" si="185"/>
        <v/>
      </c>
    </row>
    <row r="941" spans="1:28" x14ac:dyDescent="0.35">
      <c r="A941">
        <f>'Procurement Schedule'!R1059</f>
        <v>0</v>
      </c>
      <c r="B941" s="63">
        <f>'Procurement Schedule'!M1059</f>
        <v>0</v>
      </c>
      <c r="C941">
        <f t="shared" si="186"/>
        <v>1</v>
      </c>
      <c r="D941">
        <f t="shared" si="177"/>
        <v>1900</v>
      </c>
      <c r="E941" t="str">
        <f t="shared" si="178"/>
        <v>1_1900</v>
      </c>
      <c r="G941">
        <f t="shared" si="179"/>
        <v>0</v>
      </c>
      <c r="H941" s="63">
        <f>'Procurement Schedule'!N1059</f>
        <v>0</v>
      </c>
      <c r="I941">
        <f t="shared" si="187"/>
        <v>1</v>
      </c>
      <c r="J941">
        <f t="shared" si="180"/>
        <v>1900</v>
      </c>
      <c r="K941" t="str">
        <f t="shared" si="181"/>
        <v>1_1900</v>
      </c>
      <c r="S941" t="str">
        <f t="shared" si="183"/>
        <v/>
      </c>
      <c r="T941" s="64" t="str">
        <f t="shared" si="182"/>
        <v/>
      </c>
      <c r="AA941" t="str">
        <f t="shared" si="184"/>
        <v/>
      </c>
      <c r="AB941" s="64" t="str">
        <f t="shared" si="185"/>
        <v/>
      </c>
    </row>
    <row r="942" spans="1:28" x14ac:dyDescent="0.35">
      <c r="A942">
        <f>'Procurement Schedule'!R1060</f>
        <v>0</v>
      </c>
      <c r="B942" s="63">
        <f>'Procurement Schedule'!M1060</f>
        <v>0</v>
      </c>
      <c r="C942">
        <f t="shared" si="186"/>
        <v>1</v>
      </c>
      <c r="D942">
        <f t="shared" si="177"/>
        <v>1900</v>
      </c>
      <c r="E942" t="str">
        <f t="shared" si="178"/>
        <v>1_1900</v>
      </c>
      <c r="G942">
        <f t="shared" si="179"/>
        <v>0</v>
      </c>
      <c r="H942" s="63">
        <f>'Procurement Schedule'!N1060</f>
        <v>0</v>
      </c>
      <c r="I942">
        <f t="shared" si="187"/>
        <v>1</v>
      </c>
      <c r="J942">
        <f t="shared" si="180"/>
        <v>1900</v>
      </c>
      <c r="K942" t="str">
        <f t="shared" si="181"/>
        <v>1_1900</v>
      </c>
      <c r="S942" t="str">
        <f t="shared" si="183"/>
        <v/>
      </c>
      <c r="T942" s="64" t="str">
        <f t="shared" si="182"/>
        <v/>
      </c>
      <c r="AA942" t="str">
        <f t="shared" si="184"/>
        <v/>
      </c>
      <c r="AB942" s="64" t="str">
        <f t="shared" si="185"/>
        <v/>
      </c>
    </row>
    <row r="943" spans="1:28" x14ac:dyDescent="0.35">
      <c r="A943">
        <f>'Procurement Schedule'!R1061</f>
        <v>0</v>
      </c>
      <c r="B943" s="63">
        <f>'Procurement Schedule'!M1061</f>
        <v>0</v>
      </c>
      <c r="C943">
        <f t="shared" si="186"/>
        <v>1</v>
      </c>
      <c r="D943">
        <f t="shared" si="177"/>
        <v>1900</v>
      </c>
      <c r="E943" t="str">
        <f t="shared" si="178"/>
        <v>1_1900</v>
      </c>
      <c r="G943">
        <f t="shared" si="179"/>
        <v>0</v>
      </c>
      <c r="H943" s="63">
        <f>'Procurement Schedule'!N1061</f>
        <v>0</v>
      </c>
      <c r="I943">
        <f t="shared" si="187"/>
        <v>1</v>
      </c>
      <c r="J943">
        <f t="shared" si="180"/>
        <v>1900</v>
      </c>
      <c r="K943" t="str">
        <f t="shared" si="181"/>
        <v>1_1900</v>
      </c>
      <c r="S943" t="str">
        <f t="shared" si="183"/>
        <v/>
      </c>
      <c r="T943" s="64" t="str">
        <f t="shared" si="182"/>
        <v/>
      </c>
      <c r="AA943" t="str">
        <f t="shared" si="184"/>
        <v/>
      </c>
      <c r="AB943" s="64" t="str">
        <f t="shared" si="185"/>
        <v/>
      </c>
    </row>
    <row r="944" spans="1:28" x14ac:dyDescent="0.35">
      <c r="A944">
        <f>'Procurement Schedule'!R1062</f>
        <v>0</v>
      </c>
      <c r="B944" s="63">
        <f>'Procurement Schedule'!M1062</f>
        <v>0</v>
      </c>
      <c r="C944">
        <f t="shared" si="186"/>
        <v>1</v>
      </c>
      <c r="D944">
        <f t="shared" si="177"/>
        <v>1900</v>
      </c>
      <c r="E944" t="str">
        <f t="shared" si="178"/>
        <v>1_1900</v>
      </c>
      <c r="G944">
        <f t="shared" si="179"/>
        <v>0</v>
      </c>
      <c r="H944" s="63">
        <f>'Procurement Schedule'!N1062</f>
        <v>0</v>
      </c>
      <c r="I944">
        <f t="shared" si="187"/>
        <v>1</v>
      </c>
      <c r="J944">
        <f t="shared" si="180"/>
        <v>1900</v>
      </c>
      <c r="K944" t="str">
        <f t="shared" si="181"/>
        <v>1_1900</v>
      </c>
      <c r="S944" t="str">
        <f t="shared" si="183"/>
        <v/>
      </c>
      <c r="T944" s="64" t="str">
        <f t="shared" si="182"/>
        <v/>
      </c>
      <c r="AA944" t="str">
        <f t="shared" si="184"/>
        <v/>
      </c>
      <c r="AB944" s="64" t="str">
        <f t="shared" si="185"/>
        <v/>
      </c>
    </row>
    <row r="945" spans="1:28" x14ac:dyDescent="0.35">
      <c r="A945">
        <f>'Procurement Schedule'!R1063</f>
        <v>0</v>
      </c>
      <c r="B945" s="63">
        <f>'Procurement Schedule'!M1063</f>
        <v>0</v>
      </c>
      <c r="C945">
        <f t="shared" si="186"/>
        <v>1</v>
      </c>
      <c r="D945">
        <f t="shared" si="177"/>
        <v>1900</v>
      </c>
      <c r="E945" t="str">
        <f t="shared" si="178"/>
        <v>1_1900</v>
      </c>
      <c r="G945">
        <f t="shared" si="179"/>
        <v>0</v>
      </c>
      <c r="H945" s="63">
        <f>'Procurement Schedule'!N1063</f>
        <v>0</v>
      </c>
      <c r="I945">
        <f t="shared" si="187"/>
        <v>1</v>
      </c>
      <c r="J945">
        <f t="shared" si="180"/>
        <v>1900</v>
      </c>
      <c r="K945" t="str">
        <f t="shared" si="181"/>
        <v>1_1900</v>
      </c>
      <c r="S945" t="str">
        <f t="shared" si="183"/>
        <v/>
      </c>
      <c r="T945" s="64" t="str">
        <f t="shared" si="182"/>
        <v/>
      </c>
      <c r="AA945" t="str">
        <f t="shared" si="184"/>
        <v/>
      </c>
      <c r="AB945" s="64" t="str">
        <f t="shared" si="185"/>
        <v/>
      </c>
    </row>
    <row r="946" spans="1:28" x14ac:dyDescent="0.35">
      <c r="A946">
        <f>'Procurement Schedule'!R1064</f>
        <v>0</v>
      </c>
      <c r="B946" s="63">
        <f>'Procurement Schedule'!M1064</f>
        <v>0</v>
      </c>
      <c r="C946">
        <f t="shared" si="186"/>
        <v>1</v>
      </c>
      <c r="D946">
        <f t="shared" si="177"/>
        <v>1900</v>
      </c>
      <c r="E946" t="str">
        <f t="shared" si="178"/>
        <v>1_1900</v>
      </c>
      <c r="G946">
        <f t="shared" si="179"/>
        <v>0</v>
      </c>
      <c r="H946" s="63">
        <f>'Procurement Schedule'!N1064</f>
        <v>0</v>
      </c>
      <c r="I946">
        <f t="shared" si="187"/>
        <v>1</v>
      </c>
      <c r="J946">
        <f t="shared" si="180"/>
        <v>1900</v>
      </c>
      <c r="K946" t="str">
        <f t="shared" si="181"/>
        <v>1_1900</v>
      </c>
      <c r="S946" t="str">
        <f t="shared" si="183"/>
        <v/>
      </c>
      <c r="T946" s="64" t="str">
        <f t="shared" si="182"/>
        <v/>
      </c>
      <c r="AA946" t="str">
        <f t="shared" si="184"/>
        <v/>
      </c>
      <c r="AB946" s="64" t="str">
        <f t="shared" si="185"/>
        <v/>
      </c>
    </row>
    <row r="947" spans="1:28" x14ac:dyDescent="0.35">
      <c r="A947">
        <f>'Procurement Schedule'!R1065</f>
        <v>0</v>
      </c>
      <c r="B947" s="63">
        <f>'Procurement Schedule'!M1065</f>
        <v>0</v>
      </c>
      <c r="C947">
        <f t="shared" si="186"/>
        <v>1</v>
      </c>
      <c r="D947">
        <f t="shared" si="177"/>
        <v>1900</v>
      </c>
      <c r="E947" t="str">
        <f t="shared" si="178"/>
        <v>1_1900</v>
      </c>
      <c r="G947">
        <f t="shared" si="179"/>
        <v>0</v>
      </c>
      <c r="H947" s="63">
        <f>'Procurement Schedule'!N1065</f>
        <v>0</v>
      </c>
      <c r="I947">
        <f t="shared" si="187"/>
        <v>1</v>
      </c>
      <c r="J947">
        <f t="shared" si="180"/>
        <v>1900</v>
      </c>
      <c r="K947" t="str">
        <f t="shared" si="181"/>
        <v>1_1900</v>
      </c>
      <c r="S947" t="str">
        <f t="shared" si="183"/>
        <v/>
      </c>
      <c r="T947" s="64" t="str">
        <f t="shared" si="182"/>
        <v/>
      </c>
      <c r="AA947" t="str">
        <f t="shared" si="184"/>
        <v/>
      </c>
      <c r="AB947" s="64" t="str">
        <f t="shared" si="185"/>
        <v/>
      </c>
    </row>
    <row r="948" spans="1:28" x14ac:dyDescent="0.35">
      <c r="A948">
        <f>'Procurement Schedule'!R1066</f>
        <v>0</v>
      </c>
      <c r="B948" s="63">
        <f>'Procurement Schedule'!M1066</f>
        <v>0</v>
      </c>
      <c r="C948">
        <f t="shared" si="186"/>
        <v>1</v>
      </c>
      <c r="D948">
        <f t="shared" si="177"/>
        <v>1900</v>
      </c>
      <c r="E948" t="str">
        <f t="shared" si="178"/>
        <v>1_1900</v>
      </c>
      <c r="G948">
        <f t="shared" si="179"/>
        <v>0</v>
      </c>
      <c r="H948" s="63">
        <f>'Procurement Schedule'!N1066</f>
        <v>0</v>
      </c>
      <c r="I948">
        <f t="shared" si="187"/>
        <v>1</v>
      </c>
      <c r="J948">
        <f t="shared" si="180"/>
        <v>1900</v>
      </c>
      <c r="K948" t="str">
        <f t="shared" si="181"/>
        <v>1_1900</v>
      </c>
      <c r="S948" t="str">
        <f t="shared" si="183"/>
        <v/>
      </c>
      <c r="T948" s="64" t="str">
        <f t="shared" si="182"/>
        <v/>
      </c>
      <c r="AA948" t="str">
        <f t="shared" si="184"/>
        <v/>
      </c>
      <c r="AB948" s="64" t="str">
        <f t="shared" si="185"/>
        <v/>
      </c>
    </row>
    <row r="949" spans="1:28" x14ac:dyDescent="0.35">
      <c r="A949">
        <f>'Procurement Schedule'!R1067</f>
        <v>0</v>
      </c>
      <c r="B949" s="63">
        <f>'Procurement Schedule'!M1067</f>
        <v>0</v>
      </c>
      <c r="C949">
        <f t="shared" si="186"/>
        <v>1</v>
      </c>
      <c r="D949">
        <f t="shared" si="177"/>
        <v>1900</v>
      </c>
      <c r="E949" t="str">
        <f t="shared" si="178"/>
        <v>1_1900</v>
      </c>
      <c r="G949">
        <f t="shared" si="179"/>
        <v>0</v>
      </c>
      <c r="H949" s="63">
        <f>'Procurement Schedule'!N1067</f>
        <v>0</v>
      </c>
      <c r="I949">
        <f t="shared" si="187"/>
        <v>1</v>
      </c>
      <c r="J949">
        <f t="shared" si="180"/>
        <v>1900</v>
      </c>
      <c r="K949" t="str">
        <f t="shared" si="181"/>
        <v>1_1900</v>
      </c>
      <c r="S949" t="str">
        <f t="shared" si="183"/>
        <v/>
      </c>
      <c r="T949" s="64" t="str">
        <f t="shared" si="182"/>
        <v/>
      </c>
      <c r="AA949" t="str">
        <f t="shared" si="184"/>
        <v/>
      </c>
      <c r="AB949" s="64" t="str">
        <f t="shared" si="185"/>
        <v/>
      </c>
    </row>
    <row r="950" spans="1:28" x14ac:dyDescent="0.35">
      <c r="A950">
        <f>'Procurement Schedule'!R1068</f>
        <v>0</v>
      </c>
      <c r="B950" s="63">
        <f>'Procurement Schedule'!M1068</f>
        <v>0</v>
      </c>
      <c r="C950">
        <f t="shared" si="186"/>
        <v>1</v>
      </c>
      <c r="D950">
        <f t="shared" si="177"/>
        <v>1900</v>
      </c>
      <c r="E950" t="str">
        <f t="shared" si="178"/>
        <v>1_1900</v>
      </c>
      <c r="G950">
        <f t="shared" si="179"/>
        <v>0</v>
      </c>
      <c r="H950" s="63">
        <f>'Procurement Schedule'!N1068</f>
        <v>0</v>
      </c>
      <c r="I950">
        <f t="shared" si="187"/>
        <v>1</v>
      </c>
      <c r="J950">
        <f t="shared" si="180"/>
        <v>1900</v>
      </c>
      <c r="K950" t="str">
        <f t="shared" si="181"/>
        <v>1_1900</v>
      </c>
      <c r="S950" t="str">
        <f t="shared" si="183"/>
        <v/>
      </c>
      <c r="T950" s="64" t="str">
        <f t="shared" si="182"/>
        <v/>
      </c>
      <c r="AA950" t="str">
        <f t="shared" si="184"/>
        <v/>
      </c>
      <c r="AB950" s="64" t="str">
        <f t="shared" si="185"/>
        <v/>
      </c>
    </row>
    <row r="951" spans="1:28" x14ac:dyDescent="0.35">
      <c r="A951">
        <f>'Procurement Schedule'!R1069</f>
        <v>0</v>
      </c>
      <c r="B951" s="63">
        <f>'Procurement Schedule'!M1069</f>
        <v>0</v>
      </c>
      <c r="C951">
        <f t="shared" si="186"/>
        <v>1</v>
      </c>
      <c r="D951">
        <f t="shared" ref="D951:D984" si="188">YEAR(B951)</f>
        <v>1900</v>
      </c>
      <c r="E951" t="str">
        <f t="shared" ref="E951:E984" si="189">C951&amp;"_"&amp;D951</f>
        <v>1_1900</v>
      </c>
      <c r="G951">
        <f t="shared" ref="G951:G984" si="190">A951</f>
        <v>0</v>
      </c>
      <c r="H951" s="63">
        <f>'Procurement Schedule'!N1069</f>
        <v>0</v>
      </c>
      <c r="I951">
        <f t="shared" si="187"/>
        <v>1</v>
      </c>
      <c r="J951">
        <f t="shared" ref="J951:J984" si="191">YEAR(H951)</f>
        <v>1900</v>
      </c>
      <c r="K951" t="str">
        <f t="shared" ref="K951:K984" si="192">I951&amp;"_"&amp;J951</f>
        <v>1_1900</v>
      </c>
      <c r="S951" t="str">
        <f t="shared" si="183"/>
        <v/>
      </c>
      <c r="T951" s="64" t="str">
        <f t="shared" si="182"/>
        <v/>
      </c>
      <c r="AA951" t="str">
        <f t="shared" si="184"/>
        <v/>
      </c>
      <c r="AB951" s="64" t="str">
        <f t="shared" si="185"/>
        <v/>
      </c>
    </row>
    <row r="952" spans="1:28" x14ac:dyDescent="0.35">
      <c r="A952">
        <f>'Procurement Schedule'!R1070</f>
        <v>0</v>
      </c>
      <c r="B952" s="63">
        <f>'Procurement Schedule'!M1070</f>
        <v>0</v>
      </c>
      <c r="C952">
        <f t="shared" si="186"/>
        <v>1</v>
      </c>
      <c r="D952">
        <f t="shared" si="188"/>
        <v>1900</v>
      </c>
      <c r="E952" t="str">
        <f t="shared" si="189"/>
        <v>1_1900</v>
      </c>
      <c r="G952">
        <f t="shared" si="190"/>
        <v>0</v>
      </c>
      <c r="H952" s="63">
        <f>'Procurement Schedule'!N1070</f>
        <v>0</v>
      </c>
      <c r="I952">
        <f t="shared" si="187"/>
        <v>1</v>
      </c>
      <c r="J952">
        <f t="shared" si="191"/>
        <v>1900</v>
      </c>
      <c r="K952" t="str">
        <f t="shared" si="192"/>
        <v>1_1900</v>
      </c>
      <c r="S952" t="str">
        <f t="shared" si="183"/>
        <v/>
      </c>
      <c r="T952" s="64" t="str">
        <f t="shared" si="182"/>
        <v/>
      </c>
      <c r="AA952" t="str">
        <f t="shared" si="184"/>
        <v/>
      </c>
      <c r="AB952" s="64" t="str">
        <f t="shared" si="185"/>
        <v/>
      </c>
    </row>
    <row r="953" spans="1:28" x14ac:dyDescent="0.35">
      <c r="A953">
        <f>'Procurement Schedule'!R1071</f>
        <v>0</v>
      </c>
      <c r="B953" s="63">
        <f>'Procurement Schedule'!M1071</f>
        <v>0</v>
      </c>
      <c r="C953">
        <f t="shared" si="186"/>
        <v>1</v>
      </c>
      <c r="D953">
        <f t="shared" si="188"/>
        <v>1900</v>
      </c>
      <c r="E953" t="str">
        <f t="shared" si="189"/>
        <v>1_1900</v>
      </c>
      <c r="G953">
        <f t="shared" si="190"/>
        <v>0</v>
      </c>
      <c r="H953" s="63">
        <f>'Procurement Schedule'!N1071</f>
        <v>0</v>
      </c>
      <c r="I953">
        <f t="shared" si="187"/>
        <v>1</v>
      </c>
      <c r="J953">
        <f t="shared" si="191"/>
        <v>1900</v>
      </c>
      <c r="K953" t="str">
        <f t="shared" si="192"/>
        <v>1_1900</v>
      </c>
      <c r="S953" t="str">
        <f t="shared" si="183"/>
        <v/>
      </c>
      <c r="T953" s="64" t="str">
        <f t="shared" si="182"/>
        <v/>
      </c>
      <c r="AA953" t="str">
        <f t="shared" si="184"/>
        <v/>
      </c>
      <c r="AB953" s="64" t="str">
        <f t="shared" si="185"/>
        <v/>
      </c>
    </row>
    <row r="954" spans="1:28" x14ac:dyDescent="0.35">
      <c r="A954">
        <f>'Procurement Schedule'!R1072</f>
        <v>0</v>
      </c>
      <c r="B954" s="63">
        <f>'Procurement Schedule'!M1072</f>
        <v>0</v>
      </c>
      <c r="C954">
        <f t="shared" si="186"/>
        <v>1</v>
      </c>
      <c r="D954">
        <f t="shared" si="188"/>
        <v>1900</v>
      </c>
      <c r="E954" t="str">
        <f t="shared" si="189"/>
        <v>1_1900</v>
      </c>
      <c r="G954">
        <f t="shared" si="190"/>
        <v>0</v>
      </c>
      <c r="H954" s="63">
        <f>'Procurement Schedule'!N1072</f>
        <v>0</v>
      </c>
      <c r="I954">
        <f t="shared" si="187"/>
        <v>1</v>
      </c>
      <c r="J954">
        <f t="shared" si="191"/>
        <v>1900</v>
      </c>
      <c r="K954" t="str">
        <f t="shared" si="192"/>
        <v>1_1900</v>
      </c>
      <c r="S954" t="str">
        <f t="shared" si="183"/>
        <v/>
      </c>
      <c r="T954" s="64" t="str">
        <f t="shared" si="182"/>
        <v/>
      </c>
      <c r="AA954" t="str">
        <f t="shared" si="184"/>
        <v/>
      </c>
      <c r="AB954" s="64" t="str">
        <f t="shared" si="185"/>
        <v/>
      </c>
    </row>
    <row r="955" spans="1:28" x14ac:dyDescent="0.35">
      <c r="A955">
        <f>'Procurement Schedule'!R1073</f>
        <v>0</v>
      </c>
      <c r="B955" s="63">
        <f>'Procurement Schedule'!M1073</f>
        <v>0</v>
      </c>
      <c r="C955">
        <f t="shared" si="186"/>
        <v>1</v>
      </c>
      <c r="D955">
        <f t="shared" si="188"/>
        <v>1900</v>
      </c>
      <c r="E955" t="str">
        <f t="shared" si="189"/>
        <v>1_1900</v>
      </c>
      <c r="G955">
        <f t="shared" si="190"/>
        <v>0</v>
      </c>
      <c r="H955" s="63">
        <f>'Procurement Schedule'!N1073</f>
        <v>0</v>
      </c>
      <c r="I955">
        <f t="shared" si="187"/>
        <v>1</v>
      </c>
      <c r="J955">
        <f t="shared" si="191"/>
        <v>1900</v>
      </c>
      <c r="K955" t="str">
        <f t="shared" si="192"/>
        <v>1_1900</v>
      </c>
      <c r="S955" t="str">
        <f t="shared" si="183"/>
        <v/>
      </c>
      <c r="T955" s="64" t="str">
        <f t="shared" si="182"/>
        <v/>
      </c>
      <c r="AA955" t="str">
        <f t="shared" si="184"/>
        <v/>
      </c>
      <c r="AB955" s="64" t="str">
        <f t="shared" si="185"/>
        <v/>
      </c>
    </row>
    <row r="956" spans="1:28" x14ac:dyDescent="0.35">
      <c r="A956">
        <f>'Procurement Schedule'!R1074</f>
        <v>0</v>
      </c>
      <c r="B956" s="63">
        <f>'Procurement Schedule'!M1074</f>
        <v>0</v>
      </c>
      <c r="C956">
        <f t="shared" si="186"/>
        <v>1</v>
      </c>
      <c r="D956">
        <f t="shared" si="188"/>
        <v>1900</v>
      </c>
      <c r="E956" t="str">
        <f t="shared" si="189"/>
        <v>1_1900</v>
      </c>
      <c r="G956">
        <f t="shared" si="190"/>
        <v>0</v>
      </c>
      <c r="H956" s="63">
        <f>'Procurement Schedule'!N1074</f>
        <v>0</v>
      </c>
      <c r="I956">
        <f t="shared" si="187"/>
        <v>1</v>
      </c>
      <c r="J956">
        <f t="shared" si="191"/>
        <v>1900</v>
      </c>
      <c r="K956" t="str">
        <f t="shared" si="192"/>
        <v>1_1900</v>
      </c>
      <c r="S956" t="str">
        <f t="shared" si="183"/>
        <v/>
      </c>
      <c r="T956" s="64" t="str">
        <f t="shared" si="182"/>
        <v/>
      </c>
      <c r="AA956" t="str">
        <f t="shared" si="184"/>
        <v/>
      </c>
      <c r="AB956" s="64" t="str">
        <f t="shared" si="185"/>
        <v/>
      </c>
    </row>
    <row r="957" spans="1:28" x14ac:dyDescent="0.35">
      <c r="A957">
        <f>'Procurement Schedule'!R1075</f>
        <v>0</v>
      </c>
      <c r="B957" s="63">
        <f>'Procurement Schedule'!M1075</f>
        <v>0</v>
      </c>
      <c r="C957">
        <f t="shared" si="186"/>
        <v>1</v>
      </c>
      <c r="D957">
        <f t="shared" si="188"/>
        <v>1900</v>
      </c>
      <c r="E957" t="str">
        <f t="shared" si="189"/>
        <v>1_1900</v>
      </c>
      <c r="G957">
        <f t="shared" si="190"/>
        <v>0</v>
      </c>
      <c r="H957" s="63">
        <f>'Procurement Schedule'!N1075</f>
        <v>0</v>
      </c>
      <c r="I957">
        <f t="shared" si="187"/>
        <v>1</v>
      </c>
      <c r="J957">
        <f t="shared" si="191"/>
        <v>1900</v>
      </c>
      <c r="K957" t="str">
        <f t="shared" si="192"/>
        <v>1_1900</v>
      </c>
      <c r="S957" t="str">
        <f t="shared" si="183"/>
        <v/>
      </c>
      <c r="T957" s="64" t="str">
        <f t="shared" si="182"/>
        <v/>
      </c>
      <c r="AA957" t="str">
        <f t="shared" si="184"/>
        <v/>
      </c>
      <c r="AB957" s="64" t="str">
        <f t="shared" si="185"/>
        <v/>
      </c>
    </row>
    <row r="958" spans="1:28" x14ac:dyDescent="0.35">
      <c r="A958">
        <f>'Procurement Schedule'!R1076</f>
        <v>0</v>
      </c>
      <c r="B958" s="63">
        <f>'Procurement Schedule'!M1076</f>
        <v>0</v>
      </c>
      <c r="C958">
        <f t="shared" si="186"/>
        <v>1</v>
      </c>
      <c r="D958">
        <f t="shared" si="188"/>
        <v>1900</v>
      </c>
      <c r="E958" t="str">
        <f t="shared" si="189"/>
        <v>1_1900</v>
      </c>
      <c r="G958">
        <f t="shared" si="190"/>
        <v>0</v>
      </c>
      <c r="H958" s="63">
        <f>'Procurement Schedule'!N1076</f>
        <v>0</v>
      </c>
      <c r="I958">
        <f t="shared" si="187"/>
        <v>1</v>
      </c>
      <c r="J958">
        <f t="shared" si="191"/>
        <v>1900</v>
      </c>
      <c r="K958" t="str">
        <f t="shared" si="192"/>
        <v>1_1900</v>
      </c>
      <c r="S958" t="str">
        <f t="shared" si="183"/>
        <v/>
      </c>
      <c r="T958" s="64" t="str">
        <f t="shared" si="182"/>
        <v/>
      </c>
      <c r="AA958" t="str">
        <f t="shared" si="184"/>
        <v/>
      </c>
      <c r="AB958" s="64" t="str">
        <f t="shared" si="185"/>
        <v/>
      </c>
    </row>
    <row r="959" spans="1:28" x14ac:dyDescent="0.35">
      <c r="A959">
        <f>'Procurement Schedule'!R1077</f>
        <v>0</v>
      </c>
      <c r="B959" s="63">
        <f>'Procurement Schedule'!M1077</f>
        <v>0</v>
      </c>
      <c r="C959">
        <f t="shared" si="186"/>
        <v>1</v>
      </c>
      <c r="D959">
        <f t="shared" si="188"/>
        <v>1900</v>
      </c>
      <c r="E959" t="str">
        <f t="shared" si="189"/>
        <v>1_1900</v>
      </c>
      <c r="G959">
        <f t="shared" si="190"/>
        <v>0</v>
      </c>
      <c r="H959" s="63">
        <f>'Procurement Schedule'!N1077</f>
        <v>0</v>
      </c>
      <c r="I959">
        <f t="shared" si="187"/>
        <v>1</v>
      </c>
      <c r="J959">
        <f t="shared" si="191"/>
        <v>1900</v>
      </c>
      <c r="K959" t="str">
        <f t="shared" si="192"/>
        <v>1_1900</v>
      </c>
      <c r="S959" t="str">
        <f t="shared" si="183"/>
        <v/>
      </c>
      <c r="T959" s="64" t="str">
        <f t="shared" si="182"/>
        <v/>
      </c>
      <c r="AA959" t="str">
        <f t="shared" si="184"/>
        <v/>
      </c>
      <c r="AB959" s="64" t="str">
        <f t="shared" si="185"/>
        <v/>
      </c>
    </row>
    <row r="960" spans="1:28" x14ac:dyDescent="0.35">
      <c r="A960">
        <f>'Procurement Schedule'!R1078</f>
        <v>0</v>
      </c>
      <c r="B960" s="63">
        <f>'Procurement Schedule'!M1078</f>
        <v>0</v>
      </c>
      <c r="C960">
        <f t="shared" si="186"/>
        <v>1</v>
      </c>
      <c r="D960">
        <f t="shared" si="188"/>
        <v>1900</v>
      </c>
      <c r="E960" t="str">
        <f t="shared" si="189"/>
        <v>1_1900</v>
      </c>
      <c r="G960">
        <f t="shared" si="190"/>
        <v>0</v>
      </c>
      <c r="H960" s="63">
        <f>'Procurement Schedule'!N1078</f>
        <v>0</v>
      </c>
      <c r="I960">
        <f t="shared" si="187"/>
        <v>1</v>
      </c>
      <c r="J960">
        <f t="shared" si="191"/>
        <v>1900</v>
      </c>
      <c r="K960" t="str">
        <f t="shared" si="192"/>
        <v>1_1900</v>
      </c>
      <c r="S960" t="str">
        <f t="shared" si="183"/>
        <v/>
      </c>
      <c r="T960" s="64" t="str">
        <f t="shared" si="182"/>
        <v/>
      </c>
      <c r="AA960" t="str">
        <f t="shared" si="184"/>
        <v/>
      </c>
      <c r="AB960" s="64" t="str">
        <f t="shared" si="185"/>
        <v/>
      </c>
    </row>
    <row r="961" spans="1:28" x14ac:dyDescent="0.35">
      <c r="A961">
        <f>'Procurement Schedule'!R1079</f>
        <v>0</v>
      </c>
      <c r="B961" s="63">
        <f>'Procurement Schedule'!M1079</f>
        <v>0</v>
      </c>
      <c r="C961">
        <f t="shared" si="186"/>
        <v>1</v>
      </c>
      <c r="D961">
        <f t="shared" si="188"/>
        <v>1900</v>
      </c>
      <c r="E961" t="str">
        <f t="shared" si="189"/>
        <v>1_1900</v>
      </c>
      <c r="G961">
        <f t="shared" si="190"/>
        <v>0</v>
      </c>
      <c r="H961" s="63">
        <f>'Procurement Schedule'!N1079</f>
        <v>0</v>
      </c>
      <c r="I961">
        <f t="shared" si="187"/>
        <v>1</v>
      </c>
      <c r="J961">
        <f t="shared" si="191"/>
        <v>1900</v>
      </c>
      <c r="K961" t="str">
        <f t="shared" si="192"/>
        <v>1_1900</v>
      </c>
      <c r="S961" t="str">
        <f t="shared" si="183"/>
        <v/>
      </c>
      <c r="T961" s="64" t="str">
        <f t="shared" si="182"/>
        <v/>
      </c>
      <c r="AA961" t="str">
        <f t="shared" si="184"/>
        <v/>
      </c>
      <c r="AB961" s="64" t="str">
        <f t="shared" si="185"/>
        <v/>
      </c>
    </row>
    <row r="962" spans="1:28" x14ac:dyDescent="0.35">
      <c r="A962">
        <f>'Procurement Schedule'!R1080</f>
        <v>0</v>
      </c>
      <c r="B962" s="63">
        <f>'Procurement Schedule'!M1080</f>
        <v>0</v>
      </c>
      <c r="C962">
        <f t="shared" si="186"/>
        <v>1</v>
      </c>
      <c r="D962">
        <f t="shared" si="188"/>
        <v>1900</v>
      </c>
      <c r="E962" t="str">
        <f t="shared" si="189"/>
        <v>1_1900</v>
      </c>
      <c r="G962">
        <f t="shared" si="190"/>
        <v>0</v>
      </c>
      <c r="H962" s="63">
        <f>'Procurement Schedule'!N1080</f>
        <v>0</v>
      </c>
      <c r="I962">
        <f t="shared" si="187"/>
        <v>1</v>
      </c>
      <c r="J962">
        <f t="shared" si="191"/>
        <v>1900</v>
      </c>
      <c r="K962" t="str">
        <f t="shared" si="192"/>
        <v>1_1900</v>
      </c>
      <c r="S962" t="str">
        <f t="shared" si="183"/>
        <v/>
      </c>
      <c r="T962" s="64" t="str">
        <f t="shared" si="182"/>
        <v/>
      </c>
      <c r="AA962" t="str">
        <f t="shared" si="184"/>
        <v/>
      </c>
      <c r="AB962" s="64" t="str">
        <f t="shared" si="185"/>
        <v/>
      </c>
    </row>
    <row r="963" spans="1:28" x14ac:dyDescent="0.35">
      <c r="A963">
        <f>'Procurement Schedule'!R1081</f>
        <v>0</v>
      </c>
      <c r="B963" s="63">
        <f>'Procurement Schedule'!M1081</f>
        <v>0</v>
      </c>
      <c r="C963">
        <f t="shared" si="186"/>
        <v>1</v>
      </c>
      <c r="D963">
        <f t="shared" si="188"/>
        <v>1900</v>
      </c>
      <c r="E963" t="str">
        <f t="shared" si="189"/>
        <v>1_1900</v>
      </c>
      <c r="G963">
        <f t="shared" si="190"/>
        <v>0</v>
      </c>
      <c r="H963" s="63">
        <f>'Procurement Schedule'!N1081</f>
        <v>0</v>
      </c>
      <c r="I963">
        <f t="shared" si="187"/>
        <v>1</v>
      </c>
      <c r="J963">
        <f t="shared" si="191"/>
        <v>1900</v>
      </c>
      <c r="K963" t="str">
        <f t="shared" si="192"/>
        <v>1_1900</v>
      </c>
      <c r="S963" t="str">
        <f t="shared" si="183"/>
        <v/>
      </c>
      <c r="T963" s="64" t="str">
        <f t="shared" si="182"/>
        <v/>
      </c>
      <c r="AA963" t="str">
        <f t="shared" si="184"/>
        <v/>
      </c>
      <c r="AB963" s="64" t="str">
        <f t="shared" si="185"/>
        <v/>
      </c>
    </row>
    <row r="964" spans="1:28" x14ac:dyDescent="0.35">
      <c r="A964">
        <f>'Procurement Schedule'!R1082</f>
        <v>0</v>
      </c>
      <c r="B964" s="63">
        <f>'Procurement Schedule'!M1082</f>
        <v>0</v>
      </c>
      <c r="C964">
        <f t="shared" si="186"/>
        <v>1</v>
      </c>
      <c r="D964">
        <f t="shared" si="188"/>
        <v>1900</v>
      </c>
      <c r="E964" t="str">
        <f t="shared" si="189"/>
        <v>1_1900</v>
      </c>
      <c r="G964">
        <f t="shared" si="190"/>
        <v>0</v>
      </c>
      <c r="H964" s="63">
        <f>'Procurement Schedule'!N1082</f>
        <v>0</v>
      </c>
      <c r="I964">
        <f t="shared" si="187"/>
        <v>1</v>
      </c>
      <c r="J964">
        <f t="shared" si="191"/>
        <v>1900</v>
      </c>
      <c r="K964" t="str">
        <f t="shared" si="192"/>
        <v>1_1900</v>
      </c>
      <c r="S964" t="str">
        <f t="shared" si="183"/>
        <v/>
      </c>
      <c r="T964" s="64" t="str">
        <f t="shared" si="182"/>
        <v/>
      </c>
      <c r="AA964" t="str">
        <f t="shared" si="184"/>
        <v/>
      </c>
      <c r="AB964" s="64" t="str">
        <f t="shared" si="185"/>
        <v/>
      </c>
    </row>
    <row r="965" spans="1:28" x14ac:dyDescent="0.35">
      <c r="A965">
        <f>'Procurement Schedule'!R1083</f>
        <v>0</v>
      </c>
      <c r="B965" s="63">
        <f>'Procurement Schedule'!M1083</f>
        <v>0</v>
      </c>
      <c r="C965">
        <f t="shared" si="186"/>
        <v>1</v>
      </c>
      <c r="D965">
        <f t="shared" si="188"/>
        <v>1900</v>
      </c>
      <c r="E965" t="str">
        <f t="shared" si="189"/>
        <v>1_1900</v>
      </c>
      <c r="G965">
        <f t="shared" si="190"/>
        <v>0</v>
      </c>
      <c r="H965" s="63">
        <f>'Procurement Schedule'!N1083</f>
        <v>0</v>
      </c>
      <c r="I965">
        <f t="shared" si="187"/>
        <v>1</v>
      </c>
      <c r="J965">
        <f t="shared" si="191"/>
        <v>1900</v>
      </c>
      <c r="K965" t="str">
        <f t="shared" si="192"/>
        <v>1_1900</v>
      </c>
      <c r="S965" t="str">
        <f t="shared" si="183"/>
        <v/>
      </c>
      <c r="T965" s="64" t="str">
        <f t="shared" ref="T965:T1000" si="193">IFERROR(VLOOKUP(Q965,AD:AE,2,0),"")</f>
        <v/>
      </c>
      <c r="AA965" t="str">
        <f t="shared" si="184"/>
        <v/>
      </c>
      <c r="AB965" s="64" t="str">
        <f t="shared" si="185"/>
        <v/>
      </c>
    </row>
    <row r="966" spans="1:28" x14ac:dyDescent="0.35">
      <c r="A966">
        <f>'Procurement Schedule'!R1084</f>
        <v>0</v>
      </c>
      <c r="B966" s="63">
        <f>'Procurement Schedule'!M1084</f>
        <v>0</v>
      </c>
      <c r="C966">
        <f t="shared" si="186"/>
        <v>1</v>
      </c>
      <c r="D966">
        <f t="shared" si="188"/>
        <v>1900</v>
      </c>
      <c r="E966" t="str">
        <f t="shared" si="189"/>
        <v>1_1900</v>
      </c>
      <c r="G966">
        <f t="shared" si="190"/>
        <v>0</v>
      </c>
      <c r="H966" s="63">
        <f>'Procurement Schedule'!N1084</f>
        <v>0</v>
      </c>
      <c r="I966">
        <f t="shared" si="187"/>
        <v>1</v>
      </c>
      <c r="J966">
        <f t="shared" si="191"/>
        <v>1900</v>
      </c>
      <c r="K966" t="str">
        <f t="shared" si="192"/>
        <v>1_1900</v>
      </c>
      <c r="S966" t="str">
        <f t="shared" si="183"/>
        <v/>
      </c>
      <c r="T966" s="64" t="str">
        <f t="shared" si="193"/>
        <v/>
      </c>
      <c r="AA966" t="str">
        <f t="shared" si="184"/>
        <v/>
      </c>
      <c r="AB966" s="64" t="str">
        <f t="shared" si="185"/>
        <v/>
      </c>
    </row>
    <row r="967" spans="1:28" x14ac:dyDescent="0.35">
      <c r="A967">
        <f>'Procurement Schedule'!R1085</f>
        <v>0</v>
      </c>
      <c r="B967" s="63">
        <f>'Procurement Schedule'!M1085</f>
        <v>0</v>
      </c>
      <c r="C967">
        <f t="shared" si="186"/>
        <v>1</v>
      </c>
      <c r="D967">
        <f t="shared" si="188"/>
        <v>1900</v>
      </c>
      <c r="E967" t="str">
        <f t="shared" si="189"/>
        <v>1_1900</v>
      </c>
      <c r="G967">
        <f t="shared" si="190"/>
        <v>0</v>
      </c>
      <c r="H967" s="63">
        <f>'Procurement Schedule'!N1085</f>
        <v>0</v>
      </c>
      <c r="I967">
        <f t="shared" si="187"/>
        <v>1</v>
      </c>
      <c r="J967">
        <f t="shared" si="191"/>
        <v>1900</v>
      </c>
      <c r="K967" t="str">
        <f t="shared" si="192"/>
        <v>1_1900</v>
      </c>
      <c r="S967" t="str">
        <f t="shared" si="183"/>
        <v/>
      </c>
      <c r="T967" s="64" t="str">
        <f t="shared" si="193"/>
        <v/>
      </c>
      <c r="AA967" t="str">
        <f t="shared" si="184"/>
        <v/>
      </c>
      <c r="AB967" s="64" t="str">
        <f t="shared" si="185"/>
        <v/>
      </c>
    </row>
    <row r="968" spans="1:28" x14ac:dyDescent="0.35">
      <c r="A968">
        <f>'Procurement Schedule'!R1086</f>
        <v>0</v>
      </c>
      <c r="B968" s="63">
        <f>'Procurement Schedule'!M1086</f>
        <v>0</v>
      </c>
      <c r="C968">
        <f t="shared" si="186"/>
        <v>1</v>
      </c>
      <c r="D968">
        <f t="shared" si="188"/>
        <v>1900</v>
      </c>
      <c r="E968" t="str">
        <f t="shared" si="189"/>
        <v>1_1900</v>
      </c>
      <c r="G968">
        <f t="shared" si="190"/>
        <v>0</v>
      </c>
      <c r="H968" s="63">
        <f>'Procurement Schedule'!N1086</f>
        <v>0</v>
      </c>
      <c r="I968">
        <f t="shared" si="187"/>
        <v>1</v>
      </c>
      <c r="J968">
        <f t="shared" si="191"/>
        <v>1900</v>
      </c>
      <c r="K968" t="str">
        <f t="shared" si="192"/>
        <v>1_1900</v>
      </c>
      <c r="S968" t="str">
        <f t="shared" si="183"/>
        <v/>
      </c>
      <c r="T968" s="64" t="str">
        <f t="shared" si="193"/>
        <v/>
      </c>
      <c r="AA968" t="str">
        <f t="shared" si="184"/>
        <v/>
      </c>
      <c r="AB968" s="64" t="str">
        <f t="shared" si="185"/>
        <v/>
      </c>
    </row>
    <row r="969" spans="1:28" x14ac:dyDescent="0.35">
      <c r="A969">
        <f>'Procurement Schedule'!R1087</f>
        <v>0</v>
      </c>
      <c r="B969" s="63">
        <f>'Procurement Schedule'!M1087</f>
        <v>0</v>
      </c>
      <c r="C969">
        <f t="shared" si="186"/>
        <v>1</v>
      </c>
      <c r="D969">
        <f t="shared" si="188"/>
        <v>1900</v>
      </c>
      <c r="E969" t="str">
        <f t="shared" si="189"/>
        <v>1_1900</v>
      </c>
      <c r="G969">
        <f t="shared" si="190"/>
        <v>0</v>
      </c>
      <c r="H969" s="63">
        <f>'Procurement Schedule'!N1087</f>
        <v>0</v>
      </c>
      <c r="I969">
        <f t="shared" si="187"/>
        <v>1</v>
      </c>
      <c r="J969">
        <f t="shared" si="191"/>
        <v>1900</v>
      </c>
      <c r="K969" t="str">
        <f t="shared" si="192"/>
        <v>1_1900</v>
      </c>
      <c r="S969" t="str">
        <f t="shared" ref="S969:S1000" si="194">IF(R969="","",S968+R969)</f>
        <v/>
      </c>
      <c r="T969" s="64" t="str">
        <f t="shared" si="193"/>
        <v/>
      </c>
      <c r="AA969" t="str">
        <f t="shared" si="184"/>
        <v/>
      </c>
      <c r="AB969" s="64" t="str">
        <f t="shared" si="185"/>
        <v/>
      </c>
    </row>
    <row r="970" spans="1:28" x14ac:dyDescent="0.35">
      <c r="A970">
        <f>'Procurement Schedule'!R1088</f>
        <v>0</v>
      </c>
      <c r="B970" s="63">
        <f>'Procurement Schedule'!M1088</f>
        <v>0</v>
      </c>
      <c r="C970">
        <f t="shared" si="186"/>
        <v>1</v>
      </c>
      <c r="D970">
        <f t="shared" si="188"/>
        <v>1900</v>
      </c>
      <c r="E970" t="str">
        <f t="shared" si="189"/>
        <v>1_1900</v>
      </c>
      <c r="G970">
        <f t="shared" si="190"/>
        <v>0</v>
      </c>
      <c r="H970" s="63">
        <f>'Procurement Schedule'!N1088</f>
        <v>0</v>
      </c>
      <c r="I970">
        <f t="shared" si="187"/>
        <v>1</v>
      </c>
      <c r="J970">
        <f t="shared" si="191"/>
        <v>1900</v>
      </c>
      <c r="K970" t="str">
        <f t="shared" si="192"/>
        <v>1_1900</v>
      </c>
      <c r="S970" t="str">
        <f t="shared" si="194"/>
        <v/>
      </c>
      <c r="T970" s="64" t="str">
        <f t="shared" si="193"/>
        <v/>
      </c>
      <c r="AA970" t="str">
        <f t="shared" ref="AA970:AA1000" si="195">IF(Z970="","",AA969+Z970)</f>
        <v/>
      </c>
      <c r="AB970" s="64" t="str">
        <f t="shared" ref="AB970:AB1000" si="196">IFERROR(VLOOKUP(Y970,AD:AE,2,0),"")</f>
        <v/>
      </c>
    </row>
    <row r="971" spans="1:28" x14ac:dyDescent="0.35">
      <c r="A971">
        <f>'Procurement Schedule'!R1089</f>
        <v>0</v>
      </c>
      <c r="B971" s="63">
        <f>'Procurement Schedule'!M1089</f>
        <v>0</v>
      </c>
      <c r="C971">
        <f t="shared" si="186"/>
        <v>1</v>
      </c>
      <c r="D971">
        <f t="shared" si="188"/>
        <v>1900</v>
      </c>
      <c r="E971" t="str">
        <f t="shared" si="189"/>
        <v>1_1900</v>
      </c>
      <c r="G971">
        <f t="shared" si="190"/>
        <v>0</v>
      </c>
      <c r="H971" s="63">
        <f>'Procurement Schedule'!N1089</f>
        <v>0</v>
      </c>
      <c r="I971">
        <f t="shared" si="187"/>
        <v>1</v>
      </c>
      <c r="J971">
        <f t="shared" si="191"/>
        <v>1900</v>
      </c>
      <c r="K971" t="str">
        <f t="shared" si="192"/>
        <v>1_1900</v>
      </c>
      <c r="S971" t="str">
        <f t="shared" si="194"/>
        <v/>
      </c>
      <c r="T971" s="64" t="str">
        <f t="shared" si="193"/>
        <v/>
      </c>
      <c r="AA971" t="str">
        <f t="shared" si="195"/>
        <v/>
      </c>
      <c r="AB971" s="64" t="str">
        <f t="shared" si="196"/>
        <v/>
      </c>
    </row>
    <row r="972" spans="1:28" x14ac:dyDescent="0.35">
      <c r="A972">
        <f>'Procurement Schedule'!R1090</f>
        <v>0</v>
      </c>
      <c r="B972" s="63">
        <f>'Procurement Schedule'!M1090</f>
        <v>0</v>
      </c>
      <c r="C972">
        <f t="shared" si="186"/>
        <v>1</v>
      </c>
      <c r="D972">
        <f t="shared" si="188"/>
        <v>1900</v>
      </c>
      <c r="E972" t="str">
        <f t="shared" si="189"/>
        <v>1_1900</v>
      </c>
      <c r="G972">
        <f t="shared" si="190"/>
        <v>0</v>
      </c>
      <c r="H972" s="63">
        <f>'Procurement Schedule'!N1090</f>
        <v>0</v>
      </c>
      <c r="I972">
        <f t="shared" si="187"/>
        <v>1</v>
      </c>
      <c r="J972">
        <f t="shared" si="191"/>
        <v>1900</v>
      </c>
      <c r="K972" t="str">
        <f t="shared" si="192"/>
        <v>1_1900</v>
      </c>
      <c r="S972" t="str">
        <f t="shared" si="194"/>
        <v/>
      </c>
      <c r="T972" s="64" t="str">
        <f t="shared" si="193"/>
        <v/>
      </c>
      <c r="AA972" t="str">
        <f t="shared" si="195"/>
        <v/>
      </c>
      <c r="AB972" s="64" t="str">
        <f t="shared" si="196"/>
        <v/>
      </c>
    </row>
    <row r="973" spans="1:28" x14ac:dyDescent="0.35">
      <c r="A973">
        <f>'Procurement Schedule'!R1091</f>
        <v>0</v>
      </c>
      <c r="B973" s="63">
        <f>'Procurement Schedule'!M1091</f>
        <v>0</v>
      </c>
      <c r="C973">
        <f t="shared" si="186"/>
        <v>1</v>
      </c>
      <c r="D973">
        <f t="shared" si="188"/>
        <v>1900</v>
      </c>
      <c r="E973" t="str">
        <f t="shared" si="189"/>
        <v>1_1900</v>
      </c>
      <c r="G973">
        <f t="shared" si="190"/>
        <v>0</v>
      </c>
      <c r="H973" s="63">
        <f>'Procurement Schedule'!N1091</f>
        <v>0</v>
      </c>
      <c r="I973">
        <f t="shared" si="187"/>
        <v>1</v>
      </c>
      <c r="J973">
        <f t="shared" si="191"/>
        <v>1900</v>
      </c>
      <c r="K973" t="str">
        <f t="shared" si="192"/>
        <v>1_1900</v>
      </c>
      <c r="S973" t="str">
        <f t="shared" si="194"/>
        <v/>
      </c>
      <c r="T973" s="64" t="str">
        <f t="shared" si="193"/>
        <v/>
      </c>
      <c r="AA973" t="str">
        <f t="shared" si="195"/>
        <v/>
      </c>
      <c r="AB973" s="64" t="str">
        <f t="shared" si="196"/>
        <v/>
      </c>
    </row>
    <row r="974" spans="1:28" x14ac:dyDescent="0.35">
      <c r="A974">
        <f>'Procurement Schedule'!R1092</f>
        <v>0</v>
      </c>
      <c r="B974" s="63">
        <f>'Procurement Schedule'!M1092</f>
        <v>0</v>
      </c>
      <c r="C974">
        <f t="shared" si="186"/>
        <v>1</v>
      </c>
      <c r="D974">
        <f t="shared" si="188"/>
        <v>1900</v>
      </c>
      <c r="E974" t="str">
        <f t="shared" si="189"/>
        <v>1_1900</v>
      </c>
      <c r="G974">
        <f t="shared" si="190"/>
        <v>0</v>
      </c>
      <c r="H974" s="63">
        <f>'Procurement Schedule'!N1092</f>
        <v>0</v>
      </c>
      <c r="I974">
        <f t="shared" si="187"/>
        <v>1</v>
      </c>
      <c r="J974">
        <f t="shared" si="191"/>
        <v>1900</v>
      </c>
      <c r="K974" t="str">
        <f t="shared" si="192"/>
        <v>1_1900</v>
      </c>
      <c r="S974" t="str">
        <f t="shared" si="194"/>
        <v/>
      </c>
      <c r="T974" s="64" t="str">
        <f t="shared" si="193"/>
        <v/>
      </c>
      <c r="AA974" t="str">
        <f t="shared" si="195"/>
        <v/>
      </c>
      <c r="AB974" s="64" t="str">
        <f t="shared" si="196"/>
        <v/>
      </c>
    </row>
    <row r="975" spans="1:28" x14ac:dyDescent="0.35">
      <c r="A975">
        <f>'Procurement Schedule'!R1093</f>
        <v>0</v>
      </c>
      <c r="B975" s="63">
        <f>'Procurement Schedule'!M1093</f>
        <v>0</v>
      </c>
      <c r="C975">
        <f t="shared" si="186"/>
        <v>1</v>
      </c>
      <c r="D975">
        <f t="shared" si="188"/>
        <v>1900</v>
      </c>
      <c r="E975" t="str">
        <f t="shared" si="189"/>
        <v>1_1900</v>
      </c>
      <c r="G975">
        <f t="shared" si="190"/>
        <v>0</v>
      </c>
      <c r="H975" s="63">
        <f>'Procurement Schedule'!N1093</f>
        <v>0</v>
      </c>
      <c r="I975">
        <f t="shared" si="187"/>
        <v>1</v>
      </c>
      <c r="J975">
        <f t="shared" si="191"/>
        <v>1900</v>
      </c>
      <c r="K975" t="str">
        <f t="shared" si="192"/>
        <v>1_1900</v>
      </c>
      <c r="S975" t="str">
        <f t="shared" si="194"/>
        <v/>
      </c>
      <c r="T975" s="64" t="str">
        <f t="shared" si="193"/>
        <v/>
      </c>
      <c r="AA975" t="str">
        <f t="shared" si="195"/>
        <v/>
      </c>
      <c r="AB975" s="64" t="str">
        <f t="shared" si="196"/>
        <v/>
      </c>
    </row>
    <row r="976" spans="1:28" x14ac:dyDescent="0.35">
      <c r="A976">
        <f>'Procurement Schedule'!R1094</f>
        <v>0</v>
      </c>
      <c r="B976" s="63">
        <f>'Procurement Schedule'!M1094</f>
        <v>0</v>
      </c>
      <c r="C976">
        <f t="shared" si="186"/>
        <v>1</v>
      </c>
      <c r="D976">
        <f t="shared" si="188"/>
        <v>1900</v>
      </c>
      <c r="E976" t="str">
        <f t="shared" si="189"/>
        <v>1_1900</v>
      </c>
      <c r="G976">
        <f t="shared" si="190"/>
        <v>0</v>
      </c>
      <c r="H976" s="63">
        <f>'Procurement Schedule'!N1094</f>
        <v>0</v>
      </c>
      <c r="I976">
        <f t="shared" si="187"/>
        <v>1</v>
      </c>
      <c r="J976">
        <f t="shared" si="191"/>
        <v>1900</v>
      </c>
      <c r="K976" t="str">
        <f t="shared" si="192"/>
        <v>1_1900</v>
      </c>
      <c r="S976" t="str">
        <f t="shared" si="194"/>
        <v/>
      </c>
      <c r="T976" s="64" t="str">
        <f t="shared" si="193"/>
        <v/>
      </c>
      <c r="AA976" t="str">
        <f t="shared" si="195"/>
        <v/>
      </c>
      <c r="AB976" s="64" t="str">
        <f t="shared" si="196"/>
        <v/>
      </c>
    </row>
    <row r="977" spans="1:28" x14ac:dyDescent="0.35">
      <c r="A977">
        <f>'Procurement Schedule'!R1095</f>
        <v>0</v>
      </c>
      <c r="B977" s="63">
        <f>'Procurement Schedule'!M1095</f>
        <v>0</v>
      </c>
      <c r="C977">
        <f t="shared" si="186"/>
        <v>1</v>
      </c>
      <c r="D977">
        <f t="shared" si="188"/>
        <v>1900</v>
      </c>
      <c r="E977" t="str">
        <f t="shared" si="189"/>
        <v>1_1900</v>
      </c>
      <c r="G977">
        <f t="shared" si="190"/>
        <v>0</v>
      </c>
      <c r="H977" s="63">
        <f>'Procurement Schedule'!N1095</f>
        <v>0</v>
      </c>
      <c r="I977">
        <f t="shared" si="187"/>
        <v>1</v>
      </c>
      <c r="J977">
        <f t="shared" si="191"/>
        <v>1900</v>
      </c>
      <c r="K977" t="str">
        <f t="shared" si="192"/>
        <v>1_1900</v>
      </c>
      <c r="S977" t="str">
        <f t="shared" si="194"/>
        <v/>
      </c>
      <c r="T977" s="64" t="str">
        <f t="shared" si="193"/>
        <v/>
      </c>
      <c r="AA977" t="str">
        <f t="shared" si="195"/>
        <v/>
      </c>
      <c r="AB977" s="64" t="str">
        <f t="shared" si="196"/>
        <v/>
      </c>
    </row>
    <row r="978" spans="1:28" x14ac:dyDescent="0.35">
      <c r="A978">
        <f>'Procurement Schedule'!R1096</f>
        <v>0</v>
      </c>
      <c r="B978" s="63">
        <f>'Procurement Schedule'!M1096</f>
        <v>0</v>
      </c>
      <c r="C978">
        <f t="shared" si="186"/>
        <v>1</v>
      </c>
      <c r="D978">
        <f t="shared" si="188"/>
        <v>1900</v>
      </c>
      <c r="E978" t="str">
        <f t="shared" si="189"/>
        <v>1_1900</v>
      </c>
      <c r="G978">
        <f t="shared" si="190"/>
        <v>0</v>
      </c>
      <c r="H978" s="63">
        <f>'Procurement Schedule'!N1096</f>
        <v>0</v>
      </c>
      <c r="I978">
        <f t="shared" si="187"/>
        <v>1</v>
      </c>
      <c r="J978">
        <f t="shared" si="191"/>
        <v>1900</v>
      </c>
      <c r="K978" t="str">
        <f t="shared" si="192"/>
        <v>1_1900</v>
      </c>
      <c r="S978" t="str">
        <f t="shared" si="194"/>
        <v/>
      </c>
      <c r="T978" s="64" t="str">
        <f t="shared" si="193"/>
        <v/>
      </c>
      <c r="AA978" t="str">
        <f t="shared" si="195"/>
        <v/>
      </c>
      <c r="AB978" s="64" t="str">
        <f t="shared" si="196"/>
        <v/>
      </c>
    </row>
    <row r="979" spans="1:28" x14ac:dyDescent="0.35">
      <c r="A979">
        <f>'Procurement Schedule'!R1097</f>
        <v>0</v>
      </c>
      <c r="B979" s="63">
        <f>'Procurement Schedule'!M1097</f>
        <v>0</v>
      </c>
      <c r="C979">
        <f t="shared" ref="C979:C984" si="197">MONTH(B979)</f>
        <v>1</v>
      </c>
      <c r="D979">
        <f t="shared" si="188"/>
        <v>1900</v>
      </c>
      <c r="E979" t="str">
        <f t="shared" si="189"/>
        <v>1_1900</v>
      </c>
      <c r="G979">
        <f t="shared" si="190"/>
        <v>0</v>
      </c>
      <c r="H979" s="63">
        <f>'Procurement Schedule'!N1097</f>
        <v>0</v>
      </c>
      <c r="I979">
        <f t="shared" si="187"/>
        <v>1</v>
      </c>
      <c r="J979">
        <f t="shared" si="191"/>
        <v>1900</v>
      </c>
      <c r="K979" t="str">
        <f t="shared" si="192"/>
        <v>1_1900</v>
      </c>
      <c r="S979" t="str">
        <f t="shared" si="194"/>
        <v/>
      </c>
      <c r="T979" s="64" t="str">
        <f t="shared" si="193"/>
        <v/>
      </c>
      <c r="AA979" t="str">
        <f t="shared" si="195"/>
        <v/>
      </c>
      <c r="AB979" s="64" t="str">
        <f t="shared" si="196"/>
        <v/>
      </c>
    </row>
    <row r="980" spans="1:28" x14ac:dyDescent="0.35">
      <c r="A980">
        <f>'Procurement Schedule'!R1098</f>
        <v>0</v>
      </c>
      <c r="B980" s="63">
        <f>'Procurement Schedule'!M1098</f>
        <v>0</v>
      </c>
      <c r="C980">
        <f t="shared" si="197"/>
        <v>1</v>
      </c>
      <c r="D980">
        <f t="shared" si="188"/>
        <v>1900</v>
      </c>
      <c r="E980" t="str">
        <f t="shared" si="189"/>
        <v>1_1900</v>
      </c>
      <c r="G980">
        <f t="shared" si="190"/>
        <v>0</v>
      </c>
      <c r="H980" s="63">
        <f>'Procurement Schedule'!N1098</f>
        <v>0</v>
      </c>
      <c r="I980">
        <f t="shared" ref="I980:I984" si="198">MONTH(H980)</f>
        <v>1</v>
      </c>
      <c r="J980">
        <f t="shared" si="191"/>
        <v>1900</v>
      </c>
      <c r="K980" t="str">
        <f t="shared" si="192"/>
        <v>1_1900</v>
      </c>
      <c r="S980" t="str">
        <f t="shared" si="194"/>
        <v/>
      </c>
      <c r="T980" s="64" t="str">
        <f t="shared" si="193"/>
        <v/>
      </c>
      <c r="AA980" t="str">
        <f t="shared" si="195"/>
        <v/>
      </c>
      <c r="AB980" s="64" t="str">
        <f t="shared" si="196"/>
        <v/>
      </c>
    </row>
    <row r="981" spans="1:28" x14ac:dyDescent="0.35">
      <c r="A981">
        <f>'Procurement Schedule'!R1099</f>
        <v>0</v>
      </c>
      <c r="B981" s="63">
        <f>'Procurement Schedule'!M1099</f>
        <v>0</v>
      </c>
      <c r="C981">
        <f t="shared" si="197"/>
        <v>1</v>
      </c>
      <c r="D981">
        <f t="shared" si="188"/>
        <v>1900</v>
      </c>
      <c r="E981" t="str">
        <f t="shared" si="189"/>
        <v>1_1900</v>
      </c>
      <c r="G981">
        <f t="shared" si="190"/>
        <v>0</v>
      </c>
      <c r="H981" s="63">
        <f>'Procurement Schedule'!N1099</f>
        <v>0</v>
      </c>
      <c r="I981">
        <f t="shared" si="198"/>
        <v>1</v>
      </c>
      <c r="J981">
        <f t="shared" si="191"/>
        <v>1900</v>
      </c>
      <c r="K981" t="str">
        <f t="shared" si="192"/>
        <v>1_1900</v>
      </c>
      <c r="S981" t="str">
        <f t="shared" si="194"/>
        <v/>
      </c>
      <c r="T981" s="64" t="str">
        <f t="shared" si="193"/>
        <v/>
      </c>
      <c r="AA981" t="str">
        <f t="shared" si="195"/>
        <v/>
      </c>
      <c r="AB981" s="64" t="str">
        <f t="shared" si="196"/>
        <v/>
      </c>
    </row>
    <row r="982" spans="1:28" x14ac:dyDescent="0.35">
      <c r="A982">
        <f>'Procurement Schedule'!R1100</f>
        <v>0</v>
      </c>
      <c r="B982" s="63">
        <f>'Procurement Schedule'!M1100</f>
        <v>0</v>
      </c>
      <c r="C982">
        <f t="shared" si="197"/>
        <v>1</v>
      </c>
      <c r="D982">
        <f t="shared" si="188"/>
        <v>1900</v>
      </c>
      <c r="E982" t="str">
        <f t="shared" si="189"/>
        <v>1_1900</v>
      </c>
      <c r="G982">
        <f t="shared" si="190"/>
        <v>0</v>
      </c>
      <c r="H982" s="63">
        <f>'Procurement Schedule'!N1100</f>
        <v>0</v>
      </c>
      <c r="I982">
        <f t="shared" si="198"/>
        <v>1</v>
      </c>
      <c r="J982">
        <f t="shared" si="191"/>
        <v>1900</v>
      </c>
      <c r="K982" t="str">
        <f t="shared" si="192"/>
        <v>1_1900</v>
      </c>
      <c r="S982" t="str">
        <f t="shared" si="194"/>
        <v/>
      </c>
      <c r="T982" s="64" t="str">
        <f t="shared" si="193"/>
        <v/>
      </c>
      <c r="AA982" t="str">
        <f t="shared" si="195"/>
        <v/>
      </c>
      <c r="AB982" s="64" t="str">
        <f t="shared" si="196"/>
        <v/>
      </c>
    </row>
    <row r="983" spans="1:28" x14ac:dyDescent="0.35">
      <c r="A983">
        <f>'Procurement Schedule'!R1101</f>
        <v>0</v>
      </c>
      <c r="B983" s="63">
        <f>'Procurement Schedule'!M1101</f>
        <v>0</v>
      </c>
      <c r="C983">
        <f t="shared" si="197"/>
        <v>1</v>
      </c>
      <c r="D983">
        <f t="shared" si="188"/>
        <v>1900</v>
      </c>
      <c r="E983" t="str">
        <f t="shared" si="189"/>
        <v>1_1900</v>
      </c>
      <c r="G983">
        <f t="shared" si="190"/>
        <v>0</v>
      </c>
      <c r="H983" s="63">
        <f>'Procurement Schedule'!N1101</f>
        <v>0</v>
      </c>
      <c r="I983">
        <f t="shared" si="198"/>
        <v>1</v>
      </c>
      <c r="J983">
        <f t="shared" si="191"/>
        <v>1900</v>
      </c>
      <c r="K983" t="str">
        <f t="shared" si="192"/>
        <v>1_1900</v>
      </c>
      <c r="S983" t="str">
        <f t="shared" si="194"/>
        <v/>
      </c>
      <c r="T983" s="64" t="str">
        <f t="shared" si="193"/>
        <v/>
      </c>
      <c r="AA983" t="str">
        <f t="shared" si="195"/>
        <v/>
      </c>
      <c r="AB983" s="64" t="str">
        <f t="shared" si="196"/>
        <v/>
      </c>
    </row>
    <row r="984" spans="1:28" x14ac:dyDescent="0.35">
      <c r="A984">
        <f>'Procurement Schedule'!R1102</f>
        <v>0</v>
      </c>
      <c r="B984" s="63">
        <f>'Procurement Schedule'!M1102</f>
        <v>0</v>
      </c>
      <c r="C984">
        <f t="shared" si="197"/>
        <v>1</v>
      </c>
      <c r="D984">
        <f t="shared" si="188"/>
        <v>1900</v>
      </c>
      <c r="E984" t="str">
        <f t="shared" si="189"/>
        <v>1_1900</v>
      </c>
      <c r="G984">
        <f t="shared" si="190"/>
        <v>0</v>
      </c>
      <c r="H984" s="63">
        <f>'Procurement Schedule'!N1102</f>
        <v>0</v>
      </c>
      <c r="I984">
        <f t="shared" si="198"/>
        <v>1</v>
      </c>
      <c r="J984">
        <f t="shared" si="191"/>
        <v>1900</v>
      </c>
      <c r="K984" t="str">
        <f t="shared" si="192"/>
        <v>1_1900</v>
      </c>
      <c r="S984" t="str">
        <f t="shared" si="194"/>
        <v/>
      </c>
      <c r="T984" s="64" t="str">
        <f t="shared" si="193"/>
        <v/>
      </c>
      <c r="AA984" t="str">
        <f t="shared" si="195"/>
        <v/>
      </c>
      <c r="AB984" s="64" t="str">
        <f t="shared" si="196"/>
        <v/>
      </c>
    </row>
    <row r="985" spans="1:28" x14ac:dyDescent="0.35">
      <c r="B985" s="63"/>
      <c r="H985" s="63"/>
      <c r="S985" t="str">
        <f t="shared" si="194"/>
        <v/>
      </c>
      <c r="T985" s="64" t="str">
        <f t="shared" si="193"/>
        <v/>
      </c>
      <c r="AA985" t="str">
        <f t="shared" si="195"/>
        <v/>
      </c>
      <c r="AB985" s="64" t="str">
        <f t="shared" si="196"/>
        <v/>
      </c>
    </row>
    <row r="986" spans="1:28" x14ac:dyDescent="0.35">
      <c r="B986" s="63"/>
      <c r="H986" s="63"/>
      <c r="S986" t="str">
        <f t="shared" si="194"/>
        <v/>
      </c>
      <c r="T986" s="64" t="str">
        <f t="shared" si="193"/>
        <v/>
      </c>
      <c r="AA986" t="str">
        <f t="shared" si="195"/>
        <v/>
      </c>
      <c r="AB986" s="64" t="str">
        <f t="shared" si="196"/>
        <v/>
      </c>
    </row>
    <row r="987" spans="1:28" x14ac:dyDescent="0.35">
      <c r="B987" s="63"/>
      <c r="H987" s="63"/>
      <c r="S987" t="str">
        <f t="shared" si="194"/>
        <v/>
      </c>
      <c r="T987" s="64" t="str">
        <f t="shared" si="193"/>
        <v/>
      </c>
      <c r="AA987" t="str">
        <f t="shared" si="195"/>
        <v/>
      </c>
      <c r="AB987" s="64" t="str">
        <f t="shared" si="196"/>
        <v/>
      </c>
    </row>
    <row r="988" spans="1:28" x14ac:dyDescent="0.35">
      <c r="B988" s="63"/>
      <c r="H988" s="63"/>
      <c r="S988" t="str">
        <f t="shared" si="194"/>
        <v/>
      </c>
      <c r="T988" s="64" t="str">
        <f t="shared" si="193"/>
        <v/>
      </c>
      <c r="AA988" t="str">
        <f t="shared" si="195"/>
        <v/>
      </c>
      <c r="AB988" s="64" t="str">
        <f t="shared" si="196"/>
        <v/>
      </c>
    </row>
    <row r="989" spans="1:28" x14ac:dyDescent="0.35">
      <c r="B989" s="63"/>
      <c r="H989" s="63"/>
      <c r="S989" t="str">
        <f t="shared" si="194"/>
        <v/>
      </c>
      <c r="T989" s="64" t="str">
        <f t="shared" si="193"/>
        <v/>
      </c>
      <c r="AA989" t="str">
        <f t="shared" si="195"/>
        <v/>
      </c>
      <c r="AB989" s="64" t="str">
        <f t="shared" si="196"/>
        <v/>
      </c>
    </row>
    <row r="990" spans="1:28" x14ac:dyDescent="0.35">
      <c r="B990" s="63"/>
      <c r="H990" s="63"/>
      <c r="S990" t="str">
        <f t="shared" si="194"/>
        <v/>
      </c>
      <c r="T990" s="64" t="str">
        <f t="shared" si="193"/>
        <v/>
      </c>
      <c r="AA990" t="str">
        <f t="shared" si="195"/>
        <v/>
      </c>
      <c r="AB990" s="64" t="str">
        <f t="shared" si="196"/>
        <v/>
      </c>
    </row>
    <row r="991" spans="1:28" x14ac:dyDescent="0.35">
      <c r="B991" s="63"/>
      <c r="H991" s="63"/>
      <c r="S991" t="str">
        <f t="shared" si="194"/>
        <v/>
      </c>
      <c r="T991" s="64" t="str">
        <f t="shared" si="193"/>
        <v/>
      </c>
      <c r="AA991" t="str">
        <f t="shared" si="195"/>
        <v/>
      </c>
      <c r="AB991" s="64" t="str">
        <f t="shared" si="196"/>
        <v/>
      </c>
    </row>
    <row r="992" spans="1:28" x14ac:dyDescent="0.35">
      <c r="B992" s="63"/>
      <c r="H992" s="63"/>
      <c r="S992" t="str">
        <f t="shared" si="194"/>
        <v/>
      </c>
      <c r="T992" s="64" t="str">
        <f t="shared" si="193"/>
        <v/>
      </c>
      <c r="AA992" t="str">
        <f t="shared" si="195"/>
        <v/>
      </c>
      <c r="AB992" s="64" t="str">
        <f t="shared" si="196"/>
        <v/>
      </c>
    </row>
    <row r="993" spans="2:28" x14ac:dyDescent="0.35">
      <c r="B993" s="63"/>
      <c r="H993" s="63"/>
      <c r="S993" t="str">
        <f t="shared" si="194"/>
        <v/>
      </c>
      <c r="T993" s="64" t="str">
        <f t="shared" si="193"/>
        <v/>
      </c>
      <c r="AA993" t="str">
        <f t="shared" si="195"/>
        <v/>
      </c>
      <c r="AB993" s="64" t="str">
        <f t="shared" si="196"/>
        <v/>
      </c>
    </row>
    <row r="994" spans="2:28" x14ac:dyDescent="0.35">
      <c r="B994" s="63"/>
      <c r="H994" s="63"/>
      <c r="S994" t="str">
        <f t="shared" si="194"/>
        <v/>
      </c>
      <c r="T994" s="64" t="str">
        <f t="shared" si="193"/>
        <v/>
      </c>
      <c r="AA994" t="str">
        <f t="shared" si="195"/>
        <v/>
      </c>
      <c r="AB994" s="64" t="str">
        <f t="shared" si="196"/>
        <v/>
      </c>
    </row>
    <row r="995" spans="2:28" x14ac:dyDescent="0.35">
      <c r="B995" s="63"/>
      <c r="H995" s="63"/>
      <c r="S995" t="str">
        <f t="shared" si="194"/>
        <v/>
      </c>
      <c r="T995" s="64" t="str">
        <f t="shared" si="193"/>
        <v/>
      </c>
      <c r="AA995" t="str">
        <f t="shared" si="195"/>
        <v/>
      </c>
      <c r="AB995" s="64" t="str">
        <f t="shared" si="196"/>
        <v/>
      </c>
    </row>
    <row r="996" spans="2:28" x14ac:dyDescent="0.35">
      <c r="B996" s="63"/>
      <c r="H996" s="63"/>
      <c r="S996" t="str">
        <f t="shared" si="194"/>
        <v/>
      </c>
      <c r="T996" s="64" t="str">
        <f t="shared" si="193"/>
        <v/>
      </c>
      <c r="AA996" t="str">
        <f t="shared" si="195"/>
        <v/>
      </c>
      <c r="AB996" s="64" t="str">
        <f t="shared" si="196"/>
        <v/>
      </c>
    </row>
    <row r="997" spans="2:28" x14ac:dyDescent="0.35">
      <c r="B997" s="63"/>
      <c r="H997" s="63"/>
      <c r="S997" t="str">
        <f t="shared" si="194"/>
        <v/>
      </c>
      <c r="T997" s="64" t="str">
        <f t="shared" si="193"/>
        <v/>
      </c>
      <c r="AA997" t="str">
        <f t="shared" si="195"/>
        <v/>
      </c>
      <c r="AB997" s="64" t="str">
        <f t="shared" si="196"/>
        <v/>
      </c>
    </row>
    <row r="998" spans="2:28" x14ac:dyDescent="0.35">
      <c r="B998" s="63"/>
      <c r="H998" s="63"/>
      <c r="S998" t="str">
        <f t="shared" si="194"/>
        <v/>
      </c>
      <c r="T998" s="64" t="str">
        <f t="shared" si="193"/>
        <v/>
      </c>
      <c r="AA998" t="str">
        <f t="shared" si="195"/>
        <v/>
      </c>
      <c r="AB998" s="64" t="str">
        <f t="shared" si="196"/>
        <v/>
      </c>
    </row>
    <row r="999" spans="2:28" x14ac:dyDescent="0.35">
      <c r="B999" s="63"/>
      <c r="H999" s="63"/>
      <c r="S999" t="str">
        <f t="shared" si="194"/>
        <v/>
      </c>
      <c r="T999" s="64" t="str">
        <f t="shared" si="193"/>
        <v/>
      </c>
      <c r="AA999" t="str">
        <f t="shared" si="195"/>
        <v/>
      </c>
      <c r="AB999" s="64" t="str">
        <f t="shared" si="196"/>
        <v/>
      </c>
    </row>
    <row r="1000" spans="2:28" x14ac:dyDescent="0.35">
      <c r="B1000" s="63"/>
      <c r="H1000" s="63"/>
      <c r="S1000" t="str">
        <f t="shared" si="194"/>
        <v/>
      </c>
      <c r="T1000" s="64" t="str">
        <f t="shared" si="193"/>
        <v/>
      </c>
      <c r="AA1000" t="str">
        <f t="shared" si="195"/>
        <v/>
      </c>
      <c r="AB1000" s="64" t="str">
        <f t="shared" si="196"/>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9EC44-EEE3-4B84-B9F0-41736708A68C}">
  <dimension ref="A4:AB13"/>
  <sheetViews>
    <sheetView showGridLines="0" zoomScale="70" zoomScaleNormal="70" workbookViewId="0">
      <selection activeCell="AD6" sqref="AD6"/>
    </sheetView>
  </sheetViews>
  <sheetFormatPr defaultColWidth="8.6640625" defaultRowHeight="12.75" outlineLevelCol="1" x14ac:dyDescent="0.35"/>
  <cols>
    <col min="1" max="1" width="61.1328125" bestFit="1" customWidth="1" outlineLevel="1"/>
    <col min="2" max="2" width="13.53125" bestFit="1" customWidth="1" outlineLevel="1"/>
    <col min="3" max="3" width="2.86328125" bestFit="1" customWidth="1"/>
    <col min="4" max="4" width="57" bestFit="1" customWidth="1"/>
    <col min="5" max="5" width="10.6640625" bestFit="1" customWidth="1"/>
    <col min="7" max="7" width="6" customWidth="1"/>
    <col min="8" max="11" width="8.6640625" hidden="1" customWidth="1"/>
    <col min="14" max="14" width="11.6640625" bestFit="1" customWidth="1"/>
    <col min="17" max="17" width="4.1328125" customWidth="1"/>
    <col min="18" max="20" width="8.6640625" hidden="1" customWidth="1"/>
    <col min="25" max="25" width="3.86328125" customWidth="1"/>
    <col min="26" max="28" width="8.6640625" hidden="1" customWidth="1"/>
    <col min="30" max="30" width="4.46484375" customWidth="1"/>
  </cols>
  <sheetData>
    <row r="4" spans="1:2" x14ac:dyDescent="0.35">
      <c r="A4" s="56"/>
      <c r="B4" s="57" t="s">
        <v>48</v>
      </c>
    </row>
    <row r="5" spans="1:2" x14ac:dyDescent="0.35">
      <c r="A5" s="56" t="s">
        <v>49</v>
      </c>
      <c r="B5" s="58" t="e">
        <f>#REF!+#REF!</f>
        <v>#REF!</v>
      </c>
    </row>
    <row r="6" spans="1:2" x14ac:dyDescent="0.35">
      <c r="A6" s="56"/>
      <c r="B6" s="57"/>
    </row>
    <row r="7" spans="1:2" ht="13.15" x14ac:dyDescent="0.4">
      <c r="A7" s="56" t="s">
        <v>50</v>
      </c>
      <c r="B7" s="57"/>
    </row>
    <row r="8" spans="1:2" ht="13.15" x14ac:dyDescent="0.4">
      <c r="A8" s="59" t="s">
        <v>51</v>
      </c>
      <c r="B8" s="57"/>
    </row>
    <row r="9" spans="1:2" x14ac:dyDescent="0.35">
      <c r="A9" s="56"/>
      <c r="B9" s="57"/>
    </row>
    <row r="10" spans="1:2" ht="13.15" x14ac:dyDescent="0.4">
      <c r="A10" s="56" t="s">
        <v>52</v>
      </c>
      <c r="B10" s="60" t="e">
        <f>#REF!+#REF!+#REF!+#REF!</f>
        <v>#REF!</v>
      </c>
    </row>
    <row r="11" spans="1:2" x14ac:dyDescent="0.35">
      <c r="B11" s="61" t="e">
        <f>SUM(B5:B10)</f>
        <v>#REF!</v>
      </c>
    </row>
    <row r="13" spans="1:2" x14ac:dyDescent="0.35">
      <c r="B13" s="61">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C4ITApprovalDate xmlns="9b5e3183-1c41-493a-828b-cc05ff6f8edf">2025-09-23T05:03:13+00:00</C4ITApprovalDate>
    <C4ITPrimaryProcess xmlns="9b5e3183-1c41-493a-828b-cc05ff6f8edf">44</C4ITPrimaryProcess>
    <C4ITDocumentInfo xmlns="9b5e3183-1c41-493a-828b-cc05ff6f8edf">AN01 - Harmonogram zakupów</C4ITDocumentInfo>
    <C4ITWorkAttachments xmlns="9b5e3183-1c41-493a-828b-cc05ff6f8edf" xsi:nil="true"/>
    <C4ITExaminationPeriod xmlns="9b5e3183-1c41-493a-828b-cc05ff6f8edf" xsi:nil="true"/>
    <C4ITAllLanguages xmlns="9b5e3183-1c41-493a-828b-cc05ff6f8edf">false</C4ITAllLanguages>
    <C4ITAssetnumber xmlns="9b5e3183-1c41-493a-828b-cc05ff6f8edf">AN01</C4ITAssetnumber>
    <C4ITKHBLevel2 xmlns="9b5e3183-1c41-493a-828b-cc05ff6f8edf">322</C4ITKHBLevel2>
    <C4ITTopic xmlns="9b5e3183-1c41-493a-828b-cc05ff6f8edf" xsi:nil="true"/>
    <C4ITTopicTXT xmlns="9b5e3183-1c41-493a-828b-cc05ff6f8edf" xsi:nil="true"/>
    <C4ITDocumentNumber xmlns="9b5e3183-1c41-493a-828b-cc05ff6f8edf">QM01562</C4ITDocumentNumber>
    <C4ITHighBuilding xmlns="9b5e3183-1c41-493a-828b-cc05ff6f8edf">
      <Value>1</Value>
      <Value>10</Value>
      <Value>5</Value>
      <Value>11</Value>
      <Value>9</Value>
      <Value>6</Value>
      <Value>14</Value>
      <Value>7</Value>
      <Value>34</Value>
      <Value>16</Value>
      <Value>8</Value>
    </C4ITHighBuilding>
    <C4ITOneLevelApproval xmlns="9b5e3183-1c41-493a-828b-cc05ff6f8edf">false</C4ITOneLevelApproval>
    <C4ITRestrictedFor xmlns="9b5e3183-1c41-493a-828b-cc05ff6f8edf">
      <UserInfo>
        <DisplayName/>
        <AccountId xsi:nil="true"/>
        <AccountType/>
      </UserInfo>
    </C4ITRestrictedFor>
    <C4ITSpecialHeavyBuidling xmlns="9b5e3183-1c41-493a-828b-cc05ff6f8edf">
      <Value>1</Value>
      <Value>10</Value>
      <Value>5</Value>
      <Value>11</Value>
      <Value>9</Value>
      <Value>6</Value>
      <Value>14</Value>
      <Value>7</Value>
      <Value>34</Value>
      <Value>16</Value>
      <Value>8</Value>
    </C4ITSpecialHeavyBuidling>
    <C4ITTray xmlns="9b5e3183-1c41-493a-828b-cc05ff6f8edf" xsi:nil="true"/>
    <C4ITFields2 xmlns="9b5e3183-1c41-493a-828b-cc05ff6f8edf" xsi:nil="true"/>
    <C4ITUpdateCountries xmlns="9b5e3183-1c41-493a-828b-cc05ff6f8edf">false</C4ITUpdateCountries>
    <C4ITSpecialHeavyBuidlingTXT xmlns="9b5e3183-1c41-493a-828b-cc05ff6f8edf" xsi:nil="true"/>
    <C4ITDocumentType xmlns="9b5e3183-1c41-493a-828b-cc05ff6f8edf">17</C4ITDocumentType>
    <C4ITDocumentLanguage xmlns="9b5e3183-1c41-493a-828b-cc05ff6f8edf">
      <Value>47</Value>
    </C4ITDocumentLanguage>
    <C4ITHasNotice xmlns="9b5e3183-1c41-493a-828b-cc05ff6f8edf">false</C4ITHasNotice>
    <C4ITMain xmlns="9b5e3183-1c41-493a-828b-cc05ff6f8edf">QM01560</C4ITMain>
    <C4ITCollectionValidation xmlns="9b5e3183-1c41-493a-828b-cc05ff6f8edf">false</C4ITCollectionValidation>
    <C4ITAcrossGroup xmlns="9b5e3183-1c41-493a-828b-cc05ff6f8edf">false</C4ITAcrossGroup>
    <C4ITKHBLevel1 xmlns="9b5e3183-1c41-493a-828b-cc05ff6f8edf">112</C4ITKHBLevel1>
    <C4ITDocumentNameOld xmlns="9b5e3183-1c41-493a-828b-cc05ff6f8edf">Procurement_schedule_PL.xlsx</C4ITDocumentNameOld>
    <C4ITIsAtt xmlns="9b5e3183-1c41-493a-828b-cc05ff6f8edf">true</C4ITIsAtt>
    <C4ITAttachments xmlns="9b5e3183-1c41-493a-828b-cc05ff6f8edf" xsi:nil="true"/>
    <C4ITCraft xmlns="9b5e3183-1c41-493a-828b-cc05ff6f8edf" xsi:nil="true"/>
    <C4ITIVShort xmlns="9b5e3183-1c41-493a-828b-cc05ff6f8edf">PRO/Land PL</C4ITIVShort>
    <C4ITCreator xmlns="9b5e3183-1c41-493a-828b-cc05ff6f8edf">
      <UserInfo>
        <DisplayName/>
        <AccountId xsi:nil="true"/>
        <AccountType/>
      </UserInfo>
    </C4ITCreator>
    <C4ITCountries xmlns="9b5e3183-1c41-493a-828b-cc05ff6f8edf">
      <Value>1</Value>
      <Value>10</Value>
      <Value>5</Value>
      <Value>11</Value>
      <Value>9</Value>
      <Value>6</Value>
      <Value>14</Value>
      <Value>7</Value>
      <Value>34</Value>
      <Value>16</Value>
      <Value>8</Value>
    </C4ITCountries>
    <C4ITQMProcess xmlns="9b5e3183-1c41-493a-828b-cc05ff6f8edf">5</C4ITQMProcess>
    <C4ITSSC xmlns="9b5e3183-1c41-493a-828b-cc05ff6f8edf">8</C4ITSSC>
    <C4ITVers xmlns="9b5e3183-1c41-493a-828b-cc05ff6f8edf">D</C4ITVers>
    <C4ITWorkFeedback xmlns="9b5e3183-1c41-493a-828b-cc05ff6f8edf">
      <Url xsi:nil="true"/>
      <Description xsi:nil="true"/>
    </C4ITWorkFeedback>
    <C4ITComment xmlns="9b5e3183-1c41-493a-828b-cc05ff6f8edf">01 interne Prüfung/internal validation, Skolarus Rafal (01 Genehmigen / Approve): 
02 Freigabe durch Redaktion/Release by editors, Redaktion (01 Genehmigen / Approve): 
02 Freigabe durch Redaktion/Release by editors, Redaktion (01 Genehmigen / Approve): </C4ITComment>
    <C4ITContentResponsible1 xmlns="9b5e3183-1c41-493a-828b-cc05ff6f8edf">6</C4ITContentResponsible1>
    <C4ITHeavyBuidling xmlns="9b5e3183-1c41-493a-828b-cc05ff6f8edf">
      <Value>1</Value>
      <Value>10</Value>
      <Value>5</Value>
      <Value>11</Value>
      <Value>9</Value>
      <Value>6</Value>
      <Value>14</Value>
      <Value>7</Value>
      <Value>34</Value>
      <Value>16</Value>
      <Value>8</Value>
    </C4ITHeavyBuidling>
    <C4ITDocTitleEndo xmlns="9b5e3183-1c41-493a-828b-cc05ff6f8edf">Harmonogram zakupów</C4ITDocTitleEndo>
    <C4ITDocTitleGer xmlns="9b5e3183-1c41-493a-828b-cc05ff6f8edf">Vergabeterminplan</C4ITDocTitleGer>
    <C4ITFeedback xmlns="9b5e3183-1c41-493a-828b-cc05ff6f8edf">
      <Url xsi:nil="true"/>
      <Description xsi:nil="true"/>
    </C4ITFeedback>
    <C4ITFirstValidation xmlns="9b5e3183-1c41-493a-828b-cc05ff6f8edf">true</C4ITFirstValidation>
    <C4IThierarchy xmlns="9b5e3183-1c41-493a-828b-cc05ff6f8edf">1</C4IThierarchy>
    <C4ITEditorial xmlns="9b5e3183-1c41-493a-828b-cc05ff6f8edf" xsi:nil="true"/>
    <C4ITTitleAS xmlns="9b5e3183-1c41-493a-828b-cc05ff6f8edf" xsi:nil="true"/>
    <C4ITExaminationStart xmlns="9b5e3183-1c41-493a-828b-cc05ff6f8edf">2020-02-04T23:00:00+00:00</C4ITExaminationStart>
    <C4ITWorkflowOutcome xmlns="9b5e3183-1c41-493a-828b-cc05ff6f8edf">1</C4ITWorkflowOutcome>
    <C4ITNoApproval xmlns="9b5e3183-1c41-493a-828b-cc05ff6f8edf">false</C4ITNoApproval>
    <C4ITValidator xmlns="9b5e3183-1c41-493a-828b-cc05ff6f8edf">
      <UserInfo>
        <DisplayName>Skolarus Rafal</DisplayName>
        <AccountId>43</AccountId>
        <AccountType/>
      </UserInfo>
    </C4ITValidator>
    <C4ITAdditionalDocuments xmlns="9b5e3183-1c41-493a-828b-cc05ff6f8edf" xsi:nil="true"/>
    <C4ITCategorieQMPlan xmlns="9b5e3183-1c41-493a-828b-cc05ff6f8edf">
      <Value>3</Value>
      <Value>2</Value>
    </C4ITCategorieQMPlan>
    <C4ITDocumentVersion xmlns="9b5e3183-1c41-493a-828b-cc05ff6f8edf">5</C4ITDocumentVersion>
    <C4ITState xmlns="9b5e3183-1c41-493a-828b-cc05ff6f8edf">4</C4ITState>
    <C4ITFields xmlns="9b5e3183-1c41-493a-828b-cc05ff6f8edf" xsi:nil="true"/>
    <C4ITPDFConversion xmlns="9b5e3183-1c41-493a-828b-cc05ff6f8edf">true</C4ITPDFConversion>
    <C4ITOrganisation xmlns="9b5e3183-1c41-493a-828b-cc05ff6f8edf" xsi:nil="true"/>
    <C4ITCourseOfEvents xmlns="9b5e3183-1c41-493a-828b-cc05ff6f8edf" xsi:nil="true"/>
    <C4ITQMSubProcessTXT xmlns="9b5e3183-1c41-493a-828b-cc05ff6f8edf" xsi:nil="true"/>
    <C4ITCraftTXT xmlns="9b5e3183-1c41-493a-828b-cc05ff6f8edf" xsi:nil="true"/>
    <C4ITNotice xmlns="9b5e3183-1c41-493a-828b-cc05ff6f8edf">
      <UserInfo>
        <DisplayName/>
        <AccountId xsi:nil="true"/>
        <AccountType/>
      </UserInfo>
    </C4ITNotice>
    <C4ITIntExt xmlns="9b5e3183-1c41-493a-828b-cc05ff6f8edf">false</C4ITIntExt>
    <C4ITScope xmlns="9b5e3183-1c41-493a-828b-cc05ff6f8edf">
      <Value>21</Value>
      <Value>23</Value>
      <Value>25</Value>
      <Value>26</Value>
      <Value>27</Value>
    </C4ITScope>
    <C4ITDistribution xmlns="9b5e3183-1c41-493a-828b-cc05ff6f8edf">
      <UserInfo>
        <DisplayName/>
        <AccountId xsi:nil="true"/>
        <AccountType/>
      </UserInfo>
    </C4ITDistribution>
    <C4ITLanguage xmlns="9b5e3183-1c41-493a-828b-cc05ff6f8edf">QM01560_47</C4ITLanguage>
    <SharedWithDetails xmlns="9b5e3183-1c41-493a-828b-cc05ff6f8edf" xsi:nil="true"/>
    <C4ITToDo xmlns="9b5e3183-1c41-493a-828b-cc05ff6f8edf">true</C4ITToDo>
    <C4ITDocumentLanguageTXT xmlns="9b5e3183-1c41-493a-828b-cc05ff6f8edf" xsi:nil="true"/>
    <C4ITApprover xmlns="9b5e3183-1c41-493a-828b-cc05ff6f8edf">
      <UserInfo>
        <DisplayName/>
        <AccountId xsi:nil="true"/>
        <AccountType/>
      </UserInfo>
    </C4ITApprover>
    <C4ITEditPermission xmlns="9b5e3183-1c41-493a-828b-cc05ff6f8edf">
      <UserInfo>
        <DisplayName/>
        <AccountId xsi:nil="true"/>
        <AccountType/>
      </UserInfo>
    </C4ITEditPermission>
    <C4ITPreApprovalCompleted xmlns="9b5e3183-1c41-493a-828b-cc05ff6f8edf">false</C4ITPreApprovalCompleted>
    <C4ITResponsible xmlns="9b5e3183-1c41-493a-828b-cc05ff6f8edf">
      <UserInfo>
        <DisplayName>Mroczkowska Magdalena</DisplayName>
        <AccountId>5033</AccountId>
        <AccountType/>
      </UserInfo>
    </C4ITResponsible>
    <C4ITQMSubProcess xmlns="9b5e3183-1c41-493a-828b-cc05ff6f8edf">23</C4ITQMSubProcess>
    <C4ITSupporting xmlns="9b5e3183-1c41-493a-828b-cc05ff6f8edf">false</C4ITSupporting>
    <C4ITValidationDate xmlns="9b5e3183-1c41-493a-828b-cc05ff6f8edf">2024-05-08T14:56:20+00:00</C4ITValidationDate>
    <SharedWithUsers xmlns="9b5e3183-1c41-493a-828b-cc05ff6f8edf">
      <UserInfo>
        <DisplayName/>
        <AccountId xsi:nil="true"/>
        <AccountType/>
      </UserInfo>
    </SharedWithUsers>
    <C4ITValidFrom xmlns="9b5e3183-1c41-493a-828b-cc05ff6f8edf">2025-09-22T22:00:00+00:00</C4ITValidFrom>
    <C4ITEnviromentEngineering xmlns="9b5e3183-1c41-493a-828b-cc05ff6f8edf">
      <Value>1</Value>
      <Value>10</Value>
      <Value>5</Value>
      <Value>11</Value>
      <Value>9</Value>
      <Value>6</Value>
      <Value>14</Value>
      <Value>7</Value>
      <Value>34</Value>
      <Value>16</Value>
      <Value>8</Value>
    </C4ITEnviromentEngineering>
    <C4ITRemark xmlns="9b5e3183-1c41-493a-828b-cc05ff6f8edf" xsi:nil="true"/>
    <C4ITKeyWord xmlns="9b5e3183-1c41-493a-828b-cc05ff6f8edf">
      <Value>964</Value>
      <Value>963</Value>
      <Value>961</Value>
      <Value>962</Value>
    </C4ITKeyWord>
    <C4ITEnviromentEngineeringTXT xmlns="9b5e3183-1c41-493a-828b-cc05ff6f8edf" xsi:nil="true"/>
    <C4ITFirstApproval xmlns="9b5e3183-1c41-493a-828b-cc05ff6f8edf">true</C4ITFirstApproval>
    <C4ITQMPlanDocument xmlns="9b5e3183-1c41-493a-828b-cc05ff6f8edf">true</C4ITQMPlanDocument>
    <C4ITCountriesTXT xmlns="9b5e3183-1c41-493a-828b-cc05ff6f8edf" xsi:nil="true"/>
    <C4ITParentDocNumber xmlns="9b5e3183-1c41-493a-828b-cc05ff6f8edf">QM01953</C4ITParentDocNumber>
    <C4ITSyncID xmlns="9b5e3183-1c41-493a-828b-cc05ff6f8edf" xsi:nil="true"/>
    <C4ITDocumentNumberPB xmlns="9b5e3183-1c41-493a-828b-cc05ff6f8edf" xsi:nil="true"/>
    <C4ITDocumentNumberRL xmlns="9b5e3183-1c41-493a-828b-cc05ff6f8edf" xsi:nil="true"/>
    <C4ITDocumentNumberAA xmlns="9b5e3183-1c41-493a-828b-cc05ff6f8edf" xsi:nil="true"/>
    <C4ITUpdateAttachmentsMetadata xmlns="9b5e3183-1c41-493a-828b-cc05ff6f8edf">false</C4ITUpdateAttachmentsMetadata>
    <C4ITStartOfValidation xmlns="9b5e3183-1c41-493a-828b-cc05ff6f8edf">2024-05-08T14:34:52+00:00</C4ITStartOfValidation>
    <C4ITDescription xmlns="9b5e3183-1c41-493a-828b-cc05ff6f8edf">update - bez zmian merytorycznych</C4ITDescription>
    <C4ITParentTXT xmlns="9b5e3183-1c41-493a-828b-cc05ff6f8edf">PB QM-Plan / QM Plan</C4ITParentTXT>
    <Formfest xmlns="9b5e3183-1c41-493a-828b-cc05ff6f8edf">false</Formfest>
    <C4ITResubmissionPerson xmlns="9b5e3183-1c41-493a-828b-cc05ff6f8edf">
      <UserInfo>
        <DisplayName/>
        <AccountId xsi:nil="true"/>
        <AccountType/>
      </UserInfo>
    </C4ITResubmissionPerson>
    <TaxCatchAll xmlns="9b5e3183-1c41-493a-828b-cc05ff6f8edf">
      <Value>20</Value>
    </TaxCatchAll>
    <C4ITTunnelConstruction xmlns="9b5e3183-1c41-493a-828b-cc05ff6f8edf" xsi:nil="true"/>
    <C4ITPlaceOfProduction xmlns="9b5e3183-1c41-493a-828b-cc05ff6f8edf" xsi:nil="true"/>
    <C4ITRealEstateAssetManagement xmlns="9b5e3183-1c41-493a-828b-cc05ff6f8edf" xsi:nil="true"/>
    <C4ITMixMarkings xmlns="9b5e3183-1c41-493a-828b-cc05ff6f8edf" xsi:nil="true"/>
    <ab7c186730eb4bdb8101ef3ab99d865b xmlns="9b5e3183-1c41-493a-828b-cc05ff6f8edf">30-Udzielanie zleceń PODWYK-DOSTAW|161a48e5-49ca-448f-b476-67d59cc77817</ab7c186730eb4bdb8101ef3ab99d865b>
    <_dlc_DocIdUrl xmlns="9b5e3183-1c41-493a-828b-cc05ff6f8edf">
      <Url>https://porrag.sharepoint.com/sites/IMS/_layouts/15/DocIdRedir.aspx?ID=AKZ44UTUZ2KC-2079443978-35230</Url>
      <Description>AKZ44UTUZ2KC-2079443978-35230</Description>
    </_dlc_DocIdUrl>
    <_dlc_DocId xmlns="9b5e3183-1c41-493a-828b-cc05ff6f8edf">AKZ44UTUZ2KC-2079443978-35230</_dlc_DocId>
    <lcf76f155ced4ddcb4097134ff3c332f xmlns="e5038009-925f-4171-a0da-d852b49f8ef0">
      <Terms xmlns="http://schemas.microsoft.com/office/infopath/2007/PartnerControls"/>
    </lcf76f155ced4ddcb4097134ff3c332f>
    <C4ITDocNrAdd xmlns="9b5e3183-1c41-493a-828b-cc05ff6f8edf" xsi:nil="true"/>
    <C4ITTest xmlns="9b5e3183-1c41-493a-828b-cc05ff6f8edf" xsi:nil="true"/>
    <C4ITTranslationPublished xmlns="9b5e3183-1c41-493a-828b-cc05ff6f8edf">
      <Value>35200</Value>
      <Value>35201</Value>
      <Value>35230</Value>
    </C4ITTranslationPublished>
    <C4ITReplaceId xmlns="9b5e3183-1c41-493a-828b-cc05ff6f8edf" xsi:nil="true"/>
    <C4ITNoticesDone xmlns="9b5e3183-1c41-493a-828b-cc05ff6f8edf">false</C4ITNoticesDone>
    <C4ITLinkedIn xmlns="9b5e3183-1c41-493a-828b-cc05ff6f8edf" xsi:nil="true"/>
    <C4ITChildDocuments xmlns="9b5e3183-1c41-493a-828b-cc05ff6f8edf" xsi:nil="true"/>
    <C4ITParentDoc xmlns="9b5e3183-1c41-493a-828b-cc05ff6f8edf" xsi:nil="true"/>
    <C4ITUpdateATT xmlns="e5038009-925f-4171-a0da-d852b49f8ef0">
      <Url xsi:nil="true"/>
      <Description xsi:nil="true"/>
    </C4ITUpdateATT>
    <C4ITParentDocument xmlns="9b5e3183-1c41-493a-828b-cc05ff6f8edf" xsi:nil="true"/>
    <C4ITDocumentParent xmlns="9b5e3183-1c41-493a-828b-cc05ff6f8edf" xsi:nil="true"/>
    <PORR-SPID-OnPrem xmlns="9b5e3183-1c41-493a-828b-cc05ff6f8edf" xsi:nil="true"/>
    <C4ITUpdateLookUpFields xmlns="e5038009-925f-4171-a0da-d852b49f8ef0">
      <Url xsi:nil="true"/>
      <Description xsi:nil="true"/>
    </C4ITUpdateLookUpFields>
    <C4ITSetRI xmlns="e5038009-925f-4171-a0da-d852b49f8ef0">
      <Url xsi:nil="true"/>
      <Description xsi:nil="true"/>
    </C4ITSetRI>
    <C4ITSetPermissions xmlns="e5038009-925f-4171-a0da-d852b49f8ef0">
      <Url xsi:nil="true"/>
      <Description xsi:nil="true"/>
    </C4ITSetPermission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Freigegebenes Dokument" ma:contentTypeID="0x01010018A4D8DEE8639444A2A5B254A46FD69B0600F52647DE906C9B40AF671B31F8A22146" ma:contentTypeVersion="222" ma:contentTypeDescription="" ma:contentTypeScope="" ma:versionID="5377a72d74b57ed6a4425447ec0dbfef">
  <xsd:schema xmlns:xsd="http://www.w3.org/2001/XMLSchema" xmlns:xs="http://www.w3.org/2001/XMLSchema" xmlns:p="http://schemas.microsoft.com/office/2006/metadata/properties" xmlns:ns2="9b5e3183-1c41-493a-828b-cc05ff6f8edf" xmlns:ns3="e5038009-925f-4171-a0da-d852b49f8ef0" targetNamespace="http://schemas.microsoft.com/office/2006/metadata/properties" ma:root="true" ma:fieldsID="0b687113c29b95b78cc0c97d5f5adb5f" ns2:_="" ns3:_="">
    <xsd:import namespace="9b5e3183-1c41-493a-828b-cc05ff6f8edf"/>
    <xsd:import namespace="e5038009-925f-4171-a0da-d852b49f8ef0"/>
    <xsd:element name="properties">
      <xsd:complexType>
        <xsd:sequence>
          <xsd:element name="documentManagement">
            <xsd:complexType>
              <xsd:all>
                <xsd:element ref="ns2:C4ITDocumentNumber" minOccurs="0"/>
                <xsd:element ref="ns2:C4ITDocumentVersion" minOccurs="0"/>
                <xsd:element ref="ns2:C4ITApprover" minOccurs="0"/>
                <xsd:element ref="ns2:C4ITValidator" minOccurs="0"/>
                <xsd:element ref="ns2:C4ITOneLevelApproval" minOccurs="0"/>
                <xsd:element ref="ns2:C4ITValidationDate" minOccurs="0"/>
                <xsd:element ref="ns2:C4ITApprovalDate" minOccurs="0"/>
                <xsd:element ref="ns2:C4ITState" minOccurs="0"/>
                <xsd:element ref="ns2:C4ITPDFConversion" minOccurs="0"/>
                <xsd:element ref="ns2:C4ITDocumentType" minOccurs="0"/>
                <xsd:element ref="ns2:C4ITDistribution" minOccurs="0"/>
                <xsd:element ref="ns2:C4ITPrimaryProcess" minOccurs="0"/>
                <xsd:element ref="ns2:C4ITDocumentLanguage" minOccurs="0"/>
                <xsd:element ref="ns2:C4ITEditPermission" minOccurs="0"/>
                <xsd:element ref="ns2:C4ITDocumentInfo" minOccurs="0"/>
                <xsd:element ref="ns2:C4ITWorkAttachments" minOccurs="0"/>
                <xsd:element ref="ns2:C4ITFeedback" minOccurs="0"/>
                <xsd:element ref="ns2:C4ITWorkFeedback" minOccurs="0"/>
                <xsd:element ref="ns2:C4ITExaminationPeriod" minOccurs="0"/>
                <xsd:element ref="ns2:C4ITExaminationStart" minOccurs="0"/>
                <xsd:element ref="ns2:C4ITNotice" minOccurs="0"/>
                <xsd:element ref="ns2:C4ITComment" minOccurs="0"/>
                <xsd:element ref="ns2:C4ITWorkflowOutcome" minOccurs="0"/>
                <xsd:element ref="ns2:C4ITFirstApproval" minOccurs="0"/>
                <xsd:element ref="ns2:C4ITFirstValidation" minOccurs="0"/>
                <xsd:element ref="ns2:C4ITHasNotice" minOccurs="0"/>
                <xsd:element ref="ns2:C4ITNoApproval" minOccurs="0"/>
                <xsd:element ref="ns2:C4ITPreApprovalCompleted" minOccurs="0"/>
                <xsd:element ref="ns2:C4ITRestrictedFor" minOccurs="0"/>
                <xsd:element ref="ns2:C4ITMain" minOccurs="0"/>
                <xsd:element ref="ns2:C4ITLanguage" minOccurs="0"/>
                <xsd:element ref="ns2:C4ITNoticesDone" minOccurs="0"/>
                <xsd:element ref="ns2:C4ITLinkedIn" minOccurs="0"/>
                <xsd:element ref="ns2:SharedWithUsers" minOccurs="0"/>
                <xsd:element ref="ns2:SharedWithDetails" minOccurs="0"/>
                <xsd:element ref="ns3:MediaServiceMetadata1" minOccurs="0"/>
                <xsd:element ref="ns3:MediaServiceFastMetadata1" minOccurs="0"/>
                <xsd:element ref="ns2:C4ITCreator" minOccurs="0"/>
                <xsd:element ref="ns2:C4ITChildDocuments" minOccurs="0"/>
                <xsd:element ref="ns2:C4ITParentDocument" minOccurs="0"/>
                <xsd:element ref="ns2:C4ITParentDoc" minOccurs="0"/>
                <xsd:element ref="ns2:C4ITTest" minOccurs="0"/>
                <xsd:element ref="ns2:C4ITDocumentParent" minOccurs="0"/>
                <xsd:element ref="ns2:C4ITResponsible" minOccurs="0"/>
                <xsd:element ref="ns2:C4ITValidFrom" minOccurs="0"/>
                <xsd:element ref="ns2:C4ITAdditionalDocuments" minOccurs="0"/>
                <xsd:element ref="ns2:C4ITAttachments" minOccurs="0"/>
                <xsd:element ref="ns2:C4ITContentResponsible1" minOccurs="0"/>
                <xsd:element ref="ns2:C4ITTranslationPublished" minOccurs="0"/>
                <xsd:element ref="ns2:C4ITCountries" minOccurs="0"/>
                <xsd:element ref="ns2:C4ITHighBuilding" minOccurs="0"/>
                <xsd:element ref="ns2:C4ITHeavyBuidling" minOccurs="0"/>
                <xsd:element ref="ns2:C4ITSpecialHeavyBuidling" minOccurs="0"/>
                <xsd:element ref="ns2:C4ITEnviromentEngineering" minOccurs="0"/>
                <xsd:element ref="ns2:C4ITCollectionValidation" minOccurs="0"/>
                <xsd:element ref="ns2:C4ITAllLanguages" minOccurs="0"/>
                <xsd:element ref="ns2:C4ITDocTitleEndo" minOccurs="0"/>
                <xsd:element ref="ns2:C4ITDocTitleGer" minOccurs="0"/>
                <xsd:element ref="ns2:C4IThierarchy" minOccurs="0"/>
                <xsd:element ref="ns2:C4ITAssetnumber" minOccurs="0"/>
                <xsd:element ref="ns2:C4ITIVShort" minOccurs="0"/>
                <xsd:element ref="ns2:C4ITIntExt" minOccurs="0"/>
                <xsd:element ref="ns2:C4ITAcrossGroup" minOccurs="0"/>
                <xsd:element ref="ns2:C4ITScope" minOccurs="0"/>
                <xsd:element ref="ns2:C4ITQMPlanDocument" minOccurs="0"/>
                <xsd:element ref="ns2:C4ITCategorieQMPlan" minOccurs="0"/>
                <xsd:element ref="ns2:C4ITQMProcess" minOccurs="0"/>
                <xsd:element ref="ns2:C4ITQMSubProcess" minOccurs="0"/>
                <xsd:element ref="ns2:C4ITRemark" minOccurs="0"/>
                <xsd:element ref="ns2:C4ITOrganisation" minOccurs="0"/>
                <xsd:element ref="ns2:C4ITCourseOfEvents" minOccurs="0"/>
                <xsd:element ref="ns2:C4ITToDo" minOccurs="0"/>
                <xsd:element ref="ns2:C4ITSupporting" minOccurs="0"/>
                <xsd:element ref="ns2:C4ITCraft" minOccurs="0"/>
                <xsd:element ref="ns2:C4ITTray" minOccurs="0"/>
                <xsd:element ref="ns2:C4ITKHBLevel2" minOccurs="0"/>
                <xsd:element ref="ns2:C4ITKHBLevel1" minOccurs="0"/>
                <xsd:element ref="ns2:C4ITTopic" minOccurs="0"/>
                <xsd:element ref="ns2:C4ITKeyWord" minOccurs="0"/>
                <xsd:element ref="ns2:C4ITCountriesTXT" minOccurs="0"/>
                <xsd:element ref="ns2:C4ITDocumentLanguageTXT" minOccurs="0"/>
                <xsd:element ref="ns2:C4ITEditorial" minOccurs="0"/>
                <xsd:element ref="ns2:C4ITDocumentNameOld" minOccurs="0"/>
                <xsd:element ref="ns2:C4ITTitleAS" minOccurs="0"/>
                <xsd:element ref="ns2:C4ITFields" minOccurs="0"/>
                <xsd:element ref="ns2:C4ITFields2" minOccurs="0"/>
                <xsd:element ref="ns2:C4ITUpdateCountries" minOccurs="0"/>
                <xsd:element ref="ns2:C4ITSpecialHeavyBuidlingTXT" minOccurs="0"/>
                <xsd:element ref="ns2:C4ITEnviromentEngineeringTXT" minOccurs="0"/>
                <xsd:element ref="ns2:C4ITQMSubProcessTXT" minOccurs="0"/>
                <xsd:element ref="ns2:C4ITCraftTXT" minOccurs="0"/>
                <xsd:element ref="ns2:C4ITTopicTXT" minOccurs="0"/>
                <xsd:element ref="ns2:C4ITIsAtt" minOccurs="0"/>
                <xsd:element ref="ns2:C4ITSSC" minOccurs="0"/>
                <xsd:element ref="ns2:C4ITVers" minOccurs="0"/>
                <xsd:element ref="ns2:C4ITSyncID" minOccurs="0"/>
                <xsd:element ref="ns2:C4ITParentDocNumber" minOccurs="0"/>
                <xsd:element ref="ns2:C4ITDocumentNumberRL" minOccurs="0"/>
                <xsd:element ref="ns2:C4ITDocumentNumberPB" minOccurs="0"/>
                <xsd:element ref="ns2:C4ITDocumentNumberAA" minOccurs="0"/>
                <xsd:element ref="ns2:C4ITUpdateAttachmentsMetadata" minOccurs="0"/>
                <xsd:element ref="ns2:C4ITStartOfValidation" minOccurs="0"/>
                <xsd:element ref="ns3:C4ITUpdateATT" minOccurs="0"/>
                <xsd:element ref="ns2:C4ITReplaceId" minOccurs="0"/>
                <xsd:element ref="ns3:C4ITUpdateLookUpFields" minOccurs="0"/>
                <xsd:element ref="ns2:PORR-SPID-OnPrem" minOccurs="0"/>
                <xsd:element ref="ns2:C4ITParentTXT" minOccurs="0"/>
                <xsd:element ref="ns3:C4ITSetRI" minOccurs="0"/>
                <xsd:element ref="ns2:C4ITDocNrAdd" minOccurs="0"/>
                <xsd:element ref="ns2:C4ITDescription" minOccurs="0"/>
                <xsd:element ref="ns3:MediaServiceAutoKeyPoints" minOccurs="0"/>
                <xsd:element ref="ns3:MediaServiceKeyPoints" minOccurs="0"/>
                <xsd:element ref="ns2:Formfest" minOccurs="0"/>
                <xsd:element ref="ns2:C4ITResubmissionPerson" minOccurs="0"/>
                <xsd:element ref="ns3:C4ITSetPermissions" minOccurs="0"/>
                <xsd:element ref="ns2:C4ITTunnelConstruction" minOccurs="0"/>
                <xsd:element ref="ns2:C4ITRealEstateAssetManagement" minOccurs="0"/>
                <xsd:element ref="ns2:C4ITMixMarkings" minOccurs="0"/>
                <xsd:element ref="ns2:C4ITPlaceOfProduction" minOccurs="0"/>
                <xsd:element ref="ns3:lcf76f155ced4ddcb4097134ff3c332f" minOccurs="0"/>
                <xsd:element ref="ns2:TaxCatchAll" minOccurs="0"/>
                <xsd:element ref="ns3:MediaServiceGenerationTime" minOccurs="0"/>
                <xsd:element ref="ns3:MediaServiceEventHashCode" minOccurs="0"/>
                <xsd:element ref="ns3:MediaServiceObjectDetectorVersions" minOccurs="0"/>
                <xsd:element ref="ns2:ab7c186730eb4bdb8101ef3ab99d865b" minOccurs="0"/>
                <xsd:element ref="ns2:TaxCatchAllLabel" minOccurs="0"/>
                <xsd:element ref="ns3:MediaServiceSearchProperties"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5e3183-1c41-493a-828b-cc05ff6f8edf" elementFormDefault="qualified">
    <xsd:import namespace="http://schemas.microsoft.com/office/2006/documentManagement/types"/>
    <xsd:import namespace="http://schemas.microsoft.com/office/infopath/2007/PartnerControls"/>
    <xsd:element name="C4ITDocumentNumber" ma:index="8" nillable="true" ma:displayName="Dokumentennummer" ma:internalName="C4ITDocumentNumber" ma:readOnly="false">
      <xsd:simpleType>
        <xsd:restriction base="dms:Text">
          <xsd:maxLength value="255"/>
        </xsd:restriction>
      </xsd:simpleType>
    </xsd:element>
    <xsd:element name="C4ITDocumentVersion" ma:index="9" nillable="true" ma:displayName="Versionierung" ma:decimals="0" ma:indexed="true" ma:internalName="C4ITDocumentVersion" ma:readOnly="false" ma:percentage="FALSE">
      <xsd:simpleType>
        <xsd:restriction base="dms:Number">
          <xsd:minInclusive value="0"/>
        </xsd:restriction>
      </xsd:simpleType>
    </xsd:element>
    <xsd:element name="C4ITApprover" ma:index="10" nillable="true" ma:displayName="Freigeber" ma:list="UserInfo" ma:SharePointGroup="0" ma:internalName="C4ITApprove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ator" ma:index="11" nillable="true" ma:displayName="Prüfer" ma:list="UserInfo" ma:SharePointGroup="0" ma:internalName="C4ITValidat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OneLevelApproval" ma:index="12" nillable="true" ma:displayName="Einstufige Freigabe" ma:default="0" ma:internalName="C4ITOneLevelApproval" ma:readOnly="false">
      <xsd:simpleType>
        <xsd:restriction base="dms:Boolean"/>
      </xsd:simpleType>
    </xsd:element>
    <xsd:element name="C4ITValidationDate" ma:index="13" nillable="true" ma:displayName="Geprüft am" ma:format="DateOnly" ma:internalName="C4ITValidationDate" ma:readOnly="false">
      <xsd:simpleType>
        <xsd:restriction base="dms:DateTime"/>
      </xsd:simpleType>
    </xsd:element>
    <xsd:element name="C4ITApprovalDate" ma:index="14" nillable="true" ma:displayName="Freigegeben am" ma:format="DateOnly" ma:internalName="C4ITApprovalDate" ma:readOnly="false">
      <xsd:simpleType>
        <xsd:restriction base="dms:DateTime"/>
      </xsd:simpleType>
    </xsd:element>
    <xsd:element name="C4ITState" ma:index="15" nillable="true" ma:displayName="Dokumentemstatus" ma:list="{1254f6d6-f53e-4e72-b51d-7a83b06f5d15}" ma:internalName="C4ITState" ma:readOnly="false" ma:showField="Title" ma:web="9b5e3183-1c41-493a-828b-cc05ff6f8edf">
      <xsd:simpleType>
        <xsd:restriction base="dms:Lookup"/>
      </xsd:simpleType>
    </xsd:element>
    <xsd:element name="C4ITPDFConversion" ma:index="16" nillable="true" ma:displayName="PDF Konvertierung" ma:default="1" ma:internalName="C4ITPDFConversion" ma:readOnly="false">
      <xsd:simpleType>
        <xsd:restriction base="dms:Boolean"/>
      </xsd:simpleType>
    </xsd:element>
    <xsd:element name="C4ITDocumentType" ma:index="17" nillable="true" ma:displayName="Dokumentenart" ma:list="{40cd1550-be12-4876-a036-f13c31be1007}" ma:internalName="C4ITDocumentType" ma:readOnly="false" ma:showField="Title" ma:web="9b5e3183-1c41-493a-828b-cc05ff6f8edf">
      <xsd:simpleType>
        <xsd:restriction base="dms:Lookup"/>
      </xsd:simpleType>
    </xsd:element>
    <xsd:element name="C4ITDistribution" ma:index="18" nillable="true" ma:displayName="Verteiler" ma:list="UserInfo" ma:SearchPeopleOnly="false" ma:SharePointGroup="0" ma:internalName="C4ITDistribut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PrimaryProcess" ma:index="19" nillable="true" ma:displayName="Hauptprozess" ma:list="{8dbe2104-c41f-4222-a0b4-ffc95f612ed3}" ma:internalName="C4ITPrimaryProcess" ma:readOnly="false" ma:showField="Title" ma:web="9b5e3183-1c41-493a-828b-cc05ff6f8edf">
      <xsd:simpleType>
        <xsd:restriction base="dms:Lookup"/>
      </xsd:simpleType>
    </xsd:element>
    <xsd:element name="C4ITDocumentLanguage" ma:index="20" nillable="true" ma:displayName="Dokumentensprache" ma:list="{a4e5ab20-292c-4a15-8407-e07c7c8a02f4}" ma:internalName="C4ITDocumentLanguage" ma:readOnly="false" ma:showField="C4ITLanguageCod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ditPermission" ma:index="21" nillable="true" ma:displayName="Bearbeiter" ma:list="UserInfo" ma:SearchPeopleOnly="false" ma:SharePointGroup="0" ma:internalName="C4ITEditPermiss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DocumentInfo" ma:index="22" nillable="true" ma:displayName="Dokumenteninfo" ma:internalName="C4ITDocumentInfo" ma:readOnly="false">
      <xsd:simpleType>
        <xsd:restriction base="dms:Text">
          <xsd:maxLength value="255"/>
        </xsd:restriction>
      </xsd:simpleType>
    </xsd:element>
    <xsd:element name="C4ITWorkAttachments" ma:index="23" nillable="true" ma:displayName="Arbeitsdokumentenanhänge" ma:list="{3e7e8fec-dfad-411d-adf5-d923e2212a9f}" ma:internalName="C4ITWork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Feedback" ma:index="24" nillable="true" ma:displayName="Feedback" ma:format="Hyperlink" ma:internalName="C4IT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WorkFeedback" ma:index="25" nillable="true" ma:displayName="Arbeitsfeedback" ma:format="Hyperlink" ma:internalName="C4ITWork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ExaminationPeriod" ma:index="26" nillable="true" ma:displayName="Prüfzeitraum in Tagen" ma:decimals="0" ma:internalName="C4ITExaminationPeriod" ma:readOnly="false" ma:percentage="FALSE">
      <xsd:simpleType>
        <xsd:restriction base="dms:Number">
          <xsd:maxInclusive value="60"/>
          <xsd:minInclusive value="0"/>
        </xsd:restriction>
      </xsd:simpleType>
    </xsd:element>
    <xsd:element name="C4ITExaminationStart" ma:index="27" nillable="true" ma:displayName="Start Prüfungszeitraum" ma:format="DateOnly" ma:internalName="C4ITExaminationStart" ma:readOnly="false">
      <xsd:simpleType>
        <xsd:restriction base="dms:DateTime"/>
      </xsd:simpleType>
    </xsd:element>
    <xsd:element name="C4ITNotice" ma:index="28" nillable="true" ma:displayName="Kenntnisnahme" ma:list="UserInfo" ma:SharePointGroup="0" ma:internalName="C4ITNotice"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omment" ma:index="29" nillable="true" ma:displayName="Begründung/ Kommentar" ma:internalName="C4ITComment" ma:readOnly="false">
      <xsd:simpleType>
        <xsd:restriction base="dms:Note"/>
      </xsd:simpleType>
    </xsd:element>
    <xsd:element name="C4ITWorkflowOutcome" ma:index="30" nillable="true" ma:displayName="Ergebnis" ma:list="{767ef6c8-9168-4d19-b8c3-b6cbd0bcc230}" ma:internalName="C4ITWorkflowOutcome" ma:readOnly="false" ma:showField="Title" ma:web="9b5e3183-1c41-493a-828b-cc05ff6f8edf">
      <xsd:simpleType>
        <xsd:restriction base="dms:Lookup"/>
      </xsd:simpleType>
    </xsd:element>
    <xsd:element name="C4ITFirstApproval" ma:index="31" nillable="true" ma:displayName="Erster Freigeber entscheidet" ma:default="1" ma:internalName="C4ITFirstApproval" ma:readOnly="false">
      <xsd:simpleType>
        <xsd:restriction base="dms:Boolean"/>
      </xsd:simpleType>
    </xsd:element>
    <xsd:element name="C4ITFirstValidation" ma:index="32" nillable="true" ma:displayName="Erster Prüfer entscheidet" ma:default="1" ma:internalName="C4ITFirstValidation" ma:readOnly="false">
      <xsd:simpleType>
        <xsd:restriction base="dms:Boolean"/>
      </xsd:simpleType>
    </xsd:element>
    <xsd:element name="C4ITHasNotice" ma:index="33" nillable="true" ma:displayName="Kenntnisnahme befüllt" ma:default="0" ma:indexed="true" ma:internalName="C4ITHasNotice" ma:readOnly="false">
      <xsd:simpleType>
        <xsd:restriction base="dms:Boolean"/>
      </xsd:simpleType>
    </xsd:element>
    <xsd:element name="C4ITNoApproval" ma:index="34" nillable="true" ma:displayName="Keine Freigabe erforderlich" ma:default="0" ma:internalName="C4ITNoApproval" ma:readOnly="false">
      <xsd:simpleType>
        <xsd:restriction base="dms:Boolean"/>
      </xsd:simpleType>
    </xsd:element>
    <xsd:element name="C4ITPreApprovalCompleted" ma:index="35" nillable="true" ma:displayName="Vorprüfung abgeschlossen" ma:default="0" ma:internalName="C4ITPreApprovalCompleted" ma:readOnly="false">
      <xsd:simpleType>
        <xsd:restriction base="dms:Boolean"/>
      </xsd:simpleType>
    </xsd:element>
    <xsd:element name="C4ITRestrictedFor" ma:index="36" nillable="true" ma:displayName="Sichtbar für" ma:list="UserInfo" ma:SharePointGroup="0" ma:internalName="C4ITRestrictedF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Main" ma:index="37" nillable="true" ma:displayName="C4ITMain" ma:internalName="C4ITMain" ma:readOnly="false">
      <xsd:simpleType>
        <xsd:restriction base="dms:Text">
          <xsd:maxLength value="255"/>
        </xsd:restriction>
      </xsd:simpleType>
    </xsd:element>
    <xsd:element name="C4ITLanguage" ma:index="38" nillable="true" ma:displayName="C4ITLanguage" ma:internalName="C4ITLanguage" ma:readOnly="false">
      <xsd:simpleType>
        <xsd:restriction base="dms:Text">
          <xsd:maxLength value="255"/>
        </xsd:restriction>
      </xsd:simpleType>
    </xsd:element>
    <xsd:element name="C4ITNoticesDone" ma:index="39" nillable="true" ma:displayName="Kenntnisnahmen abgeschlossen" ma:default="0" ma:internalName="C4ITNoticesDone" ma:readOnly="false">
      <xsd:simpleType>
        <xsd:restriction base="dms:Boolean"/>
      </xsd:simpleType>
    </xsd:element>
    <xsd:element name="C4ITLinkedIn" ma:index="40" nillable="true" ma:displayName="Referenziert in" ma:list="{e5038009-925f-4171-a0da-d852b49f8ef0}" ma:internalName="C4ITLinkedIn"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SharedWithUsers" ma:index="41" nillable="true" ma:displayName="Freigegeben für" ma:SearchPeopleOnly="false" ma:SharePointGroup="0" ma:internalName="SharedWithUsers"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2" nillable="true" ma:displayName="Freigegeben für - Details" ma:internalName="SharedWithDetails">
      <xsd:simpleType>
        <xsd:restriction base="dms:Note">
          <xsd:maxLength value="255"/>
        </xsd:restriction>
      </xsd:simpleType>
    </xsd:element>
    <xsd:element name="C4ITCreator" ma:index="45" nillable="true" ma:displayName="C4ITCreator" ma:list="UserInfo" ma:SharePointGroup="0" ma:internalName="C4ITCrea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hildDocuments" ma:index="46" nillable="true" ma:displayName="Anlagen" ma:list="{e5038009-925f-4171-a0da-d852b49f8ef0}" ma:internalName="C4ITChild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arentDocument" ma:index="47" nillable="true" ma:displayName="C4ITParentDocument" ma:list="{e5038009-925f-4171-a0da-d852b49f8ef0}" ma:internalName="C4ITParentDocument" ma:readOnly="false" ma:showField="C4ITDocumentInfo" ma:web="9b5e3183-1c41-493a-828b-cc05ff6f8edf">
      <xsd:simpleType>
        <xsd:restriction base="dms:Lookup"/>
      </xsd:simpleType>
    </xsd:element>
    <xsd:element name="C4ITParentDoc" ma:index="48" nillable="true" ma:displayName="C4ITParentDoc" ma:list="{e5038009-925f-4171-a0da-d852b49f8ef0}" ma:internalName="C4ITParentDoc" ma:readOnly="false" ma:showField="Title" ma:web="9b5e3183-1c41-493a-828b-cc05ff6f8edf">
      <xsd:simpleType>
        <xsd:restriction base="dms:Lookup"/>
      </xsd:simpleType>
    </xsd:element>
    <xsd:element name="C4ITTest" ma:index="49" nillable="true" ma:displayName="C4ITTest" ma:internalName="C4ITTest" ma:readOnly="false">
      <xsd:simpleType>
        <xsd:restriction base="dms:Text">
          <xsd:maxLength value="255"/>
        </xsd:restriction>
      </xsd:simpleType>
    </xsd:element>
    <xsd:element name="C4ITDocumentParent" ma:index="50" nillable="true" ma:displayName="C4ITDocumentParent" ma:list="{e5038009-925f-4171-a0da-d852b49f8ef0}" ma:internalName="C4ITDocumentParent" ma:readOnly="false" ma:showField="C4ITDocumentInfo" ma:web="9b5e3183-1c41-493a-828b-cc05ff6f8edf">
      <xsd:simpleType>
        <xsd:restriction base="dms:Lookup"/>
      </xsd:simpleType>
    </xsd:element>
    <xsd:element name="C4ITResponsible" ma:index="51" nillable="true" ma:displayName="Dokumentenersteller" ma:list="UserInfo" ma:SharePointGroup="0" ma:internalName="C4ITResponsible"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From" ma:index="52" nillable="true" ma:displayName="Versionsdatum" ma:format="DateOnly" ma:internalName="C4ITValidFrom" ma:readOnly="false">
      <xsd:simpleType>
        <xsd:restriction base="dms:DateTime"/>
      </xsd:simpleType>
    </xsd:element>
    <xsd:element name="C4ITAdditionalDocuments" ma:index="53" nillable="true" ma:displayName="Anlage" ma:list="{e5038009-925f-4171-a0da-d852b49f8ef0}" ma:internalName="C4ITAdditional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Attachments" ma:index="54" nillable="true" ma:displayName="Mitgeltende Dokumente" ma:list="{beaa4963-4e84-4695-a0ea-14e0d67dcdac}" ma:internalName="C4IT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ntentResponsible1" ma:index="55" nillable="true" ma:displayName="Inhaltsverantwortlich" ma:list="{ee372597-166c-44fa-90e0-1161b8089dc0}" ma:internalName="C4ITContentResponsible1" ma:readOnly="false" ma:showField="Title" ma:web="9b5e3183-1c41-493a-828b-cc05ff6f8edf">
      <xsd:simpleType>
        <xsd:restriction base="dms:Lookup"/>
      </xsd:simpleType>
    </xsd:element>
    <xsd:element name="C4ITTranslationPublished" ma:index="56" nillable="true" ma:displayName="C4ITTranslationPublished" ma:list="{e5038009-925f-4171-a0da-d852b49f8ef0}" ma:internalName="C4ITTranslationPublished"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 ma:index="57" nillable="true" ma:displayName="Land" ma:list="{62223b68-1125-4f44-97ba-ec29a0cc82ba}" ma:internalName="C4ITCountrie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ighBuilding" ma:index="58" nillable="true" ma:displayName="Hochbau" ma:list="{62223b68-1125-4f44-97ba-ec29a0cc82ba}" ma:internalName="C4ITHighBuild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eavyBuidling" ma:index="59" nillable="true" ma:displayName="Tiefbau" ma:list="{62223b68-1125-4f44-97ba-ec29a0cc82ba}" ma:internalName="C4IT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SpecialHeavyBuidling" ma:index="60" nillable="true" ma:displayName="Spezialtiefbau" ma:list="{62223b68-1125-4f44-97ba-ec29a0cc82ba}" ma:internalName="C4ITSpecial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nviromentEngineering" ma:index="61" nillable="true" ma:displayName="Umwelttechnik" ma:list="{62223b68-1125-4f44-97ba-ec29a0cc82ba}" ma:internalName="C4ITEnviromentEngineer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llectionValidation" ma:index="62" nillable="true" ma:displayName="Freigabe inkl Anlagen" ma:default="0" ma:internalName="C4ITCollectionValidation" ma:readOnly="false">
      <xsd:simpleType>
        <xsd:restriction base="dms:Boolean"/>
      </xsd:simpleType>
    </xsd:element>
    <xsd:element name="C4ITAllLanguages" ma:index="63" nillable="true" ma:displayName="Gemeinsame Freigabe GER/ENG" ma:default="0" ma:internalName="C4ITAllLanguages" ma:readOnly="false">
      <xsd:simpleType>
        <xsd:restriction base="dms:Boolean"/>
      </xsd:simpleType>
    </xsd:element>
    <xsd:element name="C4ITDocTitleEndo" ma:index="64" nillable="true" ma:displayName="Dokumentenbezeichnung" ma:internalName="C4ITDocTitleEndo" ma:readOnly="false">
      <xsd:simpleType>
        <xsd:restriction base="dms:Text">
          <xsd:maxLength value="255"/>
        </xsd:restriction>
      </xsd:simpleType>
    </xsd:element>
    <xsd:element name="C4ITDocTitleGer" ma:index="65" nillable="true" ma:displayName="Dokumentenbezeichnung_de" ma:internalName="C4ITDocTitleGer" ma:readOnly="false">
      <xsd:simpleType>
        <xsd:restriction base="dms:Text">
          <xsd:maxLength value="255"/>
        </xsd:restriction>
      </xsd:simpleType>
    </xsd:element>
    <xsd:element name="C4IThierarchy" ma:index="66" nillable="true" ma:displayName="Hierarchie" ma:list="{dd72dd3b-e7f5-45bd-babe-6d98c4b5534a}" ma:internalName="C4IThierarchy" ma:readOnly="false" ma:showField="Title" ma:web="9b5e3183-1c41-493a-828b-cc05ff6f8edf">
      <xsd:simpleType>
        <xsd:restriction base="dms:Lookup"/>
      </xsd:simpleType>
    </xsd:element>
    <xsd:element name="C4ITAssetnumber" ma:index="67" nillable="true" ma:displayName="Anlagennummer" ma:indexed="true" ma:internalName="C4ITAssetnumber" ma:readOnly="false">
      <xsd:simpleType>
        <xsd:restriction base="dms:Text">
          <xsd:maxLength value="255"/>
        </xsd:restriction>
      </xsd:simpleType>
    </xsd:element>
    <xsd:element name="C4ITIVShort" ma:index="68" nillable="true" ma:displayName="IV-kurz" ma:internalName="C4ITIVShort" ma:readOnly="false">
      <xsd:simpleType>
        <xsd:restriction base="dms:Text">
          <xsd:maxLength value="255"/>
        </xsd:restriction>
      </xsd:simpleType>
    </xsd:element>
    <xsd:element name="C4ITIntExt" ma:index="69" nillable="true" ma:displayName="Externes Dokument" ma:default="0" ma:internalName="C4ITIntExt" ma:readOnly="false">
      <xsd:simpleType>
        <xsd:restriction base="dms:Boolean"/>
      </xsd:simpleType>
    </xsd:element>
    <xsd:element name="C4ITAcrossGroup" ma:index="70" nillable="true" ma:displayName="Konzernweit" ma:default="0" ma:indexed="true" ma:internalName="C4ITAcrossGroup" ma:readOnly="false">
      <xsd:simpleType>
        <xsd:restriction base="dms:Boolean"/>
      </xsd:simpleType>
    </xsd:element>
    <xsd:element name="C4ITScope" ma:index="71" nillable="true" ma:displayName="Geltungsbereich" ma:list="{f32f236e-cb16-4d0e-bdb6-f816d72453e0}" ma:internalName="C4ITScope"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lanDocument" ma:index="72" nillable="true" ma:displayName="QM-Plan Dokument" ma:default="1" ma:indexed="true" ma:internalName="C4ITQMPlanDocument" ma:readOnly="false">
      <xsd:simpleType>
        <xsd:restriction base="dms:Boolean"/>
      </xsd:simpleType>
    </xsd:element>
    <xsd:element name="C4ITCategorieQMPlan" ma:index="73" nillable="true" ma:displayName="Kategorie QM-Plan" ma:list="{60c8aab9-4fcd-454d-8556-f3b32b49ce72}" ma:internalName="C4ITCategorieQMPla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rocess" ma:index="74" nillable="true" ma:displayName="QM-Prozess" ma:list="{dcddb022-3545-4cbe-9d52-edff5a4cd4cf}" ma:internalName="C4ITQMProcess" ma:readOnly="false" ma:showField="Title" ma:web="9b5e3183-1c41-493a-828b-cc05ff6f8edf">
      <xsd:simpleType>
        <xsd:restriction base="dms:Lookup"/>
      </xsd:simpleType>
    </xsd:element>
    <xsd:element name="C4ITQMSubProcess" ma:index="75" nillable="true" ma:displayName="QM-Teilprozess" ma:list="{fac38288-f8dd-42d5-a88d-c1ca4f22675d}" ma:internalName="C4ITQMSubProcess" ma:readOnly="false" ma:showField="Title" ma:web="9b5e3183-1c41-493a-828b-cc05ff6f8edf">
      <xsd:simpleType>
        <xsd:restriction base="dms:Lookup"/>
      </xsd:simpleType>
    </xsd:element>
    <xsd:element name="C4ITRemark" ma:index="76" nillable="true" ma:displayName="Bemerkung" ma:internalName="C4ITRemark" ma:readOnly="false">
      <xsd:simpleType>
        <xsd:restriction base="dms:Note">
          <xsd:maxLength value="255"/>
        </xsd:restriction>
      </xsd:simpleType>
    </xsd:element>
    <xsd:element name="C4ITOrganisation" ma:index="77" nillable="true" ma:displayName="Organisation" ma:list="{db6d4911-cfc1-4c4e-bda1-f7aa0c55bef3}" ma:internalName="C4ITOrganisation" ma:readOnly="false" ma:showField="Title" ma:web="9b5e3183-1c41-493a-828b-cc05ff6f8edf">
      <xsd:simpleType>
        <xsd:restriction base="dms:Lookup"/>
      </xsd:simpleType>
    </xsd:element>
    <xsd:element name="C4ITCourseOfEvents" ma:index="78" nillable="true" ma:displayName="Hergang" ma:internalName="C4ITCourseOfEvents" ma:readOnly="false">
      <xsd:simpleType>
        <xsd:restriction base="dms:Note">
          <xsd:maxLength value="255"/>
        </xsd:restriction>
      </xsd:simpleType>
    </xsd:element>
    <xsd:element name="C4ITToDo" ma:index="79" nillable="true" ma:displayName="zu bearbeiten" ma:default="0" ma:internalName="C4ITToDo" ma:readOnly="false">
      <xsd:simpleType>
        <xsd:restriction base="dms:Boolean"/>
      </xsd:simpleType>
    </xsd:element>
    <xsd:element name="C4ITSupporting" ma:index="80" nillable="true" ma:displayName="Unterstützend" ma:default="0" ma:indexed="true" ma:internalName="C4ITSupporting" ma:readOnly="false">
      <xsd:simpleType>
        <xsd:restriction base="dms:Boolean"/>
      </xsd:simpleType>
    </xsd:element>
    <xsd:element name="C4ITCraft" ma:index="81" nillable="true" ma:displayName="Gewerk" ma:list="{1df8c24e-9a89-4a1a-95f6-81f789e87340}" ma:internalName="C4ITCraf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Tray" ma:index="82" nillable="true" ma:displayName="Ablage" ma:list="{d459eac5-66a9-4fc4-8cc5-75a0dfa65a2b}" ma:internalName="C4ITTray" ma:readOnly="false" ma:showField="Title" ma:web="9b5e3183-1c41-493a-828b-cc05ff6f8edf">
      <xsd:simpleType>
        <xsd:restriction base="dms:Lookup"/>
      </xsd:simpleType>
    </xsd:element>
    <xsd:element name="C4ITKHBLevel2" ma:index="83" nillable="true" ma:displayName="Kfm. HB Ebene 2" ma:list="{97cf5829-c1d5-4b6d-ab4a-2e3e48562bd8}" ma:internalName="C4ITKHBLevel2" ma:readOnly="false" ma:showField="Title" ma:web="9b5e3183-1c41-493a-828b-cc05ff6f8edf">
      <xsd:simpleType>
        <xsd:restriction base="dms:Lookup"/>
      </xsd:simpleType>
    </xsd:element>
    <xsd:element name="C4ITKHBLevel1" ma:index="84" nillable="true" ma:displayName="Kfm. HB Ebene 1" ma:list="{d58426d6-ade8-4974-b6d6-fe6bff6a3142}" ma:internalName="C4ITKHBLevel1" ma:readOnly="false" ma:showField="Title" ma:web="9b5e3183-1c41-493a-828b-cc05ff6f8edf">
      <xsd:simpleType>
        <xsd:restriction base="dms:Lookup"/>
      </xsd:simpleType>
    </xsd:element>
    <xsd:element name="C4ITTopic" ma:index="85" nillable="true" ma:displayName="Thema" ma:list="{13959744-da7c-44cf-b32a-86f6f3b8d1c9}" ma:internalName="C4ITTopic"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KeyWord" ma:index="86" nillable="true" ma:displayName="Schlagworte" ma:list="{80958c30-dc2c-471d-9a3a-4bbb94436702}" ma:internalName="C4ITKeyWord"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TXT" ma:index="87" nillable="true" ma:displayName="C4ITCountriesTXT" ma:internalName="C4ITCountriesTXT" ma:readOnly="false">
      <xsd:simpleType>
        <xsd:restriction base="dms:Text">
          <xsd:maxLength value="255"/>
        </xsd:restriction>
      </xsd:simpleType>
    </xsd:element>
    <xsd:element name="C4ITDocumentLanguageTXT" ma:index="88" nillable="true" ma:displayName="C4ITDocumentLanguageTXT" ma:internalName="C4ITDocumentLanguageTXT" ma:readOnly="false">
      <xsd:simpleType>
        <xsd:restriction base="dms:Text">
          <xsd:maxLength value="255"/>
        </xsd:restriction>
      </xsd:simpleType>
    </xsd:element>
    <xsd:element name="C4ITEditorial" ma:index="89" nillable="true" ma:displayName="C4ITEditorial" ma:list="{eb983cd0-e77f-4947-b109-03dd1abecbdf}" ma:internalName="C4ITEditorial" ma:readOnly="false" ma:showField="Title" ma:web="9b5e3183-1c41-493a-828b-cc05ff6f8edf">
      <xsd:simpleType>
        <xsd:restriction base="dms:Lookup"/>
      </xsd:simpleType>
    </xsd:element>
    <xsd:element name="C4ITDocumentNameOld" ma:index="90" nillable="true" ma:displayName="Dateiname Alt" ma:internalName="C4ITDocumentNameOld" ma:readOnly="false">
      <xsd:simpleType>
        <xsd:restriction base="dms:Text">
          <xsd:maxLength value="255"/>
        </xsd:restriction>
      </xsd:simpleType>
    </xsd:element>
    <xsd:element name="C4ITTitleAS" ma:index="91" nillable="true" ma:displayName="Titel AS" ma:list="{7dae9459-d9f1-4c85-917d-6121168d55a2}" ma:internalName="C4ITTitleAS" ma:readOnly="false" ma:showField="Title" ma:web="9b5e3183-1c41-493a-828b-cc05ff6f8edf">
      <xsd:simpleType>
        <xsd:restriction base="dms:Lookup"/>
      </xsd:simpleType>
    </xsd:element>
    <xsd:element name="C4ITFields" ma:index="92" nillable="true" ma:displayName="Bereich" ma:list="{b3f2fe51-7f76-4d38-8c36-41497f7a81ff}" ma:internalName="C4ITFields" ma:readOnly="false" ma:showField="Title" ma:web="9b5e3183-1c41-493a-828b-cc05ff6f8edf">
      <xsd:simpleType>
        <xsd:restriction base="dms:Lookup"/>
      </xsd:simpleType>
    </xsd:element>
    <xsd:element name="C4ITFields2" ma:index="93" nillable="true" ma:displayName="Bereich Level 2" ma:list="{28d07c64-212d-4eb6-b94f-e97ecf6efbe7}" ma:internalName="C4ITFields2" ma:readOnly="false" ma:showField="Title" ma:web="9b5e3183-1c41-493a-828b-cc05ff6f8edf">
      <xsd:simpleType>
        <xsd:restriction base="dms:Lookup"/>
      </xsd:simpleType>
    </xsd:element>
    <xsd:element name="C4ITUpdateCountries" ma:index="94" nillable="true" ma:displayName="Neue Länder hinzufügen" ma:default="0" ma:internalName="C4ITUpdateCountries" ma:readOnly="false">
      <xsd:simpleType>
        <xsd:restriction base="dms:Boolean"/>
      </xsd:simpleType>
    </xsd:element>
    <xsd:element name="C4ITSpecialHeavyBuidlingTXT" ma:index="95" nillable="true" ma:displayName="C4ITSpecialHeavyBuidlingTXT" ma:internalName="C4ITSpecialHeavyBuidlingTXT" ma:readOnly="false">
      <xsd:simpleType>
        <xsd:restriction base="dms:Text">
          <xsd:maxLength value="255"/>
        </xsd:restriction>
      </xsd:simpleType>
    </xsd:element>
    <xsd:element name="C4ITEnviromentEngineeringTXT" ma:index="96" nillable="true" ma:displayName="C4ITEnviromentEngineeringTXT" ma:internalName="C4ITEnviromentEngineeringTXT" ma:readOnly="false">
      <xsd:simpleType>
        <xsd:restriction base="dms:Text">
          <xsd:maxLength value="255"/>
        </xsd:restriction>
      </xsd:simpleType>
    </xsd:element>
    <xsd:element name="C4ITQMSubProcessTXT" ma:index="97" nillable="true" ma:displayName="C4ITQMSubProcessTXT" ma:internalName="C4ITQMSubProcessTXT" ma:readOnly="false">
      <xsd:simpleType>
        <xsd:restriction base="dms:Text">
          <xsd:maxLength value="255"/>
        </xsd:restriction>
      </xsd:simpleType>
    </xsd:element>
    <xsd:element name="C4ITCraftTXT" ma:index="98" nillable="true" ma:displayName="C4ITCraftTXT" ma:internalName="C4ITCraftTXT" ma:readOnly="false">
      <xsd:simpleType>
        <xsd:restriction base="dms:Text">
          <xsd:maxLength value="255"/>
        </xsd:restriction>
      </xsd:simpleType>
    </xsd:element>
    <xsd:element name="C4ITTopicTXT" ma:index="99" nillable="true" ma:displayName="C4ITTopicTXT" ma:internalName="C4ITTopicTXT" ma:readOnly="false">
      <xsd:simpleType>
        <xsd:restriction base="dms:Note">
          <xsd:maxLength value="255"/>
        </xsd:restriction>
      </xsd:simpleType>
    </xsd:element>
    <xsd:element name="C4ITIsAtt" ma:index="100" nillable="true" ma:displayName="Ist Anlage" ma:default="0" ma:internalName="C4ITIsAtt" ma:readOnly="false">
      <xsd:simpleType>
        <xsd:restriction base="dms:Boolean"/>
      </xsd:simpleType>
    </xsd:element>
    <xsd:element name="C4ITSSC" ma:index="101" nillable="true" ma:displayName="Stabstelle/SSC" ma:list="{679f96bf-5db5-46a1-9874-606f60b49805}" ma:internalName="C4ITSSC" ma:readOnly="false" ma:showField="Title" ma:web="9b5e3183-1c41-493a-828b-cc05ff6f8edf">
      <xsd:simpleType>
        <xsd:restriction base="dms:Lookup"/>
      </xsd:simpleType>
    </xsd:element>
    <xsd:element name="C4ITVers" ma:index="102" nillable="true" ma:displayName="VersABC" ma:internalName="C4ITVers" ma:readOnly="false">
      <xsd:simpleType>
        <xsd:restriction base="dms:Text">
          <xsd:maxLength value="255"/>
        </xsd:restriction>
      </xsd:simpleType>
    </xsd:element>
    <xsd:element name="C4ITSyncID" ma:index="103" nillable="true" ma:displayName="SyncID" ma:decimals="0" ma:internalName="C4ITSyncID" ma:readOnly="false" ma:percentage="FALSE">
      <xsd:simpleType>
        <xsd:restriction base="dms:Number">
          <xsd:minInclusive value="0"/>
        </xsd:restriction>
      </xsd:simpleType>
    </xsd:element>
    <xsd:element name="C4ITParentDocNumber" ma:index="104" nillable="true" ma:displayName="C4ITParentDocNumber" ma:internalName="C4ITParentDocNumber" ma:readOnly="false">
      <xsd:simpleType>
        <xsd:restriction base="dms:Text">
          <xsd:maxLength value="255"/>
        </xsd:restriction>
      </xsd:simpleType>
    </xsd:element>
    <xsd:element name="C4ITDocumentNumberRL" ma:index="105" nillable="true" ma:displayName="C4ITDocumentNumberRL" ma:internalName="C4ITDocumentNumberRL" ma:readOnly="false">
      <xsd:simpleType>
        <xsd:restriction base="dms:Text">
          <xsd:maxLength value="255"/>
        </xsd:restriction>
      </xsd:simpleType>
    </xsd:element>
    <xsd:element name="C4ITDocumentNumberPB" ma:index="106" nillable="true" ma:displayName="C4ITDocumentNumberPB" ma:internalName="C4ITDocumentNumberPB" ma:readOnly="false">
      <xsd:simpleType>
        <xsd:restriction base="dms:Text">
          <xsd:maxLength value="255"/>
        </xsd:restriction>
      </xsd:simpleType>
    </xsd:element>
    <xsd:element name="C4ITDocumentNumberAA" ma:index="107" nillable="true" ma:displayName="C4ITDocumentNumberAA" ma:internalName="C4ITDocumentNumberAA" ma:readOnly="false">
      <xsd:simpleType>
        <xsd:restriction base="dms:Text">
          <xsd:maxLength value="255"/>
        </xsd:restriction>
      </xsd:simpleType>
    </xsd:element>
    <xsd:element name="C4ITUpdateAttachmentsMetadata" ma:index="108" nillable="true" ma:displayName="C4ITUpdateAttachmentsMetadata" ma:default="0" ma:internalName="C4ITUpdateAttachmentsMetadata" ma:readOnly="false">
      <xsd:simpleType>
        <xsd:restriction base="dms:Boolean"/>
      </xsd:simpleType>
    </xsd:element>
    <xsd:element name="C4ITStartOfValidation" ma:index="109" nillable="true" ma:displayName="C4ITStartOfValidation" ma:format="DateOnly" ma:internalName="C4ITStartOfValidation" ma:readOnly="false">
      <xsd:simpleType>
        <xsd:restriction base="dms:DateTime"/>
      </xsd:simpleType>
    </xsd:element>
    <xsd:element name="C4ITReplaceId" ma:index="111" nillable="true" ma:displayName="C4ITReplaceId" ma:indexed="true" ma:internalName="C4ITReplaceId" ma:readOnly="false" ma:percentage="FALSE">
      <xsd:simpleType>
        <xsd:restriction base="dms:Number"/>
      </xsd:simpleType>
    </xsd:element>
    <xsd:element name="PORR-SPID-OnPrem" ma:index="113" nillable="true" ma:displayName="PORR-SPID-OnPrem" ma:internalName="PORR_x002d_SPID_x002d_OnPrem">
      <xsd:simpleType>
        <xsd:restriction base="dms:Number"/>
      </xsd:simpleType>
    </xsd:element>
    <xsd:element name="C4ITParentTXT" ma:index="114" nillable="true" ma:displayName="Übergeordnetes Dokument" ma:internalName="C4ITParentTXT" ma:readOnly="false">
      <xsd:simpleType>
        <xsd:restriction base="dms:Text">
          <xsd:maxLength value="255"/>
        </xsd:restriction>
      </xsd:simpleType>
    </xsd:element>
    <xsd:element name="C4ITDocNrAdd" ma:index="116" nillable="true" ma:displayName="C4ITDocNrAdd" ma:list="{e5038009-925f-4171-a0da-d852b49f8ef0}" ma:internalName="C4ITDocNrAdd" ma:readOnly="false" ma:showField="C4ITDocumentNumber"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Description" ma:index="117" nillable="true" ma:displayName="Beschreibung der Änderung" ma:internalName="C4ITDescription" ma:readOnly="false">
      <xsd:simpleType>
        <xsd:restriction base="dms:Note">
          <xsd:maxLength value="255"/>
        </xsd:restriction>
      </xsd:simpleType>
    </xsd:element>
    <xsd:element name="Formfest" ma:index="120" nillable="true" ma:displayName="Formfest" ma:default="0" ma:internalName="Formfest" ma:readOnly="false">
      <xsd:simpleType>
        <xsd:restriction base="dms:Boolean"/>
      </xsd:simpleType>
    </xsd:element>
    <xsd:element name="C4ITResubmissionPerson" ma:index="121" nillable="true" ma:displayName="Jährliche Inhaltskontrolle Bearbeiter" ma:list="UserInfo" ma:SharePointGroup="0" ma:internalName="C4ITResubmissionPerson"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TunnelConstruction" ma:index="123" nillable="true" ma:displayName="Tunnelbau" ma:list="{62223b68-1125-4f44-97ba-ec29a0cc82ba}" ma:internalName="C4ITTunnelConstr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RealEstateAssetManagement" ma:index="124" nillable="true" ma:displayName="Immobilienverwaltung" ma:list="{62223b68-1125-4f44-97ba-ec29a0cc82ba}" ma:internalName="C4ITRealEstateAssetManagemen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MixMarkings" ma:index="125" nillable="true" ma:displayName="Mischanlagen" ma:list="{62223b68-1125-4f44-97ba-ec29a0cc82ba}" ma:internalName="C4ITMixMarking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laceOfProduction" ma:index="126" nillable="true" ma:displayName="Produktionsstätten" ma:list="{62223b68-1125-4f44-97ba-ec29a0cc82ba}" ma:internalName="C4ITPlaceOfProd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TaxCatchAll" ma:index="129" nillable="true" ma:displayName="Taxonomy Catch All Column" ma:hidden="true" ma:list="{8a0e4b9f-82ad-4f70-ae9b-2d29080d53fc}" ma:internalName="TaxCatchAll" ma:showField="CatchAllData"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ab7c186730eb4bdb8101ef3ab99d865b" ma:index="133" nillable="true" ma:displayName="LocInDBA_0" ma:hidden="true" ma:internalName="ab7c186730eb4bdb8101ef3ab99d865b" ma:readOnly="false">
      <xsd:simpleType>
        <xsd:restriction base="dms:Note"/>
      </xsd:simpleType>
    </xsd:element>
    <xsd:element name="TaxCatchAllLabel" ma:index="134" nillable="true" ma:displayName="Taxonomy Catch All Column1" ma:hidden="true" ma:list="{8a0e4b9f-82ad-4f70-ae9b-2d29080d53fc}" ma:internalName="TaxCatchAllLabel" ma:readOnly="true" ma:showField="CatchAllDataLabel"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_dlc_DocId" ma:index="137" nillable="true" ma:displayName="Wert der Dokument-ID" ma:description="Der Wert der diesem Element zugewiesenen Dokument-ID." ma:indexed="true" ma:internalName="_dlc_DocId" ma:readOnly="true">
      <xsd:simpleType>
        <xsd:restriction base="dms:Text"/>
      </xsd:simpleType>
    </xsd:element>
    <xsd:element name="_dlc_DocIdUrl" ma:index="138"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39"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e5038009-925f-4171-a0da-d852b49f8ef0" elementFormDefault="qualified">
    <xsd:import namespace="http://schemas.microsoft.com/office/2006/documentManagement/types"/>
    <xsd:import namespace="http://schemas.microsoft.com/office/infopath/2007/PartnerControls"/>
    <xsd:element name="MediaServiceMetadata1" ma:index="43" nillable="true" ma:displayName="MediaServiceMetadata" ma:description="" ma:hidden="true" ma:internalName="MediaServiceMetadata0" ma:readOnly="true">
      <xsd:simpleType>
        <xsd:restriction base="dms:Note"/>
      </xsd:simpleType>
    </xsd:element>
    <xsd:element name="MediaServiceFastMetadata1" ma:index="44" nillable="true" ma:displayName="MediaServiceFastMetadata" ma:description="" ma:hidden="true" ma:internalName="MediaServiceFastMetadata0" ma:readOnly="true">
      <xsd:simpleType>
        <xsd:restriction base="dms:Note"/>
      </xsd:simpleType>
    </xsd:element>
    <xsd:element name="C4ITUpdateATT" ma:index="110" nillable="true" ma:displayName="C4ITUpdateATT" ma:internalName="C4ITUpdateATT">
      <xsd:complexType>
        <xsd:complexContent>
          <xsd:extension base="dms:URL">
            <xsd:sequence>
              <xsd:element name="Url" type="dms:ValidUrl" minOccurs="0" nillable="true"/>
              <xsd:element name="Description" type="xsd:string" nillable="true"/>
            </xsd:sequence>
          </xsd:extension>
        </xsd:complexContent>
      </xsd:complexType>
    </xsd:element>
    <xsd:element name="C4ITUpdateLookUpFields" ma:index="112" nillable="true" ma:displayName="C4ITUpdateLookUpFields" ma:internalName="C4ITUpdateLookUpFields">
      <xsd:complexType>
        <xsd:complexContent>
          <xsd:extension base="dms:URL">
            <xsd:sequence>
              <xsd:element name="Url" type="dms:ValidUrl" minOccurs="0" nillable="true"/>
              <xsd:element name="Description" type="xsd:string" nillable="true"/>
            </xsd:sequence>
          </xsd:extension>
        </xsd:complexContent>
      </xsd:complexType>
    </xsd:element>
    <xsd:element name="C4ITSetRI" ma:index="115" nillable="true" ma:displayName="C4ITSetRI" ma:internalName="C4ITSetRI">
      <xsd:complexType>
        <xsd:complexContent>
          <xsd:extension base="dms:URL">
            <xsd:sequence>
              <xsd:element name="Url" type="dms:ValidUrl" minOccurs="0" nillable="true"/>
              <xsd:element name="Description" type="xsd:string" nillable="true"/>
            </xsd:sequence>
          </xsd:extension>
        </xsd:complexContent>
      </xsd:complexType>
    </xsd:element>
    <xsd:element name="MediaServiceAutoKeyPoints" ma:index="118" nillable="true" ma:displayName="MediaServiceAutoKeyPoints" ma:hidden="true" ma:internalName="MediaServiceAutoKeyPoints" ma:readOnly="true">
      <xsd:simpleType>
        <xsd:restriction base="dms:Note"/>
      </xsd:simpleType>
    </xsd:element>
    <xsd:element name="MediaServiceKeyPoints" ma:index="119" nillable="true" ma:displayName="KeyPoints" ma:internalName="MediaServiceKeyPoints" ma:readOnly="true">
      <xsd:simpleType>
        <xsd:restriction base="dms:Note">
          <xsd:maxLength value="255"/>
        </xsd:restriction>
      </xsd:simpleType>
    </xsd:element>
    <xsd:element name="C4ITSetPermissions" ma:index="122" nillable="true" ma:displayName="C4ITSetPermissions" ma:internalName="C4ITSetPermissions">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128" nillable="true" ma:taxonomy="true" ma:internalName="lcf76f155ced4ddcb4097134ff3c332f" ma:taxonomyFieldName="MediaServiceImageTags" ma:displayName="Bildmarkierungen" ma:readOnly="false" ma:fieldId="{5cf76f15-5ced-4ddc-b409-7134ff3c332f}" ma:taxonomyMulti="true" ma:sspId="628c249b-8171-4c3b-9112-f992fe536114" ma:termSetId="09814cd3-568e-fe90-9814-8d621ff8fb84" ma:anchorId="fba54fb3-c3e1-fe81-a776-ca4b69148c4d" ma:open="true" ma:isKeyword="false">
      <xsd:complexType>
        <xsd:sequence>
          <xsd:element ref="pc:Terms" minOccurs="0" maxOccurs="1"/>
        </xsd:sequence>
      </xsd:complexType>
    </xsd:element>
    <xsd:element name="MediaServiceGenerationTime" ma:index="130" nillable="true" ma:displayName="MediaServiceGenerationTime" ma:hidden="true" ma:internalName="MediaServiceGenerationTime" ma:readOnly="true">
      <xsd:simpleType>
        <xsd:restriction base="dms:Text"/>
      </xsd:simpleType>
    </xsd:element>
    <xsd:element name="MediaServiceEventHashCode" ma:index="131" nillable="true" ma:displayName="MediaServiceEventHashCode" ma:hidden="true" ma:internalName="MediaServiceEventHashCode" ma:readOnly="true">
      <xsd:simpleType>
        <xsd:restriction base="dms:Text"/>
      </xsd:simpleType>
    </xsd:element>
    <xsd:element name="MediaServiceObjectDetectorVersions" ma:index="132" nillable="true" ma:displayName="MediaServiceObjectDetectorVersions" ma:hidden="true" ma:indexed="true" ma:internalName="MediaServiceObjectDetectorVersions" ma:readOnly="true">
      <xsd:simpleType>
        <xsd:restriction base="dms:Text"/>
      </xsd:simpleType>
    </xsd:element>
    <xsd:element name="MediaServiceSearchProperties" ma:index="13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560639-E8F8-43B9-AD13-46599BA4841A}">
  <ds:schemaRefs>
    <ds:schemaRef ds:uri="http://schemas.microsoft.com/sharepoint/events"/>
  </ds:schemaRefs>
</ds:datastoreItem>
</file>

<file path=customXml/itemProps2.xml><?xml version="1.0" encoding="utf-8"?>
<ds:datastoreItem xmlns:ds="http://schemas.openxmlformats.org/officeDocument/2006/customXml" ds:itemID="{85B2C80A-2FE8-4FB4-8640-F7B3A3F7DF9C}">
  <ds:schemaRefs>
    <ds:schemaRef ds:uri="http://purl.org/dc/elements/1.1/"/>
    <ds:schemaRef ds:uri="http://schemas.microsoft.com/office/2006/documentManagement/types"/>
    <ds:schemaRef ds:uri="http://purl.org/dc/terms/"/>
    <ds:schemaRef ds:uri="e5038009-925f-4171-a0da-d852b49f8ef0"/>
    <ds:schemaRef ds:uri="http://purl.org/dc/dcmitype/"/>
    <ds:schemaRef ds:uri="http://schemas.microsoft.com/office/infopath/2007/PartnerControls"/>
    <ds:schemaRef ds:uri="http://schemas.openxmlformats.org/package/2006/metadata/core-properties"/>
    <ds:schemaRef ds:uri="9b5e3183-1c41-493a-828b-cc05ff6f8edf"/>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20B6B38C-0E3D-4189-B7EE-1415D1DBD121}">
  <ds:schemaRefs>
    <ds:schemaRef ds:uri="http://schemas.microsoft.com/sharepoint/v3/contenttype/forms"/>
  </ds:schemaRefs>
</ds:datastoreItem>
</file>

<file path=customXml/itemProps4.xml><?xml version="1.0" encoding="utf-8"?>
<ds:datastoreItem xmlns:ds="http://schemas.openxmlformats.org/officeDocument/2006/customXml" ds:itemID="{7E70E5AB-BB6B-4C0F-A243-3CD6BA66EE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5e3183-1c41-493a-828b-cc05ff6f8edf"/>
    <ds:schemaRef ds:uri="e5038009-925f-4171-a0da-d852b49f8ef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Procurement Schedule</vt:lpstr>
      <vt:lpstr>dane wykres</vt:lpstr>
      <vt:lpstr>MSR_2</vt:lpstr>
      <vt:lpstr>'Procurement Schedule'!Print_Area</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Harmonogram zakupów</dc:title>
  <dc:subject/>
  <dc:creator/>
  <cp:keywords/>
  <dc:description/>
  <cp:lastModifiedBy/>
  <dcterms:created xsi:type="dcterms:W3CDTF">2018-04-09T06:59:37Z</dcterms:created>
  <dcterms:modified xsi:type="dcterms:W3CDTF">2026-05-15T14:01:20Z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chlagworte">
    <vt:lpwstr/>
  </property>
  <property fmtid="{D5CDD505-2E9C-101B-9397-08002B2CF9AE}" pid="3" name="ContentTypeId">
    <vt:lpwstr>0x01010018A4D8DEE8639444A2A5B254A46FD69B0600F52647DE906C9B40AF671B31F8A22146</vt:lpwstr>
  </property>
  <property fmtid="{D5CDD505-2E9C-101B-9397-08002B2CF9AE}" pid="4" name="kaufmaennischeshandbuch">
    <vt:lpwstr>68;#04 Ausschreibung / Tender|ef962e53-0fe0-4a1b-89a0-75b3c144146d</vt:lpwstr>
  </property>
  <property fmtid="{D5CDD505-2E9C-101B-9397-08002B2CF9AE}" pid="5" name="_dlc_DocIdItemGuid">
    <vt:lpwstr>8d6742ef-f3e5-465f-857f-4a1a3e0c1b6f</vt:lpwstr>
  </property>
  <property fmtid="{D5CDD505-2E9C-101B-9397-08002B2CF9AE}" pid="6" name="RID">
    <vt:r8>2783</vt:r8>
  </property>
  <property fmtid="{D5CDD505-2E9C-101B-9397-08002B2CF9AE}" pid="7" name="WorkflowChangePath">
    <vt:lpwstr>01906fe5-6464-46e0-871f-7af39fbb0bf8,17;1c9f1cb5-6f9e-4641-ad8a-05f76282b397,21;1c9f1cb5-6f9e-4641-ad8a-05f76282b397,25;1c9f1cb5-6f9e-4641-ad8a-05f76282b397,33;1c9f1cb5-6f9e-4641-ad8a-05f76282b397,37;1c9f1cb5-6f9e-4641-ad8a-05f76282b397,39;1c9f1cb5-6f9e-4</vt:lpwstr>
  </property>
  <property fmtid="{D5CDD505-2E9C-101B-9397-08002B2CF9AE}" pid="8" name="Order">
    <vt:r8>550900</vt:r8>
  </property>
  <property fmtid="{D5CDD505-2E9C-101B-9397-08002B2CF9AE}" pid="9" name="Organisationtree">
    <vt:lpwstr/>
  </property>
  <property fmtid="{D5CDD505-2E9C-101B-9397-08002B2CF9AE}" pid="10" name="Gewerk">
    <vt:lpwstr/>
  </property>
  <property fmtid="{D5CDD505-2E9C-101B-9397-08002B2CF9AE}" pid="11" name="Organisation">
    <vt:lpwstr/>
  </property>
  <property fmtid="{D5CDD505-2E9C-101B-9397-08002B2CF9AE}" pid="12" name="PORR-SPID-OnPrem">
    <vt:r8>5509</vt:r8>
  </property>
  <property fmtid="{D5CDD505-2E9C-101B-9397-08002B2CF9AE}" pid="13" name="PORRVersionAlphaNum">
    <vt:lpwstr>B</vt:lpwstr>
  </property>
  <property fmtid="{D5CDD505-2E9C-101B-9397-08002B2CF9AE}" pid="14" name="C4ITValidation (1)">
    <vt:lpwstr>, </vt:lpwstr>
  </property>
  <property fmtid="{D5CDD505-2E9C-101B-9397-08002B2CF9AE}" pid="15" name="C4ITReworkDocument">
    <vt:lpwstr>, </vt:lpwstr>
  </property>
  <property fmtid="{D5CDD505-2E9C-101B-9397-08002B2CF9AE}" pid="16" name="Dummy">
    <vt:bool>false</vt:bool>
  </property>
  <property fmtid="{D5CDD505-2E9C-101B-9397-08002B2CF9AE}" pid="17" name="C4ITReworkDocument (1)">
    <vt:lpwstr>, </vt:lpwstr>
  </property>
  <property fmtid="{D5CDD505-2E9C-101B-9397-08002B2CF9AE}" pid="18" name="C4ITValidationTask (1)">
    <vt:lpwstr>, </vt:lpwstr>
  </property>
  <property fmtid="{D5CDD505-2E9C-101B-9397-08002B2CF9AE}" pid="19" name="C4ITApprovalRound">
    <vt:r8>1</vt:r8>
  </property>
  <property fmtid="{D5CDD505-2E9C-101B-9397-08002B2CF9AE}" pid="20" name="C4ITRemindedPerson">
    <vt:lpwstr/>
  </property>
  <property fmtid="{D5CDD505-2E9C-101B-9397-08002B2CF9AE}" pid="21" name="C4ITLinkedDocSyncID">
    <vt:r8>1310</vt:r8>
  </property>
  <property fmtid="{D5CDD505-2E9C-101B-9397-08002B2CF9AE}" pid="22" name="C4ITUpdateChild">
    <vt:bool>true</vt:bool>
  </property>
  <property fmtid="{D5CDD505-2E9C-101B-9397-08002B2CF9AE}" pid="23" name="C4ITWorkflow">
    <vt:lpwstr>https://porrag.sharepoint.com/sites/IMS/_layouts/15/Workflow.aspx?ID=1562&amp;List=%7B9205a705-e5b3-4809-98f7-cf2078b39960%7D, C4ITValidationTask</vt:lpwstr>
  </property>
  <property fmtid="{D5CDD505-2E9C-101B-9397-08002B2CF9AE}" pid="24" name="C4ITApprovalTask">
    <vt:lpwstr>, </vt:lpwstr>
  </property>
  <property fmtid="{D5CDD505-2E9C-101B-9397-08002B2CF9AE}" pid="25" name="C4ITCleanWrongTranslations">
    <vt:lpwstr>https://porrag.sharepoint.com/sites/IMS/_layouts/15/wrkstat.aspx?List=9205a705-e5b3-4809-98f7-cf2078b39960&amp;WorkflowInstanceName=35497d24-3ede-4569-b17b-14383d2fea96, Finished</vt:lpwstr>
  </property>
  <property fmtid="{D5CDD505-2E9C-101B-9397-08002B2CF9AE}" pid="26" name="C4ITResubmissionMonth">
    <vt:lpwstr>12</vt:lpwstr>
  </property>
  <property fmtid="{D5CDD505-2E9C-101B-9397-08002B2CF9AE}" pid="27" name="C4ITRecallDocument">
    <vt:lpwstr>, </vt:lpwstr>
  </property>
  <property fmtid="{D5CDD505-2E9C-101B-9397-08002B2CF9AE}" pid="28" name="C4ITMultiToText">
    <vt:lpwstr>, </vt:lpwstr>
  </property>
  <property fmtid="{D5CDD505-2E9C-101B-9397-08002B2CF9AE}" pid="29" name="C4ITPSUpdated">
    <vt:bool>false</vt:bool>
  </property>
  <property fmtid="{D5CDD505-2E9C-101B-9397-08002B2CF9AE}" pid="30" name="C4ITValidationTask">
    <vt:lpwstr>, </vt:lpwstr>
  </property>
  <property fmtid="{D5CDD505-2E9C-101B-9397-08002B2CF9AE}" pid="31" name="C4ITApprovalCopy">
    <vt:lpwstr>, </vt:lpwstr>
  </property>
  <property fmtid="{D5CDD505-2E9C-101B-9397-08002B2CF9AE}" pid="32" name="C4ITResubmissionTask">
    <vt:lpwstr>, </vt:lpwstr>
  </property>
  <property fmtid="{D5CDD505-2E9C-101B-9397-08002B2CF9AE}" pid="33" name="C4ITReplaceId">
    <vt:r8>3</vt:r8>
  </property>
  <property fmtid="{D5CDD505-2E9C-101B-9397-08002B2CF9AE}" pid="34" name="C4ITInitDocument (1)">
    <vt:lpwstr>, </vt:lpwstr>
  </property>
  <property fmtid="{D5CDD505-2E9C-101B-9397-08002B2CF9AE}" pid="35" name="C4ITInitDocument">
    <vt:lpwstr>, </vt:lpwstr>
  </property>
  <property fmtid="{D5CDD505-2E9C-101B-9397-08002B2CF9AE}" pid="36" name="C4ITApprovalCopy (1)">
    <vt:lpwstr>, </vt:lpwstr>
  </property>
  <property fmtid="{D5CDD505-2E9C-101B-9397-08002B2CF9AE}" pid="37" name="C4ITProcessSyncID">
    <vt:r8>2086</vt:r8>
  </property>
  <property fmtid="{D5CDD505-2E9C-101B-9397-08002B2CF9AE}" pid="38" name="C4ITRecallDocumentTask">
    <vt:lpwstr>, </vt:lpwstr>
  </property>
  <property fmtid="{D5CDD505-2E9C-101B-9397-08002B2CF9AE}" pid="39" name="C4ITRecallDocumentTask (1)">
    <vt:lpwstr>, </vt:lpwstr>
  </property>
  <property fmtid="{D5CDD505-2E9C-101B-9397-08002B2CF9AE}" pid="40" name="C4ITParentTXT">
    <vt:lpwstr>PB QM-Plan / QM Plan</vt:lpwstr>
  </property>
  <property fmtid="{D5CDD505-2E9C-101B-9397-08002B2CF9AE}" pid="41" name="C4ITItemLock">
    <vt:bool>true</vt:bool>
  </property>
  <property fmtid="{D5CDD505-2E9C-101B-9397-08002B2CF9AE}" pid="42" name="C4ITValidation">
    <vt:lpwstr>, </vt:lpwstr>
  </property>
  <property fmtid="{D5CDD505-2E9C-101B-9397-08002B2CF9AE}" pid="43" name="C4ITMainVersionComment">
    <vt:lpwstr>, </vt:lpwstr>
  </property>
  <property fmtid="{D5CDD505-2E9C-101B-9397-08002B2CF9AE}" pid="44" name="C4ITWorkflowTask">
    <vt:lpwstr>, </vt:lpwstr>
  </property>
  <property fmtid="{D5CDD505-2E9C-101B-9397-08002B2CF9AE}" pid="45" name="C4ITApprovalTask (1)">
    <vt:lpwstr>, </vt:lpwstr>
  </property>
  <property fmtid="{D5CDD505-2E9C-101B-9397-08002B2CF9AE}" pid="46" name="C4ITUpdateAttachments">
    <vt:lpwstr>, </vt:lpwstr>
  </property>
  <property fmtid="{D5CDD505-2E9C-101B-9397-08002B2CF9AE}" pid="47" name="C4ITUpdateApprovedDocuments">
    <vt:lpwstr>, </vt:lpwstr>
  </property>
  <property fmtid="{D5CDD505-2E9C-101B-9397-08002B2CF9AE}" pid="48" name="C4ITStartQuestions">
    <vt:lpwstr>https://porrag.sharepoint.com/sites/IMS/Lists/C4ITStartQuestions/EditForm.aspx?ID=1818, Historie</vt:lpwstr>
  </property>
  <property fmtid="{D5CDD505-2E9C-101B-9397-08002B2CF9AE}" pid="49" name="C4ITUpdateAttachments (1)">
    <vt:lpwstr>, </vt:lpwstr>
  </property>
  <property fmtid="{D5CDD505-2E9C-101B-9397-08002B2CF9AE}" pid="50" name="C4ITUpdateTranslations">
    <vt:bool>false</vt:bool>
  </property>
  <property fmtid="{D5CDD505-2E9C-101B-9397-08002B2CF9AE}" pid="51" name="C4ITRecallDocument (1)">
    <vt:lpwstr>https://porrag.sharepoint.com/sites/IMS/_layouts/15/wrkstat.aspx?List=9205a705-e5b3-4809-98f7-cf2078b39960&amp;WorkflowInstanceName=02ec32df-77f4-49d1-beb8-8d6ab0b17ccd, Finished</vt:lpwstr>
  </property>
  <property fmtid="{D5CDD505-2E9C-101B-9397-08002B2CF9AE}" pid="52" name="C4ITHasWorkflowTask">
    <vt:bool>false</vt:bool>
  </property>
  <property fmtid="{D5CDD505-2E9C-101B-9397-08002B2CF9AE}" pid="53" name="C4ITPublishDocument">
    <vt:lpwstr>, </vt:lpwstr>
  </property>
  <property fmtid="{D5CDD505-2E9C-101B-9397-08002B2CF9AE}" pid="54" name="C4ITPublishDocument (1)">
    <vt:lpwstr>https://porrag.sharepoint.com/sites/IMS/_layouts/15/wrkstat.aspx?List=3df4bd7c-1276-4b49-8c82-2f48d946761b&amp;WorkflowInstanceName=e6041887-05e2-4aa0-a913-f0e9e41ff217, Copy document</vt:lpwstr>
  </property>
  <property fmtid="{D5CDD505-2E9C-101B-9397-08002B2CF9AE}" pid="55" name="MediaServiceImageTags">
    <vt:lpwstr/>
  </property>
  <property fmtid="{D5CDD505-2E9C-101B-9397-08002B2CF9AE}" pid="56" name="LocInDBA">
    <vt:lpwstr>20;#30-Udzielanie zleceń PODWYK-DOSTAW|161a48e5-49ca-448f-b476-67d59cc77817</vt:lpwstr>
  </property>
  <property fmtid="{D5CDD505-2E9C-101B-9397-08002B2CF9AE}" pid="57" name="C4ITResubmissionDate">
    <vt:filetime>2022-01-25T12:10:58Z</vt:filetime>
  </property>
  <property fmtid="{D5CDD505-2E9C-101B-9397-08002B2CF9AE}" pid="58" name="C4ITOldResponsible">
    <vt:lpwstr>5033;#Mroczkowska Magdalena</vt:lpwstr>
  </property>
  <property fmtid="{D5CDD505-2E9C-101B-9397-08002B2CF9AE}" pid="59" name="C4ITOpenXMLValidationDone">
    <vt:bool>true</vt:bool>
  </property>
</Properties>
</file>