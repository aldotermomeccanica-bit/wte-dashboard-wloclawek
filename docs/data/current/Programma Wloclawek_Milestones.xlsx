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TE\WTE_option81\wte-dashboard-v78-local-milestones\work_v78\data\current\"/>
    </mc:Choice>
  </mc:AlternateContent>
  <xr:revisionPtr revIDLastSave="0" documentId="13_ncr:1_{CABBA39F-6C59-4B92-BD24-AF920F433777}" xr6:coauthVersionLast="47" xr6:coauthVersionMax="47" xr10:uidLastSave="{00000000-0000-0000-0000-000000000000}"/>
  <bookViews>
    <workbookView xWindow="38280" yWindow="-120" windowWidth="29040" windowHeight="15720" xr2:uid="{B3FCC7AA-82E7-44FD-A105-E13C85BEDAC7}"/>
  </bookViews>
  <sheets>
    <sheet name="Milestones" sheetId="1" r:id="rId1"/>
    <sheet name="ACQ - Civile + Sanitary" sheetId="2" state="hidden" r:id="rId2"/>
    <sheet name="ACQ - Elettrici" sheetId="7" state="hidden" r:id="rId3"/>
    <sheet name="ACQ - Tecnologici" sheetId="8" state="hidden" r:id="rId4"/>
    <sheet name="MNT" sheetId="9" state="hidden" r:id="rId5"/>
  </sheets>
  <definedNames>
    <definedName name="_xlnm._FilterDatabase" localSheetId="1" hidden="1">'ACQ - Civile + Sanitary'!$B$4:$M$31</definedName>
    <definedName name="_xlnm._FilterDatabase" localSheetId="2" hidden="1">'ACQ - Elettrici'!$B$4:$M$16</definedName>
    <definedName name="_xlnm._FilterDatabase" localSheetId="3" hidden="1">'ACQ - Tecnologici'!$B$4:$M$122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9" l="1"/>
  <c r="H109" i="9" s="1"/>
  <c r="G108" i="9"/>
  <c r="H108" i="9" s="1"/>
  <c r="G107" i="9"/>
  <c r="H107" i="9" s="1"/>
  <c r="G106" i="9"/>
  <c r="H106" i="9" s="1"/>
  <c r="G105" i="9"/>
  <c r="H105" i="9" s="1"/>
  <c r="G104" i="9"/>
  <c r="H104" i="9" s="1"/>
  <c r="G103" i="9"/>
  <c r="H103" i="9" s="1"/>
  <c r="G102" i="9"/>
  <c r="H102" i="9" s="1"/>
  <c r="G100" i="9"/>
  <c r="H100" i="9" s="1"/>
  <c r="G99" i="9"/>
  <c r="H99" i="9" s="1"/>
  <c r="G97" i="9"/>
  <c r="H97" i="9" s="1"/>
  <c r="G96" i="9"/>
  <c r="H96" i="9" s="1"/>
  <c r="G95" i="9"/>
  <c r="H95" i="9" s="1"/>
  <c r="G93" i="9"/>
  <c r="H93" i="9" s="1"/>
  <c r="G92" i="9"/>
  <c r="H92" i="9" s="1"/>
  <c r="G91" i="9"/>
  <c r="H91" i="9" s="1"/>
  <c r="G89" i="9"/>
  <c r="H89" i="9" s="1"/>
  <c r="G88" i="9"/>
  <c r="H88" i="9" s="1"/>
  <c r="G86" i="9"/>
  <c r="H86" i="9" s="1"/>
  <c r="G85" i="9"/>
  <c r="H85" i="9" s="1"/>
  <c r="G84" i="9"/>
  <c r="H84" i="9" s="1"/>
  <c r="G83" i="9"/>
  <c r="H83" i="9" s="1"/>
  <c r="G82" i="9"/>
  <c r="H82" i="9" s="1"/>
  <c r="G81" i="9"/>
  <c r="H81" i="9" s="1"/>
  <c r="G80" i="9"/>
  <c r="H80" i="9" s="1"/>
  <c r="G79" i="9"/>
  <c r="H79" i="9" s="1"/>
  <c r="G77" i="9"/>
  <c r="H77" i="9" s="1"/>
  <c r="G76" i="9"/>
  <c r="H76" i="9" s="1"/>
  <c r="G75" i="9"/>
  <c r="H75" i="9" s="1"/>
  <c r="G73" i="9"/>
  <c r="H73" i="9" s="1"/>
  <c r="G72" i="9"/>
  <c r="H72" i="9" s="1"/>
  <c r="G70" i="9"/>
  <c r="H70" i="9" s="1"/>
  <c r="G69" i="9"/>
  <c r="H69" i="9" s="1"/>
  <c r="G67" i="9"/>
  <c r="H67" i="9" s="1"/>
  <c r="G66" i="9"/>
  <c r="H66" i="9" s="1"/>
  <c r="G64" i="9"/>
  <c r="H64" i="9" s="1"/>
  <c r="G63" i="9"/>
  <c r="H63" i="9" s="1"/>
  <c r="G61" i="9"/>
  <c r="H61" i="9" s="1"/>
  <c r="G60" i="9"/>
  <c r="H60" i="9" s="1"/>
  <c r="G59" i="9"/>
  <c r="H59" i="9" s="1"/>
  <c r="G58" i="9"/>
  <c r="H58" i="9" s="1"/>
  <c r="G56" i="9"/>
  <c r="H56" i="9" s="1"/>
  <c r="G55" i="9"/>
  <c r="H55" i="9" s="1"/>
  <c r="G54" i="9"/>
  <c r="H54" i="9" s="1"/>
  <c r="G52" i="9"/>
  <c r="H52" i="9" s="1"/>
  <c r="G51" i="9"/>
  <c r="H51" i="9" s="1"/>
  <c r="G50" i="9"/>
  <c r="H50" i="9" s="1"/>
  <c r="G49" i="9"/>
  <c r="H49" i="9" s="1"/>
  <c r="G47" i="9"/>
  <c r="H47" i="9" s="1"/>
  <c r="G46" i="9"/>
  <c r="H46" i="9" s="1"/>
  <c r="G45" i="9"/>
  <c r="H45" i="9" s="1"/>
  <c r="G44" i="9"/>
  <c r="H44" i="9" s="1"/>
  <c r="G43" i="9"/>
  <c r="H43" i="9" s="1"/>
  <c r="G42" i="9"/>
  <c r="H42" i="9" s="1"/>
  <c r="G40" i="9" l="1"/>
  <c r="H40" i="9" s="1"/>
  <c r="G39" i="9"/>
  <c r="H39" i="9" s="1"/>
  <c r="G38" i="9"/>
  <c r="H38" i="9" s="1"/>
  <c r="G37" i="9"/>
  <c r="H37" i="9" s="1"/>
  <c r="G36" i="9"/>
  <c r="H36" i="9" s="1"/>
  <c r="G35" i="9"/>
  <c r="H35" i="9" s="1"/>
  <c r="G34" i="9"/>
  <c r="H34" i="9" s="1"/>
  <c r="G33" i="9"/>
  <c r="H33" i="9" s="1"/>
  <c r="G32" i="9"/>
  <c r="H32" i="9" s="1"/>
  <c r="G31" i="9"/>
  <c r="H31" i="9" s="1"/>
  <c r="G30" i="9"/>
  <c r="H30" i="9" s="1"/>
  <c r="G29" i="9"/>
  <c r="H29" i="9" s="1"/>
  <c r="G28" i="9"/>
  <c r="H28" i="9" s="1"/>
  <c r="G27" i="9"/>
  <c r="H27" i="9" s="1"/>
  <c r="G26" i="9"/>
  <c r="H26" i="9" s="1"/>
  <c r="G25" i="9"/>
  <c r="H25" i="9" s="1"/>
  <c r="G24" i="9"/>
  <c r="H24" i="9" s="1"/>
  <c r="G23" i="9"/>
  <c r="H23" i="9" s="1"/>
  <c r="G22" i="9"/>
  <c r="H22" i="9" s="1"/>
  <c r="G21" i="9"/>
  <c r="H21" i="9" s="1"/>
  <c r="G20" i="9"/>
  <c r="H20" i="9" s="1"/>
  <c r="G19" i="9"/>
  <c r="H19" i="9" s="1"/>
  <c r="G11" i="9"/>
  <c r="H11" i="9" s="1"/>
  <c r="G17" i="9"/>
  <c r="H17" i="9" s="1"/>
  <c r="G13" i="9"/>
  <c r="H13" i="9" s="1"/>
  <c r="G14" i="9"/>
  <c r="H14" i="9" s="1"/>
  <c r="G15" i="9"/>
  <c r="H15" i="9" s="1"/>
  <c r="G16" i="9"/>
  <c r="H16" i="9" s="1"/>
  <c r="G12" i="9"/>
  <c r="H12" i="9" s="1"/>
  <c r="G10" i="9"/>
  <c r="H10" i="9" s="1"/>
  <c r="G9" i="9"/>
  <c r="H9" i="9" s="1"/>
  <c r="G8" i="9"/>
  <c r="H8" i="9" s="1"/>
  <c r="G6" i="9"/>
  <c r="H6" i="9" s="1"/>
  <c r="G146" i="9"/>
  <c r="H146" i="9" s="1"/>
  <c r="G147" i="9"/>
  <c r="H147" i="9" s="1"/>
  <c r="G148" i="9"/>
  <c r="H148" i="9" s="1"/>
  <c r="G149" i="9"/>
  <c r="H149" i="9" s="1"/>
  <c r="G150" i="9"/>
  <c r="H150" i="9" s="1"/>
  <c r="G151" i="9"/>
  <c r="H151" i="9" s="1"/>
  <c r="G152" i="9"/>
  <c r="H152" i="9" s="1"/>
  <c r="G153" i="9"/>
  <c r="H153" i="9" s="1"/>
  <c r="G137" i="9"/>
  <c r="H137" i="9" s="1"/>
  <c r="G156" i="9"/>
  <c r="H156" i="9" s="1"/>
  <c r="G155" i="9"/>
  <c r="H155" i="9" s="1"/>
  <c r="G154" i="9"/>
  <c r="H154" i="9" s="1"/>
  <c r="G145" i="9"/>
  <c r="H145" i="9" s="1"/>
  <c r="G144" i="9"/>
  <c r="H144" i="9" s="1"/>
  <c r="G143" i="9"/>
  <c r="H143" i="9" s="1"/>
  <c r="G142" i="9"/>
  <c r="H142" i="9" s="1"/>
  <c r="G141" i="9"/>
  <c r="H141" i="9" s="1"/>
  <c r="G140" i="9"/>
  <c r="H140" i="9" s="1"/>
  <c r="G139" i="9"/>
  <c r="H139" i="9" s="1"/>
  <c r="G138" i="9"/>
  <c r="H138" i="9" s="1"/>
  <c r="G136" i="9"/>
  <c r="H136" i="9" s="1"/>
  <c r="G135" i="9"/>
  <c r="H135" i="9" s="1"/>
  <c r="G134" i="9"/>
  <c r="H134" i="9" s="1"/>
  <c r="G133" i="9"/>
  <c r="H133" i="9" s="1"/>
  <c r="G132" i="9"/>
  <c r="H132" i="9" s="1"/>
  <c r="G131" i="9"/>
  <c r="H131" i="9" s="1"/>
  <c r="G130" i="9"/>
  <c r="H130" i="9" s="1"/>
  <c r="G129" i="9"/>
  <c r="H129" i="9" s="1"/>
  <c r="G128" i="9"/>
  <c r="H128" i="9" s="1"/>
  <c r="G127" i="9"/>
  <c r="H127" i="9" s="1"/>
  <c r="G126" i="9"/>
  <c r="H126" i="9" s="1"/>
  <c r="G125" i="9"/>
  <c r="H125" i="9" s="1"/>
  <c r="G124" i="9"/>
  <c r="H124" i="9" s="1"/>
  <c r="G123" i="9"/>
  <c r="H123" i="9" s="1"/>
  <c r="G122" i="9" l="1"/>
  <c r="H122" i="9" s="1"/>
  <c r="G121" i="9"/>
  <c r="H121" i="9" s="1"/>
  <c r="G120" i="9"/>
  <c r="H120" i="9" s="1"/>
  <c r="G119" i="9"/>
  <c r="H119" i="9" s="1"/>
  <c r="G118" i="9"/>
  <c r="H118" i="9" s="1"/>
  <c r="G117" i="9"/>
  <c r="H117" i="9" s="1"/>
  <c r="G116" i="9"/>
  <c r="H116" i="9" s="1"/>
  <c r="G115" i="9"/>
  <c r="H115" i="9" s="1"/>
  <c r="G114" i="9"/>
  <c r="H114" i="9" s="1"/>
  <c r="G113" i="9"/>
  <c r="H113" i="9" s="1"/>
  <c r="G112" i="9"/>
  <c r="H112" i="9" s="1"/>
  <c r="G111" i="9"/>
  <c r="H111" i="9" s="1"/>
  <c r="G110" i="9"/>
  <c r="H110" i="9" s="1"/>
  <c r="G101" i="9"/>
  <c r="H101" i="9" s="1"/>
  <c r="G98" i="9"/>
  <c r="H98" i="9" s="1"/>
  <c r="G94" i="9"/>
  <c r="H94" i="9" s="1"/>
  <c r="G90" i="9"/>
  <c r="H90" i="9" s="1"/>
  <c r="G87" i="9"/>
  <c r="H87" i="9" s="1"/>
  <c r="G78" i="9"/>
  <c r="H78" i="9" s="1"/>
  <c r="G74" i="9"/>
  <c r="H74" i="9" s="1"/>
  <c r="G71" i="9"/>
  <c r="H71" i="9" s="1"/>
  <c r="G68" i="9"/>
  <c r="H68" i="9" s="1"/>
  <c r="G65" i="9"/>
  <c r="H65" i="9" s="1"/>
  <c r="G62" i="9"/>
  <c r="H62" i="9" s="1"/>
  <c r="G57" i="9"/>
  <c r="H57" i="9" s="1"/>
  <c r="G53" i="9"/>
  <c r="H53" i="9" s="1"/>
  <c r="G48" i="9"/>
  <c r="H48" i="9" s="1"/>
  <c r="G41" i="9"/>
  <c r="H41" i="9" s="1"/>
  <c r="G18" i="9"/>
  <c r="H18" i="9" s="1"/>
  <c r="G7" i="9"/>
  <c r="H7" i="9" s="1"/>
  <c r="G5" i="9"/>
  <c r="H5" i="9" s="1"/>
  <c r="E1" i="9"/>
  <c r="I107" i="9" l="1"/>
  <c r="J107" i="9" s="1"/>
  <c r="I103" i="9"/>
  <c r="J103" i="9" s="1"/>
  <c r="K106" i="9"/>
  <c r="L106" i="9" s="1"/>
  <c r="K102" i="9"/>
  <c r="L102" i="9" s="1"/>
  <c r="I108" i="9"/>
  <c r="J108" i="9" s="1"/>
  <c r="I102" i="9"/>
  <c r="J102" i="9" s="1"/>
  <c r="K109" i="9"/>
  <c r="L109" i="9" s="1"/>
  <c r="K107" i="9"/>
  <c r="L107" i="9" s="1"/>
  <c r="K105" i="9"/>
  <c r="L105" i="9" s="1"/>
  <c r="K103" i="9"/>
  <c r="L103" i="9" s="1"/>
  <c r="I109" i="9"/>
  <c r="J109" i="9" s="1"/>
  <c r="I105" i="9"/>
  <c r="J105" i="9" s="1"/>
  <c r="K108" i="9"/>
  <c r="L108" i="9" s="1"/>
  <c r="K104" i="9"/>
  <c r="L104" i="9" s="1"/>
  <c r="I106" i="9"/>
  <c r="J106" i="9" s="1"/>
  <c r="I104" i="9"/>
  <c r="J104" i="9" s="1"/>
  <c r="I100" i="9"/>
  <c r="J100" i="9" s="1"/>
  <c r="K99" i="9"/>
  <c r="L99" i="9" s="1"/>
  <c r="I99" i="9"/>
  <c r="J99" i="9" s="1"/>
  <c r="K100" i="9"/>
  <c r="L100" i="9" s="1"/>
  <c r="K96" i="9"/>
  <c r="L96" i="9" s="1"/>
  <c r="I96" i="9"/>
  <c r="J96" i="9" s="1"/>
  <c r="K97" i="9"/>
  <c r="L97" i="9" s="1"/>
  <c r="K95" i="9"/>
  <c r="L95" i="9" s="1"/>
  <c r="I97" i="9"/>
  <c r="J97" i="9" s="1"/>
  <c r="I95" i="9"/>
  <c r="J95" i="9" s="1"/>
  <c r="I93" i="9"/>
  <c r="J93" i="9" s="1"/>
  <c r="I91" i="9"/>
  <c r="J91" i="9" s="1"/>
  <c r="K92" i="9"/>
  <c r="L92" i="9" s="1"/>
  <c r="I92" i="9"/>
  <c r="J92" i="9" s="1"/>
  <c r="K93" i="9"/>
  <c r="L93" i="9" s="1"/>
  <c r="K91" i="9"/>
  <c r="L91" i="9" s="1"/>
  <c r="K88" i="9"/>
  <c r="L88" i="9" s="1"/>
  <c r="I88" i="9"/>
  <c r="J88" i="9" s="1"/>
  <c r="K89" i="9"/>
  <c r="L89" i="9" s="1"/>
  <c r="I89" i="9"/>
  <c r="J89" i="9" s="1"/>
  <c r="K86" i="9"/>
  <c r="L86" i="9" s="1"/>
  <c r="K84" i="9"/>
  <c r="L84" i="9" s="1"/>
  <c r="K82" i="9"/>
  <c r="L82" i="9" s="1"/>
  <c r="K80" i="9"/>
  <c r="L80" i="9" s="1"/>
  <c r="I86" i="9"/>
  <c r="J86" i="9" s="1"/>
  <c r="I84" i="9"/>
  <c r="J84" i="9" s="1"/>
  <c r="I82" i="9"/>
  <c r="J82" i="9" s="1"/>
  <c r="I80" i="9"/>
  <c r="J80" i="9" s="1"/>
  <c r="K85" i="9"/>
  <c r="L85" i="9" s="1"/>
  <c r="K81" i="9"/>
  <c r="L81" i="9" s="1"/>
  <c r="K79" i="9"/>
  <c r="L79" i="9" s="1"/>
  <c r="I83" i="9"/>
  <c r="J83" i="9" s="1"/>
  <c r="K83" i="9"/>
  <c r="L83" i="9" s="1"/>
  <c r="I85" i="9"/>
  <c r="J85" i="9" s="1"/>
  <c r="I81" i="9"/>
  <c r="J81" i="9" s="1"/>
  <c r="I79" i="9"/>
  <c r="J79" i="9" s="1"/>
  <c r="K77" i="9"/>
  <c r="L77" i="9" s="1"/>
  <c r="K75" i="9"/>
  <c r="L75" i="9" s="1"/>
  <c r="I77" i="9"/>
  <c r="J77" i="9" s="1"/>
  <c r="I75" i="9"/>
  <c r="J75" i="9" s="1"/>
  <c r="K76" i="9"/>
  <c r="L76" i="9" s="1"/>
  <c r="I76" i="9"/>
  <c r="J76" i="9" s="1"/>
  <c r="I73" i="9"/>
  <c r="J73" i="9" s="1"/>
  <c r="K72" i="9"/>
  <c r="L72" i="9" s="1"/>
  <c r="K73" i="9"/>
  <c r="L73" i="9" s="1"/>
  <c r="I72" i="9"/>
  <c r="J72" i="9" s="1"/>
  <c r="I70" i="9"/>
  <c r="J70" i="9" s="1"/>
  <c r="K70" i="9"/>
  <c r="L70" i="9" s="1"/>
  <c r="K66" i="9"/>
  <c r="L66" i="9" s="1"/>
  <c r="K63" i="9"/>
  <c r="L63" i="9" s="1"/>
  <c r="K60" i="9"/>
  <c r="L60" i="9" s="1"/>
  <c r="K58" i="9"/>
  <c r="L58" i="9" s="1"/>
  <c r="K55" i="9"/>
  <c r="L55" i="9" s="1"/>
  <c r="K52" i="9"/>
  <c r="L52" i="9" s="1"/>
  <c r="K50" i="9"/>
  <c r="L50" i="9" s="1"/>
  <c r="I69" i="9"/>
  <c r="J69" i="9" s="1"/>
  <c r="I66" i="9"/>
  <c r="J66" i="9" s="1"/>
  <c r="I63" i="9"/>
  <c r="J63" i="9" s="1"/>
  <c r="I60" i="9"/>
  <c r="J60" i="9" s="1"/>
  <c r="I58" i="9"/>
  <c r="J58" i="9" s="1"/>
  <c r="I55" i="9"/>
  <c r="J55" i="9" s="1"/>
  <c r="I52" i="9"/>
  <c r="J52" i="9" s="1"/>
  <c r="I50" i="9"/>
  <c r="J50" i="9" s="1"/>
  <c r="I59" i="9"/>
  <c r="J59" i="9" s="1"/>
  <c r="I54" i="9"/>
  <c r="J54" i="9" s="1"/>
  <c r="I49" i="9"/>
  <c r="J49" i="9" s="1"/>
  <c r="K69" i="9"/>
  <c r="L69" i="9" s="1"/>
  <c r="K67" i="9"/>
  <c r="L67" i="9" s="1"/>
  <c r="K64" i="9"/>
  <c r="L64" i="9" s="1"/>
  <c r="K61" i="9"/>
  <c r="L61" i="9" s="1"/>
  <c r="K59" i="9"/>
  <c r="L59" i="9" s="1"/>
  <c r="K56" i="9"/>
  <c r="L56" i="9" s="1"/>
  <c r="K54" i="9"/>
  <c r="L54" i="9" s="1"/>
  <c r="K51" i="9"/>
  <c r="L51" i="9" s="1"/>
  <c r="K49" i="9"/>
  <c r="L49" i="9" s="1"/>
  <c r="I67" i="9"/>
  <c r="J67" i="9" s="1"/>
  <c r="I64" i="9"/>
  <c r="J64" i="9" s="1"/>
  <c r="I61" i="9"/>
  <c r="J61" i="9" s="1"/>
  <c r="I56" i="9"/>
  <c r="J56" i="9" s="1"/>
  <c r="I51" i="9"/>
  <c r="J51" i="9" s="1"/>
  <c r="I47" i="9"/>
  <c r="J47" i="9" s="1"/>
  <c r="I45" i="9"/>
  <c r="J45" i="9" s="1"/>
  <c r="I43" i="9"/>
  <c r="J43" i="9" s="1"/>
  <c r="K46" i="9"/>
  <c r="L46" i="9" s="1"/>
  <c r="K44" i="9"/>
  <c r="L44" i="9" s="1"/>
  <c r="K42" i="9"/>
  <c r="L42" i="9" s="1"/>
  <c r="I46" i="9"/>
  <c r="J46" i="9" s="1"/>
  <c r="I44" i="9"/>
  <c r="J44" i="9" s="1"/>
  <c r="I42" i="9"/>
  <c r="J42" i="9" s="1"/>
  <c r="K47" i="9"/>
  <c r="L47" i="9" s="1"/>
  <c r="K45" i="9"/>
  <c r="L45" i="9" s="1"/>
  <c r="K43" i="9"/>
  <c r="L43" i="9" s="1"/>
  <c r="I40" i="9"/>
  <c r="J40" i="9" s="1"/>
  <c r="I38" i="9"/>
  <c r="J38" i="9" s="1"/>
  <c r="K37" i="9"/>
  <c r="L37" i="9" s="1"/>
  <c r="K39" i="9"/>
  <c r="L39" i="9" s="1"/>
  <c r="I39" i="9"/>
  <c r="J39" i="9" s="1"/>
  <c r="I37" i="9"/>
  <c r="J37" i="9" s="1"/>
  <c r="K40" i="9"/>
  <c r="L40" i="9" s="1"/>
  <c r="K38" i="9"/>
  <c r="L38" i="9" s="1"/>
  <c r="I36" i="9"/>
  <c r="J36" i="9" s="1"/>
  <c r="K36" i="9"/>
  <c r="L36" i="9" s="1"/>
  <c r="K20" i="9"/>
  <c r="L20" i="9" s="1"/>
  <c r="I35" i="9"/>
  <c r="J35" i="9" s="1"/>
  <c r="I33" i="9"/>
  <c r="J33" i="9" s="1"/>
  <c r="I32" i="9"/>
  <c r="J32" i="9" s="1"/>
  <c r="I30" i="9"/>
  <c r="J30" i="9" s="1"/>
  <c r="I28" i="9"/>
  <c r="J28" i="9" s="1"/>
  <c r="I26" i="9"/>
  <c r="J26" i="9" s="1"/>
  <c r="I24" i="9"/>
  <c r="J24" i="9" s="1"/>
  <c r="I22" i="9"/>
  <c r="J22" i="9" s="1"/>
  <c r="I20" i="9"/>
  <c r="J20" i="9" s="1"/>
  <c r="K34" i="9"/>
  <c r="L34" i="9" s="1"/>
  <c r="K31" i="9"/>
  <c r="L31" i="9" s="1"/>
  <c r="K29" i="9"/>
  <c r="L29" i="9" s="1"/>
  <c r="K27" i="9"/>
  <c r="L27" i="9" s="1"/>
  <c r="K25" i="9"/>
  <c r="L25" i="9" s="1"/>
  <c r="K23" i="9"/>
  <c r="L23" i="9" s="1"/>
  <c r="K21" i="9"/>
  <c r="L21" i="9" s="1"/>
  <c r="K19" i="9"/>
  <c r="L19" i="9" s="1"/>
  <c r="I34" i="9"/>
  <c r="J34" i="9" s="1"/>
  <c r="I31" i="9"/>
  <c r="J31" i="9" s="1"/>
  <c r="I29" i="9"/>
  <c r="J29" i="9" s="1"/>
  <c r="I27" i="9"/>
  <c r="J27" i="9" s="1"/>
  <c r="I25" i="9"/>
  <c r="J25" i="9" s="1"/>
  <c r="I23" i="9"/>
  <c r="J23" i="9" s="1"/>
  <c r="I21" i="9"/>
  <c r="J21" i="9" s="1"/>
  <c r="I19" i="9"/>
  <c r="J19" i="9" s="1"/>
  <c r="K35" i="9"/>
  <c r="L35" i="9" s="1"/>
  <c r="K33" i="9"/>
  <c r="L33" i="9" s="1"/>
  <c r="K32" i="9"/>
  <c r="L32" i="9" s="1"/>
  <c r="K30" i="9"/>
  <c r="L30" i="9" s="1"/>
  <c r="K28" i="9"/>
  <c r="L28" i="9" s="1"/>
  <c r="K26" i="9"/>
  <c r="L26" i="9" s="1"/>
  <c r="K24" i="9"/>
  <c r="L24" i="9" s="1"/>
  <c r="K22" i="9"/>
  <c r="L22" i="9" s="1"/>
  <c r="I11" i="9"/>
  <c r="J11" i="9" s="1"/>
  <c r="K11" i="9"/>
  <c r="L11" i="9" s="1"/>
  <c r="I17" i="9"/>
  <c r="J17" i="9" s="1"/>
  <c r="K17" i="9"/>
  <c r="L17" i="9" s="1"/>
  <c r="I13" i="9"/>
  <c r="J13" i="9" s="1"/>
  <c r="I15" i="9"/>
  <c r="J15" i="9" s="1"/>
  <c r="K13" i="9"/>
  <c r="L13" i="9" s="1"/>
  <c r="K15" i="9"/>
  <c r="L15" i="9" s="1"/>
  <c r="I14" i="9"/>
  <c r="J14" i="9" s="1"/>
  <c r="I16" i="9"/>
  <c r="J16" i="9" s="1"/>
  <c r="K14" i="9"/>
  <c r="L14" i="9" s="1"/>
  <c r="K16" i="9"/>
  <c r="L16" i="9" s="1"/>
  <c r="K12" i="9"/>
  <c r="L12" i="9" s="1"/>
  <c r="I12" i="9"/>
  <c r="J12" i="9" s="1"/>
  <c r="K10" i="9"/>
  <c r="L10" i="9" s="1"/>
  <c r="K8" i="9"/>
  <c r="L8" i="9" s="1"/>
  <c r="I10" i="9"/>
  <c r="J10" i="9" s="1"/>
  <c r="I8" i="9"/>
  <c r="J8" i="9" s="1"/>
  <c r="K9" i="9"/>
  <c r="L9" i="9" s="1"/>
  <c r="I9" i="9"/>
  <c r="J9" i="9" s="1"/>
  <c r="K6" i="9"/>
  <c r="L6" i="9" s="1"/>
  <c r="I6" i="9"/>
  <c r="J6" i="9" s="1"/>
  <c r="K146" i="9"/>
  <c r="L146" i="9" s="1"/>
  <c r="I146" i="9"/>
  <c r="J146" i="9" s="1"/>
  <c r="I150" i="9"/>
  <c r="J150" i="9" s="1"/>
  <c r="I152" i="9"/>
  <c r="J152" i="9" s="1"/>
  <c r="K148" i="9"/>
  <c r="L148" i="9" s="1"/>
  <c r="K152" i="9"/>
  <c r="L152" i="9" s="1"/>
  <c r="I147" i="9"/>
  <c r="J147" i="9" s="1"/>
  <c r="I151" i="9"/>
  <c r="J151" i="9" s="1"/>
  <c r="I153" i="9"/>
  <c r="J153" i="9" s="1"/>
  <c r="K147" i="9"/>
  <c r="L147" i="9" s="1"/>
  <c r="K153" i="9"/>
  <c r="L153" i="9" s="1"/>
  <c r="I148" i="9"/>
  <c r="J148" i="9" s="1"/>
  <c r="K150" i="9"/>
  <c r="L150" i="9" s="1"/>
  <c r="I149" i="9"/>
  <c r="J149" i="9" s="1"/>
  <c r="K149" i="9"/>
  <c r="L149" i="9" s="1"/>
  <c r="K151" i="9"/>
  <c r="L151" i="9" s="1"/>
  <c r="K137" i="9"/>
  <c r="L137" i="9" s="1"/>
  <c r="I137" i="9"/>
  <c r="J137" i="9" s="1"/>
  <c r="K154" i="9"/>
  <c r="L154" i="9" s="1"/>
  <c r="K155" i="9"/>
  <c r="L155" i="9" s="1"/>
  <c r="K145" i="9"/>
  <c r="L145" i="9" s="1"/>
  <c r="I155" i="9"/>
  <c r="J155" i="9" s="1"/>
  <c r="I145" i="9"/>
  <c r="J145" i="9" s="1"/>
  <c r="K156" i="9"/>
  <c r="L156" i="9" s="1"/>
  <c r="I156" i="9"/>
  <c r="J156" i="9" s="1"/>
  <c r="I154" i="9"/>
  <c r="J154" i="9" s="1"/>
  <c r="K144" i="9"/>
  <c r="L144" i="9" s="1"/>
  <c r="K143" i="9"/>
  <c r="L143" i="9" s="1"/>
  <c r="I143" i="9"/>
  <c r="J143" i="9" s="1"/>
  <c r="I144" i="9"/>
  <c r="J144" i="9" s="1"/>
  <c r="K5" i="9"/>
  <c r="L5" i="9" s="1"/>
  <c r="I141" i="9"/>
  <c r="J141" i="9" s="1"/>
  <c r="I139" i="9"/>
  <c r="J139" i="9" s="1"/>
  <c r="I136" i="9"/>
  <c r="J136" i="9" s="1"/>
  <c r="I134" i="9"/>
  <c r="J134" i="9" s="1"/>
  <c r="I132" i="9"/>
  <c r="J132" i="9" s="1"/>
  <c r="I130" i="9"/>
  <c r="J130" i="9" s="1"/>
  <c r="I128" i="9"/>
  <c r="J128" i="9" s="1"/>
  <c r="I126" i="9"/>
  <c r="J126" i="9" s="1"/>
  <c r="I124" i="9"/>
  <c r="J124" i="9" s="1"/>
  <c r="K135" i="9"/>
  <c r="L135" i="9" s="1"/>
  <c r="K133" i="9"/>
  <c r="L133" i="9" s="1"/>
  <c r="K131" i="9"/>
  <c r="L131" i="9" s="1"/>
  <c r="K129" i="9"/>
  <c r="L129" i="9" s="1"/>
  <c r="K127" i="9"/>
  <c r="L127" i="9" s="1"/>
  <c r="K125" i="9"/>
  <c r="L125" i="9" s="1"/>
  <c r="K123" i="9"/>
  <c r="L123" i="9" s="1"/>
  <c r="K142" i="9"/>
  <c r="L142" i="9" s="1"/>
  <c r="K140" i="9"/>
  <c r="L140" i="9" s="1"/>
  <c r="K138" i="9"/>
  <c r="L138" i="9" s="1"/>
  <c r="I142" i="9"/>
  <c r="J142" i="9" s="1"/>
  <c r="I140" i="9"/>
  <c r="J140" i="9" s="1"/>
  <c r="I138" i="9"/>
  <c r="J138" i="9" s="1"/>
  <c r="I135" i="9"/>
  <c r="J135" i="9" s="1"/>
  <c r="I133" i="9"/>
  <c r="J133" i="9" s="1"/>
  <c r="I131" i="9"/>
  <c r="J131" i="9" s="1"/>
  <c r="I129" i="9"/>
  <c r="J129" i="9" s="1"/>
  <c r="I127" i="9"/>
  <c r="J127" i="9" s="1"/>
  <c r="I125" i="9"/>
  <c r="J125" i="9" s="1"/>
  <c r="I123" i="9"/>
  <c r="J123" i="9" s="1"/>
  <c r="K141" i="9"/>
  <c r="L141" i="9" s="1"/>
  <c r="K139" i="9"/>
  <c r="L139" i="9" s="1"/>
  <c r="K136" i="9"/>
  <c r="L136" i="9" s="1"/>
  <c r="K134" i="9"/>
  <c r="L134" i="9" s="1"/>
  <c r="K132" i="9"/>
  <c r="L132" i="9" s="1"/>
  <c r="K130" i="9"/>
  <c r="L130" i="9" s="1"/>
  <c r="K128" i="9"/>
  <c r="L128" i="9" s="1"/>
  <c r="K126" i="9"/>
  <c r="L126" i="9" s="1"/>
  <c r="K124" i="9"/>
  <c r="L124" i="9" s="1"/>
  <c r="K122" i="9"/>
  <c r="L122" i="9" s="1"/>
  <c r="I122" i="9"/>
  <c r="J122" i="9" s="1"/>
  <c r="I121" i="9"/>
  <c r="J121" i="9" s="1"/>
  <c r="K121" i="9"/>
  <c r="L121" i="9" s="1"/>
  <c r="K120" i="9"/>
  <c r="L120" i="9" s="1"/>
  <c r="K119" i="9"/>
  <c r="L119" i="9" s="1"/>
  <c r="I120" i="9"/>
  <c r="J120" i="9" s="1"/>
  <c r="I119" i="9"/>
  <c r="J119" i="9" s="1"/>
  <c r="K118" i="9"/>
  <c r="L118" i="9" s="1"/>
  <c r="I118" i="9"/>
  <c r="J118" i="9" s="1"/>
  <c r="I117" i="9"/>
  <c r="J117" i="9" s="1"/>
  <c r="K117" i="9"/>
  <c r="L117" i="9" s="1"/>
  <c r="I116" i="9"/>
  <c r="J116" i="9" s="1"/>
  <c r="K116" i="9"/>
  <c r="L116" i="9" s="1"/>
  <c r="I115" i="9"/>
  <c r="J115" i="9" s="1"/>
  <c r="K115" i="9"/>
  <c r="L115" i="9" s="1"/>
  <c r="I114" i="9"/>
  <c r="J114" i="9" s="1"/>
  <c r="K114" i="9"/>
  <c r="L114" i="9" s="1"/>
  <c r="K113" i="9"/>
  <c r="L113" i="9" s="1"/>
  <c r="I113" i="9"/>
  <c r="J113" i="9" s="1"/>
  <c r="I112" i="9"/>
  <c r="J112" i="9" s="1"/>
  <c r="K112" i="9"/>
  <c r="L112" i="9" s="1"/>
  <c r="I111" i="9"/>
  <c r="J111" i="9" s="1"/>
  <c r="K111" i="9"/>
  <c r="L111" i="9" s="1"/>
  <c r="K110" i="9"/>
  <c r="L110" i="9" s="1"/>
  <c r="I101" i="9"/>
  <c r="J101" i="9" s="1"/>
  <c r="I110" i="9"/>
  <c r="J110" i="9" s="1"/>
  <c r="K101" i="9"/>
  <c r="L101" i="9" s="1"/>
  <c r="I98" i="9"/>
  <c r="J98" i="9" s="1"/>
  <c r="K98" i="9"/>
  <c r="L98" i="9" s="1"/>
  <c r="I94" i="9"/>
  <c r="J94" i="9" s="1"/>
  <c r="K94" i="9"/>
  <c r="L94" i="9" s="1"/>
  <c r="I90" i="9"/>
  <c r="J90" i="9" s="1"/>
  <c r="K90" i="9"/>
  <c r="L90" i="9" s="1"/>
  <c r="I87" i="9"/>
  <c r="J87" i="9" s="1"/>
  <c r="K87" i="9"/>
  <c r="L87" i="9" s="1"/>
  <c r="I78" i="9"/>
  <c r="J78" i="9" s="1"/>
  <c r="I74" i="9"/>
  <c r="J74" i="9" s="1"/>
  <c r="K74" i="9"/>
  <c r="L74" i="9" s="1"/>
  <c r="K78" i="9"/>
  <c r="L78" i="9" s="1"/>
  <c r="I71" i="9"/>
  <c r="J71" i="9" s="1"/>
  <c r="K71" i="9"/>
  <c r="L71" i="9" s="1"/>
  <c r="I68" i="9"/>
  <c r="J68" i="9" s="1"/>
  <c r="K68" i="9"/>
  <c r="L68" i="9" s="1"/>
  <c r="I65" i="9"/>
  <c r="J65" i="9" s="1"/>
  <c r="K65" i="9"/>
  <c r="L65" i="9" s="1"/>
  <c r="I62" i="9"/>
  <c r="J62" i="9" s="1"/>
  <c r="K62" i="9"/>
  <c r="L62" i="9" s="1"/>
  <c r="K57" i="9"/>
  <c r="L57" i="9" s="1"/>
  <c r="K48" i="9"/>
  <c r="L48" i="9" s="1"/>
  <c r="I53" i="9"/>
  <c r="J53" i="9" s="1"/>
  <c r="I57" i="9"/>
  <c r="J57" i="9" s="1"/>
  <c r="K53" i="9"/>
  <c r="L53" i="9" s="1"/>
  <c r="K41" i="9"/>
  <c r="L41" i="9" s="1"/>
  <c r="I48" i="9"/>
  <c r="J48" i="9" s="1"/>
  <c r="K18" i="9"/>
  <c r="L18" i="9" s="1"/>
  <c r="I41" i="9"/>
  <c r="J41" i="9" s="1"/>
  <c r="K7" i="9"/>
  <c r="L7" i="9" s="1"/>
  <c r="I18" i="9"/>
  <c r="J18" i="9" s="1"/>
  <c r="I7" i="9"/>
  <c r="J7" i="9" s="1"/>
  <c r="I5" i="9"/>
  <c r="J5" i="9" s="1"/>
  <c r="H121" i="8" l="1"/>
  <c r="I121" i="8" s="1"/>
  <c r="H119" i="8"/>
  <c r="I119" i="8" s="1"/>
  <c r="H117" i="8"/>
  <c r="I117" i="8" s="1"/>
  <c r="H114" i="8"/>
  <c r="I114" i="8" s="1"/>
  <c r="H112" i="8"/>
  <c r="I112" i="8" s="1"/>
  <c r="H110" i="8" l="1"/>
  <c r="I110" i="8" s="1"/>
  <c r="H108" i="8"/>
  <c r="I108" i="8" s="1"/>
  <c r="H106" i="8"/>
  <c r="I106" i="8" s="1"/>
  <c r="H104" i="8"/>
  <c r="I104" i="8" s="1"/>
  <c r="H102" i="8"/>
  <c r="I102" i="8" s="1"/>
  <c r="H101" i="8"/>
  <c r="I101" i="8" s="1"/>
  <c r="H100" i="8"/>
  <c r="I100" i="8" s="1"/>
  <c r="H99" i="8"/>
  <c r="I99" i="8" s="1"/>
  <c r="H98" i="8"/>
  <c r="I98" i="8" s="1"/>
  <c r="H97" i="8"/>
  <c r="I97" i="8" s="1"/>
  <c r="H96" i="8"/>
  <c r="I96" i="8" s="1"/>
  <c r="H95" i="8"/>
  <c r="I95" i="8" s="1"/>
  <c r="H122" i="8"/>
  <c r="I122" i="8" s="1"/>
  <c r="H120" i="8"/>
  <c r="I120" i="8" s="1"/>
  <c r="H118" i="8"/>
  <c r="I118" i="8" s="1"/>
  <c r="H116" i="8"/>
  <c r="I116" i="8" s="1"/>
  <c r="H115" i="8"/>
  <c r="I115" i="8" s="1"/>
  <c r="H113" i="8"/>
  <c r="I113" i="8" s="1"/>
  <c r="H111" i="8"/>
  <c r="I111" i="8" s="1"/>
  <c r="H109" i="8"/>
  <c r="I109" i="8" s="1"/>
  <c r="H107" i="8"/>
  <c r="I107" i="8" s="1"/>
  <c r="H105" i="8"/>
  <c r="I105" i="8" s="1"/>
  <c r="H103" i="8"/>
  <c r="I103" i="8" s="1"/>
  <c r="H94" i="8"/>
  <c r="I94" i="8" s="1"/>
  <c r="H91" i="8"/>
  <c r="I91" i="8" s="1"/>
  <c r="H89" i="8"/>
  <c r="I89" i="8" s="1"/>
  <c r="H87" i="8"/>
  <c r="I87" i="8" s="1"/>
  <c r="H85" i="8"/>
  <c r="I85" i="8" s="1"/>
  <c r="H83" i="8"/>
  <c r="I83" i="8" s="1"/>
  <c r="H81" i="8"/>
  <c r="I81" i="8" s="1"/>
  <c r="H73" i="8"/>
  <c r="I73" i="8" s="1"/>
  <c r="H93" i="8"/>
  <c r="I93" i="8" s="1"/>
  <c r="H92" i="8"/>
  <c r="I92" i="8" s="1"/>
  <c r="H90" i="8"/>
  <c r="I90" i="8" s="1"/>
  <c r="H88" i="8"/>
  <c r="I88" i="8" s="1"/>
  <c r="H86" i="8"/>
  <c r="I86" i="8" s="1"/>
  <c r="H84" i="8"/>
  <c r="I84" i="8" s="1"/>
  <c r="H82" i="8"/>
  <c r="I82" i="8" s="1"/>
  <c r="H80" i="8"/>
  <c r="I80" i="8" s="1"/>
  <c r="H79" i="8"/>
  <c r="I79" i="8" s="1"/>
  <c r="H78" i="8"/>
  <c r="I78" i="8" s="1"/>
  <c r="H77" i="8"/>
  <c r="I77" i="8" s="1"/>
  <c r="H76" i="8"/>
  <c r="I76" i="8" s="1"/>
  <c r="H75" i="8"/>
  <c r="I75" i="8" s="1"/>
  <c r="H74" i="8"/>
  <c r="I74" i="8" s="1"/>
  <c r="H72" i="8"/>
  <c r="I72" i="8" s="1"/>
  <c r="H71" i="8"/>
  <c r="I71" i="8" s="1"/>
  <c r="H69" i="8"/>
  <c r="I69" i="8" s="1"/>
  <c r="H67" i="8"/>
  <c r="I67" i="8" s="1"/>
  <c r="H65" i="8"/>
  <c r="I65" i="8" s="1"/>
  <c r="H63" i="8"/>
  <c r="I63" i="8" s="1"/>
  <c r="H61" i="8" l="1"/>
  <c r="I61" i="8" s="1"/>
  <c r="H60" i="8"/>
  <c r="I60" i="8" s="1"/>
  <c r="H59" i="8"/>
  <c r="I59" i="8" s="1"/>
  <c r="H57" i="8"/>
  <c r="I57" i="8" s="1"/>
  <c r="H56" i="8"/>
  <c r="I56" i="8" s="1"/>
  <c r="H55" i="8"/>
  <c r="I55" i="8" s="1"/>
  <c r="H54" i="8"/>
  <c r="I54" i="8" s="1"/>
  <c r="H53" i="8"/>
  <c r="I53" i="8" s="1"/>
  <c r="H52" i="8"/>
  <c r="I52" i="8" s="1"/>
  <c r="H51" i="8"/>
  <c r="I51" i="8" s="1"/>
  <c r="H50" i="8"/>
  <c r="I50" i="8" s="1"/>
  <c r="H58" i="8"/>
  <c r="I58" i="8" s="1"/>
  <c r="H49" i="8"/>
  <c r="I49" i="8" s="1"/>
  <c r="H47" i="8"/>
  <c r="I47" i="8" s="1"/>
  <c r="H40" i="8"/>
  <c r="I40" i="8" s="1"/>
  <c r="H39" i="8"/>
  <c r="I39" i="8" s="1"/>
  <c r="H44" i="8"/>
  <c r="I44" i="8" s="1"/>
  <c r="H42" i="8"/>
  <c r="I42" i="8" s="1"/>
  <c r="H38" i="8"/>
  <c r="I38" i="8" s="1"/>
  <c r="H36" i="8"/>
  <c r="I36" i="8" s="1"/>
  <c r="H34" i="8"/>
  <c r="I34" i="8" s="1"/>
  <c r="H32" i="8"/>
  <c r="I32" i="8" s="1"/>
  <c r="H30" i="8"/>
  <c r="I30" i="8" s="1"/>
  <c r="H29" i="8"/>
  <c r="I29" i="8" s="1"/>
  <c r="H27" i="8"/>
  <c r="I27" i="8" s="1"/>
  <c r="H26" i="8"/>
  <c r="I26" i="8" s="1"/>
  <c r="H25" i="8"/>
  <c r="I25" i="8" s="1"/>
  <c r="H24" i="8"/>
  <c r="I24" i="8" s="1"/>
  <c r="H22" i="8"/>
  <c r="I22" i="8" s="1"/>
  <c r="H21" i="8"/>
  <c r="I21" i="8" s="1"/>
  <c r="H19" i="8"/>
  <c r="I19" i="8" s="1"/>
  <c r="H18" i="8"/>
  <c r="I18" i="8" s="1"/>
  <c r="H16" i="8"/>
  <c r="I16" i="8" s="1"/>
  <c r="H15" i="8"/>
  <c r="I15" i="8" s="1"/>
  <c r="H14" i="8"/>
  <c r="I14" i="8" s="1"/>
  <c r="H11" i="8"/>
  <c r="I11" i="8" s="1"/>
  <c r="H8" i="8"/>
  <c r="I8" i="8" s="1"/>
  <c r="H9" i="8"/>
  <c r="I9" i="8" s="1"/>
  <c r="H10" i="8"/>
  <c r="I10" i="8" s="1"/>
  <c r="H12" i="8"/>
  <c r="I12" i="8" s="1"/>
  <c r="H7" i="8"/>
  <c r="I7" i="8" s="1"/>
  <c r="H6" i="8"/>
  <c r="I6" i="8" s="1"/>
  <c r="H13" i="8"/>
  <c r="I13" i="8" s="1"/>
  <c r="H17" i="8"/>
  <c r="I17" i="8" s="1"/>
  <c r="H20" i="8"/>
  <c r="I20" i="8" s="1"/>
  <c r="H23" i="8"/>
  <c r="I23" i="8" s="1"/>
  <c r="H28" i="8"/>
  <c r="I28" i="8" s="1"/>
  <c r="H31" i="8"/>
  <c r="I31" i="8" s="1"/>
  <c r="H33" i="8"/>
  <c r="I33" i="8" s="1"/>
  <c r="H35" i="8"/>
  <c r="I35" i="8" s="1"/>
  <c r="H37" i="8"/>
  <c r="I37" i="8" s="1"/>
  <c r="H41" i="8"/>
  <c r="I41" i="8" s="1"/>
  <c r="H43" i="8"/>
  <c r="I43" i="8" s="1"/>
  <c r="H45" i="8"/>
  <c r="I45" i="8" s="1"/>
  <c r="H46" i="8"/>
  <c r="I46" i="8" s="1"/>
  <c r="H48" i="8"/>
  <c r="I48" i="8" s="1"/>
  <c r="H62" i="8"/>
  <c r="I62" i="8" s="1"/>
  <c r="H64" i="8"/>
  <c r="I64" i="8" s="1"/>
  <c r="H66" i="8"/>
  <c r="I66" i="8" s="1"/>
  <c r="H68" i="8"/>
  <c r="I68" i="8" s="1"/>
  <c r="H70" i="8"/>
  <c r="I70" i="8" s="1"/>
  <c r="H12" i="7"/>
  <c r="I12" i="7" s="1"/>
  <c r="H11" i="7"/>
  <c r="I11" i="7" s="1"/>
  <c r="H10" i="7"/>
  <c r="I10" i="7" s="1"/>
  <c r="H9" i="7"/>
  <c r="I9" i="7" s="1"/>
  <c r="H8" i="7"/>
  <c r="I8" i="7" s="1"/>
  <c r="H7" i="7"/>
  <c r="I7" i="7" s="1"/>
  <c r="H6" i="7"/>
  <c r="I6" i="7" s="1"/>
  <c r="H13" i="7"/>
  <c r="I13" i="7" s="1"/>
  <c r="H5" i="8"/>
  <c r="I5" i="8" s="1"/>
  <c r="E1" i="8"/>
  <c r="H16" i="7"/>
  <c r="I16" i="7" s="1"/>
  <c r="H15" i="7"/>
  <c r="I15" i="7" s="1"/>
  <c r="H14" i="7"/>
  <c r="I14" i="7" s="1"/>
  <c r="H5" i="7"/>
  <c r="I5" i="7" s="1"/>
  <c r="E1" i="7"/>
  <c r="J14" i="7" s="1"/>
  <c r="K14" i="7" s="1"/>
  <c r="H31" i="2"/>
  <c r="I31" i="2" s="1"/>
  <c r="H30" i="2"/>
  <c r="I30" i="2" s="1"/>
  <c r="H29" i="2"/>
  <c r="I29" i="2" s="1"/>
  <c r="H28" i="2"/>
  <c r="I28" i="2" s="1"/>
  <c r="H27" i="2"/>
  <c r="I27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5" i="2"/>
  <c r="I5" i="2" s="1"/>
  <c r="E1" i="2"/>
  <c r="J19" i="2" s="1"/>
  <c r="K19" i="2" s="1"/>
  <c r="J13" i="8" l="1"/>
  <c r="K13" i="8" s="1"/>
  <c r="L13" i="8"/>
  <c r="M13" i="8" s="1"/>
  <c r="L20" i="8"/>
  <c r="M20" i="8" s="1"/>
  <c r="J20" i="8"/>
  <c r="K20" i="8" s="1"/>
  <c r="L121" i="8"/>
  <c r="M121" i="8" s="1"/>
  <c r="J121" i="8"/>
  <c r="K121" i="8" s="1"/>
  <c r="L119" i="8"/>
  <c r="M119" i="8" s="1"/>
  <c r="J119" i="8"/>
  <c r="K119" i="8" s="1"/>
  <c r="L117" i="8"/>
  <c r="M117" i="8" s="1"/>
  <c r="J117" i="8"/>
  <c r="K117" i="8" s="1"/>
  <c r="L114" i="8"/>
  <c r="M114" i="8" s="1"/>
  <c r="J114" i="8"/>
  <c r="K114" i="8" s="1"/>
  <c r="J112" i="8"/>
  <c r="K112" i="8" s="1"/>
  <c r="L112" i="8"/>
  <c r="M112" i="8" s="1"/>
  <c r="J110" i="8"/>
  <c r="K110" i="8" s="1"/>
  <c r="L110" i="8"/>
  <c r="M110" i="8" s="1"/>
  <c r="L108" i="8"/>
  <c r="M108" i="8" s="1"/>
  <c r="J108" i="8"/>
  <c r="K108" i="8" s="1"/>
  <c r="L106" i="8"/>
  <c r="M106" i="8" s="1"/>
  <c r="J106" i="8"/>
  <c r="K106" i="8" s="1"/>
  <c r="J104" i="8"/>
  <c r="K104" i="8" s="1"/>
  <c r="L104" i="8"/>
  <c r="M104" i="8" s="1"/>
  <c r="L102" i="8"/>
  <c r="M102" i="8" s="1"/>
  <c r="L100" i="8"/>
  <c r="M100" i="8" s="1"/>
  <c r="L98" i="8"/>
  <c r="M98" i="8" s="1"/>
  <c r="L96" i="8"/>
  <c r="M96" i="8" s="1"/>
  <c r="L99" i="8"/>
  <c r="M99" i="8" s="1"/>
  <c r="L95" i="8"/>
  <c r="M95" i="8" s="1"/>
  <c r="J99" i="8"/>
  <c r="K99" i="8" s="1"/>
  <c r="J97" i="8"/>
  <c r="K97" i="8" s="1"/>
  <c r="J102" i="8"/>
  <c r="K102" i="8" s="1"/>
  <c r="J100" i="8"/>
  <c r="K100" i="8" s="1"/>
  <c r="J98" i="8"/>
  <c r="K98" i="8" s="1"/>
  <c r="J96" i="8"/>
  <c r="K96" i="8" s="1"/>
  <c r="L101" i="8"/>
  <c r="M101" i="8" s="1"/>
  <c r="L97" i="8"/>
  <c r="M97" i="8" s="1"/>
  <c r="J101" i="8"/>
  <c r="K101" i="8" s="1"/>
  <c r="J95" i="8"/>
  <c r="K95" i="8" s="1"/>
  <c r="J122" i="8"/>
  <c r="K122" i="8" s="1"/>
  <c r="L122" i="8"/>
  <c r="M122" i="8" s="1"/>
  <c r="L120" i="8"/>
  <c r="M120" i="8" s="1"/>
  <c r="J120" i="8"/>
  <c r="K120" i="8" s="1"/>
  <c r="L118" i="8"/>
  <c r="M118" i="8" s="1"/>
  <c r="J118" i="8"/>
  <c r="K118" i="8" s="1"/>
  <c r="L116" i="8"/>
  <c r="M116" i="8" s="1"/>
  <c r="J116" i="8"/>
  <c r="K116" i="8" s="1"/>
  <c r="L115" i="8"/>
  <c r="M115" i="8" s="1"/>
  <c r="J115" i="8"/>
  <c r="K115" i="8" s="1"/>
  <c r="L113" i="8"/>
  <c r="M113" i="8" s="1"/>
  <c r="J113" i="8"/>
  <c r="K113" i="8" s="1"/>
  <c r="J111" i="8"/>
  <c r="K111" i="8" s="1"/>
  <c r="L111" i="8"/>
  <c r="M111" i="8" s="1"/>
  <c r="L109" i="8"/>
  <c r="M109" i="8" s="1"/>
  <c r="J109" i="8"/>
  <c r="K109" i="8" s="1"/>
  <c r="L107" i="8"/>
  <c r="M107" i="8" s="1"/>
  <c r="J107" i="8"/>
  <c r="K107" i="8" s="1"/>
  <c r="L105" i="8"/>
  <c r="M105" i="8" s="1"/>
  <c r="J105" i="8"/>
  <c r="K105" i="8" s="1"/>
  <c r="L103" i="8"/>
  <c r="M103" i="8" s="1"/>
  <c r="J103" i="8"/>
  <c r="K103" i="8" s="1"/>
  <c r="L94" i="8"/>
  <c r="M94" i="8" s="1"/>
  <c r="J94" i="8"/>
  <c r="K94" i="8" s="1"/>
  <c r="J91" i="8"/>
  <c r="K91" i="8" s="1"/>
  <c r="L91" i="8"/>
  <c r="M91" i="8" s="1"/>
  <c r="L89" i="8"/>
  <c r="M89" i="8" s="1"/>
  <c r="J89" i="8"/>
  <c r="K89" i="8" s="1"/>
  <c r="L87" i="8"/>
  <c r="M87" i="8" s="1"/>
  <c r="J87" i="8"/>
  <c r="K87" i="8" s="1"/>
  <c r="J85" i="8"/>
  <c r="K85" i="8" s="1"/>
  <c r="L85" i="8"/>
  <c r="M85" i="8" s="1"/>
  <c r="J83" i="8"/>
  <c r="K83" i="8" s="1"/>
  <c r="L83" i="8"/>
  <c r="M83" i="8" s="1"/>
  <c r="L81" i="8"/>
  <c r="M81" i="8" s="1"/>
  <c r="J81" i="8"/>
  <c r="K81" i="8" s="1"/>
  <c r="J73" i="8"/>
  <c r="K73" i="8" s="1"/>
  <c r="L73" i="8"/>
  <c r="M73" i="8" s="1"/>
  <c r="J93" i="8"/>
  <c r="K93" i="8" s="1"/>
  <c r="L92" i="8"/>
  <c r="M92" i="8" s="1"/>
  <c r="J92" i="8"/>
  <c r="K92" i="8" s="1"/>
  <c r="L93" i="8"/>
  <c r="M93" i="8" s="1"/>
  <c r="L90" i="8"/>
  <c r="M90" i="8" s="1"/>
  <c r="J90" i="8"/>
  <c r="K90" i="8" s="1"/>
  <c r="J88" i="8"/>
  <c r="K88" i="8" s="1"/>
  <c r="L88" i="8"/>
  <c r="M88" i="8" s="1"/>
  <c r="L86" i="8"/>
  <c r="M86" i="8" s="1"/>
  <c r="J86" i="8"/>
  <c r="K86" i="8" s="1"/>
  <c r="J84" i="8"/>
  <c r="K84" i="8" s="1"/>
  <c r="L84" i="8"/>
  <c r="M84" i="8" s="1"/>
  <c r="L82" i="8"/>
  <c r="M82" i="8" s="1"/>
  <c r="J82" i="8"/>
  <c r="K82" i="8" s="1"/>
  <c r="L80" i="8"/>
  <c r="M80" i="8" s="1"/>
  <c r="L78" i="8"/>
  <c r="M78" i="8" s="1"/>
  <c r="L76" i="8"/>
  <c r="M76" i="8" s="1"/>
  <c r="L74" i="8"/>
  <c r="M74" i="8" s="1"/>
  <c r="L77" i="8"/>
  <c r="M77" i="8" s="1"/>
  <c r="J80" i="8"/>
  <c r="K80" i="8" s="1"/>
  <c r="J78" i="8"/>
  <c r="K78" i="8" s="1"/>
  <c r="J76" i="8"/>
  <c r="K76" i="8" s="1"/>
  <c r="J74" i="8"/>
  <c r="K74" i="8" s="1"/>
  <c r="L79" i="8"/>
  <c r="M79" i="8" s="1"/>
  <c r="L75" i="8"/>
  <c r="M75" i="8" s="1"/>
  <c r="J79" i="8"/>
  <c r="K79" i="8" s="1"/>
  <c r="J77" i="8"/>
  <c r="K77" i="8" s="1"/>
  <c r="J75" i="8"/>
  <c r="K75" i="8" s="1"/>
  <c r="J72" i="8"/>
  <c r="K72" i="8" s="1"/>
  <c r="L72" i="8"/>
  <c r="M72" i="8" s="1"/>
  <c r="J71" i="8"/>
  <c r="K71" i="8" s="1"/>
  <c r="L71" i="8"/>
  <c r="M71" i="8" s="1"/>
  <c r="L69" i="8"/>
  <c r="M69" i="8" s="1"/>
  <c r="J69" i="8"/>
  <c r="K69" i="8" s="1"/>
  <c r="J67" i="8"/>
  <c r="K67" i="8" s="1"/>
  <c r="L67" i="8"/>
  <c r="M67" i="8" s="1"/>
  <c r="J65" i="8"/>
  <c r="K65" i="8" s="1"/>
  <c r="L65" i="8"/>
  <c r="M65" i="8" s="1"/>
  <c r="L63" i="8"/>
  <c r="M63" i="8" s="1"/>
  <c r="J63" i="8"/>
  <c r="K63" i="8" s="1"/>
  <c r="J61" i="8"/>
  <c r="K61" i="8" s="1"/>
  <c r="J59" i="8"/>
  <c r="K59" i="8" s="1"/>
  <c r="L59" i="8"/>
  <c r="M59" i="8" s="1"/>
  <c r="L61" i="8"/>
  <c r="M61" i="8" s="1"/>
  <c r="L60" i="8"/>
  <c r="M60" i="8" s="1"/>
  <c r="J60" i="8"/>
  <c r="K60" i="8" s="1"/>
  <c r="J54" i="8"/>
  <c r="K54" i="8" s="1"/>
  <c r="L54" i="8"/>
  <c r="M54" i="8" s="1"/>
  <c r="L52" i="8"/>
  <c r="M52" i="8" s="1"/>
  <c r="J50" i="8"/>
  <c r="K50" i="8" s="1"/>
  <c r="J52" i="8"/>
  <c r="K52" i="8" s="1"/>
  <c r="J56" i="8"/>
  <c r="K56" i="8" s="1"/>
  <c r="L50" i="8"/>
  <c r="M50" i="8" s="1"/>
  <c r="L56" i="8"/>
  <c r="M56" i="8" s="1"/>
  <c r="J49" i="8"/>
  <c r="K49" i="8" s="1"/>
  <c r="J51" i="8"/>
  <c r="K51" i="8" s="1"/>
  <c r="J53" i="8"/>
  <c r="K53" i="8" s="1"/>
  <c r="J55" i="8"/>
  <c r="K55" i="8" s="1"/>
  <c r="J57" i="8"/>
  <c r="K57" i="8" s="1"/>
  <c r="J58" i="8"/>
  <c r="K58" i="8" s="1"/>
  <c r="L51" i="8"/>
  <c r="M51" i="8" s="1"/>
  <c r="L53" i="8"/>
  <c r="M53" i="8" s="1"/>
  <c r="L55" i="8"/>
  <c r="M55" i="8" s="1"/>
  <c r="L57" i="8"/>
  <c r="M57" i="8" s="1"/>
  <c r="L58" i="8"/>
  <c r="M58" i="8" s="1"/>
  <c r="L49" i="8"/>
  <c r="M49" i="8" s="1"/>
  <c r="J47" i="8"/>
  <c r="K47" i="8" s="1"/>
  <c r="L47" i="8"/>
  <c r="M47" i="8" s="1"/>
  <c r="L39" i="8"/>
  <c r="M39" i="8" s="1"/>
  <c r="J39" i="8"/>
  <c r="K39" i="8" s="1"/>
  <c r="J40" i="8"/>
  <c r="K40" i="8" s="1"/>
  <c r="L40" i="8"/>
  <c r="M40" i="8" s="1"/>
  <c r="J44" i="8"/>
  <c r="K44" i="8" s="1"/>
  <c r="L42" i="8"/>
  <c r="M42" i="8" s="1"/>
  <c r="L44" i="8"/>
  <c r="M44" i="8" s="1"/>
  <c r="J42" i="8"/>
  <c r="K42" i="8" s="1"/>
  <c r="J38" i="8"/>
  <c r="K38" i="8" s="1"/>
  <c r="L38" i="8"/>
  <c r="M38" i="8" s="1"/>
  <c r="L36" i="8"/>
  <c r="M36" i="8" s="1"/>
  <c r="J36" i="8"/>
  <c r="K36" i="8" s="1"/>
  <c r="L34" i="8"/>
  <c r="M34" i="8" s="1"/>
  <c r="J34" i="8"/>
  <c r="K34" i="8" s="1"/>
  <c r="J32" i="8"/>
  <c r="K32" i="8" s="1"/>
  <c r="L32" i="8"/>
  <c r="M32" i="8" s="1"/>
  <c r="J29" i="8"/>
  <c r="K29" i="8" s="1"/>
  <c r="J30" i="8"/>
  <c r="K30" i="8" s="1"/>
  <c r="L29" i="8"/>
  <c r="M29" i="8" s="1"/>
  <c r="L30" i="8"/>
  <c r="M30" i="8" s="1"/>
  <c r="J27" i="8"/>
  <c r="K27" i="8" s="1"/>
  <c r="J24" i="8"/>
  <c r="K24" i="8" s="1"/>
  <c r="L26" i="8"/>
  <c r="M26" i="8" s="1"/>
  <c r="L24" i="8"/>
  <c r="M24" i="8" s="1"/>
  <c r="L27" i="8"/>
  <c r="M27" i="8" s="1"/>
  <c r="J26" i="8"/>
  <c r="K26" i="8" s="1"/>
  <c r="J25" i="8"/>
  <c r="K25" i="8" s="1"/>
  <c r="L25" i="8"/>
  <c r="M25" i="8" s="1"/>
  <c r="J21" i="8"/>
  <c r="K21" i="8" s="1"/>
  <c r="L21" i="8"/>
  <c r="M21" i="8" s="1"/>
  <c r="J22" i="8"/>
  <c r="K22" i="8" s="1"/>
  <c r="L22" i="8"/>
  <c r="M22" i="8" s="1"/>
  <c r="J19" i="8"/>
  <c r="K19" i="8" s="1"/>
  <c r="L19" i="8"/>
  <c r="M19" i="8" s="1"/>
  <c r="J18" i="8"/>
  <c r="K18" i="8" s="1"/>
  <c r="L18" i="8"/>
  <c r="M18" i="8" s="1"/>
  <c r="J16" i="8"/>
  <c r="K16" i="8" s="1"/>
  <c r="L16" i="8"/>
  <c r="M16" i="8" s="1"/>
  <c r="J15" i="8"/>
  <c r="K15" i="8" s="1"/>
  <c r="J14" i="8"/>
  <c r="K14" i="8" s="1"/>
  <c r="L14" i="8"/>
  <c r="M14" i="8" s="1"/>
  <c r="L15" i="8"/>
  <c r="M15" i="8" s="1"/>
  <c r="J11" i="8"/>
  <c r="K11" i="8" s="1"/>
  <c r="L11" i="8"/>
  <c r="M11" i="8" s="1"/>
  <c r="L9" i="8"/>
  <c r="M9" i="8" s="1"/>
  <c r="J9" i="8"/>
  <c r="K9" i="8" s="1"/>
  <c r="J8" i="8"/>
  <c r="K8" i="8" s="1"/>
  <c r="L10" i="8"/>
  <c r="M10" i="8" s="1"/>
  <c r="L8" i="8"/>
  <c r="M8" i="8" s="1"/>
  <c r="J10" i="8"/>
  <c r="K10" i="8" s="1"/>
  <c r="J6" i="8"/>
  <c r="K6" i="8" s="1"/>
  <c r="L6" i="8"/>
  <c r="M6" i="8" s="1"/>
  <c r="J12" i="8"/>
  <c r="K12" i="8" s="1"/>
  <c r="L12" i="8"/>
  <c r="M12" i="8" s="1"/>
  <c r="L7" i="8"/>
  <c r="M7" i="8" s="1"/>
  <c r="J7" i="8"/>
  <c r="K7" i="8" s="1"/>
  <c r="L17" i="8"/>
  <c r="M17" i="8" s="1"/>
  <c r="J17" i="8"/>
  <c r="K17" i="8" s="1"/>
  <c r="J62" i="8"/>
  <c r="K62" i="8" s="1"/>
  <c r="L46" i="8"/>
  <c r="M46" i="8" s="1"/>
  <c r="J64" i="8"/>
  <c r="K64" i="8" s="1"/>
  <c r="J37" i="8"/>
  <c r="K37" i="8" s="1"/>
  <c r="L70" i="8"/>
  <c r="M70" i="8" s="1"/>
  <c r="L48" i="8"/>
  <c r="M48" i="8" s="1"/>
  <c r="J23" i="8"/>
  <c r="K23" i="8" s="1"/>
  <c r="L33" i="8"/>
  <c r="M33" i="8" s="1"/>
  <c r="J48" i="8"/>
  <c r="K48" i="8" s="1"/>
  <c r="J70" i="8"/>
  <c r="K70" i="8" s="1"/>
  <c r="L28" i="8"/>
  <c r="M28" i="8" s="1"/>
  <c r="L41" i="8"/>
  <c r="M41" i="8" s="1"/>
  <c r="J66" i="8"/>
  <c r="K66" i="8" s="1"/>
  <c r="L62" i="8"/>
  <c r="M62" i="8" s="1"/>
  <c r="J28" i="8"/>
  <c r="K28" i="8" s="1"/>
  <c r="L45" i="8"/>
  <c r="M45" i="8" s="1"/>
  <c r="L66" i="8"/>
  <c r="M66" i="8" s="1"/>
  <c r="J33" i="8"/>
  <c r="K33" i="8" s="1"/>
  <c r="J45" i="8"/>
  <c r="K45" i="8" s="1"/>
  <c r="J41" i="8"/>
  <c r="K41" i="8" s="1"/>
  <c r="L35" i="8"/>
  <c r="M35" i="8" s="1"/>
  <c r="L43" i="8"/>
  <c r="M43" i="8" s="1"/>
  <c r="J68" i="8"/>
  <c r="K68" i="8" s="1"/>
  <c r="L64" i="8"/>
  <c r="M64" i="8" s="1"/>
  <c r="J31" i="8"/>
  <c r="K31" i="8" s="1"/>
  <c r="L23" i="8"/>
  <c r="M23" i="8" s="1"/>
  <c r="L68" i="8"/>
  <c r="M68" i="8" s="1"/>
  <c r="J35" i="8"/>
  <c r="K35" i="8" s="1"/>
  <c r="L31" i="8"/>
  <c r="M31" i="8" s="1"/>
  <c r="J46" i="8"/>
  <c r="K46" i="8" s="1"/>
  <c r="J43" i="8"/>
  <c r="K43" i="8" s="1"/>
  <c r="L37" i="8"/>
  <c r="M37" i="8" s="1"/>
  <c r="J8" i="7"/>
  <c r="K8" i="7" s="1"/>
  <c r="J9" i="7"/>
  <c r="K9" i="7" s="1"/>
  <c r="J10" i="7"/>
  <c r="K10" i="7" s="1"/>
  <c r="J6" i="7"/>
  <c r="K6" i="7" s="1"/>
  <c r="J11" i="7"/>
  <c r="K11" i="7" s="1"/>
  <c r="J7" i="7"/>
  <c r="K7" i="7" s="1"/>
  <c r="J12" i="7"/>
  <c r="K12" i="7" s="1"/>
  <c r="L7" i="7"/>
  <c r="M7" i="7" s="1"/>
  <c r="L9" i="7"/>
  <c r="M9" i="7" s="1"/>
  <c r="L11" i="7"/>
  <c r="M11" i="7" s="1"/>
  <c r="L6" i="7"/>
  <c r="M6" i="7" s="1"/>
  <c r="L8" i="7"/>
  <c r="M8" i="7" s="1"/>
  <c r="L10" i="7"/>
  <c r="M10" i="7" s="1"/>
  <c r="L12" i="7"/>
  <c r="M12" i="7" s="1"/>
  <c r="L13" i="7"/>
  <c r="M13" i="7" s="1"/>
  <c r="J13" i="7"/>
  <c r="K13" i="7" s="1"/>
  <c r="J5" i="8"/>
  <c r="K5" i="8" s="1"/>
  <c r="L5" i="8"/>
  <c r="M5" i="8" s="1"/>
  <c r="L14" i="7"/>
  <c r="M14" i="7" s="1"/>
  <c r="J15" i="7"/>
  <c r="K15" i="7" s="1"/>
  <c r="L15" i="7"/>
  <c r="M15" i="7" s="1"/>
  <c r="J5" i="7"/>
  <c r="K5" i="7" s="1"/>
  <c r="L5" i="7"/>
  <c r="M5" i="7" s="1"/>
  <c r="J16" i="7"/>
  <c r="K16" i="7" s="1"/>
  <c r="L16" i="7"/>
  <c r="M16" i="7" s="1"/>
  <c r="J28" i="2"/>
  <c r="K28" i="2" s="1"/>
  <c r="J30" i="2"/>
  <c r="K30" i="2" s="1"/>
  <c r="J29" i="2"/>
  <c r="K29" i="2" s="1"/>
  <c r="J31" i="2"/>
  <c r="K31" i="2" s="1"/>
  <c r="L28" i="2"/>
  <c r="M28" i="2" s="1"/>
  <c r="L30" i="2"/>
  <c r="M30" i="2" s="1"/>
  <c r="L29" i="2"/>
  <c r="M29" i="2" s="1"/>
  <c r="L31" i="2"/>
  <c r="M31" i="2" s="1"/>
  <c r="L27" i="2"/>
  <c r="M27" i="2" s="1"/>
  <c r="J27" i="2"/>
  <c r="K27" i="2" s="1"/>
  <c r="L22" i="2"/>
  <c r="M22" i="2" s="1"/>
  <c r="L16" i="2"/>
  <c r="M16" i="2" s="1"/>
  <c r="L21" i="2"/>
  <c r="M21" i="2" s="1"/>
  <c r="L15" i="2"/>
  <c r="M15" i="2" s="1"/>
  <c r="L25" i="2"/>
  <c r="M25" i="2" s="1"/>
  <c r="J25" i="2"/>
  <c r="K25" i="2" s="1"/>
  <c r="L19" i="2"/>
  <c r="M19" i="2" s="1"/>
  <c r="L9" i="2"/>
  <c r="M9" i="2" s="1"/>
  <c r="J14" i="2"/>
  <c r="K14" i="2" s="1"/>
  <c r="J16" i="2"/>
  <c r="K16" i="2" s="1"/>
  <c r="J18" i="2"/>
  <c r="K18" i="2" s="1"/>
  <c r="J20" i="2"/>
  <c r="K20" i="2" s="1"/>
  <c r="J22" i="2"/>
  <c r="K22" i="2" s="1"/>
  <c r="J24" i="2"/>
  <c r="K24" i="2" s="1"/>
  <c r="L24" i="2"/>
  <c r="M24" i="2" s="1"/>
  <c r="L18" i="2"/>
  <c r="M18" i="2" s="1"/>
  <c r="J15" i="2"/>
  <c r="K15" i="2" s="1"/>
  <c r="L23" i="2"/>
  <c r="M23" i="2" s="1"/>
  <c r="L17" i="2"/>
  <c r="M17" i="2" s="1"/>
  <c r="J21" i="2"/>
  <c r="K21" i="2" s="1"/>
  <c r="L20" i="2"/>
  <c r="M20" i="2" s="1"/>
  <c r="L14" i="2"/>
  <c r="M14" i="2" s="1"/>
  <c r="J23" i="2"/>
  <c r="K23" i="2" s="1"/>
  <c r="J17" i="2"/>
  <c r="K17" i="2" s="1"/>
  <c r="L5" i="2"/>
  <c r="M5" i="2" s="1"/>
  <c r="J5" i="2"/>
  <c r="K5" i="2" s="1"/>
  <c r="J8" i="2"/>
  <c r="K8" i="2" s="1"/>
  <c r="J9" i="2"/>
  <c r="K9" i="2" s="1"/>
  <c r="J10" i="2"/>
  <c r="K10" i="2" s="1"/>
  <c r="J11" i="2"/>
  <c r="K11" i="2" s="1"/>
  <c r="J6" i="2"/>
  <c r="K6" i="2" s="1"/>
  <c r="J12" i="2"/>
  <c r="K12" i="2" s="1"/>
  <c r="J7" i="2"/>
  <c r="K7" i="2" s="1"/>
  <c r="J13" i="2"/>
  <c r="K13" i="2" s="1"/>
  <c r="L7" i="2"/>
  <c r="M7" i="2" s="1"/>
  <c r="L6" i="2"/>
  <c r="M6" i="2" s="1"/>
  <c r="L12" i="2"/>
  <c r="M12" i="2" s="1"/>
  <c r="L11" i="2"/>
  <c r="M11" i="2" s="1"/>
  <c r="L13" i="2"/>
  <c r="M13" i="2" s="1"/>
  <c r="L10" i="2"/>
  <c r="M10" i="2" s="1"/>
  <c r="L8" i="2"/>
  <c r="M8" i="2" s="1"/>
</calcChain>
</file>

<file path=xl/sharedStrings.xml><?xml version="1.0" encoding="utf-8"?>
<sst xmlns="http://schemas.openxmlformats.org/spreadsheetml/2006/main" count="847" uniqueCount="450">
  <si>
    <t>Programma Wloclawek</t>
  </si>
  <si>
    <t>Progetto (da takeover a handover)</t>
  </si>
  <si>
    <t>Mesi</t>
  </si>
  <si>
    <t>Giorni</t>
  </si>
  <si>
    <t>Milestones penalizzate</t>
  </si>
  <si>
    <t>Water pressure test</t>
  </si>
  <si>
    <t>Placement of the turbo-generator on the foundation</t>
  </si>
  <si>
    <t>Measurement of guaranteed parameters A</t>
  </si>
  <si>
    <t>Handover of the ITPO project to operation</t>
  </si>
  <si>
    <t>Aggiornamento: 27/02/2026</t>
  </si>
  <si>
    <t>8.1</t>
  </si>
  <si>
    <t>8.2</t>
  </si>
  <si>
    <t>20.1</t>
  </si>
  <si>
    <t>20.2</t>
  </si>
  <si>
    <t>Inizio</t>
  </si>
  <si>
    <t>Fine</t>
  </si>
  <si>
    <t>Consturction Works</t>
  </si>
  <si>
    <t>Earthworks</t>
  </si>
  <si>
    <t>Chiusura</t>
  </si>
  <si>
    <t>Deep Foundations</t>
  </si>
  <si>
    <t>Reinforced Concrete Works (monolithic structures)</t>
  </si>
  <si>
    <t>Reinforced Concrete Works (prefabricated structures)</t>
  </si>
  <si>
    <t>Reinforcement bars</t>
  </si>
  <si>
    <t>Concrete mix</t>
  </si>
  <si>
    <t>Steel structures (buildings, platforms, equipment support structures)</t>
  </si>
  <si>
    <t>Scaffolding</t>
  </si>
  <si>
    <t>Masonry works</t>
  </si>
  <si>
    <t>Durata (da I-F)</t>
  </si>
  <si>
    <t>Quanto manca 
alla chiusura</t>
  </si>
  <si>
    <t>Quanto manca 
all'inizio</t>
  </si>
  <si>
    <r>
      <t>FASE DI ACQUISTO</t>
    </r>
    <r>
      <rPr>
        <sz val="11"/>
        <color theme="1"/>
        <rFont val="Aptos Narrow"/>
        <family val="2"/>
        <scheme val="minor"/>
      </rPr>
      <t xml:space="preserve"> (Data considerata per I-F:</t>
    </r>
    <r>
      <rPr>
        <i/>
        <sz val="11"/>
        <color theme="1"/>
        <rFont val="Aptos Narrow"/>
        <family val="2"/>
        <scheme val="minor"/>
      </rPr>
      <t xml:space="preserve"> "Notification of the Subcontractor to the Contracting Authority together with the draft agreement"</t>
    </r>
    <r>
      <rPr>
        <sz val="11"/>
        <color theme="1"/>
        <rFont val="Aptos Narrow"/>
        <family val="2"/>
        <scheme val="minor"/>
      </rPr>
      <t>)</t>
    </r>
  </si>
  <si>
    <t>Cladding and facades</t>
  </si>
  <si>
    <t>Doors and windows</t>
  </si>
  <si>
    <t>Roofing</t>
  </si>
  <si>
    <t>Gates</t>
  </si>
  <si>
    <t>Flooring</t>
  </si>
  <si>
    <t>Raised floors</t>
  </si>
  <si>
    <t>Plastering</t>
  </si>
  <si>
    <t>Finishing works</t>
  </si>
  <si>
    <t>Lifts, passengers elevators</t>
  </si>
  <si>
    <t>Truck scales</t>
  </si>
  <si>
    <t>Roads and sidewalks</t>
  </si>
  <si>
    <t>External fencing and gates</t>
  </si>
  <si>
    <t>Sanitary Works</t>
  </si>
  <si>
    <t>Water supply and sewage installations (external networks)</t>
  </si>
  <si>
    <t>Water supply and sewage installations (internal)</t>
  </si>
  <si>
    <t>HVAC installations (non-technological)</t>
  </si>
  <si>
    <t>HVAC installations (technological - air inlets, exhausts)</t>
  </si>
  <si>
    <t>Fire-fighting installations</t>
  </si>
  <si>
    <t>Electrical, I&amp;C, and Telecommunication Works</t>
  </si>
  <si>
    <t>ACQ</t>
  </si>
  <si>
    <t>MNT</t>
  </si>
  <si>
    <t>Comprehensive electrical. I&amp;C, and telecommunication works</t>
  </si>
  <si>
    <t>Delivery of BACKUP POWER TRANSFORMER 15/0.4 kV</t>
  </si>
  <si>
    <t>Delivery of AUXILIARY POWER TRANSFORMER 11/0.4 kV</t>
  </si>
  <si>
    <t>Delivery of MV SWITCHGEAR</t>
  </si>
  <si>
    <t>Delivery of MAIN LV SWITCHGEAR</t>
  </si>
  <si>
    <t>Delivery of FREQUENCY CONVERTERS</t>
  </si>
  <si>
    <t>Delivery of UPS SYSTEM</t>
  </si>
  <si>
    <t>Delivery of BATTERY SETS</t>
  </si>
  <si>
    <t>1.1</t>
  </si>
  <si>
    <t>1.2</t>
  </si>
  <si>
    <t>1.3</t>
  </si>
  <si>
    <t>1.4</t>
  </si>
  <si>
    <t>1.5</t>
  </si>
  <si>
    <t>1.6</t>
  </si>
  <si>
    <t>1.7</t>
  </si>
  <si>
    <t>GPO Station with cable line</t>
  </si>
  <si>
    <t>DCS system</t>
  </si>
  <si>
    <t>CEMS system</t>
  </si>
  <si>
    <t>Electric heating of pipelines</t>
  </si>
  <si>
    <t>Technological Part</t>
  </si>
  <si>
    <t>Boiler, Pressure and Convection part</t>
  </si>
  <si>
    <t>Delivery of BOILER STEEL SUPPORT STRUCTURE</t>
  </si>
  <si>
    <t>Delivery of BOILER COMPONENTS - LINE 1,2,3</t>
  </si>
  <si>
    <t>Delivery of BOILER COMPONENTS - EVO evaporator</t>
  </si>
  <si>
    <t>Delivery of BOILER COMPONENTS - SH Superheaters</t>
  </si>
  <si>
    <t>Delivery of BOILER COMPONENTS - ECO economizer</t>
  </si>
  <si>
    <t>Delivery of BOILER COMPONENTS - Boiler hoppers</t>
  </si>
  <si>
    <t>Delivery of BOILER COMPONENTS - Drum</t>
  </si>
  <si>
    <t>Grate with supporting structure</t>
  </si>
  <si>
    <t>Delivery of HEAVY GRATE PARTS</t>
  </si>
  <si>
    <t>Delivery of HYDRAULIC UNIT, ELECTRICAL BOX, AND PIPING</t>
  </si>
  <si>
    <t>Delivery of GRATE SUPPORTING STRUCTURES</t>
  </si>
  <si>
    <t>Undergrate hoppers, Loading hoppers</t>
  </si>
  <si>
    <t>Waste bunker crane, Turbine crane</t>
  </si>
  <si>
    <t>2.1</t>
  </si>
  <si>
    <t>2.2</t>
  </si>
  <si>
    <t>2.3</t>
  </si>
  <si>
    <t>3.1</t>
  </si>
  <si>
    <t>3.2</t>
  </si>
  <si>
    <t>4.1</t>
  </si>
  <si>
    <t>Delivery of UNDERGRATE HOPPERS</t>
  </si>
  <si>
    <t>Delivery of LOADING HOPPERS</t>
  </si>
  <si>
    <t>Delivery of WASTE BUNKER CRANE</t>
  </si>
  <si>
    <t>Delivery of TURBINE CRANE</t>
  </si>
  <si>
    <t>Fans</t>
  </si>
  <si>
    <t>5.1</t>
  </si>
  <si>
    <t>5.2</t>
  </si>
  <si>
    <t>5.3</t>
  </si>
  <si>
    <t>5.4</t>
  </si>
  <si>
    <t>Delivery of PRIMARY AIR FAN</t>
  </si>
  <si>
    <t>Delivery of SECONDARY AIR FAN</t>
  </si>
  <si>
    <t>Delivery of FLUE GAS RECIRCULATION FAN</t>
  </si>
  <si>
    <t>Delivery of ID FAN</t>
  </si>
  <si>
    <t>Air Heaters</t>
  </si>
  <si>
    <t>Delivery of PRIMARY AIR HEATER</t>
  </si>
  <si>
    <t>Delivery of SECONDARY AUR HEATER</t>
  </si>
  <si>
    <t>Air and Flue Gas Ducts</t>
  </si>
  <si>
    <t>6.1</t>
  </si>
  <si>
    <t>6.2</t>
  </si>
  <si>
    <t>4.2</t>
  </si>
  <si>
    <t>7.1</t>
  </si>
  <si>
    <t>Fire curtain, Primary air</t>
  </si>
  <si>
    <t>Delivery of FIRE CURTAIN, PRIMARY AIR</t>
  </si>
  <si>
    <t>Delivery of AIR AND FLUE GAS DUCTS</t>
  </si>
  <si>
    <t>Dampers for Air and Flue Gas Ducts</t>
  </si>
  <si>
    <t>Mechanical and Pneumatic Ash and Dust Transport</t>
  </si>
  <si>
    <t>Sampling System</t>
  </si>
  <si>
    <t>Chemical Dosing System</t>
  </si>
  <si>
    <t>ACQ_D</t>
  </si>
  <si>
    <t>9.1</t>
  </si>
  <si>
    <t>12.1</t>
  </si>
  <si>
    <t>11.1</t>
  </si>
  <si>
    <t>10.1</t>
  </si>
  <si>
    <t>10.2</t>
  </si>
  <si>
    <t>10.3</t>
  </si>
  <si>
    <t>Delivery of DAMPERS FOR AIR AND FLUE GAS DUCTS</t>
  </si>
  <si>
    <t>Delivery of CONVEYORS FOR BOILER</t>
  </si>
  <si>
    <t>Delivery of CONVEYORS FOR FLUE GAS CLEANING</t>
  </si>
  <si>
    <t>Delivery of DEVICES AND PNEUMATIC INSTALLATION</t>
  </si>
  <si>
    <t>Delivery of SAMPLING SYSTEM</t>
  </si>
  <si>
    <t>Delivery of CHEMICAL DOSING SYSTEM</t>
  </si>
  <si>
    <t>Refractory Lining</t>
  </si>
  <si>
    <t>Burners</t>
  </si>
  <si>
    <t>14.1</t>
  </si>
  <si>
    <t>Delivery of BURNERS WITH FANS AND SKIDS</t>
  </si>
  <si>
    <t>Flue Gas Treatment</t>
  </si>
  <si>
    <t>15.1</t>
  </si>
  <si>
    <t>15.2</t>
  </si>
  <si>
    <t>15.3</t>
  </si>
  <si>
    <t>15.4</t>
  </si>
  <si>
    <t>15.5</t>
  </si>
  <si>
    <t>15.6</t>
  </si>
  <si>
    <t>15.7</t>
  </si>
  <si>
    <t>15.8</t>
  </si>
  <si>
    <t>15.9</t>
  </si>
  <si>
    <t>15.10</t>
  </si>
  <si>
    <t>Delivery of SUPPORTING STRUCTURES</t>
  </si>
  <si>
    <t>Delivery of BAG FILTER HOUSING AND DRY REACTOR</t>
  </si>
  <si>
    <t>Delivery of DENOX HOUSING</t>
  </si>
  <si>
    <t>Delivery of QUENCHER</t>
  </si>
  <si>
    <t>Delivery of QUENCHER TANK, PUMPS AND ACCESSORIES</t>
  </si>
  <si>
    <t>Delivery of FLUE GAS CONDENSER</t>
  </si>
  <si>
    <t>Delivery of FLUE GAS CONDENSER PUMPS AND ACCESSORIES</t>
  </si>
  <si>
    <t>Delivery of PLATE HEAT EXCHANGE FOR FLUE GAS CONDENSER</t>
  </si>
  <si>
    <t>Delivery of FLUE GAS DUCTS</t>
  </si>
  <si>
    <t>Delivery of BAG FILETR HEATING FAN; HEATING BATTERY</t>
  </si>
  <si>
    <t>15.11</t>
  </si>
  <si>
    <t>15.12</t>
  </si>
  <si>
    <t>15.13</t>
  </si>
  <si>
    <t>Delivery of LIME AND ACTIVATED CARBON SILOS</t>
  </si>
  <si>
    <t>Delivery of LIME AND ACTIVATED CARBON SILOS ACCESSORIES AND DOSING SYSTEMS</t>
  </si>
  <si>
    <t>Delivery of DUST RECIRCULATION SYSTEM</t>
  </si>
  <si>
    <t>Urea Tank</t>
  </si>
  <si>
    <t>Dust Silos</t>
  </si>
  <si>
    <t>Slag Valorization</t>
  </si>
  <si>
    <t>Slag Extractor</t>
  </si>
  <si>
    <t>Turbine Generator</t>
  </si>
  <si>
    <t>16.1</t>
  </si>
  <si>
    <t>Delivery of UREA TANK</t>
  </si>
  <si>
    <t>Delivery of DUST SILOS</t>
  </si>
  <si>
    <t>17.1</t>
  </si>
  <si>
    <t>18.1</t>
  </si>
  <si>
    <t>19.1</t>
  </si>
  <si>
    <t>Delivery of TURBINE GENERATOR TO CONSTRUCTION SITE</t>
  </si>
  <si>
    <t>Delivery of TURBINE GENERATOR CONTROL CABINETS</t>
  </si>
  <si>
    <t>Air Condenser</t>
  </si>
  <si>
    <t>Feedwater Tank with Degasser</t>
  </si>
  <si>
    <t>21.1</t>
  </si>
  <si>
    <t>21.2</t>
  </si>
  <si>
    <t>21.3</t>
  </si>
  <si>
    <t>21.4</t>
  </si>
  <si>
    <t>21.5</t>
  </si>
  <si>
    <t>21.6</t>
  </si>
  <si>
    <t>21.7</t>
  </si>
  <si>
    <t>Delivery of STEEL STRUCTURE OF ACC</t>
  </si>
  <si>
    <t>Delivery of CONDENSE BUNDLES OF ACC</t>
  </si>
  <si>
    <t>Delivery of FANS OF ACC</t>
  </si>
  <si>
    <t>Delivery of PUMPS OF ACC</t>
  </si>
  <si>
    <t>Delivery of VACUUM UNIT OF ACC</t>
  </si>
  <si>
    <t>Delivery of STEAM DUCTS OF ACC</t>
  </si>
  <si>
    <t>Delivery of CONDENSATE TANK OF ACC</t>
  </si>
  <si>
    <t>Process Piping</t>
  </si>
  <si>
    <t>Process Piping Modular Supports</t>
  </si>
  <si>
    <t>22.1</t>
  </si>
  <si>
    <t>23.1</t>
  </si>
  <si>
    <t>Delivery of FEEDWATER TANK WITH DEGASSER</t>
  </si>
  <si>
    <t>Delivery of PROCESS PIPING</t>
  </si>
  <si>
    <t>Delivery of PROCESS PIPING MODULAR SUPPORTS</t>
  </si>
  <si>
    <t>Cooler</t>
  </si>
  <si>
    <t>Cooling and Condensate Tanks</t>
  </si>
  <si>
    <t>Heat, Exchangers, Flue Gas Heater</t>
  </si>
  <si>
    <t>Pumps</t>
  </si>
  <si>
    <t>24.1</t>
  </si>
  <si>
    <t>25.1</t>
  </si>
  <si>
    <t>26.1</t>
  </si>
  <si>
    <t>27.1</t>
  </si>
  <si>
    <t>27.2</t>
  </si>
  <si>
    <t>28.1</t>
  </si>
  <si>
    <t>Delivery of COOLER</t>
  </si>
  <si>
    <t>Delivery of TANKS TO CONSTRUCTION SITE</t>
  </si>
  <si>
    <t>Delivery of HEAT EXCHANGERS</t>
  </si>
  <si>
    <t>Delivery of FLUE GAS HEATER</t>
  </si>
  <si>
    <t>28.2</t>
  </si>
  <si>
    <t>28.3</t>
  </si>
  <si>
    <t>28.4</t>
  </si>
  <si>
    <t>28.5</t>
  </si>
  <si>
    <t>28.6</t>
  </si>
  <si>
    <t>28.7</t>
  </si>
  <si>
    <t>28.8</t>
  </si>
  <si>
    <t>Delivery of FEEDWATER PUMPS</t>
  </si>
  <si>
    <t>Delivery of NETWORK WATER PUMPS</t>
  </si>
  <si>
    <t>Delivery of CONDENSATE PUMPS</t>
  </si>
  <si>
    <t>Delivery of COOLING PUMPS</t>
  </si>
  <si>
    <t>Delivery of STABILIZING PUMPS</t>
  </si>
  <si>
    <t>Delivery of OIL PUMPS</t>
  </si>
  <si>
    <t>Delivery of DEMINERALIZED WATER PUMPS</t>
  </si>
  <si>
    <t>Delivery of UREA PUMPS</t>
  </si>
  <si>
    <t>Manual valves</t>
  </si>
  <si>
    <t>Mechanically Actuated Valves</t>
  </si>
  <si>
    <t>Safety Valves</t>
  </si>
  <si>
    <t>ON/OFF Valves</t>
  </si>
  <si>
    <t>29.1</t>
  </si>
  <si>
    <t>30.1</t>
  </si>
  <si>
    <t>31.1</t>
  </si>
  <si>
    <t>32.1</t>
  </si>
  <si>
    <t>Delivery of MANUAL VALVES</t>
  </si>
  <si>
    <t>Delivery of MECHANICALLY ACTUATED VALVES</t>
  </si>
  <si>
    <t>Delivery of SAFETY VALVES</t>
  </si>
  <si>
    <t>Delivery of ON/OFFF VALVES</t>
  </si>
  <si>
    <t>Control Valves</t>
  </si>
  <si>
    <t>Stack</t>
  </si>
  <si>
    <t>Insulation</t>
  </si>
  <si>
    <t>Compressors</t>
  </si>
  <si>
    <t>DEMI Water Installation</t>
  </si>
  <si>
    <t>Oil Tank</t>
  </si>
  <si>
    <t>Oil Uloading Installation</t>
  </si>
  <si>
    <t>33.1</t>
  </si>
  <si>
    <t>34.1</t>
  </si>
  <si>
    <t>36.1</t>
  </si>
  <si>
    <t>37.1</t>
  </si>
  <si>
    <t>38.1</t>
  </si>
  <si>
    <t>Delivery of CONTROL VALVES</t>
  </si>
  <si>
    <t>Delivery of STACK</t>
  </si>
  <si>
    <t>Delivery of COMPRESSORS</t>
  </si>
  <si>
    <t>Delivery of MAIN EQUIPMENT AND TANKS - DEMI WATER INSTALLATION</t>
  </si>
  <si>
    <t>Delivery of OIL TANK</t>
  </si>
  <si>
    <t>Waste Feeding</t>
  </si>
  <si>
    <t>Grate</t>
  </si>
  <si>
    <t>Boiler</t>
  </si>
  <si>
    <t>Primary Air</t>
  </si>
  <si>
    <t>Secondary Air</t>
  </si>
  <si>
    <t>Flue Gas Recirculation</t>
  </si>
  <si>
    <t>Boiler Burners</t>
  </si>
  <si>
    <t>Feedwater</t>
  </si>
  <si>
    <t>Condensate collection from air heaters</t>
  </si>
  <si>
    <t>Boiler drainage</t>
  </si>
  <si>
    <t>Boiler cleaning</t>
  </si>
  <si>
    <t>Ash extractor</t>
  </si>
  <si>
    <t>Steam turbine</t>
  </si>
  <si>
    <t>District heating network</t>
  </si>
  <si>
    <t>Thermal Cycle Cooling Water</t>
  </si>
  <si>
    <t>Drainage Tanke</t>
  </si>
  <si>
    <t>FGT</t>
  </si>
  <si>
    <t>Air cooled condenser</t>
  </si>
  <si>
    <t>Vacuum unit</t>
  </si>
  <si>
    <t>Demineralized water installation</t>
  </si>
  <si>
    <t>Compressed Air Production</t>
  </si>
  <si>
    <t>Ash and dust silos</t>
  </si>
  <si>
    <t>Slag valorization</t>
  </si>
  <si>
    <t>Grate cooling water circuit</t>
  </si>
  <si>
    <t>NaOH storage and dosing</t>
  </si>
  <si>
    <t>Mechanical transport of ash and dust</t>
  </si>
  <si>
    <t>Bag filter area - mechanical transport</t>
  </si>
  <si>
    <t>Boiler area - mechanical transport</t>
  </si>
  <si>
    <t>Pneumatic transport of ash and dust</t>
  </si>
  <si>
    <t>Bag filter area - pneumatic transport</t>
  </si>
  <si>
    <t>Boiler area - pneumatic transport</t>
  </si>
  <si>
    <t>Light fuel oil storage and distribution</t>
  </si>
  <si>
    <t>Industrial water</t>
  </si>
  <si>
    <t>Dirty water tank</t>
  </si>
  <si>
    <t>Demineralized water distribution</t>
  </si>
  <si>
    <t>Urea distribution</t>
  </si>
  <si>
    <t>Reagent dosing</t>
  </si>
  <si>
    <t>Sampling station</t>
  </si>
  <si>
    <t>Pipelines</t>
  </si>
  <si>
    <t>Pipelines - LOT1</t>
  </si>
  <si>
    <t>Pipelines - LOT2</t>
  </si>
  <si>
    <t>Pipelines - LOT3</t>
  </si>
  <si>
    <t>Insultation - Boiler</t>
  </si>
  <si>
    <t>Insulation - Thermal Cycle Area incl. ACC</t>
  </si>
  <si>
    <t>Insulation - Flue Gas Cleaning Area</t>
  </si>
  <si>
    <t>Instrumentation</t>
  </si>
  <si>
    <t>Instrumentation - Process Pipelines - All System</t>
  </si>
  <si>
    <t>Instrumentation - Boiler</t>
  </si>
  <si>
    <t>Instrumentation - Flue Gas Cleaning Area</t>
  </si>
  <si>
    <t>Instrumentation - Thermal Cycle Area incl. ACC</t>
  </si>
  <si>
    <t>Insultation -Process Pipelines - All systems</t>
  </si>
  <si>
    <t>Main power supply from GPO-GPZ in accordance with connection conditions P/24/057724</t>
  </si>
  <si>
    <t>Backup power supply in accordance with connection condition P/24/037506</t>
  </si>
  <si>
    <t>Electrical Equipment Installation</t>
  </si>
  <si>
    <t xml:space="preserve">Cable Routing System </t>
  </si>
  <si>
    <t>Installation of lightning protection system</t>
  </si>
  <si>
    <t>Inatsallation of I&amp;C equipment and systems</t>
  </si>
  <si>
    <t>Insallation of CEMS system</t>
  </si>
  <si>
    <t>Power supply and control of HVAC equipment</t>
  </si>
  <si>
    <t>Installation of electrical heat tracing for pipelines (hot section)</t>
  </si>
  <si>
    <t>Installation of telecommunication system</t>
  </si>
  <si>
    <t>INST</t>
  </si>
  <si>
    <t>2.4</t>
  </si>
  <si>
    <t>2.5</t>
  </si>
  <si>
    <t>2.6</t>
  </si>
  <si>
    <t>2.7</t>
  </si>
  <si>
    <t>2.8</t>
  </si>
  <si>
    <t>2.9</t>
  </si>
  <si>
    <t>2.10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</si>
  <si>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</si>
  <si>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</si>
  <si>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</si>
  <si>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</si>
  <si>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</si>
  <si>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</si>
  <si>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</si>
  <si>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</si>
  <si>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</si>
  <si>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</si>
  <si>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</si>
  <si>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</si>
  <si>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</si>
  <si>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</si>
  <si>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</si>
  <si>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</si>
  <si>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Installation of BOILER SUPPORT STRUCTURE - STAGE 1</t>
  </si>
  <si>
    <t>Installation of BOILER SUPPORT STRUCTURE - STAGE 2</t>
  </si>
  <si>
    <t>Installation of CHARGING HOPPERS</t>
  </si>
  <si>
    <t>Installation of GRATE SUPPORT STRUCTURE</t>
  </si>
  <si>
    <t>Installation of REAR GRATE WALL</t>
  </si>
  <si>
    <t>Installation of BOXES</t>
  </si>
  <si>
    <t>Installation of GRATE BARS</t>
  </si>
  <si>
    <t>Installation of INTERNAL GRATE COOLING SYSTEM</t>
  </si>
  <si>
    <t>Installation of UNDER-GRATE HOPPER</t>
  </si>
  <si>
    <t>Installation of HYDRAULIC STATION</t>
  </si>
  <si>
    <t>Installation of FUEL FLAP WITH ACTUATORS</t>
  </si>
  <si>
    <t>Installation of OIL SYSTEM</t>
  </si>
  <si>
    <t>Installation of CONTROL CABINET - ACC CONTROL</t>
  </si>
  <si>
    <t>Installation of SERVICE PLATFORMS - STAGE 1</t>
  </si>
  <si>
    <t>Installation of STAIRCASE AND LANDINGS</t>
  </si>
  <si>
    <t>HEAVY LIFTING INSTALLATION OF BOILER - FIRST PASS</t>
  </si>
  <si>
    <t>HEAVY LIFTING INSTALLATION OF BOILER - SECOND PASS</t>
  </si>
  <si>
    <t>HEAVY LIFTING INSTALLATION OF BOILER - THIRD PASS</t>
  </si>
  <si>
    <t>Installation of SERVICE PLATFORMS - STAGE 2</t>
  </si>
  <si>
    <t>3.19</t>
  </si>
  <si>
    <t>Installation of EVAPORATOR (EVO)</t>
  </si>
  <si>
    <t>Installation of SUPERHEATERS (SH)</t>
  </si>
  <si>
    <t>Installation of BOILER HOPPERS</t>
  </si>
  <si>
    <t>Installation of ECONOMIZER (ECO)</t>
  </si>
  <si>
    <t>Installation of FLUE GAS OUTLET</t>
  </si>
  <si>
    <t>Installation of STEAM DRUM</t>
  </si>
  <si>
    <t>Installation of CLADDING BANDS</t>
  </si>
  <si>
    <t>Installation of DOWNCOMER PIPES WITH FITTINGS</t>
  </si>
  <si>
    <t>Installation og BOILER AUXILIARY PIPING WITH FITTINGS</t>
  </si>
  <si>
    <t>BOILER HYDROSTATIC PRESSURE TEST</t>
  </si>
  <si>
    <t>3.20</t>
  </si>
  <si>
    <t>3.21</t>
  </si>
  <si>
    <t>3.22</t>
  </si>
  <si>
    <t>Installation of SILENCERS</t>
  </si>
  <si>
    <t>Installation of INSPECTION MANHOLES</t>
  </si>
  <si>
    <t>Installation of EXPANSION JOINTS</t>
  </si>
  <si>
    <t>4.3</t>
  </si>
  <si>
    <t>4.4</t>
  </si>
  <si>
    <t>4.5</t>
  </si>
  <si>
    <t>4.6</t>
  </si>
  <si>
    <t>6.3</t>
  </si>
  <si>
    <t>7.2</t>
  </si>
  <si>
    <t>7.3</t>
  </si>
  <si>
    <t>7.4</t>
  </si>
  <si>
    <t>9.2</t>
  </si>
  <si>
    <t>Installation of PRIMARY AIR FAN</t>
  </si>
  <si>
    <t>Installation of SUPPORT STRUCTRE FOR PRIMARY AIR HEATER</t>
  </si>
  <si>
    <t>Installation of PRIMARY AIR HEATER</t>
  </si>
  <si>
    <t>Installation of SUBSTRUCTURE FOR PRIMARY AIR DUCTS</t>
  </si>
  <si>
    <t>Installation of PRIMARY AIR DUCTS WITH FITTINGS</t>
  </si>
  <si>
    <t>Installation of FIRE CURTAIN - BUNKER WALL OPENING</t>
  </si>
  <si>
    <t>Installation of SECONDARY AIR  FAN</t>
  </si>
  <si>
    <t>Installation of SECONDARY AIR HEATER</t>
  </si>
  <si>
    <t>Installation of SUBSTRUCTURE FOR SECONDARY AIR DUCTS</t>
  </si>
  <si>
    <t>Installation of SECONDARY AIR DUCTS WITH FITTINGS</t>
  </si>
  <si>
    <t>Installation of FLUE GAS RECIRCULATION FAN</t>
  </si>
  <si>
    <t>Installation of SUBSTRUCTURE FOR FLUE GAS RECIRCULATION DUCTS</t>
  </si>
  <si>
    <t>Installation of FLUE GAS RECIRCULATION DUCTS WITH FITTINGS</t>
  </si>
  <si>
    <t>Installation of BURNERS</t>
  </si>
  <si>
    <t>Installation of BURNER SKIDS</t>
  </si>
  <si>
    <t>Installation of BURNER FANS</t>
  </si>
  <si>
    <t>Installation of AIR DUCTS TO BURNERS WITH FITTINGS</t>
  </si>
  <si>
    <t>Installation of FEEDWATER TANK WITH DEARETOR</t>
  </si>
  <si>
    <t>Installation of FEEDWATER PUMPS - 3 units</t>
  </si>
  <si>
    <t>Installation of CONDENSATE TANK</t>
  </si>
  <si>
    <t>Installation of CONDENSATE PUMPS</t>
  </si>
  <si>
    <t>Installation of PRESSURIZED EXPANSION VESSEL</t>
  </si>
  <si>
    <t>Installation of ATMOSPHERIC BLOWDOWN AND DESALTING TANK</t>
  </si>
  <si>
    <t>Condensate</t>
  </si>
  <si>
    <t>11.2</t>
  </si>
  <si>
    <t>12.2</t>
  </si>
  <si>
    <t>12.3</t>
  </si>
  <si>
    <t>13.1</t>
  </si>
  <si>
    <t>13.2</t>
  </si>
  <si>
    <t>13.3</t>
  </si>
  <si>
    <t>13.4</t>
  </si>
  <si>
    <t>13.5</t>
  </si>
  <si>
    <t>13.6</t>
  </si>
  <si>
    <t>13.7</t>
  </si>
  <si>
    <t>13.8</t>
  </si>
  <si>
    <t>14.2</t>
  </si>
  <si>
    <t>16.2</t>
  </si>
  <si>
    <t>16.3</t>
  </si>
  <si>
    <t>17.2</t>
  </si>
  <si>
    <t>18.2</t>
  </si>
  <si>
    <t>18.3</t>
  </si>
  <si>
    <t>18.4</t>
  </si>
  <si>
    <t>18.5</t>
  </si>
  <si>
    <t>18.6</t>
  </si>
  <si>
    <t>18.7</t>
  </si>
  <si>
    <t>18.8</t>
  </si>
  <si>
    <t>Installation of SHOWER SYSTEM IN THE SECOND PASS</t>
  </si>
  <si>
    <t>Installation of EXPLOSION GENERATOR SYSTEM</t>
  </si>
  <si>
    <t>Installation of ASH EXTRACTOR SUPPORTING STRUCTURE</t>
  </si>
  <si>
    <t>Installation of CHAIN CONVEYOR UNDER THE GRATE</t>
  </si>
  <si>
    <t>Installation of BELT CONVEYORS</t>
  </si>
  <si>
    <t>Installation of TURBINE SKID ON FOUNDATION</t>
  </si>
  <si>
    <t>Installation of ELECTRIC GENRATOR</t>
  </si>
  <si>
    <t>Installation of GEARBOX</t>
  </si>
  <si>
    <t>Installation of LUBRICATION SYSTEM</t>
  </si>
  <si>
    <t>Installation of DRAINAGE SYSTEM</t>
  </si>
  <si>
    <t>Installation of GLAND STEAM SYSTEM</t>
  </si>
  <si>
    <t>Installation of FANS</t>
  </si>
  <si>
    <t>Installation of CONTROL CABINETS - TCS SYSTEM</t>
  </si>
  <si>
    <t>Start date</t>
  </si>
  <si>
    <t>Finsh Date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</si>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</sst>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 style="dashDot">
        <color theme="0" tint="-0.34998626667073579"/>
      </top>
      <bottom/>
      <diagonal/>
    </border>
    <border>
      <left/>
      <right/>
      <top/>
      <bottom style="dashDot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ashDot">
        <color theme="0" tint="-0.34998626667073579"/>
      </top>
      <bottom style="dashDot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2" fillId="0" borderId="1" xfId="0" applyNumberFormat="1" applyFont="1" applyBorder="1"/>
    <xf numFmtId="14" fontId="2" fillId="0" borderId="2" xfId="0" applyNumberFormat="1" applyFont="1" applyBorder="1"/>
    <xf numFmtId="0" fontId="2" fillId="0" borderId="1" xfId="0" applyFont="1" applyBorder="1" applyAlignment="1">
      <alignment horizontal="left" indent="2"/>
    </xf>
    <xf numFmtId="0" fontId="2" fillId="0" borderId="0" xfId="0" applyFont="1" applyAlignment="1">
      <alignment horizontal="left" indent="2"/>
    </xf>
    <xf numFmtId="0" fontId="2" fillId="0" borderId="2" xfId="0" applyFont="1" applyBorder="1" applyAlignment="1">
      <alignment horizontal="left" indent="2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3" borderId="0" xfId="0" applyNumberFormat="1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2" fillId="0" borderId="0" xfId="0" applyNumberFormat="1" applyFont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2" xfId="0" applyFont="1" applyBorder="1"/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14" fontId="2" fillId="0" borderId="4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1" xfId="0" applyFont="1" applyBorder="1"/>
    <xf numFmtId="14" fontId="2" fillId="0" borderId="2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1" fillId="3" borderId="0" xfId="0" applyNumberFormat="1" applyFont="1" applyFill="1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indent="2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indent="2"/>
    </xf>
    <xf numFmtId="0" fontId="6" fillId="0" borderId="0" xfId="0" applyFont="1" applyAlignment="1">
      <alignment horizontal="center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0" fillId="2" borderId="5" xfId="0" applyFill="1" applyBorder="1"/>
    <xf numFmtId="14" fontId="0" fillId="0" borderId="5" xfId="0" applyNumberForma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9960-A096-4FCE-ADCC-97EBE4BF75F9}">
  <dimension ref="A1:D8"/>
  <sheetViews>
    <sheetView tabSelected="1" view="pageBreakPreview" zoomScale="80" zoomScaleNormal="80" zoomScaleSheetLayoutView="80" workbookViewId="0">
      <selection activeCell="B30" sqref="B30"/>
    </sheetView>
  </sheetViews>
  <sheetFormatPr defaultRowHeight="14.25" x14ac:dyDescent="0.45"/>
  <cols>
    <col min="1" max="1" width="6.86328125" style="1" customWidth="1"/>
    <col min="2" max="2" width="45.1328125" customWidth="1"/>
    <col min="3" max="4" width="11" bestFit="1" customWidth="1"/>
  </cols>
  <sheetData>
    <row r="1" spans="1:4" x14ac:dyDescent="0.45">
      <c r="A1" s="67" t="s">
        <v>449</v>
      </c>
      <c r="B1" s="68"/>
      <c r="C1" s="62" t="s">
        <v>447</v>
      </c>
      <c r="D1" s="62" t="s">
        <v>448</v>
      </c>
    </row>
    <row r="2" spans="1:4" x14ac:dyDescent="0.45">
      <c r="A2" s="63"/>
      <c r="B2" s="64" t="s">
        <v>0</v>
      </c>
      <c r="C2" s="65"/>
      <c r="D2" s="65"/>
    </row>
    <row r="3" spans="1:4" x14ac:dyDescent="0.45">
      <c r="A3" s="60">
        <v>0</v>
      </c>
      <c r="B3" s="61" t="s">
        <v>1</v>
      </c>
      <c r="C3" s="66">
        <v>46052</v>
      </c>
      <c r="D3" s="66">
        <v>46934</v>
      </c>
    </row>
    <row r="4" spans="1:4" x14ac:dyDescent="0.45">
      <c r="A4" s="63"/>
      <c r="B4" s="64" t="s">
        <v>4</v>
      </c>
      <c r="C4" s="65"/>
      <c r="D4" s="65"/>
    </row>
    <row r="5" spans="1:4" x14ac:dyDescent="0.45">
      <c r="A5" s="60">
        <v>1</v>
      </c>
      <c r="B5" s="61" t="s">
        <v>5</v>
      </c>
      <c r="C5" s="66">
        <v>46676</v>
      </c>
      <c r="D5" s="66">
        <v>46676</v>
      </c>
    </row>
    <row r="6" spans="1:4" x14ac:dyDescent="0.45">
      <c r="A6" s="60">
        <v>2</v>
      </c>
      <c r="B6" s="61" t="s">
        <v>6</v>
      </c>
      <c r="C6" s="66">
        <v>46646</v>
      </c>
      <c r="D6" s="66">
        <v>46646</v>
      </c>
    </row>
    <row r="7" spans="1:4" x14ac:dyDescent="0.45">
      <c r="A7" s="60">
        <v>3</v>
      </c>
      <c r="B7" s="61" t="s">
        <v>7</v>
      </c>
      <c r="C7" s="66">
        <v>46927</v>
      </c>
      <c r="D7" s="66">
        <v>46927</v>
      </c>
    </row>
    <row r="8" spans="1:4" x14ac:dyDescent="0.45">
      <c r="A8" s="60">
        <v>4</v>
      </c>
      <c r="B8" s="61" t="s">
        <v>8</v>
      </c>
      <c r="C8" s="66">
        <v>46934</v>
      </c>
      <c r="D8" s="66">
        <v>46934</v>
      </c>
    </row>
  </sheetData>
  <mergeCells count="1">
    <mergeCell ref="A1:B1"/>
  </mergeCells>
  <pageMargins left="0.7" right="0.7" top="0.75" bottom="0.75" header="0.3" footer="0.3"/>
  <pageSetup paperSize="9" scale="72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51137-D1CF-4854-9353-AA70B97A3F53}">
  <dimension ref="B1:M31"/>
  <sheetViews>
    <sheetView zoomScale="80" zoomScaleNormal="80" workbookViewId="0">
      <selection activeCell="D15" sqref="D15"/>
    </sheetView>
  </sheetViews>
  <sheetFormatPr defaultRowHeight="14.25" x14ac:dyDescent="0.45"/>
  <cols>
    <col min="1" max="1" width="2.86328125" customWidth="1"/>
    <col min="2" max="3" width="6.86328125" style="1" customWidth="1"/>
    <col min="4" max="4" width="61.19921875" bestFit="1" customWidth="1"/>
    <col min="5" max="6" width="11" style="1" bestFit="1" customWidth="1"/>
    <col min="7" max="7" width="11" style="1" customWidth="1"/>
    <col min="8" max="11" width="10.796875" style="1" customWidth="1"/>
    <col min="12" max="13" width="10.796875" style="21" customWidth="1"/>
  </cols>
  <sheetData>
    <row r="1" spans="2:13" ht="14.65" thickBot="1" x14ac:dyDescent="0.5">
      <c r="D1" s="6" t="s">
        <v>9</v>
      </c>
      <c r="E1" s="24">
        <f ca="1">TODAY()</f>
        <v>46147</v>
      </c>
    </row>
    <row r="2" spans="2:13" x14ac:dyDescent="0.45">
      <c r="D2" s="6"/>
      <c r="E2" s="25"/>
    </row>
    <row r="3" spans="2:13" ht="29.45" customHeight="1" x14ac:dyDescent="0.45">
      <c r="B3" s="71" t="s">
        <v>30</v>
      </c>
      <c r="C3" s="71"/>
      <c r="D3" s="71"/>
      <c r="E3" s="71"/>
      <c r="F3" s="71"/>
      <c r="G3" s="71"/>
      <c r="H3" s="69" t="s">
        <v>27</v>
      </c>
      <c r="I3" s="69"/>
      <c r="J3" s="70" t="s">
        <v>29</v>
      </c>
      <c r="K3" s="70"/>
      <c r="L3" s="70" t="s">
        <v>28</v>
      </c>
      <c r="M3" s="70"/>
    </row>
    <row r="4" spans="2:13" x14ac:dyDescent="0.45">
      <c r="B4" s="2"/>
      <c r="C4" s="2"/>
      <c r="D4" s="3" t="s">
        <v>16</v>
      </c>
      <c r="E4" s="4" t="s">
        <v>14</v>
      </c>
      <c r="F4" s="4" t="s">
        <v>15</v>
      </c>
      <c r="G4" s="4" t="s">
        <v>18</v>
      </c>
      <c r="H4" s="4" t="s">
        <v>3</v>
      </c>
      <c r="I4" s="4" t="s">
        <v>2</v>
      </c>
      <c r="J4" s="22" t="s">
        <v>3</v>
      </c>
      <c r="K4" s="22" t="s">
        <v>2</v>
      </c>
      <c r="L4" s="22" t="s">
        <v>3</v>
      </c>
      <c r="M4" s="22" t="s">
        <v>2</v>
      </c>
    </row>
    <row r="5" spans="2:13" x14ac:dyDescent="0.45">
      <c r="B5" s="27">
        <v>1</v>
      </c>
      <c r="C5" s="1" t="s">
        <v>50</v>
      </c>
      <c r="D5" s="28" t="s">
        <v>17</v>
      </c>
      <c r="E5" s="26">
        <v>46044</v>
      </c>
      <c r="F5" s="26">
        <v>46050</v>
      </c>
      <c r="G5" s="26">
        <v>46085</v>
      </c>
      <c r="H5" s="12">
        <f>G5-E5</f>
        <v>41</v>
      </c>
      <c r="I5" s="12">
        <f>H5/30</f>
        <v>1.3666666666666667</v>
      </c>
      <c r="J5" s="21" t="str">
        <f ca="1">IF(E5-$E$1&lt;=0,"",E5-$E$1)</f>
        <v/>
      </c>
      <c r="K5" s="21" t="str">
        <f ca="1">IF(J5="","",J5/30)</f>
        <v/>
      </c>
      <c r="L5" s="21" t="str">
        <f ca="1">IF(G5-$E$1&lt;=0,"",G5-$E$1)</f>
        <v/>
      </c>
      <c r="M5" s="21" t="str">
        <f ca="1">IF(L5="","",L5/30)</f>
        <v/>
      </c>
    </row>
    <row r="6" spans="2:13" x14ac:dyDescent="0.45">
      <c r="B6" s="27">
        <v>2</v>
      </c>
      <c r="C6" s="1" t="s">
        <v>50</v>
      </c>
      <c r="D6" s="28" t="s">
        <v>19</v>
      </c>
      <c r="E6" s="26">
        <v>46059</v>
      </c>
      <c r="F6" s="26">
        <v>46065</v>
      </c>
      <c r="G6" s="26">
        <v>46100</v>
      </c>
      <c r="H6" s="12">
        <f t="shared" ref="H6:H13" si="0">G6-E6</f>
        <v>41</v>
      </c>
      <c r="I6" s="12">
        <f t="shared" ref="I6:I31" si="1">H6/30</f>
        <v>1.3666666666666667</v>
      </c>
      <c r="J6" s="21" t="str">
        <f t="shared" ref="J6:J13" ca="1" si="2">IF(E6-$E$1&lt;=0,"",E6-$E$1)</f>
        <v/>
      </c>
      <c r="K6" s="21" t="str">
        <f t="shared" ref="K6:M13" ca="1" si="3">IF(J6="","",J6/30)</f>
        <v/>
      </c>
      <c r="L6" s="21" t="str">
        <f t="shared" ref="L6:L13" ca="1" si="4">IF(G6-$E$1&lt;=0,"",G6-$E$1)</f>
        <v/>
      </c>
      <c r="M6" s="21" t="str">
        <f t="shared" ca="1" si="3"/>
        <v/>
      </c>
    </row>
    <row r="7" spans="2:13" x14ac:dyDescent="0.45">
      <c r="B7" s="27">
        <v>3</v>
      </c>
      <c r="C7" s="1" t="s">
        <v>50</v>
      </c>
      <c r="D7" s="28" t="s">
        <v>20</v>
      </c>
      <c r="E7" s="26">
        <v>46072</v>
      </c>
      <c r="F7" s="26">
        <v>46078</v>
      </c>
      <c r="G7" s="26">
        <v>46113</v>
      </c>
      <c r="H7" s="12">
        <f t="shared" si="0"/>
        <v>41</v>
      </c>
      <c r="I7" s="12">
        <f t="shared" si="1"/>
        <v>1.3666666666666667</v>
      </c>
      <c r="J7" s="21" t="str">
        <f t="shared" ca="1" si="2"/>
        <v/>
      </c>
      <c r="K7" s="21" t="str">
        <f t="shared" ca="1" si="3"/>
        <v/>
      </c>
      <c r="L7" s="21" t="str">
        <f t="shared" ca="1" si="4"/>
        <v/>
      </c>
      <c r="M7" s="21" t="str">
        <f t="shared" ca="1" si="3"/>
        <v/>
      </c>
    </row>
    <row r="8" spans="2:13" x14ac:dyDescent="0.45">
      <c r="B8" s="27">
        <v>4</v>
      </c>
      <c r="C8" s="1" t="s">
        <v>50</v>
      </c>
      <c r="D8" s="28" t="s">
        <v>21</v>
      </c>
      <c r="E8" s="26">
        <v>46072</v>
      </c>
      <c r="F8" s="26">
        <v>46078</v>
      </c>
      <c r="G8" s="26">
        <v>46113</v>
      </c>
      <c r="H8" s="12">
        <f t="shared" si="0"/>
        <v>41</v>
      </c>
      <c r="I8" s="12">
        <f t="shared" si="1"/>
        <v>1.3666666666666667</v>
      </c>
      <c r="J8" s="21" t="str">
        <f t="shared" ca="1" si="2"/>
        <v/>
      </c>
      <c r="K8" s="21" t="str">
        <f t="shared" ca="1" si="3"/>
        <v/>
      </c>
      <c r="L8" s="21" t="str">
        <f t="shared" ca="1" si="4"/>
        <v/>
      </c>
      <c r="M8" s="21" t="str">
        <f t="shared" ca="1" si="3"/>
        <v/>
      </c>
    </row>
    <row r="9" spans="2:13" x14ac:dyDescent="0.45">
      <c r="B9" s="27">
        <v>5</v>
      </c>
      <c r="C9" s="1" t="s">
        <v>50</v>
      </c>
      <c r="D9" s="28" t="s">
        <v>22</v>
      </c>
      <c r="E9" s="26">
        <v>46072</v>
      </c>
      <c r="F9" s="26">
        <v>46078</v>
      </c>
      <c r="G9" s="26">
        <v>46113</v>
      </c>
      <c r="H9" s="12">
        <f t="shared" si="0"/>
        <v>41</v>
      </c>
      <c r="I9" s="12">
        <f t="shared" si="1"/>
        <v>1.3666666666666667</v>
      </c>
      <c r="J9" s="21" t="str">
        <f t="shared" ca="1" si="2"/>
        <v/>
      </c>
      <c r="K9" s="21" t="str">
        <f t="shared" ca="1" si="3"/>
        <v/>
      </c>
      <c r="L9" s="21" t="str">
        <f t="shared" ca="1" si="4"/>
        <v/>
      </c>
      <c r="M9" s="21" t="str">
        <f t="shared" ca="1" si="3"/>
        <v/>
      </c>
    </row>
    <row r="10" spans="2:13" x14ac:dyDescent="0.45">
      <c r="B10" s="27">
        <v>6</v>
      </c>
      <c r="C10" s="1" t="s">
        <v>50</v>
      </c>
      <c r="D10" s="28" t="s">
        <v>23</v>
      </c>
      <c r="E10" s="26">
        <v>46058</v>
      </c>
      <c r="F10" s="26">
        <v>46064</v>
      </c>
      <c r="G10" s="26">
        <v>46099</v>
      </c>
      <c r="H10" s="12">
        <f t="shared" si="0"/>
        <v>41</v>
      </c>
      <c r="I10" s="12">
        <f t="shared" si="1"/>
        <v>1.3666666666666667</v>
      </c>
      <c r="J10" s="21" t="str">
        <f t="shared" ca="1" si="2"/>
        <v/>
      </c>
      <c r="K10" s="21" t="str">
        <f t="shared" ca="1" si="3"/>
        <v/>
      </c>
      <c r="L10" s="21" t="str">
        <f t="shared" ca="1" si="4"/>
        <v/>
      </c>
      <c r="M10" s="21" t="str">
        <f t="shared" ca="1" si="3"/>
        <v/>
      </c>
    </row>
    <row r="11" spans="2:13" x14ac:dyDescent="0.45">
      <c r="B11" s="27">
        <v>7</v>
      </c>
      <c r="C11" s="1" t="s">
        <v>50</v>
      </c>
      <c r="D11" s="28" t="s">
        <v>24</v>
      </c>
      <c r="E11" s="26">
        <v>46111</v>
      </c>
      <c r="F11" s="26">
        <v>46115</v>
      </c>
      <c r="G11" s="26">
        <v>46154</v>
      </c>
      <c r="H11" s="12">
        <f t="shared" si="0"/>
        <v>43</v>
      </c>
      <c r="I11" s="12">
        <f t="shared" si="1"/>
        <v>1.4333333333333333</v>
      </c>
      <c r="J11" s="21" t="str">
        <f t="shared" ca="1" si="2"/>
        <v/>
      </c>
      <c r="K11" s="21" t="str">
        <f t="shared" ca="1" si="3"/>
        <v/>
      </c>
      <c r="L11" s="21">
        <f t="shared" ca="1" si="4"/>
        <v>7</v>
      </c>
      <c r="M11" s="21">
        <f t="shared" ca="1" si="3"/>
        <v>0.23333333333333334</v>
      </c>
    </row>
    <row r="12" spans="2:13" x14ac:dyDescent="0.45">
      <c r="B12" s="27">
        <v>8</v>
      </c>
      <c r="C12" s="1" t="s">
        <v>50</v>
      </c>
      <c r="D12" s="28" t="s">
        <v>25</v>
      </c>
      <c r="E12" s="26">
        <v>46044</v>
      </c>
      <c r="F12" s="26">
        <v>46050</v>
      </c>
      <c r="G12" s="26">
        <v>46085</v>
      </c>
      <c r="H12" s="12">
        <f t="shared" si="0"/>
        <v>41</v>
      </c>
      <c r="I12" s="12">
        <f t="shared" si="1"/>
        <v>1.3666666666666667</v>
      </c>
      <c r="J12" s="21" t="str">
        <f t="shared" ca="1" si="2"/>
        <v/>
      </c>
      <c r="K12" s="21" t="str">
        <f t="shared" ca="1" si="3"/>
        <v/>
      </c>
      <c r="L12" s="21" t="str">
        <f t="shared" ca="1" si="4"/>
        <v/>
      </c>
      <c r="M12" s="21" t="str">
        <f t="shared" ca="1" si="3"/>
        <v/>
      </c>
    </row>
    <row r="13" spans="2:13" x14ac:dyDescent="0.45">
      <c r="B13" s="27">
        <v>9</v>
      </c>
      <c r="C13" s="1" t="s">
        <v>50</v>
      </c>
      <c r="D13" s="28" t="s">
        <v>26</v>
      </c>
      <c r="E13" s="26">
        <v>46126</v>
      </c>
      <c r="F13" s="26">
        <v>46132</v>
      </c>
      <c r="G13" s="26">
        <v>46168</v>
      </c>
      <c r="H13" s="12">
        <f t="shared" si="0"/>
        <v>42</v>
      </c>
      <c r="I13" s="12">
        <f t="shared" si="1"/>
        <v>1.4</v>
      </c>
      <c r="J13" s="21" t="str">
        <f t="shared" ca="1" si="2"/>
        <v/>
      </c>
      <c r="K13" s="21" t="str">
        <f t="shared" ca="1" si="3"/>
        <v/>
      </c>
      <c r="L13" s="21">
        <f t="shared" ca="1" si="4"/>
        <v>21</v>
      </c>
      <c r="M13" s="21">
        <f t="shared" ca="1" si="3"/>
        <v>0.7</v>
      </c>
    </row>
    <row r="14" spans="2:13" x14ac:dyDescent="0.45">
      <c r="B14" s="27">
        <v>10</v>
      </c>
      <c r="C14" s="1" t="s">
        <v>50</v>
      </c>
      <c r="D14" s="28" t="s">
        <v>31</v>
      </c>
      <c r="E14" s="26">
        <v>46247</v>
      </c>
      <c r="F14" s="26">
        <v>46253</v>
      </c>
      <c r="G14" s="26">
        <v>46288</v>
      </c>
      <c r="H14" s="12">
        <f t="shared" ref="H14:H25" si="5">G14-E14</f>
        <v>41</v>
      </c>
      <c r="I14" s="12">
        <f t="shared" si="1"/>
        <v>1.3666666666666667</v>
      </c>
      <c r="J14" s="21">
        <f t="shared" ref="J14:J25" ca="1" si="6">IF(E14-$E$1&lt;=0,"",E14-$E$1)</f>
        <v>100</v>
      </c>
      <c r="K14" s="21">
        <f t="shared" ref="K14" ca="1" si="7">IF(J14="","",J14/30)</f>
        <v>3.3333333333333335</v>
      </c>
      <c r="L14" s="21">
        <f t="shared" ref="L14:L25" ca="1" si="8">IF(G14-$E$1&lt;=0,"",G14-$E$1)</f>
        <v>141</v>
      </c>
      <c r="M14" s="21">
        <f t="shared" ref="M14" ca="1" si="9">IF(L14="","",L14/30)</f>
        <v>4.7</v>
      </c>
    </row>
    <row r="15" spans="2:13" x14ac:dyDescent="0.45">
      <c r="B15" s="27">
        <v>11</v>
      </c>
      <c r="C15" s="1" t="s">
        <v>50</v>
      </c>
      <c r="D15" s="28" t="s">
        <v>32</v>
      </c>
      <c r="E15" s="26">
        <v>46275</v>
      </c>
      <c r="F15" s="26">
        <v>46281</v>
      </c>
      <c r="G15" s="26">
        <v>46316</v>
      </c>
      <c r="H15" s="12">
        <f t="shared" si="5"/>
        <v>41</v>
      </c>
      <c r="I15" s="12">
        <f t="shared" si="1"/>
        <v>1.3666666666666667</v>
      </c>
      <c r="J15" s="21">
        <f t="shared" ca="1" si="6"/>
        <v>128</v>
      </c>
      <c r="K15" s="21">
        <f t="shared" ref="K15" ca="1" si="10">IF(J15="","",J15/30)</f>
        <v>4.2666666666666666</v>
      </c>
      <c r="L15" s="21">
        <f t="shared" ca="1" si="8"/>
        <v>169</v>
      </c>
      <c r="M15" s="21">
        <f t="shared" ref="M15" ca="1" si="11">IF(L15="","",L15/30)</f>
        <v>5.6333333333333337</v>
      </c>
    </row>
    <row r="16" spans="2:13" x14ac:dyDescent="0.45">
      <c r="B16" s="27">
        <v>12</v>
      </c>
      <c r="C16" s="1" t="s">
        <v>50</v>
      </c>
      <c r="D16" s="28" t="s">
        <v>33</v>
      </c>
      <c r="E16" s="26">
        <v>46275</v>
      </c>
      <c r="F16" s="26">
        <v>46281</v>
      </c>
      <c r="G16" s="26">
        <v>46316</v>
      </c>
      <c r="H16" s="12">
        <f t="shared" si="5"/>
        <v>41</v>
      </c>
      <c r="I16" s="12">
        <f t="shared" si="1"/>
        <v>1.3666666666666667</v>
      </c>
      <c r="J16" s="21">
        <f t="shared" ca="1" si="6"/>
        <v>128</v>
      </c>
      <c r="K16" s="21">
        <f t="shared" ref="K16" ca="1" si="12">IF(J16="","",J16/30)</f>
        <v>4.2666666666666666</v>
      </c>
      <c r="L16" s="21">
        <f t="shared" ca="1" si="8"/>
        <v>169</v>
      </c>
      <c r="M16" s="21">
        <f t="shared" ref="M16" ca="1" si="13">IF(L16="","",L16/30)</f>
        <v>5.6333333333333337</v>
      </c>
    </row>
    <row r="17" spans="2:13" x14ac:dyDescent="0.45">
      <c r="B17" s="27">
        <v>13</v>
      </c>
      <c r="C17" s="1" t="s">
        <v>50</v>
      </c>
      <c r="D17" s="28" t="s">
        <v>34</v>
      </c>
      <c r="E17" s="26">
        <v>46275</v>
      </c>
      <c r="F17" s="26">
        <v>46281</v>
      </c>
      <c r="G17" s="26">
        <v>46316</v>
      </c>
      <c r="H17" s="12">
        <f t="shared" si="5"/>
        <v>41</v>
      </c>
      <c r="I17" s="12">
        <f t="shared" si="1"/>
        <v>1.3666666666666667</v>
      </c>
      <c r="J17" s="21">
        <f t="shared" ca="1" si="6"/>
        <v>128</v>
      </c>
      <c r="K17" s="21">
        <f t="shared" ref="K17" ca="1" si="14">IF(J17="","",J17/30)</f>
        <v>4.2666666666666666</v>
      </c>
      <c r="L17" s="21">
        <f t="shared" ca="1" si="8"/>
        <v>169</v>
      </c>
      <c r="M17" s="21">
        <f t="shared" ref="M17" ca="1" si="15">IF(L17="","",L17/30)</f>
        <v>5.6333333333333337</v>
      </c>
    </row>
    <row r="18" spans="2:13" x14ac:dyDescent="0.45">
      <c r="B18" s="27">
        <v>14</v>
      </c>
      <c r="C18" s="1" t="s">
        <v>50</v>
      </c>
      <c r="D18" s="28" t="s">
        <v>35</v>
      </c>
      <c r="E18" s="26">
        <v>46296</v>
      </c>
      <c r="F18" s="26">
        <v>46302</v>
      </c>
      <c r="G18" s="26">
        <v>46338</v>
      </c>
      <c r="H18" s="12">
        <f t="shared" si="5"/>
        <v>42</v>
      </c>
      <c r="I18" s="12">
        <f t="shared" si="1"/>
        <v>1.4</v>
      </c>
      <c r="J18" s="21">
        <f t="shared" ca="1" si="6"/>
        <v>149</v>
      </c>
      <c r="K18" s="21">
        <f t="shared" ref="K18" ca="1" si="16">IF(J18="","",J18/30)</f>
        <v>4.9666666666666668</v>
      </c>
      <c r="L18" s="21">
        <f t="shared" ca="1" si="8"/>
        <v>191</v>
      </c>
      <c r="M18" s="21">
        <f t="shared" ref="M18" ca="1" si="17">IF(L18="","",L18/30)</f>
        <v>6.3666666666666663</v>
      </c>
    </row>
    <row r="19" spans="2:13" x14ac:dyDescent="0.45">
      <c r="B19" s="27">
        <v>15</v>
      </c>
      <c r="C19" s="1" t="s">
        <v>50</v>
      </c>
      <c r="D19" s="28" t="s">
        <v>36</v>
      </c>
      <c r="E19" s="26">
        <v>46296</v>
      </c>
      <c r="F19" s="26">
        <v>46302</v>
      </c>
      <c r="G19" s="26">
        <v>46338</v>
      </c>
      <c r="H19" s="12">
        <f t="shared" si="5"/>
        <v>42</v>
      </c>
      <c r="I19" s="12">
        <f t="shared" si="1"/>
        <v>1.4</v>
      </c>
      <c r="J19" s="21">
        <f t="shared" ca="1" si="6"/>
        <v>149</v>
      </c>
      <c r="K19" s="21">
        <f t="shared" ref="K19" ca="1" si="18">IF(J19="","",J19/30)</f>
        <v>4.9666666666666668</v>
      </c>
      <c r="L19" s="21">
        <f t="shared" ca="1" si="8"/>
        <v>191</v>
      </c>
      <c r="M19" s="21">
        <f t="shared" ref="M19" ca="1" si="19">IF(L19="","",L19/30)</f>
        <v>6.3666666666666663</v>
      </c>
    </row>
    <row r="20" spans="2:13" x14ac:dyDescent="0.45">
      <c r="B20" s="27">
        <v>16</v>
      </c>
      <c r="C20" s="1" t="s">
        <v>50</v>
      </c>
      <c r="D20" s="28" t="s">
        <v>37</v>
      </c>
      <c r="E20" s="26">
        <v>46155</v>
      </c>
      <c r="F20" s="26">
        <v>46161</v>
      </c>
      <c r="G20" s="26">
        <v>46197</v>
      </c>
      <c r="H20" s="12">
        <f t="shared" si="5"/>
        <v>42</v>
      </c>
      <c r="I20" s="12">
        <f t="shared" si="1"/>
        <v>1.4</v>
      </c>
      <c r="J20" s="21">
        <f t="shared" ca="1" si="6"/>
        <v>8</v>
      </c>
      <c r="K20" s="21">
        <f t="shared" ref="K20" ca="1" si="20">IF(J20="","",J20/30)</f>
        <v>0.26666666666666666</v>
      </c>
      <c r="L20" s="21">
        <f t="shared" ca="1" si="8"/>
        <v>50</v>
      </c>
      <c r="M20" s="21">
        <f t="shared" ref="M20" ca="1" si="21">IF(L20="","",L20/30)</f>
        <v>1.6666666666666667</v>
      </c>
    </row>
    <row r="21" spans="2:13" x14ac:dyDescent="0.45">
      <c r="B21" s="27">
        <v>17</v>
      </c>
      <c r="C21" s="1" t="s">
        <v>50</v>
      </c>
      <c r="D21" s="28" t="s">
        <v>38</v>
      </c>
      <c r="E21" s="26">
        <v>46339</v>
      </c>
      <c r="F21" s="26">
        <v>46345</v>
      </c>
      <c r="G21" s="26">
        <v>46384</v>
      </c>
      <c r="H21" s="12">
        <f t="shared" si="5"/>
        <v>45</v>
      </c>
      <c r="I21" s="12">
        <f t="shared" si="1"/>
        <v>1.5</v>
      </c>
      <c r="J21" s="21">
        <f t="shared" ca="1" si="6"/>
        <v>192</v>
      </c>
      <c r="K21" s="21">
        <f t="shared" ref="K21" ca="1" si="22">IF(J21="","",J21/30)</f>
        <v>6.4</v>
      </c>
      <c r="L21" s="21">
        <f t="shared" ca="1" si="8"/>
        <v>237</v>
      </c>
      <c r="M21" s="21">
        <f t="shared" ref="M21" ca="1" si="23">IF(L21="","",L21/30)</f>
        <v>7.9</v>
      </c>
    </row>
    <row r="22" spans="2:13" x14ac:dyDescent="0.45">
      <c r="B22" s="27">
        <v>18</v>
      </c>
      <c r="C22" s="1" t="s">
        <v>50</v>
      </c>
      <c r="D22" s="28" t="s">
        <v>39</v>
      </c>
      <c r="E22" s="26">
        <v>46289</v>
      </c>
      <c r="F22" s="26">
        <v>46295</v>
      </c>
      <c r="G22" s="26">
        <v>46384</v>
      </c>
      <c r="H22" s="12">
        <f t="shared" si="5"/>
        <v>95</v>
      </c>
      <c r="I22" s="12">
        <f t="shared" si="1"/>
        <v>3.1666666666666665</v>
      </c>
      <c r="J22" s="21">
        <f t="shared" ca="1" si="6"/>
        <v>142</v>
      </c>
      <c r="K22" s="21">
        <f t="shared" ref="K22" ca="1" si="24">IF(J22="","",J22/30)</f>
        <v>4.7333333333333334</v>
      </c>
      <c r="L22" s="21">
        <f t="shared" ca="1" si="8"/>
        <v>237</v>
      </c>
      <c r="M22" s="21">
        <f t="shared" ref="M22" ca="1" si="25">IF(L22="","",L22/30)</f>
        <v>7.9</v>
      </c>
    </row>
    <row r="23" spans="2:13" x14ac:dyDescent="0.45">
      <c r="B23" s="27">
        <v>19</v>
      </c>
      <c r="C23" s="1" t="s">
        <v>50</v>
      </c>
      <c r="D23" s="28" t="s">
        <v>40</v>
      </c>
      <c r="E23" s="26">
        <v>46212</v>
      </c>
      <c r="F23" s="26">
        <v>46218</v>
      </c>
      <c r="G23" s="26">
        <v>46253</v>
      </c>
      <c r="H23" s="12">
        <f t="shared" si="5"/>
        <v>41</v>
      </c>
      <c r="I23" s="12">
        <f t="shared" si="1"/>
        <v>1.3666666666666667</v>
      </c>
      <c r="J23" s="21">
        <f t="shared" ca="1" si="6"/>
        <v>65</v>
      </c>
      <c r="K23" s="21">
        <f t="shared" ref="K23" ca="1" si="26">IF(J23="","",J23/30)</f>
        <v>2.1666666666666665</v>
      </c>
      <c r="L23" s="21">
        <f t="shared" ca="1" si="8"/>
        <v>106</v>
      </c>
      <c r="M23" s="21">
        <f t="shared" ref="M23" ca="1" si="27">IF(L23="","",L23/30)</f>
        <v>3.5333333333333332</v>
      </c>
    </row>
    <row r="24" spans="2:13" x14ac:dyDescent="0.45">
      <c r="B24" s="27">
        <v>20</v>
      </c>
      <c r="C24" s="1" t="s">
        <v>50</v>
      </c>
      <c r="D24" s="28" t="s">
        <v>41</v>
      </c>
      <c r="E24" s="26">
        <v>46346</v>
      </c>
      <c r="F24" s="26">
        <v>46352</v>
      </c>
      <c r="G24" s="26">
        <v>46392</v>
      </c>
      <c r="H24" s="12">
        <f t="shared" si="5"/>
        <v>46</v>
      </c>
      <c r="I24" s="12">
        <f t="shared" si="1"/>
        <v>1.5333333333333334</v>
      </c>
      <c r="J24" s="21">
        <f t="shared" ca="1" si="6"/>
        <v>199</v>
      </c>
      <c r="K24" s="21">
        <f t="shared" ref="K24" ca="1" si="28">IF(J24="","",J24/30)</f>
        <v>6.6333333333333337</v>
      </c>
      <c r="L24" s="21">
        <f t="shared" ca="1" si="8"/>
        <v>245</v>
      </c>
      <c r="M24" s="21">
        <f t="shared" ref="M24" ca="1" si="29">IF(L24="","",L24/30)</f>
        <v>8.1666666666666661</v>
      </c>
    </row>
    <row r="25" spans="2:13" x14ac:dyDescent="0.45">
      <c r="B25" s="27">
        <v>21</v>
      </c>
      <c r="C25" s="1" t="s">
        <v>50</v>
      </c>
      <c r="D25" s="28" t="s">
        <v>42</v>
      </c>
      <c r="E25" s="26">
        <v>46346</v>
      </c>
      <c r="F25" s="26">
        <v>46352</v>
      </c>
      <c r="G25" s="26">
        <v>46392</v>
      </c>
      <c r="H25" s="12">
        <f t="shared" si="5"/>
        <v>46</v>
      </c>
      <c r="I25" s="12">
        <f t="shared" si="1"/>
        <v>1.5333333333333334</v>
      </c>
      <c r="J25" s="21">
        <f t="shared" ca="1" si="6"/>
        <v>199</v>
      </c>
      <c r="K25" s="21">
        <f t="shared" ref="K25:K31" ca="1" si="30">IF(J25="","",J25/30)</f>
        <v>6.6333333333333337</v>
      </c>
      <c r="L25" s="21">
        <f t="shared" ca="1" si="8"/>
        <v>245</v>
      </c>
      <c r="M25" s="21">
        <f t="shared" ref="M25:M31" ca="1" si="31">IF(L25="","",L25/30)</f>
        <v>8.1666666666666661</v>
      </c>
    </row>
    <row r="26" spans="2:13" x14ac:dyDescent="0.45">
      <c r="B26" s="2"/>
      <c r="C26" s="2"/>
      <c r="D26" s="3" t="s">
        <v>43</v>
      </c>
      <c r="E26" s="4" t="s">
        <v>14</v>
      </c>
      <c r="F26" s="4" t="s">
        <v>15</v>
      </c>
      <c r="G26" s="4" t="s">
        <v>18</v>
      </c>
      <c r="H26" s="4" t="s">
        <v>3</v>
      </c>
      <c r="I26" s="4" t="s">
        <v>2</v>
      </c>
      <c r="J26" s="22" t="s">
        <v>3</v>
      </c>
      <c r="K26" s="22" t="s">
        <v>2</v>
      </c>
      <c r="L26" s="22" t="s">
        <v>3</v>
      </c>
      <c r="M26" s="22" t="s">
        <v>2</v>
      </c>
    </row>
    <row r="27" spans="2:13" x14ac:dyDescent="0.45">
      <c r="B27" s="1">
        <v>1</v>
      </c>
      <c r="C27" s="1" t="s">
        <v>50</v>
      </c>
      <c r="D27" t="s">
        <v>44</v>
      </c>
      <c r="E27" s="26">
        <v>46226</v>
      </c>
      <c r="F27" s="26">
        <v>46232</v>
      </c>
      <c r="G27" s="26">
        <v>46267</v>
      </c>
      <c r="H27" s="12">
        <f t="shared" ref="H27:H31" si="32">G27-E27</f>
        <v>41</v>
      </c>
      <c r="I27" s="12">
        <f t="shared" si="1"/>
        <v>1.3666666666666667</v>
      </c>
      <c r="J27" s="21">
        <f t="shared" ref="J27:J31" ca="1" si="33">IF(E27-$E$1&lt;=0,"",E27-$E$1)</f>
        <v>79</v>
      </c>
      <c r="K27" s="21">
        <f t="shared" ca="1" si="30"/>
        <v>2.6333333333333333</v>
      </c>
      <c r="L27" s="21">
        <f t="shared" ref="L27:L31" ca="1" si="34">IF(G27-$E$1&lt;=0,"",G27-$E$1)</f>
        <v>120</v>
      </c>
      <c r="M27" s="21">
        <f t="shared" ca="1" si="31"/>
        <v>4</v>
      </c>
    </row>
    <row r="28" spans="2:13" x14ac:dyDescent="0.45">
      <c r="B28" s="1">
        <v>2</v>
      </c>
      <c r="C28" s="1" t="s">
        <v>50</v>
      </c>
      <c r="D28" t="s">
        <v>45</v>
      </c>
      <c r="E28" s="26">
        <v>46275</v>
      </c>
      <c r="F28" s="26">
        <v>46281</v>
      </c>
      <c r="G28" s="26">
        <v>46316</v>
      </c>
      <c r="H28" s="12">
        <f t="shared" si="32"/>
        <v>41</v>
      </c>
      <c r="I28" s="12">
        <f t="shared" si="1"/>
        <v>1.3666666666666667</v>
      </c>
      <c r="J28" s="21">
        <f t="shared" ca="1" si="33"/>
        <v>128</v>
      </c>
      <c r="K28" s="21">
        <f t="shared" ca="1" si="30"/>
        <v>4.2666666666666666</v>
      </c>
      <c r="L28" s="21">
        <f t="shared" ca="1" si="34"/>
        <v>169</v>
      </c>
      <c r="M28" s="21">
        <f t="shared" ca="1" si="31"/>
        <v>5.6333333333333337</v>
      </c>
    </row>
    <row r="29" spans="2:13" x14ac:dyDescent="0.45">
      <c r="B29" s="1">
        <v>3</v>
      </c>
      <c r="C29" s="1" t="s">
        <v>50</v>
      </c>
      <c r="D29" t="s">
        <v>46</v>
      </c>
      <c r="E29" s="26">
        <v>46303</v>
      </c>
      <c r="F29" s="26">
        <v>46309</v>
      </c>
      <c r="G29" s="26">
        <v>46345</v>
      </c>
      <c r="H29" s="12">
        <f t="shared" si="32"/>
        <v>42</v>
      </c>
      <c r="I29" s="12">
        <f t="shared" si="1"/>
        <v>1.4</v>
      </c>
      <c r="J29" s="21">
        <f t="shared" ca="1" si="33"/>
        <v>156</v>
      </c>
      <c r="K29" s="21">
        <f t="shared" ca="1" si="30"/>
        <v>5.2</v>
      </c>
      <c r="L29" s="21">
        <f t="shared" ca="1" si="34"/>
        <v>198</v>
      </c>
      <c r="M29" s="21">
        <f t="shared" ca="1" si="31"/>
        <v>6.6</v>
      </c>
    </row>
    <row r="30" spans="2:13" x14ac:dyDescent="0.45">
      <c r="B30" s="1">
        <v>4</v>
      </c>
      <c r="C30" s="1" t="s">
        <v>50</v>
      </c>
      <c r="D30" t="s">
        <v>47</v>
      </c>
      <c r="E30" s="26">
        <v>46317</v>
      </c>
      <c r="F30" s="26">
        <v>46323</v>
      </c>
      <c r="G30" s="26">
        <v>46359</v>
      </c>
      <c r="H30" s="12">
        <f t="shared" si="32"/>
        <v>42</v>
      </c>
      <c r="I30" s="12">
        <f t="shared" si="1"/>
        <v>1.4</v>
      </c>
      <c r="J30" s="21">
        <f t="shared" ca="1" si="33"/>
        <v>170</v>
      </c>
      <c r="K30" s="21">
        <f t="shared" ca="1" si="30"/>
        <v>5.666666666666667</v>
      </c>
      <c r="L30" s="21">
        <f t="shared" ca="1" si="34"/>
        <v>212</v>
      </c>
      <c r="M30" s="21">
        <f t="shared" ca="1" si="31"/>
        <v>7.0666666666666664</v>
      </c>
    </row>
    <row r="31" spans="2:13" x14ac:dyDescent="0.45">
      <c r="B31" s="1">
        <v>5</v>
      </c>
      <c r="C31" s="1" t="s">
        <v>50</v>
      </c>
      <c r="D31" t="s">
        <v>48</v>
      </c>
      <c r="E31" s="26">
        <v>46275</v>
      </c>
      <c r="F31" s="26">
        <v>46281</v>
      </c>
      <c r="G31" s="26">
        <v>46316</v>
      </c>
      <c r="H31" s="12">
        <f t="shared" si="32"/>
        <v>41</v>
      </c>
      <c r="I31" s="12">
        <f t="shared" si="1"/>
        <v>1.3666666666666667</v>
      </c>
      <c r="J31" s="21">
        <f t="shared" ca="1" si="33"/>
        <v>128</v>
      </c>
      <c r="K31" s="21">
        <f t="shared" ca="1" si="30"/>
        <v>4.2666666666666666</v>
      </c>
      <c r="L31" s="21">
        <f t="shared" ca="1" si="34"/>
        <v>169</v>
      </c>
      <c r="M31" s="21">
        <f t="shared" ca="1" si="31"/>
        <v>5.6333333333333337</v>
      </c>
    </row>
  </sheetData>
  <autoFilter ref="B4:M31" xr:uid="{82551137-D1CF-4854-9353-AA70B97A3F53}"/>
  <mergeCells count="4">
    <mergeCell ref="H3:I3"/>
    <mergeCell ref="L3:M3"/>
    <mergeCell ref="B3:G3"/>
    <mergeCell ref="J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6809-EB62-4D5B-936E-9919BB322C3E}">
  <dimension ref="B1:M16"/>
  <sheetViews>
    <sheetView zoomScale="80" zoomScaleNormal="80" workbookViewId="0">
      <selection activeCell="D15" sqref="D15"/>
    </sheetView>
  </sheetViews>
  <sheetFormatPr defaultRowHeight="14.25" outlineLevelRow="1" x14ac:dyDescent="0.45"/>
  <cols>
    <col min="1" max="1" width="2.86328125" customWidth="1"/>
    <col min="2" max="3" width="6.86328125" style="1" customWidth="1"/>
    <col min="4" max="4" width="61.19921875" bestFit="1" customWidth="1"/>
    <col min="5" max="6" width="11" style="1" bestFit="1" customWidth="1"/>
    <col min="7" max="7" width="11" style="1" customWidth="1"/>
    <col min="8" max="11" width="10.796875" style="1" customWidth="1"/>
    <col min="12" max="13" width="10.796875" style="21" customWidth="1"/>
  </cols>
  <sheetData>
    <row r="1" spans="2:13" ht="14.65" thickBot="1" x14ac:dyDescent="0.5">
      <c r="D1" s="6" t="s">
        <v>9</v>
      </c>
      <c r="E1" s="24">
        <f ca="1">TODAY()</f>
        <v>46147</v>
      </c>
    </row>
    <row r="2" spans="2:13" x14ac:dyDescent="0.45">
      <c r="D2" s="6"/>
      <c r="E2" s="25"/>
    </row>
    <row r="3" spans="2:13" ht="29.45" customHeight="1" x14ac:dyDescent="0.45">
      <c r="B3" s="71" t="s">
        <v>30</v>
      </c>
      <c r="C3" s="71"/>
      <c r="D3" s="71"/>
      <c r="E3" s="71"/>
      <c r="F3" s="71"/>
      <c r="G3" s="71"/>
      <c r="H3" s="69" t="s">
        <v>27</v>
      </c>
      <c r="I3" s="69"/>
      <c r="J3" s="70" t="s">
        <v>29</v>
      </c>
      <c r="K3" s="70"/>
      <c r="L3" s="70" t="s">
        <v>28</v>
      </c>
      <c r="M3" s="70"/>
    </row>
    <row r="4" spans="2:13" x14ac:dyDescent="0.45">
      <c r="B4" s="2"/>
      <c r="C4" s="2"/>
      <c r="D4" s="3" t="s">
        <v>49</v>
      </c>
      <c r="E4" s="4" t="s">
        <v>14</v>
      </c>
      <c r="F4" s="4" t="s">
        <v>15</v>
      </c>
      <c r="G4" s="4" t="s">
        <v>18</v>
      </c>
      <c r="H4" s="4" t="s">
        <v>3</v>
      </c>
      <c r="I4" s="4" t="s">
        <v>2</v>
      </c>
      <c r="J4" s="22" t="s">
        <v>3</v>
      </c>
      <c r="K4" s="22" t="s">
        <v>2</v>
      </c>
      <c r="L4" s="22" t="s">
        <v>3</v>
      </c>
      <c r="M4" s="22" t="s">
        <v>2</v>
      </c>
    </row>
    <row r="5" spans="2:13" x14ac:dyDescent="0.45">
      <c r="B5" s="27">
        <v>1</v>
      </c>
      <c r="C5" s="1" t="s">
        <v>50</v>
      </c>
      <c r="D5" t="s">
        <v>52</v>
      </c>
      <c r="E5" s="26">
        <v>46058</v>
      </c>
      <c r="F5" s="26">
        <v>46064</v>
      </c>
      <c r="G5" s="26">
        <v>46533</v>
      </c>
      <c r="H5" s="12">
        <f>G5-E5</f>
        <v>475</v>
      </c>
      <c r="I5" s="12">
        <f>H5/30</f>
        <v>15.833333333333334</v>
      </c>
      <c r="J5" s="21" t="str">
        <f ca="1">IF(E5-$E$1&lt;=0,"",E5-$E$1)</f>
        <v/>
      </c>
      <c r="K5" s="21" t="str">
        <f ca="1">IF(J5="","",J5/30)</f>
        <v/>
      </c>
      <c r="L5" s="21">
        <f ca="1">IF(G5-$E$1&lt;=0,"",G5-$E$1)</f>
        <v>386</v>
      </c>
      <c r="M5" s="21">
        <f ca="1">IF(L5="","",L5/30)</f>
        <v>12.866666666666667</v>
      </c>
    </row>
    <row r="6" spans="2:13" outlineLevel="1" x14ac:dyDescent="0.45">
      <c r="B6" s="13" t="s">
        <v>60</v>
      </c>
      <c r="C6" s="13" t="s">
        <v>120</v>
      </c>
      <c r="D6" s="7" t="s">
        <v>53</v>
      </c>
      <c r="E6" s="31">
        <v>46434</v>
      </c>
      <c r="F6" s="31">
        <v>46476</v>
      </c>
      <c r="G6" s="31"/>
      <c r="H6" s="16">
        <f>F6-E6</f>
        <v>42</v>
      </c>
      <c r="I6" s="16">
        <f t="shared" ref="I6:I12" si="0">H6/30</f>
        <v>1.4</v>
      </c>
      <c r="J6" s="16">
        <f t="shared" ref="J6:J12" ca="1" si="1">IF(E6-$E$1&lt;=0,"",E6-$E$1)</f>
        <v>287</v>
      </c>
      <c r="K6" s="16">
        <f t="shared" ref="K6:K12" ca="1" si="2">IF(J6="","",J6/30)</f>
        <v>9.5666666666666664</v>
      </c>
      <c r="L6" s="16" t="str">
        <f t="shared" ref="L6:L12" ca="1" si="3">IF(G6-$E$1&lt;=0,"",G6-$E$1)</f>
        <v/>
      </c>
      <c r="M6" s="16" t="str">
        <f t="shared" ref="M6:M12" ca="1" si="4">IF(L6="","",L6/30)</f>
        <v/>
      </c>
    </row>
    <row r="7" spans="2:13" outlineLevel="1" x14ac:dyDescent="0.45">
      <c r="B7" s="14" t="s">
        <v>61</v>
      </c>
      <c r="C7" s="14" t="s">
        <v>120</v>
      </c>
      <c r="D7" s="19" t="s">
        <v>54</v>
      </c>
      <c r="E7" s="29">
        <v>46469</v>
      </c>
      <c r="F7" s="29">
        <v>46512</v>
      </c>
      <c r="G7" s="14"/>
      <c r="H7" s="14">
        <f t="shared" ref="H7:H12" si="5">F7-E7</f>
        <v>43</v>
      </c>
      <c r="I7" s="20">
        <f t="shared" si="0"/>
        <v>1.4333333333333333</v>
      </c>
      <c r="J7" s="14">
        <f t="shared" ca="1" si="1"/>
        <v>322</v>
      </c>
      <c r="K7" s="20">
        <f t="shared" ca="1" si="2"/>
        <v>10.733333333333333</v>
      </c>
      <c r="L7" s="23" t="str">
        <f t="shared" ca="1" si="3"/>
        <v/>
      </c>
      <c r="M7" s="23" t="str">
        <f t="shared" ca="1" si="4"/>
        <v/>
      </c>
    </row>
    <row r="8" spans="2:13" outlineLevel="1" x14ac:dyDescent="0.45">
      <c r="B8" s="14" t="s">
        <v>62</v>
      </c>
      <c r="C8" s="14" t="s">
        <v>120</v>
      </c>
      <c r="D8" s="19" t="s">
        <v>55</v>
      </c>
      <c r="E8" s="29">
        <v>46477</v>
      </c>
      <c r="F8" s="29">
        <v>46519</v>
      </c>
      <c r="G8" s="14"/>
      <c r="H8" s="14">
        <f t="shared" si="5"/>
        <v>42</v>
      </c>
      <c r="I8" s="20">
        <f t="shared" si="0"/>
        <v>1.4</v>
      </c>
      <c r="J8" s="14">
        <f t="shared" ca="1" si="1"/>
        <v>330</v>
      </c>
      <c r="K8" s="20">
        <f t="shared" ca="1" si="2"/>
        <v>11</v>
      </c>
      <c r="L8" s="23" t="str">
        <f t="shared" ca="1" si="3"/>
        <v/>
      </c>
      <c r="M8" s="23" t="str">
        <f t="shared" ca="1" si="4"/>
        <v/>
      </c>
    </row>
    <row r="9" spans="2:13" outlineLevel="1" x14ac:dyDescent="0.45">
      <c r="B9" s="14" t="s">
        <v>63</v>
      </c>
      <c r="C9" s="14" t="s">
        <v>120</v>
      </c>
      <c r="D9" s="19" t="s">
        <v>56</v>
      </c>
      <c r="E9" s="29">
        <v>46491</v>
      </c>
      <c r="F9" s="29">
        <v>46533</v>
      </c>
      <c r="G9" s="14"/>
      <c r="H9" s="14">
        <f t="shared" si="5"/>
        <v>42</v>
      </c>
      <c r="I9" s="20">
        <f t="shared" si="0"/>
        <v>1.4</v>
      </c>
      <c r="J9" s="14">
        <f t="shared" ca="1" si="1"/>
        <v>344</v>
      </c>
      <c r="K9" s="20">
        <f t="shared" ca="1" si="2"/>
        <v>11.466666666666667</v>
      </c>
      <c r="L9" s="23" t="str">
        <f t="shared" ca="1" si="3"/>
        <v/>
      </c>
      <c r="M9" s="23" t="str">
        <f t="shared" ca="1" si="4"/>
        <v/>
      </c>
    </row>
    <row r="10" spans="2:13" outlineLevel="1" x14ac:dyDescent="0.45">
      <c r="B10" s="14" t="s">
        <v>64</v>
      </c>
      <c r="C10" s="14" t="s">
        <v>120</v>
      </c>
      <c r="D10" s="19" t="s">
        <v>57</v>
      </c>
      <c r="E10" s="29">
        <v>46434</v>
      </c>
      <c r="F10" s="29">
        <v>46476</v>
      </c>
      <c r="G10" s="14"/>
      <c r="H10" s="14">
        <f t="shared" si="5"/>
        <v>42</v>
      </c>
      <c r="I10" s="20">
        <f t="shared" si="0"/>
        <v>1.4</v>
      </c>
      <c r="J10" s="14">
        <f t="shared" ca="1" si="1"/>
        <v>287</v>
      </c>
      <c r="K10" s="20">
        <f t="shared" ca="1" si="2"/>
        <v>9.5666666666666664</v>
      </c>
      <c r="L10" s="23" t="str">
        <f t="shared" ca="1" si="3"/>
        <v/>
      </c>
      <c r="M10" s="23" t="str">
        <f t="shared" ca="1" si="4"/>
        <v/>
      </c>
    </row>
    <row r="11" spans="2:13" outlineLevel="1" x14ac:dyDescent="0.45">
      <c r="B11" s="14" t="s">
        <v>65</v>
      </c>
      <c r="C11" s="14" t="s">
        <v>120</v>
      </c>
      <c r="D11" s="19" t="s">
        <v>58</v>
      </c>
      <c r="E11" s="29">
        <v>46434</v>
      </c>
      <c r="F11" s="29">
        <v>46476</v>
      </c>
      <c r="G11" s="14"/>
      <c r="H11" s="14">
        <f t="shared" si="5"/>
        <v>42</v>
      </c>
      <c r="I11" s="20">
        <f t="shared" si="0"/>
        <v>1.4</v>
      </c>
      <c r="J11" s="14">
        <f t="shared" ca="1" si="1"/>
        <v>287</v>
      </c>
      <c r="K11" s="20">
        <f t="shared" ca="1" si="2"/>
        <v>9.5666666666666664</v>
      </c>
      <c r="L11" s="23" t="str">
        <f t="shared" ca="1" si="3"/>
        <v/>
      </c>
      <c r="M11" s="23" t="str">
        <f t="shared" ca="1" si="4"/>
        <v/>
      </c>
    </row>
    <row r="12" spans="2:13" outlineLevel="1" x14ac:dyDescent="0.45">
      <c r="B12" s="15" t="s">
        <v>66</v>
      </c>
      <c r="C12" s="15" t="s">
        <v>120</v>
      </c>
      <c r="D12" s="8" t="s">
        <v>59</v>
      </c>
      <c r="E12" s="30">
        <v>46434</v>
      </c>
      <c r="F12" s="30">
        <v>46476</v>
      </c>
      <c r="G12" s="18"/>
      <c r="H12" s="18">
        <f t="shared" si="5"/>
        <v>42</v>
      </c>
      <c r="I12" s="18">
        <f t="shared" si="0"/>
        <v>1.4</v>
      </c>
      <c r="J12" s="18">
        <f t="shared" ca="1" si="1"/>
        <v>287</v>
      </c>
      <c r="K12" s="18">
        <f t="shared" ca="1" si="2"/>
        <v>9.5666666666666664</v>
      </c>
      <c r="L12" s="18" t="str">
        <f t="shared" ca="1" si="3"/>
        <v/>
      </c>
      <c r="M12" s="18" t="str">
        <f t="shared" ca="1" si="4"/>
        <v/>
      </c>
    </row>
    <row r="13" spans="2:13" x14ac:dyDescent="0.45">
      <c r="B13" s="27">
        <v>2</v>
      </c>
      <c r="C13" s="1" t="s">
        <v>50</v>
      </c>
      <c r="D13" t="s">
        <v>67</v>
      </c>
      <c r="E13" s="26">
        <v>46266</v>
      </c>
      <c r="F13" s="26">
        <v>46272</v>
      </c>
      <c r="G13" s="26">
        <v>46625</v>
      </c>
      <c r="H13" s="12">
        <f>G13-E13</f>
        <v>359</v>
      </c>
      <c r="I13" s="12">
        <f>H13/30</f>
        <v>11.966666666666667</v>
      </c>
      <c r="J13" s="21">
        <f ca="1">IF(E13-$E$1&lt;=0,"",E13-$E$1)</f>
        <v>119</v>
      </c>
      <c r="K13" s="21">
        <f ca="1">IF(J13="","",J13/30)</f>
        <v>3.9666666666666668</v>
      </c>
      <c r="L13" s="21">
        <f ca="1">IF(G13-$E$1&lt;=0,"",G13-$E$1)</f>
        <v>478</v>
      </c>
      <c r="M13" s="21">
        <f ca="1">IF(L13="","",L13/30)</f>
        <v>15.933333333333334</v>
      </c>
    </row>
    <row r="14" spans="2:13" x14ac:dyDescent="0.45">
      <c r="B14" s="27">
        <v>3</v>
      </c>
      <c r="C14" s="1" t="s">
        <v>50</v>
      </c>
      <c r="D14" t="s">
        <v>68</v>
      </c>
      <c r="E14" s="26">
        <v>46268</v>
      </c>
      <c r="F14" s="26">
        <v>46274</v>
      </c>
      <c r="G14" s="26">
        <v>46545</v>
      </c>
      <c r="H14" s="12">
        <f t="shared" ref="H14:H16" si="6">G14-E14</f>
        <v>277</v>
      </c>
      <c r="I14" s="12">
        <f t="shared" ref="I14:I16" si="7">H14/30</f>
        <v>9.2333333333333325</v>
      </c>
      <c r="J14" s="21">
        <f t="shared" ref="J14:J16" ca="1" si="8">IF(E14-$E$1&lt;=0,"",E14-$E$1)</f>
        <v>121</v>
      </c>
      <c r="K14" s="21">
        <f t="shared" ref="K14:M16" ca="1" si="9">IF(J14="","",J14/30)</f>
        <v>4.0333333333333332</v>
      </c>
      <c r="L14" s="21">
        <f t="shared" ref="L14:L16" ca="1" si="10">IF(G14-$E$1&lt;=0,"",G14-$E$1)</f>
        <v>398</v>
      </c>
      <c r="M14" s="21">
        <f t="shared" ca="1" si="9"/>
        <v>13.266666666666667</v>
      </c>
    </row>
    <row r="15" spans="2:13" x14ac:dyDescent="0.45">
      <c r="B15" s="27">
        <v>4</v>
      </c>
      <c r="C15" s="1" t="s">
        <v>50</v>
      </c>
      <c r="D15" t="s">
        <v>69</v>
      </c>
      <c r="E15" s="26">
        <v>46268</v>
      </c>
      <c r="F15" s="26">
        <v>46274</v>
      </c>
      <c r="G15" s="26">
        <v>46552</v>
      </c>
      <c r="H15" s="12">
        <f t="shared" si="6"/>
        <v>284</v>
      </c>
      <c r="I15" s="12">
        <f t="shared" si="7"/>
        <v>9.4666666666666668</v>
      </c>
      <c r="J15" s="21">
        <f t="shared" ca="1" si="8"/>
        <v>121</v>
      </c>
      <c r="K15" s="21">
        <f t="shared" ca="1" si="9"/>
        <v>4.0333333333333332</v>
      </c>
      <c r="L15" s="21">
        <f t="shared" ca="1" si="10"/>
        <v>405</v>
      </c>
      <c r="M15" s="21">
        <f t="shared" ca="1" si="9"/>
        <v>13.5</v>
      </c>
    </row>
    <row r="16" spans="2:13" x14ac:dyDescent="0.45">
      <c r="B16" s="27">
        <v>5</v>
      </c>
      <c r="C16" s="1" t="s">
        <v>50</v>
      </c>
      <c r="D16" t="s">
        <v>70</v>
      </c>
      <c r="E16" s="26">
        <v>46609</v>
      </c>
      <c r="F16" s="26">
        <v>46615</v>
      </c>
      <c r="G16" s="26">
        <v>46650</v>
      </c>
      <c r="H16" s="12">
        <f t="shared" si="6"/>
        <v>41</v>
      </c>
      <c r="I16" s="12">
        <f t="shared" si="7"/>
        <v>1.3666666666666667</v>
      </c>
      <c r="J16" s="21">
        <f t="shared" ca="1" si="8"/>
        <v>462</v>
      </c>
      <c r="K16" s="21">
        <f t="shared" ca="1" si="9"/>
        <v>15.4</v>
      </c>
      <c r="L16" s="21">
        <f t="shared" ca="1" si="10"/>
        <v>503</v>
      </c>
      <c r="M16" s="21">
        <f t="shared" ca="1" si="9"/>
        <v>16.766666666666666</v>
      </c>
    </row>
  </sheetData>
  <autoFilter ref="B4:M16" xr:uid="{DEF46809-EB62-4D5B-936E-9919BB322C3E}"/>
  <mergeCells count="4">
    <mergeCell ref="B3:G3"/>
    <mergeCell ref="H3:I3"/>
    <mergeCell ref="J3:K3"/>
    <mergeCell ref="L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ABD8B-EB9C-4646-9F0E-4FF2AF4563F5}">
  <dimension ref="B1:M122"/>
  <sheetViews>
    <sheetView zoomScaleNormal="100" workbookViewId="0">
      <selection activeCell="D15" sqref="D15"/>
    </sheetView>
  </sheetViews>
  <sheetFormatPr defaultRowHeight="14.25" outlineLevelRow="1" x14ac:dyDescent="0.45"/>
  <cols>
    <col min="1" max="1" width="2.86328125" customWidth="1"/>
    <col min="2" max="2" width="6.86328125" style="1" customWidth="1"/>
    <col min="3" max="3" width="9.6640625" style="1" customWidth="1"/>
    <col min="4" max="4" width="61.19921875" bestFit="1" customWidth="1"/>
    <col min="5" max="6" width="11" style="1" bestFit="1" customWidth="1"/>
    <col min="7" max="7" width="11" style="1" customWidth="1"/>
    <col min="8" max="8" width="10.796875" style="1" customWidth="1"/>
    <col min="9" max="9" width="10.796875" style="12" customWidth="1"/>
    <col min="10" max="10" width="10.796875" style="1" customWidth="1"/>
    <col min="11" max="11" width="10.796875" style="12" customWidth="1"/>
    <col min="12" max="13" width="10.796875" style="21" customWidth="1"/>
  </cols>
  <sheetData>
    <row r="1" spans="2:13" ht="14.65" thickBot="1" x14ac:dyDescent="0.5">
      <c r="D1" s="6" t="s">
        <v>9</v>
      </c>
      <c r="E1" s="24">
        <f ca="1">TODAY()</f>
        <v>46147</v>
      </c>
    </row>
    <row r="2" spans="2:13" x14ac:dyDescent="0.45">
      <c r="D2" s="6"/>
      <c r="E2" s="25"/>
    </row>
    <row r="3" spans="2:13" ht="29.45" customHeight="1" x14ac:dyDescent="0.45">
      <c r="B3" s="71" t="s">
        <v>30</v>
      </c>
      <c r="C3" s="71"/>
      <c r="D3" s="71"/>
      <c r="E3" s="71"/>
      <c r="F3" s="71"/>
      <c r="G3" s="71"/>
      <c r="H3" s="69" t="s">
        <v>27</v>
      </c>
      <c r="I3" s="69"/>
      <c r="J3" s="70" t="s">
        <v>29</v>
      </c>
      <c r="K3" s="70"/>
      <c r="L3" s="70" t="s">
        <v>28</v>
      </c>
      <c r="M3" s="70"/>
    </row>
    <row r="4" spans="2:13" x14ac:dyDescent="0.45">
      <c r="B4" s="2"/>
      <c r="C4" s="2"/>
      <c r="D4" s="3" t="s">
        <v>71</v>
      </c>
      <c r="E4" s="4" t="s">
        <v>14</v>
      </c>
      <c r="F4" s="4" t="s">
        <v>15</v>
      </c>
      <c r="G4" s="4" t="s">
        <v>18</v>
      </c>
      <c r="H4" s="4" t="s">
        <v>3</v>
      </c>
      <c r="I4" s="44" t="s">
        <v>2</v>
      </c>
      <c r="J4" s="22" t="s">
        <v>3</v>
      </c>
      <c r="K4" s="46" t="s">
        <v>2</v>
      </c>
      <c r="L4" s="22" t="s">
        <v>3</v>
      </c>
      <c r="M4" s="22" t="s">
        <v>2</v>
      </c>
    </row>
    <row r="5" spans="2:13" x14ac:dyDescent="0.45">
      <c r="B5" s="27">
        <v>1</v>
      </c>
      <c r="C5" s="1" t="s">
        <v>50</v>
      </c>
      <c r="D5" t="s">
        <v>72</v>
      </c>
      <c r="E5" s="26">
        <v>46148</v>
      </c>
      <c r="F5" s="26">
        <v>46154</v>
      </c>
      <c r="G5" s="26">
        <v>46440</v>
      </c>
      <c r="H5" s="12">
        <f>G5-E5</f>
        <v>292</v>
      </c>
      <c r="I5" s="12">
        <f>H5/30</f>
        <v>9.7333333333333325</v>
      </c>
      <c r="J5" s="21">
        <f ca="1">IF(E5-$E$1&lt;=0,"",E5-$E$1)</f>
        <v>1</v>
      </c>
      <c r="K5" s="12">
        <f ca="1">IF(J5="","",J5/30)</f>
        <v>3.3333333333333333E-2</v>
      </c>
      <c r="L5" s="21">
        <f ca="1">IF(G5-$E$1&lt;=0,"",G5-$E$1)</f>
        <v>293</v>
      </c>
      <c r="M5" s="21">
        <f ca="1">IF(L5="","",L5/30)</f>
        <v>9.7666666666666675</v>
      </c>
    </row>
    <row r="6" spans="2:13" outlineLevel="1" x14ac:dyDescent="0.45">
      <c r="B6" s="13" t="s">
        <v>60</v>
      </c>
      <c r="C6" s="13" t="s">
        <v>120</v>
      </c>
      <c r="D6" s="7" t="s">
        <v>73</v>
      </c>
      <c r="E6" s="31">
        <v>46385</v>
      </c>
      <c r="F6" s="31">
        <v>46392</v>
      </c>
      <c r="G6" s="31"/>
      <c r="H6" s="16">
        <f>F6-E6</f>
        <v>7</v>
      </c>
      <c r="I6" s="16">
        <f t="shared" ref="I6:I12" si="0">H6/30</f>
        <v>0.23333333333333334</v>
      </c>
      <c r="J6" s="16">
        <f t="shared" ref="J6:J12" ca="1" si="1">IF(E6-$E$1&lt;=0,"",E6-$E$1)</f>
        <v>238</v>
      </c>
      <c r="K6" s="16">
        <f t="shared" ref="K6:K12" ca="1" si="2">IF(J6="","",J6/30)</f>
        <v>7.9333333333333336</v>
      </c>
      <c r="L6" s="16" t="str">
        <f t="shared" ref="L6:L12" ca="1" si="3">IF(G6-$E$1&lt;=0,"",G6-$E$1)</f>
        <v/>
      </c>
      <c r="M6" s="16" t="str">
        <f t="shared" ref="M6:M12" ca="1" si="4">IF(L6="","",L6/30)</f>
        <v/>
      </c>
    </row>
    <row r="7" spans="2:13" outlineLevel="1" x14ac:dyDescent="0.45">
      <c r="B7" s="14" t="s">
        <v>61</v>
      </c>
      <c r="C7" s="14" t="s">
        <v>120</v>
      </c>
      <c r="D7" s="19" t="s">
        <v>74</v>
      </c>
      <c r="E7" s="29">
        <v>46422</v>
      </c>
      <c r="F7" s="29">
        <v>46428</v>
      </c>
      <c r="G7" s="14"/>
      <c r="H7" s="14">
        <f t="shared" ref="H7:H12" si="5">F7-E7</f>
        <v>6</v>
      </c>
      <c r="I7" s="20">
        <f t="shared" si="0"/>
        <v>0.2</v>
      </c>
      <c r="J7" s="14">
        <f t="shared" ca="1" si="1"/>
        <v>275</v>
      </c>
      <c r="K7" s="20">
        <f t="shared" ca="1" si="2"/>
        <v>9.1666666666666661</v>
      </c>
      <c r="L7" s="23" t="str">
        <f t="shared" ca="1" si="3"/>
        <v/>
      </c>
      <c r="M7" s="23" t="str">
        <f t="shared" ca="1" si="4"/>
        <v/>
      </c>
    </row>
    <row r="8" spans="2:13" outlineLevel="1" x14ac:dyDescent="0.45">
      <c r="B8" s="14" t="s">
        <v>62</v>
      </c>
      <c r="C8" s="14" t="s">
        <v>120</v>
      </c>
      <c r="D8" s="19" t="s">
        <v>75</v>
      </c>
      <c r="E8" s="29">
        <v>46429</v>
      </c>
      <c r="F8" s="29">
        <v>46435</v>
      </c>
      <c r="G8" s="14"/>
      <c r="H8" s="14">
        <f t="shared" ref="H8:H10" si="6">F8-E8</f>
        <v>6</v>
      </c>
      <c r="I8" s="20">
        <f t="shared" si="0"/>
        <v>0.2</v>
      </c>
      <c r="J8" s="14">
        <f t="shared" ref="J8:J10" ca="1" si="7">IF(E8-$E$1&lt;=0,"",E8-$E$1)</f>
        <v>282</v>
      </c>
      <c r="K8" s="20">
        <f t="shared" ca="1" si="2"/>
        <v>9.4</v>
      </c>
      <c r="L8" s="23" t="str">
        <f t="shared" ref="L8:L10" ca="1" si="8">IF(G8-$E$1&lt;=0,"",G8-$E$1)</f>
        <v/>
      </c>
      <c r="M8" s="23" t="str">
        <f t="shared" ca="1" si="4"/>
        <v/>
      </c>
    </row>
    <row r="9" spans="2:13" outlineLevel="1" x14ac:dyDescent="0.45">
      <c r="B9" s="14" t="s">
        <v>63</v>
      </c>
      <c r="C9" s="14" t="s">
        <v>120</v>
      </c>
      <c r="D9" s="19" t="s">
        <v>76</v>
      </c>
      <c r="E9" s="29">
        <v>46429</v>
      </c>
      <c r="F9" s="29">
        <v>46435</v>
      </c>
      <c r="G9" s="14"/>
      <c r="H9" s="14">
        <f t="shared" si="6"/>
        <v>6</v>
      </c>
      <c r="I9" s="20">
        <f t="shared" si="0"/>
        <v>0.2</v>
      </c>
      <c r="J9" s="14">
        <f t="shared" ca="1" si="7"/>
        <v>282</v>
      </c>
      <c r="K9" s="20">
        <f t="shared" ca="1" si="2"/>
        <v>9.4</v>
      </c>
      <c r="L9" s="23" t="str">
        <f t="shared" ca="1" si="8"/>
        <v/>
      </c>
      <c r="M9" s="23" t="str">
        <f t="shared" ca="1" si="4"/>
        <v/>
      </c>
    </row>
    <row r="10" spans="2:13" outlineLevel="1" x14ac:dyDescent="0.45">
      <c r="B10" s="14" t="s">
        <v>64</v>
      </c>
      <c r="C10" s="14" t="s">
        <v>120</v>
      </c>
      <c r="D10" s="19" t="s">
        <v>77</v>
      </c>
      <c r="E10" s="29">
        <v>46429</v>
      </c>
      <c r="F10" s="29">
        <v>46435</v>
      </c>
      <c r="G10" s="14"/>
      <c r="H10" s="14">
        <f t="shared" si="6"/>
        <v>6</v>
      </c>
      <c r="I10" s="20">
        <f t="shared" si="0"/>
        <v>0.2</v>
      </c>
      <c r="J10" s="14">
        <f t="shared" ca="1" si="7"/>
        <v>282</v>
      </c>
      <c r="K10" s="20">
        <f t="shared" ca="1" si="2"/>
        <v>9.4</v>
      </c>
      <c r="L10" s="23" t="str">
        <f t="shared" ca="1" si="8"/>
        <v/>
      </c>
      <c r="M10" s="23" t="str">
        <f t="shared" ca="1" si="4"/>
        <v/>
      </c>
    </row>
    <row r="11" spans="2:13" outlineLevel="1" x14ac:dyDescent="0.45">
      <c r="B11" s="14" t="s">
        <v>65</v>
      </c>
      <c r="C11" s="14" t="s">
        <v>120</v>
      </c>
      <c r="D11" s="19" t="s">
        <v>78</v>
      </c>
      <c r="E11" s="29">
        <v>46429</v>
      </c>
      <c r="F11" s="29">
        <v>46433</v>
      </c>
      <c r="G11" s="14"/>
      <c r="H11" s="14">
        <f t="shared" ref="H11" si="9">F11-E11</f>
        <v>4</v>
      </c>
      <c r="I11" s="20">
        <f t="shared" si="0"/>
        <v>0.13333333333333333</v>
      </c>
      <c r="J11" s="14">
        <f t="shared" ref="J11" ca="1" si="10">IF(E11-$E$1&lt;=0,"",E11-$E$1)</f>
        <v>282</v>
      </c>
      <c r="K11" s="20">
        <f t="shared" ca="1" si="2"/>
        <v>9.4</v>
      </c>
      <c r="L11" s="23" t="str">
        <f t="shared" ref="L11" ca="1" si="11">IF(G11-$E$1&lt;=0,"",G11-$E$1)</f>
        <v/>
      </c>
      <c r="M11" s="23" t="str">
        <f t="shared" ca="1" si="4"/>
        <v/>
      </c>
    </row>
    <row r="12" spans="2:13" outlineLevel="1" x14ac:dyDescent="0.45">
      <c r="B12" s="15" t="s">
        <v>66</v>
      </c>
      <c r="C12" s="15" t="s">
        <v>120</v>
      </c>
      <c r="D12" s="32" t="s">
        <v>79</v>
      </c>
      <c r="E12" s="30">
        <v>46436</v>
      </c>
      <c r="F12" s="30">
        <v>46440</v>
      </c>
      <c r="G12" s="18"/>
      <c r="H12" s="18">
        <f t="shared" si="5"/>
        <v>4</v>
      </c>
      <c r="I12" s="18">
        <f t="shared" si="0"/>
        <v>0.13333333333333333</v>
      </c>
      <c r="J12" s="18">
        <f t="shared" ca="1" si="1"/>
        <v>289</v>
      </c>
      <c r="K12" s="18">
        <f t="shared" ca="1" si="2"/>
        <v>9.6333333333333329</v>
      </c>
      <c r="L12" s="18" t="str">
        <f t="shared" ca="1" si="3"/>
        <v/>
      </c>
      <c r="M12" s="18" t="str">
        <f t="shared" ca="1" si="4"/>
        <v/>
      </c>
    </row>
    <row r="13" spans="2:13" x14ac:dyDescent="0.45">
      <c r="B13" s="27">
        <v>2</v>
      </c>
      <c r="C13" s="1" t="s">
        <v>50</v>
      </c>
      <c r="D13" t="s">
        <v>80</v>
      </c>
      <c r="E13" s="26">
        <v>46076</v>
      </c>
      <c r="F13" s="26">
        <v>46080</v>
      </c>
      <c r="G13" s="26">
        <v>46573</v>
      </c>
      <c r="H13" s="12">
        <f t="shared" ref="H13:H70" si="12">G13-E13</f>
        <v>497</v>
      </c>
      <c r="I13" s="12">
        <f t="shared" ref="I13:I70" si="13">H13/30</f>
        <v>16.566666666666666</v>
      </c>
      <c r="J13" s="21" t="str">
        <f t="shared" ref="J13" ca="1" si="14">IF(E13-$E$1&lt;=0,"",E13-$E$1)</f>
        <v/>
      </c>
      <c r="K13" s="12" t="str">
        <f t="shared" ref="K13" ca="1" si="15">IF(J13="","",J13/30)</f>
        <v/>
      </c>
      <c r="L13" s="21">
        <f t="shared" ref="L13" ca="1" si="16">IF(G13-$E$1&lt;=0,"",G13-$E$1)</f>
        <v>426</v>
      </c>
      <c r="M13" s="21">
        <f t="shared" ref="M13" ca="1" si="17">IF(L13="","",L13/30)</f>
        <v>14.2</v>
      </c>
    </row>
    <row r="14" spans="2:13" outlineLevel="1" x14ac:dyDescent="0.45">
      <c r="B14" s="13" t="s">
        <v>86</v>
      </c>
      <c r="C14" s="13" t="s">
        <v>120</v>
      </c>
      <c r="D14" s="7" t="s">
        <v>81</v>
      </c>
      <c r="E14" s="31">
        <v>46385</v>
      </c>
      <c r="F14" s="31">
        <v>46392</v>
      </c>
      <c r="G14" s="31"/>
      <c r="H14" s="16">
        <f>F14-E14</f>
        <v>7</v>
      </c>
      <c r="I14" s="16">
        <f t="shared" si="13"/>
        <v>0.23333333333333334</v>
      </c>
      <c r="J14" s="16">
        <f t="shared" ref="J14:J72" ca="1" si="18">IF(E14-$E$1&lt;=0,"",E14-$E$1)</f>
        <v>238</v>
      </c>
      <c r="K14" s="16">
        <f t="shared" ref="K14:K70" ca="1" si="19">IF(J14="","",J14/30)</f>
        <v>7.9333333333333336</v>
      </c>
      <c r="L14" s="16" t="str">
        <f t="shared" ref="L14:L72" ca="1" si="20">IF(G14-$E$1&lt;=0,"",G14-$E$1)</f>
        <v/>
      </c>
      <c r="M14" s="16" t="str">
        <f t="shared" ref="M14:M70" ca="1" si="21">IF(L14="","",L14/30)</f>
        <v/>
      </c>
    </row>
    <row r="15" spans="2:13" outlineLevel="1" x14ac:dyDescent="0.45">
      <c r="B15" s="14" t="s">
        <v>87</v>
      </c>
      <c r="C15" s="14" t="s">
        <v>120</v>
      </c>
      <c r="D15" s="19" t="s">
        <v>82</v>
      </c>
      <c r="E15" s="29">
        <v>46422</v>
      </c>
      <c r="F15" s="29">
        <v>46428</v>
      </c>
      <c r="G15" s="14"/>
      <c r="H15" s="14">
        <f t="shared" ref="H15:H16" si="22">F15-E15</f>
        <v>6</v>
      </c>
      <c r="I15" s="20">
        <f t="shared" si="13"/>
        <v>0.2</v>
      </c>
      <c r="J15" s="14">
        <f t="shared" ca="1" si="18"/>
        <v>275</v>
      </c>
      <c r="K15" s="20">
        <f t="shared" ca="1" si="19"/>
        <v>9.1666666666666661</v>
      </c>
      <c r="L15" s="23" t="str">
        <f t="shared" ca="1" si="20"/>
        <v/>
      </c>
      <c r="M15" s="23" t="str">
        <f t="shared" ca="1" si="21"/>
        <v/>
      </c>
    </row>
    <row r="16" spans="2:13" outlineLevel="1" x14ac:dyDescent="0.45">
      <c r="B16" s="15" t="s">
        <v>88</v>
      </c>
      <c r="C16" s="15" t="s">
        <v>120</v>
      </c>
      <c r="D16" s="32" t="s">
        <v>83</v>
      </c>
      <c r="E16" s="30">
        <v>46436</v>
      </c>
      <c r="F16" s="30">
        <v>46440</v>
      </c>
      <c r="G16" s="18"/>
      <c r="H16" s="18">
        <f t="shared" si="22"/>
        <v>4</v>
      </c>
      <c r="I16" s="18">
        <f t="shared" si="13"/>
        <v>0.13333333333333333</v>
      </c>
      <c r="J16" s="18">
        <f t="shared" ca="1" si="18"/>
        <v>289</v>
      </c>
      <c r="K16" s="18">
        <f t="shared" ca="1" si="19"/>
        <v>9.6333333333333329</v>
      </c>
      <c r="L16" s="18" t="str">
        <f t="shared" ca="1" si="20"/>
        <v/>
      </c>
      <c r="M16" s="18" t="str">
        <f t="shared" ca="1" si="21"/>
        <v/>
      </c>
    </row>
    <row r="17" spans="2:13" x14ac:dyDescent="0.45">
      <c r="B17" s="27">
        <v>3</v>
      </c>
      <c r="C17" s="1" t="s">
        <v>50</v>
      </c>
      <c r="D17" t="s">
        <v>84</v>
      </c>
      <c r="E17" s="26">
        <v>46155</v>
      </c>
      <c r="F17" s="26">
        <v>46161</v>
      </c>
      <c r="G17" s="26">
        <v>46392</v>
      </c>
      <c r="H17" s="12">
        <f t="shared" si="12"/>
        <v>237</v>
      </c>
      <c r="I17" s="12">
        <f t="shared" si="13"/>
        <v>7.9</v>
      </c>
      <c r="J17" s="21">
        <f t="shared" ca="1" si="18"/>
        <v>8</v>
      </c>
      <c r="K17" s="12">
        <f t="shared" ca="1" si="19"/>
        <v>0.26666666666666666</v>
      </c>
      <c r="L17" s="21">
        <f t="shared" ca="1" si="20"/>
        <v>245</v>
      </c>
      <c r="M17" s="21">
        <f t="shared" ca="1" si="21"/>
        <v>8.1666666666666661</v>
      </c>
    </row>
    <row r="18" spans="2:13" outlineLevel="1" x14ac:dyDescent="0.45">
      <c r="B18" s="13" t="s">
        <v>89</v>
      </c>
      <c r="C18" s="13" t="s">
        <v>120</v>
      </c>
      <c r="D18" s="7" t="s">
        <v>92</v>
      </c>
      <c r="E18" s="31">
        <v>46374</v>
      </c>
      <c r="F18" s="31">
        <v>46384</v>
      </c>
      <c r="G18" s="31"/>
      <c r="H18" s="16">
        <f>F18-E18</f>
        <v>10</v>
      </c>
      <c r="I18" s="16">
        <f t="shared" si="13"/>
        <v>0.33333333333333331</v>
      </c>
      <c r="J18" s="16">
        <f t="shared" ref="J18:J19" ca="1" si="23">IF(E18-$E$1&lt;=0,"",E18-$E$1)</f>
        <v>227</v>
      </c>
      <c r="K18" s="16">
        <f t="shared" ca="1" si="19"/>
        <v>7.5666666666666664</v>
      </c>
      <c r="L18" s="16" t="str">
        <f t="shared" ref="L18:L19" ca="1" si="24">IF(G18-$E$1&lt;=0,"",G18-$E$1)</f>
        <v/>
      </c>
      <c r="M18" s="16" t="str">
        <f t="shared" ca="1" si="21"/>
        <v/>
      </c>
    </row>
    <row r="19" spans="2:13" outlineLevel="1" x14ac:dyDescent="0.45">
      <c r="B19" s="15" t="s">
        <v>90</v>
      </c>
      <c r="C19" s="15" t="s">
        <v>120</v>
      </c>
      <c r="D19" s="32" t="s">
        <v>93</v>
      </c>
      <c r="E19" s="30">
        <v>46385</v>
      </c>
      <c r="F19" s="30">
        <v>46392</v>
      </c>
      <c r="G19" s="18"/>
      <c r="H19" s="18">
        <f t="shared" ref="H19" si="25">F19-E19</f>
        <v>7</v>
      </c>
      <c r="I19" s="18">
        <f t="shared" si="13"/>
        <v>0.23333333333333334</v>
      </c>
      <c r="J19" s="18">
        <f t="shared" ca="1" si="23"/>
        <v>238</v>
      </c>
      <c r="K19" s="18">
        <f t="shared" ca="1" si="19"/>
        <v>7.9333333333333336</v>
      </c>
      <c r="L19" s="18" t="str">
        <f t="shared" ca="1" si="24"/>
        <v/>
      </c>
      <c r="M19" s="18" t="str">
        <f t="shared" ca="1" si="21"/>
        <v/>
      </c>
    </row>
    <row r="20" spans="2:13" x14ac:dyDescent="0.45">
      <c r="B20" s="27">
        <v>4</v>
      </c>
      <c r="C20" s="1" t="s">
        <v>50</v>
      </c>
      <c r="D20" t="s">
        <v>85</v>
      </c>
      <c r="E20" s="26">
        <v>46126</v>
      </c>
      <c r="F20" s="26">
        <v>46132</v>
      </c>
      <c r="G20" s="26">
        <v>46421</v>
      </c>
      <c r="H20" s="12">
        <f t="shared" si="12"/>
        <v>295</v>
      </c>
      <c r="I20" s="12">
        <f t="shared" si="13"/>
        <v>9.8333333333333339</v>
      </c>
      <c r="J20" s="21" t="str">
        <f t="shared" ref="J20" ca="1" si="26">IF(E20-$E$1&lt;=0,"",E20-$E$1)</f>
        <v/>
      </c>
      <c r="K20" s="12" t="str">
        <f t="shared" ref="K20" ca="1" si="27">IF(J20="","",J20/30)</f>
        <v/>
      </c>
      <c r="L20" s="21">
        <f t="shared" ref="L20" ca="1" si="28">IF(G20-$E$1&lt;=0,"",G20-$E$1)</f>
        <v>274</v>
      </c>
      <c r="M20" s="21">
        <f t="shared" ref="M20" ca="1" si="29">IF(L20="","",L20/30)</f>
        <v>9.1333333333333329</v>
      </c>
    </row>
    <row r="21" spans="2:13" outlineLevel="1" x14ac:dyDescent="0.45">
      <c r="B21" s="13" t="s">
        <v>91</v>
      </c>
      <c r="C21" s="13" t="s">
        <v>120</v>
      </c>
      <c r="D21" s="7" t="s">
        <v>94</v>
      </c>
      <c r="E21" s="31">
        <v>46415</v>
      </c>
      <c r="F21" s="31">
        <v>46421</v>
      </c>
      <c r="G21" s="31"/>
      <c r="H21" s="16">
        <f>F21-E21</f>
        <v>6</v>
      </c>
      <c r="I21" s="16">
        <f t="shared" si="13"/>
        <v>0.2</v>
      </c>
      <c r="J21" s="16">
        <f t="shared" ca="1" si="18"/>
        <v>268</v>
      </c>
      <c r="K21" s="16">
        <f t="shared" ca="1" si="19"/>
        <v>8.9333333333333336</v>
      </c>
      <c r="L21" s="16" t="str">
        <f t="shared" ca="1" si="20"/>
        <v/>
      </c>
      <c r="M21" s="16" t="str">
        <f t="shared" ca="1" si="21"/>
        <v/>
      </c>
    </row>
    <row r="22" spans="2:13" outlineLevel="1" x14ac:dyDescent="0.45">
      <c r="B22" s="15" t="s">
        <v>111</v>
      </c>
      <c r="C22" s="15" t="s">
        <v>120</v>
      </c>
      <c r="D22" s="32" t="s">
        <v>95</v>
      </c>
      <c r="E22" s="30">
        <v>46385</v>
      </c>
      <c r="F22" s="30">
        <v>46392</v>
      </c>
      <c r="G22" s="18"/>
      <c r="H22" s="18">
        <f t="shared" ref="H22" si="30">F22-E22</f>
        <v>7</v>
      </c>
      <c r="I22" s="18">
        <f t="shared" si="13"/>
        <v>0.23333333333333334</v>
      </c>
      <c r="J22" s="18">
        <f t="shared" ca="1" si="18"/>
        <v>238</v>
      </c>
      <c r="K22" s="18">
        <f t="shared" ca="1" si="19"/>
        <v>7.9333333333333336</v>
      </c>
      <c r="L22" s="18" t="str">
        <f t="shared" ca="1" si="20"/>
        <v/>
      </c>
      <c r="M22" s="18" t="str">
        <f t="shared" ca="1" si="21"/>
        <v/>
      </c>
    </row>
    <row r="23" spans="2:13" x14ac:dyDescent="0.45">
      <c r="B23" s="27">
        <v>5</v>
      </c>
      <c r="C23" s="1" t="s">
        <v>50</v>
      </c>
      <c r="D23" t="s">
        <v>96</v>
      </c>
      <c r="E23" s="26">
        <v>46155</v>
      </c>
      <c r="F23" s="26">
        <v>46161</v>
      </c>
      <c r="G23" s="26">
        <v>46435</v>
      </c>
      <c r="H23" s="12">
        <f t="shared" si="12"/>
        <v>280</v>
      </c>
      <c r="I23" s="12">
        <f t="shared" si="13"/>
        <v>9.3333333333333339</v>
      </c>
      <c r="J23" s="21">
        <f t="shared" ca="1" si="18"/>
        <v>8</v>
      </c>
      <c r="K23" s="12">
        <f t="shared" ca="1" si="19"/>
        <v>0.26666666666666666</v>
      </c>
      <c r="L23" s="21">
        <f t="shared" ca="1" si="20"/>
        <v>288</v>
      </c>
      <c r="M23" s="21">
        <f t="shared" ca="1" si="21"/>
        <v>9.6</v>
      </c>
    </row>
    <row r="24" spans="2:13" outlineLevel="1" x14ac:dyDescent="0.45">
      <c r="B24" s="13" t="s">
        <v>97</v>
      </c>
      <c r="C24" s="13" t="s">
        <v>120</v>
      </c>
      <c r="D24" s="7" t="s">
        <v>101</v>
      </c>
      <c r="E24" s="31">
        <v>46394</v>
      </c>
      <c r="F24" s="31">
        <v>46435</v>
      </c>
      <c r="G24" s="31"/>
      <c r="H24" s="16">
        <f>F24-E24</f>
        <v>41</v>
      </c>
      <c r="I24" s="16">
        <f t="shared" si="13"/>
        <v>1.3666666666666667</v>
      </c>
      <c r="J24" s="16">
        <f t="shared" ca="1" si="18"/>
        <v>247</v>
      </c>
      <c r="K24" s="16">
        <f t="shared" ca="1" si="19"/>
        <v>8.2333333333333325</v>
      </c>
      <c r="L24" s="16" t="str">
        <f t="shared" ca="1" si="20"/>
        <v/>
      </c>
      <c r="M24" s="16" t="str">
        <f t="shared" ca="1" si="21"/>
        <v/>
      </c>
    </row>
    <row r="25" spans="2:13" outlineLevel="1" x14ac:dyDescent="0.45">
      <c r="B25" s="14" t="s">
        <v>98</v>
      </c>
      <c r="C25" s="14" t="s">
        <v>120</v>
      </c>
      <c r="D25" s="19" t="s">
        <v>102</v>
      </c>
      <c r="E25" s="29">
        <v>46394</v>
      </c>
      <c r="F25" s="29">
        <v>46435</v>
      </c>
      <c r="G25" s="14"/>
      <c r="H25" s="14">
        <f t="shared" ref="H25:H27" si="31">F25-E25</f>
        <v>41</v>
      </c>
      <c r="I25" s="20">
        <f t="shared" si="13"/>
        <v>1.3666666666666667</v>
      </c>
      <c r="J25" s="14">
        <f t="shared" ca="1" si="18"/>
        <v>247</v>
      </c>
      <c r="K25" s="20">
        <f t="shared" ca="1" si="19"/>
        <v>8.2333333333333325</v>
      </c>
      <c r="L25" s="23" t="str">
        <f t="shared" ca="1" si="20"/>
        <v/>
      </c>
      <c r="M25" s="23" t="str">
        <f t="shared" ca="1" si="21"/>
        <v/>
      </c>
    </row>
    <row r="26" spans="2:13" outlineLevel="1" x14ac:dyDescent="0.45">
      <c r="B26" s="14" t="s">
        <v>99</v>
      </c>
      <c r="C26" s="14" t="s">
        <v>120</v>
      </c>
      <c r="D26" s="19" t="s">
        <v>103</v>
      </c>
      <c r="E26" s="29">
        <v>46394</v>
      </c>
      <c r="F26" s="29">
        <v>46435</v>
      </c>
      <c r="G26" s="14"/>
      <c r="H26" s="14">
        <f t="shared" si="31"/>
        <v>41</v>
      </c>
      <c r="I26" s="20">
        <f t="shared" si="13"/>
        <v>1.3666666666666667</v>
      </c>
      <c r="J26" s="14">
        <f t="shared" ca="1" si="18"/>
        <v>247</v>
      </c>
      <c r="K26" s="20">
        <f t="shared" ca="1" si="19"/>
        <v>8.2333333333333325</v>
      </c>
      <c r="L26" s="23" t="str">
        <f t="shared" ca="1" si="20"/>
        <v/>
      </c>
      <c r="M26" s="23" t="str">
        <f t="shared" ca="1" si="21"/>
        <v/>
      </c>
    </row>
    <row r="27" spans="2:13" outlineLevel="1" x14ac:dyDescent="0.45">
      <c r="B27" s="15" t="s">
        <v>100</v>
      </c>
      <c r="C27" s="15" t="s">
        <v>120</v>
      </c>
      <c r="D27" s="32" t="s">
        <v>104</v>
      </c>
      <c r="E27" s="30">
        <v>46394</v>
      </c>
      <c r="F27" s="30">
        <v>46435</v>
      </c>
      <c r="G27" s="18"/>
      <c r="H27" s="18">
        <f t="shared" si="31"/>
        <v>41</v>
      </c>
      <c r="I27" s="18">
        <f t="shared" si="13"/>
        <v>1.3666666666666667</v>
      </c>
      <c r="J27" s="18">
        <f t="shared" ca="1" si="18"/>
        <v>247</v>
      </c>
      <c r="K27" s="18">
        <f t="shared" ca="1" si="19"/>
        <v>8.2333333333333325</v>
      </c>
      <c r="L27" s="18" t="str">
        <f t="shared" ca="1" si="20"/>
        <v/>
      </c>
      <c r="M27" s="18" t="str">
        <f t="shared" ca="1" si="21"/>
        <v/>
      </c>
    </row>
    <row r="28" spans="2:13" x14ac:dyDescent="0.45">
      <c r="B28" s="27">
        <v>6</v>
      </c>
      <c r="C28" s="1" t="s">
        <v>50</v>
      </c>
      <c r="D28" t="s">
        <v>105</v>
      </c>
      <c r="E28" s="26">
        <v>46169</v>
      </c>
      <c r="F28" s="26">
        <v>46175</v>
      </c>
      <c r="G28" s="26">
        <v>46421</v>
      </c>
      <c r="H28" s="12">
        <f t="shared" si="12"/>
        <v>252</v>
      </c>
      <c r="I28" s="12">
        <f t="shared" si="13"/>
        <v>8.4</v>
      </c>
      <c r="J28" s="21">
        <f t="shared" ca="1" si="18"/>
        <v>22</v>
      </c>
      <c r="K28" s="12">
        <f t="shared" ca="1" si="19"/>
        <v>0.73333333333333328</v>
      </c>
      <c r="L28" s="21">
        <f t="shared" ca="1" si="20"/>
        <v>274</v>
      </c>
      <c r="M28" s="21">
        <f t="shared" ca="1" si="21"/>
        <v>9.1333333333333329</v>
      </c>
    </row>
    <row r="29" spans="2:13" outlineLevel="1" x14ac:dyDescent="0.45">
      <c r="B29" s="13" t="s">
        <v>109</v>
      </c>
      <c r="C29" s="13" t="s">
        <v>120</v>
      </c>
      <c r="D29" s="7" t="s">
        <v>106</v>
      </c>
      <c r="E29" s="31">
        <v>46374</v>
      </c>
      <c r="F29" s="31">
        <v>46421</v>
      </c>
      <c r="G29" s="31"/>
      <c r="H29" s="16">
        <f>F29-E29</f>
        <v>47</v>
      </c>
      <c r="I29" s="16">
        <f t="shared" si="13"/>
        <v>1.5666666666666667</v>
      </c>
      <c r="J29" s="16">
        <f t="shared" ref="J29:J30" ca="1" si="32">IF(E29-$E$1&lt;=0,"",E29-$E$1)</f>
        <v>227</v>
      </c>
      <c r="K29" s="16">
        <f t="shared" ca="1" si="19"/>
        <v>7.5666666666666664</v>
      </c>
      <c r="L29" s="16" t="str">
        <f t="shared" ref="L29:L30" ca="1" si="33">IF(G29-$E$1&lt;=0,"",G29-$E$1)</f>
        <v/>
      </c>
      <c r="M29" s="16" t="str">
        <f t="shared" ca="1" si="21"/>
        <v/>
      </c>
    </row>
    <row r="30" spans="2:13" outlineLevel="1" x14ac:dyDescent="0.45">
      <c r="B30" s="15" t="s">
        <v>110</v>
      </c>
      <c r="C30" s="15" t="s">
        <v>120</v>
      </c>
      <c r="D30" s="32" t="s">
        <v>107</v>
      </c>
      <c r="E30" s="30">
        <v>46374</v>
      </c>
      <c r="F30" s="30">
        <v>46421</v>
      </c>
      <c r="G30" s="18"/>
      <c r="H30" s="18">
        <f t="shared" ref="H30" si="34">F30-E30</f>
        <v>47</v>
      </c>
      <c r="I30" s="18">
        <f t="shared" si="13"/>
        <v>1.5666666666666667</v>
      </c>
      <c r="J30" s="18">
        <f t="shared" ca="1" si="32"/>
        <v>227</v>
      </c>
      <c r="K30" s="18">
        <f t="shared" ca="1" si="19"/>
        <v>7.5666666666666664</v>
      </c>
      <c r="L30" s="18" t="str">
        <f t="shared" ca="1" si="33"/>
        <v/>
      </c>
      <c r="M30" s="18" t="str">
        <f t="shared" ca="1" si="21"/>
        <v/>
      </c>
    </row>
    <row r="31" spans="2:13" x14ac:dyDescent="0.45">
      <c r="B31" s="27">
        <v>7</v>
      </c>
      <c r="C31" s="1" t="s">
        <v>50</v>
      </c>
      <c r="D31" t="s">
        <v>108</v>
      </c>
      <c r="E31" s="26">
        <v>46317</v>
      </c>
      <c r="F31" s="26">
        <v>46323</v>
      </c>
      <c r="G31" s="26">
        <v>46566</v>
      </c>
      <c r="H31" s="12">
        <f t="shared" si="12"/>
        <v>249</v>
      </c>
      <c r="I31" s="12">
        <f t="shared" si="13"/>
        <v>8.3000000000000007</v>
      </c>
      <c r="J31" s="21">
        <f t="shared" ca="1" si="18"/>
        <v>170</v>
      </c>
      <c r="K31" s="12">
        <f t="shared" ca="1" si="19"/>
        <v>5.666666666666667</v>
      </c>
      <c r="L31" s="21">
        <f t="shared" ca="1" si="20"/>
        <v>419</v>
      </c>
      <c r="M31" s="21">
        <f t="shared" ca="1" si="21"/>
        <v>13.966666666666667</v>
      </c>
    </row>
    <row r="32" spans="2:13" outlineLevel="1" x14ac:dyDescent="0.45">
      <c r="B32" s="33" t="s">
        <v>112</v>
      </c>
      <c r="C32" s="33" t="s">
        <v>120</v>
      </c>
      <c r="D32" s="34" t="s">
        <v>115</v>
      </c>
      <c r="E32" s="35">
        <v>46524</v>
      </c>
      <c r="F32" s="35">
        <v>46566</v>
      </c>
      <c r="G32" s="36"/>
      <c r="H32" s="36">
        <f t="shared" ref="H32" si="35">F32-E32</f>
        <v>42</v>
      </c>
      <c r="I32" s="36">
        <f t="shared" ref="I32" si="36">H32/30</f>
        <v>1.4</v>
      </c>
      <c r="J32" s="36">
        <f t="shared" ca="1" si="18"/>
        <v>377</v>
      </c>
      <c r="K32" s="36">
        <f t="shared" ref="K32" ca="1" si="37">IF(J32="","",J32/30)</f>
        <v>12.566666666666666</v>
      </c>
      <c r="L32" s="36" t="str">
        <f t="shared" ca="1" si="20"/>
        <v/>
      </c>
      <c r="M32" s="36" t="str">
        <f t="shared" ref="M32" ca="1" si="38">IF(L32="","",L32/30)</f>
        <v/>
      </c>
    </row>
    <row r="33" spans="2:13" x14ac:dyDescent="0.45">
      <c r="B33" s="27">
        <v>8</v>
      </c>
      <c r="C33" s="1" t="s">
        <v>50</v>
      </c>
      <c r="D33" t="s">
        <v>113</v>
      </c>
      <c r="E33" s="26">
        <v>46310</v>
      </c>
      <c r="F33" s="26">
        <v>46316</v>
      </c>
      <c r="G33" s="26">
        <v>46400</v>
      </c>
      <c r="H33" s="12">
        <f t="shared" si="12"/>
        <v>90</v>
      </c>
      <c r="I33" s="12">
        <f t="shared" si="13"/>
        <v>3</v>
      </c>
      <c r="J33" s="21">
        <f t="shared" ca="1" si="18"/>
        <v>163</v>
      </c>
      <c r="K33" s="12">
        <f t="shared" ca="1" si="19"/>
        <v>5.4333333333333336</v>
      </c>
      <c r="L33" s="21">
        <f t="shared" ca="1" si="20"/>
        <v>253</v>
      </c>
      <c r="M33" s="21">
        <f t="shared" ca="1" si="21"/>
        <v>8.4333333333333336</v>
      </c>
    </row>
    <row r="34" spans="2:13" outlineLevel="1" x14ac:dyDescent="0.45">
      <c r="B34" s="33" t="s">
        <v>10</v>
      </c>
      <c r="C34" s="33" t="s">
        <v>120</v>
      </c>
      <c r="D34" s="34" t="s">
        <v>114</v>
      </c>
      <c r="E34" s="35">
        <v>46353</v>
      </c>
      <c r="F34" s="35">
        <v>46400</v>
      </c>
      <c r="G34" s="36"/>
      <c r="H34" s="36">
        <f t="shared" ref="H34" si="39">F34-E34</f>
        <v>47</v>
      </c>
      <c r="I34" s="36">
        <f t="shared" si="13"/>
        <v>1.5666666666666667</v>
      </c>
      <c r="J34" s="36">
        <f t="shared" ref="J34" ca="1" si="40">IF(E34-$E$1&lt;=0,"",E34-$E$1)</f>
        <v>206</v>
      </c>
      <c r="K34" s="36">
        <f t="shared" ca="1" si="19"/>
        <v>6.8666666666666663</v>
      </c>
      <c r="L34" s="36" t="str">
        <f t="shared" ref="L34" ca="1" si="41">IF(G34-$E$1&lt;=0,"",G34-$E$1)</f>
        <v/>
      </c>
      <c r="M34" s="36" t="str">
        <f t="shared" ca="1" si="21"/>
        <v/>
      </c>
    </row>
    <row r="35" spans="2:13" x14ac:dyDescent="0.45">
      <c r="B35" s="27">
        <v>9</v>
      </c>
      <c r="C35" s="1" t="s">
        <v>50</v>
      </c>
      <c r="D35" t="s">
        <v>116</v>
      </c>
      <c r="E35" s="26">
        <v>46317</v>
      </c>
      <c r="F35" s="26">
        <v>46323</v>
      </c>
      <c r="G35" s="26">
        <v>46514</v>
      </c>
      <c r="H35" s="12">
        <f t="shared" si="12"/>
        <v>197</v>
      </c>
      <c r="I35" s="12">
        <f t="shared" si="13"/>
        <v>6.5666666666666664</v>
      </c>
      <c r="J35" s="21">
        <f t="shared" ca="1" si="18"/>
        <v>170</v>
      </c>
      <c r="K35" s="12">
        <f t="shared" ca="1" si="19"/>
        <v>5.666666666666667</v>
      </c>
      <c r="L35" s="21">
        <f t="shared" ca="1" si="20"/>
        <v>367</v>
      </c>
      <c r="M35" s="21">
        <f t="shared" ca="1" si="21"/>
        <v>12.233333333333333</v>
      </c>
    </row>
    <row r="36" spans="2:13" outlineLevel="1" x14ac:dyDescent="0.45">
      <c r="B36" s="33" t="s">
        <v>121</v>
      </c>
      <c r="C36" s="33" t="s">
        <v>120</v>
      </c>
      <c r="D36" s="34" t="s">
        <v>127</v>
      </c>
      <c r="E36" s="35">
        <v>46471</v>
      </c>
      <c r="F36" s="35">
        <v>46514</v>
      </c>
      <c r="G36" s="36"/>
      <c r="H36" s="36">
        <f t="shared" ref="H36" si="42">F36-E36</f>
        <v>43</v>
      </c>
      <c r="I36" s="36">
        <f t="shared" ref="I36" si="43">H36/30</f>
        <v>1.4333333333333333</v>
      </c>
      <c r="J36" s="36">
        <f t="shared" ca="1" si="18"/>
        <v>324</v>
      </c>
      <c r="K36" s="36">
        <f t="shared" ref="K36" ca="1" si="44">IF(J36="","",J36/30)</f>
        <v>10.8</v>
      </c>
      <c r="L36" s="36" t="str">
        <f t="shared" ca="1" si="20"/>
        <v/>
      </c>
      <c r="M36" s="36" t="str">
        <f t="shared" ref="M36" ca="1" si="45">IF(L36="","",L36/30)</f>
        <v/>
      </c>
    </row>
    <row r="37" spans="2:13" x14ac:dyDescent="0.45">
      <c r="B37" s="27">
        <v>10</v>
      </c>
      <c r="C37" s="1" t="s">
        <v>50</v>
      </c>
      <c r="D37" t="s">
        <v>117</v>
      </c>
      <c r="E37" s="26">
        <v>46184</v>
      </c>
      <c r="F37" s="26">
        <v>46190</v>
      </c>
      <c r="G37" s="26">
        <v>46566</v>
      </c>
      <c r="H37" s="12">
        <f t="shared" si="12"/>
        <v>382</v>
      </c>
      <c r="I37" s="12">
        <f t="shared" si="13"/>
        <v>12.733333333333333</v>
      </c>
      <c r="J37" s="21">
        <f t="shared" ca="1" si="18"/>
        <v>37</v>
      </c>
      <c r="K37" s="12">
        <f t="shared" ca="1" si="19"/>
        <v>1.2333333333333334</v>
      </c>
      <c r="L37" s="21">
        <f t="shared" ca="1" si="20"/>
        <v>419</v>
      </c>
      <c r="M37" s="21">
        <f t="shared" ca="1" si="21"/>
        <v>13.966666666666667</v>
      </c>
    </row>
    <row r="38" spans="2:13" outlineLevel="1" x14ac:dyDescent="0.45">
      <c r="B38" s="13" t="s">
        <v>124</v>
      </c>
      <c r="C38" s="13" t="s">
        <v>120</v>
      </c>
      <c r="D38" s="37" t="s">
        <v>128</v>
      </c>
      <c r="E38" s="31">
        <v>46450</v>
      </c>
      <c r="F38" s="31">
        <v>46492</v>
      </c>
      <c r="G38" s="16"/>
      <c r="H38" s="16">
        <f t="shared" ref="H38:H40" si="46">F38-E38</f>
        <v>42</v>
      </c>
      <c r="I38" s="16">
        <f t="shared" ref="I38:I40" si="47">H38/30</f>
        <v>1.4</v>
      </c>
      <c r="J38" s="16">
        <f t="shared" ca="1" si="18"/>
        <v>303</v>
      </c>
      <c r="K38" s="16">
        <f t="shared" ref="K38:K40" ca="1" si="48">IF(J38="","",J38/30)</f>
        <v>10.1</v>
      </c>
      <c r="L38" s="16" t="str">
        <f t="shared" ca="1" si="20"/>
        <v/>
      </c>
      <c r="M38" s="16" t="str">
        <f t="shared" ref="M38:M40" ca="1" si="49">IF(L38="","",L38/30)</f>
        <v/>
      </c>
    </row>
    <row r="39" spans="2:13" outlineLevel="1" x14ac:dyDescent="0.45">
      <c r="B39" s="14" t="s">
        <v>125</v>
      </c>
      <c r="C39" s="14" t="s">
        <v>120</v>
      </c>
      <c r="D39" s="19" t="s">
        <v>129</v>
      </c>
      <c r="E39" s="29">
        <v>46450</v>
      </c>
      <c r="F39" s="29">
        <v>46492</v>
      </c>
      <c r="G39" s="14"/>
      <c r="H39" s="14">
        <f t="shared" si="46"/>
        <v>42</v>
      </c>
      <c r="I39" s="20">
        <f t="shared" si="47"/>
        <v>1.4</v>
      </c>
      <c r="J39" s="14">
        <f t="shared" ref="J39:J40" ca="1" si="50">IF(E39-$E$1&lt;=0,"",E39-$E$1)</f>
        <v>303</v>
      </c>
      <c r="K39" s="20">
        <f t="shared" ca="1" si="48"/>
        <v>10.1</v>
      </c>
      <c r="L39" s="23" t="str">
        <f t="shared" ref="L39:L40" ca="1" si="51">IF(G39-$E$1&lt;=0,"",G39-$E$1)</f>
        <v/>
      </c>
      <c r="M39" s="23" t="str">
        <f t="shared" ca="1" si="49"/>
        <v/>
      </c>
    </row>
    <row r="40" spans="2:13" outlineLevel="1" x14ac:dyDescent="0.45">
      <c r="B40" s="15" t="s">
        <v>126</v>
      </c>
      <c r="C40" s="15" t="s">
        <v>120</v>
      </c>
      <c r="D40" s="32" t="s">
        <v>130</v>
      </c>
      <c r="E40" s="30">
        <v>46524</v>
      </c>
      <c r="F40" s="30">
        <v>46566</v>
      </c>
      <c r="G40" s="18"/>
      <c r="H40" s="18">
        <f t="shared" si="46"/>
        <v>42</v>
      </c>
      <c r="I40" s="18">
        <f t="shared" si="47"/>
        <v>1.4</v>
      </c>
      <c r="J40" s="18">
        <f t="shared" ca="1" si="50"/>
        <v>377</v>
      </c>
      <c r="K40" s="18">
        <f t="shared" ca="1" si="48"/>
        <v>12.566666666666666</v>
      </c>
      <c r="L40" s="18" t="str">
        <f t="shared" ca="1" si="51"/>
        <v/>
      </c>
      <c r="M40" s="18" t="str">
        <f t="shared" ca="1" si="49"/>
        <v/>
      </c>
    </row>
    <row r="41" spans="2:13" x14ac:dyDescent="0.45">
      <c r="B41" s="27">
        <v>11</v>
      </c>
      <c r="C41" s="1" t="s">
        <v>50</v>
      </c>
      <c r="D41" t="s">
        <v>118</v>
      </c>
      <c r="E41" s="26">
        <v>46282</v>
      </c>
      <c r="F41" s="26">
        <v>46288</v>
      </c>
      <c r="G41" s="26">
        <v>46580</v>
      </c>
      <c r="H41" s="12">
        <f t="shared" si="12"/>
        <v>298</v>
      </c>
      <c r="I41" s="12">
        <f t="shared" si="13"/>
        <v>9.9333333333333336</v>
      </c>
      <c r="J41" s="21">
        <f t="shared" ca="1" si="18"/>
        <v>135</v>
      </c>
      <c r="K41" s="12">
        <f t="shared" ca="1" si="19"/>
        <v>4.5</v>
      </c>
      <c r="L41" s="21">
        <f t="shared" ca="1" si="20"/>
        <v>433</v>
      </c>
      <c r="M41" s="21">
        <f t="shared" ca="1" si="21"/>
        <v>14.433333333333334</v>
      </c>
    </row>
    <row r="42" spans="2:13" outlineLevel="1" x14ac:dyDescent="0.45">
      <c r="B42" s="33" t="s">
        <v>123</v>
      </c>
      <c r="C42" s="33" t="s">
        <v>120</v>
      </c>
      <c r="D42" s="34" t="s">
        <v>131</v>
      </c>
      <c r="E42" s="35">
        <v>46539</v>
      </c>
      <c r="F42" s="35">
        <v>46580</v>
      </c>
      <c r="G42" s="36"/>
      <c r="H42" s="36">
        <f t="shared" ref="H42" si="52">F42-E42</f>
        <v>41</v>
      </c>
      <c r="I42" s="36">
        <f t="shared" ref="I42" si="53">H42/30</f>
        <v>1.3666666666666667</v>
      </c>
      <c r="J42" s="36">
        <f t="shared" ca="1" si="18"/>
        <v>392</v>
      </c>
      <c r="K42" s="36">
        <f t="shared" ref="K42" ca="1" si="54">IF(J42="","",J42/30)</f>
        <v>13.066666666666666</v>
      </c>
      <c r="L42" s="36" t="str">
        <f t="shared" ca="1" si="20"/>
        <v/>
      </c>
      <c r="M42" s="36" t="str">
        <f t="shared" ref="M42" ca="1" si="55">IF(L42="","",L42/30)</f>
        <v/>
      </c>
    </row>
    <row r="43" spans="2:13" x14ac:dyDescent="0.45">
      <c r="B43" s="27">
        <v>12</v>
      </c>
      <c r="C43" s="1" t="s">
        <v>50</v>
      </c>
      <c r="D43" t="s">
        <v>119</v>
      </c>
      <c r="E43" s="26">
        <v>46282</v>
      </c>
      <c r="F43" s="26">
        <v>46288</v>
      </c>
      <c r="G43" s="26">
        <v>46580</v>
      </c>
      <c r="H43" s="12">
        <f t="shared" si="12"/>
        <v>298</v>
      </c>
      <c r="I43" s="12">
        <f t="shared" si="13"/>
        <v>9.9333333333333336</v>
      </c>
      <c r="J43" s="21">
        <f t="shared" ca="1" si="18"/>
        <v>135</v>
      </c>
      <c r="K43" s="12">
        <f t="shared" ca="1" si="19"/>
        <v>4.5</v>
      </c>
      <c r="L43" s="21">
        <f t="shared" ca="1" si="20"/>
        <v>433</v>
      </c>
      <c r="M43" s="21">
        <f t="shared" ca="1" si="21"/>
        <v>14.433333333333334</v>
      </c>
    </row>
    <row r="44" spans="2:13" outlineLevel="1" x14ac:dyDescent="0.45">
      <c r="B44" s="33" t="s">
        <v>122</v>
      </c>
      <c r="C44" s="33" t="s">
        <v>120</v>
      </c>
      <c r="D44" s="34" t="s">
        <v>132</v>
      </c>
      <c r="E44" s="35">
        <v>46539</v>
      </c>
      <c r="F44" s="35">
        <v>46580</v>
      </c>
      <c r="G44" s="36"/>
      <c r="H44" s="36">
        <f t="shared" ref="H44" si="56">F44-E44</f>
        <v>41</v>
      </c>
      <c r="I44" s="36">
        <f t="shared" ref="I44" si="57">H44/30</f>
        <v>1.3666666666666667</v>
      </c>
      <c r="J44" s="36">
        <f t="shared" ca="1" si="18"/>
        <v>392</v>
      </c>
      <c r="K44" s="36">
        <f t="shared" ref="K44" ca="1" si="58">IF(J44="","",J44/30)</f>
        <v>13.066666666666666</v>
      </c>
      <c r="L44" s="36" t="str">
        <f t="shared" ca="1" si="20"/>
        <v/>
      </c>
      <c r="M44" s="36" t="str">
        <f t="shared" ref="M44" ca="1" si="59">IF(L44="","",L44/30)</f>
        <v/>
      </c>
    </row>
    <row r="45" spans="2:13" x14ac:dyDescent="0.45">
      <c r="B45" s="27">
        <v>13</v>
      </c>
      <c r="C45" s="1" t="s">
        <v>50</v>
      </c>
      <c r="D45" t="s">
        <v>133</v>
      </c>
      <c r="E45" s="26">
        <v>46584</v>
      </c>
      <c r="F45" s="26">
        <v>46590</v>
      </c>
      <c r="G45" s="26">
        <v>46625</v>
      </c>
      <c r="H45" s="12">
        <f t="shared" si="12"/>
        <v>41</v>
      </c>
      <c r="I45" s="12">
        <f t="shared" si="13"/>
        <v>1.3666666666666667</v>
      </c>
      <c r="J45" s="21">
        <f t="shared" ca="1" si="18"/>
        <v>437</v>
      </c>
      <c r="K45" s="12">
        <f t="shared" ca="1" si="19"/>
        <v>14.566666666666666</v>
      </c>
      <c r="L45" s="21">
        <f t="shared" ca="1" si="20"/>
        <v>478</v>
      </c>
      <c r="M45" s="21">
        <f t="shared" ca="1" si="21"/>
        <v>15.933333333333334</v>
      </c>
    </row>
    <row r="46" spans="2:13" x14ac:dyDescent="0.45">
      <c r="B46" s="27">
        <v>14</v>
      </c>
      <c r="C46" s="1" t="s">
        <v>50</v>
      </c>
      <c r="D46" t="s">
        <v>134</v>
      </c>
      <c r="E46" s="26">
        <v>46119</v>
      </c>
      <c r="F46" s="26">
        <v>46125</v>
      </c>
      <c r="G46" s="26">
        <v>46514</v>
      </c>
      <c r="H46" s="12">
        <f t="shared" si="12"/>
        <v>395</v>
      </c>
      <c r="I46" s="12">
        <f t="shared" si="13"/>
        <v>13.166666666666666</v>
      </c>
      <c r="J46" s="21" t="str">
        <f t="shared" ca="1" si="18"/>
        <v/>
      </c>
      <c r="K46" s="12" t="str">
        <f t="shared" ca="1" si="19"/>
        <v/>
      </c>
      <c r="L46" s="21">
        <f t="shared" ca="1" si="20"/>
        <v>367</v>
      </c>
      <c r="M46" s="21">
        <f t="shared" ca="1" si="21"/>
        <v>12.233333333333333</v>
      </c>
    </row>
    <row r="47" spans="2:13" outlineLevel="1" x14ac:dyDescent="0.45">
      <c r="B47" s="33" t="s">
        <v>135</v>
      </c>
      <c r="C47" s="33" t="s">
        <v>120</v>
      </c>
      <c r="D47" s="34" t="s">
        <v>136</v>
      </c>
      <c r="E47" s="35">
        <v>46471</v>
      </c>
      <c r="F47" s="35">
        <v>46514</v>
      </c>
      <c r="G47" s="36"/>
      <c r="H47" s="36">
        <f t="shared" ref="H47" si="60">F47-E47</f>
        <v>43</v>
      </c>
      <c r="I47" s="36">
        <f t="shared" si="13"/>
        <v>1.4333333333333333</v>
      </c>
      <c r="J47" s="36">
        <f t="shared" ref="J47" ca="1" si="61">IF(E47-$E$1&lt;=0,"",E47-$E$1)</f>
        <v>324</v>
      </c>
      <c r="K47" s="36">
        <f t="shared" ca="1" si="19"/>
        <v>10.8</v>
      </c>
      <c r="L47" s="36" t="str">
        <f t="shared" ref="L47" ca="1" si="62">IF(G47-$E$1&lt;=0,"",G47-$E$1)</f>
        <v/>
      </c>
      <c r="M47" s="36" t="str">
        <f t="shared" ca="1" si="21"/>
        <v/>
      </c>
    </row>
    <row r="48" spans="2:13" x14ac:dyDescent="0.45">
      <c r="B48" s="27">
        <v>15</v>
      </c>
      <c r="C48" s="1" t="s">
        <v>50</v>
      </c>
      <c r="D48" t="s">
        <v>137</v>
      </c>
      <c r="E48" s="26">
        <v>46226</v>
      </c>
      <c r="F48" s="26">
        <v>46232</v>
      </c>
      <c r="G48" s="26">
        <v>46615</v>
      </c>
      <c r="H48" s="12">
        <f t="shared" si="12"/>
        <v>389</v>
      </c>
      <c r="I48" s="12">
        <f t="shared" si="13"/>
        <v>12.966666666666667</v>
      </c>
      <c r="J48" s="21">
        <f t="shared" ca="1" si="18"/>
        <v>79</v>
      </c>
      <c r="K48" s="12">
        <f t="shared" ca="1" si="19"/>
        <v>2.6333333333333333</v>
      </c>
      <c r="L48" s="21">
        <f t="shared" ca="1" si="20"/>
        <v>468</v>
      </c>
      <c r="M48" s="21">
        <f t="shared" ca="1" si="21"/>
        <v>15.6</v>
      </c>
    </row>
    <row r="49" spans="2:13" outlineLevel="1" x14ac:dyDescent="0.45">
      <c r="B49" s="13" t="s">
        <v>138</v>
      </c>
      <c r="C49" s="13" t="s">
        <v>120</v>
      </c>
      <c r="D49" s="37" t="s">
        <v>148</v>
      </c>
      <c r="E49" s="31">
        <v>46408</v>
      </c>
      <c r="F49" s="31">
        <v>46552</v>
      </c>
      <c r="G49" s="16"/>
      <c r="H49" s="16">
        <f t="shared" ref="H49:H57" si="63">F49-E49</f>
        <v>144</v>
      </c>
      <c r="I49" s="16">
        <f t="shared" si="13"/>
        <v>4.8</v>
      </c>
      <c r="J49" s="16">
        <f t="shared" ref="J49:J57" ca="1" si="64">IF(E49-$E$1&lt;=0,"",E49-$E$1)</f>
        <v>261</v>
      </c>
      <c r="K49" s="16">
        <f t="shared" ca="1" si="19"/>
        <v>8.6999999999999993</v>
      </c>
      <c r="L49" s="16" t="str">
        <f t="shared" ref="L49:L57" ca="1" si="65">IF(G49-$E$1&lt;=0,"",G49-$E$1)</f>
        <v/>
      </c>
      <c r="M49" s="16" t="str">
        <f t="shared" ca="1" si="21"/>
        <v/>
      </c>
    </row>
    <row r="50" spans="2:13" outlineLevel="1" x14ac:dyDescent="0.45">
      <c r="B50" s="14" t="s">
        <v>139</v>
      </c>
      <c r="C50" s="14" t="s">
        <v>120</v>
      </c>
      <c r="D50" s="19" t="s">
        <v>149</v>
      </c>
      <c r="E50" s="29">
        <v>46507</v>
      </c>
      <c r="F50" s="29">
        <v>46615</v>
      </c>
      <c r="G50" s="14"/>
      <c r="H50" s="14">
        <f t="shared" si="63"/>
        <v>108</v>
      </c>
      <c r="I50" s="20">
        <f t="shared" si="13"/>
        <v>3.6</v>
      </c>
      <c r="J50" s="14">
        <f t="shared" ca="1" si="64"/>
        <v>360</v>
      </c>
      <c r="K50" s="20">
        <f t="shared" ca="1" si="19"/>
        <v>12</v>
      </c>
      <c r="L50" s="23" t="str">
        <f t="shared" ca="1" si="65"/>
        <v/>
      </c>
      <c r="M50" s="23" t="str">
        <f t="shared" ca="1" si="21"/>
        <v/>
      </c>
    </row>
    <row r="51" spans="2:13" outlineLevel="1" x14ac:dyDescent="0.45">
      <c r="B51" s="14" t="s">
        <v>140</v>
      </c>
      <c r="C51" s="14" t="s">
        <v>120</v>
      </c>
      <c r="D51" s="19" t="s">
        <v>150</v>
      </c>
      <c r="E51" s="29">
        <v>46507</v>
      </c>
      <c r="F51" s="29">
        <v>46594</v>
      </c>
      <c r="G51" s="14"/>
      <c r="H51" s="14">
        <f t="shared" si="63"/>
        <v>87</v>
      </c>
      <c r="I51" s="20">
        <f t="shared" si="13"/>
        <v>2.9</v>
      </c>
      <c r="J51" s="14">
        <f t="shared" ca="1" si="64"/>
        <v>360</v>
      </c>
      <c r="K51" s="20">
        <f t="shared" ca="1" si="19"/>
        <v>12</v>
      </c>
      <c r="L51" s="23" t="str">
        <f t="shared" ca="1" si="65"/>
        <v/>
      </c>
      <c r="M51" s="23" t="str">
        <f t="shared" ca="1" si="21"/>
        <v/>
      </c>
    </row>
    <row r="52" spans="2:13" outlineLevel="1" x14ac:dyDescent="0.45">
      <c r="B52" s="14" t="s">
        <v>141</v>
      </c>
      <c r="C52" s="14" t="s">
        <v>120</v>
      </c>
      <c r="D52" s="19" t="s">
        <v>151</v>
      </c>
      <c r="E52" s="29">
        <v>46507</v>
      </c>
      <c r="F52" s="29">
        <v>46512</v>
      </c>
      <c r="G52" s="14"/>
      <c r="H52" s="14">
        <f t="shared" si="63"/>
        <v>5</v>
      </c>
      <c r="I52" s="20">
        <f t="shared" si="13"/>
        <v>0.16666666666666666</v>
      </c>
      <c r="J52" s="14">
        <f t="shared" ca="1" si="64"/>
        <v>360</v>
      </c>
      <c r="K52" s="20">
        <f t="shared" ca="1" si="19"/>
        <v>12</v>
      </c>
      <c r="L52" s="23" t="str">
        <f t="shared" ca="1" si="65"/>
        <v/>
      </c>
      <c r="M52" s="23" t="str">
        <f t="shared" ca="1" si="21"/>
        <v/>
      </c>
    </row>
    <row r="53" spans="2:13" outlineLevel="1" x14ac:dyDescent="0.45">
      <c r="B53" s="14" t="s">
        <v>142</v>
      </c>
      <c r="C53" s="14" t="s">
        <v>120</v>
      </c>
      <c r="D53" s="19" t="s">
        <v>152</v>
      </c>
      <c r="E53" s="29">
        <v>46500</v>
      </c>
      <c r="F53" s="29">
        <v>46506</v>
      </c>
      <c r="G53" s="14"/>
      <c r="H53" s="14">
        <f t="shared" si="63"/>
        <v>6</v>
      </c>
      <c r="I53" s="20">
        <f t="shared" si="13"/>
        <v>0.2</v>
      </c>
      <c r="J53" s="14">
        <f t="shared" ca="1" si="64"/>
        <v>353</v>
      </c>
      <c r="K53" s="20">
        <f t="shared" ca="1" si="19"/>
        <v>11.766666666666667</v>
      </c>
      <c r="L53" s="23" t="str">
        <f t="shared" ca="1" si="65"/>
        <v/>
      </c>
      <c r="M53" s="23" t="str">
        <f t="shared" ca="1" si="21"/>
        <v/>
      </c>
    </row>
    <row r="54" spans="2:13" outlineLevel="1" x14ac:dyDescent="0.45">
      <c r="B54" s="14" t="s">
        <v>143</v>
      </c>
      <c r="C54" s="14" t="s">
        <v>120</v>
      </c>
      <c r="D54" s="19" t="s">
        <v>153</v>
      </c>
      <c r="E54" s="29">
        <v>46493</v>
      </c>
      <c r="F54" s="29">
        <v>46503</v>
      </c>
      <c r="G54" s="14"/>
      <c r="H54" s="14">
        <f t="shared" si="63"/>
        <v>10</v>
      </c>
      <c r="I54" s="20">
        <f t="shared" si="13"/>
        <v>0.33333333333333331</v>
      </c>
      <c r="J54" s="14">
        <f t="shared" ca="1" si="64"/>
        <v>346</v>
      </c>
      <c r="K54" s="20">
        <f t="shared" ca="1" si="19"/>
        <v>11.533333333333333</v>
      </c>
      <c r="L54" s="23" t="str">
        <f t="shared" ca="1" si="65"/>
        <v/>
      </c>
      <c r="M54" s="23" t="str">
        <f t="shared" ca="1" si="21"/>
        <v/>
      </c>
    </row>
    <row r="55" spans="2:13" outlineLevel="1" x14ac:dyDescent="0.45">
      <c r="B55" s="14" t="s">
        <v>144</v>
      </c>
      <c r="C55" s="14" t="s">
        <v>120</v>
      </c>
      <c r="D55" s="19" t="s">
        <v>154</v>
      </c>
      <c r="E55" s="29">
        <v>46500</v>
      </c>
      <c r="F55" s="29">
        <v>46506</v>
      </c>
      <c r="G55" s="14"/>
      <c r="H55" s="14">
        <f t="shared" si="63"/>
        <v>6</v>
      </c>
      <c r="I55" s="20">
        <f t="shared" si="13"/>
        <v>0.2</v>
      </c>
      <c r="J55" s="14">
        <f t="shared" ca="1" si="64"/>
        <v>353</v>
      </c>
      <c r="K55" s="20">
        <f t="shared" ca="1" si="19"/>
        <v>11.766666666666667</v>
      </c>
      <c r="L55" s="23" t="str">
        <f t="shared" ca="1" si="65"/>
        <v/>
      </c>
      <c r="M55" s="23" t="str">
        <f t="shared" ca="1" si="21"/>
        <v/>
      </c>
    </row>
    <row r="56" spans="2:13" outlineLevel="1" x14ac:dyDescent="0.45">
      <c r="B56" s="14" t="s">
        <v>145</v>
      </c>
      <c r="C56" s="14" t="s">
        <v>120</v>
      </c>
      <c r="D56" s="19" t="s">
        <v>155</v>
      </c>
      <c r="E56" s="29">
        <v>46500</v>
      </c>
      <c r="F56" s="29">
        <v>46506</v>
      </c>
      <c r="G56" s="14"/>
      <c r="H56" s="14">
        <f t="shared" si="63"/>
        <v>6</v>
      </c>
      <c r="I56" s="20">
        <f t="shared" si="13"/>
        <v>0.2</v>
      </c>
      <c r="J56" s="14">
        <f t="shared" ca="1" si="64"/>
        <v>353</v>
      </c>
      <c r="K56" s="20">
        <f t="shared" ca="1" si="19"/>
        <v>11.766666666666667</v>
      </c>
      <c r="L56" s="23" t="str">
        <f t="shared" ca="1" si="65"/>
        <v/>
      </c>
      <c r="M56" s="23" t="str">
        <f t="shared" ca="1" si="21"/>
        <v/>
      </c>
    </row>
    <row r="57" spans="2:13" outlineLevel="1" x14ac:dyDescent="0.45">
      <c r="B57" s="14" t="s">
        <v>146</v>
      </c>
      <c r="C57" s="14" t="s">
        <v>120</v>
      </c>
      <c r="D57" s="19" t="s">
        <v>156</v>
      </c>
      <c r="E57" s="29">
        <v>46464</v>
      </c>
      <c r="F57" s="29">
        <v>46559</v>
      </c>
      <c r="G57" s="14"/>
      <c r="H57" s="14">
        <f t="shared" si="63"/>
        <v>95</v>
      </c>
      <c r="I57" s="20">
        <f t="shared" si="13"/>
        <v>3.1666666666666665</v>
      </c>
      <c r="J57" s="14">
        <f t="shared" ca="1" si="64"/>
        <v>317</v>
      </c>
      <c r="K57" s="20">
        <f t="shared" ca="1" si="19"/>
        <v>10.566666666666666</v>
      </c>
      <c r="L57" s="23" t="str">
        <f t="shared" ca="1" si="65"/>
        <v/>
      </c>
      <c r="M57" s="23" t="str">
        <f t="shared" ca="1" si="21"/>
        <v/>
      </c>
    </row>
    <row r="58" spans="2:13" outlineLevel="1" x14ac:dyDescent="0.45">
      <c r="B58" s="14" t="s">
        <v>147</v>
      </c>
      <c r="C58" s="14" t="s">
        <v>120</v>
      </c>
      <c r="D58" s="19" t="s">
        <v>157</v>
      </c>
      <c r="E58" s="29">
        <v>46436</v>
      </c>
      <c r="F58" s="29">
        <v>46442</v>
      </c>
      <c r="G58" s="17"/>
      <c r="H58" s="17">
        <f t="shared" ref="H58" si="66">F58-E58</f>
        <v>6</v>
      </c>
      <c r="I58" s="17">
        <f t="shared" ref="I58" si="67">H58/30</f>
        <v>0.2</v>
      </c>
      <c r="J58" s="17">
        <f t="shared" ref="J58" ca="1" si="68">IF(E58-$E$1&lt;=0,"",E58-$E$1)</f>
        <v>289</v>
      </c>
      <c r="K58" s="17">
        <f t="shared" ref="K58" ca="1" si="69">IF(J58="","",J58/30)</f>
        <v>9.6333333333333329</v>
      </c>
      <c r="L58" s="17" t="str">
        <f t="shared" ref="L58" ca="1" si="70">IF(G58-$E$1&lt;=0,"",G58-$E$1)</f>
        <v/>
      </c>
      <c r="M58" s="17" t="str">
        <f t="shared" ref="M58" ca="1" si="71">IF(L58="","",L58/30)</f>
        <v/>
      </c>
    </row>
    <row r="59" spans="2:13" outlineLevel="1" x14ac:dyDescent="0.45">
      <c r="B59" s="14" t="s">
        <v>158</v>
      </c>
      <c r="C59" s="14" t="s">
        <v>120</v>
      </c>
      <c r="D59" s="19" t="s">
        <v>161</v>
      </c>
      <c r="E59" s="29">
        <v>46408</v>
      </c>
      <c r="F59" s="29">
        <v>46449</v>
      </c>
      <c r="G59" s="17"/>
      <c r="H59" s="17">
        <f t="shared" ref="H59:H61" si="72">F59-E59</f>
        <v>41</v>
      </c>
      <c r="I59" s="17">
        <f t="shared" ref="I59:I61" si="73">H59/30</f>
        <v>1.3666666666666667</v>
      </c>
      <c r="J59" s="17">
        <f t="shared" ref="J59:J61" ca="1" si="74">IF(E59-$E$1&lt;=0,"",E59-$E$1)</f>
        <v>261</v>
      </c>
      <c r="K59" s="17">
        <f t="shared" ref="K59:K61" ca="1" si="75">IF(J59="","",J59/30)</f>
        <v>8.6999999999999993</v>
      </c>
      <c r="L59" s="17" t="str">
        <f t="shared" ref="L59:L61" ca="1" si="76">IF(G59-$E$1&lt;=0,"",G59-$E$1)</f>
        <v/>
      </c>
      <c r="M59" s="17" t="str">
        <f t="shared" ref="M59:M61" ca="1" si="77">IF(L59="","",L59/30)</f>
        <v/>
      </c>
    </row>
    <row r="60" spans="2:13" outlineLevel="1" x14ac:dyDescent="0.45">
      <c r="B60" s="14" t="s">
        <v>159</v>
      </c>
      <c r="C60" s="14" t="s">
        <v>120</v>
      </c>
      <c r="D60" s="19" t="s">
        <v>162</v>
      </c>
      <c r="E60" s="29">
        <v>46450</v>
      </c>
      <c r="F60" s="29">
        <v>46470</v>
      </c>
      <c r="G60" s="17"/>
      <c r="H60" s="17">
        <f t="shared" si="72"/>
        <v>20</v>
      </c>
      <c r="I60" s="17">
        <f t="shared" si="73"/>
        <v>0.66666666666666663</v>
      </c>
      <c r="J60" s="17">
        <f t="shared" ca="1" si="74"/>
        <v>303</v>
      </c>
      <c r="K60" s="17">
        <f t="shared" ca="1" si="75"/>
        <v>10.1</v>
      </c>
      <c r="L60" s="17" t="str">
        <f t="shared" ca="1" si="76"/>
        <v/>
      </c>
      <c r="M60" s="17" t="str">
        <f t="shared" ca="1" si="77"/>
        <v/>
      </c>
    </row>
    <row r="61" spans="2:13" outlineLevel="1" x14ac:dyDescent="0.45">
      <c r="B61" s="30" t="s">
        <v>160</v>
      </c>
      <c r="C61" s="30" t="s">
        <v>120</v>
      </c>
      <c r="D61" s="38" t="s">
        <v>163</v>
      </c>
      <c r="E61" s="30">
        <v>46457</v>
      </c>
      <c r="F61" s="30">
        <v>46463</v>
      </c>
      <c r="G61" s="18"/>
      <c r="H61" s="18">
        <f t="shared" si="72"/>
        <v>6</v>
      </c>
      <c r="I61" s="18">
        <f t="shared" si="73"/>
        <v>0.2</v>
      </c>
      <c r="J61" s="18">
        <f t="shared" ca="1" si="74"/>
        <v>310</v>
      </c>
      <c r="K61" s="18">
        <f t="shared" ca="1" si="75"/>
        <v>10.333333333333334</v>
      </c>
      <c r="L61" s="18" t="str">
        <f t="shared" ca="1" si="76"/>
        <v/>
      </c>
      <c r="M61" s="18" t="str">
        <f t="shared" ca="1" si="77"/>
        <v/>
      </c>
    </row>
    <row r="62" spans="2:13" x14ac:dyDescent="0.45">
      <c r="B62" s="27">
        <v>16</v>
      </c>
      <c r="C62" s="1" t="s">
        <v>50</v>
      </c>
      <c r="D62" t="s">
        <v>164</v>
      </c>
      <c r="E62" s="26">
        <v>46226</v>
      </c>
      <c r="F62" s="26">
        <v>46232</v>
      </c>
      <c r="G62" s="26">
        <v>46499</v>
      </c>
      <c r="H62" s="12">
        <f t="shared" si="12"/>
        <v>273</v>
      </c>
      <c r="I62" s="12">
        <f t="shared" si="13"/>
        <v>9.1</v>
      </c>
      <c r="J62" s="21">
        <f t="shared" ca="1" si="18"/>
        <v>79</v>
      </c>
      <c r="K62" s="12">
        <f t="shared" ca="1" si="19"/>
        <v>2.6333333333333333</v>
      </c>
      <c r="L62" s="21">
        <f t="shared" ca="1" si="20"/>
        <v>352</v>
      </c>
      <c r="M62" s="21">
        <f t="shared" ca="1" si="21"/>
        <v>11.733333333333333</v>
      </c>
    </row>
    <row r="63" spans="2:13" outlineLevel="1" x14ac:dyDescent="0.45">
      <c r="B63" s="33" t="s">
        <v>169</v>
      </c>
      <c r="C63" s="33" t="s">
        <v>120</v>
      </c>
      <c r="D63" s="34" t="s">
        <v>170</v>
      </c>
      <c r="E63" s="35">
        <v>46493</v>
      </c>
      <c r="F63" s="35">
        <v>46499</v>
      </c>
      <c r="G63" s="36"/>
      <c r="H63" s="36">
        <f t="shared" ref="H63" si="78">F63-E63</f>
        <v>6</v>
      </c>
      <c r="I63" s="36">
        <f t="shared" ref="I63" si="79">H63/30</f>
        <v>0.2</v>
      </c>
      <c r="J63" s="36">
        <f t="shared" ca="1" si="18"/>
        <v>346</v>
      </c>
      <c r="K63" s="36">
        <f t="shared" ref="K63" ca="1" si="80">IF(J63="","",J63/30)</f>
        <v>11.533333333333333</v>
      </c>
      <c r="L63" s="36" t="str">
        <f t="shared" ca="1" si="20"/>
        <v/>
      </c>
      <c r="M63" s="36" t="str">
        <f t="shared" ref="M63" ca="1" si="81">IF(L63="","",L63/30)</f>
        <v/>
      </c>
    </row>
    <row r="64" spans="2:13" x14ac:dyDescent="0.45">
      <c r="B64" s="27">
        <v>17</v>
      </c>
      <c r="C64" s="1" t="s">
        <v>50</v>
      </c>
      <c r="D64" t="s">
        <v>165</v>
      </c>
      <c r="E64" s="26">
        <v>46184</v>
      </c>
      <c r="F64" s="26">
        <v>46190</v>
      </c>
      <c r="G64" s="26">
        <v>46499</v>
      </c>
      <c r="H64" s="12">
        <f t="shared" si="12"/>
        <v>315</v>
      </c>
      <c r="I64" s="12">
        <f t="shared" si="13"/>
        <v>10.5</v>
      </c>
      <c r="J64" s="21">
        <f t="shared" ca="1" si="18"/>
        <v>37</v>
      </c>
      <c r="K64" s="12">
        <f t="shared" ca="1" si="19"/>
        <v>1.2333333333333334</v>
      </c>
      <c r="L64" s="21">
        <f t="shared" ca="1" si="20"/>
        <v>352</v>
      </c>
      <c r="M64" s="21">
        <f t="shared" ca="1" si="21"/>
        <v>11.733333333333333</v>
      </c>
    </row>
    <row r="65" spans="2:13" outlineLevel="1" x14ac:dyDescent="0.45">
      <c r="B65" s="33" t="s">
        <v>172</v>
      </c>
      <c r="C65" s="33" t="s">
        <v>120</v>
      </c>
      <c r="D65" s="34" t="s">
        <v>171</v>
      </c>
      <c r="E65" s="35">
        <v>46457</v>
      </c>
      <c r="F65" s="35">
        <v>46499</v>
      </c>
      <c r="G65" s="36"/>
      <c r="H65" s="36">
        <f t="shared" ref="H65" si="82">F65-E65</f>
        <v>42</v>
      </c>
      <c r="I65" s="36">
        <f t="shared" si="13"/>
        <v>1.4</v>
      </c>
      <c r="J65" s="36">
        <f t="shared" ref="J65" ca="1" si="83">IF(E65-$E$1&lt;=0,"",E65-$E$1)</f>
        <v>310</v>
      </c>
      <c r="K65" s="36">
        <f t="shared" ca="1" si="19"/>
        <v>10.333333333333334</v>
      </c>
      <c r="L65" s="36" t="str">
        <f t="shared" ref="L65" ca="1" si="84">IF(G65-$E$1&lt;=0,"",G65-$E$1)</f>
        <v/>
      </c>
      <c r="M65" s="36" t="str">
        <f t="shared" ca="1" si="21"/>
        <v/>
      </c>
    </row>
    <row r="66" spans="2:13" x14ac:dyDescent="0.45">
      <c r="B66" s="27">
        <v>18</v>
      </c>
      <c r="C66" s="1" t="s">
        <v>50</v>
      </c>
      <c r="D66" t="s">
        <v>166</v>
      </c>
      <c r="E66" s="26">
        <v>46296</v>
      </c>
      <c r="F66" s="26">
        <v>46302</v>
      </c>
      <c r="G66" s="26">
        <v>46215</v>
      </c>
      <c r="H66" s="12">
        <f t="shared" si="12"/>
        <v>-81</v>
      </c>
      <c r="I66" s="12">
        <f t="shared" si="13"/>
        <v>-2.7</v>
      </c>
      <c r="J66" s="21">
        <f t="shared" ca="1" si="18"/>
        <v>149</v>
      </c>
      <c r="K66" s="12">
        <f t="shared" ca="1" si="19"/>
        <v>4.9666666666666668</v>
      </c>
      <c r="L66" s="21">
        <f t="shared" ca="1" si="20"/>
        <v>68</v>
      </c>
      <c r="M66" s="21">
        <f t="shared" ca="1" si="21"/>
        <v>2.2666666666666666</v>
      </c>
    </row>
    <row r="67" spans="2:13" outlineLevel="1" x14ac:dyDescent="0.45">
      <c r="B67" s="33" t="s">
        <v>173</v>
      </c>
      <c r="C67" s="33" t="s">
        <v>120</v>
      </c>
      <c r="D67" s="34"/>
      <c r="E67" s="35">
        <v>46539</v>
      </c>
      <c r="F67" s="35">
        <v>46580</v>
      </c>
      <c r="G67" s="36"/>
      <c r="H67" s="36">
        <f t="shared" ref="H67" si="85">F67-E67</f>
        <v>41</v>
      </c>
      <c r="I67" s="36">
        <f t="shared" si="13"/>
        <v>1.3666666666666667</v>
      </c>
      <c r="J67" s="36">
        <f t="shared" ref="J67" ca="1" si="86">IF(E67-$E$1&lt;=0,"",E67-$E$1)</f>
        <v>392</v>
      </c>
      <c r="K67" s="36">
        <f t="shared" ca="1" si="19"/>
        <v>13.066666666666666</v>
      </c>
      <c r="L67" s="36" t="str">
        <f t="shared" ref="L67" ca="1" si="87">IF(G67-$E$1&lt;=0,"",G67-$E$1)</f>
        <v/>
      </c>
      <c r="M67" s="36" t="str">
        <f t="shared" ca="1" si="21"/>
        <v/>
      </c>
    </row>
    <row r="68" spans="2:13" x14ac:dyDescent="0.45">
      <c r="B68" s="27">
        <v>19</v>
      </c>
      <c r="C68" s="1" t="s">
        <v>50</v>
      </c>
      <c r="D68" t="s">
        <v>167</v>
      </c>
      <c r="E68" s="26">
        <v>46184</v>
      </c>
      <c r="F68" s="26">
        <v>46190</v>
      </c>
      <c r="G68" s="26">
        <v>46442</v>
      </c>
      <c r="H68" s="12">
        <f t="shared" si="12"/>
        <v>258</v>
      </c>
      <c r="I68" s="12">
        <f t="shared" si="13"/>
        <v>8.6</v>
      </c>
      <c r="J68" s="21">
        <f t="shared" ca="1" si="18"/>
        <v>37</v>
      </c>
      <c r="K68" s="12">
        <f t="shared" ca="1" si="19"/>
        <v>1.2333333333333334</v>
      </c>
      <c r="L68" s="21">
        <f t="shared" ca="1" si="20"/>
        <v>295</v>
      </c>
      <c r="M68" s="21">
        <f t="shared" ca="1" si="21"/>
        <v>9.8333333333333339</v>
      </c>
    </row>
    <row r="69" spans="2:13" outlineLevel="1" x14ac:dyDescent="0.45">
      <c r="B69" s="33" t="s">
        <v>174</v>
      </c>
      <c r="C69" s="33" t="s">
        <v>120</v>
      </c>
      <c r="D69" s="34"/>
      <c r="E69" s="35">
        <v>46401</v>
      </c>
      <c r="F69" s="35">
        <v>46442</v>
      </c>
      <c r="G69" s="36"/>
      <c r="H69" s="36">
        <f t="shared" ref="H69" si="88">F69-E69</f>
        <v>41</v>
      </c>
      <c r="I69" s="36">
        <f t="shared" si="13"/>
        <v>1.3666666666666667</v>
      </c>
      <c r="J69" s="36">
        <f t="shared" ref="J69" ca="1" si="89">IF(E69-$E$1&lt;=0,"",E69-$E$1)</f>
        <v>254</v>
      </c>
      <c r="K69" s="36">
        <f t="shared" ca="1" si="19"/>
        <v>8.4666666666666668</v>
      </c>
      <c r="L69" s="36" t="str">
        <f t="shared" ref="L69" ca="1" si="90">IF(G69-$E$1&lt;=0,"",G69-$E$1)</f>
        <v/>
      </c>
      <c r="M69" s="36" t="str">
        <f t="shared" ca="1" si="21"/>
        <v/>
      </c>
    </row>
    <row r="70" spans="2:13" x14ac:dyDescent="0.45">
      <c r="B70" s="27">
        <v>20</v>
      </c>
      <c r="C70" s="1" t="s">
        <v>50</v>
      </c>
      <c r="D70" t="s">
        <v>168</v>
      </c>
      <c r="E70" s="26">
        <v>46155</v>
      </c>
      <c r="F70" s="26">
        <v>46161</v>
      </c>
      <c r="G70" s="26">
        <v>46636</v>
      </c>
      <c r="H70" s="12">
        <f t="shared" si="12"/>
        <v>481</v>
      </c>
      <c r="I70" s="12">
        <f t="shared" si="13"/>
        <v>16.033333333333335</v>
      </c>
      <c r="J70" s="21">
        <f t="shared" ca="1" si="18"/>
        <v>8</v>
      </c>
      <c r="K70" s="12">
        <f t="shared" ca="1" si="19"/>
        <v>0.26666666666666666</v>
      </c>
      <c r="L70" s="21">
        <f t="shared" ca="1" si="20"/>
        <v>489</v>
      </c>
      <c r="M70" s="21">
        <f t="shared" ca="1" si="21"/>
        <v>16.3</v>
      </c>
    </row>
    <row r="71" spans="2:13" outlineLevel="1" x14ac:dyDescent="0.45">
      <c r="B71" s="13" t="s">
        <v>12</v>
      </c>
      <c r="C71" s="13" t="s">
        <v>120</v>
      </c>
      <c r="D71" s="37" t="s">
        <v>175</v>
      </c>
      <c r="E71" s="31">
        <v>46567</v>
      </c>
      <c r="F71" s="31">
        <v>46594</v>
      </c>
      <c r="G71" s="16"/>
      <c r="H71" s="16">
        <f t="shared" ref="H71:H72" si="91">F71-E71</f>
        <v>27</v>
      </c>
      <c r="I71" s="16">
        <f t="shared" ref="I71:I72" si="92">H71/30</f>
        <v>0.9</v>
      </c>
      <c r="J71" s="16">
        <f t="shared" ca="1" si="18"/>
        <v>420</v>
      </c>
      <c r="K71" s="16">
        <f t="shared" ref="K71:K72" ca="1" si="93">IF(J71="","",J71/30)</f>
        <v>14</v>
      </c>
      <c r="L71" s="16" t="str">
        <f t="shared" ca="1" si="20"/>
        <v/>
      </c>
      <c r="M71" s="16" t="str">
        <f t="shared" ref="M71:M72" ca="1" si="94">IF(L71="","",L71/30)</f>
        <v/>
      </c>
    </row>
    <row r="72" spans="2:13" outlineLevel="1" x14ac:dyDescent="0.45">
      <c r="B72" s="30" t="s">
        <v>13</v>
      </c>
      <c r="C72" s="30" t="s">
        <v>120</v>
      </c>
      <c r="D72" s="38" t="s">
        <v>176</v>
      </c>
      <c r="E72" s="30">
        <v>46570</v>
      </c>
      <c r="F72" s="30">
        <v>46622</v>
      </c>
      <c r="G72" s="18"/>
      <c r="H72" s="18">
        <f t="shared" si="91"/>
        <v>52</v>
      </c>
      <c r="I72" s="18">
        <f t="shared" si="92"/>
        <v>1.7333333333333334</v>
      </c>
      <c r="J72" s="18">
        <f t="shared" ca="1" si="18"/>
        <v>423</v>
      </c>
      <c r="K72" s="18">
        <f t="shared" ca="1" si="93"/>
        <v>14.1</v>
      </c>
      <c r="L72" s="18" t="str">
        <f t="shared" ca="1" si="20"/>
        <v/>
      </c>
      <c r="M72" s="18" t="str">
        <f t="shared" ca="1" si="94"/>
        <v/>
      </c>
    </row>
    <row r="73" spans="2:13" x14ac:dyDescent="0.45">
      <c r="B73" s="1">
        <v>21</v>
      </c>
      <c r="C73" s="1" t="s">
        <v>50</v>
      </c>
      <c r="D73" t="s">
        <v>177</v>
      </c>
      <c r="E73" s="26">
        <v>46169</v>
      </c>
      <c r="F73" s="26">
        <v>46175</v>
      </c>
      <c r="G73" s="26">
        <v>46573</v>
      </c>
      <c r="H73" s="12">
        <f t="shared" ref="H73" si="95">G73-E73</f>
        <v>404</v>
      </c>
      <c r="I73" s="12">
        <f t="shared" ref="I73" si="96">H73/30</f>
        <v>13.466666666666667</v>
      </c>
      <c r="J73" s="21">
        <f t="shared" ref="J73" ca="1" si="97">IF(E73-$E$1&lt;=0,"",E73-$E$1)</f>
        <v>22</v>
      </c>
      <c r="K73" s="12">
        <f t="shared" ref="K73" ca="1" si="98">IF(J73="","",J73/30)</f>
        <v>0.73333333333333328</v>
      </c>
      <c r="L73" s="21">
        <f t="shared" ref="L73" ca="1" si="99">IF(G73-$E$1&lt;=0,"",G73-$E$1)</f>
        <v>426</v>
      </c>
      <c r="M73" s="21">
        <f t="shared" ref="M73" ca="1" si="100">IF(L73="","",L73/30)</f>
        <v>14.2</v>
      </c>
    </row>
    <row r="74" spans="2:13" outlineLevel="1" x14ac:dyDescent="0.45">
      <c r="B74" s="13" t="s">
        <v>179</v>
      </c>
      <c r="C74" s="13" t="s">
        <v>120</v>
      </c>
      <c r="D74" s="37" t="s">
        <v>186</v>
      </c>
      <c r="E74" s="31">
        <v>46198</v>
      </c>
      <c r="F74" s="31">
        <v>46211</v>
      </c>
      <c r="G74" s="31"/>
      <c r="H74" s="13">
        <f t="shared" ref="H74:H80" si="101">F74-E74</f>
        <v>13</v>
      </c>
      <c r="I74" s="43">
        <f t="shared" ref="I74:I80" si="102">H74/30</f>
        <v>0.43333333333333335</v>
      </c>
      <c r="J74" s="13">
        <f t="shared" ref="J74:J80" ca="1" si="103">IF(E74-$E$1&lt;=0,"",E74-$E$1)</f>
        <v>51</v>
      </c>
      <c r="K74" s="43">
        <f t="shared" ref="K74:K80" ca="1" si="104">IF(J74="","",J74/30)</f>
        <v>1.7</v>
      </c>
      <c r="L74" s="39" t="str">
        <f t="shared" ref="L74:L80" ca="1" si="105">IF(G74-$E$1&lt;=0,"",G74-$E$1)</f>
        <v/>
      </c>
      <c r="M74" s="39" t="str">
        <f t="shared" ref="M74:M80" ca="1" si="106">IF(L74="","",L74/30)</f>
        <v/>
      </c>
    </row>
    <row r="75" spans="2:13" outlineLevel="1" x14ac:dyDescent="0.45">
      <c r="B75" s="14" t="s">
        <v>180</v>
      </c>
      <c r="C75" s="14" t="s">
        <v>120</v>
      </c>
      <c r="D75" s="19" t="s">
        <v>187</v>
      </c>
      <c r="E75" s="29">
        <v>46517</v>
      </c>
      <c r="F75" s="29">
        <v>46559</v>
      </c>
      <c r="G75" s="29"/>
      <c r="H75" s="14">
        <f t="shared" si="101"/>
        <v>42</v>
      </c>
      <c r="I75" s="20">
        <f t="shared" si="102"/>
        <v>1.4</v>
      </c>
      <c r="J75" s="14">
        <f t="shared" ca="1" si="103"/>
        <v>370</v>
      </c>
      <c r="K75" s="20">
        <f t="shared" ca="1" si="104"/>
        <v>12.333333333333334</v>
      </c>
      <c r="L75" s="23" t="str">
        <f t="shared" ca="1" si="105"/>
        <v/>
      </c>
      <c r="M75" s="23" t="str">
        <f t="shared" ca="1" si="106"/>
        <v/>
      </c>
    </row>
    <row r="76" spans="2:13" outlineLevel="1" x14ac:dyDescent="0.45">
      <c r="B76" s="14" t="s">
        <v>181</v>
      </c>
      <c r="C76" s="14" t="s">
        <v>120</v>
      </c>
      <c r="D76" s="19" t="s">
        <v>188</v>
      </c>
      <c r="E76" s="29">
        <v>46517</v>
      </c>
      <c r="F76" s="29">
        <v>46559</v>
      </c>
      <c r="G76" s="29"/>
      <c r="H76" s="14">
        <f t="shared" si="101"/>
        <v>42</v>
      </c>
      <c r="I76" s="20">
        <f t="shared" si="102"/>
        <v>1.4</v>
      </c>
      <c r="J76" s="14">
        <f t="shared" ca="1" si="103"/>
        <v>370</v>
      </c>
      <c r="K76" s="20">
        <f t="shared" ca="1" si="104"/>
        <v>12.333333333333334</v>
      </c>
      <c r="L76" s="23" t="str">
        <f t="shared" ca="1" si="105"/>
        <v/>
      </c>
      <c r="M76" s="23" t="str">
        <f t="shared" ca="1" si="106"/>
        <v/>
      </c>
    </row>
    <row r="77" spans="2:13" outlineLevel="1" x14ac:dyDescent="0.45">
      <c r="B77" s="14" t="s">
        <v>182</v>
      </c>
      <c r="C77" s="14" t="s">
        <v>120</v>
      </c>
      <c r="D77" s="19" t="s">
        <v>189</v>
      </c>
      <c r="E77" s="29">
        <v>46517</v>
      </c>
      <c r="F77" s="29">
        <v>46559</v>
      </c>
      <c r="G77" s="29"/>
      <c r="H77" s="14">
        <f t="shared" si="101"/>
        <v>42</v>
      </c>
      <c r="I77" s="20">
        <f t="shared" si="102"/>
        <v>1.4</v>
      </c>
      <c r="J77" s="14">
        <f t="shared" ca="1" si="103"/>
        <v>370</v>
      </c>
      <c r="K77" s="20">
        <f t="shared" ca="1" si="104"/>
        <v>12.333333333333334</v>
      </c>
      <c r="L77" s="23" t="str">
        <f t="shared" ca="1" si="105"/>
        <v/>
      </c>
      <c r="M77" s="23" t="str">
        <f t="shared" ca="1" si="106"/>
        <v/>
      </c>
    </row>
    <row r="78" spans="2:13" outlineLevel="1" x14ac:dyDescent="0.45">
      <c r="B78" s="14" t="s">
        <v>183</v>
      </c>
      <c r="C78" s="14" t="s">
        <v>120</v>
      </c>
      <c r="D78" s="19" t="s">
        <v>190</v>
      </c>
      <c r="E78" s="29">
        <v>46517</v>
      </c>
      <c r="F78" s="29">
        <v>46559</v>
      </c>
      <c r="G78" s="29"/>
      <c r="H78" s="14">
        <f t="shared" si="101"/>
        <v>42</v>
      </c>
      <c r="I78" s="20">
        <f t="shared" si="102"/>
        <v>1.4</v>
      </c>
      <c r="J78" s="14">
        <f t="shared" ca="1" si="103"/>
        <v>370</v>
      </c>
      <c r="K78" s="20">
        <f t="shared" ca="1" si="104"/>
        <v>12.333333333333334</v>
      </c>
      <c r="L78" s="23" t="str">
        <f t="shared" ca="1" si="105"/>
        <v/>
      </c>
      <c r="M78" s="23" t="str">
        <f t="shared" ca="1" si="106"/>
        <v/>
      </c>
    </row>
    <row r="79" spans="2:13" outlineLevel="1" x14ac:dyDescent="0.45">
      <c r="B79" s="14" t="s">
        <v>184</v>
      </c>
      <c r="C79" s="14" t="s">
        <v>120</v>
      </c>
      <c r="D79" s="19" t="s">
        <v>191</v>
      </c>
      <c r="E79" s="29">
        <v>46531</v>
      </c>
      <c r="F79" s="29">
        <v>46573</v>
      </c>
      <c r="G79" s="29"/>
      <c r="H79" s="14">
        <f t="shared" si="101"/>
        <v>42</v>
      </c>
      <c r="I79" s="20">
        <f t="shared" si="102"/>
        <v>1.4</v>
      </c>
      <c r="J79" s="14">
        <f t="shared" ca="1" si="103"/>
        <v>384</v>
      </c>
      <c r="K79" s="20">
        <f t="shared" ca="1" si="104"/>
        <v>12.8</v>
      </c>
      <c r="L79" s="23" t="str">
        <f t="shared" ca="1" si="105"/>
        <v/>
      </c>
      <c r="M79" s="23" t="str">
        <f t="shared" ca="1" si="106"/>
        <v/>
      </c>
    </row>
    <row r="80" spans="2:13" outlineLevel="1" x14ac:dyDescent="0.45">
      <c r="B80" s="15" t="s">
        <v>185</v>
      </c>
      <c r="C80" s="15" t="s">
        <v>120</v>
      </c>
      <c r="D80" s="32" t="s">
        <v>192</v>
      </c>
      <c r="E80" s="30">
        <v>46517</v>
      </c>
      <c r="F80" s="30">
        <v>46559</v>
      </c>
      <c r="G80" s="30"/>
      <c r="H80" s="15">
        <f t="shared" si="101"/>
        <v>42</v>
      </c>
      <c r="I80" s="45">
        <f t="shared" si="102"/>
        <v>1.4</v>
      </c>
      <c r="J80" s="15">
        <f t="shared" ca="1" si="103"/>
        <v>370</v>
      </c>
      <c r="K80" s="45">
        <f t="shared" ca="1" si="104"/>
        <v>12.333333333333334</v>
      </c>
      <c r="L80" s="40" t="str">
        <f t="shared" ca="1" si="105"/>
        <v/>
      </c>
      <c r="M80" s="40" t="str">
        <f t="shared" ca="1" si="106"/>
        <v/>
      </c>
    </row>
    <row r="81" spans="2:13" x14ac:dyDescent="0.45">
      <c r="B81" s="1">
        <v>22</v>
      </c>
      <c r="C81" s="1" t="s">
        <v>50</v>
      </c>
      <c r="D81" t="s">
        <v>178</v>
      </c>
      <c r="E81" s="26">
        <v>46169</v>
      </c>
      <c r="F81" s="26">
        <v>46175</v>
      </c>
      <c r="G81" s="26">
        <v>46506</v>
      </c>
      <c r="H81" s="12">
        <f t="shared" ref="H81" si="107">G81-E81</f>
        <v>337</v>
      </c>
      <c r="I81" s="12">
        <f t="shared" ref="I81" si="108">H81/30</f>
        <v>11.233333333333333</v>
      </c>
      <c r="J81" s="21">
        <f t="shared" ref="J81" ca="1" si="109">IF(E81-$E$1&lt;=0,"",E81-$E$1)</f>
        <v>22</v>
      </c>
      <c r="K81" s="12">
        <f t="shared" ref="K81" ca="1" si="110">IF(J81="","",J81/30)</f>
        <v>0.73333333333333328</v>
      </c>
      <c r="L81" s="21">
        <f t="shared" ref="L81" ca="1" si="111">IF(G81-$E$1&lt;=0,"",G81-$E$1)</f>
        <v>359</v>
      </c>
      <c r="M81" s="21">
        <f t="shared" ref="M81" ca="1" si="112">IF(L81="","",L81/30)</f>
        <v>11.966666666666667</v>
      </c>
    </row>
    <row r="82" spans="2:13" outlineLevel="1" x14ac:dyDescent="0.45">
      <c r="B82" s="33" t="s">
        <v>195</v>
      </c>
      <c r="C82" s="33" t="s">
        <v>120</v>
      </c>
      <c r="D82" s="34" t="s">
        <v>197</v>
      </c>
      <c r="E82" s="35">
        <v>46464</v>
      </c>
      <c r="F82" s="35">
        <v>46506</v>
      </c>
      <c r="G82" s="33"/>
      <c r="H82" s="33">
        <f t="shared" ref="H82" si="113">F82-E82</f>
        <v>42</v>
      </c>
      <c r="I82" s="42">
        <f t="shared" ref="I82" si="114">H82/30</f>
        <v>1.4</v>
      </c>
      <c r="J82" s="33">
        <f t="shared" ref="J82" ca="1" si="115">IF(E82-$E$1&lt;=0,"",E82-$E$1)</f>
        <v>317</v>
      </c>
      <c r="K82" s="42">
        <f t="shared" ref="K82" ca="1" si="116">IF(J82="","",J82/30)</f>
        <v>10.566666666666666</v>
      </c>
      <c r="L82" s="41" t="str">
        <f t="shared" ref="L82" ca="1" si="117">IF(G82-$E$1&lt;=0,"",G82-$E$1)</f>
        <v/>
      </c>
      <c r="M82" s="41" t="str">
        <f t="shared" ref="M82" ca="1" si="118">IF(L82="","",L82/30)</f>
        <v/>
      </c>
    </row>
    <row r="83" spans="2:13" x14ac:dyDescent="0.45">
      <c r="B83" s="1">
        <v>23</v>
      </c>
      <c r="C83" s="1" t="s">
        <v>50</v>
      </c>
      <c r="D83" t="s">
        <v>193</v>
      </c>
      <c r="E83" s="26">
        <v>46408</v>
      </c>
      <c r="F83" s="26">
        <v>46414</v>
      </c>
      <c r="G83" s="26">
        <v>46601</v>
      </c>
      <c r="H83" s="12">
        <f t="shared" ref="H83" si="119">G83-E83</f>
        <v>193</v>
      </c>
      <c r="I83" s="12">
        <f t="shared" ref="I83" si="120">H83/30</f>
        <v>6.4333333333333336</v>
      </c>
      <c r="J83" s="21">
        <f t="shared" ref="J83" ca="1" si="121">IF(E83-$E$1&lt;=0,"",E83-$E$1)</f>
        <v>261</v>
      </c>
      <c r="K83" s="12">
        <f t="shared" ref="K83" ca="1" si="122">IF(J83="","",J83/30)</f>
        <v>8.6999999999999993</v>
      </c>
      <c r="L83" s="21">
        <f t="shared" ref="L83" ca="1" si="123">IF(G83-$E$1&lt;=0,"",G83-$E$1)</f>
        <v>454</v>
      </c>
      <c r="M83" s="21">
        <f t="shared" ref="M83" ca="1" si="124">IF(L83="","",L83/30)</f>
        <v>15.133333333333333</v>
      </c>
    </row>
    <row r="84" spans="2:13" outlineLevel="1" x14ac:dyDescent="0.45">
      <c r="B84" s="33" t="s">
        <v>196</v>
      </c>
      <c r="C84" s="33" t="s">
        <v>120</v>
      </c>
      <c r="D84" s="34" t="s">
        <v>198</v>
      </c>
      <c r="E84" s="35">
        <v>46531</v>
      </c>
      <c r="F84" s="35">
        <v>46601</v>
      </c>
      <c r="G84" s="33"/>
      <c r="H84" s="33">
        <f t="shared" ref="H84" si="125">F84-E84</f>
        <v>70</v>
      </c>
      <c r="I84" s="42">
        <f t="shared" ref="I84" si="126">H84/30</f>
        <v>2.3333333333333335</v>
      </c>
      <c r="J84" s="33">
        <f t="shared" ref="J84" ca="1" si="127">IF(E84-$E$1&lt;=0,"",E84-$E$1)</f>
        <v>384</v>
      </c>
      <c r="K84" s="42">
        <f t="shared" ref="K84" ca="1" si="128">IF(J84="","",J84/30)</f>
        <v>12.8</v>
      </c>
      <c r="L84" s="41" t="str">
        <f t="shared" ref="L84" ca="1" si="129">IF(G84-$E$1&lt;=0,"",G84-$E$1)</f>
        <v/>
      </c>
      <c r="M84" s="41" t="str">
        <f t="shared" ref="M84" ca="1" si="130">IF(L84="","",L84/30)</f>
        <v/>
      </c>
    </row>
    <row r="85" spans="2:13" x14ac:dyDescent="0.45">
      <c r="B85" s="1">
        <v>24</v>
      </c>
      <c r="C85" s="1" t="s">
        <v>50</v>
      </c>
      <c r="D85" t="s">
        <v>194</v>
      </c>
      <c r="E85" s="26">
        <v>46374</v>
      </c>
      <c r="F85" s="26">
        <v>46384</v>
      </c>
      <c r="G85" s="26">
        <v>46559</v>
      </c>
      <c r="H85" s="12">
        <f t="shared" ref="H85" si="131">G85-E85</f>
        <v>185</v>
      </c>
      <c r="I85" s="12">
        <f t="shared" ref="I85" si="132">H85/30</f>
        <v>6.166666666666667</v>
      </c>
      <c r="J85" s="21">
        <f t="shared" ref="J85" ca="1" si="133">IF(E85-$E$1&lt;=0,"",E85-$E$1)</f>
        <v>227</v>
      </c>
      <c r="K85" s="12">
        <f t="shared" ref="K85" ca="1" si="134">IF(J85="","",J85/30)</f>
        <v>7.5666666666666664</v>
      </c>
      <c r="L85" s="21">
        <f t="shared" ref="L85" ca="1" si="135">IF(G85-$E$1&lt;=0,"",G85-$E$1)</f>
        <v>412</v>
      </c>
      <c r="M85" s="21">
        <f t="shared" ref="M85" ca="1" si="136">IF(L85="","",L85/30)</f>
        <v>13.733333333333333</v>
      </c>
    </row>
    <row r="86" spans="2:13" outlineLevel="1" x14ac:dyDescent="0.45">
      <c r="B86" s="33" t="s">
        <v>204</v>
      </c>
      <c r="C86" s="33" t="s">
        <v>120</v>
      </c>
      <c r="D86" s="34" t="s">
        <v>199</v>
      </c>
      <c r="E86" s="35">
        <v>46486</v>
      </c>
      <c r="F86" s="35">
        <v>46559</v>
      </c>
      <c r="G86" s="33"/>
      <c r="H86" s="33">
        <f t="shared" ref="H86" si="137">F86-E86</f>
        <v>73</v>
      </c>
      <c r="I86" s="42">
        <f t="shared" ref="I86" si="138">H86/30</f>
        <v>2.4333333333333331</v>
      </c>
      <c r="J86" s="33">
        <f t="shared" ref="J86" ca="1" si="139">IF(E86-$E$1&lt;=0,"",E86-$E$1)</f>
        <v>339</v>
      </c>
      <c r="K86" s="42">
        <f t="shared" ref="K86" ca="1" si="140">IF(J86="","",J86/30)</f>
        <v>11.3</v>
      </c>
      <c r="L86" s="41" t="str">
        <f t="shared" ref="L86" ca="1" si="141">IF(G86-$E$1&lt;=0,"",G86-$E$1)</f>
        <v/>
      </c>
      <c r="M86" s="41" t="str">
        <f t="shared" ref="M86" ca="1" si="142">IF(L86="","",L86/30)</f>
        <v/>
      </c>
    </row>
    <row r="87" spans="2:13" x14ac:dyDescent="0.45">
      <c r="B87" s="1">
        <v>25</v>
      </c>
      <c r="C87" s="1" t="s">
        <v>50</v>
      </c>
      <c r="D87" t="s">
        <v>200</v>
      </c>
      <c r="E87" s="26">
        <v>46268</v>
      </c>
      <c r="F87" s="26">
        <v>46274</v>
      </c>
      <c r="G87" s="26">
        <v>46514</v>
      </c>
      <c r="H87" s="12">
        <f t="shared" ref="H87" si="143">G87-E87</f>
        <v>246</v>
      </c>
      <c r="I87" s="12">
        <f t="shared" ref="I87" si="144">H87/30</f>
        <v>8.1999999999999993</v>
      </c>
      <c r="J87" s="21">
        <f t="shared" ref="J87" ca="1" si="145">IF(E87-$E$1&lt;=0,"",E87-$E$1)</f>
        <v>121</v>
      </c>
      <c r="K87" s="12">
        <f t="shared" ref="K87" ca="1" si="146">IF(J87="","",J87/30)</f>
        <v>4.0333333333333332</v>
      </c>
      <c r="L87" s="21">
        <f t="shared" ref="L87" ca="1" si="147">IF(G87-$E$1&lt;=0,"",G87-$E$1)</f>
        <v>367</v>
      </c>
      <c r="M87" s="21">
        <f t="shared" ref="M87" ca="1" si="148">IF(L87="","",L87/30)</f>
        <v>12.233333333333333</v>
      </c>
    </row>
    <row r="88" spans="2:13" outlineLevel="1" x14ac:dyDescent="0.45">
      <c r="B88" s="33" t="s">
        <v>205</v>
      </c>
      <c r="C88" s="33" t="s">
        <v>120</v>
      </c>
      <c r="D88" s="34" t="s">
        <v>210</v>
      </c>
      <c r="E88" s="35">
        <v>46471</v>
      </c>
      <c r="F88" s="35">
        <v>46514</v>
      </c>
      <c r="G88" s="33"/>
      <c r="H88" s="33">
        <f t="shared" ref="H88" si="149">F88-E88</f>
        <v>43</v>
      </c>
      <c r="I88" s="42">
        <f t="shared" ref="I88" si="150">H88/30</f>
        <v>1.4333333333333333</v>
      </c>
      <c r="J88" s="33">
        <f t="shared" ref="J88" ca="1" si="151">IF(E88-$E$1&lt;=0,"",E88-$E$1)</f>
        <v>324</v>
      </c>
      <c r="K88" s="42">
        <f t="shared" ref="K88" ca="1" si="152">IF(J88="","",J88/30)</f>
        <v>10.8</v>
      </c>
      <c r="L88" s="41" t="str">
        <f t="shared" ref="L88" ca="1" si="153">IF(G88-$E$1&lt;=0,"",G88-$E$1)</f>
        <v/>
      </c>
      <c r="M88" s="41" t="str">
        <f t="shared" ref="M88" ca="1" si="154">IF(L88="","",L88/30)</f>
        <v/>
      </c>
    </row>
    <row r="89" spans="2:13" x14ac:dyDescent="0.45">
      <c r="B89" s="1">
        <v>26</v>
      </c>
      <c r="C89" s="1" t="s">
        <v>50</v>
      </c>
      <c r="D89" t="s">
        <v>201</v>
      </c>
      <c r="E89" s="26">
        <v>46198</v>
      </c>
      <c r="F89" s="26">
        <v>46204</v>
      </c>
      <c r="G89" s="26">
        <v>46492</v>
      </c>
      <c r="H89" s="12">
        <f t="shared" ref="H89" si="155">G89-E89</f>
        <v>294</v>
      </c>
      <c r="I89" s="12">
        <f t="shared" ref="I89" si="156">H89/30</f>
        <v>9.8000000000000007</v>
      </c>
      <c r="J89" s="21">
        <f t="shared" ref="J89" ca="1" si="157">IF(E89-$E$1&lt;=0,"",E89-$E$1)</f>
        <v>51</v>
      </c>
      <c r="K89" s="12">
        <f t="shared" ref="K89" ca="1" si="158">IF(J89="","",J89/30)</f>
        <v>1.7</v>
      </c>
      <c r="L89" s="21">
        <f t="shared" ref="L89" ca="1" si="159">IF(G89-$E$1&lt;=0,"",G89-$E$1)</f>
        <v>345</v>
      </c>
      <c r="M89" s="21">
        <f t="shared" ref="M89" ca="1" si="160">IF(L89="","",L89/30)</f>
        <v>11.5</v>
      </c>
    </row>
    <row r="90" spans="2:13" outlineLevel="1" x14ac:dyDescent="0.45">
      <c r="B90" s="33" t="s">
        <v>206</v>
      </c>
      <c r="C90" s="33" t="s">
        <v>120</v>
      </c>
      <c r="D90" s="34" t="s">
        <v>211</v>
      </c>
      <c r="E90" s="35">
        <v>46450</v>
      </c>
      <c r="F90" s="35">
        <v>46492</v>
      </c>
      <c r="G90" s="33"/>
      <c r="H90" s="33">
        <f t="shared" ref="H90" si="161">F90-E90</f>
        <v>42</v>
      </c>
      <c r="I90" s="42">
        <f t="shared" ref="I90" si="162">H90/30</f>
        <v>1.4</v>
      </c>
      <c r="J90" s="33">
        <f t="shared" ref="J90" ca="1" si="163">IF(E90-$E$1&lt;=0,"",E90-$E$1)</f>
        <v>303</v>
      </c>
      <c r="K90" s="42">
        <f t="shared" ref="K90" ca="1" si="164">IF(J90="","",J90/30)</f>
        <v>10.1</v>
      </c>
      <c r="L90" s="41" t="str">
        <f t="shared" ref="L90" ca="1" si="165">IF(G90-$E$1&lt;=0,"",G90-$E$1)</f>
        <v/>
      </c>
      <c r="M90" s="41" t="str">
        <f t="shared" ref="M90" ca="1" si="166">IF(L90="","",L90/30)</f>
        <v/>
      </c>
    </row>
    <row r="91" spans="2:13" x14ac:dyDescent="0.45">
      <c r="B91" s="1">
        <v>27</v>
      </c>
      <c r="C91" s="1" t="s">
        <v>50</v>
      </c>
      <c r="D91" t="s">
        <v>202</v>
      </c>
      <c r="E91" s="26">
        <v>46268</v>
      </c>
      <c r="F91" s="26">
        <v>46274</v>
      </c>
      <c r="G91" s="26">
        <v>46538</v>
      </c>
      <c r="H91" s="12">
        <f t="shared" ref="H91" si="167">G91-E91</f>
        <v>270</v>
      </c>
      <c r="I91" s="12">
        <f t="shared" ref="I91" si="168">H91/30</f>
        <v>9</v>
      </c>
      <c r="J91" s="21">
        <f t="shared" ref="J91" ca="1" si="169">IF(E91-$E$1&lt;=0,"",E91-$E$1)</f>
        <v>121</v>
      </c>
      <c r="K91" s="12">
        <f t="shared" ref="K91" ca="1" si="170">IF(J91="","",J91/30)</f>
        <v>4.0333333333333332</v>
      </c>
      <c r="L91" s="21">
        <f t="shared" ref="L91" ca="1" si="171">IF(G91-$E$1&lt;=0,"",G91-$E$1)</f>
        <v>391</v>
      </c>
      <c r="M91" s="21">
        <f t="shared" ref="M91" ca="1" si="172">IF(L91="","",L91/30)</f>
        <v>13.033333333333333</v>
      </c>
    </row>
    <row r="92" spans="2:13" outlineLevel="1" x14ac:dyDescent="0.45">
      <c r="B92" s="13" t="s">
        <v>207</v>
      </c>
      <c r="C92" s="13" t="s">
        <v>120</v>
      </c>
      <c r="D92" s="37" t="s">
        <v>212</v>
      </c>
      <c r="E92" s="31">
        <v>46493</v>
      </c>
      <c r="F92" s="31">
        <v>46538</v>
      </c>
      <c r="G92" s="16"/>
      <c r="H92" s="16">
        <f t="shared" ref="H92:H93" si="173">F92-E92</f>
        <v>45</v>
      </c>
      <c r="I92" s="16">
        <f t="shared" ref="I92:I93" si="174">H92/30</f>
        <v>1.5</v>
      </c>
      <c r="J92" s="16">
        <f t="shared" ref="J92:J93" ca="1" si="175">IF(E92-$E$1&lt;=0,"",E92-$E$1)</f>
        <v>346</v>
      </c>
      <c r="K92" s="16">
        <f t="shared" ref="K92:K93" ca="1" si="176">IF(J92="","",J92/30)</f>
        <v>11.533333333333333</v>
      </c>
      <c r="L92" s="16" t="str">
        <f t="shared" ref="L92:L93" ca="1" si="177">IF(G92-$E$1&lt;=0,"",G92-$E$1)</f>
        <v/>
      </c>
      <c r="M92" s="16" t="str">
        <f t="shared" ref="M92:M93" ca="1" si="178">IF(L92="","",L92/30)</f>
        <v/>
      </c>
    </row>
    <row r="93" spans="2:13" outlineLevel="1" x14ac:dyDescent="0.45">
      <c r="B93" s="30" t="s">
        <v>208</v>
      </c>
      <c r="C93" s="30" t="s">
        <v>120</v>
      </c>
      <c r="D93" s="38" t="s">
        <v>213</v>
      </c>
      <c r="E93" s="30">
        <v>46493</v>
      </c>
      <c r="F93" s="30">
        <v>46538</v>
      </c>
      <c r="G93" s="18"/>
      <c r="H93" s="18">
        <f t="shared" si="173"/>
        <v>45</v>
      </c>
      <c r="I93" s="18">
        <f t="shared" si="174"/>
        <v>1.5</v>
      </c>
      <c r="J93" s="18">
        <f t="shared" ca="1" si="175"/>
        <v>346</v>
      </c>
      <c r="K93" s="18">
        <f t="shared" ca="1" si="176"/>
        <v>11.533333333333333</v>
      </c>
      <c r="L93" s="18" t="str">
        <f t="shared" ca="1" si="177"/>
        <v/>
      </c>
      <c r="M93" s="18" t="str">
        <f t="shared" ca="1" si="178"/>
        <v/>
      </c>
    </row>
    <row r="94" spans="2:13" x14ac:dyDescent="0.45">
      <c r="B94" s="1">
        <v>28</v>
      </c>
      <c r="C94" s="1" t="s">
        <v>50</v>
      </c>
      <c r="D94" t="s">
        <v>203</v>
      </c>
      <c r="E94" s="26">
        <v>46184</v>
      </c>
      <c r="F94" s="26">
        <v>46190</v>
      </c>
      <c r="G94" s="26">
        <v>46506</v>
      </c>
      <c r="H94" s="12">
        <f t="shared" ref="H94" si="179">G94-E94</f>
        <v>322</v>
      </c>
      <c r="I94" s="12">
        <f t="shared" ref="I94:I102" si="180">H94/30</f>
        <v>10.733333333333333</v>
      </c>
      <c r="J94" s="21">
        <f t="shared" ref="J94:J102" ca="1" si="181">IF(E94-$E$1&lt;=0,"",E94-$E$1)</f>
        <v>37</v>
      </c>
      <c r="K94" s="12">
        <f t="shared" ref="K94:K102" ca="1" si="182">IF(J94="","",J94/30)</f>
        <v>1.2333333333333334</v>
      </c>
      <c r="L94" s="21">
        <f t="shared" ref="L94:L102" ca="1" si="183">IF(G94-$E$1&lt;=0,"",G94-$E$1)</f>
        <v>359</v>
      </c>
      <c r="M94" s="21">
        <f t="shared" ref="M94:M102" ca="1" si="184">IF(L94="","",L94/30)</f>
        <v>11.966666666666667</v>
      </c>
    </row>
    <row r="95" spans="2:13" outlineLevel="1" x14ac:dyDescent="0.45">
      <c r="B95" s="13" t="s">
        <v>209</v>
      </c>
      <c r="C95" s="13" t="s">
        <v>120</v>
      </c>
      <c r="D95" s="37" t="s">
        <v>221</v>
      </c>
      <c r="E95" s="31">
        <v>46464</v>
      </c>
      <c r="F95" s="31">
        <v>46506</v>
      </c>
      <c r="G95" s="13"/>
      <c r="H95" s="13">
        <f t="shared" ref="H95:H102" si="185">F95-E95</f>
        <v>42</v>
      </c>
      <c r="I95" s="43">
        <f t="shared" si="180"/>
        <v>1.4</v>
      </c>
      <c r="J95" s="13">
        <f t="shared" ca="1" si="181"/>
        <v>317</v>
      </c>
      <c r="K95" s="43">
        <f t="shared" ca="1" si="182"/>
        <v>10.566666666666666</v>
      </c>
      <c r="L95" s="39" t="str">
        <f t="shared" ca="1" si="183"/>
        <v/>
      </c>
      <c r="M95" s="39" t="str">
        <f t="shared" ca="1" si="184"/>
        <v/>
      </c>
    </row>
    <row r="96" spans="2:13" outlineLevel="1" x14ac:dyDescent="0.45">
      <c r="B96" s="14" t="s">
        <v>214</v>
      </c>
      <c r="C96" s="14" t="s">
        <v>120</v>
      </c>
      <c r="D96" s="19" t="s">
        <v>222</v>
      </c>
      <c r="E96" s="29">
        <v>46422</v>
      </c>
      <c r="F96" s="29">
        <v>46463</v>
      </c>
      <c r="G96" s="29"/>
      <c r="H96" s="14">
        <f t="shared" si="185"/>
        <v>41</v>
      </c>
      <c r="I96" s="20">
        <f t="shared" si="180"/>
        <v>1.3666666666666667</v>
      </c>
      <c r="J96" s="14">
        <f t="shared" ca="1" si="181"/>
        <v>275</v>
      </c>
      <c r="K96" s="20">
        <f t="shared" ca="1" si="182"/>
        <v>9.1666666666666661</v>
      </c>
      <c r="L96" s="23" t="str">
        <f t="shared" ca="1" si="183"/>
        <v/>
      </c>
      <c r="M96" s="23" t="str">
        <f t="shared" ca="1" si="184"/>
        <v/>
      </c>
    </row>
    <row r="97" spans="2:13" outlineLevel="1" x14ac:dyDescent="0.45">
      <c r="B97" s="14" t="s">
        <v>215</v>
      </c>
      <c r="C97" s="14" t="s">
        <v>120</v>
      </c>
      <c r="D97" s="19" t="s">
        <v>223</v>
      </c>
      <c r="E97" s="29">
        <v>46394</v>
      </c>
      <c r="F97" s="29">
        <v>46435</v>
      </c>
      <c r="G97" s="14"/>
      <c r="H97" s="14">
        <f t="shared" si="185"/>
        <v>41</v>
      </c>
      <c r="I97" s="20">
        <f t="shared" si="180"/>
        <v>1.3666666666666667</v>
      </c>
      <c r="J97" s="14">
        <f t="shared" ca="1" si="181"/>
        <v>247</v>
      </c>
      <c r="K97" s="20">
        <f t="shared" ca="1" si="182"/>
        <v>8.2333333333333325</v>
      </c>
      <c r="L97" s="23" t="str">
        <f t="shared" ca="1" si="183"/>
        <v/>
      </c>
      <c r="M97" s="23" t="str">
        <f t="shared" ca="1" si="184"/>
        <v/>
      </c>
    </row>
    <row r="98" spans="2:13" outlineLevel="1" x14ac:dyDescent="0.45">
      <c r="B98" s="14" t="s">
        <v>216</v>
      </c>
      <c r="C98" s="14" t="s">
        <v>120</v>
      </c>
      <c r="D98" s="19" t="s">
        <v>224</v>
      </c>
      <c r="E98" s="29">
        <v>46422</v>
      </c>
      <c r="F98" s="29">
        <v>46463</v>
      </c>
      <c r="G98" s="14"/>
      <c r="H98" s="14">
        <f t="shared" si="185"/>
        <v>41</v>
      </c>
      <c r="I98" s="20">
        <f t="shared" si="180"/>
        <v>1.3666666666666667</v>
      </c>
      <c r="J98" s="14">
        <f t="shared" ca="1" si="181"/>
        <v>275</v>
      </c>
      <c r="K98" s="20">
        <f t="shared" ca="1" si="182"/>
        <v>9.1666666666666661</v>
      </c>
      <c r="L98" s="23" t="str">
        <f t="shared" ca="1" si="183"/>
        <v/>
      </c>
      <c r="M98" s="23" t="str">
        <f t="shared" ca="1" si="184"/>
        <v/>
      </c>
    </row>
    <row r="99" spans="2:13" outlineLevel="1" x14ac:dyDescent="0.45">
      <c r="B99" s="14" t="s">
        <v>217</v>
      </c>
      <c r="C99" s="14" t="s">
        <v>120</v>
      </c>
      <c r="D99" s="19" t="s">
        <v>225</v>
      </c>
      <c r="E99" s="29">
        <v>46422</v>
      </c>
      <c r="F99" s="29">
        <v>46463</v>
      </c>
      <c r="G99" s="14"/>
      <c r="H99" s="14">
        <f t="shared" si="185"/>
        <v>41</v>
      </c>
      <c r="I99" s="20">
        <f t="shared" si="180"/>
        <v>1.3666666666666667</v>
      </c>
      <c r="J99" s="14">
        <f t="shared" ca="1" si="181"/>
        <v>275</v>
      </c>
      <c r="K99" s="20">
        <f t="shared" ca="1" si="182"/>
        <v>9.1666666666666661</v>
      </c>
      <c r="L99" s="23" t="str">
        <f t="shared" ca="1" si="183"/>
        <v/>
      </c>
      <c r="M99" s="23" t="str">
        <f t="shared" ca="1" si="184"/>
        <v/>
      </c>
    </row>
    <row r="100" spans="2:13" outlineLevel="1" x14ac:dyDescent="0.45">
      <c r="B100" s="14" t="s">
        <v>218</v>
      </c>
      <c r="C100" s="14" t="s">
        <v>120</v>
      </c>
      <c r="D100" s="19" t="s">
        <v>226</v>
      </c>
      <c r="E100" s="29">
        <v>46394</v>
      </c>
      <c r="F100" s="29">
        <v>46435</v>
      </c>
      <c r="G100" s="14"/>
      <c r="H100" s="14">
        <f t="shared" si="185"/>
        <v>41</v>
      </c>
      <c r="I100" s="20">
        <f t="shared" si="180"/>
        <v>1.3666666666666667</v>
      </c>
      <c r="J100" s="14">
        <f t="shared" ca="1" si="181"/>
        <v>247</v>
      </c>
      <c r="K100" s="20">
        <f t="shared" ca="1" si="182"/>
        <v>8.2333333333333325</v>
      </c>
      <c r="L100" s="23" t="str">
        <f t="shared" ca="1" si="183"/>
        <v/>
      </c>
      <c r="M100" s="23" t="str">
        <f t="shared" ca="1" si="184"/>
        <v/>
      </c>
    </row>
    <row r="101" spans="2:13" outlineLevel="1" x14ac:dyDescent="0.45">
      <c r="B101" s="14" t="s">
        <v>219</v>
      </c>
      <c r="C101" s="14" t="s">
        <v>120</v>
      </c>
      <c r="D101" s="19" t="s">
        <v>227</v>
      </c>
      <c r="E101" s="29">
        <v>46394</v>
      </c>
      <c r="F101" s="29">
        <v>46435</v>
      </c>
      <c r="G101" s="14"/>
      <c r="H101" s="14">
        <f t="shared" si="185"/>
        <v>41</v>
      </c>
      <c r="I101" s="20">
        <f t="shared" si="180"/>
        <v>1.3666666666666667</v>
      </c>
      <c r="J101" s="14">
        <f t="shared" ca="1" si="181"/>
        <v>247</v>
      </c>
      <c r="K101" s="20">
        <f t="shared" ca="1" si="182"/>
        <v>8.2333333333333325</v>
      </c>
      <c r="L101" s="23" t="str">
        <f t="shared" ca="1" si="183"/>
        <v/>
      </c>
      <c r="M101" s="23" t="str">
        <f t="shared" ca="1" si="184"/>
        <v/>
      </c>
    </row>
    <row r="102" spans="2:13" outlineLevel="1" x14ac:dyDescent="0.45">
      <c r="B102" s="15" t="s">
        <v>220</v>
      </c>
      <c r="C102" s="15" t="s">
        <v>120</v>
      </c>
      <c r="D102" s="32" t="s">
        <v>228</v>
      </c>
      <c r="E102" s="30">
        <v>46394</v>
      </c>
      <c r="F102" s="30">
        <v>46435</v>
      </c>
      <c r="G102" s="15"/>
      <c r="H102" s="15">
        <f t="shared" si="185"/>
        <v>41</v>
      </c>
      <c r="I102" s="45">
        <f t="shared" si="180"/>
        <v>1.3666666666666667</v>
      </c>
      <c r="J102" s="15">
        <f t="shared" ca="1" si="181"/>
        <v>247</v>
      </c>
      <c r="K102" s="45">
        <f t="shared" ca="1" si="182"/>
        <v>8.2333333333333325</v>
      </c>
      <c r="L102" s="40" t="str">
        <f t="shared" ca="1" si="183"/>
        <v/>
      </c>
      <c r="M102" s="40" t="str">
        <f t="shared" ca="1" si="184"/>
        <v/>
      </c>
    </row>
    <row r="103" spans="2:13" x14ac:dyDescent="0.45">
      <c r="B103" s="1">
        <v>29</v>
      </c>
      <c r="C103" s="1" t="s">
        <v>50</v>
      </c>
      <c r="D103" t="s">
        <v>229</v>
      </c>
      <c r="E103" s="26">
        <v>46282</v>
      </c>
      <c r="F103" s="26">
        <v>46288</v>
      </c>
      <c r="G103" s="26">
        <v>46456</v>
      </c>
      <c r="H103" s="12">
        <f t="shared" ref="H103" si="186">G103-E103</f>
        <v>174</v>
      </c>
      <c r="I103" s="12">
        <f t="shared" ref="I103:I104" si="187">H103/30</f>
        <v>5.8</v>
      </c>
      <c r="J103" s="21">
        <f t="shared" ref="J103:J104" ca="1" si="188">IF(E103-$E$1&lt;=0,"",E103-$E$1)</f>
        <v>135</v>
      </c>
      <c r="K103" s="12">
        <f t="shared" ref="K103:K104" ca="1" si="189">IF(J103="","",J103/30)</f>
        <v>4.5</v>
      </c>
      <c r="L103" s="21">
        <f t="shared" ref="L103:L104" ca="1" si="190">IF(G103-$E$1&lt;=0,"",G103-$E$1)</f>
        <v>309</v>
      </c>
      <c r="M103" s="21">
        <f t="shared" ref="M103:M104" ca="1" si="191">IF(L103="","",L103/30)</f>
        <v>10.3</v>
      </c>
    </row>
    <row r="104" spans="2:13" s="19" customFormat="1" outlineLevel="1" x14ac:dyDescent="0.45">
      <c r="B104" s="33" t="s">
        <v>233</v>
      </c>
      <c r="C104" s="33" t="s">
        <v>120</v>
      </c>
      <c r="D104" s="34" t="s">
        <v>237</v>
      </c>
      <c r="E104" s="35">
        <v>46415</v>
      </c>
      <c r="F104" s="35">
        <v>46456</v>
      </c>
      <c r="G104" s="33"/>
      <c r="H104" s="42">
        <f t="shared" ref="H104" si="192">F104-E104</f>
        <v>41</v>
      </c>
      <c r="I104" s="42">
        <f t="shared" si="187"/>
        <v>1.3666666666666667</v>
      </c>
      <c r="J104" s="41">
        <f t="shared" ca="1" si="188"/>
        <v>268</v>
      </c>
      <c r="K104" s="42">
        <f t="shared" ca="1" si="189"/>
        <v>8.9333333333333336</v>
      </c>
      <c r="L104" s="41" t="str">
        <f t="shared" ca="1" si="190"/>
        <v/>
      </c>
      <c r="M104" s="41" t="str">
        <f t="shared" ca="1" si="191"/>
        <v/>
      </c>
    </row>
    <row r="105" spans="2:13" x14ac:dyDescent="0.45">
      <c r="B105" s="1">
        <v>30</v>
      </c>
      <c r="C105" s="1" t="s">
        <v>50</v>
      </c>
      <c r="D105" t="s">
        <v>230</v>
      </c>
      <c r="E105" s="26">
        <v>46282</v>
      </c>
      <c r="F105" s="26">
        <v>46288</v>
      </c>
      <c r="G105" s="26">
        <v>46478</v>
      </c>
      <c r="H105" s="12">
        <f t="shared" ref="H105" si="193">G105-E105</f>
        <v>196</v>
      </c>
      <c r="I105" s="12">
        <f t="shared" ref="I105:I106" si="194">H105/30</f>
        <v>6.5333333333333332</v>
      </c>
      <c r="J105" s="21">
        <f t="shared" ref="J105:J106" ca="1" si="195">IF(E105-$E$1&lt;=0,"",E105-$E$1)</f>
        <v>135</v>
      </c>
      <c r="K105" s="12">
        <f t="shared" ref="K105:K106" ca="1" si="196">IF(J105="","",J105/30)</f>
        <v>4.5</v>
      </c>
      <c r="L105" s="21">
        <f t="shared" ref="L105:L106" ca="1" si="197">IF(G105-$E$1&lt;=0,"",G105-$E$1)</f>
        <v>331</v>
      </c>
      <c r="M105" s="21">
        <f t="shared" ref="M105:M106" ca="1" si="198">IF(L105="","",L105/30)</f>
        <v>11.033333333333333</v>
      </c>
    </row>
    <row r="106" spans="2:13" s="19" customFormat="1" outlineLevel="1" x14ac:dyDescent="0.45">
      <c r="B106" s="33" t="s">
        <v>234</v>
      </c>
      <c r="C106" s="33" t="s">
        <v>120</v>
      </c>
      <c r="D106" s="34" t="s">
        <v>238</v>
      </c>
      <c r="E106" s="35">
        <v>46436</v>
      </c>
      <c r="F106" s="35">
        <v>46478</v>
      </c>
      <c r="G106" s="33"/>
      <c r="H106" s="42">
        <f t="shared" ref="H106" si="199">F106-E106</f>
        <v>42</v>
      </c>
      <c r="I106" s="42">
        <f t="shared" si="194"/>
        <v>1.4</v>
      </c>
      <c r="J106" s="41">
        <f t="shared" ca="1" si="195"/>
        <v>289</v>
      </c>
      <c r="K106" s="42">
        <f t="shared" ca="1" si="196"/>
        <v>9.6333333333333329</v>
      </c>
      <c r="L106" s="41" t="str">
        <f t="shared" ca="1" si="197"/>
        <v/>
      </c>
      <c r="M106" s="41" t="str">
        <f t="shared" ca="1" si="198"/>
        <v/>
      </c>
    </row>
    <row r="107" spans="2:13" x14ac:dyDescent="0.45">
      <c r="B107" s="1">
        <v>31</v>
      </c>
      <c r="C107" s="1" t="s">
        <v>50</v>
      </c>
      <c r="D107" t="s">
        <v>231</v>
      </c>
      <c r="E107" s="26">
        <v>46282</v>
      </c>
      <c r="F107" s="26">
        <v>46288</v>
      </c>
      <c r="G107" s="26">
        <v>46478</v>
      </c>
      <c r="H107" s="12">
        <f t="shared" ref="H107" si="200">G107-E107</f>
        <v>196</v>
      </c>
      <c r="I107" s="12">
        <f t="shared" ref="I107:I108" si="201">H107/30</f>
        <v>6.5333333333333332</v>
      </c>
      <c r="J107" s="21">
        <f t="shared" ref="J107:J108" ca="1" si="202">IF(E107-$E$1&lt;=0,"",E107-$E$1)</f>
        <v>135</v>
      </c>
      <c r="K107" s="12">
        <f t="shared" ref="K107:K108" ca="1" si="203">IF(J107="","",J107/30)</f>
        <v>4.5</v>
      </c>
      <c r="L107" s="21">
        <f t="shared" ref="L107:L108" ca="1" si="204">IF(G107-$E$1&lt;=0,"",G107-$E$1)</f>
        <v>331</v>
      </c>
      <c r="M107" s="21">
        <f t="shared" ref="M107:M108" ca="1" si="205">IF(L107="","",L107/30)</f>
        <v>11.033333333333333</v>
      </c>
    </row>
    <row r="108" spans="2:13" s="19" customFormat="1" outlineLevel="1" x14ac:dyDescent="0.45">
      <c r="B108" s="33" t="s">
        <v>235</v>
      </c>
      <c r="C108" s="33" t="s">
        <v>120</v>
      </c>
      <c r="D108" s="34" t="s">
        <v>239</v>
      </c>
      <c r="E108" s="35">
        <v>46436</v>
      </c>
      <c r="F108" s="35">
        <v>46478</v>
      </c>
      <c r="G108" s="33"/>
      <c r="H108" s="42">
        <f t="shared" ref="H108" si="206">F108-E108</f>
        <v>42</v>
      </c>
      <c r="I108" s="42">
        <f t="shared" si="201"/>
        <v>1.4</v>
      </c>
      <c r="J108" s="41">
        <f t="shared" ca="1" si="202"/>
        <v>289</v>
      </c>
      <c r="K108" s="42">
        <f t="shared" ca="1" si="203"/>
        <v>9.6333333333333329</v>
      </c>
      <c r="L108" s="41" t="str">
        <f t="shared" ca="1" si="204"/>
        <v/>
      </c>
      <c r="M108" s="41" t="str">
        <f t="shared" ca="1" si="205"/>
        <v/>
      </c>
    </row>
    <row r="109" spans="2:13" x14ac:dyDescent="0.45">
      <c r="B109" s="1">
        <v>32</v>
      </c>
      <c r="C109" s="1" t="s">
        <v>50</v>
      </c>
      <c r="D109" t="s">
        <v>232</v>
      </c>
      <c r="E109" s="26">
        <v>46282</v>
      </c>
      <c r="F109" s="26">
        <v>46288</v>
      </c>
      <c r="G109" s="26">
        <v>46478</v>
      </c>
      <c r="H109" s="12">
        <f t="shared" ref="H109" si="207">G109-E109</f>
        <v>196</v>
      </c>
      <c r="I109" s="12">
        <f t="shared" ref="I109:I110" si="208">H109/30</f>
        <v>6.5333333333333332</v>
      </c>
      <c r="J109" s="21">
        <f t="shared" ref="J109:J110" ca="1" si="209">IF(E109-$E$1&lt;=0,"",E109-$E$1)</f>
        <v>135</v>
      </c>
      <c r="K109" s="12">
        <f t="shared" ref="K109:K110" ca="1" si="210">IF(J109="","",J109/30)</f>
        <v>4.5</v>
      </c>
      <c r="L109" s="21">
        <f t="shared" ref="L109:L110" ca="1" si="211">IF(G109-$E$1&lt;=0,"",G109-$E$1)</f>
        <v>331</v>
      </c>
      <c r="M109" s="21">
        <f t="shared" ref="M109:M110" ca="1" si="212">IF(L109="","",L109/30)</f>
        <v>11.033333333333333</v>
      </c>
    </row>
    <row r="110" spans="2:13" s="19" customFormat="1" outlineLevel="1" x14ac:dyDescent="0.45">
      <c r="B110" s="33" t="s">
        <v>236</v>
      </c>
      <c r="C110" s="33" t="s">
        <v>120</v>
      </c>
      <c r="D110" s="34" t="s">
        <v>240</v>
      </c>
      <c r="E110" s="35">
        <v>46436</v>
      </c>
      <c r="F110" s="35">
        <v>46478</v>
      </c>
      <c r="G110" s="33"/>
      <c r="H110" s="42">
        <f t="shared" ref="H110" si="213">F110-E110</f>
        <v>42</v>
      </c>
      <c r="I110" s="42">
        <f t="shared" si="208"/>
        <v>1.4</v>
      </c>
      <c r="J110" s="41">
        <f t="shared" ca="1" si="209"/>
        <v>289</v>
      </c>
      <c r="K110" s="42">
        <f t="shared" ca="1" si="210"/>
        <v>9.6333333333333329</v>
      </c>
      <c r="L110" s="41" t="str">
        <f t="shared" ca="1" si="211"/>
        <v/>
      </c>
      <c r="M110" s="41" t="str">
        <f t="shared" ca="1" si="212"/>
        <v/>
      </c>
    </row>
    <row r="111" spans="2:13" x14ac:dyDescent="0.45">
      <c r="B111" s="1">
        <v>33</v>
      </c>
      <c r="C111" s="1" t="s">
        <v>50</v>
      </c>
      <c r="D111" t="s">
        <v>241</v>
      </c>
      <c r="E111" s="26">
        <v>46184</v>
      </c>
      <c r="F111" s="26">
        <v>46190</v>
      </c>
      <c r="G111" s="26">
        <v>46421</v>
      </c>
      <c r="H111" s="12">
        <f t="shared" ref="H111" si="214">G111-E111</f>
        <v>237</v>
      </c>
      <c r="I111" s="12">
        <f t="shared" ref="I111:I112" si="215">H111/30</f>
        <v>7.9</v>
      </c>
      <c r="J111" s="21">
        <f t="shared" ref="J111:J112" ca="1" si="216">IF(E111-$E$1&lt;=0,"",E111-$E$1)</f>
        <v>37</v>
      </c>
      <c r="K111" s="12">
        <f t="shared" ref="K111:K112" ca="1" si="217">IF(J111="","",J111/30)</f>
        <v>1.2333333333333334</v>
      </c>
      <c r="L111" s="21">
        <f t="shared" ref="L111:L112" ca="1" si="218">IF(G111-$E$1&lt;=0,"",G111-$E$1)</f>
        <v>274</v>
      </c>
      <c r="M111" s="21">
        <f t="shared" ref="M111:M112" ca="1" si="219">IF(L111="","",L111/30)</f>
        <v>9.1333333333333329</v>
      </c>
    </row>
    <row r="112" spans="2:13" outlineLevel="1" x14ac:dyDescent="0.45">
      <c r="B112" s="33" t="s">
        <v>248</v>
      </c>
      <c r="C112" s="33" t="s">
        <v>120</v>
      </c>
      <c r="D112" s="34" t="s">
        <v>253</v>
      </c>
      <c r="E112" s="35">
        <v>46374</v>
      </c>
      <c r="F112" s="35">
        <v>46421</v>
      </c>
      <c r="G112" s="35"/>
      <c r="H112" s="42">
        <f t="shared" ref="H112" si="220">F112-E112</f>
        <v>47</v>
      </c>
      <c r="I112" s="42">
        <f t="shared" si="215"/>
        <v>1.5666666666666667</v>
      </c>
      <c r="J112" s="41">
        <f t="shared" ca="1" si="216"/>
        <v>227</v>
      </c>
      <c r="K112" s="42">
        <f t="shared" ca="1" si="217"/>
        <v>7.5666666666666664</v>
      </c>
      <c r="L112" s="41" t="str">
        <f t="shared" ca="1" si="218"/>
        <v/>
      </c>
      <c r="M112" s="41" t="str">
        <f t="shared" ca="1" si="219"/>
        <v/>
      </c>
    </row>
    <row r="113" spans="2:13" x14ac:dyDescent="0.45">
      <c r="B113" s="1">
        <v>34</v>
      </c>
      <c r="C113" s="1" t="s">
        <v>50</v>
      </c>
      <c r="D113" t="s">
        <v>242</v>
      </c>
      <c r="E113" s="26">
        <v>46155</v>
      </c>
      <c r="F113" s="26">
        <v>46161</v>
      </c>
      <c r="G113" s="26">
        <v>46400</v>
      </c>
      <c r="H113" s="12">
        <f t="shared" ref="H113" si="221">G113-E113</f>
        <v>245</v>
      </c>
      <c r="I113" s="12">
        <f t="shared" ref="I113:I114" si="222">H113/30</f>
        <v>8.1666666666666661</v>
      </c>
      <c r="J113" s="21">
        <f t="shared" ref="J113:J114" ca="1" si="223">IF(E113-$E$1&lt;=0,"",E113-$E$1)</f>
        <v>8</v>
      </c>
      <c r="K113" s="12">
        <f t="shared" ref="K113:K114" ca="1" si="224">IF(J113="","",J113/30)</f>
        <v>0.26666666666666666</v>
      </c>
      <c r="L113" s="21">
        <f t="shared" ref="L113:L114" ca="1" si="225">IF(G113-$E$1&lt;=0,"",G113-$E$1)</f>
        <v>253</v>
      </c>
      <c r="M113" s="21">
        <f t="shared" ref="M113:M114" ca="1" si="226">IF(L113="","",L113/30)</f>
        <v>8.4333333333333336</v>
      </c>
    </row>
    <row r="114" spans="2:13" outlineLevel="1" x14ac:dyDescent="0.45">
      <c r="B114" s="33" t="s">
        <v>249</v>
      </c>
      <c r="C114" s="33" t="s">
        <v>120</v>
      </c>
      <c r="D114" s="34" t="s">
        <v>254</v>
      </c>
      <c r="E114" s="35">
        <v>46353</v>
      </c>
      <c r="F114" s="35">
        <v>46400</v>
      </c>
      <c r="G114" s="33"/>
      <c r="H114" s="42">
        <f t="shared" ref="H114" si="227">F114-E114</f>
        <v>47</v>
      </c>
      <c r="I114" s="42">
        <f t="shared" si="222"/>
        <v>1.5666666666666667</v>
      </c>
      <c r="J114" s="41">
        <f t="shared" ca="1" si="223"/>
        <v>206</v>
      </c>
      <c r="K114" s="42">
        <f t="shared" ca="1" si="224"/>
        <v>6.8666666666666663</v>
      </c>
      <c r="L114" s="41" t="str">
        <f t="shared" ca="1" si="225"/>
        <v/>
      </c>
      <c r="M114" s="41" t="str">
        <f t="shared" ca="1" si="226"/>
        <v/>
      </c>
    </row>
    <row r="115" spans="2:13" x14ac:dyDescent="0.45">
      <c r="B115" s="1">
        <v>35</v>
      </c>
      <c r="C115" s="1" t="s">
        <v>50</v>
      </c>
      <c r="D115" t="s">
        <v>243</v>
      </c>
      <c r="E115" s="26">
        <v>46339</v>
      </c>
      <c r="F115" s="26">
        <v>46345</v>
      </c>
      <c r="G115" s="26">
        <v>46384</v>
      </c>
      <c r="H115" s="12">
        <f t="shared" ref="H115" si="228">G115-E115</f>
        <v>45</v>
      </c>
      <c r="I115" s="12">
        <f t="shared" ref="I115" si="229">H115/30</f>
        <v>1.5</v>
      </c>
      <c r="J115" s="21">
        <f t="shared" ref="J115" ca="1" si="230">IF(E115-$E$1&lt;=0,"",E115-$E$1)</f>
        <v>192</v>
      </c>
      <c r="K115" s="12">
        <f t="shared" ref="K115" ca="1" si="231">IF(J115="","",J115/30)</f>
        <v>6.4</v>
      </c>
      <c r="L115" s="21">
        <f t="shared" ref="L115" ca="1" si="232">IF(G115-$E$1&lt;=0,"",G115-$E$1)</f>
        <v>237</v>
      </c>
      <c r="M115" s="21">
        <f t="shared" ref="M115" ca="1" si="233">IF(L115="","",L115/30)</f>
        <v>7.9</v>
      </c>
    </row>
    <row r="116" spans="2:13" x14ac:dyDescent="0.45">
      <c r="B116" s="1">
        <v>36</v>
      </c>
      <c r="C116" s="1" t="s">
        <v>50</v>
      </c>
      <c r="D116" t="s">
        <v>244</v>
      </c>
      <c r="E116" s="26">
        <v>46169</v>
      </c>
      <c r="F116" s="26">
        <v>46175</v>
      </c>
      <c r="G116" s="26">
        <v>46463</v>
      </c>
      <c r="H116" s="12">
        <f t="shared" ref="H116" si="234">G116-E116</f>
        <v>294</v>
      </c>
      <c r="I116" s="12">
        <f t="shared" ref="I116:I117" si="235">H116/30</f>
        <v>9.8000000000000007</v>
      </c>
      <c r="J116" s="21">
        <f t="shared" ref="J116:J117" ca="1" si="236">IF(E116-$E$1&lt;=0,"",E116-$E$1)</f>
        <v>22</v>
      </c>
      <c r="K116" s="12">
        <f t="shared" ref="K116:K117" ca="1" si="237">IF(J116="","",J116/30)</f>
        <v>0.73333333333333328</v>
      </c>
      <c r="L116" s="21">
        <f t="shared" ref="L116:L117" ca="1" si="238">IF(G116-$E$1&lt;=0,"",G116-$E$1)</f>
        <v>316</v>
      </c>
      <c r="M116" s="21">
        <f t="shared" ref="M116:M117" ca="1" si="239">IF(L116="","",L116/30)</f>
        <v>10.533333333333333</v>
      </c>
    </row>
    <row r="117" spans="2:13" outlineLevel="1" x14ac:dyDescent="0.45">
      <c r="B117" s="33" t="s">
        <v>250</v>
      </c>
      <c r="C117" s="33" t="s">
        <v>120</v>
      </c>
      <c r="D117" s="34" t="s">
        <v>255</v>
      </c>
      <c r="E117" s="35">
        <v>46422</v>
      </c>
      <c r="F117" s="35">
        <v>46463</v>
      </c>
      <c r="G117" s="35"/>
      <c r="H117" s="42">
        <f t="shared" ref="H117" si="240">F117-E117</f>
        <v>41</v>
      </c>
      <c r="I117" s="42">
        <f t="shared" si="235"/>
        <v>1.3666666666666667</v>
      </c>
      <c r="J117" s="41">
        <f t="shared" ca="1" si="236"/>
        <v>275</v>
      </c>
      <c r="K117" s="42">
        <f t="shared" ca="1" si="237"/>
        <v>9.1666666666666661</v>
      </c>
      <c r="L117" s="41" t="str">
        <f t="shared" ca="1" si="238"/>
        <v/>
      </c>
      <c r="M117" s="41" t="str">
        <f t="shared" ca="1" si="239"/>
        <v/>
      </c>
    </row>
    <row r="118" spans="2:13" x14ac:dyDescent="0.45">
      <c r="B118" s="1">
        <v>37</v>
      </c>
      <c r="C118" s="1" t="s">
        <v>50</v>
      </c>
      <c r="D118" t="s">
        <v>245</v>
      </c>
      <c r="E118" s="26">
        <v>46140</v>
      </c>
      <c r="F118" s="26">
        <v>46147</v>
      </c>
      <c r="G118" s="26">
        <v>46435</v>
      </c>
      <c r="H118" s="12">
        <f t="shared" ref="H118" si="241">G118-E118</f>
        <v>295</v>
      </c>
      <c r="I118" s="12">
        <f t="shared" ref="I118:I119" si="242">H118/30</f>
        <v>9.8333333333333339</v>
      </c>
      <c r="J118" s="21" t="str">
        <f t="shared" ref="J118:J119" ca="1" si="243">IF(E118-$E$1&lt;=0,"",E118-$E$1)</f>
        <v/>
      </c>
      <c r="K118" s="12" t="str">
        <f t="shared" ref="K118:K119" ca="1" si="244">IF(J118="","",J118/30)</f>
        <v/>
      </c>
      <c r="L118" s="21">
        <f t="shared" ref="L118:L119" ca="1" si="245">IF(G118-$E$1&lt;=0,"",G118-$E$1)</f>
        <v>288</v>
      </c>
      <c r="M118" s="21">
        <f t="shared" ref="M118:M119" ca="1" si="246">IF(L118="","",L118/30)</f>
        <v>9.6</v>
      </c>
    </row>
    <row r="119" spans="2:13" outlineLevel="1" x14ac:dyDescent="0.45">
      <c r="B119" s="33" t="s">
        <v>251</v>
      </c>
      <c r="C119" s="33" t="s">
        <v>120</v>
      </c>
      <c r="D119" s="34" t="s">
        <v>256</v>
      </c>
      <c r="E119" s="35">
        <v>46394</v>
      </c>
      <c r="F119" s="35">
        <v>46435</v>
      </c>
      <c r="G119" s="35"/>
      <c r="H119" s="42">
        <f t="shared" ref="H119" si="247">F119-E119</f>
        <v>41</v>
      </c>
      <c r="I119" s="42">
        <f t="shared" si="242"/>
        <v>1.3666666666666667</v>
      </c>
      <c r="J119" s="41">
        <f t="shared" ca="1" si="243"/>
        <v>247</v>
      </c>
      <c r="K119" s="42">
        <f t="shared" ca="1" si="244"/>
        <v>8.2333333333333325</v>
      </c>
      <c r="L119" s="41" t="str">
        <f t="shared" ca="1" si="245"/>
        <v/>
      </c>
      <c r="M119" s="41" t="str">
        <f t="shared" ca="1" si="246"/>
        <v/>
      </c>
    </row>
    <row r="120" spans="2:13" x14ac:dyDescent="0.45">
      <c r="B120" s="1">
        <v>38</v>
      </c>
      <c r="C120" s="1" t="s">
        <v>50</v>
      </c>
      <c r="D120" t="s">
        <v>246</v>
      </c>
      <c r="E120" s="26">
        <v>46212</v>
      </c>
      <c r="F120" s="26">
        <v>46218</v>
      </c>
      <c r="G120" s="26">
        <v>46506</v>
      </c>
      <c r="H120" s="12">
        <f t="shared" ref="H120" si="248">G120-E120</f>
        <v>294</v>
      </c>
      <c r="I120" s="12">
        <f t="shared" ref="I120:I121" si="249">H120/30</f>
        <v>9.8000000000000007</v>
      </c>
      <c r="J120" s="21">
        <f t="shared" ref="J120:J121" ca="1" si="250">IF(E120-$E$1&lt;=0,"",E120-$E$1)</f>
        <v>65</v>
      </c>
      <c r="K120" s="12">
        <f t="shared" ref="K120:K121" ca="1" si="251">IF(J120="","",J120/30)</f>
        <v>2.1666666666666665</v>
      </c>
      <c r="L120" s="21">
        <f t="shared" ref="L120:L121" ca="1" si="252">IF(G120-$E$1&lt;=0,"",G120-$E$1)</f>
        <v>359</v>
      </c>
      <c r="M120" s="21">
        <f t="shared" ref="M120:M121" ca="1" si="253">IF(L120="","",L120/30)</f>
        <v>11.966666666666667</v>
      </c>
    </row>
    <row r="121" spans="2:13" outlineLevel="1" x14ac:dyDescent="0.45">
      <c r="B121" s="33" t="s">
        <v>252</v>
      </c>
      <c r="C121" s="33" t="s">
        <v>120</v>
      </c>
      <c r="D121" s="34" t="s">
        <v>257</v>
      </c>
      <c r="E121" s="35">
        <v>46464</v>
      </c>
      <c r="F121" s="35">
        <v>46506</v>
      </c>
      <c r="G121" s="35"/>
      <c r="H121" s="42">
        <f t="shared" ref="H121" si="254">F121-E121</f>
        <v>42</v>
      </c>
      <c r="I121" s="42">
        <f t="shared" si="249"/>
        <v>1.4</v>
      </c>
      <c r="J121" s="41">
        <f t="shared" ca="1" si="250"/>
        <v>317</v>
      </c>
      <c r="K121" s="42">
        <f t="shared" ca="1" si="251"/>
        <v>10.566666666666666</v>
      </c>
      <c r="L121" s="41" t="str">
        <f t="shared" ca="1" si="252"/>
        <v/>
      </c>
      <c r="M121" s="41" t="str">
        <f t="shared" ca="1" si="253"/>
        <v/>
      </c>
    </row>
    <row r="122" spans="2:13" x14ac:dyDescent="0.45">
      <c r="B122" s="1">
        <v>39</v>
      </c>
      <c r="C122" s="1" t="s">
        <v>50</v>
      </c>
      <c r="D122" t="s">
        <v>247</v>
      </c>
      <c r="E122" s="26">
        <v>46226</v>
      </c>
      <c r="F122" s="26">
        <v>46232</v>
      </c>
      <c r="G122" s="26">
        <v>46267</v>
      </c>
      <c r="H122" s="12">
        <f t="shared" ref="H122" si="255">G122-E122</f>
        <v>41</v>
      </c>
      <c r="I122" s="12">
        <f t="shared" ref="I122" si="256">H122/30</f>
        <v>1.3666666666666667</v>
      </c>
      <c r="J122" s="21">
        <f t="shared" ref="J122" ca="1" si="257">IF(E122-$E$1&lt;=0,"",E122-$E$1)</f>
        <v>79</v>
      </c>
      <c r="K122" s="12">
        <f t="shared" ref="K122" ca="1" si="258">IF(J122="","",J122/30)</f>
        <v>2.6333333333333333</v>
      </c>
      <c r="L122" s="21">
        <f t="shared" ref="L122" ca="1" si="259">IF(G122-$E$1&lt;=0,"",G122-$E$1)</f>
        <v>120</v>
      </c>
      <c r="M122" s="21">
        <f t="shared" ref="M122" ca="1" si="260">IF(L122="","",L122/30)</f>
        <v>4</v>
      </c>
    </row>
  </sheetData>
  <autoFilter ref="B4:M122" xr:uid="{61BABD8B-EB9C-4646-9F0E-4FF2AF4563F5}"/>
  <mergeCells count="4">
    <mergeCell ref="B3:G3"/>
    <mergeCell ref="H3:I3"/>
    <mergeCell ref="J3:K3"/>
    <mergeCell ref="L3:M3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78B21-4990-42BF-B054-35FC82443A2C}">
  <dimension ref="A1:L156"/>
  <sheetViews>
    <sheetView workbookViewId="0">
      <selection activeCell="N93" sqref="N93"/>
    </sheetView>
  </sheetViews>
  <sheetFormatPr defaultRowHeight="14.25" outlineLevelRow="2" x14ac:dyDescent="0.45"/>
  <cols>
    <col min="1" max="1" width="3.46484375" customWidth="1"/>
    <col min="2" max="2" width="4.53125" style="1" bestFit="1" customWidth="1"/>
    <col min="3" max="3" width="4.6640625" bestFit="1" customWidth="1"/>
    <col min="4" max="4" width="57.796875" customWidth="1"/>
    <col min="5" max="5" width="12.33203125" style="1" customWidth="1"/>
    <col min="6" max="6" width="12.19921875" style="1" customWidth="1"/>
    <col min="7" max="7" width="9.19921875" bestFit="1" customWidth="1"/>
  </cols>
  <sheetData>
    <row r="1" spans="2:12" ht="14.65" thickBot="1" x14ac:dyDescent="0.5">
      <c r="C1" s="1"/>
      <c r="D1" s="6" t="s">
        <v>9</v>
      </c>
      <c r="E1" s="24">
        <f ca="1">TODAY()</f>
        <v>46147</v>
      </c>
      <c r="G1" s="1"/>
      <c r="H1" s="12"/>
      <c r="I1" s="1"/>
      <c r="J1" s="12"/>
      <c r="K1" s="21"/>
      <c r="L1" s="21"/>
    </row>
    <row r="2" spans="2:12" x14ac:dyDescent="0.45">
      <c r="C2" s="1"/>
      <c r="D2" s="6"/>
      <c r="E2" s="25"/>
      <c r="G2" s="1"/>
      <c r="H2" s="12"/>
      <c r="I2" s="1"/>
      <c r="J2" s="12"/>
      <c r="K2" s="21"/>
      <c r="L2" s="21"/>
    </row>
    <row r="3" spans="2:12" ht="25.8" customHeight="1" x14ac:dyDescent="0.45">
      <c r="B3" s="48"/>
      <c r="C3" s="47"/>
      <c r="D3" s="47"/>
      <c r="E3" s="48"/>
      <c r="F3" s="48"/>
      <c r="G3" s="69" t="s">
        <v>27</v>
      </c>
      <c r="H3" s="69"/>
      <c r="I3" s="70" t="s">
        <v>29</v>
      </c>
      <c r="J3" s="70"/>
      <c r="K3" s="70" t="s">
        <v>28</v>
      </c>
      <c r="L3" s="70"/>
    </row>
    <row r="4" spans="2:12" x14ac:dyDescent="0.45">
      <c r="B4" s="2"/>
      <c r="C4" s="2"/>
      <c r="D4" s="3" t="s">
        <v>71</v>
      </c>
      <c r="E4" s="4" t="s">
        <v>14</v>
      </c>
      <c r="F4" s="4" t="s">
        <v>15</v>
      </c>
      <c r="G4" s="4" t="s">
        <v>3</v>
      </c>
      <c r="H4" s="44" t="s">
        <v>2</v>
      </c>
      <c r="I4" s="22" t="s">
        <v>3</v>
      </c>
      <c r="J4" s="46" t="s">
        <v>2</v>
      </c>
      <c r="K4" s="22" t="s">
        <v>3</v>
      </c>
      <c r="L4" s="22" t="s">
        <v>2</v>
      </c>
    </row>
    <row r="5" spans="2:12" x14ac:dyDescent="0.45">
      <c r="B5" s="27">
        <v>1</v>
      </c>
      <c r="C5" s="1" t="s">
        <v>51</v>
      </c>
      <c r="D5" t="s">
        <v>258</v>
      </c>
      <c r="E5" s="26">
        <v>46399</v>
      </c>
      <c r="F5" s="26">
        <v>46447</v>
      </c>
      <c r="G5" s="12">
        <f t="shared" ref="G5:G122" si="0">F5-E5</f>
        <v>48</v>
      </c>
      <c r="H5" s="12">
        <f t="shared" ref="H5:H122" si="1">G5/30</f>
        <v>1.6</v>
      </c>
      <c r="I5" s="21">
        <f t="shared" ref="I5:I122" ca="1" si="2">IF(E5-$E$1&lt;=0,"",E5-$E$1)</f>
        <v>252</v>
      </c>
      <c r="J5" s="12">
        <f t="shared" ref="J5:J122" ca="1" si="3">IF(I5="","",I5/30)</f>
        <v>8.4</v>
      </c>
      <c r="K5" s="21">
        <f t="shared" ref="K5:K122" ca="1" si="4">IF(F5-$E$1&lt;=0,"",F5-$E$1)</f>
        <v>300</v>
      </c>
      <c r="L5" s="21">
        <f t="shared" ref="L5:L122" ca="1" si="5">IF(K5="","",K5/30)</f>
        <v>10</v>
      </c>
    </row>
    <row r="6" spans="2:12" outlineLevel="1" x14ac:dyDescent="0.45">
      <c r="B6" s="51" t="s">
        <v>60</v>
      </c>
      <c r="C6" s="33" t="s">
        <v>319</v>
      </c>
      <c r="D6" s="52" t="s">
        <v>345</v>
      </c>
      <c r="E6" s="35">
        <v>46399</v>
      </c>
      <c r="F6" s="35">
        <v>46447</v>
      </c>
      <c r="G6" s="42">
        <f t="shared" ref="G6" si="6">F6-E6</f>
        <v>48</v>
      </c>
      <c r="H6" s="42">
        <f t="shared" si="1"/>
        <v>1.6</v>
      </c>
      <c r="I6" s="41">
        <f t="shared" ref="I6" ca="1" si="7">IF(E6-$E$1&lt;=0,"",E6-$E$1)</f>
        <v>252</v>
      </c>
      <c r="J6" s="42">
        <f t="shared" ca="1" si="3"/>
        <v>8.4</v>
      </c>
      <c r="K6" s="41">
        <f t="shared" ref="K6" ca="1" si="8">IF(F6-$E$1&lt;=0,"",F6-$E$1)</f>
        <v>300</v>
      </c>
      <c r="L6" s="41">
        <f t="shared" ca="1" si="5"/>
        <v>10</v>
      </c>
    </row>
    <row r="7" spans="2:12" x14ac:dyDescent="0.45">
      <c r="B7" s="1">
        <v>2</v>
      </c>
      <c r="C7" s="1" t="s">
        <v>51</v>
      </c>
      <c r="D7" t="s">
        <v>259</v>
      </c>
      <c r="E7" s="26">
        <v>46329</v>
      </c>
      <c r="F7" s="26">
        <v>46603</v>
      </c>
      <c r="G7" s="12">
        <f t="shared" si="0"/>
        <v>274</v>
      </c>
      <c r="H7" s="12">
        <f t="shared" si="1"/>
        <v>9.1333333333333329</v>
      </c>
      <c r="I7" s="21">
        <f t="shared" ca="1" si="2"/>
        <v>182</v>
      </c>
      <c r="J7" s="12">
        <f t="shared" ca="1" si="3"/>
        <v>6.0666666666666664</v>
      </c>
      <c r="K7" s="21">
        <f t="shared" ca="1" si="4"/>
        <v>456</v>
      </c>
      <c r="L7" s="21">
        <f t="shared" ca="1" si="5"/>
        <v>15.2</v>
      </c>
    </row>
    <row r="8" spans="2:12" outlineLevel="1" x14ac:dyDescent="0.45">
      <c r="B8" s="13" t="s">
        <v>86</v>
      </c>
      <c r="C8" s="13" t="s">
        <v>319</v>
      </c>
      <c r="D8" s="9" t="s">
        <v>346</v>
      </c>
      <c r="E8" s="31">
        <v>46329</v>
      </c>
      <c r="F8" s="31">
        <v>46357</v>
      </c>
      <c r="G8" s="43">
        <f t="shared" ref="G8:G11" si="9">F8-E8</f>
        <v>28</v>
      </c>
      <c r="H8" s="43">
        <f t="shared" si="1"/>
        <v>0.93333333333333335</v>
      </c>
      <c r="I8" s="39">
        <f t="shared" ref="I8:I11" ca="1" si="10">IF(E8-$E$1&lt;=0,"",E8-$E$1)</f>
        <v>182</v>
      </c>
      <c r="J8" s="43">
        <f t="shared" ca="1" si="3"/>
        <v>6.0666666666666664</v>
      </c>
      <c r="K8" s="39">
        <f t="shared" ref="K8:K11" ca="1" si="11">IF(F8-$E$1&lt;=0,"",F8-$E$1)</f>
        <v>210</v>
      </c>
      <c r="L8" s="39">
        <f t="shared" ca="1" si="5"/>
        <v>7</v>
      </c>
    </row>
    <row r="9" spans="2:12" outlineLevel="1" x14ac:dyDescent="0.45">
      <c r="B9" s="14" t="s">
        <v>87</v>
      </c>
      <c r="C9" s="14" t="s">
        <v>319</v>
      </c>
      <c r="D9" s="10" t="s">
        <v>347</v>
      </c>
      <c r="E9" s="29">
        <v>46370</v>
      </c>
      <c r="F9" s="29">
        <v>46379</v>
      </c>
      <c r="G9" s="20">
        <f t="shared" si="9"/>
        <v>9</v>
      </c>
      <c r="H9" s="20">
        <f t="shared" si="1"/>
        <v>0.3</v>
      </c>
      <c r="I9" s="23">
        <f t="shared" ca="1" si="10"/>
        <v>223</v>
      </c>
      <c r="J9" s="20">
        <f t="shared" ca="1" si="3"/>
        <v>7.4333333333333336</v>
      </c>
      <c r="K9" s="23">
        <f t="shared" ca="1" si="11"/>
        <v>232</v>
      </c>
      <c r="L9" s="23">
        <f t="shared" ca="1" si="5"/>
        <v>7.7333333333333334</v>
      </c>
    </row>
    <row r="10" spans="2:12" outlineLevel="1" x14ac:dyDescent="0.45">
      <c r="B10" s="14" t="s">
        <v>88</v>
      </c>
      <c r="C10" s="14" t="s">
        <v>319</v>
      </c>
      <c r="D10" s="10" t="s">
        <v>348</v>
      </c>
      <c r="E10" s="29">
        <v>46384</v>
      </c>
      <c r="F10" s="29">
        <v>46392</v>
      </c>
      <c r="G10" s="20">
        <f t="shared" si="9"/>
        <v>8</v>
      </c>
      <c r="H10" s="20">
        <f t="shared" si="1"/>
        <v>0.26666666666666666</v>
      </c>
      <c r="I10" s="23">
        <f t="shared" ca="1" si="10"/>
        <v>237</v>
      </c>
      <c r="J10" s="20">
        <f t="shared" ca="1" si="3"/>
        <v>7.9</v>
      </c>
      <c r="K10" s="23">
        <f t="shared" ca="1" si="11"/>
        <v>245</v>
      </c>
      <c r="L10" s="23">
        <f t="shared" ca="1" si="5"/>
        <v>8.1666666666666661</v>
      </c>
    </row>
    <row r="11" spans="2:12" outlineLevel="1" x14ac:dyDescent="0.45">
      <c r="B11" s="14" t="s">
        <v>320</v>
      </c>
      <c r="C11" s="14" t="s">
        <v>319</v>
      </c>
      <c r="D11" s="10" t="s">
        <v>349</v>
      </c>
      <c r="E11" s="29">
        <v>46394</v>
      </c>
      <c r="F11" s="29">
        <v>46407</v>
      </c>
      <c r="G11" s="20">
        <f t="shared" si="9"/>
        <v>13</v>
      </c>
      <c r="H11" s="20">
        <f t="shared" si="1"/>
        <v>0.43333333333333335</v>
      </c>
      <c r="I11" s="23">
        <f t="shared" ca="1" si="10"/>
        <v>247</v>
      </c>
      <c r="J11" s="20">
        <f t="shared" ca="1" si="3"/>
        <v>8.2333333333333325</v>
      </c>
      <c r="K11" s="23">
        <f t="shared" ca="1" si="11"/>
        <v>260</v>
      </c>
      <c r="L11" s="23">
        <f t="shared" ca="1" si="5"/>
        <v>8.6666666666666661</v>
      </c>
    </row>
    <row r="12" spans="2:12" outlineLevel="1" x14ac:dyDescent="0.45">
      <c r="B12" s="14" t="s">
        <v>321</v>
      </c>
      <c r="C12" s="14" t="s">
        <v>319</v>
      </c>
      <c r="D12" s="10" t="s">
        <v>350</v>
      </c>
      <c r="E12" s="29">
        <v>46408</v>
      </c>
      <c r="F12" s="29">
        <v>46421</v>
      </c>
      <c r="G12" s="20">
        <f t="shared" ref="G12" si="12">F12-E12</f>
        <v>13</v>
      </c>
      <c r="H12" s="20">
        <f t="shared" si="1"/>
        <v>0.43333333333333335</v>
      </c>
      <c r="I12" s="23">
        <f t="shared" ref="I12" ca="1" si="13">IF(E12-$E$1&lt;=0,"",E12-$E$1)</f>
        <v>261</v>
      </c>
      <c r="J12" s="20">
        <f t="shared" ca="1" si="3"/>
        <v>8.6999999999999993</v>
      </c>
      <c r="K12" s="23">
        <f t="shared" ref="K12" ca="1" si="14">IF(F12-$E$1&lt;=0,"",F12-$E$1)</f>
        <v>274</v>
      </c>
      <c r="L12" s="23">
        <f t="shared" ca="1" si="5"/>
        <v>9.1333333333333329</v>
      </c>
    </row>
    <row r="13" spans="2:12" outlineLevel="1" x14ac:dyDescent="0.45">
      <c r="B13" s="14" t="s">
        <v>322</v>
      </c>
      <c r="C13" s="14" t="s">
        <v>319</v>
      </c>
      <c r="D13" s="10" t="s">
        <v>351</v>
      </c>
      <c r="E13" s="29">
        <v>46402</v>
      </c>
      <c r="F13" s="29">
        <v>46405</v>
      </c>
      <c r="G13" s="20">
        <f t="shared" ref="G13:G16" si="15">F13-E13</f>
        <v>3</v>
      </c>
      <c r="H13" s="20">
        <f t="shared" si="1"/>
        <v>0.1</v>
      </c>
      <c r="I13" s="23">
        <f t="shared" ref="I13:I16" ca="1" si="16">IF(E13-$E$1&lt;=0,"",E13-$E$1)</f>
        <v>255</v>
      </c>
      <c r="J13" s="20">
        <f t="shared" ca="1" si="3"/>
        <v>8.5</v>
      </c>
      <c r="K13" s="23">
        <f t="shared" ref="K13:K16" ca="1" si="17">IF(F13-$E$1&lt;=0,"",F13-$E$1)</f>
        <v>258</v>
      </c>
      <c r="L13" s="23">
        <f t="shared" ca="1" si="5"/>
        <v>8.6</v>
      </c>
    </row>
    <row r="14" spans="2:12" outlineLevel="1" x14ac:dyDescent="0.45">
      <c r="B14" s="14" t="s">
        <v>323</v>
      </c>
      <c r="C14" s="14" t="s">
        <v>319</v>
      </c>
      <c r="D14" s="10" t="s">
        <v>352</v>
      </c>
      <c r="E14" s="29">
        <v>46574</v>
      </c>
      <c r="F14" s="29">
        <v>46583</v>
      </c>
      <c r="G14" s="20">
        <f t="shared" si="15"/>
        <v>9</v>
      </c>
      <c r="H14" s="20">
        <f t="shared" si="1"/>
        <v>0.3</v>
      </c>
      <c r="I14" s="23">
        <f t="shared" ca="1" si="16"/>
        <v>427</v>
      </c>
      <c r="J14" s="20">
        <f t="shared" ca="1" si="3"/>
        <v>14.233333333333333</v>
      </c>
      <c r="K14" s="23">
        <f t="shared" ca="1" si="17"/>
        <v>436</v>
      </c>
      <c r="L14" s="23">
        <f t="shared" ca="1" si="5"/>
        <v>14.533333333333333</v>
      </c>
    </row>
    <row r="15" spans="2:12" outlineLevel="1" x14ac:dyDescent="0.45">
      <c r="B15" s="14" t="s">
        <v>324</v>
      </c>
      <c r="C15" s="14" t="s">
        <v>319</v>
      </c>
      <c r="D15" s="10" t="s">
        <v>353</v>
      </c>
      <c r="E15" s="29">
        <v>46399</v>
      </c>
      <c r="F15" s="29">
        <v>46406</v>
      </c>
      <c r="G15" s="20">
        <f t="shared" si="15"/>
        <v>7</v>
      </c>
      <c r="H15" s="20">
        <f t="shared" si="1"/>
        <v>0.23333333333333334</v>
      </c>
      <c r="I15" s="23">
        <f t="shared" ca="1" si="16"/>
        <v>252</v>
      </c>
      <c r="J15" s="20">
        <f t="shared" ca="1" si="3"/>
        <v>8.4</v>
      </c>
      <c r="K15" s="23">
        <f t="shared" ca="1" si="17"/>
        <v>259</v>
      </c>
      <c r="L15" s="23">
        <f t="shared" ca="1" si="5"/>
        <v>8.6333333333333329</v>
      </c>
    </row>
    <row r="16" spans="2:12" outlineLevel="1" x14ac:dyDescent="0.45">
      <c r="B16" s="14" t="s">
        <v>325</v>
      </c>
      <c r="C16" s="14" t="s">
        <v>319</v>
      </c>
      <c r="D16" s="10" t="s">
        <v>354</v>
      </c>
      <c r="E16" s="29">
        <v>46584</v>
      </c>
      <c r="F16" s="29">
        <v>46595</v>
      </c>
      <c r="G16" s="20">
        <f t="shared" si="15"/>
        <v>11</v>
      </c>
      <c r="H16" s="20">
        <f t="shared" si="1"/>
        <v>0.36666666666666664</v>
      </c>
      <c r="I16" s="23">
        <f t="shared" ca="1" si="16"/>
        <v>437</v>
      </c>
      <c r="J16" s="20">
        <f t="shared" ca="1" si="3"/>
        <v>14.566666666666666</v>
      </c>
      <c r="K16" s="23">
        <f t="shared" ca="1" si="17"/>
        <v>448</v>
      </c>
      <c r="L16" s="23">
        <f t="shared" ca="1" si="5"/>
        <v>14.933333333333334</v>
      </c>
    </row>
    <row r="17" spans="2:12" outlineLevel="1" x14ac:dyDescent="0.45">
      <c r="B17" s="15" t="s">
        <v>326</v>
      </c>
      <c r="C17" s="15" t="s">
        <v>319</v>
      </c>
      <c r="D17" s="11" t="s">
        <v>355</v>
      </c>
      <c r="E17" s="30">
        <v>46596</v>
      </c>
      <c r="F17" s="30">
        <v>46603</v>
      </c>
      <c r="G17" s="45">
        <f t="shared" ref="G17" si="18">F17-E17</f>
        <v>7</v>
      </c>
      <c r="H17" s="45">
        <f t="shared" si="1"/>
        <v>0.23333333333333334</v>
      </c>
      <c r="I17" s="40">
        <f t="shared" ref="I17" ca="1" si="19">IF(E17-$E$1&lt;=0,"",E17-$E$1)</f>
        <v>449</v>
      </c>
      <c r="J17" s="45">
        <f t="shared" ca="1" si="3"/>
        <v>14.966666666666667</v>
      </c>
      <c r="K17" s="40">
        <f t="shared" ref="K17" ca="1" si="20">IF(F17-$E$1&lt;=0,"",F17-$E$1)</f>
        <v>456</v>
      </c>
      <c r="L17" s="40">
        <f t="shared" ca="1" si="5"/>
        <v>15.2</v>
      </c>
    </row>
    <row r="18" spans="2:12" x14ac:dyDescent="0.45">
      <c r="B18" s="1">
        <v>3</v>
      </c>
      <c r="C18" s="1" t="s">
        <v>51</v>
      </c>
      <c r="D18" t="s">
        <v>260</v>
      </c>
      <c r="E18" s="26">
        <v>46402</v>
      </c>
      <c r="F18" s="26">
        <v>46780</v>
      </c>
      <c r="G18" s="12">
        <f t="shared" si="0"/>
        <v>378</v>
      </c>
      <c r="H18" s="12">
        <f t="shared" si="1"/>
        <v>12.6</v>
      </c>
      <c r="I18" s="21">
        <f t="shared" ca="1" si="2"/>
        <v>255</v>
      </c>
      <c r="J18" s="12">
        <f t="shared" ca="1" si="3"/>
        <v>8.5</v>
      </c>
      <c r="K18" s="21">
        <f t="shared" ca="1" si="4"/>
        <v>633</v>
      </c>
      <c r="L18" s="21">
        <f t="shared" ca="1" si="5"/>
        <v>21.1</v>
      </c>
    </row>
    <row r="19" spans="2:12" outlineLevel="1" x14ac:dyDescent="0.45">
      <c r="B19" s="13" t="s">
        <v>89</v>
      </c>
      <c r="C19" s="13" t="s">
        <v>319</v>
      </c>
      <c r="D19" s="37" t="s">
        <v>343</v>
      </c>
      <c r="E19" s="31">
        <v>46402</v>
      </c>
      <c r="F19" s="31">
        <v>46457</v>
      </c>
      <c r="G19" s="43">
        <f t="shared" si="0"/>
        <v>55</v>
      </c>
      <c r="H19" s="43">
        <f t="shared" si="1"/>
        <v>1.8333333333333333</v>
      </c>
      <c r="I19" s="39">
        <f t="shared" ca="1" si="2"/>
        <v>255</v>
      </c>
      <c r="J19" s="43">
        <f t="shared" ca="1" si="3"/>
        <v>8.5</v>
      </c>
      <c r="K19" s="39">
        <f t="shared" ca="1" si="4"/>
        <v>310</v>
      </c>
      <c r="L19" s="39">
        <f t="shared" ca="1" si="5"/>
        <v>10.333333333333334</v>
      </c>
    </row>
    <row r="20" spans="2:12" outlineLevel="1" x14ac:dyDescent="0.45">
      <c r="B20" s="14" t="s">
        <v>90</v>
      </c>
      <c r="C20" s="14" t="s">
        <v>319</v>
      </c>
      <c r="D20" s="19" t="s">
        <v>344</v>
      </c>
      <c r="E20" s="29">
        <v>46458</v>
      </c>
      <c r="F20" s="29">
        <v>46500</v>
      </c>
      <c r="G20" s="20">
        <f t="shared" si="0"/>
        <v>42</v>
      </c>
      <c r="H20" s="20">
        <f t="shared" si="1"/>
        <v>1.4</v>
      </c>
      <c r="I20" s="23">
        <f t="shared" ca="1" si="2"/>
        <v>311</v>
      </c>
      <c r="J20" s="20">
        <f t="shared" ca="1" si="3"/>
        <v>10.366666666666667</v>
      </c>
      <c r="K20" s="23">
        <f t="shared" ca="1" si="4"/>
        <v>353</v>
      </c>
      <c r="L20" s="23">
        <f t="shared" ca="1" si="5"/>
        <v>11.766666666666667</v>
      </c>
    </row>
    <row r="21" spans="2:12" outlineLevel="1" x14ac:dyDescent="0.45">
      <c r="B21" s="14" t="s">
        <v>327</v>
      </c>
      <c r="C21" s="14" t="s">
        <v>319</v>
      </c>
      <c r="D21" s="19" t="s">
        <v>356</v>
      </c>
      <c r="E21" s="29">
        <v>46409</v>
      </c>
      <c r="F21" s="29">
        <v>46450</v>
      </c>
      <c r="G21" s="20">
        <f t="shared" si="0"/>
        <v>41</v>
      </c>
      <c r="H21" s="20">
        <f t="shared" si="1"/>
        <v>1.3666666666666667</v>
      </c>
      <c r="I21" s="23">
        <f t="shared" ca="1" si="2"/>
        <v>262</v>
      </c>
      <c r="J21" s="20">
        <f t="shared" ca="1" si="3"/>
        <v>8.7333333333333325</v>
      </c>
      <c r="K21" s="23">
        <f t="shared" ca="1" si="4"/>
        <v>303</v>
      </c>
      <c r="L21" s="23">
        <f t="shared" ca="1" si="5"/>
        <v>10.1</v>
      </c>
    </row>
    <row r="22" spans="2:12" outlineLevel="1" x14ac:dyDescent="0.45">
      <c r="B22" s="14" t="s">
        <v>328</v>
      </c>
      <c r="C22" s="14" t="s">
        <v>319</v>
      </c>
      <c r="D22" s="19" t="s">
        <v>361</v>
      </c>
      <c r="E22" s="29">
        <v>46465</v>
      </c>
      <c r="F22" s="29">
        <v>46486</v>
      </c>
      <c r="G22" s="20">
        <f t="shared" si="0"/>
        <v>21</v>
      </c>
      <c r="H22" s="20">
        <f t="shared" si="1"/>
        <v>0.7</v>
      </c>
      <c r="I22" s="23">
        <f t="shared" ca="1" si="2"/>
        <v>318</v>
      </c>
      <c r="J22" s="20">
        <f t="shared" ca="1" si="3"/>
        <v>10.6</v>
      </c>
      <c r="K22" s="23">
        <f t="shared" ca="1" si="4"/>
        <v>339</v>
      </c>
      <c r="L22" s="23">
        <f t="shared" ca="1" si="5"/>
        <v>11.3</v>
      </c>
    </row>
    <row r="23" spans="2:12" outlineLevel="1" x14ac:dyDescent="0.45">
      <c r="B23" s="14" t="s">
        <v>329</v>
      </c>
      <c r="C23" s="14" t="s">
        <v>319</v>
      </c>
      <c r="D23" s="19" t="s">
        <v>357</v>
      </c>
      <c r="E23" s="29">
        <v>46489</v>
      </c>
      <c r="F23" s="29">
        <v>46507</v>
      </c>
      <c r="G23" s="20">
        <f t="shared" si="0"/>
        <v>18</v>
      </c>
      <c r="H23" s="20">
        <f t="shared" si="1"/>
        <v>0.6</v>
      </c>
      <c r="I23" s="23">
        <f t="shared" ca="1" si="2"/>
        <v>342</v>
      </c>
      <c r="J23" s="20">
        <f t="shared" ca="1" si="3"/>
        <v>11.4</v>
      </c>
      <c r="K23" s="23">
        <f t="shared" ca="1" si="4"/>
        <v>360</v>
      </c>
      <c r="L23" s="23">
        <f t="shared" ca="1" si="5"/>
        <v>12</v>
      </c>
    </row>
    <row r="24" spans="2:12" outlineLevel="1" x14ac:dyDescent="0.45">
      <c r="B24" s="14" t="s">
        <v>330</v>
      </c>
      <c r="C24" s="14" t="s">
        <v>319</v>
      </c>
      <c r="D24" s="19" t="s">
        <v>358</v>
      </c>
      <c r="E24" s="29">
        <v>46518</v>
      </c>
      <c r="F24" s="29">
        <v>46524</v>
      </c>
      <c r="G24" s="20">
        <f t="shared" si="0"/>
        <v>6</v>
      </c>
      <c r="H24" s="20">
        <f t="shared" si="1"/>
        <v>0.2</v>
      </c>
      <c r="I24" s="23">
        <f t="shared" ca="1" si="2"/>
        <v>371</v>
      </c>
      <c r="J24" s="20">
        <f t="shared" ca="1" si="3"/>
        <v>12.366666666666667</v>
      </c>
      <c r="K24" s="23">
        <f t="shared" ca="1" si="4"/>
        <v>377</v>
      </c>
      <c r="L24" s="23">
        <f t="shared" ca="1" si="5"/>
        <v>12.566666666666666</v>
      </c>
    </row>
    <row r="25" spans="2:12" outlineLevel="1" x14ac:dyDescent="0.45">
      <c r="B25" s="14" t="s">
        <v>331</v>
      </c>
      <c r="C25" s="14" t="s">
        <v>319</v>
      </c>
      <c r="D25" s="19" t="s">
        <v>359</v>
      </c>
      <c r="E25" s="29">
        <v>46525</v>
      </c>
      <c r="F25" s="29">
        <v>46531</v>
      </c>
      <c r="G25" s="20">
        <f t="shared" si="0"/>
        <v>6</v>
      </c>
      <c r="H25" s="20">
        <f t="shared" si="1"/>
        <v>0.2</v>
      </c>
      <c r="I25" s="23">
        <f t="shared" ca="1" si="2"/>
        <v>378</v>
      </c>
      <c r="J25" s="20">
        <f t="shared" ca="1" si="3"/>
        <v>12.6</v>
      </c>
      <c r="K25" s="23">
        <f t="shared" ca="1" si="4"/>
        <v>384</v>
      </c>
      <c r="L25" s="23">
        <f t="shared" ca="1" si="5"/>
        <v>12.8</v>
      </c>
    </row>
    <row r="26" spans="2:12" outlineLevel="1" x14ac:dyDescent="0.45">
      <c r="B26" s="14" t="s">
        <v>332</v>
      </c>
      <c r="C26" s="14" t="s">
        <v>319</v>
      </c>
      <c r="D26" s="19" t="s">
        <v>360</v>
      </c>
      <c r="E26" s="29">
        <v>46532</v>
      </c>
      <c r="F26" s="29">
        <v>46539</v>
      </c>
      <c r="G26" s="20">
        <f t="shared" si="0"/>
        <v>7</v>
      </c>
      <c r="H26" s="20">
        <f t="shared" si="1"/>
        <v>0.23333333333333334</v>
      </c>
      <c r="I26" s="23">
        <f t="shared" ca="1" si="2"/>
        <v>385</v>
      </c>
      <c r="J26" s="20">
        <f t="shared" ca="1" si="3"/>
        <v>12.833333333333334</v>
      </c>
      <c r="K26" s="23">
        <f t="shared" ca="1" si="4"/>
        <v>392</v>
      </c>
      <c r="L26" s="23">
        <f t="shared" ca="1" si="5"/>
        <v>13.066666666666666</v>
      </c>
    </row>
    <row r="27" spans="2:12" outlineLevel="1" x14ac:dyDescent="0.45">
      <c r="B27" s="14" t="s">
        <v>333</v>
      </c>
      <c r="C27" s="14" t="s">
        <v>319</v>
      </c>
      <c r="D27" s="19" t="s">
        <v>363</v>
      </c>
      <c r="E27" s="29">
        <v>46540</v>
      </c>
      <c r="F27" s="29">
        <v>46542</v>
      </c>
      <c r="G27" s="20">
        <f t="shared" si="0"/>
        <v>2</v>
      </c>
      <c r="H27" s="20">
        <f t="shared" si="1"/>
        <v>6.6666666666666666E-2</v>
      </c>
      <c r="I27" s="23">
        <f t="shared" ca="1" si="2"/>
        <v>393</v>
      </c>
      <c r="J27" s="20">
        <f t="shared" ca="1" si="3"/>
        <v>13.1</v>
      </c>
      <c r="K27" s="23">
        <f t="shared" ca="1" si="4"/>
        <v>395</v>
      </c>
      <c r="L27" s="23">
        <f t="shared" ca="1" si="5"/>
        <v>13.166666666666666</v>
      </c>
    </row>
    <row r="28" spans="2:12" outlineLevel="1" x14ac:dyDescent="0.45">
      <c r="B28" s="14" t="s">
        <v>334</v>
      </c>
      <c r="C28" s="14" t="s">
        <v>319</v>
      </c>
      <c r="D28" s="19" t="s">
        <v>364</v>
      </c>
      <c r="E28" s="29">
        <v>46540</v>
      </c>
      <c r="F28" s="29">
        <v>46546</v>
      </c>
      <c r="G28" s="20">
        <f t="shared" si="0"/>
        <v>6</v>
      </c>
      <c r="H28" s="20">
        <f t="shared" si="1"/>
        <v>0.2</v>
      </c>
      <c r="I28" s="23">
        <f t="shared" ca="1" si="2"/>
        <v>393</v>
      </c>
      <c r="J28" s="20">
        <f t="shared" ca="1" si="3"/>
        <v>13.1</v>
      </c>
      <c r="K28" s="23">
        <f t="shared" ca="1" si="4"/>
        <v>399</v>
      </c>
      <c r="L28" s="23">
        <f t="shared" ca="1" si="5"/>
        <v>13.3</v>
      </c>
    </row>
    <row r="29" spans="2:12" outlineLevel="1" x14ac:dyDescent="0.45">
      <c r="B29" s="14" t="s">
        <v>335</v>
      </c>
      <c r="C29" s="14" t="s">
        <v>319</v>
      </c>
      <c r="D29" s="19" t="s">
        <v>365</v>
      </c>
      <c r="E29" s="29">
        <v>46525</v>
      </c>
      <c r="F29" s="29">
        <v>46527</v>
      </c>
      <c r="G29" s="20">
        <f t="shared" si="0"/>
        <v>2</v>
      </c>
      <c r="H29" s="20">
        <f t="shared" si="1"/>
        <v>6.6666666666666666E-2</v>
      </c>
      <c r="I29" s="23">
        <f t="shared" ca="1" si="2"/>
        <v>378</v>
      </c>
      <c r="J29" s="20">
        <f t="shared" ca="1" si="3"/>
        <v>12.6</v>
      </c>
      <c r="K29" s="23">
        <f t="shared" ca="1" si="4"/>
        <v>380</v>
      </c>
      <c r="L29" s="23">
        <f t="shared" ca="1" si="5"/>
        <v>12.666666666666666</v>
      </c>
    </row>
    <row r="30" spans="2:12" outlineLevel="1" x14ac:dyDescent="0.45">
      <c r="B30" s="14" t="s">
        <v>336</v>
      </c>
      <c r="C30" s="14" t="s">
        <v>319</v>
      </c>
      <c r="D30" s="19" t="s">
        <v>366</v>
      </c>
      <c r="E30" s="29">
        <v>46540</v>
      </c>
      <c r="F30" s="29">
        <v>46553</v>
      </c>
      <c r="G30" s="20">
        <f t="shared" si="0"/>
        <v>13</v>
      </c>
      <c r="H30" s="20">
        <f t="shared" si="1"/>
        <v>0.43333333333333335</v>
      </c>
      <c r="I30" s="23">
        <f t="shared" ca="1" si="2"/>
        <v>393</v>
      </c>
      <c r="J30" s="20">
        <f t="shared" ca="1" si="3"/>
        <v>13.1</v>
      </c>
      <c r="K30" s="23">
        <f t="shared" ca="1" si="4"/>
        <v>406</v>
      </c>
      <c r="L30" s="23">
        <f t="shared" ca="1" si="5"/>
        <v>13.533333333333333</v>
      </c>
    </row>
    <row r="31" spans="2:12" outlineLevel="1" x14ac:dyDescent="0.45">
      <c r="B31" s="14" t="s">
        <v>337</v>
      </c>
      <c r="C31" s="14" t="s">
        <v>319</v>
      </c>
      <c r="D31" s="19" t="s">
        <v>367</v>
      </c>
      <c r="E31" s="29">
        <v>46540</v>
      </c>
      <c r="F31" s="29">
        <v>46541</v>
      </c>
      <c r="G31" s="20">
        <f t="shared" si="0"/>
        <v>1</v>
      </c>
      <c r="H31" s="20">
        <f t="shared" si="1"/>
        <v>3.3333333333333333E-2</v>
      </c>
      <c r="I31" s="23">
        <f t="shared" ca="1" si="2"/>
        <v>393</v>
      </c>
      <c r="J31" s="20">
        <f t="shared" ca="1" si="3"/>
        <v>13.1</v>
      </c>
      <c r="K31" s="23">
        <f t="shared" ca="1" si="4"/>
        <v>394</v>
      </c>
      <c r="L31" s="23">
        <f t="shared" ca="1" si="5"/>
        <v>13.133333333333333</v>
      </c>
    </row>
    <row r="32" spans="2:12" outlineLevel="1" x14ac:dyDescent="0.45">
      <c r="B32" s="14" t="s">
        <v>338</v>
      </c>
      <c r="C32" s="14" t="s">
        <v>319</v>
      </c>
      <c r="D32" s="19" t="s">
        <v>368</v>
      </c>
      <c r="E32" s="29">
        <v>46540</v>
      </c>
      <c r="F32" s="29">
        <v>46546</v>
      </c>
      <c r="G32" s="20">
        <f t="shared" si="0"/>
        <v>6</v>
      </c>
      <c r="H32" s="20">
        <f t="shared" si="1"/>
        <v>0.2</v>
      </c>
      <c r="I32" s="23">
        <f t="shared" ca="1" si="2"/>
        <v>393</v>
      </c>
      <c r="J32" s="20">
        <f t="shared" ca="1" si="3"/>
        <v>13.1</v>
      </c>
      <c r="K32" s="23">
        <f t="shared" ca="1" si="4"/>
        <v>399</v>
      </c>
      <c r="L32" s="23">
        <f t="shared" ca="1" si="5"/>
        <v>13.3</v>
      </c>
    </row>
    <row r="33" spans="2:12" outlineLevel="1" x14ac:dyDescent="0.45">
      <c r="B33" s="14" t="s">
        <v>339</v>
      </c>
      <c r="C33" s="14" t="s">
        <v>319</v>
      </c>
      <c r="D33" s="19" t="s">
        <v>369</v>
      </c>
      <c r="E33" s="29">
        <v>46561</v>
      </c>
      <c r="F33" s="29">
        <v>46567</v>
      </c>
      <c r="G33" s="20">
        <f t="shared" si="0"/>
        <v>6</v>
      </c>
      <c r="H33" s="20">
        <f t="shared" si="1"/>
        <v>0.2</v>
      </c>
      <c r="I33" s="23">
        <f t="shared" ca="1" si="2"/>
        <v>414</v>
      </c>
      <c r="J33" s="20">
        <f t="shared" ca="1" si="3"/>
        <v>13.8</v>
      </c>
      <c r="K33" s="23">
        <f t="shared" ca="1" si="4"/>
        <v>420</v>
      </c>
      <c r="L33" s="23">
        <f t="shared" ca="1" si="5"/>
        <v>14</v>
      </c>
    </row>
    <row r="34" spans="2:12" outlineLevel="1" x14ac:dyDescent="0.45">
      <c r="B34" s="14" t="s">
        <v>340</v>
      </c>
      <c r="C34" s="14" t="s">
        <v>319</v>
      </c>
      <c r="D34" s="19" t="s">
        <v>370</v>
      </c>
      <c r="E34" s="29">
        <v>46617</v>
      </c>
      <c r="F34" s="29">
        <v>46658</v>
      </c>
      <c r="G34" s="20">
        <f t="shared" si="0"/>
        <v>41</v>
      </c>
      <c r="H34" s="20">
        <f t="shared" si="1"/>
        <v>1.3666666666666667</v>
      </c>
      <c r="I34" s="23">
        <f t="shared" ca="1" si="2"/>
        <v>470</v>
      </c>
      <c r="J34" s="20">
        <f t="shared" ca="1" si="3"/>
        <v>15.666666666666666</v>
      </c>
      <c r="K34" s="23">
        <f t="shared" ca="1" si="4"/>
        <v>511</v>
      </c>
      <c r="L34" s="23">
        <f t="shared" ca="1" si="5"/>
        <v>17.033333333333335</v>
      </c>
    </row>
    <row r="35" spans="2:12" outlineLevel="1" x14ac:dyDescent="0.45">
      <c r="B35" s="14" t="s">
        <v>341</v>
      </c>
      <c r="C35" s="14" t="s">
        <v>319</v>
      </c>
      <c r="D35" s="19" t="s">
        <v>371</v>
      </c>
      <c r="E35" s="29">
        <v>46617</v>
      </c>
      <c r="F35" s="29">
        <v>46661</v>
      </c>
      <c r="G35" s="20">
        <f t="shared" si="0"/>
        <v>44</v>
      </c>
      <c r="H35" s="20">
        <f t="shared" si="1"/>
        <v>1.4666666666666666</v>
      </c>
      <c r="I35" s="23">
        <f t="shared" ca="1" si="2"/>
        <v>470</v>
      </c>
      <c r="J35" s="20">
        <f t="shared" ca="1" si="3"/>
        <v>15.666666666666666</v>
      </c>
      <c r="K35" s="23">
        <f t="shared" ca="1" si="4"/>
        <v>514</v>
      </c>
      <c r="L35" s="23">
        <f t="shared" ca="1" si="5"/>
        <v>17.133333333333333</v>
      </c>
    </row>
    <row r="36" spans="2:12" outlineLevel="1" x14ac:dyDescent="0.45">
      <c r="B36" s="53" t="s">
        <v>342</v>
      </c>
      <c r="C36" s="53" t="s">
        <v>319</v>
      </c>
      <c r="D36" s="54" t="s">
        <v>372</v>
      </c>
      <c r="E36" s="55">
        <v>46664</v>
      </c>
      <c r="F36" s="55">
        <v>46675</v>
      </c>
      <c r="G36" s="56">
        <f t="shared" si="0"/>
        <v>11</v>
      </c>
      <c r="H36" s="56">
        <f t="shared" si="1"/>
        <v>0.36666666666666664</v>
      </c>
      <c r="I36" s="57">
        <f t="shared" ca="1" si="2"/>
        <v>517</v>
      </c>
      <c r="J36" s="56">
        <f t="shared" ca="1" si="3"/>
        <v>17.233333333333334</v>
      </c>
      <c r="K36" s="57">
        <f t="shared" ca="1" si="4"/>
        <v>528</v>
      </c>
      <c r="L36" s="57">
        <f t="shared" ca="1" si="5"/>
        <v>17.600000000000001</v>
      </c>
    </row>
    <row r="37" spans="2:12" outlineLevel="1" x14ac:dyDescent="0.45">
      <c r="B37" s="14" t="s">
        <v>362</v>
      </c>
      <c r="C37" s="14" t="s">
        <v>319</v>
      </c>
      <c r="D37" s="19" t="s">
        <v>376</v>
      </c>
      <c r="E37" s="29">
        <v>46686</v>
      </c>
      <c r="F37" s="29">
        <v>46693</v>
      </c>
      <c r="G37" s="20">
        <f t="shared" ref="G37:G40" si="21">F37-E37</f>
        <v>7</v>
      </c>
      <c r="H37" s="20">
        <f t="shared" si="1"/>
        <v>0.23333333333333334</v>
      </c>
      <c r="I37" s="23">
        <f t="shared" ref="I37:I40" ca="1" si="22">IF(E37-$E$1&lt;=0,"",E37-$E$1)</f>
        <v>539</v>
      </c>
      <c r="J37" s="20">
        <f t="shared" ca="1" si="3"/>
        <v>17.966666666666665</v>
      </c>
      <c r="K37" s="23">
        <f t="shared" ref="K37:K40" ca="1" si="23">IF(F37-$E$1&lt;=0,"",F37-$E$1)</f>
        <v>546</v>
      </c>
      <c r="L37" s="23">
        <f t="shared" ca="1" si="5"/>
        <v>18.2</v>
      </c>
    </row>
    <row r="38" spans="2:12" outlineLevel="1" x14ac:dyDescent="0.45">
      <c r="B38" s="14" t="s">
        <v>373</v>
      </c>
      <c r="C38" s="14" t="s">
        <v>319</v>
      </c>
      <c r="D38" s="19" t="s">
        <v>377</v>
      </c>
      <c r="E38" s="29">
        <v>46686</v>
      </c>
      <c r="F38" s="29">
        <v>46693</v>
      </c>
      <c r="G38" s="20">
        <f t="shared" si="21"/>
        <v>7</v>
      </c>
      <c r="H38" s="20">
        <f t="shared" si="1"/>
        <v>0.23333333333333334</v>
      </c>
      <c r="I38" s="23">
        <f t="shared" ca="1" si="22"/>
        <v>539</v>
      </c>
      <c r="J38" s="20">
        <f t="shared" ca="1" si="3"/>
        <v>17.966666666666665</v>
      </c>
      <c r="K38" s="23">
        <f t="shared" ca="1" si="23"/>
        <v>546</v>
      </c>
      <c r="L38" s="23">
        <f t="shared" ca="1" si="5"/>
        <v>18.2</v>
      </c>
    </row>
    <row r="39" spans="2:12" outlineLevel="1" x14ac:dyDescent="0.45">
      <c r="B39" s="14" t="s">
        <v>374</v>
      </c>
      <c r="C39" s="14" t="s">
        <v>319</v>
      </c>
      <c r="D39" s="19" t="s">
        <v>348</v>
      </c>
      <c r="E39" s="29">
        <v>46686</v>
      </c>
      <c r="F39" s="29">
        <v>46693</v>
      </c>
      <c r="G39" s="20">
        <f t="shared" si="21"/>
        <v>7</v>
      </c>
      <c r="H39" s="20">
        <f t="shared" si="1"/>
        <v>0.23333333333333334</v>
      </c>
      <c r="I39" s="23">
        <f t="shared" ca="1" si="22"/>
        <v>539</v>
      </c>
      <c r="J39" s="20">
        <f t="shared" ca="1" si="3"/>
        <v>17.966666666666665</v>
      </c>
      <c r="K39" s="23">
        <f t="shared" ca="1" si="23"/>
        <v>546</v>
      </c>
      <c r="L39" s="23">
        <f t="shared" ca="1" si="5"/>
        <v>18.2</v>
      </c>
    </row>
    <row r="40" spans="2:12" outlineLevel="1" x14ac:dyDescent="0.45">
      <c r="B40" s="15" t="s">
        <v>375</v>
      </c>
      <c r="C40" s="15" t="s">
        <v>319</v>
      </c>
      <c r="D40" s="32" t="s">
        <v>378</v>
      </c>
      <c r="E40" s="30">
        <v>46686</v>
      </c>
      <c r="F40" s="30">
        <v>46693</v>
      </c>
      <c r="G40" s="45">
        <f t="shared" si="21"/>
        <v>7</v>
      </c>
      <c r="H40" s="45">
        <f t="shared" si="1"/>
        <v>0.23333333333333334</v>
      </c>
      <c r="I40" s="40">
        <f t="shared" ca="1" si="22"/>
        <v>539</v>
      </c>
      <c r="J40" s="45">
        <f t="shared" ca="1" si="3"/>
        <v>17.966666666666665</v>
      </c>
      <c r="K40" s="40">
        <f t="shared" ca="1" si="23"/>
        <v>546</v>
      </c>
      <c r="L40" s="40">
        <f t="shared" ca="1" si="5"/>
        <v>18.2</v>
      </c>
    </row>
    <row r="41" spans="2:12" x14ac:dyDescent="0.45">
      <c r="B41" s="1">
        <v>4</v>
      </c>
      <c r="C41" s="1" t="s">
        <v>51</v>
      </c>
      <c r="D41" t="s">
        <v>261</v>
      </c>
      <c r="E41" s="26">
        <v>46563</v>
      </c>
      <c r="F41" s="26">
        <v>46622</v>
      </c>
      <c r="G41" s="12">
        <f t="shared" si="0"/>
        <v>59</v>
      </c>
      <c r="H41" s="12">
        <f t="shared" si="1"/>
        <v>1.9666666666666666</v>
      </c>
      <c r="I41" s="21">
        <f t="shared" ca="1" si="2"/>
        <v>416</v>
      </c>
      <c r="J41" s="12">
        <f t="shared" ca="1" si="3"/>
        <v>13.866666666666667</v>
      </c>
      <c r="K41" s="21">
        <f t="shared" ca="1" si="4"/>
        <v>475</v>
      </c>
      <c r="L41" s="21">
        <f t="shared" ca="1" si="5"/>
        <v>15.833333333333334</v>
      </c>
    </row>
    <row r="42" spans="2:12" outlineLevel="1" x14ac:dyDescent="0.45">
      <c r="B42" s="13" t="s">
        <v>91</v>
      </c>
      <c r="C42" s="13" t="s">
        <v>319</v>
      </c>
      <c r="D42" s="37" t="s">
        <v>388</v>
      </c>
      <c r="E42" s="31">
        <v>46563</v>
      </c>
      <c r="F42" s="31">
        <v>46576</v>
      </c>
      <c r="G42" s="43">
        <f t="shared" si="0"/>
        <v>13</v>
      </c>
      <c r="H42" s="43">
        <f t="shared" si="1"/>
        <v>0.43333333333333335</v>
      </c>
      <c r="I42" s="39">
        <f t="shared" ca="1" si="2"/>
        <v>416</v>
      </c>
      <c r="J42" s="43">
        <f t="shared" ca="1" si="3"/>
        <v>13.866666666666667</v>
      </c>
      <c r="K42" s="39">
        <f t="shared" ca="1" si="4"/>
        <v>429</v>
      </c>
      <c r="L42" s="39">
        <f t="shared" ca="1" si="5"/>
        <v>14.3</v>
      </c>
    </row>
    <row r="43" spans="2:12" outlineLevel="1" x14ac:dyDescent="0.45">
      <c r="B43" s="14" t="s">
        <v>111</v>
      </c>
      <c r="C43" s="14" t="s">
        <v>319</v>
      </c>
      <c r="D43" s="19" t="s">
        <v>389</v>
      </c>
      <c r="E43" s="29">
        <v>46563</v>
      </c>
      <c r="F43" s="29">
        <v>46583</v>
      </c>
      <c r="G43" s="20">
        <f t="shared" si="0"/>
        <v>20</v>
      </c>
      <c r="H43" s="20">
        <f t="shared" si="1"/>
        <v>0.66666666666666663</v>
      </c>
      <c r="I43" s="23">
        <f t="shared" ca="1" si="2"/>
        <v>416</v>
      </c>
      <c r="J43" s="20">
        <f t="shared" ca="1" si="3"/>
        <v>13.866666666666667</v>
      </c>
      <c r="K43" s="23">
        <f t="shared" ca="1" si="4"/>
        <v>436</v>
      </c>
      <c r="L43" s="23">
        <f t="shared" ca="1" si="5"/>
        <v>14.533333333333333</v>
      </c>
    </row>
    <row r="44" spans="2:12" outlineLevel="1" x14ac:dyDescent="0.45">
      <c r="B44" s="14" t="s">
        <v>379</v>
      </c>
      <c r="C44" s="14" t="s">
        <v>319</v>
      </c>
      <c r="D44" s="19" t="s">
        <v>390</v>
      </c>
      <c r="E44" s="29">
        <v>46584</v>
      </c>
      <c r="F44" s="29">
        <v>46597</v>
      </c>
      <c r="G44" s="20">
        <f t="shared" si="0"/>
        <v>13</v>
      </c>
      <c r="H44" s="20">
        <f t="shared" si="1"/>
        <v>0.43333333333333335</v>
      </c>
      <c r="I44" s="23">
        <f t="shared" ca="1" si="2"/>
        <v>437</v>
      </c>
      <c r="J44" s="20">
        <f t="shared" ca="1" si="3"/>
        <v>14.566666666666666</v>
      </c>
      <c r="K44" s="23">
        <f t="shared" ca="1" si="4"/>
        <v>450</v>
      </c>
      <c r="L44" s="23">
        <f t="shared" ca="1" si="5"/>
        <v>15</v>
      </c>
    </row>
    <row r="45" spans="2:12" outlineLevel="1" x14ac:dyDescent="0.45">
      <c r="B45" s="14" t="s">
        <v>380</v>
      </c>
      <c r="C45" s="14" t="s">
        <v>319</v>
      </c>
      <c r="D45" s="19" t="s">
        <v>391</v>
      </c>
      <c r="E45" s="29">
        <v>46567</v>
      </c>
      <c r="F45" s="29">
        <v>46580</v>
      </c>
      <c r="G45" s="20">
        <f t="shared" si="0"/>
        <v>13</v>
      </c>
      <c r="H45" s="20">
        <f t="shared" si="1"/>
        <v>0.43333333333333335</v>
      </c>
      <c r="I45" s="23">
        <f t="shared" ca="1" si="2"/>
        <v>420</v>
      </c>
      <c r="J45" s="20">
        <f t="shared" ca="1" si="3"/>
        <v>14</v>
      </c>
      <c r="K45" s="23">
        <f t="shared" ca="1" si="4"/>
        <v>433</v>
      </c>
      <c r="L45" s="23">
        <f t="shared" ca="1" si="5"/>
        <v>14.433333333333334</v>
      </c>
    </row>
    <row r="46" spans="2:12" outlineLevel="1" x14ac:dyDescent="0.45">
      <c r="B46" s="14" t="s">
        <v>381</v>
      </c>
      <c r="C46" s="14" t="s">
        <v>319</v>
      </c>
      <c r="D46" s="19" t="s">
        <v>392</v>
      </c>
      <c r="E46" s="29">
        <v>46581</v>
      </c>
      <c r="F46" s="29">
        <v>46608</v>
      </c>
      <c r="G46" s="20">
        <f t="shared" si="0"/>
        <v>27</v>
      </c>
      <c r="H46" s="20">
        <f t="shared" si="1"/>
        <v>0.9</v>
      </c>
      <c r="I46" s="23">
        <f t="shared" ca="1" si="2"/>
        <v>434</v>
      </c>
      <c r="J46" s="20">
        <f t="shared" ca="1" si="3"/>
        <v>14.466666666666667</v>
      </c>
      <c r="K46" s="23">
        <f t="shared" ca="1" si="4"/>
        <v>461</v>
      </c>
      <c r="L46" s="23">
        <f t="shared" ca="1" si="5"/>
        <v>15.366666666666667</v>
      </c>
    </row>
    <row r="47" spans="2:12" outlineLevel="1" x14ac:dyDescent="0.45">
      <c r="B47" s="15" t="s">
        <v>382</v>
      </c>
      <c r="C47" s="15" t="s">
        <v>319</v>
      </c>
      <c r="D47" s="32" t="s">
        <v>393</v>
      </c>
      <c r="E47" s="30">
        <v>46609</v>
      </c>
      <c r="F47" s="30">
        <v>46622</v>
      </c>
      <c r="G47" s="45">
        <f t="shared" si="0"/>
        <v>13</v>
      </c>
      <c r="H47" s="45">
        <f t="shared" si="1"/>
        <v>0.43333333333333335</v>
      </c>
      <c r="I47" s="40">
        <f t="shared" ca="1" si="2"/>
        <v>462</v>
      </c>
      <c r="J47" s="45">
        <f t="shared" ca="1" si="3"/>
        <v>15.4</v>
      </c>
      <c r="K47" s="40">
        <f t="shared" ca="1" si="4"/>
        <v>475</v>
      </c>
      <c r="L47" s="40">
        <f t="shared" ca="1" si="5"/>
        <v>15.833333333333334</v>
      </c>
    </row>
    <row r="48" spans="2:12" x14ac:dyDescent="0.45">
      <c r="B48" s="1">
        <v>5</v>
      </c>
      <c r="C48" s="1" t="s">
        <v>51</v>
      </c>
      <c r="D48" t="s">
        <v>262</v>
      </c>
      <c r="E48" s="26">
        <v>46563</v>
      </c>
      <c r="F48" s="26">
        <v>46611</v>
      </c>
      <c r="G48" s="12">
        <f t="shared" si="0"/>
        <v>48</v>
      </c>
      <c r="H48" s="12">
        <f t="shared" si="1"/>
        <v>1.6</v>
      </c>
      <c r="I48" s="21">
        <f t="shared" ca="1" si="2"/>
        <v>416</v>
      </c>
      <c r="J48" s="12">
        <f t="shared" ca="1" si="3"/>
        <v>13.866666666666667</v>
      </c>
      <c r="K48" s="21">
        <f t="shared" ca="1" si="4"/>
        <v>464</v>
      </c>
      <c r="L48" s="21">
        <f t="shared" ca="1" si="5"/>
        <v>15.466666666666667</v>
      </c>
    </row>
    <row r="49" spans="2:12" outlineLevel="1" x14ac:dyDescent="0.45">
      <c r="B49" s="13" t="s">
        <v>97</v>
      </c>
      <c r="C49" s="13" t="s">
        <v>319</v>
      </c>
      <c r="D49" s="37" t="s">
        <v>394</v>
      </c>
      <c r="E49" s="31">
        <v>46563</v>
      </c>
      <c r="F49" s="31">
        <v>46576</v>
      </c>
      <c r="G49" s="43">
        <f t="shared" si="0"/>
        <v>13</v>
      </c>
      <c r="H49" s="43">
        <f t="shared" si="1"/>
        <v>0.43333333333333335</v>
      </c>
      <c r="I49" s="39">
        <f t="shared" ca="1" si="2"/>
        <v>416</v>
      </c>
      <c r="J49" s="43">
        <f t="shared" ca="1" si="3"/>
        <v>13.866666666666667</v>
      </c>
      <c r="K49" s="39">
        <f t="shared" ca="1" si="4"/>
        <v>429</v>
      </c>
      <c r="L49" s="39">
        <f t="shared" ca="1" si="5"/>
        <v>14.3</v>
      </c>
    </row>
    <row r="50" spans="2:12" outlineLevel="1" x14ac:dyDescent="0.45">
      <c r="B50" s="14" t="s">
        <v>98</v>
      </c>
      <c r="C50" s="14" t="s">
        <v>319</v>
      </c>
      <c r="D50" s="19" t="s">
        <v>395</v>
      </c>
      <c r="E50" s="29">
        <v>46563</v>
      </c>
      <c r="F50" s="29">
        <v>46569</v>
      </c>
      <c r="G50" s="20">
        <f t="shared" si="0"/>
        <v>6</v>
      </c>
      <c r="H50" s="20">
        <f t="shared" si="1"/>
        <v>0.2</v>
      </c>
      <c r="I50" s="23">
        <f t="shared" ca="1" si="2"/>
        <v>416</v>
      </c>
      <c r="J50" s="20">
        <f t="shared" ca="1" si="3"/>
        <v>13.866666666666667</v>
      </c>
      <c r="K50" s="23">
        <f t="shared" ca="1" si="4"/>
        <v>422</v>
      </c>
      <c r="L50" s="23">
        <f t="shared" ca="1" si="5"/>
        <v>14.066666666666666</v>
      </c>
    </row>
    <row r="51" spans="2:12" outlineLevel="1" x14ac:dyDescent="0.45">
      <c r="B51" s="14" t="s">
        <v>99</v>
      </c>
      <c r="C51" s="14" t="s">
        <v>319</v>
      </c>
      <c r="D51" s="19" t="s">
        <v>396</v>
      </c>
      <c r="E51" s="29">
        <v>46570</v>
      </c>
      <c r="F51" s="29">
        <v>46590</v>
      </c>
      <c r="G51" s="20">
        <f t="shared" si="0"/>
        <v>20</v>
      </c>
      <c r="H51" s="20">
        <f t="shared" si="1"/>
        <v>0.66666666666666663</v>
      </c>
      <c r="I51" s="23">
        <f t="shared" ca="1" si="2"/>
        <v>423</v>
      </c>
      <c r="J51" s="20">
        <f t="shared" ca="1" si="3"/>
        <v>14.1</v>
      </c>
      <c r="K51" s="23">
        <f t="shared" ca="1" si="4"/>
        <v>443</v>
      </c>
      <c r="L51" s="23">
        <f t="shared" ca="1" si="5"/>
        <v>14.766666666666667</v>
      </c>
    </row>
    <row r="52" spans="2:12" outlineLevel="1" x14ac:dyDescent="0.45">
      <c r="B52" s="15" t="s">
        <v>100</v>
      </c>
      <c r="C52" s="15" t="s">
        <v>319</v>
      </c>
      <c r="D52" s="32" t="s">
        <v>397</v>
      </c>
      <c r="E52" s="30">
        <v>46591</v>
      </c>
      <c r="F52" s="30">
        <v>46611</v>
      </c>
      <c r="G52" s="45">
        <f t="shared" si="0"/>
        <v>20</v>
      </c>
      <c r="H52" s="45">
        <f t="shared" si="1"/>
        <v>0.66666666666666663</v>
      </c>
      <c r="I52" s="40">
        <f t="shared" ca="1" si="2"/>
        <v>444</v>
      </c>
      <c r="J52" s="45">
        <f t="shared" ca="1" si="3"/>
        <v>14.8</v>
      </c>
      <c r="K52" s="40">
        <f t="shared" ca="1" si="4"/>
        <v>464</v>
      </c>
      <c r="L52" s="40">
        <f t="shared" ca="1" si="5"/>
        <v>15.466666666666667</v>
      </c>
    </row>
    <row r="53" spans="2:12" x14ac:dyDescent="0.45">
      <c r="B53" s="27">
        <v>6</v>
      </c>
      <c r="C53" s="1" t="s">
        <v>51</v>
      </c>
      <c r="D53" t="s">
        <v>263</v>
      </c>
      <c r="E53" s="26">
        <v>46563</v>
      </c>
      <c r="F53" s="26">
        <v>46632</v>
      </c>
      <c r="G53" s="12">
        <f t="shared" si="0"/>
        <v>69</v>
      </c>
      <c r="H53" s="12">
        <f t="shared" si="1"/>
        <v>2.2999999999999998</v>
      </c>
      <c r="I53" s="21">
        <f t="shared" ca="1" si="2"/>
        <v>416</v>
      </c>
      <c r="J53" s="12">
        <f t="shared" ca="1" si="3"/>
        <v>13.866666666666667</v>
      </c>
      <c r="K53" s="21">
        <f t="shared" ca="1" si="4"/>
        <v>485</v>
      </c>
      <c r="L53" s="21">
        <f t="shared" ca="1" si="5"/>
        <v>16.166666666666668</v>
      </c>
    </row>
    <row r="54" spans="2:12" outlineLevel="1" x14ac:dyDescent="0.45">
      <c r="B54" s="59" t="s">
        <v>109</v>
      </c>
      <c r="C54" s="13" t="s">
        <v>319</v>
      </c>
      <c r="D54" s="37" t="s">
        <v>398</v>
      </c>
      <c r="E54" s="31">
        <v>46563</v>
      </c>
      <c r="F54" s="31">
        <v>46576</v>
      </c>
      <c r="G54" s="43">
        <f t="shared" si="0"/>
        <v>13</v>
      </c>
      <c r="H54" s="43">
        <f t="shared" si="1"/>
        <v>0.43333333333333335</v>
      </c>
      <c r="I54" s="39">
        <f t="shared" ca="1" si="2"/>
        <v>416</v>
      </c>
      <c r="J54" s="43">
        <f t="shared" ca="1" si="3"/>
        <v>13.866666666666667</v>
      </c>
      <c r="K54" s="39">
        <f t="shared" ca="1" si="4"/>
        <v>429</v>
      </c>
      <c r="L54" s="39">
        <f t="shared" ca="1" si="5"/>
        <v>14.3</v>
      </c>
    </row>
    <row r="55" spans="2:12" outlineLevel="1" x14ac:dyDescent="0.45">
      <c r="B55" s="50" t="s">
        <v>110</v>
      </c>
      <c r="C55" s="14" t="s">
        <v>319</v>
      </c>
      <c r="D55" s="19" t="s">
        <v>399</v>
      </c>
      <c r="E55" s="29">
        <v>46563</v>
      </c>
      <c r="F55" s="29">
        <v>46576</v>
      </c>
      <c r="G55" s="20">
        <f t="shared" si="0"/>
        <v>13</v>
      </c>
      <c r="H55" s="20">
        <f t="shared" si="1"/>
        <v>0.43333333333333335</v>
      </c>
      <c r="I55" s="23">
        <f t="shared" ca="1" si="2"/>
        <v>416</v>
      </c>
      <c r="J55" s="20">
        <f t="shared" ca="1" si="3"/>
        <v>13.866666666666667</v>
      </c>
      <c r="K55" s="23">
        <f t="shared" ca="1" si="4"/>
        <v>429</v>
      </c>
      <c r="L55" s="23">
        <f t="shared" ca="1" si="5"/>
        <v>14.3</v>
      </c>
    </row>
    <row r="56" spans="2:12" outlineLevel="1" x14ac:dyDescent="0.45">
      <c r="B56" s="58" t="s">
        <v>383</v>
      </c>
      <c r="C56" s="15" t="s">
        <v>319</v>
      </c>
      <c r="D56" s="32" t="s">
        <v>400</v>
      </c>
      <c r="E56" s="30">
        <v>46612</v>
      </c>
      <c r="F56" s="30">
        <v>46632</v>
      </c>
      <c r="G56" s="45">
        <f t="shared" si="0"/>
        <v>20</v>
      </c>
      <c r="H56" s="45">
        <f t="shared" si="1"/>
        <v>0.66666666666666663</v>
      </c>
      <c r="I56" s="40">
        <f t="shared" ca="1" si="2"/>
        <v>465</v>
      </c>
      <c r="J56" s="45">
        <f t="shared" ca="1" si="3"/>
        <v>15.5</v>
      </c>
      <c r="K56" s="40">
        <f t="shared" ca="1" si="4"/>
        <v>485</v>
      </c>
      <c r="L56" s="40">
        <f t="shared" ca="1" si="5"/>
        <v>16.166666666666668</v>
      </c>
    </row>
    <row r="57" spans="2:12" x14ac:dyDescent="0.45">
      <c r="B57" s="1">
        <v>7</v>
      </c>
      <c r="C57" s="1" t="s">
        <v>51</v>
      </c>
      <c r="D57" t="s">
        <v>264</v>
      </c>
      <c r="E57" s="26">
        <v>46708</v>
      </c>
      <c r="F57" s="26">
        <v>46772</v>
      </c>
      <c r="G57" s="12">
        <f t="shared" si="0"/>
        <v>64</v>
      </c>
      <c r="H57" s="12">
        <f t="shared" si="1"/>
        <v>2.1333333333333333</v>
      </c>
      <c r="I57" s="21">
        <f t="shared" ca="1" si="2"/>
        <v>561</v>
      </c>
      <c r="J57" s="12">
        <f t="shared" ca="1" si="3"/>
        <v>18.7</v>
      </c>
      <c r="K57" s="21">
        <f t="shared" ca="1" si="4"/>
        <v>625</v>
      </c>
      <c r="L57" s="21">
        <f t="shared" ca="1" si="5"/>
        <v>20.833333333333332</v>
      </c>
    </row>
    <row r="58" spans="2:12" outlineLevel="1" x14ac:dyDescent="0.45">
      <c r="B58" s="13" t="s">
        <v>112</v>
      </c>
      <c r="C58" s="13" t="s">
        <v>319</v>
      </c>
      <c r="D58" s="37" t="s">
        <v>401</v>
      </c>
      <c r="E58" s="31">
        <v>46708</v>
      </c>
      <c r="F58" s="31">
        <v>46735</v>
      </c>
      <c r="G58" s="43">
        <f t="shared" si="0"/>
        <v>27</v>
      </c>
      <c r="H58" s="43">
        <f t="shared" si="1"/>
        <v>0.9</v>
      </c>
      <c r="I58" s="39">
        <f t="shared" ca="1" si="2"/>
        <v>561</v>
      </c>
      <c r="J58" s="43">
        <f t="shared" ca="1" si="3"/>
        <v>18.7</v>
      </c>
      <c r="K58" s="39">
        <f t="shared" ca="1" si="4"/>
        <v>588</v>
      </c>
      <c r="L58" s="39">
        <f t="shared" ca="1" si="5"/>
        <v>19.600000000000001</v>
      </c>
    </row>
    <row r="59" spans="2:12" outlineLevel="1" x14ac:dyDescent="0.45">
      <c r="B59" s="14" t="s">
        <v>384</v>
      </c>
      <c r="C59" s="14" t="s">
        <v>319</v>
      </c>
      <c r="D59" s="19" t="s">
        <v>402</v>
      </c>
      <c r="E59" s="29">
        <v>46736</v>
      </c>
      <c r="F59" s="29">
        <v>46742</v>
      </c>
      <c r="G59" s="20">
        <f t="shared" si="0"/>
        <v>6</v>
      </c>
      <c r="H59" s="20">
        <f t="shared" si="1"/>
        <v>0.2</v>
      </c>
      <c r="I59" s="23">
        <f t="shared" ca="1" si="2"/>
        <v>589</v>
      </c>
      <c r="J59" s="20">
        <f t="shared" ca="1" si="3"/>
        <v>19.633333333333333</v>
      </c>
      <c r="K59" s="23">
        <f t="shared" ca="1" si="4"/>
        <v>595</v>
      </c>
      <c r="L59" s="23">
        <f t="shared" ca="1" si="5"/>
        <v>19.833333333333332</v>
      </c>
    </row>
    <row r="60" spans="2:12" outlineLevel="1" x14ac:dyDescent="0.45">
      <c r="B60" s="14" t="s">
        <v>385</v>
      </c>
      <c r="C60" s="14" t="s">
        <v>319</v>
      </c>
      <c r="D60" s="19" t="s">
        <v>403</v>
      </c>
      <c r="E60" s="29">
        <v>46743</v>
      </c>
      <c r="F60" s="29">
        <v>46750</v>
      </c>
      <c r="G60" s="20">
        <f t="shared" si="0"/>
        <v>7</v>
      </c>
      <c r="H60" s="20">
        <f t="shared" si="1"/>
        <v>0.23333333333333334</v>
      </c>
      <c r="I60" s="23">
        <f t="shared" ca="1" si="2"/>
        <v>596</v>
      </c>
      <c r="J60" s="20">
        <f t="shared" ca="1" si="3"/>
        <v>19.866666666666667</v>
      </c>
      <c r="K60" s="23">
        <f t="shared" ca="1" si="4"/>
        <v>603</v>
      </c>
      <c r="L60" s="23">
        <f t="shared" ca="1" si="5"/>
        <v>20.100000000000001</v>
      </c>
    </row>
    <row r="61" spans="2:12" outlineLevel="1" x14ac:dyDescent="0.45">
      <c r="B61" s="15" t="s">
        <v>386</v>
      </c>
      <c r="C61" s="15" t="s">
        <v>319</v>
      </c>
      <c r="D61" s="32" t="s">
        <v>404</v>
      </c>
      <c r="E61" s="30">
        <v>46751</v>
      </c>
      <c r="F61" s="30">
        <v>46772</v>
      </c>
      <c r="G61" s="45">
        <f t="shared" si="0"/>
        <v>21</v>
      </c>
      <c r="H61" s="45">
        <f t="shared" si="1"/>
        <v>0.7</v>
      </c>
      <c r="I61" s="40">
        <f t="shared" ca="1" si="2"/>
        <v>604</v>
      </c>
      <c r="J61" s="45">
        <f t="shared" ca="1" si="3"/>
        <v>20.133333333333333</v>
      </c>
      <c r="K61" s="40">
        <f t="shared" ca="1" si="4"/>
        <v>625</v>
      </c>
      <c r="L61" s="40">
        <f t="shared" ca="1" si="5"/>
        <v>20.833333333333332</v>
      </c>
    </row>
    <row r="62" spans="2:12" x14ac:dyDescent="0.45">
      <c r="B62" s="1">
        <v>8</v>
      </c>
      <c r="C62" s="1" t="s">
        <v>51</v>
      </c>
      <c r="D62" t="s">
        <v>265</v>
      </c>
      <c r="E62" s="26">
        <v>46524</v>
      </c>
      <c r="F62" s="26">
        <v>46552</v>
      </c>
      <c r="G62" s="12">
        <f t="shared" si="0"/>
        <v>28</v>
      </c>
      <c r="H62" s="12">
        <f t="shared" si="1"/>
        <v>0.93333333333333335</v>
      </c>
      <c r="I62" s="21">
        <f t="shared" ca="1" si="2"/>
        <v>377</v>
      </c>
      <c r="J62" s="12">
        <f t="shared" ca="1" si="3"/>
        <v>12.566666666666666</v>
      </c>
      <c r="K62" s="21">
        <f t="shared" ca="1" si="4"/>
        <v>405</v>
      </c>
      <c r="L62" s="21">
        <f t="shared" ca="1" si="5"/>
        <v>13.5</v>
      </c>
    </row>
    <row r="63" spans="2:12" outlineLevel="1" x14ac:dyDescent="0.45">
      <c r="B63" s="13" t="s">
        <v>10</v>
      </c>
      <c r="C63" s="13" t="s">
        <v>319</v>
      </c>
      <c r="D63" s="37" t="s">
        <v>405</v>
      </c>
      <c r="E63" s="31">
        <v>46524</v>
      </c>
      <c r="F63" s="31">
        <v>46538</v>
      </c>
      <c r="G63" s="43">
        <f t="shared" si="0"/>
        <v>14</v>
      </c>
      <c r="H63" s="43">
        <f t="shared" si="1"/>
        <v>0.46666666666666667</v>
      </c>
      <c r="I63" s="39">
        <f t="shared" ca="1" si="2"/>
        <v>377</v>
      </c>
      <c r="J63" s="43">
        <f t="shared" ca="1" si="3"/>
        <v>12.566666666666666</v>
      </c>
      <c r="K63" s="39">
        <f t="shared" ca="1" si="4"/>
        <v>391</v>
      </c>
      <c r="L63" s="39">
        <f t="shared" ca="1" si="5"/>
        <v>13.033333333333333</v>
      </c>
    </row>
    <row r="64" spans="2:12" outlineLevel="1" x14ac:dyDescent="0.45">
      <c r="B64" s="15" t="s">
        <v>11</v>
      </c>
      <c r="C64" s="15" t="s">
        <v>319</v>
      </c>
      <c r="D64" s="32" t="s">
        <v>406</v>
      </c>
      <c r="E64" s="30">
        <v>46539</v>
      </c>
      <c r="F64" s="30">
        <v>46552</v>
      </c>
      <c r="G64" s="45">
        <f t="shared" si="0"/>
        <v>13</v>
      </c>
      <c r="H64" s="45">
        <f t="shared" si="1"/>
        <v>0.43333333333333335</v>
      </c>
      <c r="I64" s="40">
        <f t="shared" ca="1" si="2"/>
        <v>392</v>
      </c>
      <c r="J64" s="45">
        <f t="shared" ca="1" si="3"/>
        <v>13.066666666666666</v>
      </c>
      <c r="K64" s="40">
        <f t="shared" ca="1" si="4"/>
        <v>405</v>
      </c>
      <c r="L64" s="40">
        <f t="shared" ca="1" si="5"/>
        <v>13.5</v>
      </c>
    </row>
    <row r="65" spans="1:12" x14ac:dyDescent="0.45">
      <c r="B65" s="1">
        <v>9</v>
      </c>
      <c r="C65" s="1" t="s">
        <v>51</v>
      </c>
      <c r="D65" t="s">
        <v>266</v>
      </c>
      <c r="E65" s="26">
        <v>46598</v>
      </c>
      <c r="F65" s="26">
        <v>46611</v>
      </c>
      <c r="G65" s="12">
        <f t="shared" si="0"/>
        <v>13</v>
      </c>
      <c r="H65" s="12">
        <f t="shared" si="1"/>
        <v>0.43333333333333335</v>
      </c>
      <c r="I65" s="21">
        <f t="shared" ca="1" si="2"/>
        <v>451</v>
      </c>
      <c r="J65" s="12">
        <f t="shared" ca="1" si="3"/>
        <v>15.033333333333333</v>
      </c>
      <c r="K65" s="21">
        <f t="shared" ca="1" si="4"/>
        <v>464</v>
      </c>
      <c r="L65" s="21">
        <f t="shared" ca="1" si="5"/>
        <v>15.466666666666667</v>
      </c>
    </row>
    <row r="66" spans="1:12" outlineLevel="1" x14ac:dyDescent="0.45">
      <c r="B66" s="13" t="s">
        <v>121</v>
      </c>
      <c r="C66" s="13" t="s">
        <v>319</v>
      </c>
      <c r="D66" s="37" t="s">
        <v>407</v>
      </c>
      <c r="E66" s="31">
        <v>46598</v>
      </c>
      <c r="F66" s="31">
        <v>46611</v>
      </c>
      <c r="G66" s="43">
        <f t="shared" si="0"/>
        <v>13</v>
      </c>
      <c r="H66" s="43">
        <f t="shared" si="1"/>
        <v>0.43333333333333335</v>
      </c>
      <c r="I66" s="39">
        <f t="shared" ca="1" si="2"/>
        <v>451</v>
      </c>
      <c r="J66" s="43">
        <f t="shared" ca="1" si="3"/>
        <v>15.033333333333333</v>
      </c>
      <c r="K66" s="39">
        <f t="shared" ca="1" si="4"/>
        <v>464</v>
      </c>
      <c r="L66" s="39">
        <f t="shared" ca="1" si="5"/>
        <v>15.466666666666667</v>
      </c>
    </row>
    <row r="67" spans="1:12" outlineLevel="1" x14ac:dyDescent="0.45">
      <c r="B67" s="15" t="s">
        <v>387</v>
      </c>
      <c r="C67" s="15" t="s">
        <v>319</v>
      </c>
      <c r="D67" s="32" t="s">
        <v>408</v>
      </c>
      <c r="E67" s="30">
        <v>46598</v>
      </c>
      <c r="F67" s="30">
        <v>46609</v>
      </c>
      <c r="G67" s="45">
        <f t="shared" si="0"/>
        <v>11</v>
      </c>
      <c r="H67" s="45">
        <f t="shared" si="1"/>
        <v>0.36666666666666664</v>
      </c>
      <c r="I67" s="40">
        <f t="shared" ca="1" si="2"/>
        <v>451</v>
      </c>
      <c r="J67" s="45">
        <f t="shared" ca="1" si="3"/>
        <v>15.033333333333333</v>
      </c>
      <c r="K67" s="40">
        <f t="shared" ca="1" si="4"/>
        <v>462</v>
      </c>
      <c r="L67" s="40">
        <f t="shared" ca="1" si="5"/>
        <v>15.4</v>
      </c>
    </row>
    <row r="68" spans="1:12" x14ac:dyDescent="0.45">
      <c r="B68" s="1">
        <v>10</v>
      </c>
      <c r="C68" s="1" t="s">
        <v>51</v>
      </c>
      <c r="D68" t="s">
        <v>267</v>
      </c>
      <c r="E68" s="26">
        <v>46678</v>
      </c>
      <c r="F68" s="26">
        <v>46689</v>
      </c>
      <c r="G68" s="12">
        <f t="shared" si="0"/>
        <v>11</v>
      </c>
      <c r="H68" s="12">
        <f t="shared" si="1"/>
        <v>0.36666666666666664</v>
      </c>
      <c r="I68" s="21">
        <f t="shared" ca="1" si="2"/>
        <v>531</v>
      </c>
      <c r="J68" s="12">
        <f t="shared" ca="1" si="3"/>
        <v>17.7</v>
      </c>
      <c r="K68" s="21">
        <f t="shared" ca="1" si="4"/>
        <v>542</v>
      </c>
      <c r="L68" s="21">
        <f t="shared" ca="1" si="5"/>
        <v>18.066666666666666</v>
      </c>
    </row>
    <row r="69" spans="1:12" outlineLevel="1" x14ac:dyDescent="0.45">
      <c r="A69" s="19"/>
      <c r="B69" s="13" t="s">
        <v>124</v>
      </c>
      <c r="C69" s="13" t="s">
        <v>319</v>
      </c>
      <c r="D69" s="37" t="s">
        <v>409</v>
      </c>
      <c r="E69" s="31">
        <v>46678</v>
      </c>
      <c r="F69" s="31">
        <v>46689</v>
      </c>
      <c r="G69" s="43">
        <f t="shared" si="0"/>
        <v>11</v>
      </c>
      <c r="H69" s="43">
        <f t="shared" si="1"/>
        <v>0.36666666666666664</v>
      </c>
      <c r="I69" s="39">
        <f t="shared" ca="1" si="2"/>
        <v>531</v>
      </c>
      <c r="J69" s="43">
        <f t="shared" ca="1" si="3"/>
        <v>17.7</v>
      </c>
      <c r="K69" s="39">
        <f t="shared" ca="1" si="4"/>
        <v>542</v>
      </c>
      <c r="L69" s="39">
        <f t="shared" ca="1" si="5"/>
        <v>18.066666666666666</v>
      </c>
    </row>
    <row r="70" spans="1:12" outlineLevel="1" x14ac:dyDescent="0.45">
      <c r="B70" s="15" t="s">
        <v>125</v>
      </c>
      <c r="C70" s="15" t="s">
        <v>319</v>
      </c>
      <c r="D70" s="32" t="s">
        <v>410</v>
      </c>
      <c r="E70" s="30">
        <v>46678</v>
      </c>
      <c r="F70" s="30">
        <v>46689</v>
      </c>
      <c r="G70" s="45">
        <f t="shared" si="0"/>
        <v>11</v>
      </c>
      <c r="H70" s="45">
        <f t="shared" si="1"/>
        <v>0.36666666666666664</v>
      </c>
      <c r="I70" s="40">
        <f t="shared" ca="1" si="2"/>
        <v>531</v>
      </c>
      <c r="J70" s="45">
        <f t="shared" ca="1" si="3"/>
        <v>17.7</v>
      </c>
      <c r="K70" s="40">
        <f t="shared" ca="1" si="4"/>
        <v>542</v>
      </c>
      <c r="L70" s="40">
        <f t="shared" ca="1" si="5"/>
        <v>18.066666666666666</v>
      </c>
    </row>
    <row r="71" spans="1:12" x14ac:dyDescent="0.45">
      <c r="B71" s="27">
        <v>11</v>
      </c>
      <c r="C71" s="1" t="s">
        <v>51</v>
      </c>
      <c r="D71" t="s">
        <v>268</v>
      </c>
      <c r="E71" s="26">
        <v>46678</v>
      </c>
      <c r="F71" s="26">
        <v>46689</v>
      </c>
      <c r="G71" s="12">
        <f t="shared" si="0"/>
        <v>11</v>
      </c>
      <c r="H71" s="12">
        <f t="shared" si="1"/>
        <v>0.36666666666666664</v>
      </c>
      <c r="I71" s="21">
        <f t="shared" ca="1" si="2"/>
        <v>531</v>
      </c>
      <c r="J71" s="12">
        <f t="shared" ca="1" si="3"/>
        <v>17.7</v>
      </c>
      <c r="K71" s="21">
        <f t="shared" ca="1" si="4"/>
        <v>542</v>
      </c>
      <c r="L71" s="21">
        <f t="shared" ca="1" si="5"/>
        <v>18.066666666666666</v>
      </c>
    </row>
    <row r="72" spans="1:12" outlineLevel="1" x14ac:dyDescent="0.45">
      <c r="B72" s="59" t="s">
        <v>123</v>
      </c>
      <c r="C72" s="13" t="s">
        <v>319</v>
      </c>
      <c r="D72" s="37" t="s">
        <v>434</v>
      </c>
      <c r="E72" s="31">
        <v>46678</v>
      </c>
      <c r="F72" s="31">
        <v>46689</v>
      </c>
      <c r="G72" s="43">
        <f t="shared" ref="G72:G73" si="24">F72-E72</f>
        <v>11</v>
      </c>
      <c r="H72" s="43">
        <f t="shared" si="1"/>
        <v>0.36666666666666664</v>
      </c>
      <c r="I72" s="39">
        <f t="shared" ref="I72:I73" ca="1" si="25">IF(E72-$E$1&lt;=0,"",E72-$E$1)</f>
        <v>531</v>
      </c>
      <c r="J72" s="43">
        <f t="shared" ca="1" si="3"/>
        <v>17.7</v>
      </c>
      <c r="K72" s="39">
        <f t="shared" ref="K72:K73" ca="1" si="26">IF(F72-$E$1&lt;=0,"",F72-$E$1)</f>
        <v>542</v>
      </c>
      <c r="L72" s="39">
        <f t="shared" ca="1" si="5"/>
        <v>18.066666666666666</v>
      </c>
    </row>
    <row r="73" spans="1:12" outlineLevel="1" x14ac:dyDescent="0.45">
      <c r="B73" s="58" t="s">
        <v>412</v>
      </c>
      <c r="C73" s="15" t="s">
        <v>319</v>
      </c>
      <c r="D73" s="32" t="s">
        <v>435</v>
      </c>
      <c r="E73" s="30">
        <v>46678</v>
      </c>
      <c r="F73" s="30">
        <v>46689</v>
      </c>
      <c r="G73" s="45">
        <f t="shared" si="24"/>
        <v>11</v>
      </c>
      <c r="H73" s="45">
        <f t="shared" si="1"/>
        <v>0.36666666666666664</v>
      </c>
      <c r="I73" s="40">
        <f t="shared" ca="1" si="25"/>
        <v>531</v>
      </c>
      <c r="J73" s="45">
        <f t="shared" ca="1" si="3"/>
        <v>17.7</v>
      </c>
      <c r="K73" s="40">
        <f t="shared" ca="1" si="26"/>
        <v>542</v>
      </c>
      <c r="L73" s="40">
        <f t="shared" ca="1" si="5"/>
        <v>18.066666666666666</v>
      </c>
    </row>
    <row r="74" spans="1:12" x14ac:dyDescent="0.45">
      <c r="B74" s="1">
        <v>12</v>
      </c>
      <c r="C74" s="1" t="s">
        <v>51</v>
      </c>
      <c r="D74" t="s">
        <v>269</v>
      </c>
      <c r="E74" s="26">
        <v>46402</v>
      </c>
      <c r="F74" s="26">
        <v>46472</v>
      </c>
      <c r="G74" s="12">
        <f t="shared" si="0"/>
        <v>70</v>
      </c>
      <c r="H74" s="12">
        <f t="shared" si="1"/>
        <v>2.3333333333333335</v>
      </c>
      <c r="I74" s="21">
        <f t="shared" ca="1" si="2"/>
        <v>255</v>
      </c>
      <c r="J74" s="12">
        <f t="shared" ca="1" si="3"/>
        <v>8.5</v>
      </c>
      <c r="K74" s="21">
        <f t="shared" ca="1" si="4"/>
        <v>325</v>
      </c>
      <c r="L74" s="21">
        <f t="shared" ca="1" si="5"/>
        <v>10.833333333333334</v>
      </c>
    </row>
    <row r="75" spans="1:12" outlineLevel="1" x14ac:dyDescent="0.45">
      <c r="B75" s="13" t="s">
        <v>122</v>
      </c>
      <c r="C75" s="13" t="s">
        <v>319</v>
      </c>
      <c r="D75" s="37" t="s">
        <v>436</v>
      </c>
      <c r="E75" s="31">
        <v>46402</v>
      </c>
      <c r="F75" s="31">
        <v>46415</v>
      </c>
      <c r="G75" s="43">
        <f t="shared" ref="G75:G77" si="27">F75-E75</f>
        <v>13</v>
      </c>
      <c r="H75" s="43">
        <f t="shared" si="1"/>
        <v>0.43333333333333335</v>
      </c>
      <c r="I75" s="39">
        <f t="shared" ref="I75:I77" ca="1" si="28">IF(E75-$E$1&lt;=0,"",E75-$E$1)</f>
        <v>255</v>
      </c>
      <c r="J75" s="43">
        <f t="shared" ca="1" si="3"/>
        <v>8.5</v>
      </c>
      <c r="K75" s="39">
        <f t="shared" ref="K75:K77" ca="1" si="29">IF(F75-$E$1&lt;=0,"",F75-$E$1)</f>
        <v>268</v>
      </c>
      <c r="L75" s="39">
        <f t="shared" ca="1" si="5"/>
        <v>8.9333333333333336</v>
      </c>
    </row>
    <row r="76" spans="1:12" outlineLevel="1" x14ac:dyDescent="0.45">
      <c r="B76" s="14" t="s">
        <v>413</v>
      </c>
      <c r="C76" s="14" t="s">
        <v>319</v>
      </c>
      <c r="D76" s="19" t="s">
        <v>437</v>
      </c>
      <c r="E76" s="29">
        <v>46443</v>
      </c>
      <c r="F76" s="29">
        <v>46458</v>
      </c>
      <c r="G76" s="20">
        <f t="shared" si="27"/>
        <v>15</v>
      </c>
      <c r="H76" s="20">
        <f t="shared" si="1"/>
        <v>0.5</v>
      </c>
      <c r="I76" s="23">
        <f t="shared" ca="1" si="28"/>
        <v>296</v>
      </c>
      <c r="J76" s="20">
        <f t="shared" ca="1" si="3"/>
        <v>9.8666666666666671</v>
      </c>
      <c r="K76" s="23">
        <f t="shared" ca="1" si="29"/>
        <v>311</v>
      </c>
      <c r="L76" s="23">
        <f t="shared" ca="1" si="5"/>
        <v>10.366666666666667</v>
      </c>
    </row>
    <row r="77" spans="1:12" outlineLevel="1" x14ac:dyDescent="0.45">
      <c r="B77" s="15" t="s">
        <v>414</v>
      </c>
      <c r="C77" s="15" t="s">
        <v>319</v>
      </c>
      <c r="D77" s="32" t="s">
        <v>438</v>
      </c>
      <c r="E77" s="30">
        <v>46461</v>
      </c>
      <c r="F77" s="30">
        <v>46472</v>
      </c>
      <c r="G77" s="45">
        <f t="shared" si="27"/>
        <v>11</v>
      </c>
      <c r="H77" s="45">
        <f t="shared" si="1"/>
        <v>0.36666666666666664</v>
      </c>
      <c r="I77" s="40">
        <f t="shared" ca="1" si="28"/>
        <v>314</v>
      </c>
      <c r="J77" s="45">
        <f t="shared" ca="1" si="3"/>
        <v>10.466666666666667</v>
      </c>
      <c r="K77" s="40">
        <f t="shared" ca="1" si="29"/>
        <v>325</v>
      </c>
      <c r="L77" s="40">
        <f t="shared" ca="1" si="5"/>
        <v>10.833333333333334</v>
      </c>
    </row>
    <row r="78" spans="1:12" x14ac:dyDescent="0.45">
      <c r="B78" s="1">
        <v>13</v>
      </c>
      <c r="C78" s="1" t="s">
        <v>51</v>
      </c>
      <c r="D78" t="s">
        <v>270</v>
      </c>
      <c r="E78" s="26">
        <v>46623</v>
      </c>
      <c r="F78" s="26">
        <v>46727</v>
      </c>
      <c r="G78" s="12">
        <f t="shared" si="0"/>
        <v>104</v>
      </c>
      <c r="H78" s="12">
        <f t="shared" si="1"/>
        <v>3.4666666666666668</v>
      </c>
      <c r="I78" s="21">
        <f t="shared" ca="1" si="2"/>
        <v>476</v>
      </c>
      <c r="J78" s="12">
        <f t="shared" ca="1" si="3"/>
        <v>15.866666666666667</v>
      </c>
      <c r="K78" s="21">
        <f t="shared" ca="1" si="4"/>
        <v>580</v>
      </c>
      <c r="L78" s="21">
        <f t="shared" ca="1" si="5"/>
        <v>19.333333333333332</v>
      </c>
    </row>
    <row r="79" spans="1:12" outlineLevel="2" x14ac:dyDescent="0.45">
      <c r="B79" s="13" t="s">
        <v>415</v>
      </c>
      <c r="C79" s="13" t="s">
        <v>319</v>
      </c>
      <c r="D79" s="37" t="s">
        <v>439</v>
      </c>
      <c r="E79" s="31">
        <v>46623</v>
      </c>
      <c r="F79" s="31">
        <v>46646</v>
      </c>
      <c r="G79" s="43">
        <f t="shared" ref="G79:G86" si="30">F79-E79</f>
        <v>23</v>
      </c>
      <c r="H79" s="43">
        <f t="shared" si="1"/>
        <v>0.76666666666666672</v>
      </c>
      <c r="I79" s="39">
        <f t="shared" ref="I79:I86" ca="1" si="31">IF(E79-$E$1&lt;=0,"",E79-$E$1)</f>
        <v>476</v>
      </c>
      <c r="J79" s="43">
        <f t="shared" ca="1" si="3"/>
        <v>15.866666666666667</v>
      </c>
      <c r="K79" s="39">
        <f t="shared" ref="K79:K86" ca="1" si="32">IF(F79-$E$1&lt;=0,"",F79-$E$1)</f>
        <v>499</v>
      </c>
      <c r="L79" s="39">
        <f t="shared" ca="1" si="5"/>
        <v>16.633333333333333</v>
      </c>
    </row>
    <row r="80" spans="1:12" outlineLevel="2" x14ac:dyDescent="0.45">
      <c r="B80" s="14" t="s">
        <v>416</v>
      </c>
      <c r="C80" s="14" t="s">
        <v>319</v>
      </c>
      <c r="D80" s="19" t="s">
        <v>440</v>
      </c>
      <c r="E80" s="29">
        <v>46647</v>
      </c>
      <c r="F80" s="29">
        <v>46660</v>
      </c>
      <c r="G80" s="20">
        <f t="shared" si="30"/>
        <v>13</v>
      </c>
      <c r="H80" s="20">
        <f t="shared" si="1"/>
        <v>0.43333333333333335</v>
      </c>
      <c r="I80" s="23">
        <f t="shared" ca="1" si="31"/>
        <v>500</v>
      </c>
      <c r="J80" s="20">
        <f t="shared" ca="1" si="3"/>
        <v>16.666666666666668</v>
      </c>
      <c r="K80" s="23">
        <f t="shared" ca="1" si="32"/>
        <v>513</v>
      </c>
      <c r="L80" s="23">
        <f t="shared" ca="1" si="5"/>
        <v>17.100000000000001</v>
      </c>
    </row>
    <row r="81" spans="2:12" outlineLevel="2" x14ac:dyDescent="0.45">
      <c r="B81" s="14" t="s">
        <v>417</v>
      </c>
      <c r="C81" s="14" t="s">
        <v>319</v>
      </c>
      <c r="D81" s="19" t="s">
        <v>441</v>
      </c>
      <c r="E81" s="29">
        <v>46661</v>
      </c>
      <c r="F81" s="29">
        <v>46688</v>
      </c>
      <c r="G81" s="20">
        <f t="shared" si="30"/>
        <v>27</v>
      </c>
      <c r="H81" s="20">
        <f t="shared" si="1"/>
        <v>0.9</v>
      </c>
      <c r="I81" s="23">
        <f t="shared" ca="1" si="31"/>
        <v>514</v>
      </c>
      <c r="J81" s="20">
        <f t="shared" ca="1" si="3"/>
        <v>17.133333333333333</v>
      </c>
      <c r="K81" s="23">
        <f t="shared" ca="1" si="32"/>
        <v>541</v>
      </c>
      <c r="L81" s="23">
        <f t="shared" ca="1" si="5"/>
        <v>18.033333333333335</v>
      </c>
    </row>
    <row r="82" spans="2:12" outlineLevel="2" x14ac:dyDescent="0.45">
      <c r="B82" s="14" t="s">
        <v>418</v>
      </c>
      <c r="C82" s="14" t="s">
        <v>319</v>
      </c>
      <c r="D82" s="19" t="s">
        <v>442</v>
      </c>
      <c r="E82" s="29">
        <v>46689</v>
      </c>
      <c r="F82" s="29">
        <v>46706</v>
      </c>
      <c r="G82" s="20">
        <f t="shared" si="30"/>
        <v>17</v>
      </c>
      <c r="H82" s="20">
        <f t="shared" si="1"/>
        <v>0.56666666666666665</v>
      </c>
      <c r="I82" s="23">
        <f t="shared" ca="1" si="31"/>
        <v>542</v>
      </c>
      <c r="J82" s="20">
        <f t="shared" ca="1" si="3"/>
        <v>18.066666666666666</v>
      </c>
      <c r="K82" s="23">
        <f t="shared" ca="1" si="32"/>
        <v>559</v>
      </c>
      <c r="L82" s="23">
        <f t="shared" ca="1" si="5"/>
        <v>18.633333333333333</v>
      </c>
    </row>
    <row r="83" spans="2:12" outlineLevel="2" x14ac:dyDescent="0.45">
      <c r="B83" s="14" t="s">
        <v>419</v>
      </c>
      <c r="C83" s="14" t="s">
        <v>319</v>
      </c>
      <c r="D83" s="19" t="s">
        <v>443</v>
      </c>
      <c r="E83" s="29">
        <v>46647</v>
      </c>
      <c r="F83" s="29">
        <v>46674</v>
      </c>
      <c r="G83" s="20">
        <f t="shared" si="30"/>
        <v>27</v>
      </c>
      <c r="H83" s="20">
        <f t="shared" si="1"/>
        <v>0.9</v>
      </c>
      <c r="I83" s="23">
        <f t="shared" ca="1" si="31"/>
        <v>500</v>
      </c>
      <c r="J83" s="20">
        <f t="shared" ca="1" si="3"/>
        <v>16.666666666666668</v>
      </c>
      <c r="K83" s="23">
        <f t="shared" ca="1" si="32"/>
        <v>527</v>
      </c>
      <c r="L83" s="23">
        <f t="shared" ca="1" si="5"/>
        <v>17.566666666666666</v>
      </c>
    </row>
    <row r="84" spans="2:12" outlineLevel="2" x14ac:dyDescent="0.45">
      <c r="B84" s="14" t="s">
        <v>420</v>
      </c>
      <c r="C84" s="14" t="s">
        <v>319</v>
      </c>
      <c r="D84" s="19" t="s">
        <v>444</v>
      </c>
      <c r="E84" s="29">
        <v>46675</v>
      </c>
      <c r="F84" s="29">
        <v>46696</v>
      </c>
      <c r="G84" s="20">
        <f t="shared" si="30"/>
        <v>21</v>
      </c>
      <c r="H84" s="20">
        <f t="shared" si="1"/>
        <v>0.7</v>
      </c>
      <c r="I84" s="23">
        <f t="shared" ca="1" si="31"/>
        <v>528</v>
      </c>
      <c r="J84" s="20">
        <f t="shared" ca="1" si="3"/>
        <v>17.600000000000001</v>
      </c>
      <c r="K84" s="23">
        <f t="shared" ca="1" si="32"/>
        <v>549</v>
      </c>
      <c r="L84" s="23">
        <f t="shared" ca="1" si="5"/>
        <v>18.3</v>
      </c>
    </row>
    <row r="85" spans="2:12" outlineLevel="2" x14ac:dyDescent="0.45">
      <c r="B85" s="14" t="s">
        <v>421</v>
      </c>
      <c r="C85" s="14" t="s">
        <v>319</v>
      </c>
      <c r="D85" s="19" t="s">
        <v>445</v>
      </c>
      <c r="E85" s="29">
        <v>46707</v>
      </c>
      <c r="F85" s="29">
        <v>46727</v>
      </c>
      <c r="G85" s="20">
        <f t="shared" si="30"/>
        <v>20</v>
      </c>
      <c r="H85" s="20">
        <f t="shared" si="1"/>
        <v>0.66666666666666663</v>
      </c>
      <c r="I85" s="23">
        <f t="shared" ca="1" si="31"/>
        <v>560</v>
      </c>
      <c r="J85" s="20">
        <f t="shared" ca="1" si="3"/>
        <v>18.666666666666668</v>
      </c>
      <c r="K85" s="23">
        <f t="shared" ca="1" si="32"/>
        <v>580</v>
      </c>
      <c r="L85" s="23">
        <f t="shared" ca="1" si="5"/>
        <v>19.333333333333332</v>
      </c>
    </row>
    <row r="86" spans="2:12" outlineLevel="2" x14ac:dyDescent="0.45">
      <c r="B86" s="15" t="s">
        <v>422</v>
      </c>
      <c r="C86" s="15" t="s">
        <v>319</v>
      </c>
      <c r="D86" s="32" t="s">
        <v>446</v>
      </c>
      <c r="E86" s="30">
        <v>46689</v>
      </c>
      <c r="F86" s="30">
        <v>46706</v>
      </c>
      <c r="G86" s="45">
        <f t="shared" si="30"/>
        <v>17</v>
      </c>
      <c r="H86" s="45">
        <f t="shared" si="1"/>
        <v>0.56666666666666665</v>
      </c>
      <c r="I86" s="40">
        <f t="shared" ca="1" si="31"/>
        <v>542</v>
      </c>
      <c r="J86" s="45">
        <f t="shared" ca="1" si="3"/>
        <v>18.066666666666666</v>
      </c>
      <c r="K86" s="40">
        <f t="shared" ca="1" si="32"/>
        <v>559</v>
      </c>
      <c r="L86" s="40">
        <f t="shared" ca="1" si="5"/>
        <v>18.633333333333333</v>
      </c>
    </row>
    <row r="87" spans="2:12" x14ac:dyDescent="0.45">
      <c r="B87" s="1">
        <v>14</v>
      </c>
      <c r="C87" s="1" t="s">
        <v>51</v>
      </c>
      <c r="D87" t="s">
        <v>411</v>
      </c>
      <c r="E87" s="26">
        <v>46623</v>
      </c>
      <c r="F87" s="26">
        <v>46646</v>
      </c>
      <c r="G87" s="12">
        <f t="shared" si="0"/>
        <v>23</v>
      </c>
      <c r="H87" s="12">
        <f t="shared" si="1"/>
        <v>0.76666666666666672</v>
      </c>
      <c r="I87" s="21">
        <f t="shared" ca="1" si="2"/>
        <v>476</v>
      </c>
      <c r="J87" s="12">
        <f t="shared" ca="1" si="3"/>
        <v>15.866666666666667</v>
      </c>
      <c r="K87" s="21">
        <f t="shared" ca="1" si="4"/>
        <v>499</v>
      </c>
      <c r="L87" s="21">
        <f t="shared" ca="1" si="5"/>
        <v>16.633333333333333</v>
      </c>
    </row>
    <row r="88" spans="2:12" outlineLevel="1" x14ac:dyDescent="0.45">
      <c r="B88" s="13" t="s">
        <v>135</v>
      </c>
      <c r="C88" s="13" t="s">
        <v>319</v>
      </c>
      <c r="D88" s="37"/>
      <c r="E88" s="31"/>
      <c r="F88" s="31"/>
      <c r="G88" s="43">
        <f t="shared" ref="G88:G89" si="33">F88-E88</f>
        <v>0</v>
      </c>
      <c r="H88" s="43">
        <f t="shared" si="1"/>
        <v>0</v>
      </c>
      <c r="I88" s="39" t="str">
        <f t="shared" ref="I88:I89" ca="1" si="34">IF(E88-$E$1&lt;=0,"",E88-$E$1)</f>
        <v/>
      </c>
      <c r="J88" s="43" t="str">
        <f t="shared" ca="1" si="3"/>
        <v/>
      </c>
      <c r="K88" s="39" t="str">
        <f t="shared" ref="K88:K89" ca="1" si="35">IF(F88-$E$1&lt;=0,"",F88-$E$1)</f>
        <v/>
      </c>
      <c r="L88" s="39" t="str">
        <f t="shared" ca="1" si="5"/>
        <v/>
      </c>
    </row>
    <row r="89" spans="2:12" outlineLevel="1" x14ac:dyDescent="0.45">
      <c r="B89" s="15" t="s">
        <v>423</v>
      </c>
      <c r="C89" s="15" t="s">
        <v>319</v>
      </c>
      <c r="D89" s="32"/>
      <c r="E89" s="30"/>
      <c r="F89" s="30"/>
      <c r="G89" s="45">
        <f t="shared" si="33"/>
        <v>0</v>
      </c>
      <c r="H89" s="45">
        <f t="shared" si="1"/>
        <v>0</v>
      </c>
      <c r="I89" s="40" t="str">
        <f t="shared" ca="1" si="34"/>
        <v/>
      </c>
      <c r="J89" s="45" t="str">
        <f t="shared" ca="1" si="3"/>
        <v/>
      </c>
      <c r="K89" s="40" t="str">
        <f t="shared" ca="1" si="35"/>
        <v/>
      </c>
      <c r="L89" s="40" t="str">
        <f t="shared" ca="1" si="5"/>
        <v/>
      </c>
    </row>
    <row r="90" spans="2:12" x14ac:dyDescent="0.45">
      <c r="B90" s="1">
        <v>15</v>
      </c>
      <c r="C90" s="1" t="s">
        <v>51</v>
      </c>
      <c r="D90" t="s">
        <v>271</v>
      </c>
      <c r="E90" s="26">
        <v>46493</v>
      </c>
      <c r="F90" s="26">
        <v>46566</v>
      </c>
      <c r="G90" s="12">
        <f t="shared" si="0"/>
        <v>73</v>
      </c>
      <c r="H90" s="12">
        <f t="shared" si="1"/>
        <v>2.4333333333333331</v>
      </c>
      <c r="I90" s="21">
        <f t="shared" ca="1" si="2"/>
        <v>346</v>
      </c>
      <c r="J90" s="12">
        <f t="shared" ca="1" si="3"/>
        <v>11.533333333333333</v>
      </c>
      <c r="K90" s="21">
        <f t="shared" ca="1" si="4"/>
        <v>419</v>
      </c>
      <c r="L90" s="21">
        <f t="shared" ca="1" si="5"/>
        <v>13.966666666666667</v>
      </c>
    </row>
    <row r="91" spans="2:12" outlineLevel="1" x14ac:dyDescent="0.45">
      <c r="B91" s="13" t="s">
        <v>138</v>
      </c>
      <c r="C91" s="13" t="s">
        <v>319</v>
      </c>
      <c r="D91" s="37"/>
      <c r="E91" s="31"/>
      <c r="F91" s="31"/>
      <c r="G91" s="43">
        <f t="shared" ref="G91:G93" si="36">F91-E91</f>
        <v>0</v>
      </c>
      <c r="H91" s="43">
        <f t="shared" si="1"/>
        <v>0</v>
      </c>
      <c r="I91" s="39" t="str">
        <f t="shared" ref="I91:I93" ca="1" si="37">IF(E91-$E$1&lt;=0,"",E91-$E$1)</f>
        <v/>
      </c>
      <c r="J91" s="43" t="str">
        <f t="shared" ca="1" si="3"/>
        <v/>
      </c>
      <c r="K91" s="39" t="str">
        <f t="shared" ref="K91:K93" ca="1" si="38">IF(F91-$E$1&lt;=0,"",F91-$E$1)</f>
        <v/>
      </c>
      <c r="L91" s="39" t="str">
        <f t="shared" ca="1" si="5"/>
        <v/>
      </c>
    </row>
    <row r="92" spans="2:12" outlineLevel="1" x14ac:dyDescent="0.45">
      <c r="B92" s="14" t="s">
        <v>139</v>
      </c>
      <c r="C92" s="14" t="s">
        <v>319</v>
      </c>
      <c r="D92" s="19"/>
      <c r="E92" s="29"/>
      <c r="F92" s="29"/>
      <c r="G92" s="20">
        <f t="shared" si="36"/>
        <v>0</v>
      </c>
      <c r="H92" s="20">
        <f t="shared" si="1"/>
        <v>0</v>
      </c>
      <c r="I92" s="23" t="str">
        <f t="shared" ca="1" si="37"/>
        <v/>
      </c>
      <c r="J92" s="20" t="str">
        <f t="shared" ca="1" si="3"/>
        <v/>
      </c>
      <c r="K92" s="23" t="str">
        <f t="shared" ca="1" si="38"/>
        <v/>
      </c>
      <c r="L92" s="23" t="str">
        <f t="shared" ca="1" si="5"/>
        <v/>
      </c>
    </row>
    <row r="93" spans="2:12" outlineLevel="1" x14ac:dyDescent="0.45">
      <c r="B93" s="15" t="s">
        <v>140</v>
      </c>
      <c r="C93" s="15" t="s">
        <v>319</v>
      </c>
      <c r="D93" s="32"/>
      <c r="E93" s="30"/>
      <c r="F93" s="30"/>
      <c r="G93" s="45">
        <f t="shared" si="36"/>
        <v>0</v>
      </c>
      <c r="H93" s="45">
        <f t="shared" si="1"/>
        <v>0</v>
      </c>
      <c r="I93" s="40" t="str">
        <f t="shared" ca="1" si="37"/>
        <v/>
      </c>
      <c r="J93" s="45" t="str">
        <f t="shared" ca="1" si="3"/>
        <v/>
      </c>
      <c r="K93" s="40" t="str">
        <f t="shared" ca="1" si="38"/>
        <v/>
      </c>
      <c r="L93" s="40" t="str">
        <f t="shared" ca="1" si="5"/>
        <v/>
      </c>
    </row>
    <row r="94" spans="2:12" x14ac:dyDescent="0.45">
      <c r="B94" s="27">
        <v>16</v>
      </c>
      <c r="C94" s="1" t="s">
        <v>51</v>
      </c>
      <c r="D94" t="s">
        <v>272</v>
      </c>
      <c r="E94" s="26">
        <v>46493</v>
      </c>
      <c r="F94" s="26">
        <v>46545</v>
      </c>
      <c r="G94" s="12">
        <f t="shared" si="0"/>
        <v>52</v>
      </c>
      <c r="H94" s="12">
        <f t="shared" si="1"/>
        <v>1.7333333333333334</v>
      </c>
      <c r="I94" s="21">
        <f t="shared" ca="1" si="2"/>
        <v>346</v>
      </c>
      <c r="J94" s="12">
        <f t="shared" ca="1" si="3"/>
        <v>11.533333333333333</v>
      </c>
      <c r="K94" s="21">
        <f t="shared" ca="1" si="4"/>
        <v>398</v>
      </c>
      <c r="L94" s="21">
        <f t="shared" ca="1" si="5"/>
        <v>13.266666666666667</v>
      </c>
    </row>
    <row r="95" spans="2:12" x14ac:dyDescent="0.45">
      <c r="B95" s="59" t="s">
        <v>169</v>
      </c>
      <c r="C95" s="13" t="s">
        <v>319</v>
      </c>
      <c r="D95" s="37"/>
      <c r="E95" s="31"/>
      <c r="F95" s="31"/>
      <c r="G95" s="43">
        <f t="shared" ref="G95:G97" si="39">F95-E95</f>
        <v>0</v>
      </c>
      <c r="H95" s="43">
        <f t="shared" si="1"/>
        <v>0</v>
      </c>
      <c r="I95" s="39" t="str">
        <f t="shared" ref="I95:I97" ca="1" si="40">IF(E95-$E$1&lt;=0,"",E95-$E$1)</f>
        <v/>
      </c>
      <c r="J95" s="43" t="str">
        <f t="shared" ca="1" si="3"/>
        <v/>
      </c>
      <c r="K95" s="39" t="str">
        <f t="shared" ref="K95:K97" ca="1" si="41">IF(F95-$E$1&lt;=0,"",F95-$E$1)</f>
        <v/>
      </c>
      <c r="L95" s="39" t="str">
        <f t="shared" ca="1" si="5"/>
        <v/>
      </c>
    </row>
    <row r="96" spans="2:12" x14ac:dyDescent="0.45">
      <c r="B96" s="50" t="s">
        <v>424</v>
      </c>
      <c r="C96" s="14" t="s">
        <v>319</v>
      </c>
      <c r="D96" s="19"/>
      <c r="E96" s="29"/>
      <c r="F96" s="29"/>
      <c r="G96" s="20">
        <f t="shared" si="39"/>
        <v>0</v>
      </c>
      <c r="H96" s="20">
        <f t="shared" si="1"/>
        <v>0</v>
      </c>
      <c r="I96" s="23" t="str">
        <f t="shared" ca="1" si="40"/>
        <v/>
      </c>
      <c r="J96" s="20" t="str">
        <f t="shared" ca="1" si="3"/>
        <v/>
      </c>
      <c r="K96" s="23" t="str">
        <f t="shared" ca="1" si="41"/>
        <v/>
      </c>
      <c r="L96" s="23" t="str">
        <f t="shared" ca="1" si="5"/>
        <v/>
      </c>
    </row>
    <row r="97" spans="1:12" x14ac:dyDescent="0.45">
      <c r="B97" s="58" t="s">
        <v>425</v>
      </c>
      <c r="C97" s="15" t="s">
        <v>319</v>
      </c>
      <c r="D97" s="32"/>
      <c r="E97" s="30"/>
      <c r="F97" s="30"/>
      <c r="G97" s="45">
        <f t="shared" si="39"/>
        <v>0</v>
      </c>
      <c r="H97" s="45">
        <f t="shared" si="1"/>
        <v>0</v>
      </c>
      <c r="I97" s="40" t="str">
        <f t="shared" ca="1" si="40"/>
        <v/>
      </c>
      <c r="J97" s="45" t="str">
        <f t="shared" ca="1" si="3"/>
        <v/>
      </c>
      <c r="K97" s="40" t="str">
        <f t="shared" ca="1" si="41"/>
        <v/>
      </c>
      <c r="L97" s="40" t="str">
        <f t="shared" ca="1" si="5"/>
        <v/>
      </c>
    </row>
    <row r="98" spans="1:12" x14ac:dyDescent="0.45">
      <c r="B98" s="1">
        <v>17</v>
      </c>
      <c r="C98" s="1" t="s">
        <v>51</v>
      </c>
      <c r="D98" t="s">
        <v>273</v>
      </c>
      <c r="E98" s="26">
        <v>46693</v>
      </c>
      <c r="F98" s="26">
        <v>46721</v>
      </c>
      <c r="G98" s="12">
        <f t="shared" si="0"/>
        <v>28</v>
      </c>
      <c r="H98" s="12">
        <f t="shared" si="1"/>
        <v>0.93333333333333335</v>
      </c>
      <c r="I98" s="21">
        <f t="shared" ca="1" si="2"/>
        <v>546</v>
      </c>
      <c r="J98" s="12">
        <f t="shared" ca="1" si="3"/>
        <v>18.2</v>
      </c>
      <c r="K98" s="21">
        <f t="shared" ca="1" si="4"/>
        <v>574</v>
      </c>
      <c r="L98" s="21">
        <f t="shared" ca="1" si="5"/>
        <v>19.133333333333333</v>
      </c>
    </row>
    <row r="99" spans="1:12" x14ac:dyDescent="0.45">
      <c r="B99" s="13" t="s">
        <v>172</v>
      </c>
      <c r="C99" s="13" t="s">
        <v>319</v>
      </c>
      <c r="D99" s="37"/>
      <c r="E99" s="31"/>
      <c r="F99" s="31"/>
      <c r="G99" s="43">
        <f t="shared" ref="G99:G100" si="42">F99-E99</f>
        <v>0</v>
      </c>
      <c r="H99" s="43">
        <f t="shared" si="1"/>
        <v>0</v>
      </c>
      <c r="I99" s="39" t="str">
        <f t="shared" ref="I99:I100" ca="1" si="43">IF(E99-$E$1&lt;=0,"",E99-$E$1)</f>
        <v/>
      </c>
      <c r="J99" s="43" t="str">
        <f t="shared" ca="1" si="3"/>
        <v/>
      </c>
      <c r="K99" s="39" t="str">
        <f t="shared" ref="K99:K100" ca="1" si="44">IF(F99-$E$1&lt;=0,"",F99-$E$1)</f>
        <v/>
      </c>
      <c r="L99" s="39" t="str">
        <f t="shared" ca="1" si="5"/>
        <v/>
      </c>
    </row>
    <row r="100" spans="1:12" x14ac:dyDescent="0.45">
      <c r="B100" s="15" t="s">
        <v>426</v>
      </c>
      <c r="C100" s="15" t="s">
        <v>319</v>
      </c>
      <c r="D100" s="32"/>
      <c r="E100" s="30"/>
      <c r="F100" s="30"/>
      <c r="G100" s="45">
        <f t="shared" si="42"/>
        <v>0</v>
      </c>
      <c r="H100" s="45">
        <f t="shared" si="1"/>
        <v>0</v>
      </c>
      <c r="I100" s="40" t="str">
        <f t="shared" ca="1" si="43"/>
        <v/>
      </c>
      <c r="J100" s="45" t="str">
        <f t="shared" ca="1" si="3"/>
        <v/>
      </c>
      <c r="K100" s="40" t="str">
        <f t="shared" ca="1" si="44"/>
        <v/>
      </c>
      <c r="L100" s="40" t="str">
        <f t="shared" ca="1" si="5"/>
        <v/>
      </c>
    </row>
    <row r="101" spans="1:12" x14ac:dyDescent="0.45">
      <c r="B101" s="1">
        <v>18</v>
      </c>
      <c r="C101" s="1" t="s">
        <v>51</v>
      </c>
      <c r="D101" t="s">
        <v>274</v>
      </c>
      <c r="E101" s="26">
        <v>46429</v>
      </c>
      <c r="F101" s="26">
        <v>46715</v>
      </c>
      <c r="G101" s="12">
        <f t="shared" si="0"/>
        <v>286</v>
      </c>
      <c r="H101" s="12">
        <f t="shared" si="1"/>
        <v>9.5333333333333332</v>
      </c>
      <c r="I101" s="21">
        <f t="shared" ca="1" si="2"/>
        <v>282</v>
      </c>
      <c r="J101" s="12">
        <f t="shared" ca="1" si="3"/>
        <v>9.4</v>
      </c>
      <c r="K101" s="21">
        <f t="shared" ca="1" si="4"/>
        <v>568</v>
      </c>
      <c r="L101" s="21">
        <f t="shared" ca="1" si="5"/>
        <v>18.933333333333334</v>
      </c>
    </row>
    <row r="102" spans="1:12" x14ac:dyDescent="0.45">
      <c r="A102" s="19"/>
      <c r="B102" s="13" t="s">
        <v>173</v>
      </c>
      <c r="C102" s="13" t="s">
        <v>319</v>
      </c>
      <c r="D102" s="37"/>
      <c r="E102" s="31"/>
      <c r="F102" s="31"/>
      <c r="G102" s="43">
        <f t="shared" ref="G102:G109" si="45">F102-E102</f>
        <v>0</v>
      </c>
      <c r="H102" s="43">
        <f t="shared" si="1"/>
        <v>0</v>
      </c>
      <c r="I102" s="39" t="str">
        <f t="shared" ref="I102:I109" ca="1" si="46">IF(E102-$E$1&lt;=0,"",E102-$E$1)</f>
        <v/>
      </c>
      <c r="J102" s="43" t="str">
        <f t="shared" ca="1" si="3"/>
        <v/>
      </c>
      <c r="K102" s="39" t="str">
        <f t="shared" ref="K102:K109" ca="1" si="47">IF(F102-$E$1&lt;=0,"",F102-$E$1)</f>
        <v/>
      </c>
      <c r="L102" s="39" t="str">
        <f t="shared" ca="1" si="5"/>
        <v/>
      </c>
    </row>
    <row r="103" spans="1:12" x14ac:dyDescent="0.45">
      <c r="A103" s="19"/>
      <c r="B103" s="14" t="s">
        <v>427</v>
      </c>
      <c r="C103" s="14" t="s">
        <v>319</v>
      </c>
      <c r="D103" s="19"/>
      <c r="E103" s="29"/>
      <c r="F103" s="29"/>
      <c r="G103" s="20">
        <f t="shared" si="45"/>
        <v>0</v>
      </c>
      <c r="H103" s="20">
        <f t="shared" si="1"/>
        <v>0</v>
      </c>
      <c r="I103" s="23" t="str">
        <f t="shared" ca="1" si="46"/>
        <v/>
      </c>
      <c r="J103" s="20" t="str">
        <f t="shared" ca="1" si="3"/>
        <v/>
      </c>
      <c r="K103" s="23" t="str">
        <f t="shared" ca="1" si="47"/>
        <v/>
      </c>
      <c r="L103" s="23" t="str">
        <f t="shared" ca="1" si="5"/>
        <v/>
      </c>
    </row>
    <row r="104" spans="1:12" x14ac:dyDescent="0.45">
      <c r="A104" s="19"/>
      <c r="B104" s="14" t="s">
        <v>428</v>
      </c>
      <c r="C104" s="14" t="s">
        <v>319</v>
      </c>
      <c r="D104" s="19"/>
      <c r="E104" s="29"/>
      <c r="F104" s="29"/>
      <c r="G104" s="20">
        <f t="shared" si="45"/>
        <v>0</v>
      </c>
      <c r="H104" s="20">
        <f t="shared" si="1"/>
        <v>0</v>
      </c>
      <c r="I104" s="23" t="str">
        <f t="shared" ca="1" si="46"/>
        <v/>
      </c>
      <c r="J104" s="20" t="str">
        <f t="shared" ca="1" si="3"/>
        <v/>
      </c>
      <c r="K104" s="23" t="str">
        <f t="shared" ca="1" si="47"/>
        <v/>
      </c>
      <c r="L104" s="23" t="str">
        <f t="shared" ca="1" si="5"/>
        <v/>
      </c>
    </row>
    <row r="105" spans="1:12" x14ac:dyDescent="0.45">
      <c r="A105" s="19"/>
      <c r="B105" s="14" t="s">
        <v>429</v>
      </c>
      <c r="C105" s="14" t="s">
        <v>319</v>
      </c>
      <c r="D105" s="19"/>
      <c r="E105" s="29"/>
      <c r="F105" s="29"/>
      <c r="G105" s="20">
        <f t="shared" si="45"/>
        <v>0</v>
      </c>
      <c r="H105" s="20">
        <f t="shared" si="1"/>
        <v>0</v>
      </c>
      <c r="I105" s="23" t="str">
        <f t="shared" ca="1" si="46"/>
        <v/>
      </c>
      <c r="J105" s="20" t="str">
        <f t="shared" ca="1" si="3"/>
        <v/>
      </c>
      <c r="K105" s="23" t="str">
        <f t="shared" ca="1" si="47"/>
        <v/>
      </c>
      <c r="L105" s="23" t="str">
        <f t="shared" ca="1" si="5"/>
        <v/>
      </c>
    </row>
    <row r="106" spans="1:12" x14ac:dyDescent="0.45">
      <c r="A106" s="19"/>
      <c r="B106" s="14" t="s">
        <v>430</v>
      </c>
      <c r="C106" s="14" t="s">
        <v>319</v>
      </c>
      <c r="D106" s="19"/>
      <c r="E106" s="29"/>
      <c r="F106" s="29"/>
      <c r="G106" s="20">
        <f t="shared" si="45"/>
        <v>0</v>
      </c>
      <c r="H106" s="20">
        <f t="shared" si="1"/>
        <v>0</v>
      </c>
      <c r="I106" s="23" t="str">
        <f t="shared" ca="1" si="46"/>
        <v/>
      </c>
      <c r="J106" s="20" t="str">
        <f t="shared" ca="1" si="3"/>
        <v/>
      </c>
      <c r="K106" s="23" t="str">
        <f t="shared" ca="1" si="47"/>
        <v/>
      </c>
      <c r="L106" s="23" t="str">
        <f t="shared" ca="1" si="5"/>
        <v/>
      </c>
    </row>
    <row r="107" spans="1:12" x14ac:dyDescent="0.45">
      <c r="A107" s="19"/>
      <c r="B107" s="14" t="s">
        <v>431</v>
      </c>
      <c r="C107" s="14" t="s">
        <v>319</v>
      </c>
      <c r="D107" s="19"/>
      <c r="E107" s="29"/>
      <c r="F107" s="29"/>
      <c r="G107" s="20">
        <f t="shared" si="45"/>
        <v>0</v>
      </c>
      <c r="H107" s="20">
        <f t="shared" si="1"/>
        <v>0</v>
      </c>
      <c r="I107" s="23" t="str">
        <f t="shared" ca="1" si="46"/>
        <v/>
      </c>
      <c r="J107" s="20" t="str">
        <f t="shared" ca="1" si="3"/>
        <v/>
      </c>
      <c r="K107" s="23" t="str">
        <f t="shared" ca="1" si="47"/>
        <v/>
      </c>
      <c r="L107" s="23" t="str">
        <f t="shared" ca="1" si="5"/>
        <v/>
      </c>
    </row>
    <row r="108" spans="1:12" x14ac:dyDescent="0.45">
      <c r="A108" s="19"/>
      <c r="B108" s="14" t="s">
        <v>432</v>
      </c>
      <c r="C108" s="14" t="s">
        <v>319</v>
      </c>
      <c r="D108" s="19"/>
      <c r="E108" s="29"/>
      <c r="F108" s="29"/>
      <c r="G108" s="20">
        <f t="shared" si="45"/>
        <v>0</v>
      </c>
      <c r="H108" s="20">
        <f t="shared" si="1"/>
        <v>0</v>
      </c>
      <c r="I108" s="23" t="str">
        <f t="shared" ca="1" si="46"/>
        <v/>
      </c>
      <c r="J108" s="20" t="str">
        <f t="shared" ca="1" si="3"/>
        <v/>
      </c>
      <c r="K108" s="23" t="str">
        <f t="shared" ca="1" si="47"/>
        <v/>
      </c>
      <c r="L108" s="23" t="str">
        <f t="shared" ca="1" si="5"/>
        <v/>
      </c>
    </row>
    <row r="109" spans="1:12" x14ac:dyDescent="0.45">
      <c r="A109" s="19"/>
      <c r="B109" s="15" t="s">
        <v>433</v>
      </c>
      <c r="C109" s="15" t="s">
        <v>319</v>
      </c>
      <c r="D109" s="32"/>
      <c r="E109" s="30"/>
      <c r="F109" s="30"/>
      <c r="G109" s="45">
        <f t="shared" si="45"/>
        <v>0</v>
      </c>
      <c r="H109" s="45">
        <f t="shared" si="1"/>
        <v>0</v>
      </c>
      <c r="I109" s="40" t="str">
        <f t="shared" ca="1" si="46"/>
        <v/>
      </c>
      <c r="J109" s="45" t="str">
        <f t="shared" ca="1" si="3"/>
        <v/>
      </c>
      <c r="K109" s="40" t="str">
        <f t="shared" ca="1" si="47"/>
        <v/>
      </c>
      <c r="L109" s="40" t="str">
        <f t="shared" ca="1" si="5"/>
        <v/>
      </c>
    </row>
    <row r="110" spans="1:12" x14ac:dyDescent="0.45">
      <c r="B110" s="1">
        <v>19</v>
      </c>
      <c r="C110" s="1" t="s">
        <v>51</v>
      </c>
      <c r="D110" t="s">
        <v>242</v>
      </c>
      <c r="E110" s="26">
        <v>46563</v>
      </c>
      <c r="F110" s="26">
        <v>46590</v>
      </c>
      <c r="G110" s="12">
        <f t="shared" si="0"/>
        <v>27</v>
      </c>
      <c r="H110" s="12">
        <f t="shared" si="1"/>
        <v>0.9</v>
      </c>
      <c r="I110" s="21">
        <f t="shared" ca="1" si="2"/>
        <v>416</v>
      </c>
      <c r="J110" s="12">
        <f t="shared" ca="1" si="3"/>
        <v>13.866666666666667</v>
      </c>
      <c r="K110" s="21">
        <f t="shared" ca="1" si="4"/>
        <v>443</v>
      </c>
      <c r="L110" s="21">
        <f t="shared" ca="1" si="5"/>
        <v>14.766666666666667</v>
      </c>
    </row>
    <row r="111" spans="1:12" x14ac:dyDescent="0.45">
      <c r="B111" s="1">
        <v>20</v>
      </c>
      <c r="C111" s="1" t="s">
        <v>51</v>
      </c>
      <c r="D111" t="s">
        <v>275</v>
      </c>
      <c r="E111" s="26">
        <v>46479</v>
      </c>
      <c r="F111" s="26">
        <v>46700</v>
      </c>
      <c r="G111" s="12">
        <f t="shared" si="0"/>
        <v>221</v>
      </c>
      <c r="H111" s="12">
        <f t="shared" si="1"/>
        <v>7.3666666666666663</v>
      </c>
      <c r="I111" s="21">
        <f t="shared" ca="1" si="2"/>
        <v>332</v>
      </c>
      <c r="J111" s="12">
        <f t="shared" ca="1" si="3"/>
        <v>11.066666666666666</v>
      </c>
      <c r="K111" s="21">
        <f t="shared" ca="1" si="4"/>
        <v>553</v>
      </c>
      <c r="L111" s="21">
        <f t="shared" ca="1" si="5"/>
        <v>18.433333333333334</v>
      </c>
    </row>
    <row r="112" spans="1:12" x14ac:dyDescent="0.45">
      <c r="B112" s="27">
        <v>21</v>
      </c>
      <c r="C112" s="1" t="s">
        <v>51</v>
      </c>
      <c r="D112" t="s">
        <v>276</v>
      </c>
      <c r="E112" s="26">
        <v>46588</v>
      </c>
      <c r="F112" s="26">
        <v>46608</v>
      </c>
      <c r="G112" s="12">
        <f t="shared" si="0"/>
        <v>20</v>
      </c>
      <c r="H112" s="12">
        <f t="shared" si="1"/>
        <v>0.66666666666666663</v>
      </c>
      <c r="I112" s="21">
        <f t="shared" ca="1" si="2"/>
        <v>441</v>
      </c>
      <c r="J112" s="12">
        <f t="shared" ca="1" si="3"/>
        <v>14.7</v>
      </c>
      <c r="K112" s="21">
        <f t="shared" ca="1" si="4"/>
        <v>461</v>
      </c>
      <c r="L112" s="21">
        <f t="shared" ca="1" si="5"/>
        <v>15.366666666666667</v>
      </c>
    </row>
    <row r="113" spans="2:12" x14ac:dyDescent="0.45">
      <c r="B113" s="1">
        <v>22</v>
      </c>
      <c r="C113" s="1" t="s">
        <v>51</v>
      </c>
      <c r="D113" t="s">
        <v>277</v>
      </c>
      <c r="E113" s="26">
        <v>46679</v>
      </c>
      <c r="F113" s="26">
        <v>46801</v>
      </c>
      <c r="G113" s="12">
        <f t="shared" si="0"/>
        <v>122</v>
      </c>
      <c r="H113" s="12">
        <f t="shared" si="1"/>
        <v>4.0666666666666664</v>
      </c>
      <c r="I113" s="21">
        <f t="shared" ca="1" si="2"/>
        <v>532</v>
      </c>
      <c r="J113" s="12">
        <f t="shared" ca="1" si="3"/>
        <v>17.733333333333334</v>
      </c>
      <c r="K113" s="21">
        <f t="shared" ca="1" si="4"/>
        <v>654</v>
      </c>
      <c r="L113" s="21">
        <f t="shared" ca="1" si="5"/>
        <v>21.8</v>
      </c>
    </row>
    <row r="114" spans="2:12" x14ac:dyDescent="0.45">
      <c r="B114" s="1">
        <v>23</v>
      </c>
      <c r="C114" s="1" t="s">
        <v>51</v>
      </c>
      <c r="D114" t="s">
        <v>278</v>
      </c>
      <c r="E114" s="26">
        <v>46577</v>
      </c>
      <c r="F114" s="26">
        <v>46618</v>
      </c>
      <c r="G114" s="12">
        <f t="shared" si="0"/>
        <v>41</v>
      </c>
      <c r="H114" s="12">
        <f t="shared" si="1"/>
        <v>1.3666666666666667</v>
      </c>
      <c r="I114" s="21">
        <f t="shared" ca="1" si="2"/>
        <v>430</v>
      </c>
      <c r="J114" s="12">
        <f t="shared" ca="1" si="3"/>
        <v>14.333333333333334</v>
      </c>
      <c r="K114" s="21">
        <f t="shared" ca="1" si="4"/>
        <v>471</v>
      </c>
      <c r="L114" s="21">
        <f t="shared" ca="1" si="5"/>
        <v>15.7</v>
      </c>
    </row>
    <row r="115" spans="2:12" x14ac:dyDescent="0.45">
      <c r="B115" s="1">
        <v>24</v>
      </c>
      <c r="C115" s="1" t="s">
        <v>51</v>
      </c>
      <c r="D115" t="s">
        <v>279</v>
      </c>
      <c r="E115" s="26">
        <v>46500</v>
      </c>
      <c r="F115" s="26">
        <v>46657</v>
      </c>
      <c r="G115" s="12">
        <f t="shared" si="0"/>
        <v>157</v>
      </c>
      <c r="H115" s="12">
        <f t="shared" si="1"/>
        <v>5.2333333333333334</v>
      </c>
      <c r="I115" s="21">
        <f t="shared" ca="1" si="2"/>
        <v>353</v>
      </c>
      <c r="J115" s="12">
        <f t="shared" ca="1" si="3"/>
        <v>11.766666666666667</v>
      </c>
      <c r="K115" s="21">
        <f t="shared" ca="1" si="4"/>
        <v>510</v>
      </c>
      <c r="L115" s="21">
        <f t="shared" ca="1" si="5"/>
        <v>17</v>
      </c>
    </row>
    <row r="116" spans="2:12" x14ac:dyDescent="0.45">
      <c r="B116" s="1">
        <v>25</v>
      </c>
      <c r="C116" s="1" t="s">
        <v>51</v>
      </c>
      <c r="D116" t="s">
        <v>280</v>
      </c>
      <c r="E116" s="26">
        <v>46581</v>
      </c>
      <c r="F116" s="26">
        <v>46685</v>
      </c>
      <c r="G116" s="12">
        <f t="shared" si="0"/>
        <v>104</v>
      </c>
      <c r="H116" s="12">
        <f t="shared" si="1"/>
        <v>3.4666666666666668</v>
      </c>
      <c r="I116" s="21">
        <f t="shared" ca="1" si="2"/>
        <v>434</v>
      </c>
      <c r="J116" s="12">
        <f t="shared" ca="1" si="3"/>
        <v>14.466666666666667</v>
      </c>
      <c r="K116" s="21">
        <f t="shared" ca="1" si="4"/>
        <v>538</v>
      </c>
      <c r="L116" s="21">
        <f t="shared" ca="1" si="5"/>
        <v>17.933333333333334</v>
      </c>
    </row>
    <row r="117" spans="2:12" x14ac:dyDescent="0.45">
      <c r="B117" s="27">
        <v>26</v>
      </c>
      <c r="C117" s="1" t="s">
        <v>51</v>
      </c>
      <c r="D117" t="s">
        <v>281</v>
      </c>
      <c r="E117" s="26">
        <v>46517</v>
      </c>
      <c r="F117" s="26">
        <v>46604</v>
      </c>
      <c r="G117" s="12">
        <f t="shared" si="0"/>
        <v>87</v>
      </c>
      <c r="H117" s="12">
        <f t="shared" si="1"/>
        <v>2.9</v>
      </c>
      <c r="I117" s="21">
        <f t="shared" ca="1" si="2"/>
        <v>370</v>
      </c>
      <c r="J117" s="12">
        <f t="shared" ca="1" si="3"/>
        <v>12.333333333333334</v>
      </c>
      <c r="K117" s="21">
        <f t="shared" ca="1" si="4"/>
        <v>457</v>
      </c>
      <c r="L117" s="21">
        <f t="shared" ca="1" si="5"/>
        <v>15.233333333333333</v>
      </c>
    </row>
    <row r="118" spans="2:12" x14ac:dyDescent="0.45">
      <c r="B118" s="1">
        <v>27</v>
      </c>
      <c r="C118" s="1" t="s">
        <v>51</v>
      </c>
      <c r="D118" t="s">
        <v>282</v>
      </c>
      <c r="E118" s="26">
        <v>46577</v>
      </c>
      <c r="F118" s="26">
        <v>46602</v>
      </c>
      <c r="G118" s="12">
        <f t="shared" si="0"/>
        <v>25</v>
      </c>
      <c r="H118" s="12">
        <f t="shared" si="1"/>
        <v>0.83333333333333337</v>
      </c>
      <c r="I118" s="21">
        <f t="shared" ca="1" si="2"/>
        <v>430</v>
      </c>
      <c r="J118" s="12">
        <f t="shared" ca="1" si="3"/>
        <v>14.333333333333334</v>
      </c>
      <c r="K118" s="21">
        <f t="shared" ca="1" si="4"/>
        <v>455</v>
      </c>
      <c r="L118" s="21">
        <f t="shared" ca="1" si="5"/>
        <v>15.166666666666666</v>
      </c>
    </row>
    <row r="119" spans="2:12" x14ac:dyDescent="0.45">
      <c r="B119" s="1">
        <v>28</v>
      </c>
      <c r="C119" s="1" t="s">
        <v>51</v>
      </c>
      <c r="D119" t="s">
        <v>283</v>
      </c>
      <c r="E119" s="26">
        <v>46493</v>
      </c>
      <c r="F119" s="26">
        <v>46724</v>
      </c>
      <c r="G119" s="12">
        <f t="shared" si="0"/>
        <v>231</v>
      </c>
      <c r="H119" s="12">
        <f t="shared" si="1"/>
        <v>7.7</v>
      </c>
      <c r="I119" s="21">
        <f t="shared" ca="1" si="2"/>
        <v>346</v>
      </c>
      <c r="J119" s="12">
        <f t="shared" ca="1" si="3"/>
        <v>11.533333333333333</v>
      </c>
      <c r="K119" s="21">
        <f t="shared" ca="1" si="4"/>
        <v>577</v>
      </c>
      <c r="L119" s="21">
        <f t="shared" ca="1" si="5"/>
        <v>19.233333333333334</v>
      </c>
    </row>
    <row r="120" spans="2:12" x14ac:dyDescent="0.45">
      <c r="B120" s="1">
        <v>29</v>
      </c>
      <c r="C120" s="1" t="s">
        <v>51</v>
      </c>
      <c r="D120" s="49" t="s">
        <v>284</v>
      </c>
      <c r="E120" s="26">
        <v>46493</v>
      </c>
      <c r="F120" s="26">
        <v>46552</v>
      </c>
      <c r="G120" s="12">
        <f t="shared" si="0"/>
        <v>59</v>
      </c>
      <c r="H120" s="12">
        <f t="shared" si="1"/>
        <v>1.9666666666666666</v>
      </c>
      <c r="I120" s="21">
        <f t="shared" ca="1" si="2"/>
        <v>346</v>
      </c>
      <c r="J120" s="12">
        <f t="shared" ca="1" si="3"/>
        <v>11.533333333333333</v>
      </c>
      <c r="K120" s="21">
        <f t="shared" ca="1" si="4"/>
        <v>405</v>
      </c>
      <c r="L120" s="21">
        <f t="shared" ca="1" si="5"/>
        <v>13.5</v>
      </c>
    </row>
    <row r="121" spans="2:12" x14ac:dyDescent="0.45">
      <c r="B121" s="27">
        <v>30</v>
      </c>
      <c r="C121" s="1" t="s">
        <v>51</v>
      </c>
      <c r="D121" s="49" t="s">
        <v>285</v>
      </c>
      <c r="E121" s="26">
        <v>46694</v>
      </c>
      <c r="F121" s="26">
        <v>46724</v>
      </c>
      <c r="G121" s="12">
        <f t="shared" si="0"/>
        <v>30</v>
      </c>
      <c r="H121" s="12">
        <f t="shared" si="1"/>
        <v>1</v>
      </c>
      <c r="I121" s="21">
        <f t="shared" ca="1" si="2"/>
        <v>547</v>
      </c>
      <c r="J121" s="12">
        <f t="shared" ca="1" si="3"/>
        <v>18.233333333333334</v>
      </c>
      <c r="K121" s="21">
        <f t="shared" ca="1" si="4"/>
        <v>577</v>
      </c>
      <c r="L121" s="21">
        <f t="shared" ca="1" si="5"/>
        <v>19.233333333333334</v>
      </c>
    </row>
    <row r="122" spans="2:12" x14ac:dyDescent="0.45">
      <c r="B122" s="1">
        <v>31</v>
      </c>
      <c r="C122" s="1" t="s">
        <v>51</v>
      </c>
      <c r="D122" t="s">
        <v>286</v>
      </c>
      <c r="E122" s="26">
        <v>46591</v>
      </c>
      <c r="F122" s="26">
        <v>46762</v>
      </c>
      <c r="G122" s="12">
        <f t="shared" si="0"/>
        <v>171</v>
      </c>
      <c r="H122" s="12">
        <f t="shared" si="1"/>
        <v>5.7</v>
      </c>
      <c r="I122" s="21">
        <f t="shared" ca="1" si="2"/>
        <v>444</v>
      </c>
      <c r="J122" s="12">
        <f t="shared" ca="1" si="3"/>
        <v>14.8</v>
      </c>
      <c r="K122" s="21">
        <f t="shared" ca="1" si="4"/>
        <v>615</v>
      </c>
      <c r="L122" s="21">
        <f t="shared" ca="1" si="5"/>
        <v>20.5</v>
      </c>
    </row>
    <row r="123" spans="2:12" x14ac:dyDescent="0.45">
      <c r="B123" s="27">
        <v>32</v>
      </c>
      <c r="C123" s="1" t="s">
        <v>51</v>
      </c>
      <c r="D123" s="49" t="s">
        <v>287</v>
      </c>
      <c r="E123" s="26">
        <v>46591</v>
      </c>
      <c r="F123" s="26">
        <v>46654</v>
      </c>
      <c r="G123" s="12">
        <f t="shared" ref="G123:G142" si="48">F123-E123</f>
        <v>63</v>
      </c>
      <c r="H123" s="12">
        <f t="shared" ref="H123:H156" si="49">G123/30</f>
        <v>2.1</v>
      </c>
      <c r="I123" s="21">
        <f t="shared" ref="I123:I142" ca="1" si="50">IF(E123-$E$1&lt;=0,"",E123-$E$1)</f>
        <v>444</v>
      </c>
      <c r="J123" s="12">
        <f t="shared" ref="J123:J156" ca="1" si="51">IF(I123="","",I123/30)</f>
        <v>14.8</v>
      </c>
      <c r="K123" s="21">
        <f t="shared" ref="K123:K142" ca="1" si="52">IF(F123-$E$1&lt;=0,"",F123-$E$1)</f>
        <v>507</v>
      </c>
      <c r="L123" s="21">
        <f t="shared" ref="L123:L156" ca="1" si="53">IF(K123="","",K123/30)</f>
        <v>16.899999999999999</v>
      </c>
    </row>
    <row r="124" spans="2:12" x14ac:dyDescent="0.45">
      <c r="B124" s="1">
        <v>33</v>
      </c>
      <c r="C124" s="1" t="s">
        <v>51</v>
      </c>
      <c r="D124" s="49" t="s">
        <v>288</v>
      </c>
      <c r="E124" s="26">
        <v>46694</v>
      </c>
      <c r="F124" s="26">
        <v>46762</v>
      </c>
      <c r="G124" s="12">
        <f t="shared" si="48"/>
        <v>68</v>
      </c>
      <c r="H124" s="12">
        <f t="shared" si="49"/>
        <v>2.2666666666666666</v>
      </c>
      <c r="I124" s="21">
        <f t="shared" ca="1" si="50"/>
        <v>547</v>
      </c>
      <c r="J124" s="12">
        <f t="shared" ca="1" si="51"/>
        <v>18.233333333333334</v>
      </c>
      <c r="K124" s="21">
        <f t="shared" ca="1" si="52"/>
        <v>615</v>
      </c>
      <c r="L124" s="21">
        <f t="shared" ca="1" si="53"/>
        <v>20.5</v>
      </c>
    </row>
    <row r="125" spans="2:12" x14ac:dyDescent="0.45">
      <c r="B125" s="27">
        <v>34</v>
      </c>
      <c r="C125" s="1" t="s">
        <v>51</v>
      </c>
      <c r="D125" t="s">
        <v>289</v>
      </c>
      <c r="E125" s="26">
        <v>46507</v>
      </c>
      <c r="F125" s="26">
        <v>46631</v>
      </c>
      <c r="G125" s="12">
        <f t="shared" si="48"/>
        <v>124</v>
      </c>
      <c r="H125" s="12">
        <f t="shared" si="49"/>
        <v>4.1333333333333337</v>
      </c>
      <c r="I125" s="21">
        <f t="shared" ca="1" si="50"/>
        <v>360</v>
      </c>
      <c r="J125" s="12">
        <f t="shared" ca="1" si="51"/>
        <v>12</v>
      </c>
      <c r="K125" s="21">
        <f t="shared" ca="1" si="52"/>
        <v>484</v>
      </c>
      <c r="L125" s="21">
        <f t="shared" ca="1" si="53"/>
        <v>16.133333333333333</v>
      </c>
    </row>
    <row r="126" spans="2:12" x14ac:dyDescent="0.45">
      <c r="B126" s="1">
        <v>35</v>
      </c>
      <c r="C126" s="1" t="s">
        <v>51</v>
      </c>
      <c r="D126" t="s">
        <v>290</v>
      </c>
      <c r="E126" s="26">
        <v>46507</v>
      </c>
      <c r="F126" s="26">
        <v>46514</v>
      </c>
      <c r="G126" s="12">
        <f t="shared" si="48"/>
        <v>7</v>
      </c>
      <c r="H126" s="12">
        <f t="shared" si="49"/>
        <v>0.23333333333333334</v>
      </c>
      <c r="I126" s="21">
        <f t="shared" ca="1" si="50"/>
        <v>360</v>
      </c>
      <c r="J126" s="12">
        <f t="shared" ca="1" si="51"/>
        <v>12</v>
      </c>
      <c r="K126" s="21">
        <f t="shared" ca="1" si="52"/>
        <v>367</v>
      </c>
      <c r="L126" s="21">
        <f t="shared" ca="1" si="53"/>
        <v>12.233333333333333</v>
      </c>
    </row>
    <row r="127" spans="2:12" x14ac:dyDescent="0.45">
      <c r="B127" s="1">
        <v>36</v>
      </c>
      <c r="C127" s="1" t="s">
        <v>51</v>
      </c>
      <c r="D127" t="s">
        <v>291</v>
      </c>
      <c r="E127" s="26">
        <v>46507</v>
      </c>
      <c r="F127" s="26">
        <v>46514</v>
      </c>
      <c r="G127" s="12">
        <f t="shared" si="48"/>
        <v>7</v>
      </c>
      <c r="H127" s="12">
        <f t="shared" si="49"/>
        <v>0.23333333333333334</v>
      </c>
      <c r="I127" s="21">
        <f t="shared" ca="1" si="50"/>
        <v>360</v>
      </c>
      <c r="J127" s="12">
        <f t="shared" ca="1" si="51"/>
        <v>12</v>
      </c>
      <c r="K127" s="21">
        <f t="shared" ca="1" si="52"/>
        <v>367</v>
      </c>
      <c r="L127" s="21">
        <f t="shared" ca="1" si="53"/>
        <v>12.233333333333333</v>
      </c>
    </row>
    <row r="128" spans="2:12" x14ac:dyDescent="0.45">
      <c r="B128" s="27">
        <v>37</v>
      </c>
      <c r="C128" s="1" t="s">
        <v>51</v>
      </c>
      <c r="D128" t="s">
        <v>292</v>
      </c>
      <c r="E128" s="26">
        <v>46436</v>
      </c>
      <c r="F128" s="26">
        <v>46442</v>
      </c>
      <c r="G128" s="12">
        <f t="shared" si="48"/>
        <v>6</v>
      </c>
      <c r="H128" s="12">
        <f t="shared" si="49"/>
        <v>0.2</v>
      </c>
      <c r="I128" s="21">
        <f t="shared" ca="1" si="50"/>
        <v>289</v>
      </c>
      <c r="J128" s="12">
        <f t="shared" ca="1" si="51"/>
        <v>9.6333333333333329</v>
      </c>
      <c r="K128" s="21">
        <f t="shared" ca="1" si="52"/>
        <v>295</v>
      </c>
      <c r="L128" s="21">
        <f t="shared" ca="1" si="53"/>
        <v>9.8333333333333339</v>
      </c>
    </row>
    <row r="129" spans="2:12" x14ac:dyDescent="0.45">
      <c r="B129" s="1">
        <v>38</v>
      </c>
      <c r="C129" s="1" t="s">
        <v>51</v>
      </c>
      <c r="D129" t="s">
        <v>293</v>
      </c>
      <c r="E129" s="26">
        <v>46577</v>
      </c>
      <c r="F129" s="26">
        <v>46604</v>
      </c>
      <c r="G129" s="12">
        <f t="shared" si="48"/>
        <v>27</v>
      </c>
      <c r="H129" s="12">
        <f t="shared" si="49"/>
        <v>0.9</v>
      </c>
      <c r="I129" s="21">
        <f t="shared" ca="1" si="50"/>
        <v>430</v>
      </c>
      <c r="J129" s="12">
        <f t="shared" ca="1" si="51"/>
        <v>14.333333333333334</v>
      </c>
      <c r="K129" s="21">
        <f t="shared" ca="1" si="52"/>
        <v>457</v>
      </c>
      <c r="L129" s="21">
        <f t="shared" ca="1" si="53"/>
        <v>15.233333333333333</v>
      </c>
    </row>
    <row r="130" spans="2:12" x14ac:dyDescent="0.45">
      <c r="B130" s="1">
        <v>39</v>
      </c>
      <c r="C130" s="1" t="s">
        <v>51</v>
      </c>
      <c r="D130" t="s">
        <v>294</v>
      </c>
      <c r="E130" s="26">
        <v>46581</v>
      </c>
      <c r="F130" s="26">
        <v>46594</v>
      </c>
      <c r="G130" s="12">
        <f t="shared" si="48"/>
        <v>13</v>
      </c>
      <c r="H130" s="12">
        <f t="shared" si="49"/>
        <v>0.43333333333333335</v>
      </c>
      <c r="I130" s="21">
        <f t="shared" ca="1" si="50"/>
        <v>434</v>
      </c>
      <c r="J130" s="12">
        <f t="shared" ca="1" si="51"/>
        <v>14.466666666666667</v>
      </c>
      <c r="K130" s="21">
        <f t="shared" ca="1" si="52"/>
        <v>447</v>
      </c>
      <c r="L130" s="21">
        <f t="shared" ca="1" si="53"/>
        <v>14.9</v>
      </c>
    </row>
    <row r="131" spans="2:12" x14ac:dyDescent="0.45">
      <c r="B131" s="27">
        <v>40</v>
      </c>
      <c r="C131" s="1" t="s">
        <v>51</v>
      </c>
      <c r="D131" t="s">
        <v>295</v>
      </c>
      <c r="E131" s="26">
        <v>46581</v>
      </c>
      <c r="F131" s="26">
        <v>46594</v>
      </c>
      <c r="G131" s="12">
        <f t="shared" si="48"/>
        <v>13</v>
      </c>
      <c r="H131" s="12">
        <f t="shared" si="49"/>
        <v>0.43333333333333335</v>
      </c>
      <c r="I131" s="21">
        <f t="shared" ca="1" si="50"/>
        <v>434</v>
      </c>
      <c r="J131" s="12">
        <f t="shared" ca="1" si="51"/>
        <v>14.466666666666667</v>
      </c>
      <c r="K131" s="21">
        <f t="shared" ca="1" si="52"/>
        <v>447</v>
      </c>
      <c r="L131" s="21">
        <f t="shared" ca="1" si="53"/>
        <v>14.9</v>
      </c>
    </row>
    <row r="132" spans="2:12" x14ac:dyDescent="0.45">
      <c r="B132" s="1">
        <v>41</v>
      </c>
      <c r="C132" s="1" t="s">
        <v>51</v>
      </c>
      <c r="D132" t="s">
        <v>296</v>
      </c>
      <c r="E132" s="26">
        <v>46493</v>
      </c>
      <c r="F132" s="26">
        <v>46709</v>
      </c>
      <c r="G132" s="12">
        <f t="shared" si="48"/>
        <v>216</v>
      </c>
      <c r="H132" s="12">
        <f t="shared" si="49"/>
        <v>7.2</v>
      </c>
      <c r="I132" s="21">
        <f t="shared" ca="1" si="50"/>
        <v>346</v>
      </c>
      <c r="J132" s="12">
        <f t="shared" ca="1" si="51"/>
        <v>11.533333333333333</v>
      </c>
      <c r="K132" s="21">
        <f t="shared" ca="1" si="52"/>
        <v>562</v>
      </c>
      <c r="L132" s="21">
        <f t="shared" ca="1" si="53"/>
        <v>18.733333333333334</v>
      </c>
    </row>
    <row r="133" spans="2:12" x14ac:dyDescent="0.45">
      <c r="B133" s="1">
        <v>42</v>
      </c>
      <c r="C133" s="1" t="s">
        <v>51</v>
      </c>
      <c r="D133" s="49" t="s">
        <v>297</v>
      </c>
      <c r="E133" s="26">
        <v>46493</v>
      </c>
      <c r="F133" s="26">
        <v>46709</v>
      </c>
      <c r="G133" s="12">
        <f t="shared" si="48"/>
        <v>216</v>
      </c>
      <c r="H133" s="12">
        <f t="shared" si="49"/>
        <v>7.2</v>
      </c>
      <c r="I133" s="21">
        <f t="shared" ca="1" si="50"/>
        <v>346</v>
      </c>
      <c r="J133" s="12">
        <f t="shared" ca="1" si="51"/>
        <v>11.533333333333333</v>
      </c>
      <c r="K133" s="21">
        <f t="shared" ca="1" si="52"/>
        <v>562</v>
      </c>
      <c r="L133" s="21">
        <f t="shared" ca="1" si="53"/>
        <v>18.733333333333334</v>
      </c>
    </row>
    <row r="134" spans="2:12" x14ac:dyDescent="0.45">
      <c r="B134" s="1">
        <v>43</v>
      </c>
      <c r="C134" s="1" t="s">
        <v>51</v>
      </c>
      <c r="D134" s="49" t="s">
        <v>298</v>
      </c>
      <c r="E134" s="26">
        <v>46517</v>
      </c>
      <c r="F134" s="26">
        <v>46694</v>
      </c>
      <c r="G134" s="12">
        <f t="shared" si="48"/>
        <v>177</v>
      </c>
      <c r="H134" s="12">
        <f t="shared" si="49"/>
        <v>5.9</v>
      </c>
      <c r="I134" s="21">
        <f t="shared" ca="1" si="50"/>
        <v>370</v>
      </c>
      <c r="J134" s="12">
        <f t="shared" ca="1" si="51"/>
        <v>12.333333333333334</v>
      </c>
      <c r="K134" s="21">
        <f t="shared" ca="1" si="52"/>
        <v>547</v>
      </c>
      <c r="L134" s="21">
        <f t="shared" ca="1" si="53"/>
        <v>18.233333333333334</v>
      </c>
    </row>
    <row r="135" spans="2:12" x14ac:dyDescent="0.45">
      <c r="B135" s="27">
        <v>44</v>
      </c>
      <c r="C135" s="1" t="s">
        <v>51</v>
      </c>
      <c r="D135" s="49" t="s">
        <v>299</v>
      </c>
      <c r="E135" s="26">
        <v>46539</v>
      </c>
      <c r="F135" s="26">
        <v>46694</v>
      </c>
      <c r="G135" s="12">
        <f t="shared" si="48"/>
        <v>155</v>
      </c>
      <c r="H135" s="12">
        <f t="shared" si="49"/>
        <v>5.166666666666667</v>
      </c>
      <c r="I135" s="21">
        <f t="shared" ca="1" si="50"/>
        <v>392</v>
      </c>
      <c r="J135" s="12">
        <f t="shared" ca="1" si="51"/>
        <v>13.066666666666666</v>
      </c>
      <c r="K135" s="21">
        <f t="shared" ca="1" si="52"/>
        <v>547</v>
      </c>
      <c r="L135" s="21">
        <f t="shared" ca="1" si="53"/>
        <v>18.233333333333334</v>
      </c>
    </row>
    <row r="136" spans="2:12" x14ac:dyDescent="0.45">
      <c r="B136" s="1">
        <v>45</v>
      </c>
      <c r="C136" s="1" t="s">
        <v>51</v>
      </c>
      <c r="D136" t="s">
        <v>243</v>
      </c>
      <c r="E136" s="26">
        <v>46610</v>
      </c>
      <c r="F136" s="26">
        <v>46797</v>
      </c>
      <c r="G136" s="12">
        <f t="shared" si="48"/>
        <v>187</v>
      </c>
      <c r="H136" s="12">
        <f t="shared" si="49"/>
        <v>6.2333333333333334</v>
      </c>
      <c r="I136" s="21">
        <f t="shared" ca="1" si="50"/>
        <v>463</v>
      </c>
      <c r="J136" s="12">
        <f t="shared" ca="1" si="51"/>
        <v>15.433333333333334</v>
      </c>
      <c r="K136" s="21">
        <f t="shared" ca="1" si="52"/>
        <v>650</v>
      </c>
      <c r="L136" s="21">
        <f t="shared" ca="1" si="53"/>
        <v>21.666666666666668</v>
      </c>
    </row>
    <row r="137" spans="2:12" x14ac:dyDescent="0.45">
      <c r="B137" s="1">
        <v>46</v>
      </c>
      <c r="C137" s="1" t="s">
        <v>51</v>
      </c>
      <c r="D137" s="49" t="s">
        <v>308</v>
      </c>
      <c r="E137" s="26">
        <v>46710</v>
      </c>
      <c r="F137" s="26">
        <v>46797</v>
      </c>
      <c r="G137" s="12">
        <f t="shared" ref="G137" si="54">F137-E137</f>
        <v>87</v>
      </c>
      <c r="H137" s="12">
        <f t="shared" ref="H137" si="55">G137/30</f>
        <v>2.9</v>
      </c>
      <c r="I137" s="21">
        <f t="shared" ref="I137" ca="1" si="56">IF(E137-$E$1&lt;=0,"",E137-$E$1)</f>
        <v>563</v>
      </c>
      <c r="J137" s="12">
        <f t="shared" ref="J137" ca="1" si="57">IF(I137="","",I137/30)</f>
        <v>18.766666666666666</v>
      </c>
      <c r="K137" s="21">
        <f t="shared" ref="K137" ca="1" si="58">IF(F137-$E$1&lt;=0,"",F137-$E$1)</f>
        <v>650</v>
      </c>
      <c r="L137" s="21">
        <f t="shared" ref="L137" ca="1" si="59">IF(K137="","",K137/30)</f>
        <v>21.666666666666668</v>
      </c>
    </row>
    <row r="138" spans="2:12" x14ac:dyDescent="0.45">
      <c r="B138" s="1">
        <v>47</v>
      </c>
      <c r="C138" s="1" t="s">
        <v>51</v>
      </c>
      <c r="D138" s="49" t="s">
        <v>300</v>
      </c>
      <c r="E138" s="26">
        <v>46709</v>
      </c>
      <c r="F138" s="26">
        <v>46794</v>
      </c>
      <c r="G138" s="12">
        <f t="shared" si="48"/>
        <v>85</v>
      </c>
      <c r="H138" s="12">
        <f t="shared" si="49"/>
        <v>2.8333333333333335</v>
      </c>
      <c r="I138" s="21">
        <f t="shared" ca="1" si="50"/>
        <v>562</v>
      </c>
      <c r="J138" s="12">
        <f t="shared" ca="1" si="51"/>
        <v>18.733333333333334</v>
      </c>
      <c r="K138" s="21">
        <f t="shared" ca="1" si="52"/>
        <v>647</v>
      </c>
      <c r="L138" s="21">
        <f t="shared" ca="1" si="53"/>
        <v>21.566666666666666</v>
      </c>
    </row>
    <row r="139" spans="2:12" x14ac:dyDescent="0.45">
      <c r="B139" s="27">
        <v>48</v>
      </c>
      <c r="C139" s="1" t="s">
        <v>51</v>
      </c>
      <c r="D139" s="49" t="s">
        <v>302</v>
      </c>
      <c r="E139" s="26">
        <v>46630</v>
      </c>
      <c r="F139" s="26">
        <v>46759</v>
      </c>
      <c r="G139" s="12">
        <f t="shared" si="48"/>
        <v>129</v>
      </c>
      <c r="H139" s="12">
        <f t="shared" si="49"/>
        <v>4.3</v>
      </c>
      <c r="I139" s="21">
        <f t="shared" ca="1" si="50"/>
        <v>483</v>
      </c>
      <c r="J139" s="12">
        <f t="shared" ca="1" si="51"/>
        <v>16.100000000000001</v>
      </c>
      <c r="K139" s="21">
        <f t="shared" ca="1" si="52"/>
        <v>612</v>
      </c>
      <c r="L139" s="21">
        <f t="shared" ca="1" si="53"/>
        <v>20.399999999999999</v>
      </c>
    </row>
    <row r="140" spans="2:12" x14ac:dyDescent="0.45">
      <c r="B140" s="1">
        <v>49</v>
      </c>
      <c r="C140" s="1" t="s">
        <v>51</v>
      </c>
      <c r="D140" s="49" t="s">
        <v>301</v>
      </c>
      <c r="E140" s="26">
        <v>46610</v>
      </c>
      <c r="F140" s="26">
        <v>46737</v>
      </c>
      <c r="G140" s="12">
        <f t="shared" si="48"/>
        <v>127</v>
      </c>
      <c r="H140" s="12">
        <f t="shared" si="49"/>
        <v>4.2333333333333334</v>
      </c>
      <c r="I140" s="21">
        <f t="shared" ca="1" si="50"/>
        <v>463</v>
      </c>
      <c r="J140" s="12">
        <f t="shared" ca="1" si="51"/>
        <v>15.433333333333334</v>
      </c>
      <c r="K140" s="21">
        <f t="shared" ca="1" si="52"/>
        <v>590</v>
      </c>
      <c r="L140" s="21">
        <f t="shared" ca="1" si="53"/>
        <v>19.666666666666668</v>
      </c>
    </row>
    <row r="141" spans="2:12" x14ac:dyDescent="0.45">
      <c r="B141" s="1">
        <v>50</v>
      </c>
      <c r="C141" s="1" t="s">
        <v>51</v>
      </c>
      <c r="D141" s="5" t="s">
        <v>303</v>
      </c>
      <c r="E141" s="26">
        <v>46707</v>
      </c>
      <c r="F141" s="26">
        <v>46762</v>
      </c>
      <c r="G141" s="12">
        <f t="shared" si="48"/>
        <v>55</v>
      </c>
      <c r="H141" s="12">
        <f t="shared" si="49"/>
        <v>1.8333333333333333</v>
      </c>
      <c r="I141" s="21">
        <f t="shared" ca="1" si="50"/>
        <v>560</v>
      </c>
      <c r="J141" s="12">
        <f t="shared" ca="1" si="51"/>
        <v>18.666666666666668</v>
      </c>
      <c r="K141" s="21">
        <f t="shared" ca="1" si="52"/>
        <v>615</v>
      </c>
      <c r="L141" s="21">
        <f t="shared" ca="1" si="53"/>
        <v>20.5</v>
      </c>
    </row>
    <row r="142" spans="2:12" x14ac:dyDescent="0.45">
      <c r="B142" s="1">
        <v>51</v>
      </c>
      <c r="C142" s="1" t="s">
        <v>51</v>
      </c>
      <c r="D142" s="49" t="s">
        <v>304</v>
      </c>
      <c r="E142" s="26">
        <v>46724</v>
      </c>
      <c r="F142" s="26">
        <v>46762</v>
      </c>
      <c r="G142" s="12">
        <f t="shared" si="48"/>
        <v>38</v>
      </c>
      <c r="H142" s="12">
        <f t="shared" si="49"/>
        <v>1.2666666666666666</v>
      </c>
      <c r="I142" s="21">
        <f t="shared" ca="1" si="50"/>
        <v>577</v>
      </c>
      <c r="J142" s="12">
        <f t="shared" ca="1" si="51"/>
        <v>19.233333333333334</v>
      </c>
      <c r="K142" s="21">
        <f t="shared" ca="1" si="52"/>
        <v>615</v>
      </c>
      <c r="L142" s="21">
        <f t="shared" ca="1" si="53"/>
        <v>20.5</v>
      </c>
    </row>
    <row r="143" spans="2:12" x14ac:dyDescent="0.45">
      <c r="B143" s="27">
        <v>52</v>
      </c>
      <c r="C143" s="1" t="s">
        <v>51</v>
      </c>
      <c r="D143" s="49" t="s">
        <v>305</v>
      </c>
      <c r="E143" s="26">
        <v>46723</v>
      </c>
      <c r="F143" s="26">
        <v>46759</v>
      </c>
      <c r="G143" s="12">
        <f t="shared" ref="G143:G144" si="60">F143-E143</f>
        <v>36</v>
      </c>
      <c r="H143" s="12">
        <f t="shared" si="49"/>
        <v>1.2</v>
      </c>
      <c r="I143" s="21">
        <f t="shared" ref="I143:I144" ca="1" si="61">IF(E143-$E$1&lt;=0,"",E143-$E$1)</f>
        <v>576</v>
      </c>
      <c r="J143" s="12">
        <f t="shared" ca="1" si="51"/>
        <v>19.2</v>
      </c>
      <c r="K143" s="21">
        <f t="shared" ref="K143:K144" ca="1" si="62">IF(F143-$E$1&lt;=0,"",F143-$E$1)</f>
        <v>612</v>
      </c>
      <c r="L143" s="21">
        <f t="shared" ca="1" si="53"/>
        <v>20.399999999999999</v>
      </c>
    </row>
    <row r="144" spans="2:12" x14ac:dyDescent="0.45">
      <c r="B144" s="1">
        <v>53</v>
      </c>
      <c r="C144" s="1" t="s">
        <v>51</v>
      </c>
      <c r="D144" s="49" t="s">
        <v>306</v>
      </c>
      <c r="E144" s="26">
        <v>46716</v>
      </c>
      <c r="F144" s="26">
        <v>46751</v>
      </c>
      <c r="G144" s="12">
        <f t="shared" si="60"/>
        <v>35</v>
      </c>
      <c r="H144" s="12">
        <f t="shared" si="49"/>
        <v>1.1666666666666667</v>
      </c>
      <c r="I144" s="21">
        <f t="shared" ca="1" si="61"/>
        <v>569</v>
      </c>
      <c r="J144" s="12">
        <f t="shared" ca="1" si="51"/>
        <v>18.966666666666665</v>
      </c>
      <c r="K144" s="21">
        <f t="shared" ca="1" si="62"/>
        <v>604</v>
      </c>
      <c r="L144" s="21">
        <f t="shared" ca="1" si="53"/>
        <v>20.133333333333333</v>
      </c>
    </row>
    <row r="145" spans="2:12" x14ac:dyDescent="0.45">
      <c r="B145" s="1">
        <v>54</v>
      </c>
      <c r="C145" s="1" t="s">
        <v>51</v>
      </c>
      <c r="D145" s="49" t="s">
        <v>307</v>
      </c>
      <c r="E145" s="26">
        <v>46707</v>
      </c>
      <c r="F145" s="26">
        <v>46757</v>
      </c>
      <c r="G145" s="12">
        <f t="shared" ref="G145:G156" si="63">F145-E145</f>
        <v>50</v>
      </c>
      <c r="H145" s="12">
        <f t="shared" si="49"/>
        <v>1.6666666666666667</v>
      </c>
      <c r="I145" s="21">
        <f t="shared" ref="I145:I156" ca="1" si="64">IF(E145-$E$1&lt;=0,"",E145-$E$1)</f>
        <v>560</v>
      </c>
      <c r="J145" s="12">
        <f t="shared" ca="1" si="51"/>
        <v>18.666666666666668</v>
      </c>
      <c r="K145" s="21">
        <f t="shared" ref="K145:K156" ca="1" si="65">IF(F145-$E$1&lt;=0,"",F145-$E$1)</f>
        <v>610</v>
      </c>
      <c r="L145" s="21">
        <f t="shared" ca="1" si="53"/>
        <v>20.333333333333332</v>
      </c>
    </row>
    <row r="146" spans="2:12" x14ac:dyDescent="0.45">
      <c r="B146" s="1">
        <v>55</v>
      </c>
      <c r="C146" s="1" t="s">
        <v>51</v>
      </c>
      <c r="D146" s="5" t="s">
        <v>309</v>
      </c>
      <c r="E146" s="26">
        <v>46322</v>
      </c>
      <c r="F146" s="26">
        <v>46771</v>
      </c>
      <c r="G146" s="12">
        <f>F146-E146</f>
        <v>449</v>
      </c>
      <c r="H146" s="12">
        <f t="shared" ref="H146" si="66">G146/30</f>
        <v>14.966666666666667</v>
      </c>
      <c r="I146" s="21">
        <f t="shared" ref="I146" ca="1" si="67">IF(E146-$E$1&lt;=0,"",E146-$E$1)</f>
        <v>175</v>
      </c>
      <c r="J146" s="12">
        <f t="shared" ref="J146" ca="1" si="68">IF(I146="","",I146/30)</f>
        <v>5.833333333333333</v>
      </c>
      <c r="K146" s="21">
        <f t="shared" ref="K146" ca="1" si="69">IF(F146-$E$1&lt;=0,"",F146-$E$1)</f>
        <v>624</v>
      </c>
      <c r="L146" s="21">
        <f t="shared" ref="L146" ca="1" si="70">IF(K146="","",K146/30)</f>
        <v>20.8</v>
      </c>
    </row>
    <row r="147" spans="2:12" x14ac:dyDescent="0.45">
      <c r="B147" s="27">
        <v>56</v>
      </c>
      <c r="C147" s="1" t="s">
        <v>51</v>
      </c>
      <c r="D147" s="49" t="s">
        <v>310</v>
      </c>
      <c r="E147" s="26">
        <v>46477</v>
      </c>
      <c r="F147" s="26">
        <v>46665</v>
      </c>
      <c r="G147" s="12">
        <f t="shared" ref="G147:G153" si="71">F147-E147</f>
        <v>188</v>
      </c>
      <c r="H147" s="12">
        <f t="shared" ref="H147:H153" si="72">G147/30</f>
        <v>6.2666666666666666</v>
      </c>
      <c r="I147" s="21">
        <f t="shared" ref="I147:I153" ca="1" si="73">IF(E147-$E$1&lt;=0,"",E147-$E$1)</f>
        <v>330</v>
      </c>
      <c r="J147" s="12">
        <f t="shared" ref="J147:J153" ca="1" si="74">IF(I147="","",I147/30)</f>
        <v>11</v>
      </c>
      <c r="K147" s="21">
        <f t="shared" ref="K147:K153" ca="1" si="75">IF(F147-$E$1&lt;=0,"",F147-$E$1)</f>
        <v>518</v>
      </c>
      <c r="L147" s="21">
        <f t="shared" ref="L147:L153" ca="1" si="76">IF(K147="","",K147/30)</f>
        <v>17.266666666666666</v>
      </c>
    </row>
    <row r="148" spans="2:12" x14ac:dyDescent="0.45">
      <c r="B148" s="1">
        <v>57</v>
      </c>
      <c r="C148" s="1" t="s">
        <v>51</v>
      </c>
      <c r="D148" s="5" t="s">
        <v>311</v>
      </c>
      <c r="E148" s="26">
        <v>46477</v>
      </c>
      <c r="F148" s="26">
        <v>46713</v>
      </c>
      <c r="G148" s="12">
        <f t="shared" si="71"/>
        <v>236</v>
      </c>
      <c r="H148" s="12">
        <f t="shared" si="72"/>
        <v>7.8666666666666663</v>
      </c>
      <c r="I148" s="21">
        <f t="shared" ca="1" si="73"/>
        <v>330</v>
      </c>
      <c r="J148" s="12">
        <f t="shared" ca="1" si="74"/>
        <v>11</v>
      </c>
      <c r="K148" s="21">
        <f t="shared" ca="1" si="75"/>
        <v>566</v>
      </c>
      <c r="L148" s="21">
        <f t="shared" ca="1" si="76"/>
        <v>18.866666666666667</v>
      </c>
    </row>
    <row r="149" spans="2:12" x14ac:dyDescent="0.45">
      <c r="B149" s="1">
        <v>58</v>
      </c>
      <c r="C149" s="1" t="s">
        <v>51</v>
      </c>
      <c r="D149" s="5" t="s">
        <v>312</v>
      </c>
      <c r="E149" s="26">
        <v>46542</v>
      </c>
      <c r="F149" s="26">
        <v>46743</v>
      </c>
      <c r="G149" s="12">
        <f t="shared" si="71"/>
        <v>201</v>
      </c>
      <c r="H149" s="12">
        <f t="shared" si="72"/>
        <v>6.7</v>
      </c>
      <c r="I149" s="21">
        <f t="shared" ca="1" si="73"/>
        <v>395</v>
      </c>
      <c r="J149" s="12">
        <f t="shared" ca="1" si="74"/>
        <v>13.166666666666666</v>
      </c>
      <c r="K149" s="21">
        <f t="shared" ca="1" si="75"/>
        <v>596</v>
      </c>
      <c r="L149" s="21">
        <f t="shared" ca="1" si="76"/>
        <v>19.866666666666667</v>
      </c>
    </row>
    <row r="150" spans="2:12" x14ac:dyDescent="0.45">
      <c r="B150" s="1">
        <v>59</v>
      </c>
      <c r="C150" s="1" t="s">
        <v>51</v>
      </c>
      <c r="D150" s="5" t="s">
        <v>313</v>
      </c>
      <c r="E150" s="26">
        <v>46717</v>
      </c>
      <c r="F150" s="26">
        <v>46762</v>
      </c>
      <c r="G150" s="12">
        <f t="shared" si="71"/>
        <v>45</v>
      </c>
      <c r="H150" s="12">
        <f t="shared" si="72"/>
        <v>1.5</v>
      </c>
      <c r="I150" s="21">
        <f t="shared" ca="1" si="73"/>
        <v>570</v>
      </c>
      <c r="J150" s="12">
        <f t="shared" ca="1" si="74"/>
        <v>19</v>
      </c>
      <c r="K150" s="21">
        <f t="shared" ca="1" si="75"/>
        <v>615</v>
      </c>
      <c r="L150" s="21">
        <f t="shared" ca="1" si="76"/>
        <v>20.5</v>
      </c>
    </row>
    <row r="151" spans="2:12" x14ac:dyDescent="0.45">
      <c r="B151" s="27">
        <v>60</v>
      </c>
      <c r="C151" s="1" t="s">
        <v>51</v>
      </c>
      <c r="D151" s="5" t="s">
        <v>314</v>
      </c>
      <c r="E151" s="26">
        <v>46477</v>
      </c>
      <c r="F151" s="26">
        <v>46804</v>
      </c>
      <c r="G151" s="12">
        <f t="shared" si="71"/>
        <v>327</v>
      </c>
      <c r="H151" s="12">
        <f t="shared" si="72"/>
        <v>10.9</v>
      </c>
      <c r="I151" s="21">
        <f t="shared" ca="1" si="73"/>
        <v>330</v>
      </c>
      <c r="J151" s="12">
        <f t="shared" ca="1" si="74"/>
        <v>11</v>
      </c>
      <c r="K151" s="21">
        <f t="shared" ca="1" si="75"/>
        <v>657</v>
      </c>
      <c r="L151" s="21">
        <f t="shared" ca="1" si="76"/>
        <v>21.9</v>
      </c>
    </row>
    <row r="152" spans="2:12" x14ac:dyDescent="0.45">
      <c r="B152" s="1">
        <v>61</v>
      </c>
      <c r="C152" s="1" t="s">
        <v>51</v>
      </c>
      <c r="D152" s="5" t="s">
        <v>315</v>
      </c>
      <c r="E152" s="26">
        <v>46581</v>
      </c>
      <c r="F152" s="26">
        <v>46759</v>
      </c>
      <c r="G152" s="12">
        <f t="shared" si="71"/>
        <v>178</v>
      </c>
      <c r="H152" s="12">
        <f t="shared" si="72"/>
        <v>5.9333333333333336</v>
      </c>
      <c r="I152" s="21">
        <f t="shared" ca="1" si="73"/>
        <v>434</v>
      </c>
      <c r="J152" s="12">
        <f t="shared" ca="1" si="74"/>
        <v>14.466666666666667</v>
      </c>
      <c r="K152" s="21">
        <f t="shared" ca="1" si="75"/>
        <v>612</v>
      </c>
      <c r="L152" s="21">
        <f t="shared" ca="1" si="76"/>
        <v>20.399999999999999</v>
      </c>
    </row>
    <row r="153" spans="2:12" x14ac:dyDescent="0.45">
      <c r="B153" s="1">
        <v>62</v>
      </c>
      <c r="C153" s="1" t="s">
        <v>51</v>
      </c>
      <c r="D153" s="5" t="s">
        <v>68</v>
      </c>
      <c r="E153" s="26">
        <v>46479</v>
      </c>
      <c r="F153" s="26">
        <v>46715</v>
      </c>
      <c r="G153" s="12">
        <f t="shared" si="71"/>
        <v>236</v>
      </c>
      <c r="H153" s="12">
        <f t="shared" si="72"/>
        <v>7.8666666666666663</v>
      </c>
      <c r="I153" s="21">
        <f t="shared" ca="1" si="73"/>
        <v>332</v>
      </c>
      <c r="J153" s="12">
        <f t="shared" ca="1" si="74"/>
        <v>11.066666666666666</v>
      </c>
      <c r="K153" s="21">
        <f t="shared" ca="1" si="75"/>
        <v>568</v>
      </c>
      <c r="L153" s="21">
        <f t="shared" ca="1" si="76"/>
        <v>18.933333333333334</v>
      </c>
    </row>
    <row r="154" spans="2:12" x14ac:dyDescent="0.45">
      <c r="B154" s="1">
        <v>63</v>
      </c>
      <c r="C154" s="1" t="s">
        <v>51</v>
      </c>
      <c r="D154" s="5" t="s">
        <v>316</v>
      </c>
      <c r="E154" s="26">
        <v>46673</v>
      </c>
      <c r="F154" s="26">
        <v>46877</v>
      </c>
      <c r="G154" s="12">
        <f t="shared" si="63"/>
        <v>204</v>
      </c>
      <c r="H154" s="12">
        <f t="shared" si="49"/>
        <v>6.8</v>
      </c>
      <c r="I154" s="21">
        <f t="shared" ca="1" si="64"/>
        <v>526</v>
      </c>
      <c r="J154" s="12">
        <f t="shared" ca="1" si="51"/>
        <v>17.533333333333335</v>
      </c>
      <c r="K154" s="21">
        <f t="shared" ca="1" si="65"/>
        <v>730</v>
      </c>
      <c r="L154" s="21">
        <f t="shared" ca="1" si="53"/>
        <v>24.333333333333332</v>
      </c>
    </row>
    <row r="155" spans="2:12" x14ac:dyDescent="0.45">
      <c r="B155" s="27">
        <v>64</v>
      </c>
      <c r="C155" s="1" t="s">
        <v>51</v>
      </c>
      <c r="D155" s="5" t="s">
        <v>317</v>
      </c>
      <c r="E155" s="26">
        <v>46762</v>
      </c>
      <c r="F155" s="26">
        <v>46815</v>
      </c>
      <c r="G155" s="12">
        <f t="shared" si="63"/>
        <v>53</v>
      </c>
      <c r="H155" s="12">
        <f t="shared" si="49"/>
        <v>1.7666666666666666</v>
      </c>
      <c r="I155" s="21">
        <f t="shared" ca="1" si="64"/>
        <v>615</v>
      </c>
      <c r="J155" s="12">
        <f t="shared" ca="1" si="51"/>
        <v>20.5</v>
      </c>
      <c r="K155" s="21">
        <f t="shared" ca="1" si="65"/>
        <v>668</v>
      </c>
      <c r="L155" s="21">
        <f t="shared" ca="1" si="53"/>
        <v>22.266666666666666</v>
      </c>
    </row>
    <row r="156" spans="2:12" x14ac:dyDescent="0.45">
      <c r="B156" s="1">
        <v>65</v>
      </c>
      <c r="C156" s="1" t="s">
        <v>51</v>
      </c>
      <c r="D156" s="5" t="s">
        <v>318</v>
      </c>
      <c r="E156" s="26">
        <v>46679</v>
      </c>
      <c r="F156" s="26">
        <v>46743</v>
      </c>
      <c r="G156" s="12">
        <f t="shared" si="63"/>
        <v>64</v>
      </c>
      <c r="H156" s="12">
        <f t="shared" si="49"/>
        <v>2.1333333333333333</v>
      </c>
      <c r="I156" s="21">
        <f t="shared" ca="1" si="64"/>
        <v>532</v>
      </c>
      <c r="J156" s="12">
        <f t="shared" ca="1" si="51"/>
        <v>17.733333333333334</v>
      </c>
      <c r="K156" s="21">
        <f t="shared" ca="1" si="65"/>
        <v>596</v>
      </c>
      <c r="L156" s="21">
        <f t="shared" ca="1" si="53"/>
        <v>19.866666666666667</v>
      </c>
    </row>
  </sheetData>
  <mergeCells count="3">
    <mergeCell ref="G3:H3"/>
    <mergeCell ref="I3:J3"/>
    <mergeCell ref="K3:L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Milestones</vt:lpstr>
      <vt:lpstr>ACQ - Civile + Sanitary</vt:lpstr>
      <vt:lpstr>ACQ - Elettrici</vt:lpstr>
      <vt:lpstr>ACQ - Tecnologici</vt:lpstr>
      <vt:lpstr>MNT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Savocchi</dc:creator>
  <cp:lastModifiedBy>Aldo Giamblanco</cp:lastModifiedBy>
  <dcterms:created xsi:type="dcterms:W3CDTF">2026-03-30T12:21:50Z</dcterms:created>
  <dcterms:modified xsi:type="dcterms:W3CDTF">2026-05-05T14:11:28Z</dcterms:modified>
</cp:coreProperties>
</file>